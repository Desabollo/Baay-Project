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834" firstSheet="0" activeTab="7" autoFilterDateGrouping="1"/>
  </bookViews>
  <sheets>
    <sheet name="00_Revision_cover" sheetId="1" state="visible" r:id="rId1"/>
    <sheet name="IFRS15_recognition" sheetId="2" state="visible" r:id="rId2"/>
    <sheet name="Summary" sheetId="3" state="visible" r:id="rId3"/>
    <sheet name="Notes" sheetId="4" state="visible" r:id="rId4"/>
    <sheet name="Sales_Ledger" sheetId="5" state="visible" r:id="rId5"/>
    <sheet name="Subscriptions" sheetId="6" state="visible" r:id="rId6"/>
    <sheet name="Customer_Master" sheetId="7" state="visible" r:id="rId7"/>
    <sheet name="Exclusions" sheetId="8" state="visible" r:id="rId8"/>
    <sheet name="Exceptions_Dec23_Dec24" sheetId="9" state="visible" r:id="rId9"/>
    <sheet name="Turnover_Recon" sheetId="10" state="visible" r:id="rId10"/>
  </sheets>
  <definedNames>
    <definedName name="_xlnm._FilterDatabase" localSheetId="1" hidden="1">'IFRS15_recognition'!$A$1:$O$362</definedName>
    <definedName name="_xlnm._FilterDatabase" localSheetId="4" hidden="1">'Sales_Ledger'!$A$4:$R$863</definedName>
    <definedName name="_xlnm._FilterDatabase" localSheetId="5" hidden="1">'Subscriptions'!$A$4:$T$218</definedName>
    <definedName name="_xlnm._FilterDatabase" localSheetId="6" hidden="1">'Customer_Master'!$A$4:$R$240</definedName>
    <definedName name="_xlnm._FilterDatabase" localSheetId="7" hidden="1">'Exclusions'!$A$4:$L$108</definedName>
    <definedName name="_xlnm._FilterDatabase" localSheetId="8" hidden="1">'Exceptions_Dec23_Dec24'!$A$4:$L$94</definedName>
  </definedNames>
  <calcPr calcId="191029" fullCalcOnLoad="1"/>
</workbook>
</file>

<file path=xl/styles.xml><?xml version="1.0" encoding="utf-8"?>
<styleSheet xmlns="http://schemas.openxmlformats.org/spreadsheetml/2006/main">
  <numFmts count="3">
    <numFmt numFmtId="164" formatCode="#,##0;\(#,##0\);\-"/>
    <numFmt numFmtId="165" formatCode="dd\-mmm\-yyyy"/>
    <numFmt numFmtId="166" formatCode="₦#,##0.00"/>
  </numFmts>
  <fonts count="15">
    <font>
      <name val="Calibri"/>
      <charset val="1"/>
      <family val="2"/>
      <color theme="1"/>
      <sz val="11"/>
    </font>
    <font>
      <name val="Arial"/>
      <charset val="1"/>
      <b val="1"/>
      <sz val="14"/>
    </font>
    <font>
      <name val="Arial"/>
      <charset val="1"/>
      <i val="1"/>
      <color rgb="FF595959"/>
      <sz val="10"/>
    </font>
    <font>
      <name val="Arial"/>
      <charset val="1"/>
      <b val="1"/>
      <color rgb="FF1F3864"/>
      <sz val="11"/>
    </font>
    <font>
      <name val="Arial"/>
      <charset val="1"/>
      <b val="1"/>
      <color rgb="FFFFFFFF"/>
      <sz val="10"/>
    </font>
    <font>
      <name val="Arial"/>
      <charset val="1"/>
      <sz val="10"/>
    </font>
    <font>
      <name val="Arial"/>
      <charset val="1"/>
      <b val="1"/>
      <sz val="10"/>
    </font>
    <font>
      <name val="Arial"/>
      <charset val="1"/>
      <color rgb="FF0000FF"/>
      <sz val="10"/>
    </font>
    <font>
      <name val="Calibri"/>
      <b val="1"/>
      <color rgb="001F4E79"/>
      <sz val="12"/>
    </font>
    <font>
      <name val="Calibri"/>
      <b val="1"/>
      <color rgb="001F4E79"/>
      <sz val="16"/>
    </font>
    <font>
      <name val="Calibri"/>
      <b val="1"/>
      <color rgb="008C2F2F"/>
      <sz val="10"/>
    </font>
    <font>
      <name val="Calibri"/>
      <sz val="10"/>
    </font>
    <font>
      <name val="Calibri"/>
      <b val="1"/>
      <color rgb="00FFFFFF"/>
      <sz val="10"/>
    </font>
    <font>
      <name val="Calibri"/>
      <sz val="9"/>
    </font>
    <font>
      <name val="Calibri"/>
      <b val="1"/>
      <sz val="9"/>
    </font>
  </fonts>
  <fills count="6">
    <fill>
      <patternFill/>
    </fill>
    <fill>
      <patternFill patternType="gray125"/>
    </fill>
    <fill>
      <patternFill patternType="solid">
        <fgColor rgb="FF1F3864"/>
        <bgColor rgb="FF333333"/>
      </patternFill>
    </fill>
    <fill>
      <patternFill patternType="solid">
        <fgColor rgb="FFD9E1F2"/>
        <bgColor rgb="FFCCFFFF"/>
      </patternFill>
    </fill>
    <fill>
      <patternFill patternType="solid">
        <fgColor rgb="001F4E79"/>
      </patternFill>
    </fill>
    <fill>
      <patternFill patternType="solid">
        <fgColor rgb="00E7EEF6"/>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wrapText="1"/>
    </xf>
    <xf numFmtId="0" fontId="4" fillId="2" borderId="1" applyAlignment="1" pivotButton="0" quotePrefix="0" xfId="0">
      <alignment horizontal="center" wrapText="1"/>
    </xf>
    <xf numFmtId="0" fontId="5" fillId="0" borderId="1" pivotButton="0" quotePrefix="0" xfId="0"/>
    <xf numFmtId="164" fontId="5" fillId="0" borderId="1" pivotButton="0" quotePrefix="0" xfId="0"/>
    <xf numFmtId="0" fontId="6" fillId="3" borderId="1" pivotButton="0" quotePrefix="0" xfId="0"/>
    <xf numFmtId="164" fontId="6" fillId="3" borderId="1" pivotButton="0" quotePrefix="0" xfId="0"/>
    <xf numFmtId="0" fontId="2" fillId="0" borderId="1" pivotButton="0" quotePrefix="0" xfId="0"/>
    <xf numFmtId="3" fontId="5" fillId="0" borderId="1" pivotButton="0" quotePrefix="0" xfId="0"/>
    <xf numFmtId="0" fontId="6" fillId="0" borderId="0" applyAlignment="1" pivotButton="0" quotePrefix="0" xfId="0">
      <alignment vertical="top" wrapText="1"/>
    </xf>
    <xf numFmtId="0" fontId="5" fillId="0" borderId="0" applyAlignment="1" pivotButton="0" quotePrefix="0" xfId="0">
      <alignment vertical="top" wrapText="1"/>
    </xf>
    <xf numFmtId="0" fontId="4" fillId="2" borderId="1" applyAlignment="1" pivotButton="0" quotePrefix="0" xfId="0">
      <alignment vertical="center" wrapText="1"/>
    </xf>
    <xf numFmtId="0" fontId="5" fillId="0" borderId="0" pivotButton="0" quotePrefix="0" xfId="0"/>
    <xf numFmtId="165" fontId="5" fillId="0" borderId="0" pivotButton="0" quotePrefix="0" xfId="0"/>
    <xf numFmtId="164" fontId="5" fillId="0" borderId="0" pivotButton="0" quotePrefix="0" xfId="0"/>
    <xf numFmtId="0" fontId="6" fillId="0" borderId="0" pivotButton="0" quotePrefix="0" xfId="0"/>
    <xf numFmtId="164" fontId="6" fillId="0" borderId="0" pivotButton="0" quotePrefix="0" xfId="0"/>
    <xf numFmtId="164"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4" borderId="0" applyAlignment="1" pivotButton="0" quotePrefix="0" xfId="0">
      <alignment vertical="center" wrapText="1"/>
    </xf>
    <xf numFmtId="0" fontId="13" fillId="0" borderId="2" applyAlignment="1" pivotButton="0" quotePrefix="0" xfId="0">
      <alignment vertical="center"/>
    </xf>
    <xf numFmtId="166" fontId="13" fillId="0" borderId="2" applyAlignment="1" pivotButton="0" quotePrefix="0" xfId="0">
      <alignment vertical="center"/>
    </xf>
    <xf numFmtId="0" fontId="13" fillId="0" borderId="2" applyAlignment="1" pivotButton="0" quotePrefix="0" xfId="0">
      <alignment vertical="center" wrapText="1"/>
    </xf>
    <xf numFmtId="0" fontId="14" fillId="0" borderId="0" pivotButton="0" quotePrefix="0" xfId="0"/>
    <xf numFmtId="166" fontId="14" fillId="5"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40" customWidth="1" min="1" max="1"/>
  </cols>
  <sheetData>
    <row r="1">
      <c r="A1" s="21" t="inlineStr">
        <is>
          <t>BAAY PROJECTS LIMITED  ·  RC 1526224</t>
        </is>
      </c>
    </row>
    <row r="2">
      <c r="A2" s="22" t="inlineStr">
        <is>
          <t>Sales and customers — revised</t>
        </is>
      </c>
    </row>
    <row r="3">
      <c r="A3" s="23" t="inlineStr">
        <is>
          <t>REVISED  ·  8 October 2026  ·  original sheets retained so their formulas still work</t>
        </is>
      </c>
    </row>
    <row r="5" ht="32" customHeight="1">
      <c r="A5" s="24" t="inlineStr">
        <is>
          <t>The original sheets are unchanged. The revision is the two sheets added at the front: this cover, and IFRS15_recognition.</t>
        </is>
      </c>
    </row>
    <row r="6" ht="32" customHeight="1">
      <c r="A6" s="24" t="inlineStr">
        <is>
          <t>Turnover remains the Sales_Ledger: 859 lines, ₦2,584,814,000 for 2023 to 2025. Nothing was added from the Exceptions tab, and nothing was scaled.</t>
        </is>
      </c>
    </row>
    <row r="7" ht="32" customHeight="1">
      <c r="A7" s="24" t="inlineStr">
        <is>
          <t>IFRS15_recognition applies the revenue policy to each subscription and to uncontracted sales-ledger lines. Revenue, the receivable and the deferred income on that sheet are the figures in the revised financial statements.</t>
        </is>
      </c>
    </row>
    <row r="8" ht="32" customHeight="1">
      <c r="A8" s="24" t="inlineStr">
        <is>
          <t>Land marked bought or closed starts from the contract value. The receivable is capped at the client-register balance, and revenue on the sheet is reduced by the same amount. That reduction is ₦515,131,000 across 2023 to 2025. If the register is incomplete, revenue and receivables are both understated. Housing is recognised only on evidenced handover. Other collections are deferred income.</t>
        </is>
      </c>
    </row>
    <row r="9" ht="32" customHeight="1">
      <c r="A9" s="24" t="inlineStr">
        <is>
          <t>A receivable is only the unpaid balance of a recognised contract, and not above the register balance. Unpaid balances on contracts still deferred are not receivables. They are a pipeline, disclosed in the financial statements.</t>
        </is>
      </c>
    </row>
    <row r="10" ht="32" customHeight="1">
      <c r="A10" s="24" t="inlineStr">
        <is>
          <t>Exclusions (co-ownership, service income, credit memos) stay off turnover. Co-ownership is a liability in the revised statements. Credit memos are non-cash and are not posted.</t>
        </is>
      </c>
    </row>
    <row r="11" ht="32" customHeight="1">
      <c r="A11" s="24" t="inlineStr">
        <is>
          <t>Client-register rows dated 2026 are outside this revision.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2" customWidth="1" min="2" max="2"/>
    <col width="12" customWidth="1" min="3" max="3"/>
    <col width="28" customWidth="1" min="4" max="4"/>
    <col width="18" customWidth="1" min="5" max="5"/>
    <col width="18" customWidth="1" min="6" max="6"/>
    <col width="55" customWidth="1" min="7" max="7"/>
    <col width="16" customWidth="1" min="8" max="8"/>
    <col width="16" customWidth="1" min="9" max="9"/>
    <col width="16" customWidth="1" min="10" max="10"/>
    <col width="16" customWidth="1" min="11" max="11"/>
    <col width="16" customWidth="1" min="12" max="12"/>
    <col width="16" customWidth="1" min="13" max="13"/>
    <col width="22" customWidth="1" min="14" max="14"/>
    <col width="28" customWidth="1" min="15" max="15"/>
  </cols>
  <sheetData>
    <row r="1" ht="30" customHeight="1">
      <c r="A1" s="25" t="inlineStr">
        <is>
          <t>Sub ref</t>
        </is>
      </c>
      <c r="B1" s="25" t="inlineStr">
        <is>
          <t>Customer</t>
        </is>
      </c>
      <c r="C1" s="25" t="inlineStr">
        <is>
          <t>Product</t>
        </is>
      </c>
      <c r="D1" s="25" t="inlineStr">
        <is>
          <t>Project</t>
        </is>
      </c>
      <c r="E1" s="25" t="inlineStr">
        <is>
          <t>Status</t>
        </is>
      </c>
      <c r="F1" s="25" t="inlineStr">
        <is>
          <t>Contract value</t>
        </is>
      </c>
      <c r="G1" s="25" t="inlineStr">
        <is>
          <t>Policy</t>
        </is>
      </c>
      <c r="H1" s="25" t="inlineStr">
        <is>
          <t>Collections 2023</t>
        </is>
      </c>
      <c r="I1" s="25" t="inlineStr">
        <is>
          <t>Collections 2024</t>
        </is>
      </c>
      <c r="J1" s="25" t="inlineStr">
        <is>
          <t>Collections 2025</t>
        </is>
      </c>
      <c r="K1" s="25" t="inlineStr">
        <is>
          <t>Revenue 2023</t>
        </is>
      </c>
      <c r="L1" s="25" t="inlineStr">
        <is>
          <t>Revenue 2024</t>
        </is>
      </c>
      <c r="M1" s="25" t="inlineStr">
        <is>
          <t>Revenue 2025</t>
        </is>
      </c>
      <c r="N1" s="25" t="inlineStr">
        <is>
          <t>Receivable at 31 Dec 2025</t>
        </is>
      </c>
      <c r="O1" s="25" t="inlineStr">
        <is>
          <t>Deferred income at 31 Dec 2025</t>
        </is>
      </c>
    </row>
    <row r="2">
      <c r="A2" s="26" t="inlineStr">
        <is>
          <t>SB0001</t>
        </is>
      </c>
      <c r="B2" s="26" t="inlineStr">
        <is>
          <t>Mr Meshack Osagie</t>
        </is>
      </c>
      <c r="C2" s="26" t="inlineStr">
        <is>
          <t>Housing</t>
        </is>
      </c>
      <c r="D2" s="26" t="inlineStr">
        <is>
          <t>Pacific Court</t>
        </is>
      </c>
      <c r="E2" s="26" t="inlineStr">
        <is>
          <t>PAID</t>
        </is>
      </c>
      <c r="F2" s="27" t="n">
        <v>10500000</v>
      </c>
      <c r="G2" s="28" t="inlineStr">
        <is>
          <t>Housing not yet handed over — receipts held as deferred income (contract liability)</t>
        </is>
      </c>
      <c r="H2" s="27" t="n">
        <v>0</v>
      </c>
      <c r="I2" s="27" t="n">
        <v>0</v>
      </c>
      <c r="J2" s="27" t="n">
        <v>0</v>
      </c>
      <c r="K2" s="27" t="n">
        <v>0</v>
      </c>
      <c r="L2" s="27" t="n">
        <v>0</v>
      </c>
      <c r="M2" s="27" t="n">
        <v>0</v>
      </c>
      <c r="N2" s="27" t="n">
        <v>0</v>
      </c>
      <c r="O2" s="27" t="n">
        <v>0</v>
      </c>
    </row>
    <row r="3">
      <c r="A3" s="26" t="inlineStr">
        <is>
          <t>SB0002</t>
        </is>
      </c>
      <c r="B3" s="26" t="inlineStr">
        <is>
          <t>Temidayo Oniosun</t>
        </is>
      </c>
      <c r="C3" s="26" t="inlineStr">
        <is>
          <t>Housing</t>
        </is>
      </c>
      <c r="D3" s="26" t="inlineStr">
        <is>
          <t>Pacific Court</t>
        </is>
      </c>
      <c r="E3" s="26" t="inlineStr">
        <is>
          <t>PAID</t>
        </is>
      </c>
      <c r="F3" s="27" t="n">
        <v>52200000</v>
      </c>
      <c r="G3" s="28" t="inlineStr">
        <is>
          <t>Housing not yet handed over — receipts held as deferred income (contract liability)</t>
        </is>
      </c>
      <c r="H3" s="27" t="n">
        <v>0</v>
      </c>
      <c r="I3" s="27" t="n">
        <v>0</v>
      </c>
      <c r="J3" s="27" t="n">
        <v>0</v>
      </c>
      <c r="K3" s="27" t="n">
        <v>0</v>
      </c>
      <c r="L3" s="27" t="n">
        <v>0</v>
      </c>
      <c r="M3" s="27" t="n">
        <v>0</v>
      </c>
      <c r="N3" s="27" t="n">
        <v>0</v>
      </c>
      <c r="O3" s="27" t="n">
        <v>0</v>
      </c>
    </row>
    <row r="4">
      <c r="A4" s="26" t="inlineStr">
        <is>
          <t>SB0003</t>
        </is>
      </c>
      <c r="B4" s="26" t="inlineStr">
        <is>
          <t>Mrs Agbaje</t>
        </is>
      </c>
      <c r="C4" s="26" t="inlineStr">
        <is>
          <t>Housing</t>
        </is>
      </c>
      <c r="D4" s="26" t="inlineStr">
        <is>
          <t>Pacific Court</t>
        </is>
      </c>
      <c r="E4" s="26" t="inlineStr">
        <is>
          <t>PAID</t>
        </is>
      </c>
      <c r="F4" s="27" t="n">
        <v>63000000</v>
      </c>
      <c r="G4" s="28" t="inlineStr">
        <is>
          <t>Housing not yet handed over — receipts held as deferred income (contract liability)</t>
        </is>
      </c>
      <c r="H4" s="27" t="n">
        <v>0</v>
      </c>
      <c r="I4" s="27" t="n">
        <v>0</v>
      </c>
      <c r="J4" s="27" t="n">
        <v>0</v>
      </c>
      <c r="K4" s="27" t="n">
        <v>0</v>
      </c>
      <c r="L4" s="27" t="n">
        <v>0</v>
      </c>
      <c r="M4" s="27" t="n">
        <v>0</v>
      </c>
      <c r="N4" s="27" t="n">
        <v>0</v>
      </c>
      <c r="O4" s="27" t="n">
        <v>0</v>
      </c>
    </row>
    <row r="5">
      <c r="A5" s="26" t="inlineStr">
        <is>
          <t>SB0004</t>
        </is>
      </c>
      <c r="B5" s="26" t="inlineStr">
        <is>
          <t>Mrs Kate</t>
        </is>
      </c>
      <c r="C5" s="26" t="inlineStr">
        <is>
          <t>Housing</t>
        </is>
      </c>
      <c r="D5" s="26" t="inlineStr">
        <is>
          <t>Pacific Court</t>
        </is>
      </c>
      <c r="E5" s="26" t="inlineStr">
        <is>
          <t>REFUND</t>
        </is>
      </c>
      <c r="F5" s="27" t="n">
        <v>40000000</v>
      </c>
      <c r="G5" s="28" t="inlineStr">
        <is>
          <t>Housing not yet handed over — receipts held as deferred income (contract liability)</t>
        </is>
      </c>
      <c r="H5" s="27" t="n">
        <v>0</v>
      </c>
      <c r="I5" s="27" t="n">
        <v>0</v>
      </c>
      <c r="J5" s="27" t="n">
        <v>0</v>
      </c>
      <c r="K5" s="27" t="n">
        <v>0</v>
      </c>
      <c r="L5" s="27" t="n">
        <v>0</v>
      </c>
      <c r="M5" s="27" t="n">
        <v>0</v>
      </c>
      <c r="N5" s="27" t="n">
        <v>0</v>
      </c>
      <c r="O5" s="27" t="n">
        <v>0</v>
      </c>
    </row>
    <row r="6">
      <c r="A6" s="26" t="inlineStr">
        <is>
          <t>SB0005</t>
        </is>
      </c>
      <c r="B6" s="26" t="inlineStr">
        <is>
          <t>Mrs Mo</t>
        </is>
      </c>
      <c r="C6" s="26" t="inlineStr">
        <is>
          <t>Housing</t>
        </is>
      </c>
      <c r="D6" s="26" t="inlineStr">
        <is>
          <t>Pacific Court</t>
        </is>
      </c>
      <c r="E6" s="26" t="inlineStr">
        <is>
          <t>PAID</t>
        </is>
      </c>
      <c r="F6" s="27" t="n">
        <v>47000000</v>
      </c>
      <c r="G6" s="28" t="inlineStr">
        <is>
          <t>Housing not yet handed over — receipts held as deferred income (contract liability)</t>
        </is>
      </c>
      <c r="H6" s="27" t="n">
        <v>0</v>
      </c>
      <c r="I6" s="27" t="n">
        <v>0</v>
      </c>
      <c r="J6" s="27" t="n">
        <v>0</v>
      </c>
      <c r="K6" s="27" t="n">
        <v>0</v>
      </c>
      <c r="L6" s="27" t="n">
        <v>0</v>
      </c>
      <c r="M6" s="27" t="n">
        <v>0</v>
      </c>
      <c r="N6" s="27" t="n">
        <v>0</v>
      </c>
      <c r="O6" s="27" t="n">
        <v>0</v>
      </c>
    </row>
    <row r="7">
      <c r="A7" s="26" t="inlineStr">
        <is>
          <t>SB0006</t>
        </is>
      </c>
      <c r="B7" s="26" t="inlineStr">
        <is>
          <t>Mrs Ero</t>
        </is>
      </c>
      <c r="C7" s="26" t="inlineStr">
        <is>
          <t>Housing</t>
        </is>
      </c>
      <c r="D7" s="26" t="inlineStr">
        <is>
          <t>Pacific Court</t>
        </is>
      </c>
      <c r="E7" s="26" t="inlineStr">
        <is>
          <t>PAID</t>
        </is>
      </c>
      <c r="F7" s="27" t="n">
        <v>600000000</v>
      </c>
      <c r="G7" s="28" t="inlineStr">
        <is>
          <t>Housing not yet handed over — receipts held as deferred income (contract liability)</t>
        </is>
      </c>
      <c r="H7" s="27" t="n">
        <v>0</v>
      </c>
      <c r="I7" s="27" t="n">
        <v>0</v>
      </c>
      <c r="J7" s="27" t="n">
        <v>0</v>
      </c>
      <c r="K7" s="27" t="n">
        <v>0</v>
      </c>
      <c r="L7" s="27" t="n">
        <v>0</v>
      </c>
      <c r="M7" s="27" t="n">
        <v>0</v>
      </c>
      <c r="N7" s="27" t="n">
        <v>0</v>
      </c>
      <c r="O7" s="27" t="n">
        <v>0</v>
      </c>
    </row>
    <row r="8">
      <c r="A8" s="26" t="inlineStr">
        <is>
          <t>SB0007</t>
        </is>
      </c>
      <c r="B8" s="26" t="inlineStr">
        <is>
          <t>Mr Rasaq Roqeeb</t>
        </is>
      </c>
      <c r="C8" s="26" t="inlineStr">
        <is>
          <t>Land</t>
        </is>
      </c>
      <c r="D8" s="26" t="inlineStr">
        <is>
          <t>Green City Phase 1 (Lantaba, Ketu-Epe)</t>
        </is>
      </c>
      <c r="E8" s="26" t="inlineStr">
        <is>
          <t>BOUGHT</t>
        </is>
      </c>
      <c r="F8" s="27" t="n">
        <v>3900000</v>
      </c>
      <c r="G8" s="28" t="inlineStr">
        <is>
          <t>Land control transferred (allocated / bought). Revenue at contract value</t>
        </is>
      </c>
      <c r="H8" s="27" t="n">
        <v>500000</v>
      </c>
      <c r="I8" s="27" t="n">
        <v>1150000</v>
      </c>
      <c r="J8" s="27" t="n">
        <v>0</v>
      </c>
      <c r="K8" s="27" t="n">
        <v>500000</v>
      </c>
      <c r="L8" s="27" t="n">
        <v>0</v>
      </c>
      <c r="M8" s="27" t="n">
        <v>0</v>
      </c>
      <c r="N8" s="27" t="n">
        <v>0</v>
      </c>
      <c r="O8" s="27" t="n">
        <v>1150000</v>
      </c>
    </row>
    <row r="9">
      <c r="A9" s="26" t="inlineStr">
        <is>
          <t>SB0008</t>
        </is>
      </c>
      <c r="B9" s="26" t="inlineStr">
        <is>
          <t>OLAIYA SUNDAY TEMITOPE</t>
        </is>
      </c>
      <c r="C9" s="26" t="inlineStr">
        <is>
          <t>Land</t>
        </is>
      </c>
      <c r="D9" s="26" t="inlineStr">
        <is>
          <t>Green City Phase 1 (Lantaba, Ketu-Epe)</t>
        </is>
      </c>
      <c r="E9" s="26" t="inlineStr">
        <is>
          <t>BOUGHT</t>
        </is>
      </c>
      <c r="F9" s="27" t="n">
        <v>1500000</v>
      </c>
      <c r="G9" s="28" t="inlineStr">
        <is>
          <t>Land control transferred (allocated / bought). Revenue at contract value</t>
        </is>
      </c>
      <c r="H9" s="27" t="n">
        <v>0</v>
      </c>
      <c r="I9" s="27" t="n">
        <v>475000</v>
      </c>
      <c r="J9" s="27" t="n">
        <v>0</v>
      </c>
      <c r="K9" s="27" t="n">
        <v>0</v>
      </c>
      <c r="L9" s="27" t="n">
        <v>0</v>
      </c>
      <c r="M9" s="27" t="n">
        <v>0</v>
      </c>
      <c r="N9" s="27" t="n">
        <v>0</v>
      </c>
      <c r="O9" s="27" t="n">
        <v>475000</v>
      </c>
    </row>
    <row r="10">
      <c r="A10" s="26" t="inlineStr">
        <is>
          <t>SB0009</t>
        </is>
      </c>
      <c r="B10" s="26" t="inlineStr">
        <is>
          <t>MOSHOOD TIJANI</t>
        </is>
      </c>
      <c r="C10" s="26" t="inlineStr">
        <is>
          <t>Land</t>
        </is>
      </c>
      <c r="D10" s="26" t="inlineStr">
        <is>
          <t>Green City Phase 1 (Lantaba, Ketu-Epe)</t>
        </is>
      </c>
      <c r="E10" s="26" t="inlineStr">
        <is>
          <t>BOUGHT</t>
        </is>
      </c>
      <c r="F10" s="27" t="n">
        <v>1500000</v>
      </c>
      <c r="G10" s="28" t="inlineStr">
        <is>
          <t>Land control transferred (allocated / bought). Revenue at contract value</t>
        </is>
      </c>
      <c r="H10" s="27" t="n">
        <v>1000000</v>
      </c>
      <c r="I10" s="27" t="n">
        <v>400000</v>
      </c>
      <c r="J10" s="27" t="n">
        <v>0</v>
      </c>
      <c r="K10" s="27" t="n">
        <v>1100000</v>
      </c>
      <c r="L10" s="27" t="n">
        <v>0</v>
      </c>
      <c r="M10" s="27" t="n">
        <v>0</v>
      </c>
      <c r="N10" s="27" t="n">
        <v>0</v>
      </c>
      <c r="O10" s="27" t="n">
        <v>300000</v>
      </c>
    </row>
    <row r="11">
      <c r="A11" s="26" t="inlineStr">
        <is>
          <t>SB0010</t>
        </is>
      </c>
      <c r="B11" s="26" t="inlineStr">
        <is>
          <t>PROF OLUGBENGA AKINADE/MRS ARAWOMO OMOLOLA</t>
        </is>
      </c>
      <c r="C11" s="26" t="inlineStr">
        <is>
          <t>Land</t>
        </is>
      </c>
      <c r="D11" s="26" t="inlineStr">
        <is>
          <t>Green City Phase 1 (Lantaba, Ketu-Epe)</t>
        </is>
      </c>
      <c r="E11" s="26" t="inlineStr">
        <is>
          <t>BOUGHT</t>
        </is>
      </c>
      <c r="F11" s="27" t="n">
        <v>3600000</v>
      </c>
      <c r="G11" s="28" t="inlineStr">
        <is>
          <t>Land control transferred (allocated / bought). Revenue at contract value</t>
        </is>
      </c>
      <c r="H11" s="27" t="n">
        <v>0</v>
      </c>
      <c r="I11" s="27" t="n">
        <v>0</v>
      </c>
      <c r="J11" s="27" t="n">
        <v>0</v>
      </c>
      <c r="K11" s="27" t="n">
        <v>0</v>
      </c>
      <c r="L11" s="27" t="n">
        <v>0</v>
      </c>
      <c r="M11" s="27" t="n">
        <v>0</v>
      </c>
      <c r="N11" s="27" t="n">
        <v>0</v>
      </c>
      <c r="O11" s="27" t="n">
        <v>0</v>
      </c>
    </row>
    <row r="12">
      <c r="A12" s="26" t="inlineStr">
        <is>
          <t>SB0011</t>
        </is>
      </c>
      <c r="B12" s="26" t="inlineStr">
        <is>
          <t>MR Damilare Ositade Owolabi</t>
        </is>
      </c>
      <c r="C12" s="26" t="inlineStr">
        <is>
          <t>Land</t>
        </is>
      </c>
      <c r="D12" s="26" t="inlineStr">
        <is>
          <t>Green City Phase 1 (Lantaba, Ketu-Epe)</t>
        </is>
      </c>
      <c r="E12" s="26" t="inlineStr">
        <is>
          <t>BOUGHT</t>
        </is>
      </c>
      <c r="F12" s="27" t="n">
        <v>1500000</v>
      </c>
      <c r="G12" s="28" t="inlineStr">
        <is>
          <t>Land control transferred (allocated / bought). Revenue at contract value</t>
        </is>
      </c>
      <c r="H12" s="27" t="n">
        <v>1500000</v>
      </c>
      <c r="I12" s="27" t="n">
        <v>135000</v>
      </c>
      <c r="J12" s="27" t="n">
        <v>0</v>
      </c>
      <c r="K12" s="27" t="n">
        <v>1500000</v>
      </c>
      <c r="L12" s="27" t="n">
        <v>0</v>
      </c>
      <c r="M12" s="27" t="n">
        <v>0</v>
      </c>
      <c r="N12" s="27" t="n">
        <v>0</v>
      </c>
      <c r="O12" s="27" t="n">
        <v>135000</v>
      </c>
    </row>
    <row r="13">
      <c r="A13" s="26" t="inlineStr">
        <is>
          <t>SB0012</t>
        </is>
      </c>
      <c r="B13" s="26" t="inlineStr">
        <is>
          <t>Mr Tobi Adesina</t>
        </is>
      </c>
      <c r="C13" s="26" t="inlineStr">
        <is>
          <t>Land</t>
        </is>
      </c>
      <c r="D13" s="26" t="inlineStr">
        <is>
          <t>Green City Phase 1 (Lantaba, Ketu-Epe)</t>
        </is>
      </c>
      <c r="E13" s="26" t="inlineStr">
        <is>
          <t>INCENTIVES</t>
        </is>
      </c>
      <c r="F13" s="27" t="n">
        <v>1500000</v>
      </c>
      <c r="G13" s="28" t="inlineStr">
        <is>
          <t>Land subscription still paying / refund / no completed status — receipts deferred</t>
        </is>
      </c>
      <c r="H13" s="27" t="n">
        <v>0</v>
      </c>
      <c r="I13" s="27" t="n">
        <v>0</v>
      </c>
      <c r="J13" s="27" t="n">
        <v>0</v>
      </c>
      <c r="K13" s="27" t="n">
        <v>0</v>
      </c>
      <c r="L13" s="27" t="n">
        <v>0</v>
      </c>
      <c r="M13" s="27" t="n">
        <v>0</v>
      </c>
      <c r="N13" s="27" t="n">
        <v>0</v>
      </c>
      <c r="O13" s="27" t="n">
        <v>0</v>
      </c>
    </row>
    <row r="14">
      <c r="A14" s="26" t="inlineStr">
        <is>
          <t>SB0013</t>
        </is>
      </c>
      <c r="B14" s="26" t="inlineStr">
        <is>
          <t>Mr. Taiwo John Adeleye.</t>
        </is>
      </c>
      <c r="C14" s="26" t="inlineStr">
        <is>
          <t>Land</t>
        </is>
      </c>
      <c r="D14" s="26" t="inlineStr">
        <is>
          <t>Green City Phase 1 (Lantaba, Ketu-Epe)</t>
        </is>
      </c>
      <c r="E14" s="26" t="inlineStr">
        <is>
          <t>BOUGHT</t>
        </is>
      </c>
      <c r="F14" s="27" t="n">
        <v>1500000</v>
      </c>
      <c r="G14" s="28" t="inlineStr">
        <is>
          <t>Land control transferred (allocated / bought). Revenue at contract value</t>
        </is>
      </c>
      <c r="H14" s="27" t="n">
        <v>0</v>
      </c>
      <c r="I14" s="27" t="n">
        <v>5455000</v>
      </c>
      <c r="J14" s="27" t="n">
        <v>0</v>
      </c>
      <c r="K14" s="27" t="n">
        <v>0</v>
      </c>
      <c r="L14" s="27" t="n">
        <v>0</v>
      </c>
      <c r="M14" s="27" t="n">
        <v>0</v>
      </c>
      <c r="N14" s="27" t="n">
        <v>0</v>
      </c>
      <c r="O14" s="27" t="n">
        <v>5455000</v>
      </c>
    </row>
    <row r="15">
      <c r="A15" s="26" t="inlineStr">
        <is>
          <t>SB0014</t>
        </is>
      </c>
      <c r="B15" s="26" t="inlineStr">
        <is>
          <t>Mr Sunday Gideon</t>
        </is>
      </c>
      <c r="C15" s="26" t="inlineStr">
        <is>
          <t>Land</t>
        </is>
      </c>
      <c r="D15" s="26" t="inlineStr">
        <is>
          <t>Green City Phase 1 (Lantaba, Ketu-Epe)</t>
        </is>
      </c>
      <c r="E15" s="26" t="inlineStr">
        <is>
          <t>BOUGHT</t>
        </is>
      </c>
      <c r="F15" s="27" t="n">
        <v>1500000</v>
      </c>
      <c r="G15" s="28" t="inlineStr">
        <is>
          <t>Land control transferred (allocated / bought). Revenue at contract value</t>
        </is>
      </c>
      <c r="H15" s="27" t="n">
        <v>1500000</v>
      </c>
      <c r="I15" s="27" t="n">
        <v>0</v>
      </c>
      <c r="J15" s="27" t="n">
        <v>0</v>
      </c>
      <c r="K15" s="27" t="n">
        <v>1500000</v>
      </c>
      <c r="L15" s="27" t="n">
        <v>0</v>
      </c>
      <c r="M15" s="27" t="n">
        <v>0</v>
      </c>
      <c r="N15" s="27" t="n">
        <v>0</v>
      </c>
      <c r="O15" s="27" t="n">
        <v>0</v>
      </c>
    </row>
    <row r="16">
      <c r="A16" s="26" t="inlineStr">
        <is>
          <t>SB0015</t>
        </is>
      </c>
      <c r="B16" s="26" t="inlineStr">
        <is>
          <t>Mr Adebowale Oluwapelumi Joseph</t>
        </is>
      </c>
      <c r="C16" s="26" t="inlineStr">
        <is>
          <t>Land</t>
        </is>
      </c>
      <c r="D16" s="26" t="inlineStr">
        <is>
          <t>Green City Phase 1 (Lantaba, Ketu-Epe)</t>
        </is>
      </c>
      <c r="E16" s="26" t="inlineStr">
        <is>
          <t>BOUGHT</t>
        </is>
      </c>
      <c r="F16" s="27" t="n">
        <v>3600000</v>
      </c>
      <c r="G16" s="28" t="inlineStr">
        <is>
          <t>Land control transferred (allocated / bought). Revenue at contract value</t>
        </is>
      </c>
      <c r="H16" s="27" t="n">
        <v>0</v>
      </c>
      <c r="I16" s="27" t="n">
        <v>0</v>
      </c>
      <c r="J16" s="27" t="n">
        <v>0</v>
      </c>
      <c r="K16" s="27" t="n">
        <v>0</v>
      </c>
      <c r="L16" s="27" t="n">
        <v>0</v>
      </c>
      <c r="M16" s="27" t="n">
        <v>0</v>
      </c>
      <c r="N16" s="27" t="n">
        <v>0</v>
      </c>
      <c r="O16" s="27" t="n">
        <v>0</v>
      </c>
    </row>
    <row r="17">
      <c r="A17" s="26" t="inlineStr">
        <is>
          <t>SB0016</t>
        </is>
      </c>
      <c r="B17" s="26" t="inlineStr">
        <is>
          <t>Mr Oyewole Sheriff Oyewusi</t>
        </is>
      </c>
      <c r="C17" s="26" t="inlineStr">
        <is>
          <t>Land</t>
        </is>
      </c>
      <c r="D17" s="26" t="inlineStr">
        <is>
          <t>Green City Phase 1 (Lantaba, Ketu-Epe)</t>
        </is>
      </c>
      <c r="E17" s="26" t="inlineStr">
        <is>
          <t>BOUGHT</t>
        </is>
      </c>
      <c r="F17" s="27" t="n">
        <v>3600000</v>
      </c>
      <c r="G17" s="28" t="inlineStr">
        <is>
          <t>Land control transferred (allocated / bought). Revenue at contract value</t>
        </is>
      </c>
      <c r="H17" s="27" t="n">
        <v>3600000</v>
      </c>
      <c r="I17" s="27" t="n">
        <v>0</v>
      </c>
      <c r="J17" s="27" t="n">
        <v>0</v>
      </c>
      <c r="K17" s="27" t="n">
        <v>3600000</v>
      </c>
      <c r="L17" s="27" t="n">
        <v>0</v>
      </c>
      <c r="M17" s="27" t="n">
        <v>0</v>
      </c>
      <c r="N17" s="27" t="n">
        <v>0</v>
      </c>
      <c r="O17" s="27" t="n">
        <v>0</v>
      </c>
    </row>
    <row r="18">
      <c r="A18" s="26" t="inlineStr">
        <is>
          <t>SB0017</t>
        </is>
      </c>
      <c r="B18" s="26" t="inlineStr">
        <is>
          <t>Mr Folaranmi Olatunde</t>
        </is>
      </c>
      <c r="C18" s="26" t="inlineStr">
        <is>
          <t>Land</t>
        </is>
      </c>
      <c r="D18" s="26" t="inlineStr">
        <is>
          <t>Green City Phase 1 (Lantaba, Ketu-Epe)</t>
        </is>
      </c>
      <c r="E18" s="26" t="inlineStr">
        <is>
          <t>BOUGHT</t>
        </is>
      </c>
      <c r="F18" s="27" t="n">
        <v>1500000</v>
      </c>
      <c r="G18" s="28" t="inlineStr">
        <is>
          <t>Land control transferred (allocated / bought). Revenue at contract value</t>
        </is>
      </c>
      <c r="H18" s="27" t="n">
        <v>0</v>
      </c>
      <c r="I18" s="27" t="n">
        <v>0</v>
      </c>
      <c r="J18" s="27" t="n">
        <v>0</v>
      </c>
      <c r="K18" s="27" t="n">
        <v>0</v>
      </c>
      <c r="L18" s="27" t="n">
        <v>0</v>
      </c>
      <c r="M18" s="27" t="n">
        <v>0</v>
      </c>
      <c r="N18" s="27" t="n">
        <v>0</v>
      </c>
      <c r="O18" s="27" t="n">
        <v>0</v>
      </c>
    </row>
    <row r="19">
      <c r="A19" s="26" t="inlineStr">
        <is>
          <t>SB0018</t>
        </is>
      </c>
      <c r="B19" s="26" t="inlineStr">
        <is>
          <t>MR KOREDE ADESE</t>
        </is>
      </c>
      <c r="C19" s="26" t="inlineStr">
        <is>
          <t>Land</t>
        </is>
      </c>
      <c r="D19" s="26" t="inlineStr">
        <is>
          <t>Green City Phase 1 (Lantaba, Ketu-Epe)</t>
        </is>
      </c>
      <c r="E19" s="26" t="inlineStr">
        <is>
          <t>BOUGHT</t>
        </is>
      </c>
      <c r="F19" s="27" t="n">
        <v>3000000</v>
      </c>
      <c r="G19" s="28" t="inlineStr">
        <is>
          <t>Land control transferred (allocated / bought). Revenue at contract value</t>
        </is>
      </c>
      <c r="H19" s="27" t="n">
        <v>0</v>
      </c>
      <c r="I19" s="27" t="n">
        <v>0</v>
      </c>
      <c r="J19" s="27" t="n">
        <v>0</v>
      </c>
      <c r="K19" s="27" t="n">
        <v>0</v>
      </c>
      <c r="L19" s="27" t="n">
        <v>0</v>
      </c>
      <c r="M19" s="27" t="n">
        <v>0</v>
      </c>
      <c r="N19" s="27" t="n">
        <v>0</v>
      </c>
      <c r="O19" s="27" t="n">
        <v>0</v>
      </c>
    </row>
    <row r="20">
      <c r="A20" s="26" t="inlineStr">
        <is>
          <t>SB0019</t>
        </is>
      </c>
      <c r="B20" s="26" t="inlineStr">
        <is>
          <t>Ms Peace Ikpotokin</t>
        </is>
      </c>
      <c r="C20" s="26" t="inlineStr">
        <is>
          <t>Land</t>
        </is>
      </c>
      <c r="D20" s="26" t="inlineStr">
        <is>
          <t>Green City Phase 1 (Lantaba, Ketu-Epe)</t>
        </is>
      </c>
      <c r="E20" s="26" t="inlineStr">
        <is>
          <t>PROMISE</t>
        </is>
      </c>
      <c r="F20" s="27" t="n">
        <v>3600000</v>
      </c>
      <c r="G20" s="28" t="inlineStr">
        <is>
          <t>Land subscription still paying / refund / no completed status — receipts deferred</t>
        </is>
      </c>
      <c r="H20" s="27" t="n">
        <v>0</v>
      </c>
      <c r="I20" s="27" t="n">
        <v>0</v>
      </c>
      <c r="J20" s="27" t="n">
        <v>0</v>
      </c>
      <c r="K20" s="27" t="n">
        <v>0</v>
      </c>
      <c r="L20" s="27" t="n">
        <v>0</v>
      </c>
      <c r="M20" s="27" t="n">
        <v>0</v>
      </c>
      <c r="N20" s="27" t="n">
        <v>0</v>
      </c>
      <c r="O20" s="27" t="n">
        <v>0</v>
      </c>
    </row>
    <row r="21">
      <c r="A21" s="26" t="inlineStr">
        <is>
          <t>SB0020</t>
        </is>
      </c>
      <c r="B21" s="26" t="inlineStr">
        <is>
          <t>Mrs Obadara Dorcas Adebisi</t>
        </is>
      </c>
      <c r="C21" s="26" t="inlineStr">
        <is>
          <t>Land</t>
        </is>
      </c>
      <c r="D21" s="26" t="inlineStr">
        <is>
          <t>Green City Phase 1 (Lantaba, Ketu-Epe)</t>
        </is>
      </c>
      <c r="E21" s="26" t="inlineStr">
        <is>
          <t>BOUGHT</t>
        </is>
      </c>
      <c r="F21" s="27" t="n">
        <v>4320000</v>
      </c>
      <c r="G21" s="28" t="inlineStr">
        <is>
          <t>Land control transferred (allocated / bought). Revenue at contract value</t>
        </is>
      </c>
      <c r="H21" s="27" t="n">
        <v>1500000</v>
      </c>
      <c r="I21" s="27" t="n">
        <v>135000</v>
      </c>
      <c r="J21" s="27" t="n">
        <v>0</v>
      </c>
      <c r="K21" s="27" t="n">
        <v>1500000</v>
      </c>
      <c r="L21" s="27" t="n">
        <v>0</v>
      </c>
      <c r="M21" s="27" t="n">
        <v>0</v>
      </c>
      <c r="N21" s="27" t="n">
        <v>0</v>
      </c>
      <c r="O21" s="27" t="n">
        <v>135000</v>
      </c>
    </row>
    <row r="22">
      <c r="A22" s="26" t="inlineStr">
        <is>
          <t>SB0021</t>
        </is>
      </c>
      <c r="B22" s="26" t="inlineStr">
        <is>
          <t>Mr Edun Ayobami Simeon and bro</t>
        </is>
      </c>
      <c r="C22" s="26" t="inlineStr">
        <is>
          <t>Land</t>
        </is>
      </c>
      <c r="D22" s="26" t="inlineStr">
        <is>
          <t>Green City Phase 1 (Lantaba, Ketu-Epe)</t>
        </is>
      </c>
      <c r="E22" s="26" t="inlineStr">
        <is>
          <t>BOUGHT</t>
        </is>
      </c>
      <c r="F22" s="27" t="n">
        <v>1500000</v>
      </c>
      <c r="G22" s="28" t="inlineStr">
        <is>
          <t>Land control transferred (allocated / bought). Revenue at contract value</t>
        </is>
      </c>
      <c r="H22" s="27" t="n">
        <v>2400000</v>
      </c>
      <c r="I22" s="27" t="n">
        <v>6000000</v>
      </c>
      <c r="J22" s="27" t="n">
        <v>0</v>
      </c>
      <c r="K22" s="27" t="n">
        <v>1500000</v>
      </c>
      <c r="L22" s="27" t="n">
        <v>0</v>
      </c>
      <c r="M22" s="27" t="n">
        <v>0</v>
      </c>
      <c r="N22" s="27" t="n">
        <v>0</v>
      </c>
      <c r="O22" s="27" t="n">
        <v>6900000</v>
      </c>
    </row>
    <row r="23">
      <c r="A23" s="26" t="inlineStr">
        <is>
          <t>SB0022</t>
        </is>
      </c>
      <c r="B23" s="26" t="inlineStr">
        <is>
          <t>Mr &amp; Mrs Adebayo Dada</t>
        </is>
      </c>
      <c r="C23" s="26" t="inlineStr">
        <is>
          <t>Land</t>
        </is>
      </c>
      <c r="D23" s="26" t="inlineStr">
        <is>
          <t>Green City Phase 1 (Lantaba, Ketu-Epe)</t>
        </is>
      </c>
      <c r="E23" s="26" t="inlineStr">
        <is>
          <t>BOUGHT</t>
        </is>
      </c>
      <c r="F23" s="27" t="n">
        <v>8400000</v>
      </c>
      <c r="G23" s="28" t="inlineStr">
        <is>
          <t>Land control transferred (allocated / bought). Revenue at contract value</t>
        </is>
      </c>
      <c r="H23" s="27" t="n">
        <v>1400000</v>
      </c>
      <c r="I23" s="27" t="n">
        <v>2000000</v>
      </c>
      <c r="J23" s="27" t="n">
        <v>0</v>
      </c>
      <c r="K23" s="27" t="n">
        <v>1400000</v>
      </c>
      <c r="L23" s="27" t="n">
        <v>0</v>
      </c>
      <c r="M23" s="27" t="n">
        <v>0</v>
      </c>
      <c r="N23" s="27" t="n">
        <v>0</v>
      </c>
      <c r="O23" s="27" t="n">
        <v>2000000</v>
      </c>
    </row>
    <row r="24">
      <c r="A24" s="26" t="inlineStr">
        <is>
          <t>SB0023</t>
        </is>
      </c>
      <c r="B24" s="26" t="inlineStr">
        <is>
          <t>Mr Eguavoen Harrison</t>
        </is>
      </c>
      <c r="C24" s="26" t="inlineStr">
        <is>
          <t>Land</t>
        </is>
      </c>
      <c r="D24" s="26" t="inlineStr">
        <is>
          <t>Green City Agbowa</t>
        </is>
      </c>
      <c r="E24" s="26" t="inlineStr">
        <is>
          <t>REFUND</t>
        </is>
      </c>
      <c r="F24" s="27" t="n">
        <v>750000</v>
      </c>
      <c r="G24" s="28" t="inlineStr">
        <is>
          <t>Land subscription still paying / refund / no completed status — receipts deferred</t>
        </is>
      </c>
      <c r="H24" s="27" t="n">
        <v>0</v>
      </c>
      <c r="I24" s="27" t="n">
        <v>0</v>
      </c>
      <c r="J24" s="27" t="n">
        <v>0</v>
      </c>
      <c r="K24" s="27" t="n">
        <v>0</v>
      </c>
      <c r="L24" s="27" t="n">
        <v>0</v>
      </c>
      <c r="M24" s="27" t="n">
        <v>0</v>
      </c>
      <c r="N24" s="27" t="n">
        <v>0</v>
      </c>
      <c r="O24" s="27" t="n">
        <v>0</v>
      </c>
    </row>
    <row r="25">
      <c r="A25" s="26" t="inlineStr">
        <is>
          <t>SB0024</t>
        </is>
      </c>
      <c r="B25" s="26" t="inlineStr">
        <is>
          <t>Mr Tomiwa Ibiks *********</t>
        </is>
      </c>
      <c r="C25" s="26" t="inlineStr">
        <is>
          <t>Land</t>
        </is>
      </c>
      <c r="D25" s="26" t="inlineStr">
        <is>
          <t>Green City Phase 1 (Lantaba, Ketu-Epe)</t>
        </is>
      </c>
      <c r="E25" s="26" t="inlineStr">
        <is>
          <t>PAYING</t>
        </is>
      </c>
      <c r="F25" s="27" t="n">
        <v>3600000</v>
      </c>
      <c r="G25" s="28" t="inlineStr">
        <is>
          <t>Land subscription still paying / refund / no completed status — receipts deferred</t>
        </is>
      </c>
      <c r="H25" s="27" t="n">
        <v>0</v>
      </c>
      <c r="I25" s="27" t="n">
        <v>0</v>
      </c>
      <c r="J25" s="27" t="n">
        <v>0</v>
      </c>
      <c r="K25" s="27" t="n">
        <v>0</v>
      </c>
      <c r="L25" s="27" t="n">
        <v>0</v>
      </c>
      <c r="M25" s="27" t="n">
        <v>0</v>
      </c>
      <c r="N25" s="27" t="n">
        <v>0</v>
      </c>
      <c r="O25" s="27" t="n">
        <v>0</v>
      </c>
    </row>
    <row r="26">
      <c r="A26" s="26" t="inlineStr">
        <is>
          <t>SB0025</t>
        </is>
      </c>
      <c r="B26" s="26" t="inlineStr">
        <is>
          <t>Mr Olumoko Oladapo Oluwaseun</t>
        </is>
      </c>
      <c r="C26" s="26" t="inlineStr">
        <is>
          <t>Land</t>
        </is>
      </c>
      <c r="D26" s="26" t="inlineStr">
        <is>
          <t>Green City Phase 1 (Lantaba, Ketu-Epe)</t>
        </is>
      </c>
      <c r="E26" s="26" t="inlineStr">
        <is>
          <t>BOUGHT</t>
        </is>
      </c>
      <c r="F26" s="27" t="n">
        <v>6000000</v>
      </c>
      <c r="G26" s="28" t="inlineStr">
        <is>
          <t>Land control transferred (allocated / bought). Revenue at contract value</t>
        </is>
      </c>
      <c r="H26" s="27" t="n">
        <v>2000000</v>
      </c>
      <c r="I26" s="27" t="n">
        <v>3800000</v>
      </c>
      <c r="J26" s="27" t="n">
        <v>0</v>
      </c>
      <c r="K26" s="27" t="n">
        <v>2000000</v>
      </c>
      <c r="L26" s="27" t="n">
        <v>0</v>
      </c>
      <c r="M26" s="27" t="n">
        <v>0</v>
      </c>
      <c r="N26" s="27" t="n">
        <v>0</v>
      </c>
      <c r="O26" s="27" t="n">
        <v>3800000</v>
      </c>
    </row>
    <row r="27">
      <c r="A27" s="26" t="inlineStr">
        <is>
          <t>SB0026</t>
        </is>
      </c>
      <c r="B27" s="26" t="inlineStr">
        <is>
          <t>Mrs Ndubuisi Ujunwa</t>
        </is>
      </c>
      <c r="C27" s="26" t="inlineStr">
        <is>
          <t>Land</t>
        </is>
      </c>
      <c r="D27" s="26" t="inlineStr">
        <is>
          <t>Green City Phase 1 (Lantaba, Ketu-Epe)</t>
        </is>
      </c>
      <c r="E27" s="26" t="inlineStr">
        <is>
          <t>BOUGHT</t>
        </is>
      </c>
      <c r="F27" s="27" t="n">
        <v>3900000</v>
      </c>
      <c r="G27" s="28" t="inlineStr">
        <is>
          <t>Land control transferred (allocated / bought). Revenue at contract value</t>
        </is>
      </c>
      <c r="H27" s="27" t="n">
        <v>1500000</v>
      </c>
      <c r="I27" s="27" t="n">
        <v>0</v>
      </c>
      <c r="J27" s="27" t="n">
        <v>0</v>
      </c>
      <c r="K27" s="27" t="n">
        <v>1500000</v>
      </c>
      <c r="L27" s="27" t="n">
        <v>0</v>
      </c>
      <c r="M27" s="27" t="n">
        <v>0</v>
      </c>
      <c r="N27" s="27" t="n">
        <v>0</v>
      </c>
      <c r="O27" s="27" t="n">
        <v>0</v>
      </c>
    </row>
    <row r="28">
      <c r="A28" s="26" t="inlineStr">
        <is>
          <t>SB0027</t>
        </is>
      </c>
      <c r="B28" s="26" t="inlineStr">
        <is>
          <t>Vacant</t>
        </is>
      </c>
      <c r="C28" s="26" t="inlineStr">
        <is>
          <t>Land</t>
        </is>
      </c>
      <c r="D28" s="26" t="inlineStr">
        <is>
          <t>Green City Phase 1 (Lantaba, Ketu-Epe)</t>
        </is>
      </c>
      <c r="E28" s="26" t="inlineStr">
        <is>
          <t>BOUGHT</t>
        </is>
      </c>
      <c r="F28" s="27" t="n">
        <v>1500000</v>
      </c>
      <c r="G28" s="28" t="inlineStr">
        <is>
          <t>Land control transferred (allocated / bought). Revenue at contract value</t>
        </is>
      </c>
      <c r="H28" s="27" t="n">
        <v>0</v>
      </c>
      <c r="I28" s="27" t="n">
        <v>0</v>
      </c>
      <c r="J28" s="27" t="n">
        <v>0</v>
      </c>
      <c r="K28" s="27" t="n">
        <v>0</v>
      </c>
      <c r="L28" s="27" t="n">
        <v>0</v>
      </c>
      <c r="M28" s="27" t="n">
        <v>0</v>
      </c>
      <c r="N28" s="27" t="n">
        <v>0</v>
      </c>
      <c r="O28" s="27" t="n">
        <v>0</v>
      </c>
    </row>
    <row r="29">
      <c r="A29" s="26" t="inlineStr">
        <is>
          <t>SB0028</t>
        </is>
      </c>
      <c r="B29" s="26" t="inlineStr">
        <is>
          <t>Miss Okezie Mandy Ifeoma</t>
        </is>
      </c>
      <c r="C29" s="26" t="inlineStr">
        <is>
          <t>Land</t>
        </is>
      </c>
      <c r="D29" s="26" t="inlineStr">
        <is>
          <t>Green City Phase 1 (Lantaba, Ketu-Epe)</t>
        </is>
      </c>
      <c r="E29" s="26" t="inlineStr">
        <is>
          <t>BOUGHT</t>
        </is>
      </c>
      <c r="F29" s="27" t="n">
        <v>4600000</v>
      </c>
      <c r="G29" s="28" t="inlineStr">
        <is>
          <t>Land control transferred (allocated / bought). Revenue at contract value</t>
        </is>
      </c>
      <c r="H29" s="27" t="n">
        <v>0</v>
      </c>
      <c r="I29" s="27" t="n">
        <v>1860000</v>
      </c>
      <c r="J29" s="27" t="n">
        <v>0</v>
      </c>
      <c r="K29" s="27" t="n">
        <v>0</v>
      </c>
      <c r="L29" s="27" t="n">
        <v>0</v>
      </c>
      <c r="M29" s="27" t="n">
        <v>0</v>
      </c>
      <c r="N29" s="27" t="n">
        <v>0</v>
      </c>
      <c r="O29" s="27" t="n">
        <v>1860000</v>
      </c>
    </row>
    <row r="30">
      <c r="A30" s="26" t="inlineStr">
        <is>
          <t>SB0029</t>
        </is>
      </c>
      <c r="B30" s="26" t="inlineStr">
        <is>
          <t>Bassey Christopher</t>
        </is>
      </c>
      <c r="C30" s="26" t="inlineStr">
        <is>
          <t>Land</t>
        </is>
      </c>
      <c r="D30" s="26" t="inlineStr">
        <is>
          <t>Green City Phase 1 (Lantaba, Ketu-Epe)</t>
        </is>
      </c>
      <c r="E30" s="26" t="inlineStr">
        <is>
          <t>BOUGHT</t>
        </is>
      </c>
      <c r="F30" s="27" t="n">
        <v>2000000</v>
      </c>
      <c r="G30" s="28" t="inlineStr">
        <is>
          <t>Land control transferred (allocated / bought). Revenue at contract value</t>
        </is>
      </c>
      <c r="H30" s="27" t="n">
        <v>12000000</v>
      </c>
      <c r="I30" s="27" t="n">
        <v>0</v>
      </c>
      <c r="J30" s="27" t="n">
        <v>0</v>
      </c>
      <c r="K30" s="27" t="n">
        <v>2000000</v>
      </c>
      <c r="L30" s="27" t="n">
        <v>0</v>
      </c>
      <c r="M30" s="27" t="n">
        <v>0</v>
      </c>
      <c r="N30" s="27" t="n">
        <v>0</v>
      </c>
      <c r="O30" s="27" t="n">
        <v>10000000</v>
      </c>
    </row>
    <row r="31">
      <c r="A31" s="26" t="inlineStr">
        <is>
          <t>SB0030</t>
        </is>
      </c>
      <c r="B31" s="26" t="inlineStr">
        <is>
          <t>Mr Ohanehi Anthony Chukwunonso</t>
        </is>
      </c>
      <c r="C31" s="26" t="inlineStr">
        <is>
          <t>Land</t>
        </is>
      </c>
      <c r="D31" s="26" t="inlineStr">
        <is>
          <t>Green City Phase 1 (Lantaba, Ketu-Epe)</t>
        </is>
      </c>
      <c r="E31" s="26" t="inlineStr">
        <is>
          <t>BOUGHT</t>
        </is>
      </c>
      <c r="F31" s="27" t="n">
        <v>3000000</v>
      </c>
      <c r="G31" s="28" t="inlineStr">
        <is>
          <t>Land control transferred (allocated / bought). Revenue at contract value</t>
        </is>
      </c>
      <c r="H31" s="27" t="n">
        <v>4966000</v>
      </c>
      <c r="I31" s="27" t="n">
        <v>9467000</v>
      </c>
      <c r="J31" s="27" t="n">
        <v>0</v>
      </c>
      <c r="K31" s="27" t="n">
        <v>3000000</v>
      </c>
      <c r="L31" s="27" t="n">
        <v>0</v>
      </c>
      <c r="M31" s="27" t="n">
        <v>0</v>
      </c>
      <c r="N31" s="27" t="n">
        <v>0</v>
      </c>
      <c r="O31" s="27" t="n">
        <v>11433000</v>
      </c>
    </row>
    <row r="32">
      <c r="A32" s="26" t="inlineStr">
        <is>
          <t>SB0031</t>
        </is>
      </c>
      <c r="B32" s="26" t="inlineStr">
        <is>
          <t>Ohumende Paul Osaze</t>
        </is>
      </c>
      <c r="C32" s="26" t="inlineStr">
        <is>
          <t>Land</t>
        </is>
      </c>
      <c r="D32" s="26" t="inlineStr">
        <is>
          <t>Green City Phase 1 (Lantaba, Ketu-Epe)</t>
        </is>
      </c>
      <c r="E32" s="26" t="inlineStr">
        <is>
          <t>BOUGHT</t>
        </is>
      </c>
      <c r="F32" s="27" t="n">
        <v>15000000</v>
      </c>
      <c r="G32" s="28" t="inlineStr">
        <is>
          <t>Land control transferred (allocated / bought). Revenue at contract value</t>
        </is>
      </c>
      <c r="H32" s="27" t="n">
        <v>6000000</v>
      </c>
      <c r="I32" s="27" t="n">
        <v>19100000</v>
      </c>
      <c r="J32" s="27" t="n">
        <v>0</v>
      </c>
      <c r="K32" s="27" t="n">
        <v>6000000</v>
      </c>
      <c r="L32" s="27" t="n">
        <v>0</v>
      </c>
      <c r="M32" s="27" t="n">
        <v>0</v>
      </c>
      <c r="N32" s="27" t="n">
        <v>0</v>
      </c>
      <c r="O32" s="27" t="n">
        <v>19100000</v>
      </c>
    </row>
    <row r="33">
      <c r="A33" s="26" t="inlineStr">
        <is>
          <t>SB0032</t>
        </is>
      </c>
      <c r="B33" s="26" t="inlineStr">
        <is>
          <t>Alhaji Badamasi Mohammadu</t>
        </is>
      </c>
      <c r="C33" s="26" t="inlineStr">
        <is>
          <t>Land</t>
        </is>
      </c>
      <c r="D33" s="26" t="inlineStr">
        <is>
          <t>Green City Phase 1 (Lantaba, Ketu-Epe)</t>
        </is>
      </c>
      <c r="E33" s="26" t="inlineStr">
        <is>
          <t>BOUGHT</t>
        </is>
      </c>
      <c r="F33" s="27" t="n">
        <v>27600000</v>
      </c>
      <c r="G33" s="28" t="inlineStr">
        <is>
          <t>Land control transferred (allocated / bought). Revenue at contract value</t>
        </is>
      </c>
      <c r="H33" s="27" t="n">
        <v>0</v>
      </c>
      <c r="I33" s="27" t="n">
        <v>0</v>
      </c>
      <c r="J33" s="27" t="n">
        <v>0</v>
      </c>
      <c r="K33" s="27" t="n">
        <v>0</v>
      </c>
      <c r="L33" s="27" t="n">
        <v>0</v>
      </c>
      <c r="M33" s="27" t="n">
        <v>0</v>
      </c>
      <c r="N33" s="27" t="n">
        <v>0</v>
      </c>
      <c r="O33" s="27" t="n">
        <v>0</v>
      </c>
    </row>
    <row r="34">
      <c r="A34" s="26" t="inlineStr">
        <is>
          <t>SB0033</t>
        </is>
      </c>
      <c r="B34" s="26" t="inlineStr">
        <is>
          <t>Mrs Oladiran Omolola Agnes</t>
        </is>
      </c>
      <c r="C34" s="26" t="inlineStr">
        <is>
          <t>Land</t>
        </is>
      </c>
      <c r="D34" s="26" t="inlineStr">
        <is>
          <t>Green City Agbowa</t>
        </is>
      </c>
      <c r="E34" s="26" t="inlineStr">
        <is>
          <t>CONVERT TO KETU 2</t>
        </is>
      </c>
      <c r="F34" s="27" t="n">
        <v>750000</v>
      </c>
      <c r="G34" s="28" t="inlineStr">
        <is>
          <t>Land subscription still paying / refund / no completed status — receipts deferred</t>
        </is>
      </c>
      <c r="H34" s="27" t="n">
        <v>0</v>
      </c>
      <c r="I34" s="27" t="n">
        <v>0</v>
      </c>
      <c r="J34" s="27" t="n">
        <v>0</v>
      </c>
      <c r="K34" s="27" t="n">
        <v>0</v>
      </c>
      <c r="L34" s="27" t="n">
        <v>0</v>
      </c>
      <c r="M34" s="27" t="n">
        <v>0</v>
      </c>
      <c r="N34" s="27" t="n">
        <v>0</v>
      </c>
      <c r="O34" s="27" t="n">
        <v>0</v>
      </c>
    </row>
    <row r="35">
      <c r="A35" s="26" t="inlineStr">
        <is>
          <t>SB0034</t>
        </is>
      </c>
      <c r="B35" s="26" t="inlineStr">
        <is>
          <t>Oluwase Babajide Victor</t>
        </is>
      </c>
      <c r="C35" s="26" t="inlineStr">
        <is>
          <t>Land</t>
        </is>
      </c>
      <c r="D35" s="26" t="inlineStr">
        <is>
          <t>Green City Phase 1 (Lantaba, Ketu-Epe)</t>
        </is>
      </c>
      <c r="E35" s="26" t="inlineStr">
        <is>
          <t>BOUGHT</t>
        </is>
      </c>
      <c r="F35" s="27" t="n">
        <v>5290000</v>
      </c>
      <c r="G35" s="28" t="inlineStr">
        <is>
          <t>Land control transferred (allocated / bought). Revenue at contract value</t>
        </is>
      </c>
      <c r="H35" s="27" t="n">
        <v>1200000</v>
      </c>
      <c r="I35" s="27" t="n">
        <v>4090000</v>
      </c>
      <c r="J35" s="27" t="n">
        <v>0</v>
      </c>
      <c r="K35" s="27" t="n">
        <v>1200000</v>
      </c>
      <c r="L35" s="27" t="n">
        <v>0</v>
      </c>
      <c r="M35" s="27" t="n">
        <v>0</v>
      </c>
      <c r="N35" s="27" t="n">
        <v>0</v>
      </c>
      <c r="O35" s="27" t="n">
        <v>4090000</v>
      </c>
    </row>
    <row r="36">
      <c r="A36" s="26" t="inlineStr">
        <is>
          <t>SB0035</t>
        </is>
      </c>
      <c r="B36" s="26" t="inlineStr">
        <is>
          <t>Mrs Oladiran Omolola</t>
        </is>
      </c>
      <c r="C36" s="26" t="inlineStr">
        <is>
          <t>Land</t>
        </is>
      </c>
      <c r="D36" s="26" t="inlineStr">
        <is>
          <t>Green City Phase 2 (Ketu-Epe)</t>
        </is>
      </c>
      <c r="E36" s="26" t="inlineStr">
        <is>
          <t>REFUND</t>
        </is>
      </c>
      <c r="F36" s="27" t="n">
        <v>1300000</v>
      </c>
      <c r="G36" s="28" t="inlineStr">
        <is>
          <t>Land subscription still paying / refund / no completed status — receipts deferred</t>
        </is>
      </c>
      <c r="H36" s="27" t="n">
        <v>0</v>
      </c>
      <c r="I36" s="27" t="n">
        <v>0</v>
      </c>
      <c r="J36" s="27" t="n">
        <v>0</v>
      </c>
      <c r="K36" s="27" t="n">
        <v>0</v>
      </c>
      <c r="L36" s="27" t="n">
        <v>0</v>
      </c>
      <c r="M36" s="27" t="n">
        <v>0</v>
      </c>
      <c r="N36" s="27" t="n">
        <v>0</v>
      </c>
      <c r="O36" s="27" t="n">
        <v>0</v>
      </c>
    </row>
    <row r="37">
      <c r="A37" s="26" t="inlineStr">
        <is>
          <t>SB0036</t>
        </is>
      </c>
      <c r="B37" s="26" t="inlineStr">
        <is>
          <t>Bolarinwa Iyanuoluwa Simon</t>
        </is>
      </c>
      <c r="C37" s="26" t="inlineStr">
        <is>
          <t>Land</t>
        </is>
      </c>
      <c r="D37" s="26" t="inlineStr">
        <is>
          <t>Green City Phase 1 (Lantaba, Ketu-Epe)</t>
        </is>
      </c>
      <c r="E37" s="26" t="inlineStr">
        <is>
          <t>BOUGHT</t>
        </is>
      </c>
      <c r="F37" s="27" t="n">
        <v>5290000</v>
      </c>
      <c r="G37" s="28" t="inlineStr">
        <is>
          <t>Land control transferred (allocated / bought). Revenue at contract value</t>
        </is>
      </c>
      <c r="H37" s="27" t="n">
        <v>1000000</v>
      </c>
      <c r="I37" s="27" t="n">
        <v>8430000</v>
      </c>
      <c r="J37" s="27" t="n">
        <v>0</v>
      </c>
      <c r="K37" s="27" t="n">
        <v>1000000</v>
      </c>
      <c r="L37" s="27" t="n">
        <v>0</v>
      </c>
      <c r="M37" s="27" t="n">
        <v>0</v>
      </c>
      <c r="N37" s="27" t="n">
        <v>0</v>
      </c>
      <c r="O37" s="27" t="n">
        <v>8430000</v>
      </c>
    </row>
    <row r="38">
      <c r="A38" s="26" t="inlineStr">
        <is>
          <t>SB0037</t>
        </is>
      </c>
      <c r="B38" s="26" t="inlineStr">
        <is>
          <t>Ms Paulina Kehinde Akhere George</t>
        </is>
      </c>
      <c r="C38" s="26" t="inlineStr">
        <is>
          <t>Housing</t>
        </is>
      </c>
      <c r="D38" s="26" t="inlineStr">
        <is>
          <t>Pacific Court</t>
        </is>
      </c>
      <c r="E38" s="26" t="inlineStr">
        <is>
          <t>PAID</t>
        </is>
      </c>
      <c r="F38" s="27" t="n">
        <v>21500000</v>
      </c>
      <c r="G38" s="28" t="inlineStr">
        <is>
          <t>Housing not yet handed over — receipts held as deferred income (contract liability)</t>
        </is>
      </c>
      <c r="H38" s="27" t="n">
        <v>16500000</v>
      </c>
      <c r="I38" s="27" t="n">
        <v>0</v>
      </c>
      <c r="J38" s="27" t="n">
        <v>0</v>
      </c>
      <c r="K38" s="27" t="n">
        <v>0</v>
      </c>
      <c r="L38" s="27" t="n">
        <v>0</v>
      </c>
      <c r="M38" s="27" t="n">
        <v>0</v>
      </c>
      <c r="N38" s="27" t="n">
        <v>0</v>
      </c>
      <c r="O38" s="27" t="n">
        <v>16500000</v>
      </c>
    </row>
    <row r="39">
      <c r="A39" s="26" t="inlineStr">
        <is>
          <t>SB0038</t>
        </is>
      </c>
      <c r="B39" s="26" t="inlineStr">
        <is>
          <t>Mr Araokonmi Sodiq Ayinla</t>
        </is>
      </c>
      <c r="C39" s="26" t="inlineStr">
        <is>
          <t>Land</t>
        </is>
      </c>
      <c r="D39" s="26" t="inlineStr">
        <is>
          <t>Green City Phase 1 (Lantaba, Ketu-Epe)</t>
        </is>
      </c>
      <c r="E39" s="26" t="inlineStr">
        <is>
          <t>BOUGHT</t>
        </is>
      </c>
      <c r="F39" s="27" t="n">
        <v>5040000</v>
      </c>
      <c r="G39" s="28" t="inlineStr">
        <is>
          <t>Land control transferred (allocated / bought). Revenue at contract value</t>
        </is>
      </c>
      <c r="H39" s="27" t="n">
        <v>2600000</v>
      </c>
      <c r="I39" s="27" t="n">
        <v>0</v>
      </c>
      <c r="J39" s="27" t="n">
        <v>0</v>
      </c>
      <c r="K39" s="27" t="n">
        <v>2600000</v>
      </c>
      <c r="L39" s="27" t="n">
        <v>0</v>
      </c>
      <c r="M39" s="27" t="n">
        <v>0</v>
      </c>
      <c r="N39" s="27" t="n">
        <v>0</v>
      </c>
      <c r="O39" s="27" t="n">
        <v>0</v>
      </c>
    </row>
    <row r="40">
      <c r="A40" s="26" t="inlineStr">
        <is>
          <t>SB0039</t>
        </is>
      </c>
      <c r="B40" s="26" t="inlineStr">
        <is>
          <t>Mr Ali Ifesinachi Innocent</t>
        </is>
      </c>
      <c r="C40" s="26" t="inlineStr">
        <is>
          <t>Land</t>
        </is>
      </c>
      <c r="D40" s="26" t="inlineStr">
        <is>
          <t>Green City Phase 1 (Lantaba, Ketu-Epe)</t>
        </is>
      </c>
      <c r="E40" s="26" t="inlineStr">
        <is>
          <t>BOUGHT</t>
        </is>
      </c>
      <c r="F40" s="27" t="n">
        <v>2743680</v>
      </c>
      <c r="G40" s="28" t="inlineStr">
        <is>
          <t>Land control transferred (allocated / bought). Revenue at contract value</t>
        </is>
      </c>
      <c r="H40" s="27" t="n">
        <v>5040000</v>
      </c>
      <c r="I40" s="27" t="n">
        <v>0</v>
      </c>
      <c r="J40" s="27" t="n">
        <v>0</v>
      </c>
      <c r="K40" s="27" t="n">
        <v>2743680</v>
      </c>
      <c r="L40" s="27" t="n">
        <v>0</v>
      </c>
      <c r="M40" s="27" t="n">
        <v>0</v>
      </c>
      <c r="N40" s="27" t="n">
        <v>0</v>
      </c>
      <c r="O40" s="27" t="n">
        <v>2296320</v>
      </c>
    </row>
    <row r="41">
      <c r="A41" s="26" t="inlineStr">
        <is>
          <t>SB0040</t>
        </is>
      </c>
      <c r="B41" s="26" t="inlineStr">
        <is>
          <t>Mr Atuanya Patrick Jideovo</t>
        </is>
      </c>
      <c r="C41" s="26" t="inlineStr">
        <is>
          <t>Land</t>
        </is>
      </c>
      <c r="D41" s="26" t="inlineStr">
        <is>
          <t>Green City Phase 1 (Lantaba, Ketu-Epe)</t>
        </is>
      </c>
      <c r="E41" s="26" t="inlineStr">
        <is>
          <t>BOUGHT</t>
        </is>
      </c>
      <c r="F41" s="27" t="n">
        <v>2600000</v>
      </c>
      <c r="G41" s="28" t="inlineStr">
        <is>
          <t>Land control transferred (allocated / bought). Revenue at contract value</t>
        </is>
      </c>
      <c r="H41" s="27" t="n">
        <v>0</v>
      </c>
      <c r="I41" s="27" t="n">
        <v>4000000</v>
      </c>
      <c r="J41" s="27" t="n">
        <v>0</v>
      </c>
      <c r="K41" s="27" t="n">
        <v>0</v>
      </c>
      <c r="L41" s="27" t="n">
        <v>0</v>
      </c>
      <c r="M41" s="27" t="n">
        <v>0</v>
      </c>
      <c r="N41" s="27" t="n">
        <v>0</v>
      </c>
      <c r="O41" s="27" t="n">
        <v>4000000</v>
      </c>
    </row>
    <row r="42">
      <c r="A42" s="26" t="inlineStr">
        <is>
          <t>SB0041</t>
        </is>
      </c>
      <c r="B42" s="26" t="inlineStr">
        <is>
          <t>MR KOREDE ADESE</t>
        </is>
      </c>
      <c r="C42" s="26" t="inlineStr">
        <is>
          <t>Land</t>
        </is>
      </c>
      <c r="D42" s="26" t="inlineStr">
        <is>
          <t>Green City Agbowa</t>
        </is>
      </c>
      <c r="E42" s="26" t="inlineStr">
        <is>
          <t>PAYING</t>
        </is>
      </c>
      <c r="F42" s="27" t="n">
        <v>2200000</v>
      </c>
      <c r="G42" s="28" t="inlineStr">
        <is>
          <t>Land subscription still paying / refund / no completed status — receipts deferred</t>
        </is>
      </c>
      <c r="H42" s="27" t="n">
        <v>0</v>
      </c>
      <c r="I42" s="27" t="n">
        <v>0</v>
      </c>
      <c r="J42" s="27" t="n">
        <v>0</v>
      </c>
      <c r="K42" s="27" t="n">
        <v>0</v>
      </c>
      <c r="L42" s="27" t="n">
        <v>0</v>
      </c>
      <c r="M42" s="27" t="n">
        <v>0</v>
      </c>
      <c r="N42" s="27" t="n">
        <v>0</v>
      </c>
      <c r="O42" s="27" t="n">
        <v>0</v>
      </c>
    </row>
    <row r="43">
      <c r="A43" s="26" t="inlineStr">
        <is>
          <t>SB0042</t>
        </is>
      </c>
      <c r="B43" s="26" t="inlineStr">
        <is>
          <t>Mr Ogunleye Olumide Victor</t>
        </is>
      </c>
      <c r="C43" s="26" t="inlineStr">
        <is>
          <t>Land</t>
        </is>
      </c>
      <c r="D43" s="26" t="inlineStr">
        <is>
          <t>Green City Agbowa</t>
        </is>
      </c>
      <c r="E43" s="26" t="inlineStr">
        <is>
          <t>PAYING</t>
        </is>
      </c>
      <c r="F43" s="27" t="n">
        <v>3000000</v>
      </c>
      <c r="G43" s="28" t="inlineStr">
        <is>
          <t>Land subscription still paying / refund / no completed status — receipts deferred</t>
        </is>
      </c>
      <c r="H43" s="27" t="n">
        <v>0</v>
      </c>
      <c r="I43" s="27" t="n">
        <v>5285000</v>
      </c>
      <c r="J43" s="27" t="n">
        <v>0</v>
      </c>
      <c r="K43" s="27" t="n">
        <v>0</v>
      </c>
      <c r="L43" s="27" t="n">
        <v>0</v>
      </c>
      <c r="M43" s="27" t="n">
        <v>0</v>
      </c>
      <c r="N43" s="27" t="n">
        <v>0</v>
      </c>
      <c r="O43" s="27" t="n">
        <v>5285000</v>
      </c>
    </row>
    <row r="44">
      <c r="A44" s="26" t="inlineStr">
        <is>
          <t>SB0043</t>
        </is>
      </c>
      <c r="B44" s="26" t="inlineStr">
        <is>
          <t>Mathias Ojoma Lilian</t>
        </is>
      </c>
      <c r="C44" s="26" t="inlineStr">
        <is>
          <t>Land</t>
        </is>
      </c>
      <c r="D44" s="26" t="inlineStr">
        <is>
          <t>Green City Phase 1 (Lantaba, Ketu-Epe)</t>
        </is>
      </c>
      <c r="E44" s="26" t="inlineStr">
        <is>
          <t>BOUGHT</t>
        </is>
      </c>
      <c r="F44" s="27" t="n">
        <v>5796000</v>
      </c>
      <c r="G44" s="28" t="inlineStr">
        <is>
          <t>Land control transferred (allocated / bought). Revenue at contract value</t>
        </is>
      </c>
      <c r="H44" s="27" t="n">
        <v>0</v>
      </c>
      <c r="I44" s="27" t="n">
        <v>1640000</v>
      </c>
      <c r="J44" s="27" t="n">
        <v>0</v>
      </c>
      <c r="K44" s="27" t="n">
        <v>0</v>
      </c>
      <c r="L44" s="27" t="n">
        <v>0</v>
      </c>
      <c r="M44" s="27" t="n">
        <v>0</v>
      </c>
      <c r="N44" s="27" t="n">
        <v>0</v>
      </c>
      <c r="O44" s="27" t="n">
        <v>1640000</v>
      </c>
    </row>
    <row r="45">
      <c r="A45" s="26" t="inlineStr">
        <is>
          <t>SB0044</t>
        </is>
      </c>
      <c r="B45" s="26" t="inlineStr">
        <is>
          <t>Mr Adegbembo Stephen Oluwagbemiga</t>
        </is>
      </c>
      <c r="C45" s="26" t="inlineStr">
        <is>
          <t>Land</t>
        </is>
      </c>
      <c r="D45" s="26" t="inlineStr">
        <is>
          <t>Green City Phase 1 (Lantaba, Ketu-Epe)</t>
        </is>
      </c>
      <c r="E45" s="26" t="inlineStr">
        <is>
          <t>BOUGHT</t>
        </is>
      </c>
      <c r="F45" s="27" t="n">
        <v>2640000</v>
      </c>
      <c r="G45" s="28" t="inlineStr">
        <is>
          <t>Land control transferred (allocated / bought). Revenue at contract value</t>
        </is>
      </c>
      <c r="H45" s="27" t="n">
        <v>0</v>
      </c>
      <c r="I45" s="27" t="n">
        <v>4500000</v>
      </c>
      <c r="J45" s="27" t="n">
        <v>0</v>
      </c>
      <c r="K45" s="27" t="n">
        <v>0</v>
      </c>
      <c r="L45" s="27" t="n">
        <v>0</v>
      </c>
      <c r="M45" s="27" t="n">
        <v>0</v>
      </c>
      <c r="N45" s="27" t="n">
        <v>0</v>
      </c>
      <c r="O45" s="27" t="n">
        <v>4500000</v>
      </c>
    </row>
    <row r="46">
      <c r="A46" s="26" t="inlineStr">
        <is>
          <t>SB0045</t>
        </is>
      </c>
      <c r="B46" s="26" t="inlineStr">
        <is>
          <t>Mr Ademola Adeniyi</t>
        </is>
      </c>
      <c r="C46" s="26" t="inlineStr">
        <is>
          <t>Land</t>
        </is>
      </c>
      <c r="D46" s="26" t="inlineStr">
        <is>
          <t>Green City Phase 1 (Lantaba, Ketu-Epe)</t>
        </is>
      </c>
      <c r="E46" s="26" t="inlineStr">
        <is>
          <t>BOUGHT</t>
        </is>
      </c>
      <c r="F46" s="27" t="n">
        <v>2640000</v>
      </c>
      <c r="G46" s="28" t="inlineStr">
        <is>
          <t>Land control transferred (allocated / bought). Revenue at contract value</t>
        </is>
      </c>
      <c r="H46" s="27" t="n">
        <v>0</v>
      </c>
      <c r="I46" s="27" t="n">
        <v>16535000</v>
      </c>
      <c r="J46" s="27" t="n">
        <v>0</v>
      </c>
      <c r="K46" s="27" t="n">
        <v>0</v>
      </c>
      <c r="L46" s="27" t="n">
        <v>0</v>
      </c>
      <c r="M46" s="27" t="n">
        <v>0</v>
      </c>
      <c r="N46" s="27" t="n">
        <v>0</v>
      </c>
      <c r="O46" s="27" t="n">
        <v>16535000</v>
      </c>
    </row>
    <row r="47">
      <c r="A47" s="26" t="inlineStr">
        <is>
          <t>SB0046</t>
        </is>
      </c>
      <c r="B47" s="26" t="inlineStr">
        <is>
          <t>Olasupo Oladimeji</t>
        </is>
      </c>
      <c r="C47" s="26" t="inlineStr">
        <is>
          <t>Land</t>
        </is>
      </c>
      <c r="D47" s="26" t="inlineStr">
        <is>
          <t>Green City Phase 1 (Lantaba, Ketu-Epe)</t>
        </is>
      </c>
      <c r="E47" s="26" t="inlineStr">
        <is>
          <t>BOUGHT</t>
        </is>
      </c>
      <c r="F47" s="27" t="n">
        <v>10000000</v>
      </c>
      <c r="G47" s="28" t="inlineStr">
        <is>
          <t>Land control transferred (allocated / bought). Revenue at contract value</t>
        </is>
      </c>
      <c r="H47" s="27" t="n">
        <v>0</v>
      </c>
      <c r="I47" s="27" t="n">
        <v>8385000</v>
      </c>
      <c r="J47" s="27" t="n">
        <v>0</v>
      </c>
      <c r="K47" s="27" t="n">
        <v>0</v>
      </c>
      <c r="L47" s="27" t="n">
        <v>0</v>
      </c>
      <c r="M47" s="27" t="n">
        <v>0</v>
      </c>
      <c r="N47" s="27" t="n">
        <v>0</v>
      </c>
      <c r="O47" s="27" t="n">
        <v>8385000</v>
      </c>
    </row>
    <row r="48">
      <c r="A48" s="26" t="inlineStr">
        <is>
          <t>SB0047</t>
        </is>
      </c>
      <c r="B48" s="26" t="inlineStr">
        <is>
          <t>Mr Adeuti Olanrewaju Babatunde</t>
        </is>
      </c>
      <c r="C48" s="26" t="inlineStr">
        <is>
          <t>Land</t>
        </is>
      </c>
      <c r="D48" s="26" t="inlineStr">
        <is>
          <t>Green City Phase 1 (Lantaba, Ketu-Epe)</t>
        </is>
      </c>
      <c r="E48" s="26" t="inlineStr">
        <is>
          <t>BOUGHT</t>
        </is>
      </c>
      <c r="F48" s="27" t="n">
        <v>5040000</v>
      </c>
      <c r="G48" s="28" t="inlineStr">
        <is>
          <t>Land control transferred (allocated / bought). Revenue at contract value</t>
        </is>
      </c>
      <c r="H48" s="27" t="n">
        <v>0</v>
      </c>
      <c r="I48" s="27" t="n">
        <v>2140000</v>
      </c>
      <c r="J48" s="27" t="n">
        <v>0</v>
      </c>
      <c r="K48" s="27" t="n">
        <v>0</v>
      </c>
      <c r="L48" s="27" t="n">
        <v>0</v>
      </c>
      <c r="M48" s="27" t="n">
        <v>0</v>
      </c>
      <c r="N48" s="27" t="n">
        <v>0</v>
      </c>
      <c r="O48" s="27" t="n">
        <v>2140000</v>
      </c>
    </row>
    <row r="49">
      <c r="A49" s="26" t="inlineStr">
        <is>
          <t>SB0048</t>
        </is>
      </c>
      <c r="B49" s="26" t="inlineStr">
        <is>
          <t>Mr Oniyide Olaoluwa</t>
        </is>
      </c>
      <c r="C49" s="26" t="inlineStr">
        <is>
          <t>Land</t>
        </is>
      </c>
      <c r="D49" s="26" t="inlineStr">
        <is>
          <t>Green City Phase 1 (Lantaba, Ketu-Epe)</t>
        </is>
      </c>
      <c r="E49" s="26" t="inlineStr">
        <is>
          <t>BOUGHT</t>
        </is>
      </c>
      <c r="F49" s="27" t="n">
        <v>5500000</v>
      </c>
      <c r="G49" s="28" t="inlineStr">
        <is>
          <t>Land control transferred (allocated / bought). Revenue at contract value</t>
        </is>
      </c>
      <c r="H49" s="27" t="n">
        <v>0</v>
      </c>
      <c r="I49" s="27" t="n">
        <v>135000</v>
      </c>
      <c r="J49" s="27" t="n">
        <v>0</v>
      </c>
      <c r="K49" s="27" t="n">
        <v>0</v>
      </c>
      <c r="L49" s="27" t="n">
        <v>0</v>
      </c>
      <c r="M49" s="27" t="n">
        <v>0</v>
      </c>
      <c r="N49" s="27" t="n">
        <v>0</v>
      </c>
      <c r="O49" s="27" t="n">
        <v>135000</v>
      </c>
    </row>
    <row r="50">
      <c r="A50" s="26" t="inlineStr">
        <is>
          <t>SB0049</t>
        </is>
      </c>
      <c r="B50" s="26" t="inlineStr">
        <is>
          <t>Elochukwu George</t>
        </is>
      </c>
      <c r="C50" s="26" t="inlineStr">
        <is>
          <t>Land</t>
        </is>
      </c>
      <c r="D50" s="26" t="inlineStr">
        <is>
          <t>Green City Phase 1 (Lantaba, Ketu-Epe)</t>
        </is>
      </c>
      <c r="E50" s="26" t="inlineStr">
        <is>
          <t>BOUGHT</t>
        </is>
      </c>
      <c r="F50" s="27" t="n">
        <v>10000000</v>
      </c>
      <c r="G50" s="28" t="inlineStr">
        <is>
          <t>Land control transferred (allocated / bought). Revenue at contract value</t>
        </is>
      </c>
      <c r="H50" s="27" t="n">
        <v>0</v>
      </c>
      <c r="I50" s="27" t="n">
        <v>4540000</v>
      </c>
      <c r="J50" s="27" t="n">
        <v>0</v>
      </c>
      <c r="K50" s="27" t="n">
        <v>0</v>
      </c>
      <c r="L50" s="27" t="n">
        <v>0</v>
      </c>
      <c r="M50" s="27" t="n">
        <v>0</v>
      </c>
      <c r="N50" s="27" t="n">
        <v>0</v>
      </c>
      <c r="O50" s="27" t="n">
        <v>4540000</v>
      </c>
    </row>
    <row r="51">
      <c r="A51" s="26" t="inlineStr">
        <is>
          <t>SB0050</t>
        </is>
      </c>
      <c r="B51" s="26" t="inlineStr">
        <is>
          <t>OGUNKOYA EMMANUEL</t>
        </is>
      </c>
      <c r="C51" s="26" t="inlineStr">
        <is>
          <t>Land</t>
        </is>
      </c>
      <c r="D51" s="26" t="inlineStr">
        <is>
          <t>Green City Phase 2 (Ketu-Epe)</t>
        </is>
      </c>
      <c r="E51" s="26" t="inlineStr">
        <is>
          <t>BOUGHT</t>
        </is>
      </c>
      <c r="F51" s="27" t="n">
        <v>1800000</v>
      </c>
      <c r="G51" s="28" t="inlineStr">
        <is>
          <t>Land control transferred (allocated / bought). Revenue at contract value</t>
        </is>
      </c>
      <c r="H51" s="27" t="n">
        <v>0</v>
      </c>
      <c r="I51" s="27" t="n">
        <v>1700000</v>
      </c>
      <c r="J51" s="27" t="n">
        <v>0</v>
      </c>
      <c r="K51" s="27" t="n">
        <v>0</v>
      </c>
      <c r="L51" s="27" t="n">
        <v>1800000</v>
      </c>
      <c r="M51" s="27" t="n">
        <v>0</v>
      </c>
      <c r="N51" s="27" t="n">
        <v>100000</v>
      </c>
      <c r="O51" s="27" t="n">
        <v>0</v>
      </c>
    </row>
    <row r="52">
      <c r="A52" s="26" t="inlineStr">
        <is>
          <t>SB0051</t>
        </is>
      </c>
      <c r="B52" s="26" t="inlineStr">
        <is>
          <t>TAIWO JOHN ADELEYE</t>
        </is>
      </c>
      <c r="C52" s="26" t="inlineStr">
        <is>
          <t>Land</t>
        </is>
      </c>
      <c r="D52" s="26" t="inlineStr">
        <is>
          <t>Green City Phase 2 (Ketu-Epe)</t>
        </is>
      </c>
      <c r="E52" s="26" t="inlineStr">
        <is>
          <t>BOUGHT</t>
        </is>
      </c>
      <c r="F52" s="27" t="n">
        <v>3500000</v>
      </c>
      <c r="G52" s="28" t="inlineStr">
        <is>
          <t>Land control transferred (allocated / bought). Revenue at contract value</t>
        </is>
      </c>
      <c r="H52" s="27" t="n">
        <v>0</v>
      </c>
      <c r="I52" s="27" t="n">
        <v>0</v>
      </c>
      <c r="J52" s="27" t="n">
        <v>0</v>
      </c>
      <c r="K52" s="27" t="n">
        <v>0</v>
      </c>
      <c r="L52" s="27" t="n">
        <v>0</v>
      </c>
      <c r="M52" s="27" t="n">
        <v>0</v>
      </c>
      <c r="N52" s="27" t="n">
        <v>0</v>
      </c>
      <c r="O52" s="27" t="n">
        <v>0</v>
      </c>
    </row>
    <row r="53">
      <c r="A53" s="26" t="inlineStr">
        <is>
          <t>SB0052</t>
        </is>
      </c>
      <c r="B53" s="26" t="inlineStr">
        <is>
          <t>Alabi Abdulazeez Toyosi</t>
        </is>
      </c>
      <c r="C53" s="26" t="inlineStr">
        <is>
          <t>Land</t>
        </is>
      </c>
      <c r="D53" s="26" t="inlineStr">
        <is>
          <t>Green City Phase 2 (Ketu-Epe)</t>
        </is>
      </c>
      <c r="E53" s="26" t="inlineStr">
        <is>
          <t>REFUND</t>
        </is>
      </c>
      <c r="F53" s="27" t="n">
        <v>1800000</v>
      </c>
      <c r="G53" s="28" t="inlineStr">
        <is>
          <t>Land subscription still paying / refund / no completed status — receipts deferred</t>
        </is>
      </c>
      <c r="H53" s="27" t="n">
        <v>1000000</v>
      </c>
      <c r="I53" s="27" t="n">
        <v>0</v>
      </c>
      <c r="J53" s="27" t="n">
        <v>0</v>
      </c>
      <c r="K53" s="27" t="n">
        <v>0</v>
      </c>
      <c r="L53" s="27" t="n">
        <v>0</v>
      </c>
      <c r="M53" s="27" t="n">
        <v>0</v>
      </c>
      <c r="N53" s="27" t="n">
        <v>0</v>
      </c>
      <c r="O53" s="27" t="n">
        <v>1000000</v>
      </c>
    </row>
    <row r="54">
      <c r="A54" s="26" t="inlineStr">
        <is>
          <t>SB0053</t>
        </is>
      </c>
      <c r="B54" s="26" t="inlineStr">
        <is>
          <t>Mr Agbaje Christopher Usiola</t>
        </is>
      </c>
      <c r="C54" s="26" t="inlineStr">
        <is>
          <t>Land</t>
        </is>
      </c>
      <c r="D54" s="26" t="inlineStr">
        <is>
          <t>Green City Phase 1 (Lantaba, Ketu-Epe)</t>
        </is>
      </c>
      <c r="E54" s="26" t="inlineStr">
        <is>
          <t>BOUGHT</t>
        </is>
      </c>
      <c r="F54" s="27" t="n">
        <v>5040000</v>
      </c>
      <c r="G54" s="28" t="inlineStr">
        <is>
          <t>Land control transferred (allocated / bought). Revenue at contract value</t>
        </is>
      </c>
      <c r="H54" s="27" t="n">
        <v>0</v>
      </c>
      <c r="I54" s="27" t="n">
        <v>4500000</v>
      </c>
      <c r="J54" s="27" t="n">
        <v>0</v>
      </c>
      <c r="K54" s="27" t="n">
        <v>0</v>
      </c>
      <c r="L54" s="27" t="n">
        <v>4500000</v>
      </c>
      <c r="M54" s="27" t="n">
        <v>0</v>
      </c>
      <c r="N54" s="27" t="n">
        <v>0</v>
      </c>
      <c r="O54" s="27" t="n">
        <v>0</v>
      </c>
    </row>
    <row r="55">
      <c r="A55" s="26" t="inlineStr">
        <is>
          <t>SB0054</t>
        </is>
      </c>
      <c r="B55" s="26" t="inlineStr">
        <is>
          <t>Omodara Adewale David</t>
        </is>
      </c>
      <c r="C55" s="26" t="inlineStr">
        <is>
          <t>Land</t>
        </is>
      </c>
      <c r="D55" s="26" t="inlineStr">
        <is>
          <t>Green City Phase 2 (Ketu-Epe)</t>
        </is>
      </c>
      <c r="E55" s="26" t="inlineStr">
        <is>
          <t>BOUGHT</t>
        </is>
      </c>
      <c r="F55" s="27" t="n">
        <v>3500000</v>
      </c>
      <c r="G55" s="28" t="inlineStr">
        <is>
          <t>Land control transferred (allocated / bought). Revenue at contract value</t>
        </is>
      </c>
      <c r="H55" s="27" t="n">
        <v>0</v>
      </c>
      <c r="I55" s="27" t="n">
        <v>3500000</v>
      </c>
      <c r="J55" s="27" t="n">
        <v>0</v>
      </c>
      <c r="K55" s="27" t="n">
        <v>0</v>
      </c>
      <c r="L55" s="27" t="n">
        <v>3500000</v>
      </c>
      <c r="M55" s="27" t="n">
        <v>0</v>
      </c>
      <c r="N55" s="27" t="n">
        <v>0</v>
      </c>
      <c r="O55" s="27" t="n">
        <v>0</v>
      </c>
    </row>
    <row r="56">
      <c r="A56" s="26" t="inlineStr">
        <is>
          <t>SB0055</t>
        </is>
      </c>
      <c r="B56" s="26" t="inlineStr">
        <is>
          <t>Okosun Damian</t>
        </is>
      </c>
      <c r="C56" s="26" t="inlineStr">
        <is>
          <t>Land</t>
        </is>
      </c>
      <c r="D56" s="26" t="inlineStr">
        <is>
          <t>Green City Phase 2 (Ketu-Epe)</t>
        </is>
      </c>
      <c r="E56" s="26" t="inlineStr">
        <is>
          <t>BOUGHT</t>
        </is>
      </c>
      <c r="F56" s="27" t="n">
        <v>1800000</v>
      </c>
      <c r="G56" s="28" t="inlineStr">
        <is>
          <t>Land control transferred (allocated / bought). Revenue at contract value</t>
        </is>
      </c>
      <c r="H56" s="27" t="n">
        <v>0</v>
      </c>
      <c r="I56" s="27" t="n">
        <v>1800000</v>
      </c>
      <c r="J56" s="27" t="n">
        <v>0</v>
      </c>
      <c r="K56" s="27" t="n">
        <v>0</v>
      </c>
      <c r="L56" s="27" t="n">
        <v>1800000</v>
      </c>
      <c r="M56" s="27" t="n">
        <v>0</v>
      </c>
      <c r="N56" s="27" t="n">
        <v>0</v>
      </c>
      <c r="O56" s="27" t="n">
        <v>0</v>
      </c>
    </row>
    <row r="57">
      <c r="A57" s="26" t="inlineStr">
        <is>
          <t>SB0056</t>
        </is>
      </c>
      <c r="B57" s="26" t="inlineStr">
        <is>
          <t>Mr Yusuf Saheed Taiwo</t>
        </is>
      </c>
      <c r="C57" s="26" t="inlineStr">
        <is>
          <t>Land</t>
        </is>
      </c>
      <c r="D57" s="26" t="inlineStr">
        <is>
          <t>Green City Phase 2 (Ketu-Epe)</t>
        </is>
      </c>
      <c r="E57" s="26" t="inlineStr">
        <is>
          <t>BOUGHT</t>
        </is>
      </c>
      <c r="F57" s="27" t="n">
        <v>1800000</v>
      </c>
      <c r="G57" s="28" t="inlineStr">
        <is>
          <t>Land control transferred (allocated / bought). Revenue at contract value</t>
        </is>
      </c>
      <c r="H57" s="27" t="n">
        <v>0</v>
      </c>
      <c r="I57" s="27" t="n">
        <v>1800000</v>
      </c>
      <c r="J57" s="27" t="n">
        <v>0</v>
      </c>
      <c r="K57" s="27" t="n">
        <v>0</v>
      </c>
      <c r="L57" s="27" t="n">
        <v>1800000</v>
      </c>
      <c r="M57" s="27" t="n">
        <v>0</v>
      </c>
      <c r="N57" s="27" t="n">
        <v>0</v>
      </c>
      <c r="O57" s="27" t="n">
        <v>0</v>
      </c>
    </row>
    <row r="58">
      <c r="A58" s="26" t="inlineStr">
        <is>
          <t>SB0057</t>
        </is>
      </c>
      <c r="B58" s="26" t="inlineStr">
        <is>
          <t>Miss Oji Blessing Mary</t>
        </is>
      </c>
      <c r="C58" s="26" t="inlineStr">
        <is>
          <t>Land</t>
        </is>
      </c>
      <c r="D58" s="26" t="inlineStr">
        <is>
          <t>Green City Phase 2 (Ketu-Epe)</t>
        </is>
      </c>
      <c r="E58" s="26" t="inlineStr">
        <is>
          <t>BOUGHT</t>
        </is>
      </c>
      <c r="F58" s="27" t="n">
        <v>3500000</v>
      </c>
      <c r="G58" s="28" t="inlineStr">
        <is>
          <t>Land control transferred (allocated / bought). Revenue at contract value</t>
        </is>
      </c>
      <c r="H58" s="27" t="n">
        <v>740000</v>
      </c>
      <c r="I58" s="27" t="n">
        <v>3740000</v>
      </c>
      <c r="J58" s="27" t="n">
        <v>0</v>
      </c>
      <c r="K58" s="27" t="n">
        <v>0</v>
      </c>
      <c r="L58" s="27" t="n">
        <v>3500000</v>
      </c>
      <c r="M58" s="27" t="n">
        <v>0</v>
      </c>
      <c r="N58" s="27" t="n">
        <v>0</v>
      </c>
      <c r="O58" s="27" t="n">
        <v>980000</v>
      </c>
    </row>
    <row r="59">
      <c r="A59" s="26" t="inlineStr">
        <is>
          <t>SB0058</t>
        </is>
      </c>
      <c r="B59" s="26" t="inlineStr">
        <is>
          <t>Miss Omosanya Dotun Akeju</t>
        </is>
      </c>
      <c r="C59" s="26" t="inlineStr">
        <is>
          <t>Land</t>
        </is>
      </c>
      <c r="D59" s="26" t="inlineStr">
        <is>
          <t>Green City Phase 2 (Ketu-Epe)</t>
        </is>
      </c>
      <c r="E59" s="26" t="inlineStr">
        <is>
          <t>BOUGHT</t>
        </is>
      </c>
      <c r="F59" s="27" t="n">
        <v>3500000</v>
      </c>
      <c r="G59" s="28" t="inlineStr">
        <is>
          <t>Land control transferred (allocated / bought). Revenue at contract value</t>
        </is>
      </c>
      <c r="H59" s="27" t="n">
        <v>0</v>
      </c>
      <c r="I59" s="27" t="n">
        <v>14000000</v>
      </c>
      <c r="J59" s="27" t="n">
        <v>0</v>
      </c>
      <c r="K59" s="27" t="n">
        <v>0</v>
      </c>
      <c r="L59" s="27" t="n">
        <v>3500000</v>
      </c>
      <c r="M59" s="27" t="n">
        <v>0</v>
      </c>
      <c r="N59" s="27" t="n">
        <v>0</v>
      </c>
      <c r="O59" s="27" t="n">
        <v>10500000</v>
      </c>
    </row>
    <row r="60">
      <c r="A60" s="26" t="inlineStr">
        <is>
          <t>SB0059</t>
        </is>
      </c>
      <c r="B60" s="26" t="inlineStr">
        <is>
          <t>Mr Odje Theophilus Bamidele</t>
        </is>
      </c>
      <c r="C60" s="26" t="inlineStr">
        <is>
          <t>Land</t>
        </is>
      </c>
      <c r="D60" s="26" t="inlineStr">
        <is>
          <t>Green City Phase 2 (Ketu-Epe)</t>
        </is>
      </c>
      <c r="E60" s="26" t="inlineStr">
        <is>
          <t>BOUGHT</t>
        </is>
      </c>
      <c r="F60" s="27" t="n">
        <v>3500000</v>
      </c>
      <c r="G60" s="28" t="inlineStr">
        <is>
          <t>Land control transferred (allocated / bought). Revenue at contract value</t>
        </is>
      </c>
      <c r="H60" s="27" t="n">
        <v>0</v>
      </c>
      <c r="I60" s="27" t="n">
        <v>3500000</v>
      </c>
      <c r="J60" s="27" t="n">
        <v>0</v>
      </c>
      <c r="K60" s="27" t="n">
        <v>0</v>
      </c>
      <c r="L60" s="27" t="n">
        <v>3500000</v>
      </c>
      <c r="M60" s="27" t="n">
        <v>0</v>
      </c>
      <c r="N60" s="27" t="n">
        <v>0</v>
      </c>
      <c r="O60" s="27" t="n">
        <v>0</v>
      </c>
    </row>
    <row r="61">
      <c r="A61" s="26" t="inlineStr">
        <is>
          <t>SB0060</t>
        </is>
      </c>
      <c r="B61" s="26" t="inlineStr">
        <is>
          <t>Miss Ebhotah Sharon Aisosa</t>
        </is>
      </c>
      <c r="C61" s="26" t="inlineStr">
        <is>
          <t>Land</t>
        </is>
      </c>
      <c r="D61" s="26" t="inlineStr">
        <is>
          <t>Green City Phase 2 (Ketu-Epe)</t>
        </is>
      </c>
      <c r="E61" s="26" t="inlineStr">
        <is>
          <t>BOUGHT</t>
        </is>
      </c>
      <c r="F61" s="27" t="n">
        <v>4000000</v>
      </c>
      <c r="G61" s="28" t="inlineStr">
        <is>
          <t>Land control transferred (allocated / bought). Revenue at contract value</t>
        </is>
      </c>
      <c r="H61" s="27" t="n">
        <v>0</v>
      </c>
      <c r="I61" s="27" t="n">
        <v>6875000</v>
      </c>
      <c r="J61" s="27" t="n">
        <v>0</v>
      </c>
      <c r="K61" s="27" t="n">
        <v>0</v>
      </c>
      <c r="L61" s="27" t="n">
        <v>4000000</v>
      </c>
      <c r="M61" s="27" t="n">
        <v>0</v>
      </c>
      <c r="N61" s="27" t="n">
        <v>0</v>
      </c>
      <c r="O61" s="27" t="n">
        <v>2875000</v>
      </c>
    </row>
    <row r="62">
      <c r="A62" s="26" t="inlineStr">
        <is>
          <t>SB0061</t>
        </is>
      </c>
      <c r="B62" s="26" t="inlineStr">
        <is>
          <t>Mr Daniel Ayodeji Adeogun</t>
        </is>
      </c>
      <c r="C62" s="26" t="inlineStr">
        <is>
          <t>Land</t>
        </is>
      </c>
      <c r="D62" s="26" t="inlineStr">
        <is>
          <t>Green City Phase 2 (Ketu-Epe)</t>
        </is>
      </c>
      <c r="E62" s="26" t="inlineStr">
        <is>
          <t>BOUGHT</t>
        </is>
      </c>
      <c r="F62" s="27" t="n">
        <v>3500000</v>
      </c>
      <c r="G62" s="28" t="inlineStr">
        <is>
          <t>Land control transferred (allocated / bought). Revenue at contract value</t>
        </is>
      </c>
      <c r="H62" s="27" t="n">
        <v>0</v>
      </c>
      <c r="I62" s="27" t="n">
        <v>3500000</v>
      </c>
      <c r="J62" s="27" t="n">
        <v>0</v>
      </c>
      <c r="K62" s="27" t="n">
        <v>0</v>
      </c>
      <c r="L62" s="27" t="n">
        <v>3500000</v>
      </c>
      <c r="M62" s="27" t="n">
        <v>0</v>
      </c>
      <c r="N62" s="27" t="n">
        <v>0</v>
      </c>
      <c r="O62" s="27" t="n">
        <v>0</v>
      </c>
    </row>
    <row r="63">
      <c r="A63" s="26" t="inlineStr">
        <is>
          <t>SB0062</t>
        </is>
      </c>
      <c r="B63" s="26" t="inlineStr">
        <is>
          <t>Mrs Oloniluyi Victoria Adetutu Iyabode</t>
        </is>
      </c>
      <c r="C63" s="26" t="inlineStr">
        <is>
          <t>Land</t>
        </is>
      </c>
      <c r="D63" s="26" t="inlineStr">
        <is>
          <t>Green City Phase 1 (Lantaba, Ketu-Epe)</t>
        </is>
      </c>
      <c r="E63" s="26" t="inlineStr">
        <is>
          <t>BOUGHT</t>
        </is>
      </c>
      <c r="F63" s="27" t="n">
        <v>3000000</v>
      </c>
      <c r="G63" s="28" t="inlineStr">
        <is>
          <t>Land control transferred (allocated / bought). Revenue at contract value</t>
        </is>
      </c>
      <c r="H63" s="27" t="n">
        <v>0</v>
      </c>
      <c r="I63" s="27" t="n">
        <v>7000000</v>
      </c>
      <c r="J63" s="27" t="n">
        <v>0</v>
      </c>
      <c r="K63" s="27" t="n">
        <v>0</v>
      </c>
      <c r="L63" s="27" t="n">
        <v>3000000</v>
      </c>
      <c r="M63" s="27" t="n">
        <v>0</v>
      </c>
      <c r="N63" s="27" t="n">
        <v>0</v>
      </c>
      <c r="O63" s="27" t="n">
        <v>4000000</v>
      </c>
    </row>
    <row r="64">
      <c r="A64" s="26" t="inlineStr">
        <is>
          <t>SB0063</t>
        </is>
      </c>
      <c r="B64" s="26" t="inlineStr">
        <is>
          <t>Miss Oyebola Moyosoreoluwa Boluwatife</t>
        </is>
      </c>
      <c r="C64" s="26" t="inlineStr">
        <is>
          <t>Land</t>
        </is>
      </c>
      <c r="D64" s="26" t="inlineStr">
        <is>
          <t>Green City Phase 2 (Ketu-Epe)</t>
        </is>
      </c>
      <c r="E64" s="26" t="inlineStr">
        <is>
          <t>BOUGHT</t>
        </is>
      </c>
      <c r="F64" s="27" t="n">
        <v>3000000</v>
      </c>
      <c r="G64" s="28" t="inlineStr">
        <is>
          <t>Land control transferred (allocated / bought). Revenue at contract value</t>
        </is>
      </c>
      <c r="H64" s="27" t="n">
        <v>0</v>
      </c>
      <c r="I64" s="27" t="n">
        <v>3000000</v>
      </c>
      <c r="J64" s="27" t="n">
        <v>0</v>
      </c>
      <c r="K64" s="27" t="n">
        <v>0</v>
      </c>
      <c r="L64" s="27" t="n">
        <v>3000000</v>
      </c>
      <c r="M64" s="27" t="n">
        <v>0</v>
      </c>
      <c r="N64" s="27" t="n">
        <v>0</v>
      </c>
      <c r="O64" s="27" t="n">
        <v>0</v>
      </c>
    </row>
    <row r="65">
      <c r="A65" s="26" t="inlineStr">
        <is>
          <t>SB0064</t>
        </is>
      </c>
      <c r="B65" s="26" t="inlineStr">
        <is>
          <t>Mr Oyebola Ajibola Ayobami</t>
        </is>
      </c>
      <c r="C65" s="26" t="inlineStr">
        <is>
          <t>Land</t>
        </is>
      </c>
      <c r="D65" s="26" t="inlineStr">
        <is>
          <t>Green City Phase 2 (Ketu-Epe)</t>
        </is>
      </c>
      <c r="E65" s="26" t="inlineStr">
        <is>
          <t>BOUGHT</t>
        </is>
      </c>
      <c r="F65" s="27" t="n">
        <v>3000000</v>
      </c>
      <c r="G65" s="28" t="inlineStr">
        <is>
          <t>Land control transferred (allocated / bought). Revenue at contract value</t>
        </is>
      </c>
      <c r="H65" s="27" t="n">
        <v>0</v>
      </c>
      <c r="I65" s="27" t="n">
        <v>3000000</v>
      </c>
      <c r="J65" s="27" t="n">
        <v>0</v>
      </c>
      <c r="K65" s="27" t="n">
        <v>0</v>
      </c>
      <c r="L65" s="27" t="n">
        <v>3000000</v>
      </c>
      <c r="M65" s="27" t="n">
        <v>0</v>
      </c>
      <c r="N65" s="27" t="n">
        <v>0</v>
      </c>
      <c r="O65" s="27" t="n">
        <v>0</v>
      </c>
    </row>
    <row r="66">
      <c r="A66" s="26" t="inlineStr">
        <is>
          <t>SB0065</t>
        </is>
      </c>
      <c r="B66" s="26" t="inlineStr">
        <is>
          <t>Mr Oyebola Temiloluwa Olayinka</t>
        </is>
      </c>
      <c r="C66" s="26" t="inlineStr">
        <is>
          <t>Land</t>
        </is>
      </c>
      <c r="D66" s="26" t="inlineStr">
        <is>
          <t>Green City Phase 2 (Ketu-Epe)</t>
        </is>
      </c>
      <c r="E66" s="26" t="inlineStr">
        <is>
          <t>BOUGHT</t>
        </is>
      </c>
      <c r="F66" s="27" t="n">
        <v>3000000</v>
      </c>
      <c r="G66" s="28" t="inlineStr">
        <is>
          <t>Land control transferred (allocated / bought). Revenue at contract value</t>
        </is>
      </c>
      <c r="H66" s="27" t="n">
        <v>0</v>
      </c>
      <c r="I66" s="27" t="n">
        <v>3000000</v>
      </c>
      <c r="J66" s="27" t="n">
        <v>0</v>
      </c>
      <c r="K66" s="27" t="n">
        <v>0</v>
      </c>
      <c r="L66" s="27" t="n">
        <v>3000000</v>
      </c>
      <c r="M66" s="27" t="n">
        <v>0</v>
      </c>
      <c r="N66" s="27" t="n">
        <v>0</v>
      </c>
      <c r="O66" s="27" t="n">
        <v>0</v>
      </c>
    </row>
    <row r="67">
      <c r="A67" s="26" t="inlineStr">
        <is>
          <t>SB0066</t>
        </is>
      </c>
      <c r="B67" s="26" t="inlineStr">
        <is>
          <t>Miss Ogidan funmilayo Jumoke</t>
        </is>
      </c>
      <c r="C67" s="26" t="inlineStr">
        <is>
          <t>Land</t>
        </is>
      </c>
      <c r="D67" s="26" t="inlineStr">
        <is>
          <t>Green City Phase 2 (Ketu-Epe)</t>
        </is>
      </c>
      <c r="E67" s="26" t="inlineStr">
        <is>
          <t>BOUGHT</t>
        </is>
      </c>
      <c r="F67" s="27" t="n">
        <v>1800000</v>
      </c>
      <c r="G67" s="28" t="inlineStr">
        <is>
          <t>Land control transferred (allocated / bought). Revenue at contract value</t>
        </is>
      </c>
      <c r="H67" s="27" t="n">
        <v>0</v>
      </c>
      <c r="I67" s="27" t="n">
        <v>1800000</v>
      </c>
      <c r="J67" s="27" t="n">
        <v>0</v>
      </c>
      <c r="K67" s="27" t="n">
        <v>0</v>
      </c>
      <c r="L67" s="27" t="n">
        <v>1800000</v>
      </c>
      <c r="M67" s="27" t="n">
        <v>0</v>
      </c>
      <c r="N67" s="27" t="n">
        <v>0</v>
      </c>
      <c r="O67" s="27" t="n">
        <v>0</v>
      </c>
    </row>
    <row r="68">
      <c r="A68" s="26" t="inlineStr">
        <is>
          <t>SB0067</t>
        </is>
      </c>
      <c r="B68" s="26" t="inlineStr">
        <is>
          <t>Ojo Ayomide Babatunde</t>
        </is>
      </c>
      <c r="C68" s="26" t="inlineStr">
        <is>
          <t>Land</t>
        </is>
      </c>
      <c r="D68" s="26" t="inlineStr">
        <is>
          <t>Green City Phase 2 (Ketu-Epe)</t>
        </is>
      </c>
      <c r="E68" s="26" t="inlineStr">
        <is>
          <t>BOUGHT</t>
        </is>
      </c>
      <c r="F68" s="27" t="n">
        <v>3500000</v>
      </c>
      <c r="G68" s="28" t="inlineStr">
        <is>
          <t>Land control transferred (allocated / bought). Revenue at contract value</t>
        </is>
      </c>
      <c r="H68" s="27" t="n">
        <v>0</v>
      </c>
      <c r="I68" s="27" t="n">
        <v>3500000</v>
      </c>
      <c r="J68" s="27" t="n">
        <v>0</v>
      </c>
      <c r="K68" s="27" t="n">
        <v>0</v>
      </c>
      <c r="L68" s="27" t="n">
        <v>3500000</v>
      </c>
      <c r="M68" s="27" t="n">
        <v>0</v>
      </c>
      <c r="N68" s="27" t="n">
        <v>0</v>
      </c>
      <c r="O68" s="27" t="n">
        <v>0</v>
      </c>
    </row>
    <row r="69">
      <c r="A69" s="26" t="inlineStr">
        <is>
          <t>SB0068</t>
        </is>
      </c>
      <c r="B69" s="26" t="inlineStr">
        <is>
          <t>Miss Bingham Kendra</t>
        </is>
      </c>
      <c r="C69" s="26" t="inlineStr">
        <is>
          <t>Land</t>
        </is>
      </c>
      <c r="D69" s="26" t="inlineStr">
        <is>
          <t>Green City Phase 1 (Lantaba, Ketu-Epe)</t>
        </is>
      </c>
      <c r="E69" s="26" t="inlineStr">
        <is>
          <t>BOUGHT</t>
        </is>
      </c>
      <c r="F69" s="27" t="n">
        <v>7000000</v>
      </c>
      <c r="G69" s="28" t="inlineStr">
        <is>
          <t>Land control transferred (allocated / bought). Revenue at contract value</t>
        </is>
      </c>
      <c r="H69" s="27" t="n">
        <v>0</v>
      </c>
      <c r="I69" s="27" t="n">
        <v>11100000</v>
      </c>
      <c r="J69" s="27" t="n">
        <v>0</v>
      </c>
      <c r="K69" s="27" t="n">
        <v>0</v>
      </c>
      <c r="L69" s="27" t="n">
        <v>7000000</v>
      </c>
      <c r="M69" s="27" t="n">
        <v>0</v>
      </c>
      <c r="N69" s="27" t="n">
        <v>0</v>
      </c>
      <c r="O69" s="27" t="n">
        <v>4100000</v>
      </c>
    </row>
    <row r="70">
      <c r="A70" s="26" t="inlineStr">
        <is>
          <t>SB0069</t>
        </is>
      </c>
      <c r="B70" s="26" t="inlineStr">
        <is>
          <t>Miss Bingham Kendra</t>
        </is>
      </c>
      <c r="C70" s="26" t="inlineStr">
        <is>
          <t>Land</t>
        </is>
      </c>
      <c r="D70" s="26" t="inlineStr">
        <is>
          <t>Green City Phase 2 (Ketu-Epe)</t>
        </is>
      </c>
      <c r="E70" s="26" t="inlineStr">
        <is>
          <t>BOUGHT</t>
        </is>
      </c>
      <c r="F70" s="27" t="n">
        <v>3500000</v>
      </c>
      <c r="G70" s="28" t="inlineStr">
        <is>
          <t>Land control transferred (allocated / bought). Revenue at contract value</t>
        </is>
      </c>
      <c r="H70" s="27" t="n">
        <v>0</v>
      </c>
      <c r="I70" s="27" t="n">
        <v>0</v>
      </c>
      <c r="J70" s="27" t="n">
        <v>0</v>
      </c>
      <c r="K70" s="27" t="n">
        <v>0</v>
      </c>
      <c r="L70" s="27" t="n">
        <v>0</v>
      </c>
      <c r="M70" s="27" t="n">
        <v>0</v>
      </c>
      <c r="N70" s="27" t="n">
        <v>0</v>
      </c>
      <c r="O70" s="27" t="n">
        <v>0</v>
      </c>
    </row>
    <row r="71">
      <c r="A71" s="26" t="inlineStr">
        <is>
          <t>SB0070</t>
        </is>
      </c>
      <c r="B71" s="26" t="inlineStr">
        <is>
          <t>Ukachi Florence Oluchi</t>
        </is>
      </c>
      <c r="C71" s="26" t="inlineStr">
        <is>
          <t>Land</t>
        </is>
      </c>
      <c r="D71" s="26" t="inlineStr">
        <is>
          <t>Green City Phase 2 (Ketu-Epe)</t>
        </is>
      </c>
      <c r="E71" s="26" t="inlineStr">
        <is>
          <t>BOUGHT</t>
        </is>
      </c>
      <c r="F71" s="27" t="n">
        <v>3500000</v>
      </c>
      <c r="G71" s="28" t="inlineStr">
        <is>
          <t>Land control transferred (allocated / bought). Revenue at contract value</t>
        </is>
      </c>
      <c r="H71" s="27" t="n">
        <v>0</v>
      </c>
      <c r="I71" s="27" t="n">
        <v>3500000</v>
      </c>
      <c r="J71" s="27" t="n">
        <v>0</v>
      </c>
      <c r="K71" s="27" t="n">
        <v>0</v>
      </c>
      <c r="L71" s="27" t="n">
        <v>3500000</v>
      </c>
      <c r="M71" s="27" t="n">
        <v>0</v>
      </c>
      <c r="N71" s="27" t="n">
        <v>0</v>
      </c>
      <c r="O71" s="27" t="n">
        <v>0</v>
      </c>
    </row>
    <row r="72">
      <c r="A72" s="26" t="inlineStr">
        <is>
          <t>SB0071</t>
        </is>
      </c>
      <c r="B72" s="26" t="inlineStr">
        <is>
          <t>Dr Ayansola Jeremiah Funso</t>
        </is>
      </c>
      <c r="C72" s="26" t="inlineStr">
        <is>
          <t>Land</t>
        </is>
      </c>
      <c r="D72" s="26" t="inlineStr">
        <is>
          <t>Green City Phase 2 (Ketu-Epe)</t>
        </is>
      </c>
      <c r="E72" s="26" t="inlineStr">
        <is>
          <t>BOUGHT</t>
        </is>
      </c>
      <c r="F72" s="27" t="n">
        <v>3500000</v>
      </c>
      <c r="G72" s="28" t="inlineStr">
        <is>
          <t>Land control transferred (allocated / bought). Revenue at contract value</t>
        </is>
      </c>
      <c r="H72" s="27" t="n">
        <v>0</v>
      </c>
      <c r="I72" s="27" t="n">
        <v>3500000</v>
      </c>
      <c r="J72" s="27" t="n">
        <v>0</v>
      </c>
      <c r="K72" s="27" t="n">
        <v>0</v>
      </c>
      <c r="L72" s="27" t="n">
        <v>3500000</v>
      </c>
      <c r="M72" s="27" t="n">
        <v>0</v>
      </c>
      <c r="N72" s="27" t="n">
        <v>0</v>
      </c>
      <c r="O72" s="27" t="n">
        <v>0</v>
      </c>
    </row>
    <row r="73">
      <c r="A73" s="26" t="inlineStr">
        <is>
          <t>SB0072</t>
        </is>
      </c>
      <c r="B73" s="26" t="inlineStr">
        <is>
          <t>Mr Ukachi Godfrey Ndukaku</t>
        </is>
      </c>
      <c r="C73" s="26" t="inlineStr">
        <is>
          <t>Land</t>
        </is>
      </c>
      <c r="D73" s="26" t="inlineStr">
        <is>
          <t>Green City Phase 2 (Ketu-Epe)</t>
        </is>
      </c>
      <c r="E73" s="26" t="inlineStr">
        <is>
          <t>BOUGHT</t>
        </is>
      </c>
      <c r="F73" s="27" t="n">
        <v>1800000</v>
      </c>
      <c r="G73" s="28" t="inlineStr">
        <is>
          <t>Land control transferred (allocated / bought). Revenue at contract value</t>
        </is>
      </c>
      <c r="H73" s="27" t="n">
        <v>0</v>
      </c>
      <c r="I73" s="27" t="n">
        <v>1800000</v>
      </c>
      <c r="J73" s="27" t="n">
        <v>0</v>
      </c>
      <c r="K73" s="27" t="n">
        <v>0</v>
      </c>
      <c r="L73" s="27" t="n">
        <v>1800000</v>
      </c>
      <c r="M73" s="27" t="n">
        <v>0</v>
      </c>
      <c r="N73" s="27" t="n">
        <v>0</v>
      </c>
      <c r="O73" s="27" t="n">
        <v>0</v>
      </c>
    </row>
    <row r="74">
      <c r="A74" s="26" t="inlineStr">
        <is>
          <t>SB0073</t>
        </is>
      </c>
      <c r="B74" s="26" t="inlineStr">
        <is>
          <t>Mrs Olarewaju Remilekun Mary</t>
        </is>
      </c>
      <c r="C74" s="26" t="inlineStr">
        <is>
          <t>Land</t>
        </is>
      </c>
      <c r="D74" s="26" t="inlineStr">
        <is>
          <t>Green City Phase 2 (Ketu-Epe)</t>
        </is>
      </c>
      <c r="E74" s="26" t="inlineStr">
        <is>
          <t>BOUGHT</t>
        </is>
      </c>
      <c r="F74" s="27" t="n">
        <v>3500000</v>
      </c>
      <c r="G74" s="28" t="inlineStr">
        <is>
          <t>Land control transferred (allocated / bought). Revenue at contract value</t>
        </is>
      </c>
      <c r="H74" s="27" t="n">
        <v>0</v>
      </c>
      <c r="I74" s="27" t="n">
        <v>3500000</v>
      </c>
      <c r="J74" s="27" t="n">
        <v>0</v>
      </c>
      <c r="K74" s="27" t="n">
        <v>0</v>
      </c>
      <c r="L74" s="27" t="n">
        <v>3500000</v>
      </c>
      <c r="M74" s="27" t="n">
        <v>0</v>
      </c>
      <c r="N74" s="27" t="n">
        <v>0</v>
      </c>
      <c r="O74" s="27" t="n">
        <v>0</v>
      </c>
    </row>
    <row r="75">
      <c r="A75" s="26" t="inlineStr">
        <is>
          <t>SB0074</t>
        </is>
      </c>
      <c r="B75" s="26" t="inlineStr">
        <is>
          <t>Mrs Yohanna Paulina</t>
        </is>
      </c>
      <c r="C75" s="26" t="inlineStr">
        <is>
          <t>Land</t>
        </is>
      </c>
      <c r="D75" s="26" t="inlineStr">
        <is>
          <t>Green City Phase 1 (Lantaba, Ketu-Epe)</t>
        </is>
      </c>
      <c r="E75" s="26" t="inlineStr">
        <is>
          <t>BOUGHT</t>
        </is>
      </c>
      <c r="F75" s="27" t="n">
        <v>7000000</v>
      </c>
      <c r="G75" s="28" t="inlineStr">
        <is>
          <t>Land control transferred (allocated / bought). Revenue at contract value</t>
        </is>
      </c>
      <c r="H75" s="27" t="n">
        <v>0</v>
      </c>
      <c r="I75" s="27" t="n">
        <v>5300000</v>
      </c>
      <c r="J75" s="27" t="n">
        <v>0</v>
      </c>
      <c r="K75" s="27" t="n">
        <v>0</v>
      </c>
      <c r="L75" s="27" t="n">
        <v>5300000</v>
      </c>
      <c r="M75" s="27" t="n">
        <v>0</v>
      </c>
      <c r="N75" s="27" t="n">
        <v>0</v>
      </c>
      <c r="O75" s="27" t="n">
        <v>0</v>
      </c>
    </row>
    <row r="76">
      <c r="A76" s="26" t="inlineStr">
        <is>
          <t>SB0075</t>
        </is>
      </c>
      <c r="B76" s="26" t="inlineStr">
        <is>
          <t>Mr Ogunleye Olumide Victor</t>
        </is>
      </c>
      <c r="C76" s="26" t="inlineStr">
        <is>
          <t>Land</t>
        </is>
      </c>
      <c r="D76" s="26" t="inlineStr">
        <is>
          <t>Green City Phase 1 (Lantaba, Ketu-Epe)</t>
        </is>
      </c>
      <c r="E76" s="26" t="inlineStr">
        <is>
          <t>BOUGHT</t>
        </is>
      </c>
      <c r="F76" s="27" t="n">
        <v>7600000</v>
      </c>
      <c r="G76" s="28" t="inlineStr">
        <is>
          <t>Land control transferred (allocated / bought). Revenue at contract value</t>
        </is>
      </c>
      <c r="H76" s="27" t="n">
        <v>0</v>
      </c>
      <c r="I76" s="27" t="n">
        <v>0</v>
      </c>
      <c r="J76" s="27" t="n">
        <v>0</v>
      </c>
      <c r="K76" s="27" t="n">
        <v>0</v>
      </c>
      <c r="L76" s="27" t="n">
        <v>0</v>
      </c>
      <c r="M76" s="27" t="n">
        <v>0</v>
      </c>
      <c r="N76" s="27" t="n">
        <v>0</v>
      </c>
      <c r="O76" s="27" t="n">
        <v>0</v>
      </c>
    </row>
    <row r="77">
      <c r="A77" s="26" t="inlineStr">
        <is>
          <t>SB0076</t>
        </is>
      </c>
      <c r="B77" s="26" t="inlineStr">
        <is>
          <t>Mr Ogunleye Olumide Victor</t>
        </is>
      </c>
      <c r="C77" s="26" t="inlineStr">
        <is>
          <t>Land</t>
        </is>
      </c>
      <c r="D77" s="26" t="inlineStr">
        <is>
          <t>Green City Phase 2 (Ketu-Epe)</t>
        </is>
      </c>
      <c r="E77" s="26" t="inlineStr">
        <is>
          <t>BOUGHT</t>
        </is>
      </c>
      <c r="F77" s="27" t="n">
        <v>3500000</v>
      </c>
      <c r="G77" s="28" t="inlineStr">
        <is>
          <t>Land control transferred (allocated / bought). Revenue at contract value</t>
        </is>
      </c>
      <c r="H77" s="27" t="n">
        <v>0</v>
      </c>
      <c r="I77" s="27" t="n">
        <v>0</v>
      </c>
      <c r="J77" s="27" t="n">
        <v>0</v>
      </c>
      <c r="K77" s="27" t="n">
        <v>0</v>
      </c>
      <c r="L77" s="27" t="n">
        <v>0</v>
      </c>
      <c r="M77" s="27" t="n">
        <v>0</v>
      </c>
      <c r="N77" s="27" t="n">
        <v>0</v>
      </c>
      <c r="O77" s="27" t="n">
        <v>0</v>
      </c>
    </row>
    <row r="78">
      <c r="A78" s="26" t="inlineStr">
        <is>
          <t>SB0077</t>
        </is>
      </c>
      <c r="B78" s="26" t="inlineStr">
        <is>
          <t>Mr Adegbayemu Ariyo Dennis</t>
        </is>
      </c>
      <c r="C78" s="26" t="inlineStr">
        <is>
          <t>Land</t>
        </is>
      </c>
      <c r="D78" s="26" t="inlineStr">
        <is>
          <t>Green City Phase 2 (Ketu-Epe)</t>
        </is>
      </c>
      <c r="E78" s="26" t="inlineStr">
        <is>
          <t>BOUGHT</t>
        </is>
      </c>
      <c r="F78" s="27" t="n">
        <v>7000000</v>
      </c>
      <c r="G78" s="28" t="inlineStr">
        <is>
          <t>Land control transferred (allocated / bought). Revenue at contract value</t>
        </is>
      </c>
      <c r="H78" s="27" t="n">
        <v>0</v>
      </c>
      <c r="I78" s="27" t="n">
        <v>2885000</v>
      </c>
      <c r="J78" s="27" t="n">
        <v>0</v>
      </c>
      <c r="K78" s="27" t="n">
        <v>0</v>
      </c>
      <c r="L78" s="27" t="n">
        <v>2885000</v>
      </c>
      <c r="M78" s="27" t="n">
        <v>0</v>
      </c>
      <c r="N78" s="27" t="n">
        <v>0</v>
      </c>
      <c r="O78" s="27" t="n">
        <v>0</v>
      </c>
    </row>
    <row r="79">
      <c r="A79" s="26" t="inlineStr">
        <is>
          <t>SB0078</t>
        </is>
      </c>
      <c r="B79" s="26" t="inlineStr">
        <is>
          <t>Mr Apiafi Imiebam</t>
        </is>
      </c>
      <c r="C79" s="26" t="inlineStr">
        <is>
          <t>Land</t>
        </is>
      </c>
      <c r="D79" s="26" t="inlineStr">
        <is>
          <t>Green City Phase 2 (Ketu-Epe)</t>
        </is>
      </c>
      <c r="E79" s="26" t="inlineStr">
        <is>
          <t>BOUGHT</t>
        </is>
      </c>
      <c r="F79" s="27" t="n">
        <v>3500000</v>
      </c>
      <c r="G79" s="28" t="inlineStr">
        <is>
          <t>Land control transferred (allocated / bought). Revenue at contract value</t>
        </is>
      </c>
      <c r="H79" s="27" t="n">
        <v>1000000</v>
      </c>
      <c r="I79" s="27" t="n">
        <v>3500000</v>
      </c>
      <c r="J79" s="27" t="n">
        <v>0</v>
      </c>
      <c r="K79" s="27" t="n">
        <v>0</v>
      </c>
      <c r="L79" s="27" t="n">
        <v>3500000</v>
      </c>
      <c r="M79" s="27" t="n">
        <v>0</v>
      </c>
      <c r="N79" s="27" t="n">
        <v>0</v>
      </c>
      <c r="O79" s="27" t="n">
        <v>1000000</v>
      </c>
    </row>
    <row r="80">
      <c r="A80" s="26" t="inlineStr">
        <is>
          <t>SB0079</t>
        </is>
      </c>
      <c r="B80" s="26" t="inlineStr">
        <is>
          <t>Mr. Adese Akorede John</t>
        </is>
      </c>
      <c r="C80" s="26" t="inlineStr">
        <is>
          <t>Land</t>
        </is>
      </c>
      <c r="D80" s="26" t="inlineStr">
        <is>
          <t>Green City Phase 2 (Ketu-Epe)</t>
        </is>
      </c>
      <c r="E80" s="26" t="inlineStr">
        <is>
          <t>BOUGHT</t>
        </is>
      </c>
      <c r="F80" s="27" t="n">
        <v>3000000</v>
      </c>
      <c r="G80" s="28" t="inlineStr">
        <is>
          <t>Land control transferred (allocated / bought). Revenue at contract value</t>
        </is>
      </c>
      <c r="H80" s="27" t="n">
        <v>1200000</v>
      </c>
      <c r="I80" s="27" t="n">
        <v>4890000</v>
      </c>
      <c r="J80" s="27" t="n">
        <v>0</v>
      </c>
      <c r="K80" s="27" t="n">
        <v>0</v>
      </c>
      <c r="L80" s="27" t="n">
        <v>3000000</v>
      </c>
      <c r="M80" s="27" t="n">
        <v>0</v>
      </c>
      <c r="N80" s="27" t="n">
        <v>0</v>
      </c>
      <c r="O80" s="27" t="n">
        <v>3090000</v>
      </c>
    </row>
    <row r="81">
      <c r="A81" s="26" t="inlineStr">
        <is>
          <t>SB0080</t>
        </is>
      </c>
      <c r="B81" s="26" t="inlineStr">
        <is>
          <t>Miss Nwobodo Miriam Chioma</t>
        </is>
      </c>
      <c r="C81" s="26" t="inlineStr">
        <is>
          <t>Land</t>
        </is>
      </c>
      <c r="D81" s="26" t="inlineStr">
        <is>
          <t>Green City Phase 1 (Lantaba, Ketu-Epe)</t>
        </is>
      </c>
      <c r="E81" s="26" t="inlineStr">
        <is>
          <t>BOUGHT</t>
        </is>
      </c>
      <c r="F81" s="27" t="n">
        <v>8300000</v>
      </c>
      <c r="G81" s="28" t="inlineStr">
        <is>
          <t>Land control transferred (allocated / bought). Revenue at contract value</t>
        </is>
      </c>
      <c r="H81" s="27" t="n">
        <v>0</v>
      </c>
      <c r="I81" s="27" t="n">
        <v>6350000</v>
      </c>
      <c r="J81" s="27" t="n">
        <v>0</v>
      </c>
      <c r="K81" s="27" t="n">
        <v>0</v>
      </c>
      <c r="L81" s="27" t="n">
        <v>6350000</v>
      </c>
      <c r="M81" s="27" t="n">
        <v>0</v>
      </c>
      <c r="N81" s="27" t="n">
        <v>0</v>
      </c>
      <c r="O81" s="27" t="n">
        <v>0</v>
      </c>
    </row>
    <row r="82">
      <c r="A82" s="26" t="inlineStr">
        <is>
          <t>SB0081</t>
        </is>
      </c>
      <c r="B82" s="26" t="inlineStr">
        <is>
          <t>Mr Ohanehi Anthony Chukwunonso</t>
        </is>
      </c>
      <c r="C82" s="26" t="inlineStr">
        <is>
          <t>Land</t>
        </is>
      </c>
      <c r="D82" s="26" t="inlineStr">
        <is>
          <t>Green City Phase 2 (Ketu-Epe)</t>
        </is>
      </c>
      <c r="E82" s="26" t="inlineStr">
        <is>
          <t>PAYING</t>
        </is>
      </c>
      <c r="F82" s="27" t="n">
        <v>15000000</v>
      </c>
      <c r="G82" s="28" t="inlineStr">
        <is>
          <t>Land subscription still paying / refund / no completed status — receipts deferred</t>
        </is>
      </c>
      <c r="H82" s="27" t="n">
        <v>0</v>
      </c>
      <c r="I82" s="27" t="n">
        <v>0</v>
      </c>
      <c r="J82" s="27" t="n">
        <v>0</v>
      </c>
      <c r="K82" s="27" t="n">
        <v>0</v>
      </c>
      <c r="L82" s="27" t="n">
        <v>0</v>
      </c>
      <c r="M82" s="27" t="n">
        <v>0</v>
      </c>
      <c r="N82" s="27" t="n">
        <v>0</v>
      </c>
      <c r="O82" s="27" t="n">
        <v>0</v>
      </c>
    </row>
    <row r="83">
      <c r="A83" s="26" t="inlineStr">
        <is>
          <t>SB0082</t>
        </is>
      </c>
      <c r="B83" s="26" t="inlineStr">
        <is>
          <t>Mr Okeme Danjuma</t>
        </is>
      </c>
      <c r="C83" s="26" t="inlineStr">
        <is>
          <t>Land</t>
        </is>
      </c>
      <c r="D83" s="26" t="inlineStr">
        <is>
          <t>Green City Phase 2 (Ketu-Epe)</t>
        </is>
      </c>
      <c r="E83" s="26" t="inlineStr">
        <is>
          <t>BOUGHT</t>
        </is>
      </c>
      <c r="F83" s="27" t="n">
        <v>4200000</v>
      </c>
      <c r="G83" s="28" t="inlineStr">
        <is>
          <t>Land control transferred (allocated / bought). Revenue at contract value</t>
        </is>
      </c>
      <c r="H83" s="27" t="n">
        <v>0</v>
      </c>
      <c r="I83" s="27" t="n">
        <v>4200000</v>
      </c>
      <c r="J83" s="27" t="n">
        <v>0</v>
      </c>
      <c r="K83" s="27" t="n">
        <v>0</v>
      </c>
      <c r="L83" s="27" t="n">
        <v>4200000</v>
      </c>
      <c r="M83" s="27" t="n">
        <v>0</v>
      </c>
      <c r="N83" s="27" t="n">
        <v>0</v>
      </c>
      <c r="O83" s="27" t="n">
        <v>0</v>
      </c>
    </row>
    <row r="84">
      <c r="A84" s="26" t="inlineStr">
        <is>
          <t>SB0083</t>
        </is>
      </c>
      <c r="B84" s="26" t="inlineStr">
        <is>
          <t>Mr Komolafe Oluwashola Leonard</t>
        </is>
      </c>
      <c r="C84" s="26" t="inlineStr">
        <is>
          <t>Land</t>
        </is>
      </c>
      <c r="D84" s="26" t="inlineStr">
        <is>
          <t>Green City Phase 2 (Ketu-Epe)</t>
        </is>
      </c>
      <c r="E84" s="26" t="inlineStr">
        <is>
          <t>BOUGHT</t>
        </is>
      </c>
      <c r="F84" s="27" t="n">
        <v>4200000</v>
      </c>
      <c r="G84" s="28" t="inlineStr">
        <is>
          <t>Land control transferred (allocated / bought). Revenue at contract value</t>
        </is>
      </c>
      <c r="H84" s="27" t="n">
        <v>0</v>
      </c>
      <c r="I84" s="27" t="n">
        <v>4200000</v>
      </c>
      <c r="J84" s="27" t="n">
        <v>0</v>
      </c>
      <c r="K84" s="27" t="n">
        <v>0</v>
      </c>
      <c r="L84" s="27" t="n">
        <v>4200000</v>
      </c>
      <c r="M84" s="27" t="n">
        <v>0</v>
      </c>
      <c r="N84" s="27" t="n">
        <v>0</v>
      </c>
      <c r="O84" s="27" t="n">
        <v>0</v>
      </c>
    </row>
    <row r="85">
      <c r="A85" s="26" t="inlineStr">
        <is>
          <t>SB0084</t>
        </is>
      </c>
      <c r="B85" s="26" t="inlineStr">
        <is>
          <t>Mr Lawson Oladele Valentino</t>
        </is>
      </c>
      <c r="C85" s="26" t="inlineStr">
        <is>
          <t>Land</t>
        </is>
      </c>
      <c r="D85" s="26" t="inlineStr">
        <is>
          <t>Green City Phase 2 (Ketu-Epe)</t>
        </is>
      </c>
      <c r="E85" s="26" t="inlineStr">
        <is>
          <t>BOUGHT</t>
        </is>
      </c>
      <c r="F85" s="27" t="n">
        <v>4000000</v>
      </c>
      <c r="G85" s="28" t="inlineStr">
        <is>
          <t>Land control transferred (allocated / bought). Revenue at contract value</t>
        </is>
      </c>
      <c r="H85" s="27" t="n">
        <v>0</v>
      </c>
      <c r="I85" s="27" t="n">
        <v>4000000</v>
      </c>
      <c r="J85" s="27" t="n">
        <v>0</v>
      </c>
      <c r="K85" s="27" t="n">
        <v>0</v>
      </c>
      <c r="L85" s="27" t="n">
        <v>4000000</v>
      </c>
      <c r="M85" s="27" t="n">
        <v>0</v>
      </c>
      <c r="N85" s="27" t="n">
        <v>0</v>
      </c>
      <c r="O85" s="27" t="n">
        <v>0</v>
      </c>
    </row>
    <row r="86">
      <c r="A86" s="26" t="inlineStr">
        <is>
          <t>SB0085</t>
        </is>
      </c>
      <c r="B86" s="26" t="inlineStr">
        <is>
          <t>Mr Bolarinwa Iyanuoluwa Simon &amp; Dr Bolarinwa Abisola Christianah</t>
        </is>
      </c>
      <c r="C86" s="26" t="inlineStr">
        <is>
          <t>Land</t>
        </is>
      </c>
      <c r="D86" s="26" t="inlineStr">
        <is>
          <t>Green City Phase 2 (Ketu-Epe)</t>
        </is>
      </c>
      <c r="E86" s="26" t="inlineStr">
        <is>
          <t>BOUGHT</t>
        </is>
      </c>
      <c r="F86" s="27" t="n">
        <v>4830000</v>
      </c>
      <c r="G86" s="28" t="inlineStr">
        <is>
          <t>Land control transferred (allocated / bought). Revenue at contract value</t>
        </is>
      </c>
      <c r="H86" s="27" t="n">
        <v>0</v>
      </c>
      <c r="I86" s="27" t="n">
        <v>0</v>
      </c>
      <c r="J86" s="27" t="n">
        <v>0</v>
      </c>
      <c r="K86" s="27" t="n">
        <v>0</v>
      </c>
      <c r="L86" s="27" t="n">
        <v>0</v>
      </c>
      <c r="M86" s="27" t="n">
        <v>0</v>
      </c>
      <c r="N86" s="27" t="n">
        <v>0</v>
      </c>
      <c r="O86" s="27" t="n">
        <v>0</v>
      </c>
    </row>
    <row r="87">
      <c r="A87" s="26" t="inlineStr">
        <is>
          <t>SB0086</t>
        </is>
      </c>
      <c r="B87" s="26" t="inlineStr">
        <is>
          <t>Mr Ojo Olugbenga Daniel &amp; Mrs Ojo Omolola Oyewunmi</t>
        </is>
      </c>
      <c r="C87" s="26" t="inlineStr">
        <is>
          <t>Land</t>
        </is>
      </c>
      <c r="D87" s="26" t="inlineStr">
        <is>
          <t>Green City Phase 2 (Ketu-Epe)</t>
        </is>
      </c>
      <c r="E87" s="26" t="inlineStr">
        <is>
          <t>BOUGHT</t>
        </is>
      </c>
      <c r="F87" s="27" t="n">
        <v>4200000</v>
      </c>
      <c r="G87" s="28" t="inlineStr">
        <is>
          <t>Land control transferred (allocated / bought). Revenue at contract value</t>
        </is>
      </c>
      <c r="H87" s="27" t="n">
        <v>0</v>
      </c>
      <c r="I87" s="27" t="n">
        <v>4200000</v>
      </c>
      <c r="J87" s="27" t="n">
        <v>0</v>
      </c>
      <c r="K87" s="27" t="n">
        <v>0</v>
      </c>
      <c r="L87" s="27" t="n">
        <v>4200000</v>
      </c>
      <c r="M87" s="27" t="n">
        <v>0</v>
      </c>
      <c r="N87" s="27" t="n">
        <v>0</v>
      </c>
      <c r="O87" s="27" t="n">
        <v>0</v>
      </c>
    </row>
    <row r="88">
      <c r="A88" s="26" t="inlineStr">
        <is>
          <t>SB0087</t>
        </is>
      </c>
      <c r="B88" s="26" t="inlineStr">
        <is>
          <t>Mr Oriakhi Osemudiamen Peter</t>
        </is>
      </c>
      <c r="C88" s="26" t="inlineStr">
        <is>
          <t>Land</t>
        </is>
      </c>
      <c r="D88" s="26" t="inlineStr">
        <is>
          <t>Green City Phase 2 (Ketu-Epe)</t>
        </is>
      </c>
      <c r="E88" s="26" t="inlineStr">
        <is>
          <t>BOUGHT</t>
        </is>
      </c>
      <c r="F88" s="27" t="n">
        <v>4200000</v>
      </c>
      <c r="G88" s="28" t="inlineStr">
        <is>
          <t>Land control transferred (allocated / bought). Revenue at contract value</t>
        </is>
      </c>
      <c r="H88" s="27" t="n">
        <v>0</v>
      </c>
      <c r="I88" s="27" t="n">
        <v>3500000</v>
      </c>
      <c r="J88" s="27" t="n">
        <v>0</v>
      </c>
      <c r="K88" s="27" t="n">
        <v>0</v>
      </c>
      <c r="L88" s="27" t="n">
        <v>3500000</v>
      </c>
      <c r="M88" s="27" t="n">
        <v>0</v>
      </c>
      <c r="N88" s="27" t="n">
        <v>0</v>
      </c>
      <c r="O88" s="27" t="n">
        <v>0</v>
      </c>
    </row>
    <row r="89">
      <c r="A89" s="26" t="inlineStr">
        <is>
          <t>SB0088</t>
        </is>
      </c>
      <c r="B89" s="26" t="inlineStr">
        <is>
          <t>Mr Okuneye Oluwakayode Oluwaseyi</t>
        </is>
      </c>
      <c r="C89" s="26" t="inlineStr">
        <is>
          <t>Land</t>
        </is>
      </c>
      <c r="D89" s="26" t="inlineStr">
        <is>
          <t>Green City Phase 2 (Ketu-Epe)</t>
        </is>
      </c>
      <c r="E89" s="26" t="inlineStr">
        <is>
          <t>BOUGHT</t>
        </is>
      </c>
      <c r="F89" s="27" t="n">
        <v>2160000</v>
      </c>
      <c r="G89" s="28" t="inlineStr">
        <is>
          <t>Land control transferred (allocated / bought). Revenue at contract value</t>
        </is>
      </c>
      <c r="H89" s="27" t="n">
        <v>0</v>
      </c>
      <c r="I89" s="27" t="n">
        <v>2160000</v>
      </c>
      <c r="J89" s="27" t="n">
        <v>0</v>
      </c>
      <c r="K89" s="27" t="n">
        <v>0</v>
      </c>
      <c r="L89" s="27" t="n">
        <v>2160000</v>
      </c>
      <c r="M89" s="27" t="n">
        <v>0</v>
      </c>
      <c r="N89" s="27" t="n">
        <v>0</v>
      </c>
      <c r="O89" s="27" t="n">
        <v>0</v>
      </c>
    </row>
    <row r="90">
      <c r="A90" s="26" t="inlineStr">
        <is>
          <t>SB0089</t>
        </is>
      </c>
      <c r="B90" s="26" t="inlineStr">
        <is>
          <t>Mr Ajiva Lubem Barnabas</t>
        </is>
      </c>
      <c r="C90" s="26" t="inlineStr">
        <is>
          <t>Land</t>
        </is>
      </c>
      <c r="D90" s="26" t="inlineStr">
        <is>
          <t>Green City Phase 2 (Ketu-Epe)</t>
        </is>
      </c>
      <c r="E90" s="26" t="inlineStr">
        <is>
          <t>BOUGHT</t>
        </is>
      </c>
      <c r="F90" s="27" t="n">
        <v>2160000</v>
      </c>
      <c r="G90" s="28" t="inlineStr">
        <is>
          <t>Land control transferred (allocated / bought). Revenue at contract value</t>
        </is>
      </c>
      <c r="H90" s="27" t="n">
        <v>0</v>
      </c>
      <c r="I90" s="27" t="n">
        <v>2160000</v>
      </c>
      <c r="J90" s="27" t="n">
        <v>0</v>
      </c>
      <c r="K90" s="27" t="n">
        <v>0</v>
      </c>
      <c r="L90" s="27" t="n">
        <v>2160000</v>
      </c>
      <c r="M90" s="27" t="n">
        <v>0</v>
      </c>
      <c r="N90" s="27" t="n">
        <v>0</v>
      </c>
      <c r="O90" s="27" t="n">
        <v>0</v>
      </c>
    </row>
    <row r="91">
      <c r="A91" s="26" t="inlineStr">
        <is>
          <t>SB0090</t>
        </is>
      </c>
      <c r="B91" s="26" t="inlineStr">
        <is>
          <t>Mrs Lawani Opemipo Oluwatobi Lasode</t>
        </is>
      </c>
      <c r="C91" s="26" t="inlineStr">
        <is>
          <t>Land</t>
        </is>
      </c>
      <c r="D91" s="26" t="inlineStr">
        <is>
          <t>Green City Phase 2 (Ketu-Epe)</t>
        </is>
      </c>
      <c r="E91" s="26" t="inlineStr">
        <is>
          <t>BOUGHT</t>
        </is>
      </c>
      <c r="F91" s="27" t="n">
        <v>2160000</v>
      </c>
      <c r="G91" s="28" t="inlineStr">
        <is>
          <t>Land control transferred (allocated / bought). Revenue at contract value</t>
        </is>
      </c>
      <c r="H91" s="27" t="n">
        <v>0</v>
      </c>
      <c r="I91" s="27" t="n">
        <v>2155000</v>
      </c>
      <c r="J91" s="27" t="n">
        <v>0</v>
      </c>
      <c r="K91" s="27" t="n">
        <v>0</v>
      </c>
      <c r="L91" s="27" t="n">
        <v>2155000</v>
      </c>
      <c r="M91" s="27" t="n">
        <v>0</v>
      </c>
      <c r="N91" s="27" t="n">
        <v>0</v>
      </c>
      <c r="O91" s="27" t="n">
        <v>0</v>
      </c>
    </row>
    <row r="92">
      <c r="A92" s="26" t="inlineStr">
        <is>
          <t>SB0091</t>
        </is>
      </c>
      <c r="B92" s="26" t="inlineStr">
        <is>
          <t>Ohumende Paul Osaze</t>
        </is>
      </c>
      <c r="C92" s="26" t="inlineStr">
        <is>
          <t>Land</t>
        </is>
      </c>
      <c r="D92" s="26" t="inlineStr">
        <is>
          <t>Green City Phase 2 (Ketu-Epe)</t>
        </is>
      </c>
      <c r="E92" s="26" t="inlineStr">
        <is>
          <t>BOUGHT</t>
        </is>
      </c>
      <c r="F92" s="27" t="n">
        <v>4200000</v>
      </c>
      <c r="G92" s="28" t="inlineStr">
        <is>
          <t>Land control transferred (allocated / bought). Revenue at contract value</t>
        </is>
      </c>
      <c r="H92" s="27" t="n">
        <v>0</v>
      </c>
      <c r="I92" s="27" t="n">
        <v>0</v>
      </c>
      <c r="J92" s="27" t="n">
        <v>0</v>
      </c>
      <c r="K92" s="27" t="n">
        <v>0</v>
      </c>
      <c r="L92" s="27" t="n">
        <v>0</v>
      </c>
      <c r="M92" s="27" t="n">
        <v>0</v>
      </c>
      <c r="N92" s="27" t="n">
        <v>0</v>
      </c>
      <c r="O92" s="27" t="n">
        <v>0</v>
      </c>
    </row>
    <row r="93">
      <c r="A93" s="26" t="inlineStr">
        <is>
          <t>SB0092</t>
        </is>
      </c>
      <c r="B93" s="26" t="inlineStr">
        <is>
          <t>Engr Fagbulu Taiwo Olubunmi</t>
        </is>
      </c>
      <c r="C93" s="26" t="inlineStr">
        <is>
          <t>Land</t>
        </is>
      </c>
      <c r="D93" s="26" t="inlineStr">
        <is>
          <t>Green City Phase 2 (Ketu-Epe)</t>
        </is>
      </c>
      <c r="E93" s="26" t="inlineStr">
        <is>
          <t>BOUGHT</t>
        </is>
      </c>
      <c r="F93" s="27" t="n">
        <v>4200000</v>
      </c>
      <c r="G93" s="28" t="inlineStr">
        <is>
          <t>Land control transferred (allocated / bought). Revenue at contract value</t>
        </is>
      </c>
      <c r="H93" s="27" t="n">
        <v>0</v>
      </c>
      <c r="I93" s="27" t="n">
        <v>4375000</v>
      </c>
      <c r="J93" s="27" t="n">
        <v>0</v>
      </c>
      <c r="K93" s="27" t="n">
        <v>0</v>
      </c>
      <c r="L93" s="27" t="n">
        <v>4200000</v>
      </c>
      <c r="M93" s="27" t="n">
        <v>0</v>
      </c>
      <c r="N93" s="27" t="n">
        <v>0</v>
      </c>
      <c r="O93" s="27" t="n">
        <v>175000</v>
      </c>
    </row>
    <row r="94">
      <c r="A94" s="26" t="inlineStr">
        <is>
          <t>SB0093</t>
        </is>
      </c>
      <c r="B94" s="26" t="inlineStr">
        <is>
          <t>Mr Olatunde Adesua Samuel</t>
        </is>
      </c>
      <c r="C94" s="26" t="inlineStr">
        <is>
          <t>Land</t>
        </is>
      </c>
      <c r="D94" s="26" t="inlineStr">
        <is>
          <t>Green City Phase 1 (Lantaba, Ketu-Epe)</t>
        </is>
      </c>
      <c r="E94" s="26" t="inlineStr">
        <is>
          <t>BOUGHT</t>
        </is>
      </c>
      <c r="F94" s="27" t="n">
        <v>6300000</v>
      </c>
      <c r="G94" s="28" t="inlineStr">
        <is>
          <t>Land control transferred (allocated / bought). Revenue at contract value</t>
        </is>
      </c>
      <c r="H94" s="27" t="n">
        <v>0</v>
      </c>
      <c r="I94" s="27" t="n">
        <v>4620000</v>
      </c>
      <c r="J94" s="27" t="n">
        <v>0</v>
      </c>
      <c r="K94" s="27" t="n">
        <v>0</v>
      </c>
      <c r="L94" s="27" t="n">
        <v>4620000</v>
      </c>
      <c r="M94" s="27" t="n">
        <v>0</v>
      </c>
      <c r="N94" s="27" t="n">
        <v>0</v>
      </c>
      <c r="O94" s="27" t="n">
        <v>0</v>
      </c>
    </row>
    <row r="95">
      <c r="A95" s="26" t="inlineStr">
        <is>
          <t>SB0094</t>
        </is>
      </c>
      <c r="B95" s="26" t="inlineStr">
        <is>
          <t>Mr Braimoh Ayomide Favour</t>
        </is>
      </c>
      <c r="C95" s="26" t="inlineStr">
        <is>
          <t>Land</t>
        </is>
      </c>
      <c r="D95" s="26" t="inlineStr">
        <is>
          <t>Green City Phase 2 (Ketu-Epe)</t>
        </is>
      </c>
      <c r="E95" s="26" t="inlineStr">
        <is>
          <t>BOUGHT</t>
        </is>
      </c>
      <c r="F95" s="27" t="n">
        <v>4200000</v>
      </c>
      <c r="G95" s="28" t="inlineStr">
        <is>
          <t>Land control transferred (allocated / bought). Revenue at contract value</t>
        </is>
      </c>
      <c r="H95" s="27" t="n">
        <v>0</v>
      </c>
      <c r="I95" s="27" t="n">
        <v>3955000</v>
      </c>
      <c r="J95" s="27" t="n">
        <v>0</v>
      </c>
      <c r="K95" s="27" t="n">
        <v>0</v>
      </c>
      <c r="L95" s="27" t="n">
        <v>3955000</v>
      </c>
      <c r="M95" s="27" t="n">
        <v>0</v>
      </c>
      <c r="N95" s="27" t="n">
        <v>0</v>
      </c>
      <c r="O95" s="27" t="n">
        <v>0</v>
      </c>
    </row>
    <row r="96">
      <c r="A96" s="26" t="inlineStr">
        <is>
          <t>SB0095</t>
        </is>
      </c>
      <c r="B96" s="26" t="inlineStr">
        <is>
          <t>Miss Odeyemi Testimony Patricia</t>
        </is>
      </c>
      <c r="C96" s="26" t="inlineStr">
        <is>
          <t>Land</t>
        </is>
      </c>
      <c r="D96" s="26" t="inlineStr">
        <is>
          <t>Green City Phase 2 (Ketu-Epe)</t>
        </is>
      </c>
      <c r="E96" s="26" t="inlineStr">
        <is>
          <t>PAYING</t>
        </is>
      </c>
      <c r="F96" s="27" t="n">
        <v>5900000</v>
      </c>
      <c r="G96" s="28" t="inlineStr">
        <is>
          <t>Land subscription still paying / refund / no completed status — receipts deferred</t>
        </is>
      </c>
      <c r="H96" s="27" t="n">
        <v>0</v>
      </c>
      <c r="I96" s="27" t="n">
        <v>1000000</v>
      </c>
      <c r="J96" s="27" t="n">
        <v>0</v>
      </c>
      <c r="K96" s="27" t="n">
        <v>0</v>
      </c>
      <c r="L96" s="27" t="n">
        <v>0</v>
      </c>
      <c r="M96" s="27" t="n">
        <v>0</v>
      </c>
      <c r="N96" s="27" t="n">
        <v>0</v>
      </c>
      <c r="O96" s="27" t="n">
        <v>1000000</v>
      </c>
    </row>
    <row r="97">
      <c r="A97" s="26" t="inlineStr">
        <is>
          <t>SB0096</t>
        </is>
      </c>
      <c r="B97" s="26" t="inlineStr">
        <is>
          <t>Mr Adeniyi Ademola</t>
        </is>
      </c>
      <c r="C97" s="26" t="inlineStr">
        <is>
          <t>Land</t>
        </is>
      </c>
      <c r="D97" s="26" t="inlineStr">
        <is>
          <t>Green City Phase 2 (Ketu-Epe)</t>
        </is>
      </c>
      <c r="E97" s="26" t="inlineStr">
        <is>
          <t>BOUGHT</t>
        </is>
      </c>
      <c r="F97" s="27" t="n">
        <v>8400000</v>
      </c>
      <c r="G97" s="28" t="inlineStr">
        <is>
          <t>Land control transferred (allocated / bought). Revenue at contract value</t>
        </is>
      </c>
      <c r="H97" s="27" t="n">
        <v>0</v>
      </c>
      <c r="I97" s="27" t="n">
        <v>0</v>
      </c>
      <c r="J97" s="27" t="n">
        <v>0</v>
      </c>
      <c r="K97" s="27" t="n">
        <v>0</v>
      </c>
      <c r="L97" s="27" t="n">
        <v>0</v>
      </c>
      <c r="M97" s="27" t="n">
        <v>0</v>
      </c>
      <c r="N97" s="27" t="n">
        <v>0</v>
      </c>
      <c r="O97" s="27" t="n">
        <v>0</v>
      </c>
    </row>
    <row r="98">
      <c r="A98" s="26" t="inlineStr">
        <is>
          <t>SB0097</t>
        </is>
      </c>
      <c r="B98" s="26" t="inlineStr">
        <is>
          <t>Miss Danjuma Ojotule Faith</t>
        </is>
      </c>
      <c r="C98" s="26" t="inlineStr">
        <is>
          <t>Land</t>
        </is>
      </c>
      <c r="D98" s="26" t="inlineStr">
        <is>
          <t>Green City Phase 2 (Ketu-Epe)</t>
        </is>
      </c>
      <c r="E98" s="26" t="inlineStr">
        <is>
          <t>REFUND</t>
        </is>
      </c>
      <c r="F98" s="27" t="n">
        <v>5900000</v>
      </c>
      <c r="G98" s="28" t="inlineStr">
        <is>
          <t>Land subscription still paying / refund / no completed status — receipts deferred</t>
        </is>
      </c>
      <c r="H98" s="27" t="n">
        <v>0</v>
      </c>
      <c r="I98" s="27" t="n">
        <v>3000000</v>
      </c>
      <c r="J98" s="27" t="n">
        <v>0</v>
      </c>
      <c r="K98" s="27" t="n">
        <v>0</v>
      </c>
      <c r="L98" s="27" t="n">
        <v>0</v>
      </c>
      <c r="M98" s="27" t="n">
        <v>0</v>
      </c>
      <c r="N98" s="27" t="n">
        <v>0</v>
      </c>
      <c r="O98" s="27" t="n">
        <v>3000000</v>
      </c>
    </row>
    <row r="99">
      <c r="A99" s="26" t="inlineStr">
        <is>
          <t>SB0098</t>
        </is>
      </c>
      <c r="B99" s="26" t="inlineStr">
        <is>
          <t>Mr Abiodun Olasunkanmi Enoch</t>
        </is>
      </c>
      <c r="C99" s="26" t="inlineStr">
        <is>
          <t>Land</t>
        </is>
      </c>
      <c r="D99" s="26" t="inlineStr">
        <is>
          <t>Green City Phase 2 (Ketu-Epe)</t>
        </is>
      </c>
      <c r="E99" s="26" t="inlineStr">
        <is>
          <t>PAYING</t>
        </is>
      </c>
      <c r="F99" s="27" t="n">
        <v>7600000</v>
      </c>
      <c r="G99" s="28" t="inlineStr">
        <is>
          <t>Land subscription still paying / refund / no completed status — receipts deferred</t>
        </is>
      </c>
      <c r="H99" s="27" t="n">
        <v>0</v>
      </c>
      <c r="I99" s="27" t="n">
        <v>1000000</v>
      </c>
      <c r="J99" s="27" t="n">
        <v>0</v>
      </c>
      <c r="K99" s="27" t="n">
        <v>0</v>
      </c>
      <c r="L99" s="27" t="n">
        <v>0</v>
      </c>
      <c r="M99" s="27" t="n">
        <v>0</v>
      </c>
      <c r="N99" s="27" t="n">
        <v>0</v>
      </c>
      <c r="O99" s="27" t="n">
        <v>1000000</v>
      </c>
    </row>
    <row r="100">
      <c r="A100" s="26" t="inlineStr">
        <is>
          <t>SB0099</t>
        </is>
      </c>
      <c r="B100" s="26" t="inlineStr">
        <is>
          <t>Mr Salaudeen Baqi Boladale</t>
        </is>
      </c>
      <c r="C100" s="26" t="inlineStr">
        <is>
          <t>Land</t>
        </is>
      </c>
      <c r="D100" s="26" t="inlineStr">
        <is>
          <t>Heritage Garden</t>
        </is>
      </c>
      <c r="E100" s="26" t="inlineStr">
        <is>
          <t>BOUGHT</t>
        </is>
      </c>
      <c r="F100" s="27" t="n">
        <v>495000</v>
      </c>
      <c r="G100" s="28" t="inlineStr">
        <is>
          <t>Land control transferred (allocated / bought). Revenue at contract value</t>
        </is>
      </c>
      <c r="H100" s="27" t="n">
        <v>0</v>
      </c>
      <c r="I100" s="27" t="n">
        <v>0</v>
      </c>
      <c r="J100" s="27" t="n">
        <v>0</v>
      </c>
      <c r="K100" s="27" t="n">
        <v>0</v>
      </c>
      <c r="L100" s="27" t="n">
        <v>0</v>
      </c>
      <c r="M100" s="27" t="n">
        <v>0</v>
      </c>
      <c r="N100" s="27" t="n">
        <v>0</v>
      </c>
      <c r="O100" s="27" t="n">
        <v>0</v>
      </c>
    </row>
    <row r="101">
      <c r="A101" s="26" t="inlineStr">
        <is>
          <t>SB0100</t>
        </is>
      </c>
      <c r="B101" s="26" t="inlineStr">
        <is>
          <t>Dr Okeyedun Taiwo Akinbami</t>
        </is>
      </c>
      <c r="C101" s="26" t="inlineStr">
        <is>
          <t>Land</t>
        </is>
      </c>
      <c r="D101" s="26" t="inlineStr">
        <is>
          <t>Green City Phase 3 (Omu-Epe)</t>
        </is>
      </c>
      <c r="E101" s="26" t="inlineStr">
        <is>
          <t>PAYING</t>
        </is>
      </c>
      <c r="F101" s="27" t="n">
        <v>2400000</v>
      </c>
      <c r="G101" s="28" t="inlineStr">
        <is>
          <t>Land subscription still paying / refund / no completed status — receipts deferred</t>
        </is>
      </c>
      <c r="H101" s="27" t="n">
        <v>0</v>
      </c>
      <c r="I101" s="27" t="n">
        <v>300000</v>
      </c>
      <c r="J101" s="27" t="n">
        <v>0</v>
      </c>
      <c r="K101" s="27" t="n">
        <v>0</v>
      </c>
      <c r="L101" s="27" t="n">
        <v>0</v>
      </c>
      <c r="M101" s="27" t="n">
        <v>0</v>
      </c>
      <c r="N101" s="27" t="n">
        <v>0</v>
      </c>
      <c r="O101" s="27" t="n">
        <v>300000</v>
      </c>
    </row>
    <row r="102">
      <c r="A102" s="26" t="inlineStr">
        <is>
          <t>SB0101</t>
        </is>
      </c>
      <c r="B102" s="26" t="inlineStr">
        <is>
          <t>Mr Adeyemi Kayode</t>
        </is>
      </c>
      <c r="C102" s="26" t="inlineStr">
        <is>
          <t>Land</t>
        </is>
      </c>
      <c r="D102" s="26" t="inlineStr">
        <is>
          <t>Green City Phase 3 (Omu-Epe)</t>
        </is>
      </c>
      <c r="E102" s="26" t="inlineStr">
        <is>
          <t>BOUGHT</t>
        </is>
      </c>
      <c r="F102" s="27" t="n">
        <v>3800000</v>
      </c>
      <c r="G102" s="28" t="inlineStr">
        <is>
          <t>Land control transferred (allocated / bought). Revenue at contract value</t>
        </is>
      </c>
      <c r="H102" s="27" t="n">
        <v>0</v>
      </c>
      <c r="I102" s="27" t="n">
        <v>7600000</v>
      </c>
      <c r="J102" s="27" t="n">
        <v>0</v>
      </c>
      <c r="K102" s="27" t="n">
        <v>0</v>
      </c>
      <c r="L102" s="27" t="n">
        <v>3800000</v>
      </c>
      <c r="M102" s="27" t="n">
        <v>0</v>
      </c>
      <c r="N102" s="27" t="n">
        <v>0</v>
      </c>
      <c r="O102" s="27" t="n">
        <v>3800000</v>
      </c>
    </row>
    <row r="103">
      <c r="A103" s="26" t="inlineStr">
        <is>
          <t>SB0102</t>
        </is>
      </c>
      <c r="B103" s="26" t="inlineStr">
        <is>
          <t>Mr &amp; Mrs Adebayo Dada</t>
        </is>
      </c>
      <c r="C103" s="26" t="inlineStr">
        <is>
          <t>Land</t>
        </is>
      </c>
      <c r="D103" s="26" t="inlineStr">
        <is>
          <t>Green City Phase 3 (Omu-Epe)</t>
        </is>
      </c>
      <c r="E103" s="26" t="inlineStr">
        <is>
          <t>BOUGHT</t>
        </is>
      </c>
      <c r="F103" s="27" t="n">
        <v>2000000</v>
      </c>
      <c r="G103" s="28" t="inlineStr">
        <is>
          <t>Land control transferred (allocated / bought). Revenue at contract value</t>
        </is>
      </c>
      <c r="H103" s="27" t="n">
        <v>0</v>
      </c>
      <c r="I103" s="27" t="n">
        <v>0</v>
      </c>
      <c r="J103" s="27" t="n">
        <v>0</v>
      </c>
      <c r="K103" s="27" t="n">
        <v>0</v>
      </c>
      <c r="L103" s="27" t="n">
        <v>0</v>
      </c>
      <c r="M103" s="27" t="n">
        <v>0</v>
      </c>
      <c r="N103" s="27" t="n">
        <v>0</v>
      </c>
      <c r="O103" s="27" t="n">
        <v>0</v>
      </c>
    </row>
    <row r="104">
      <c r="A104" s="26" t="inlineStr">
        <is>
          <t>SB0103</t>
        </is>
      </c>
      <c r="B104" s="26" t="inlineStr">
        <is>
          <t>Mr Adenuga Lukman Ebenezer</t>
        </is>
      </c>
      <c r="C104" s="26" t="inlineStr">
        <is>
          <t>Land</t>
        </is>
      </c>
      <c r="D104" s="26" t="inlineStr">
        <is>
          <t>Green City Phase 3 (Omu-Epe)</t>
        </is>
      </c>
      <c r="E104" s="26" t="inlineStr">
        <is>
          <t>BOUGHT</t>
        </is>
      </c>
      <c r="F104" s="27" t="n">
        <v>1860000</v>
      </c>
      <c r="G104" s="28" t="inlineStr">
        <is>
          <t>Land control transferred (allocated / bought). Revenue at contract value</t>
        </is>
      </c>
      <c r="H104" s="27" t="n">
        <v>0</v>
      </c>
      <c r="I104" s="27" t="n">
        <v>1860000</v>
      </c>
      <c r="J104" s="27" t="n">
        <v>0</v>
      </c>
      <c r="K104" s="27" t="n">
        <v>0</v>
      </c>
      <c r="L104" s="27" t="n">
        <v>1860000</v>
      </c>
      <c r="M104" s="27" t="n">
        <v>0</v>
      </c>
      <c r="N104" s="27" t="n">
        <v>0</v>
      </c>
      <c r="O104" s="27" t="n">
        <v>0</v>
      </c>
    </row>
    <row r="105">
      <c r="A105" s="26" t="inlineStr">
        <is>
          <t>SB0104</t>
        </is>
      </c>
      <c r="B105" s="26" t="inlineStr">
        <is>
          <t>Miss Okezie Mandy Ifeoma</t>
        </is>
      </c>
      <c r="C105" s="26" t="inlineStr">
        <is>
          <t>Land</t>
        </is>
      </c>
      <c r="D105" s="26" t="inlineStr">
        <is>
          <t>Green City Phase 3 (Omu-Epe)</t>
        </is>
      </c>
      <c r="E105" s="26" t="inlineStr">
        <is>
          <t>BOUGHT</t>
        </is>
      </c>
      <c r="F105" s="27" t="n">
        <v>1860000</v>
      </c>
      <c r="G105" s="28" t="inlineStr">
        <is>
          <t>Land control transferred (allocated / bought). Revenue at contract value</t>
        </is>
      </c>
      <c r="H105" s="27" t="n">
        <v>0</v>
      </c>
      <c r="I105" s="27" t="n">
        <v>0</v>
      </c>
      <c r="J105" s="27" t="n">
        <v>0</v>
      </c>
      <c r="K105" s="27" t="n">
        <v>0</v>
      </c>
      <c r="L105" s="27" t="n">
        <v>0</v>
      </c>
      <c r="M105" s="27" t="n">
        <v>0</v>
      </c>
      <c r="N105" s="27" t="n">
        <v>0</v>
      </c>
      <c r="O105" s="27" t="n">
        <v>0</v>
      </c>
    </row>
    <row r="106">
      <c r="A106" s="26" t="inlineStr">
        <is>
          <t>SB0105</t>
        </is>
      </c>
      <c r="B106" s="26" t="inlineStr">
        <is>
          <t>Miss Omosanya Dotun Akeju</t>
        </is>
      </c>
      <c r="C106" s="26" t="inlineStr">
        <is>
          <t>Land</t>
        </is>
      </c>
      <c r="D106" s="26" t="inlineStr">
        <is>
          <t>Green City Phase 3 (Omu-Epe)</t>
        </is>
      </c>
      <c r="E106" s="26" t="inlineStr">
        <is>
          <t>BOUGHT</t>
        </is>
      </c>
      <c r="F106" s="27" t="n">
        <v>3800000</v>
      </c>
      <c r="G106" s="28" t="inlineStr">
        <is>
          <t>Land control transferred (allocated / bought). Revenue at contract value</t>
        </is>
      </c>
      <c r="H106" s="27" t="n">
        <v>0</v>
      </c>
      <c r="I106" s="27" t="n">
        <v>0</v>
      </c>
      <c r="J106" s="27" t="n">
        <v>0</v>
      </c>
      <c r="K106" s="27" t="n">
        <v>0</v>
      </c>
      <c r="L106" s="27" t="n">
        <v>0</v>
      </c>
      <c r="M106" s="27" t="n">
        <v>0</v>
      </c>
      <c r="N106" s="27" t="n">
        <v>0</v>
      </c>
      <c r="O106" s="27" t="n">
        <v>0</v>
      </c>
    </row>
    <row r="107">
      <c r="A107" s="26" t="inlineStr">
        <is>
          <t>SB0106</t>
        </is>
      </c>
      <c r="B107" s="26" t="inlineStr">
        <is>
          <t>Mr Lawson Albert Olumide</t>
        </is>
      </c>
      <c r="C107" s="26" t="inlineStr">
        <is>
          <t>Housing</t>
        </is>
      </c>
      <c r="D107" s="26" t="inlineStr">
        <is>
          <t>Pacific Court</t>
        </is>
      </c>
      <c r="E107" s="26" t="inlineStr">
        <is>
          <t>PAID</t>
        </is>
      </c>
      <c r="F107" s="27" t="n">
        <v>55000000</v>
      </c>
      <c r="G107" s="28" t="inlineStr">
        <is>
          <t>Housing not yet handed over — receipts held as deferred income (contract liability)</t>
        </is>
      </c>
      <c r="H107" s="27" t="n">
        <v>0</v>
      </c>
      <c r="I107" s="27" t="n">
        <v>55000000</v>
      </c>
      <c r="J107" s="27" t="n">
        <v>0</v>
      </c>
      <c r="K107" s="27" t="n">
        <v>0</v>
      </c>
      <c r="L107" s="27" t="n">
        <v>0</v>
      </c>
      <c r="M107" s="27" t="n">
        <v>0</v>
      </c>
      <c r="N107" s="27" t="n">
        <v>0</v>
      </c>
      <c r="O107" s="27" t="n">
        <v>55000000</v>
      </c>
    </row>
    <row r="108">
      <c r="A108" s="26" t="inlineStr">
        <is>
          <t>SB0107</t>
        </is>
      </c>
      <c r="B108" s="26" t="inlineStr">
        <is>
          <t>Mr Ogbu Pius Ejaka</t>
        </is>
      </c>
      <c r="C108" s="26" t="inlineStr">
        <is>
          <t>Land</t>
        </is>
      </c>
      <c r="D108" s="26" t="inlineStr">
        <is>
          <t>Green City Phase 3 (Omu-Epe)</t>
        </is>
      </c>
      <c r="E108" s="26" t="inlineStr">
        <is>
          <t>BOUGHT</t>
        </is>
      </c>
      <c r="F108" s="27" t="n">
        <v>3510000</v>
      </c>
      <c r="G108" s="28" t="inlineStr">
        <is>
          <t>Land control transferred (allocated / bought). Revenue at contract value</t>
        </is>
      </c>
      <c r="H108" s="27" t="n">
        <v>0</v>
      </c>
      <c r="I108" s="27" t="n">
        <v>10450000</v>
      </c>
      <c r="J108" s="27" t="n">
        <v>0</v>
      </c>
      <c r="K108" s="27" t="n">
        <v>0</v>
      </c>
      <c r="L108" s="27" t="n">
        <v>3510000</v>
      </c>
      <c r="M108" s="27" t="n">
        <v>0</v>
      </c>
      <c r="N108" s="27" t="n">
        <v>0</v>
      </c>
      <c r="O108" s="27" t="n">
        <v>6940000</v>
      </c>
    </row>
    <row r="109">
      <c r="A109" s="26" t="inlineStr">
        <is>
          <t>SB0108</t>
        </is>
      </c>
      <c r="B109" s="26" t="inlineStr">
        <is>
          <t>Mr Udoezi Paul</t>
        </is>
      </c>
      <c r="C109" s="26" t="inlineStr">
        <is>
          <t>Land</t>
        </is>
      </c>
      <c r="D109" s="26" t="inlineStr">
        <is>
          <t>Green City Phase 3 (Omu-Epe)</t>
        </is>
      </c>
      <c r="E109" s="26" t="inlineStr">
        <is>
          <t>PAYING</t>
        </is>
      </c>
      <c r="F109" s="27" t="n">
        <v>3800000</v>
      </c>
      <c r="G109" s="28" t="inlineStr">
        <is>
          <t>Land subscription still paying / refund / no completed status — receipts deferred</t>
        </is>
      </c>
      <c r="H109" s="27" t="n">
        <v>0</v>
      </c>
      <c r="I109" s="27" t="n">
        <v>500000</v>
      </c>
      <c r="J109" s="27" t="n">
        <v>0</v>
      </c>
      <c r="K109" s="27" t="n">
        <v>0</v>
      </c>
      <c r="L109" s="27" t="n">
        <v>0</v>
      </c>
      <c r="M109" s="27" t="n">
        <v>0</v>
      </c>
      <c r="N109" s="27" t="n">
        <v>0</v>
      </c>
      <c r="O109" s="27" t="n">
        <v>500000</v>
      </c>
    </row>
    <row r="110">
      <c r="A110" s="26" t="inlineStr">
        <is>
          <t>SB0109</t>
        </is>
      </c>
      <c r="B110" s="26" t="inlineStr">
        <is>
          <t>Miss Ohaego Ijeoma Goodness</t>
        </is>
      </c>
      <c r="C110" s="26" t="inlineStr">
        <is>
          <t>Land</t>
        </is>
      </c>
      <c r="D110" s="26" t="inlineStr">
        <is>
          <t>Green City Phase 3 (Omu-Epe)</t>
        </is>
      </c>
      <c r="E110" s="26" t="inlineStr">
        <is>
          <t>BOUGHT</t>
        </is>
      </c>
      <c r="F110" s="27" t="n">
        <v>3800000</v>
      </c>
      <c r="G110" s="28" t="inlineStr">
        <is>
          <t>Land control transferred (allocated / bought). Revenue at contract value</t>
        </is>
      </c>
      <c r="H110" s="27" t="n">
        <v>0</v>
      </c>
      <c r="I110" s="27" t="n">
        <v>4267000</v>
      </c>
      <c r="J110" s="27" t="n">
        <v>0</v>
      </c>
      <c r="K110" s="27" t="n">
        <v>0</v>
      </c>
      <c r="L110" s="27" t="n">
        <v>3800000</v>
      </c>
      <c r="M110" s="27" t="n">
        <v>0</v>
      </c>
      <c r="N110" s="27" t="n">
        <v>0</v>
      </c>
      <c r="O110" s="27" t="n">
        <v>467000</v>
      </c>
    </row>
    <row r="111">
      <c r="A111" s="26" t="inlineStr">
        <is>
          <t>SB0110</t>
        </is>
      </c>
      <c r="B111" s="26" t="inlineStr">
        <is>
          <t>Mrs King Lavonda (LAVONDA RENA KING FAMILY &amp; TOCHUWKU CHRISTIAN EJIOFOR</t>
        </is>
      </c>
      <c r="C111" s="26" t="inlineStr">
        <is>
          <t>Land</t>
        </is>
      </c>
      <c r="D111" s="26" t="inlineStr">
        <is>
          <t>Green City Phase 3 (Omu-Epe)</t>
        </is>
      </c>
      <c r="E111" s="26" t="inlineStr">
        <is>
          <t>BOUGHT</t>
        </is>
      </c>
      <c r="F111" s="27" t="n">
        <v>3800000</v>
      </c>
      <c r="G111" s="28" t="inlineStr">
        <is>
          <t>Land control transferred (allocated / bought). Revenue at contract value</t>
        </is>
      </c>
      <c r="H111" s="27" t="n">
        <v>0</v>
      </c>
      <c r="I111" s="27" t="n">
        <v>3800000</v>
      </c>
      <c r="J111" s="27" t="n">
        <v>0</v>
      </c>
      <c r="K111" s="27" t="n">
        <v>0</v>
      </c>
      <c r="L111" s="27" t="n">
        <v>3800000</v>
      </c>
      <c r="M111" s="27" t="n">
        <v>0</v>
      </c>
      <c r="N111" s="27" t="n">
        <v>0</v>
      </c>
      <c r="O111" s="27" t="n">
        <v>0</v>
      </c>
    </row>
    <row r="112">
      <c r="A112" s="26" t="inlineStr">
        <is>
          <t>SB0111</t>
        </is>
      </c>
      <c r="B112" s="26" t="inlineStr">
        <is>
          <t>Miss Okorie Rachael Mmesomachi</t>
        </is>
      </c>
      <c r="C112" s="26" t="inlineStr">
        <is>
          <t>Land</t>
        </is>
      </c>
      <c r="D112" s="26" t="inlineStr">
        <is>
          <t>Green City Phase 3 (Omu-Epe)</t>
        </is>
      </c>
      <c r="E112" s="26" t="inlineStr">
        <is>
          <t>BOUGHT</t>
        </is>
      </c>
      <c r="F112" s="27" t="n">
        <v>3800000</v>
      </c>
      <c r="G112" s="28" t="inlineStr">
        <is>
          <t>Land control transferred (allocated / bought). Revenue at contract value</t>
        </is>
      </c>
      <c r="H112" s="27" t="n">
        <v>0</v>
      </c>
      <c r="I112" s="27" t="n">
        <v>3800000</v>
      </c>
      <c r="J112" s="27" t="n">
        <v>0</v>
      </c>
      <c r="K112" s="27" t="n">
        <v>0</v>
      </c>
      <c r="L112" s="27" t="n">
        <v>3800000</v>
      </c>
      <c r="M112" s="27" t="n">
        <v>0</v>
      </c>
      <c r="N112" s="27" t="n">
        <v>0</v>
      </c>
      <c r="O112" s="27" t="n">
        <v>0</v>
      </c>
    </row>
    <row r="113">
      <c r="A113" s="26" t="inlineStr">
        <is>
          <t>SB0112</t>
        </is>
      </c>
      <c r="B113" s="26" t="inlineStr">
        <is>
          <t>Ms Mitchell Jennifer</t>
        </is>
      </c>
      <c r="C113" s="26" t="inlineStr">
        <is>
          <t>Land</t>
        </is>
      </c>
      <c r="D113" s="26" t="inlineStr">
        <is>
          <t>Heritage Garden</t>
        </is>
      </c>
      <c r="E113" s="26" t="inlineStr">
        <is>
          <t>BOUGHT</t>
        </is>
      </c>
      <c r="F113" s="27" t="n">
        <v>608060</v>
      </c>
      <c r="G113" s="28" t="inlineStr">
        <is>
          <t>Land control transferred (allocated / bought). Revenue at contract value</t>
        </is>
      </c>
      <c r="H113" s="27" t="n">
        <v>0</v>
      </c>
      <c r="I113" s="27" t="n">
        <v>980600</v>
      </c>
      <c r="J113" s="27" t="n">
        <v>0</v>
      </c>
      <c r="K113" s="27" t="n">
        <v>0</v>
      </c>
      <c r="L113" s="27" t="n">
        <v>608060</v>
      </c>
      <c r="M113" s="27" t="n">
        <v>0</v>
      </c>
      <c r="N113" s="27" t="n">
        <v>0</v>
      </c>
      <c r="O113" s="27" t="n">
        <v>372540</v>
      </c>
    </row>
    <row r="114">
      <c r="A114" s="26" t="inlineStr">
        <is>
          <t>SB0113</t>
        </is>
      </c>
      <c r="B114" s="26" t="inlineStr">
        <is>
          <t>Pastor Ikechukwu Kingsley &amp; Deaconess Ikechukwu Rose Uju</t>
        </is>
      </c>
      <c r="C114" s="26" t="inlineStr">
        <is>
          <t>Land</t>
        </is>
      </c>
      <c r="D114" s="26" t="inlineStr">
        <is>
          <t>Green City Phase 3 (Omu-Epe)</t>
        </is>
      </c>
      <c r="E114" s="26" t="inlineStr">
        <is>
          <t>BOUGHT</t>
        </is>
      </c>
      <c r="F114" s="27" t="n">
        <v>3800000</v>
      </c>
      <c r="G114" s="28" t="inlineStr">
        <is>
          <t>Land control transferred (allocated / bought). Revenue at contract value</t>
        </is>
      </c>
      <c r="H114" s="27" t="n">
        <v>0</v>
      </c>
      <c r="I114" s="27" t="n">
        <v>1800000</v>
      </c>
      <c r="J114" s="27" t="n">
        <v>0</v>
      </c>
      <c r="K114" s="27" t="n">
        <v>0</v>
      </c>
      <c r="L114" s="27" t="n">
        <v>1800000</v>
      </c>
      <c r="M114" s="27" t="n">
        <v>0</v>
      </c>
      <c r="N114" s="27" t="n">
        <v>0</v>
      </c>
      <c r="O114" s="27" t="n">
        <v>0</v>
      </c>
    </row>
    <row r="115">
      <c r="A115" s="26" t="inlineStr">
        <is>
          <t>SB0114</t>
        </is>
      </c>
      <c r="B115" s="26" t="inlineStr">
        <is>
          <t>Mr Adedapo Adekunle Solomon</t>
        </is>
      </c>
      <c r="C115" s="26" t="inlineStr">
        <is>
          <t>Land</t>
        </is>
      </c>
      <c r="D115" s="26" t="inlineStr">
        <is>
          <t>Green City Phase 3 (Omu-Epe)</t>
        </is>
      </c>
      <c r="E115" s="26" t="inlineStr">
        <is>
          <t>BOUGHT</t>
        </is>
      </c>
      <c r="F115" s="27" t="n">
        <v>5000000</v>
      </c>
      <c r="G115" s="28" t="inlineStr">
        <is>
          <t>Land control transferred (allocated / bought). Revenue at contract value</t>
        </is>
      </c>
      <c r="H115" s="27" t="n">
        <v>0</v>
      </c>
      <c r="I115" s="27" t="n">
        <v>5000000</v>
      </c>
      <c r="J115" s="27" t="n">
        <v>0</v>
      </c>
      <c r="K115" s="27" t="n">
        <v>0</v>
      </c>
      <c r="L115" s="27" t="n">
        <v>5000000</v>
      </c>
      <c r="M115" s="27" t="n">
        <v>0</v>
      </c>
      <c r="N115" s="27" t="n">
        <v>0</v>
      </c>
      <c r="O115" s="27" t="n">
        <v>0</v>
      </c>
    </row>
    <row r="116">
      <c r="A116" s="26" t="inlineStr">
        <is>
          <t>SB0115</t>
        </is>
      </c>
      <c r="B116" s="26" t="inlineStr">
        <is>
          <t>Mr Nweze Valentine Oluebube</t>
        </is>
      </c>
      <c r="C116" s="26" t="inlineStr">
        <is>
          <t>Land</t>
        </is>
      </c>
      <c r="D116" s="26" t="inlineStr">
        <is>
          <t>Green City Phase 3 (Omu-Epe)</t>
        </is>
      </c>
      <c r="E116" s="26" t="inlineStr">
        <is>
          <t>BOUGHT</t>
        </is>
      </c>
      <c r="F116" s="27" t="n">
        <v>5000000</v>
      </c>
      <c r="G116" s="28" t="inlineStr">
        <is>
          <t>Land control transferred (allocated / bought). Revenue at contract value</t>
        </is>
      </c>
      <c r="H116" s="27" t="n">
        <v>0</v>
      </c>
      <c r="I116" s="27" t="n">
        <v>5000000</v>
      </c>
      <c r="J116" s="27" t="n">
        <v>0</v>
      </c>
      <c r="K116" s="27" t="n">
        <v>0</v>
      </c>
      <c r="L116" s="27" t="n">
        <v>5000000</v>
      </c>
      <c r="M116" s="27" t="n">
        <v>0</v>
      </c>
      <c r="N116" s="27" t="n">
        <v>0</v>
      </c>
      <c r="O116" s="27" t="n">
        <v>0</v>
      </c>
    </row>
    <row r="117">
      <c r="A117" s="26" t="inlineStr">
        <is>
          <t>SB0116</t>
        </is>
      </c>
      <c r="B117" s="26" t="inlineStr">
        <is>
          <t>Mr Olusegun Dare Micheal</t>
        </is>
      </c>
      <c r="C117" s="26" t="inlineStr">
        <is>
          <t>Land</t>
        </is>
      </c>
      <c r="D117" s="26" t="inlineStr">
        <is>
          <t>Green City Phase 3 (Omu-Epe)</t>
        </is>
      </c>
      <c r="E117" s="26" t="inlineStr">
        <is>
          <t>BOUGHT</t>
        </is>
      </c>
      <c r="F117" s="27" t="n">
        <v>4500000</v>
      </c>
      <c r="G117" s="28" t="inlineStr">
        <is>
          <t>Land control transferred (allocated / bought). Revenue at contract value</t>
        </is>
      </c>
      <c r="H117" s="27" t="n">
        <v>0</v>
      </c>
      <c r="I117" s="27" t="n">
        <v>0</v>
      </c>
      <c r="J117" s="27" t="n">
        <v>0</v>
      </c>
      <c r="K117" s="27" t="n">
        <v>0</v>
      </c>
      <c r="L117" s="27" t="n">
        <v>0</v>
      </c>
      <c r="M117" s="27" t="n">
        <v>0</v>
      </c>
      <c r="N117" s="27" t="n">
        <v>0</v>
      </c>
      <c r="O117" s="27" t="n">
        <v>0</v>
      </c>
    </row>
    <row r="118">
      <c r="A118" s="26" t="inlineStr">
        <is>
          <t>SB0117</t>
        </is>
      </c>
      <c r="B118" s="26" t="inlineStr">
        <is>
          <t>Mr Olaogun Samuel Oriyomi</t>
        </is>
      </c>
      <c r="C118" s="26" t="inlineStr">
        <is>
          <t>Land</t>
        </is>
      </c>
      <c r="D118" s="26" t="inlineStr">
        <is>
          <t>Green City Phase 3 (Omu-Epe)</t>
        </is>
      </c>
      <c r="E118" s="26" t="inlineStr">
        <is>
          <t>BOUGHT</t>
        </is>
      </c>
      <c r="F118" s="27" t="n">
        <v>2600000</v>
      </c>
      <c r="G118" s="28" t="inlineStr">
        <is>
          <t>Land control transferred (allocated / bought). Revenue at contract value</t>
        </is>
      </c>
      <c r="H118" s="27" t="n">
        <v>0</v>
      </c>
      <c r="I118" s="27" t="n">
        <v>2600000</v>
      </c>
      <c r="J118" s="27" t="n">
        <v>0</v>
      </c>
      <c r="K118" s="27" t="n">
        <v>0</v>
      </c>
      <c r="L118" s="27" t="n">
        <v>2600000</v>
      </c>
      <c r="M118" s="27" t="n">
        <v>0</v>
      </c>
      <c r="N118" s="27" t="n">
        <v>0</v>
      </c>
      <c r="O118" s="27" t="n">
        <v>0</v>
      </c>
    </row>
    <row r="119">
      <c r="A119" s="26" t="inlineStr">
        <is>
          <t>SB0118</t>
        </is>
      </c>
      <c r="B119" s="26" t="inlineStr">
        <is>
          <t>Mrs Adelaja-Idowu Mosebolatan Tomilayo &amp; Mr Tse Mike Terzungwe</t>
        </is>
      </c>
      <c r="C119" s="26" t="inlineStr">
        <is>
          <t>Land</t>
        </is>
      </c>
      <c r="D119" s="26" t="inlineStr">
        <is>
          <t>Green City Phase 2 (Ketu-Epe)</t>
        </is>
      </c>
      <c r="E119" s="26" t="inlineStr">
        <is>
          <t>BOUGHT</t>
        </is>
      </c>
      <c r="F119" s="27" t="n">
        <v>12800000</v>
      </c>
      <c r="G119" s="28" t="inlineStr">
        <is>
          <t>Land control transferred (allocated / bought). Revenue at contract value</t>
        </is>
      </c>
      <c r="H119" s="27" t="n">
        <v>0</v>
      </c>
      <c r="I119" s="27" t="n">
        <v>12800000</v>
      </c>
      <c r="J119" s="27" t="n">
        <v>0</v>
      </c>
      <c r="K119" s="27" t="n">
        <v>0</v>
      </c>
      <c r="L119" s="27" t="n">
        <v>12800000</v>
      </c>
      <c r="M119" s="27" t="n">
        <v>0</v>
      </c>
      <c r="N119" s="27" t="n">
        <v>0</v>
      </c>
      <c r="O119" s="27" t="n">
        <v>0</v>
      </c>
    </row>
    <row r="120">
      <c r="A120" s="26" t="inlineStr">
        <is>
          <t>SB0119</t>
        </is>
      </c>
      <c r="B120" s="26" t="inlineStr">
        <is>
          <t>Miss Ogundipe Motunrayo Fransisca</t>
        </is>
      </c>
      <c r="C120" s="26" t="inlineStr">
        <is>
          <t>Land</t>
        </is>
      </c>
      <c r="D120" s="26" t="inlineStr">
        <is>
          <t>Green City Phase 2 (Ketu-Epe)</t>
        </is>
      </c>
      <c r="E120" s="26" t="inlineStr">
        <is>
          <t>BOUGHT</t>
        </is>
      </c>
      <c r="F120" s="27" t="n">
        <v>6000000</v>
      </c>
      <c r="G120" s="28" t="inlineStr">
        <is>
          <t>Land control transferred (allocated / bought). Revenue at contract value</t>
        </is>
      </c>
      <c r="H120" s="27" t="n">
        <v>0</v>
      </c>
      <c r="I120" s="27" t="n">
        <v>5335000</v>
      </c>
      <c r="J120" s="27" t="n">
        <v>0</v>
      </c>
      <c r="K120" s="27" t="n">
        <v>0</v>
      </c>
      <c r="L120" s="27" t="n">
        <v>5335000</v>
      </c>
      <c r="M120" s="27" t="n">
        <v>0</v>
      </c>
      <c r="N120" s="27" t="n">
        <v>0</v>
      </c>
      <c r="O120" s="27" t="n">
        <v>0</v>
      </c>
    </row>
    <row r="121">
      <c r="A121" s="26" t="inlineStr">
        <is>
          <t>SB0120</t>
        </is>
      </c>
      <c r="B121" s="26" t="inlineStr">
        <is>
          <t>Mr Afolabi Samuel Safe &amp; Mrs Afolabi Temitope Iyanuoluwa</t>
        </is>
      </c>
      <c r="C121" s="26" t="inlineStr">
        <is>
          <t>Land</t>
        </is>
      </c>
      <c r="D121" s="26" t="inlineStr">
        <is>
          <t>Green City Phase 2 (Ketu-Epe)</t>
        </is>
      </c>
      <c r="E121" s="26" t="inlineStr">
        <is>
          <t>BOUGHT</t>
        </is>
      </c>
      <c r="F121" s="27" t="n">
        <v>5800000</v>
      </c>
      <c r="G121" s="28" t="inlineStr">
        <is>
          <t>Land control transferred (allocated / bought). Revenue at contract value</t>
        </is>
      </c>
      <c r="H121" s="27" t="n">
        <v>0</v>
      </c>
      <c r="I121" s="27" t="n">
        <v>5850000</v>
      </c>
      <c r="J121" s="27" t="n">
        <v>0</v>
      </c>
      <c r="K121" s="27" t="n">
        <v>0</v>
      </c>
      <c r="L121" s="27" t="n">
        <v>5800000</v>
      </c>
      <c r="M121" s="27" t="n">
        <v>0</v>
      </c>
      <c r="N121" s="27" t="n">
        <v>0</v>
      </c>
      <c r="O121" s="27" t="n">
        <v>50000</v>
      </c>
    </row>
    <row r="122">
      <c r="A122" s="26" t="inlineStr">
        <is>
          <t>SB0121</t>
        </is>
      </c>
      <c r="B122" s="26" t="inlineStr">
        <is>
          <t>Mr Adigun Muyiwa &amp; Mrs Adigun Folashade</t>
        </is>
      </c>
      <c r="C122" s="26" t="inlineStr">
        <is>
          <t>Land</t>
        </is>
      </c>
      <c r="D122" s="26" t="inlineStr">
        <is>
          <t>Green City Phase 3 (Omu-Epe)</t>
        </is>
      </c>
      <c r="E122" s="26" t="inlineStr">
        <is>
          <t>BOUGHT</t>
        </is>
      </c>
      <c r="F122" s="27" t="n">
        <v>2600000</v>
      </c>
      <c r="G122" s="28" t="inlineStr">
        <is>
          <t>Land control transferred (allocated / bought). Revenue at contract value</t>
        </is>
      </c>
      <c r="H122" s="27" t="n">
        <v>0</v>
      </c>
      <c r="I122" s="27" t="n">
        <v>1900000</v>
      </c>
      <c r="J122" s="27" t="n">
        <v>0</v>
      </c>
      <c r="K122" s="27" t="n">
        <v>0</v>
      </c>
      <c r="L122" s="27" t="n">
        <v>1900000</v>
      </c>
      <c r="M122" s="27" t="n">
        <v>0</v>
      </c>
      <c r="N122" s="27" t="n">
        <v>0</v>
      </c>
      <c r="O122" s="27" t="n">
        <v>0</v>
      </c>
    </row>
    <row r="123">
      <c r="A123" s="26" t="inlineStr">
        <is>
          <t>SB0122</t>
        </is>
      </c>
      <c r="B123" s="26" t="inlineStr">
        <is>
          <t>Mr Tedunjaye Michael Ilerioluwa</t>
        </is>
      </c>
      <c r="C123" s="26" t="inlineStr">
        <is>
          <t>Land</t>
        </is>
      </c>
      <c r="D123" s="26" t="inlineStr">
        <is>
          <t>Heritage Garden</t>
        </is>
      </c>
      <c r="E123" s="26" t="inlineStr">
        <is>
          <t>BOUGHT</t>
        </is>
      </c>
      <c r="F123" s="27" t="n">
        <v>495000</v>
      </c>
      <c r="G123" s="28" t="inlineStr">
        <is>
          <t>Land control transferred (allocated / bought). Revenue at contract value</t>
        </is>
      </c>
      <c r="H123" s="27" t="n">
        <v>0</v>
      </c>
      <c r="I123" s="27" t="n">
        <v>495000</v>
      </c>
      <c r="J123" s="27" t="n">
        <v>0</v>
      </c>
      <c r="K123" s="27" t="n">
        <v>0</v>
      </c>
      <c r="L123" s="27" t="n">
        <v>495000</v>
      </c>
      <c r="M123" s="27" t="n">
        <v>0</v>
      </c>
      <c r="N123" s="27" t="n">
        <v>0</v>
      </c>
      <c r="O123" s="27" t="n">
        <v>0</v>
      </c>
    </row>
    <row r="124">
      <c r="A124" s="26" t="inlineStr">
        <is>
          <t>SB0123</t>
        </is>
      </c>
      <c r="B124" s="26" t="inlineStr">
        <is>
          <t>Mrs Akindele Felicia Oluwatoyin</t>
        </is>
      </c>
      <c r="C124" s="26" t="inlineStr">
        <is>
          <t>Land</t>
        </is>
      </c>
      <c r="D124" s="26" t="inlineStr">
        <is>
          <t>Heritage Garden</t>
        </is>
      </c>
      <c r="E124" s="26" t="inlineStr">
        <is>
          <t>BOUGHT</t>
        </is>
      </c>
      <c r="F124" s="27" t="n">
        <v>550000</v>
      </c>
      <c r="G124" s="28" t="inlineStr">
        <is>
          <t>Land control transferred (allocated / bought). Revenue at contract value</t>
        </is>
      </c>
      <c r="H124" s="27" t="n">
        <v>0</v>
      </c>
      <c r="I124" s="27" t="n">
        <v>450000</v>
      </c>
      <c r="J124" s="27" t="n">
        <v>0</v>
      </c>
      <c r="K124" s="27" t="n">
        <v>0</v>
      </c>
      <c r="L124" s="27" t="n">
        <v>450000</v>
      </c>
      <c r="M124" s="27" t="n">
        <v>0</v>
      </c>
      <c r="N124" s="27" t="n">
        <v>0</v>
      </c>
      <c r="O124" s="27" t="n">
        <v>0</v>
      </c>
    </row>
    <row r="125">
      <c r="A125" s="26" t="inlineStr">
        <is>
          <t>SB0124</t>
        </is>
      </c>
      <c r="B125" s="26" t="inlineStr">
        <is>
          <t>Mr Ajayi Adekunle Temitope</t>
        </is>
      </c>
      <c r="C125" s="26" t="inlineStr">
        <is>
          <t>Land</t>
        </is>
      </c>
      <c r="D125" s="26" t="inlineStr">
        <is>
          <t>Green City Phase 3 (Omu-Epe)</t>
        </is>
      </c>
      <c r="E125" s="26" t="inlineStr">
        <is>
          <t>BOUGHT</t>
        </is>
      </c>
      <c r="F125" s="27" t="n">
        <v>5000000</v>
      </c>
      <c r="G125" s="28" t="inlineStr">
        <is>
          <t>Land control transferred (allocated / bought). Revenue at contract value</t>
        </is>
      </c>
      <c r="H125" s="27" t="n">
        <v>0</v>
      </c>
      <c r="I125" s="27" t="n">
        <v>5000000</v>
      </c>
      <c r="J125" s="27" t="n">
        <v>0</v>
      </c>
      <c r="K125" s="27" t="n">
        <v>0</v>
      </c>
      <c r="L125" s="27" t="n">
        <v>5000000</v>
      </c>
      <c r="M125" s="27" t="n">
        <v>0</v>
      </c>
      <c r="N125" s="27" t="n">
        <v>0</v>
      </c>
      <c r="O125" s="27" t="n">
        <v>0</v>
      </c>
    </row>
    <row r="126">
      <c r="A126" s="26" t="inlineStr">
        <is>
          <t>SB0125</t>
        </is>
      </c>
      <c r="B126" s="26" t="inlineStr">
        <is>
          <t>Mr Oluwashina O. Olagbende</t>
        </is>
      </c>
      <c r="C126" s="26" t="inlineStr">
        <is>
          <t>Land</t>
        </is>
      </c>
      <c r="D126" s="26" t="inlineStr">
        <is>
          <t>Green City Phase 3 (Omu-Epe)</t>
        </is>
      </c>
      <c r="E126" s="26" t="inlineStr">
        <is>
          <t>BOUGHT</t>
        </is>
      </c>
      <c r="F126" s="27" t="n">
        <v>2600000</v>
      </c>
      <c r="G126" s="28" t="inlineStr">
        <is>
          <t>Land control transferred (allocated / bought). Revenue at contract value</t>
        </is>
      </c>
      <c r="H126" s="27" t="n">
        <v>0</v>
      </c>
      <c r="I126" s="27" t="n">
        <v>2600000</v>
      </c>
      <c r="J126" s="27" t="n">
        <v>0</v>
      </c>
      <c r="K126" s="27" t="n">
        <v>0</v>
      </c>
      <c r="L126" s="27" t="n">
        <v>2600000</v>
      </c>
      <c r="M126" s="27" t="n">
        <v>0</v>
      </c>
      <c r="N126" s="27" t="n">
        <v>0</v>
      </c>
      <c r="O126" s="27" t="n">
        <v>0</v>
      </c>
    </row>
    <row r="127">
      <c r="A127" s="26" t="inlineStr">
        <is>
          <t>SB0126</t>
        </is>
      </c>
      <c r="B127" s="26" t="inlineStr">
        <is>
          <t>Miss Ebhotah Sharon Aisosa</t>
        </is>
      </c>
      <c r="C127" s="26" t="inlineStr">
        <is>
          <t>Land</t>
        </is>
      </c>
      <c r="D127" s="26" t="inlineStr">
        <is>
          <t>Green City Phase 3 (Omu-Epe)</t>
        </is>
      </c>
      <c r="E127" s="26" t="inlineStr">
        <is>
          <t>BOUGHT</t>
        </is>
      </c>
      <c r="F127" s="27" t="n">
        <v>5000000</v>
      </c>
      <c r="G127" s="28" t="inlineStr">
        <is>
          <t>Land control transferred (allocated / bought). Revenue at contract value</t>
        </is>
      </c>
      <c r="H127" s="27" t="n">
        <v>0</v>
      </c>
      <c r="I127" s="27" t="n">
        <v>0</v>
      </c>
      <c r="J127" s="27" t="n">
        <v>0</v>
      </c>
      <c r="K127" s="27" t="n">
        <v>0</v>
      </c>
      <c r="L127" s="27" t="n">
        <v>0</v>
      </c>
      <c r="M127" s="27" t="n">
        <v>0</v>
      </c>
      <c r="N127" s="27" t="n">
        <v>0</v>
      </c>
      <c r="O127" s="27" t="n">
        <v>0</v>
      </c>
    </row>
    <row r="128">
      <c r="A128" s="26" t="inlineStr">
        <is>
          <t>SB0127</t>
        </is>
      </c>
      <c r="B128" s="26" t="inlineStr">
        <is>
          <t>Mr. Adese Akorede John</t>
        </is>
      </c>
      <c r="C128" s="26" t="inlineStr">
        <is>
          <t>Land</t>
        </is>
      </c>
      <c r="D128" s="26" t="inlineStr">
        <is>
          <t>Green City Ibadan (Akinyele-Moniya)</t>
        </is>
      </c>
      <c r="E128" s="26" t="inlineStr">
        <is>
          <t>BOUGHT</t>
        </is>
      </c>
      <c r="F128" s="27" t="n">
        <v>2500000</v>
      </c>
      <c r="G128" s="28" t="inlineStr">
        <is>
          <t>Land control transferred (allocated / bought). Revenue at contract value</t>
        </is>
      </c>
      <c r="H128" s="27" t="n">
        <v>0</v>
      </c>
      <c r="I128" s="27" t="n">
        <v>0</v>
      </c>
      <c r="J128" s="27" t="n">
        <v>0</v>
      </c>
      <c r="K128" s="27" t="n">
        <v>0</v>
      </c>
      <c r="L128" s="27" t="n">
        <v>0</v>
      </c>
      <c r="M128" s="27" t="n">
        <v>0</v>
      </c>
      <c r="N128" s="27" t="n">
        <v>0</v>
      </c>
      <c r="O128" s="27" t="n">
        <v>0</v>
      </c>
    </row>
    <row r="129">
      <c r="A129" s="26" t="inlineStr">
        <is>
          <t>SB0128</t>
        </is>
      </c>
      <c r="B129" s="26" t="inlineStr">
        <is>
          <t>Mr Okanrende Kazeem Olamilekan</t>
        </is>
      </c>
      <c r="C129" s="26" t="inlineStr">
        <is>
          <t>Land</t>
        </is>
      </c>
      <c r="D129" s="26" t="inlineStr">
        <is>
          <t>Green City Phase 3 (Omu-Epe)</t>
        </is>
      </c>
      <c r="E129" s="26" t="inlineStr">
        <is>
          <t>BOUGHT</t>
        </is>
      </c>
      <c r="F129" s="27" t="n">
        <v>8000000</v>
      </c>
      <c r="G129" s="28" t="inlineStr">
        <is>
          <t>Land control transferred (allocated / bought). Revenue at contract value</t>
        </is>
      </c>
      <c r="H129" s="27" t="n">
        <v>0</v>
      </c>
      <c r="I129" s="27" t="n">
        <v>8000000</v>
      </c>
      <c r="J129" s="27" t="n">
        <v>0</v>
      </c>
      <c r="K129" s="27" t="n">
        <v>0</v>
      </c>
      <c r="L129" s="27" t="n">
        <v>8000000</v>
      </c>
      <c r="M129" s="27" t="n">
        <v>0</v>
      </c>
      <c r="N129" s="27" t="n">
        <v>0</v>
      </c>
      <c r="O129" s="27" t="n">
        <v>0</v>
      </c>
    </row>
    <row r="130">
      <c r="A130" s="26" t="inlineStr">
        <is>
          <t>SB0129</t>
        </is>
      </c>
      <c r="B130" s="26" t="inlineStr">
        <is>
          <t>Mr Isibor Godwin</t>
        </is>
      </c>
      <c r="C130" s="26" t="inlineStr">
        <is>
          <t>Land</t>
        </is>
      </c>
      <c r="D130" s="26" t="inlineStr">
        <is>
          <t>Green City Phase 3 (Omu-Epe)</t>
        </is>
      </c>
      <c r="E130" s="26" t="inlineStr">
        <is>
          <t>BOUGHT</t>
        </is>
      </c>
      <c r="F130" s="27" t="n">
        <v>3100000</v>
      </c>
      <c r="G130" s="28" t="inlineStr">
        <is>
          <t>Land control transferred (allocated / bought). Revenue at contract value</t>
        </is>
      </c>
      <c r="H130" s="27" t="n">
        <v>0</v>
      </c>
      <c r="I130" s="27" t="n">
        <v>1400000</v>
      </c>
      <c r="J130" s="27" t="n">
        <v>0</v>
      </c>
      <c r="K130" s="27" t="n">
        <v>0</v>
      </c>
      <c r="L130" s="27" t="n">
        <v>1400000</v>
      </c>
      <c r="M130" s="27" t="n">
        <v>0</v>
      </c>
      <c r="N130" s="27" t="n">
        <v>0</v>
      </c>
      <c r="O130" s="27" t="n">
        <v>0</v>
      </c>
    </row>
    <row r="131">
      <c r="A131" s="26" t="inlineStr">
        <is>
          <t>SB0130</t>
        </is>
      </c>
      <c r="B131" s="26" t="inlineStr">
        <is>
          <t>Mr. Olowodagba Olatunde Selim</t>
        </is>
      </c>
      <c r="C131" s="26" t="inlineStr">
        <is>
          <t>Land</t>
        </is>
      </c>
      <c r="D131" s="26" t="inlineStr">
        <is>
          <t>Green City Ibadan (Akinyele-Moniya)</t>
        </is>
      </c>
      <c r="E131" s="26" t="inlineStr">
        <is>
          <t>BOUGHT</t>
        </is>
      </c>
      <c r="F131" s="27" t="n">
        <v>2800000</v>
      </c>
      <c r="G131" s="28" t="inlineStr">
        <is>
          <t>Land control transferred (allocated / bought). Revenue at contract value</t>
        </is>
      </c>
      <c r="H131" s="27" t="n">
        <v>0</v>
      </c>
      <c r="I131" s="27" t="n">
        <v>2800000</v>
      </c>
      <c r="J131" s="27" t="n">
        <v>0</v>
      </c>
      <c r="K131" s="27" t="n">
        <v>0</v>
      </c>
      <c r="L131" s="27" t="n">
        <v>2800000</v>
      </c>
      <c r="M131" s="27" t="n">
        <v>0</v>
      </c>
      <c r="N131" s="27" t="n">
        <v>0</v>
      </c>
      <c r="O131" s="27" t="n">
        <v>0</v>
      </c>
    </row>
    <row r="132">
      <c r="A132" s="26" t="inlineStr">
        <is>
          <t>SB0131</t>
        </is>
      </c>
      <c r="B132" s="26" t="inlineStr">
        <is>
          <t>Mr Boyejo Abiodun</t>
        </is>
      </c>
      <c r="C132" s="26" t="inlineStr">
        <is>
          <t>Land</t>
        </is>
      </c>
      <c r="D132" s="26" t="inlineStr">
        <is>
          <t>Heritage Garden</t>
        </is>
      </c>
      <c r="E132" s="26" t="inlineStr">
        <is>
          <t>BOUGHT</t>
        </is>
      </c>
      <c r="F132" s="27" t="n">
        <v>1100000</v>
      </c>
      <c r="G132" s="28" t="inlineStr">
        <is>
          <t>Land control transferred (allocated / bought). Revenue at contract value</t>
        </is>
      </c>
      <c r="H132" s="27" t="n">
        <v>0</v>
      </c>
      <c r="I132" s="27" t="n">
        <v>1100000</v>
      </c>
      <c r="J132" s="27" t="n">
        <v>0</v>
      </c>
      <c r="K132" s="27" t="n">
        <v>0</v>
      </c>
      <c r="L132" s="27" t="n">
        <v>1100000</v>
      </c>
      <c r="M132" s="27" t="n">
        <v>0</v>
      </c>
      <c r="N132" s="27" t="n">
        <v>0</v>
      </c>
      <c r="O132" s="27" t="n">
        <v>0</v>
      </c>
    </row>
    <row r="133">
      <c r="A133" s="26" t="inlineStr">
        <is>
          <t>SB0132</t>
        </is>
      </c>
      <c r="B133" s="26" t="inlineStr">
        <is>
          <t>Mr Balogun Akeem Tokunbo</t>
        </is>
      </c>
      <c r="C133" s="26" t="inlineStr">
        <is>
          <t>Land</t>
        </is>
      </c>
      <c r="D133" s="26" t="inlineStr">
        <is>
          <t>Green City Phase 3 (Omu-Epe)</t>
        </is>
      </c>
      <c r="E133" s="26" t="inlineStr">
        <is>
          <t>BOUGHT</t>
        </is>
      </c>
      <c r="F133" s="27" t="n">
        <v>20000000</v>
      </c>
      <c r="G133" s="28" t="inlineStr">
        <is>
          <t>Land control transferred (allocated / bought). Revenue at contract value</t>
        </is>
      </c>
      <c r="H133" s="27" t="n">
        <v>0</v>
      </c>
      <c r="I133" s="27" t="n">
        <v>11000000</v>
      </c>
      <c r="J133" s="27" t="n">
        <v>0</v>
      </c>
      <c r="K133" s="27" t="n">
        <v>0</v>
      </c>
      <c r="L133" s="27" t="n">
        <v>11000000</v>
      </c>
      <c r="M133" s="27" t="n">
        <v>0</v>
      </c>
      <c r="N133" s="27" t="n">
        <v>0</v>
      </c>
      <c r="O133" s="27" t="n">
        <v>0</v>
      </c>
    </row>
    <row r="134">
      <c r="A134" s="26" t="inlineStr">
        <is>
          <t>SB0133</t>
        </is>
      </c>
      <c r="B134" s="26" t="inlineStr">
        <is>
          <t>Mr Balogun Akeem Tokunbo</t>
        </is>
      </c>
      <c r="C134" s="26" t="inlineStr">
        <is>
          <t>Housing</t>
        </is>
      </c>
      <c r="D134" s="26" t="inlineStr">
        <is>
          <t>Pacific Apartment</t>
        </is>
      </c>
      <c r="E134" s="26" t="inlineStr">
        <is>
          <t>BOUGHT</t>
        </is>
      </c>
      <c r="F134" s="27" t="n">
        <v>65000000</v>
      </c>
      <c r="G134" s="28" t="inlineStr">
        <is>
          <t>Housing handover evidenced (Bought/Completed) and substantially paid — revenue at contract value</t>
        </is>
      </c>
      <c r="H134" s="27" t="n">
        <v>0</v>
      </c>
      <c r="I134" s="27" t="n">
        <v>50000000</v>
      </c>
      <c r="J134" s="27" t="n">
        <v>7000000</v>
      </c>
      <c r="K134" s="27" t="n">
        <v>0</v>
      </c>
      <c r="L134" s="27" t="n">
        <v>50000000</v>
      </c>
      <c r="M134" s="27" t="n">
        <v>0</v>
      </c>
      <c r="N134" s="27" t="n">
        <v>0</v>
      </c>
      <c r="O134" s="27" t="n">
        <v>7000000</v>
      </c>
    </row>
    <row r="135">
      <c r="A135" s="26" t="inlineStr">
        <is>
          <t>SB0134</t>
        </is>
      </c>
      <c r="B135" s="26" t="inlineStr">
        <is>
          <t>Mr Aremu Kayode Sarafa</t>
        </is>
      </c>
      <c r="C135" s="26" t="inlineStr">
        <is>
          <t>Land</t>
        </is>
      </c>
      <c r="D135" s="26" t="inlineStr">
        <is>
          <t>Green City Phase 2 (Ketu-Epe)</t>
        </is>
      </c>
      <c r="E135" s="26" t="inlineStr">
        <is>
          <t>BOUGHT</t>
        </is>
      </c>
      <c r="F135" s="27" t="n">
        <v>3200000</v>
      </c>
      <c r="G135" s="28" t="inlineStr">
        <is>
          <t>Land control transferred (allocated / bought). Revenue at contract value</t>
        </is>
      </c>
      <c r="H135" s="27" t="n">
        <v>0</v>
      </c>
      <c r="I135" s="27" t="n">
        <v>3000000</v>
      </c>
      <c r="J135" s="27" t="n">
        <v>0</v>
      </c>
      <c r="K135" s="27" t="n">
        <v>0</v>
      </c>
      <c r="L135" s="27" t="n">
        <v>3000000</v>
      </c>
      <c r="M135" s="27" t="n">
        <v>0</v>
      </c>
      <c r="N135" s="27" t="n">
        <v>0</v>
      </c>
      <c r="O135" s="27" t="n">
        <v>0</v>
      </c>
    </row>
    <row r="136">
      <c r="A136" s="26" t="inlineStr">
        <is>
          <t>SB0135</t>
        </is>
      </c>
      <c r="B136" s="26" t="inlineStr">
        <is>
          <t>Mrs Oyindamola Duntoye Adekunle</t>
        </is>
      </c>
      <c r="C136" s="26" t="inlineStr">
        <is>
          <t>Housing</t>
        </is>
      </c>
      <c r="D136" s="26" t="inlineStr">
        <is>
          <t>Pacific Apartment</t>
        </is>
      </c>
      <c r="E136" s="26" t="inlineStr">
        <is>
          <t>BOUGHT</t>
        </is>
      </c>
      <c r="F136" s="27" t="n">
        <v>67000000</v>
      </c>
      <c r="G136" s="28" t="inlineStr">
        <is>
          <t>Housing handover evidenced (Bought/Completed) and substantially paid — revenue at contract value</t>
        </is>
      </c>
      <c r="H136" s="27" t="n">
        <v>0</v>
      </c>
      <c r="I136" s="27" t="n">
        <v>0</v>
      </c>
      <c r="J136" s="27" t="n">
        <v>47500000</v>
      </c>
      <c r="K136" s="27" t="n">
        <v>0</v>
      </c>
      <c r="L136" s="27" t="n">
        <v>0</v>
      </c>
      <c r="M136" s="27" t="n">
        <v>47500000</v>
      </c>
      <c r="N136" s="27" t="n">
        <v>0</v>
      </c>
      <c r="O136" s="27" t="n">
        <v>0</v>
      </c>
    </row>
    <row r="137">
      <c r="A137" s="26" t="inlineStr">
        <is>
          <t>SB0136</t>
        </is>
      </c>
      <c r="B137" s="26" t="inlineStr">
        <is>
          <t>Barr Keshinro Phebe Oluwatunmise</t>
        </is>
      </c>
      <c r="C137" s="26" t="inlineStr">
        <is>
          <t>Housing</t>
        </is>
      </c>
      <c r="D137" s="26" t="inlineStr">
        <is>
          <t>Pacific Apartment</t>
        </is>
      </c>
      <c r="E137" s="26" t="inlineStr">
        <is>
          <t>PAYING</t>
        </is>
      </c>
      <c r="F137" s="27" t="n">
        <v>65000000</v>
      </c>
      <c r="G137" s="28" t="inlineStr">
        <is>
          <t>Housing not yet handed over — receipts held as deferred income (contract liability)</t>
        </is>
      </c>
      <c r="H137" s="27" t="n">
        <v>0</v>
      </c>
      <c r="I137" s="27" t="n">
        <v>10000000</v>
      </c>
      <c r="J137" s="27" t="n">
        <v>0</v>
      </c>
      <c r="K137" s="27" t="n">
        <v>0</v>
      </c>
      <c r="L137" s="27" t="n">
        <v>0</v>
      </c>
      <c r="M137" s="27" t="n">
        <v>0</v>
      </c>
      <c r="N137" s="27" t="n">
        <v>0</v>
      </c>
      <c r="O137" s="27" t="n">
        <v>10000000</v>
      </c>
    </row>
    <row r="138">
      <c r="A138" s="26" t="inlineStr">
        <is>
          <t>SB0137</t>
        </is>
      </c>
      <c r="B138" s="26" t="inlineStr">
        <is>
          <t>Miss Oji Blessing Mary</t>
        </is>
      </c>
      <c r="C138" s="26" t="inlineStr">
        <is>
          <t>Land</t>
        </is>
      </c>
      <c r="D138" s="26" t="inlineStr">
        <is>
          <t>Green City Phase 3 (Omu-Epe)</t>
        </is>
      </c>
      <c r="E138" s="26" t="inlineStr">
        <is>
          <t>BOUGHT</t>
        </is>
      </c>
      <c r="F138" s="27" t="n">
        <v>4000000</v>
      </c>
      <c r="G138" s="28" t="inlineStr">
        <is>
          <t>Land control transferred (allocated / bought). Revenue at contract value</t>
        </is>
      </c>
      <c r="H138" s="27" t="n">
        <v>0</v>
      </c>
      <c r="I138" s="27" t="n">
        <v>0</v>
      </c>
      <c r="J138" s="27" t="n">
        <v>0</v>
      </c>
      <c r="K138" s="27" t="n">
        <v>0</v>
      </c>
      <c r="L138" s="27" t="n">
        <v>0</v>
      </c>
      <c r="M138" s="27" t="n">
        <v>0</v>
      </c>
      <c r="N138" s="27" t="n">
        <v>0</v>
      </c>
      <c r="O138" s="27" t="n">
        <v>0</v>
      </c>
    </row>
    <row r="139">
      <c r="A139" s="26" t="inlineStr">
        <is>
          <t>SB0138</t>
        </is>
      </c>
      <c r="B139" s="26" t="inlineStr">
        <is>
          <t>Mrs Tijani Tawa Motunrayo</t>
        </is>
      </c>
      <c r="C139" s="26" t="inlineStr">
        <is>
          <t>Land</t>
        </is>
      </c>
      <c r="D139" s="26" t="inlineStr">
        <is>
          <t>Green City Phase 3 (Omu-Epe)</t>
        </is>
      </c>
      <c r="E139" s="26" t="inlineStr">
        <is>
          <t>BOUGHT</t>
        </is>
      </c>
      <c r="F139" s="27" t="n">
        <v>2600000</v>
      </c>
      <c r="G139" s="28" t="inlineStr">
        <is>
          <t>Land control transferred (allocated / bought). Revenue at contract value</t>
        </is>
      </c>
      <c r="H139" s="27" t="n">
        <v>0</v>
      </c>
      <c r="I139" s="27" t="n">
        <v>800000</v>
      </c>
      <c r="J139" s="27" t="n">
        <v>0</v>
      </c>
      <c r="K139" s="27" t="n">
        <v>0</v>
      </c>
      <c r="L139" s="27" t="n">
        <v>800000</v>
      </c>
      <c r="M139" s="27" t="n">
        <v>0</v>
      </c>
      <c r="N139" s="27" t="n">
        <v>0</v>
      </c>
      <c r="O139" s="27" t="n">
        <v>0</v>
      </c>
    </row>
    <row r="140">
      <c r="A140" s="26" t="inlineStr">
        <is>
          <t>SB0139</t>
        </is>
      </c>
      <c r="B140" s="26" t="inlineStr">
        <is>
          <t>Mr Akinsete Michael Abayomi</t>
        </is>
      </c>
      <c r="C140" s="26" t="inlineStr">
        <is>
          <t>Land</t>
        </is>
      </c>
      <c r="D140" s="26" t="inlineStr">
        <is>
          <t>Green City Phase 2 (Ketu-Epe)</t>
        </is>
      </c>
      <c r="E140" s="26" t="inlineStr">
        <is>
          <t>PAYING</t>
        </is>
      </c>
      <c r="F140" s="27" t="n">
        <v>10700000</v>
      </c>
      <c r="G140" s="28" t="inlineStr">
        <is>
          <t>Land subscription still paying / refund / no completed status — receipts deferred</t>
        </is>
      </c>
      <c r="H140" s="27" t="n">
        <v>0</v>
      </c>
      <c r="I140" s="27" t="n">
        <v>1000000</v>
      </c>
      <c r="J140" s="27" t="n">
        <v>0</v>
      </c>
      <c r="K140" s="27" t="n">
        <v>0</v>
      </c>
      <c r="L140" s="27" t="n">
        <v>0</v>
      </c>
      <c r="M140" s="27" t="n">
        <v>0</v>
      </c>
      <c r="N140" s="27" t="n">
        <v>0</v>
      </c>
      <c r="O140" s="27" t="n">
        <v>1000000</v>
      </c>
    </row>
    <row r="141">
      <c r="A141" s="26" t="inlineStr">
        <is>
          <t>SB0140</t>
        </is>
      </c>
      <c r="B141" s="26" t="inlineStr">
        <is>
          <t>Mr Uneze Grant Chetanna</t>
        </is>
      </c>
      <c r="C141" s="26" t="inlineStr">
        <is>
          <t>Land</t>
        </is>
      </c>
      <c r="D141" s="26" t="inlineStr">
        <is>
          <t>Green City Phase 3 (Omu-Epe)</t>
        </is>
      </c>
      <c r="E141" s="26" t="inlineStr">
        <is>
          <t>BOUGHT</t>
        </is>
      </c>
      <c r="F141" s="27" t="n">
        <v>5000000</v>
      </c>
      <c r="G141" s="28" t="inlineStr">
        <is>
          <t>Land control transferred (allocated / bought). Revenue at contract value</t>
        </is>
      </c>
      <c r="H141" s="27" t="n">
        <v>0</v>
      </c>
      <c r="I141" s="27" t="n">
        <v>1500000</v>
      </c>
      <c r="J141" s="27" t="n">
        <v>0</v>
      </c>
      <c r="K141" s="27" t="n">
        <v>0</v>
      </c>
      <c r="L141" s="27" t="n">
        <v>1500000</v>
      </c>
      <c r="M141" s="27" t="n">
        <v>0</v>
      </c>
      <c r="N141" s="27" t="n">
        <v>0</v>
      </c>
      <c r="O141" s="27" t="n">
        <v>0</v>
      </c>
    </row>
    <row r="142">
      <c r="A142" s="26" t="inlineStr">
        <is>
          <t>SB0141</t>
        </is>
      </c>
      <c r="B142" s="26" t="inlineStr">
        <is>
          <t>Mr Ajiboso Damilare Moses &amp; Mrs Ajiboso Gbemisola Rachael</t>
        </is>
      </c>
      <c r="C142" s="26" t="inlineStr">
        <is>
          <t>Land</t>
        </is>
      </c>
      <c r="D142" s="26" t="inlineStr">
        <is>
          <t>Green City Phase 3 (Omu-Epe)</t>
        </is>
      </c>
      <c r="E142" s="26" t="inlineStr">
        <is>
          <t>BOUGHT</t>
        </is>
      </c>
      <c r="F142" s="27" t="n">
        <v>5000000</v>
      </c>
      <c r="G142" s="28" t="inlineStr">
        <is>
          <t>Land control transferred (allocated / bought). Revenue at contract value</t>
        </is>
      </c>
      <c r="H142" s="27" t="n">
        <v>0</v>
      </c>
      <c r="I142" s="27" t="n">
        <v>1000000</v>
      </c>
      <c r="J142" s="27" t="n">
        <v>0</v>
      </c>
      <c r="K142" s="27" t="n">
        <v>0</v>
      </c>
      <c r="L142" s="27" t="n">
        <v>1000000</v>
      </c>
      <c r="M142" s="27" t="n">
        <v>0</v>
      </c>
      <c r="N142" s="27" t="n">
        <v>0</v>
      </c>
      <c r="O142" s="27" t="n">
        <v>0</v>
      </c>
    </row>
    <row r="143">
      <c r="A143" s="26" t="inlineStr">
        <is>
          <t>SB0142</t>
        </is>
      </c>
      <c r="B143" s="26" t="inlineStr">
        <is>
          <t>Mrs Shotonwa Olamide Abosede</t>
        </is>
      </c>
      <c r="C143" s="26" t="inlineStr">
        <is>
          <t>Land</t>
        </is>
      </c>
      <c r="D143" s="26" t="inlineStr">
        <is>
          <t>Green City Phase 3 (Omu-Epe)</t>
        </is>
      </c>
      <c r="E143" s="26" t="inlineStr">
        <is>
          <t>BOUGHT</t>
        </is>
      </c>
      <c r="F143" s="27" t="n">
        <v>5000000</v>
      </c>
      <c r="G143" s="28" t="inlineStr">
        <is>
          <t>Land control transferred (allocated / bought). Revenue at contract value</t>
        </is>
      </c>
      <c r="H143" s="27" t="n">
        <v>0</v>
      </c>
      <c r="I143" s="27" t="n">
        <v>1000000</v>
      </c>
      <c r="J143" s="27" t="n">
        <v>0</v>
      </c>
      <c r="K143" s="27" t="n">
        <v>0</v>
      </c>
      <c r="L143" s="27" t="n">
        <v>1000000</v>
      </c>
      <c r="M143" s="27" t="n">
        <v>0</v>
      </c>
      <c r="N143" s="27" t="n">
        <v>0</v>
      </c>
      <c r="O143" s="27" t="n">
        <v>0</v>
      </c>
    </row>
    <row r="144">
      <c r="A144" s="26" t="inlineStr">
        <is>
          <t>SB0143</t>
        </is>
      </c>
      <c r="B144" s="26" t="inlineStr">
        <is>
          <t>Mr Iyama Godsauthority Chinedu</t>
        </is>
      </c>
      <c r="C144" s="26" t="inlineStr">
        <is>
          <t>Land</t>
        </is>
      </c>
      <c r="D144" s="26" t="inlineStr">
        <is>
          <t>Green City Phase 3 Extension (Omu-Epe)</t>
        </is>
      </c>
      <c r="E144" s="26" t="inlineStr">
        <is>
          <t>REFUND</t>
        </is>
      </c>
      <c r="F144" s="27" t="n">
        <v>2000000</v>
      </c>
      <c r="G144" s="28" t="inlineStr">
        <is>
          <t>Land subscription still paying / refund / no completed status — receipts deferred</t>
        </is>
      </c>
      <c r="H144" s="27" t="n">
        <v>0</v>
      </c>
      <c r="I144" s="27" t="n">
        <v>0</v>
      </c>
      <c r="J144" s="27" t="n">
        <v>0</v>
      </c>
      <c r="K144" s="27" t="n">
        <v>0</v>
      </c>
      <c r="L144" s="27" t="n">
        <v>0</v>
      </c>
      <c r="M144" s="27" t="n">
        <v>0</v>
      </c>
      <c r="N144" s="27" t="n">
        <v>0</v>
      </c>
      <c r="O144" s="27" t="n">
        <v>0</v>
      </c>
    </row>
    <row r="145">
      <c r="A145" s="26" t="inlineStr">
        <is>
          <t>SB0144</t>
        </is>
      </c>
      <c r="B145" s="26" t="inlineStr">
        <is>
          <t>Miss Ademakinwa Abosede Wuraola</t>
        </is>
      </c>
      <c r="C145" s="26" t="inlineStr">
        <is>
          <t>Land</t>
        </is>
      </c>
      <c r="D145" s="26" t="inlineStr">
        <is>
          <t>Green City Ibadan (Akinyele-Moniya)</t>
        </is>
      </c>
      <c r="E145" s="26" t="inlineStr">
        <is>
          <t>BOUGHT</t>
        </is>
      </c>
      <c r="F145" s="27" t="n">
        <v>2900000</v>
      </c>
      <c r="G145" s="28" t="inlineStr">
        <is>
          <t>Land control transferred (allocated / bought). Revenue at contract value</t>
        </is>
      </c>
      <c r="H145" s="27" t="n">
        <v>0</v>
      </c>
      <c r="I145" s="27" t="n">
        <v>500000</v>
      </c>
      <c r="J145" s="27" t="n">
        <v>0</v>
      </c>
      <c r="K145" s="27" t="n">
        <v>0</v>
      </c>
      <c r="L145" s="27" t="n">
        <v>1300000</v>
      </c>
      <c r="M145" s="27" t="n">
        <v>0</v>
      </c>
      <c r="N145" s="27" t="n">
        <v>800000</v>
      </c>
      <c r="O145" s="27" t="n">
        <v>0</v>
      </c>
    </row>
    <row r="146">
      <c r="A146" s="26" t="inlineStr">
        <is>
          <t>SB0145</t>
        </is>
      </c>
      <c r="B146" s="26" t="inlineStr">
        <is>
          <t>Mr Adepoju Adewale Emmanuel</t>
        </is>
      </c>
      <c r="C146" s="26" t="inlineStr">
        <is>
          <t>Land</t>
        </is>
      </c>
      <c r="D146" s="26" t="inlineStr">
        <is>
          <t>Green City Ibadan (Akinyele-Moniya)</t>
        </is>
      </c>
      <c r="E146" s="26" t="inlineStr">
        <is>
          <t>BOUGHT</t>
        </is>
      </c>
      <c r="F146" s="27" t="n">
        <v>5800000</v>
      </c>
      <c r="G146" s="28" t="inlineStr">
        <is>
          <t>Land control transferred (allocated / bought). Revenue at contract value</t>
        </is>
      </c>
      <c r="H146" s="27" t="n">
        <v>0</v>
      </c>
      <c r="I146" s="27" t="n">
        <v>1000000</v>
      </c>
      <c r="J146" s="27" t="n">
        <v>0</v>
      </c>
      <c r="K146" s="27" t="n">
        <v>0</v>
      </c>
      <c r="L146" s="27" t="n">
        <v>2600000</v>
      </c>
      <c r="M146" s="27" t="n">
        <v>0</v>
      </c>
      <c r="N146" s="27" t="n">
        <v>1600000</v>
      </c>
      <c r="O146" s="27" t="n">
        <v>0</v>
      </c>
    </row>
    <row r="147">
      <c r="A147" s="26" t="inlineStr">
        <is>
          <t>SB0146</t>
        </is>
      </c>
      <c r="B147" s="26" t="inlineStr">
        <is>
          <t>Mr Adeyanju Adebayo Samson</t>
        </is>
      </c>
      <c r="C147" s="26" t="inlineStr">
        <is>
          <t>Land</t>
        </is>
      </c>
      <c r="D147" s="26" t="inlineStr">
        <is>
          <t>Green City Ibadan (Akinyele-Moniya)</t>
        </is>
      </c>
      <c r="E147" s="26" t="inlineStr">
        <is>
          <t>BOUGHT</t>
        </is>
      </c>
      <c r="F147" s="27" t="n">
        <v>2900000</v>
      </c>
      <c r="G147" s="28" t="inlineStr">
        <is>
          <t>Land control transferred (allocated / bought). Revenue at contract value</t>
        </is>
      </c>
      <c r="H147" s="27" t="n">
        <v>0</v>
      </c>
      <c r="I147" s="27" t="n">
        <v>500000</v>
      </c>
      <c r="J147" s="27" t="n">
        <v>0</v>
      </c>
      <c r="K147" s="27" t="n">
        <v>0</v>
      </c>
      <c r="L147" s="27" t="n">
        <v>1300000</v>
      </c>
      <c r="M147" s="27" t="n">
        <v>0</v>
      </c>
      <c r="N147" s="27" t="n">
        <v>800000</v>
      </c>
      <c r="O147" s="27" t="n">
        <v>0</v>
      </c>
    </row>
    <row r="148">
      <c r="A148" s="26" t="inlineStr">
        <is>
          <t>SB0147</t>
        </is>
      </c>
      <c r="B148" s="26" t="inlineStr">
        <is>
          <t>Mrs Adepoju Adebola Adeniran</t>
        </is>
      </c>
      <c r="C148" s="26" t="inlineStr">
        <is>
          <t>Land</t>
        </is>
      </c>
      <c r="D148" s="26" t="inlineStr">
        <is>
          <t>Green City Ibadan (Akinyele-Moniya)</t>
        </is>
      </c>
      <c r="E148" s="26" t="inlineStr">
        <is>
          <t>BOUGHT</t>
        </is>
      </c>
      <c r="F148" s="27" t="n">
        <v>5800000</v>
      </c>
      <c r="G148" s="28" t="inlineStr">
        <is>
          <t>Land control transferred (allocated / bought). Revenue at contract value</t>
        </is>
      </c>
      <c r="H148" s="27" t="n">
        <v>0</v>
      </c>
      <c r="I148" s="27" t="n">
        <v>1000000</v>
      </c>
      <c r="J148" s="27" t="n">
        <v>0</v>
      </c>
      <c r="K148" s="27" t="n">
        <v>0</v>
      </c>
      <c r="L148" s="27" t="n">
        <v>2600000</v>
      </c>
      <c r="M148" s="27" t="n">
        <v>0</v>
      </c>
      <c r="N148" s="27" t="n">
        <v>1600000</v>
      </c>
      <c r="O148" s="27" t="n">
        <v>0</v>
      </c>
    </row>
    <row r="149">
      <c r="A149" s="26" t="inlineStr">
        <is>
          <t>SB0148</t>
        </is>
      </c>
      <c r="B149" s="26" t="inlineStr">
        <is>
          <t>Mr John Taiwo Adeleye</t>
        </is>
      </c>
      <c r="C149" s="26" t="inlineStr">
        <is>
          <t>Land</t>
        </is>
      </c>
      <c r="D149" s="26" t="inlineStr">
        <is>
          <t>Green City Ibadan (Akinyele-Moniya)</t>
        </is>
      </c>
      <c r="E149" s="26" t="inlineStr">
        <is>
          <t>BOUGHT</t>
        </is>
      </c>
      <c r="F149" s="27" t="n">
        <v>1500000</v>
      </c>
      <c r="G149" s="28" t="inlineStr">
        <is>
          <t>Land control transferred (allocated / bought). Revenue at contract value</t>
        </is>
      </c>
      <c r="H149" s="27" t="n">
        <v>0</v>
      </c>
      <c r="I149" s="27" t="n">
        <v>0</v>
      </c>
      <c r="J149" s="27" t="n">
        <v>0</v>
      </c>
      <c r="K149" s="27" t="n">
        <v>0</v>
      </c>
      <c r="L149" s="27" t="n">
        <v>0</v>
      </c>
      <c r="M149" s="27" t="n">
        <v>0</v>
      </c>
      <c r="N149" s="27" t="n">
        <v>0</v>
      </c>
      <c r="O149" s="27" t="n">
        <v>0</v>
      </c>
    </row>
    <row r="150">
      <c r="A150" s="26" t="inlineStr">
        <is>
          <t>SB0149</t>
        </is>
      </c>
      <c r="B150" s="26" t="inlineStr">
        <is>
          <t>Mr Shino Precious Vincent</t>
        </is>
      </c>
      <c r="C150" s="26" t="inlineStr">
        <is>
          <t>Land</t>
        </is>
      </c>
      <c r="D150" s="26" t="inlineStr">
        <is>
          <t>Green City Phase 3 Extension (Omu-Epe)</t>
        </is>
      </c>
      <c r="E150" s="26" t="inlineStr">
        <is>
          <t>MIGRATED</t>
        </is>
      </c>
      <c r="F150" s="27" t="n">
        <v>2000000</v>
      </c>
      <c r="G150" s="28" t="inlineStr">
        <is>
          <t>Land subscription still paying / refund / no completed status — receipts deferred</t>
        </is>
      </c>
      <c r="H150" s="27" t="n">
        <v>0</v>
      </c>
      <c r="I150" s="27" t="n">
        <v>300000</v>
      </c>
      <c r="J150" s="27" t="n">
        <v>0</v>
      </c>
      <c r="K150" s="27" t="n">
        <v>0</v>
      </c>
      <c r="L150" s="27" t="n">
        <v>0</v>
      </c>
      <c r="M150" s="27" t="n">
        <v>0</v>
      </c>
      <c r="N150" s="27" t="n">
        <v>0</v>
      </c>
      <c r="O150" s="27" t="n">
        <v>300000</v>
      </c>
    </row>
    <row r="151">
      <c r="A151" s="26" t="inlineStr">
        <is>
          <t>SB0150</t>
        </is>
      </c>
      <c r="B151" s="26" t="inlineStr">
        <is>
          <t>Miss Etefe Ava Ogheneyorhe</t>
        </is>
      </c>
      <c r="C151" s="26" t="inlineStr">
        <is>
          <t>Land</t>
        </is>
      </c>
      <c r="D151" s="26" t="inlineStr">
        <is>
          <t>Heritage Garden</t>
        </is>
      </c>
      <c r="E151" s="26" t="inlineStr">
        <is>
          <t>PAYING</t>
        </is>
      </c>
      <c r="F151" s="27" t="n">
        <v>1100000</v>
      </c>
      <c r="G151" s="28" t="inlineStr">
        <is>
          <t>Land subscription still paying / refund / no completed status — receipts deferred</t>
        </is>
      </c>
      <c r="H151" s="27" t="n">
        <v>0</v>
      </c>
      <c r="I151" s="27" t="n">
        <v>500000</v>
      </c>
      <c r="J151" s="27" t="n">
        <v>0</v>
      </c>
      <c r="K151" s="27" t="n">
        <v>0</v>
      </c>
      <c r="L151" s="27" t="n">
        <v>0</v>
      </c>
      <c r="M151" s="27" t="n">
        <v>0</v>
      </c>
      <c r="N151" s="27" t="n">
        <v>0</v>
      </c>
      <c r="O151" s="27" t="n">
        <v>500000</v>
      </c>
    </row>
    <row r="152">
      <c r="A152" s="26" t="inlineStr">
        <is>
          <t>SB0151</t>
        </is>
      </c>
      <c r="B152" s="26" t="inlineStr">
        <is>
          <t>Mr Okenla Olugboyega Gabriel</t>
        </is>
      </c>
      <c r="C152" s="26" t="inlineStr">
        <is>
          <t>Housing</t>
        </is>
      </c>
      <c r="D152" s="26" t="inlineStr">
        <is>
          <t>Pacific Apartment</t>
        </is>
      </c>
      <c r="E152" s="26" t="inlineStr">
        <is>
          <t>PAYING</t>
        </is>
      </c>
      <c r="F152" s="27" t="n">
        <v>75000000</v>
      </c>
      <c r="G152" s="28" t="inlineStr">
        <is>
          <t>Housing not yet handed over — receipts held as deferred income (contract liability)</t>
        </is>
      </c>
      <c r="H152" s="27" t="n">
        <v>0</v>
      </c>
      <c r="I152" s="27" t="n">
        <v>10000000</v>
      </c>
      <c r="J152" s="27" t="n">
        <v>15000000</v>
      </c>
      <c r="K152" s="27" t="n">
        <v>0</v>
      </c>
      <c r="L152" s="27" t="n">
        <v>0</v>
      </c>
      <c r="M152" s="27" t="n">
        <v>0</v>
      </c>
      <c r="N152" s="27" t="n">
        <v>0</v>
      </c>
      <c r="O152" s="27" t="n">
        <v>25000000</v>
      </c>
    </row>
    <row r="153">
      <c r="A153" s="26" t="inlineStr">
        <is>
          <t>SB0152</t>
        </is>
      </c>
      <c r="B153" s="26" t="inlineStr">
        <is>
          <t>Miss Uthman Alimat Modupe</t>
        </is>
      </c>
      <c r="C153" s="26" t="inlineStr">
        <is>
          <t>Land</t>
        </is>
      </c>
      <c r="D153" s="26" t="inlineStr">
        <is>
          <t>Green City Phase 3 Extension (Omu-Epe)</t>
        </is>
      </c>
      <c r="E153" s="26" t="inlineStr">
        <is>
          <t>REFUND</t>
        </is>
      </c>
      <c r="F153" s="27" t="n">
        <v>2000000</v>
      </c>
      <c r="G153" s="28" t="inlineStr">
        <is>
          <t>Land subscription still paying / refund / no completed status — receipts deferred</t>
        </is>
      </c>
      <c r="H153" s="27" t="n">
        <v>0</v>
      </c>
      <c r="I153" s="27" t="n">
        <v>0</v>
      </c>
      <c r="J153" s="27" t="n">
        <v>0</v>
      </c>
      <c r="K153" s="27" t="n">
        <v>0</v>
      </c>
      <c r="L153" s="27" t="n">
        <v>0</v>
      </c>
      <c r="M153" s="27" t="n">
        <v>0</v>
      </c>
      <c r="N153" s="27" t="n">
        <v>0</v>
      </c>
      <c r="O153" s="27" t="n">
        <v>0</v>
      </c>
    </row>
    <row r="154">
      <c r="A154" s="26" t="inlineStr">
        <is>
          <t>SB0153</t>
        </is>
      </c>
      <c r="B154" s="26" t="inlineStr">
        <is>
          <t>Mr Ajagbe James Olatayo</t>
        </is>
      </c>
      <c r="C154" s="26" t="inlineStr">
        <is>
          <t>Land</t>
        </is>
      </c>
      <c r="D154" s="26" t="inlineStr">
        <is>
          <t>Heritage Garden</t>
        </is>
      </c>
      <c r="E154" s="26" t="inlineStr">
        <is>
          <t>BOUGHT</t>
        </is>
      </c>
      <c r="F154" s="27" t="n">
        <v>550000</v>
      </c>
      <c r="G154" s="28" t="inlineStr">
        <is>
          <t>Land control transferred (allocated / bought). Revenue at contract value</t>
        </is>
      </c>
      <c r="H154" s="27" t="n">
        <v>0</v>
      </c>
      <c r="I154" s="27" t="n">
        <v>550000</v>
      </c>
      <c r="J154" s="27" t="n">
        <v>0</v>
      </c>
      <c r="K154" s="27" t="n">
        <v>0</v>
      </c>
      <c r="L154" s="27" t="n">
        <v>550000</v>
      </c>
      <c r="M154" s="27" t="n">
        <v>0</v>
      </c>
      <c r="N154" s="27" t="n">
        <v>0</v>
      </c>
      <c r="O154" s="27" t="n">
        <v>0</v>
      </c>
    </row>
    <row r="155">
      <c r="A155" s="26" t="inlineStr">
        <is>
          <t>SB0154</t>
        </is>
      </c>
      <c r="B155" s="26" t="inlineStr">
        <is>
          <t>Miss Arogundade Motunrayo Azeezat</t>
        </is>
      </c>
      <c r="C155" s="26" t="inlineStr">
        <is>
          <t>Land</t>
        </is>
      </c>
      <c r="D155" s="26" t="inlineStr">
        <is>
          <t>Heritage Garden</t>
        </is>
      </c>
      <c r="E155" s="26" t="inlineStr">
        <is>
          <t>BOUGHT</t>
        </is>
      </c>
      <c r="F155" s="27" t="n">
        <v>1000000</v>
      </c>
      <c r="G155" s="28" t="inlineStr">
        <is>
          <t>Land control transferred (allocated / bought). Revenue at contract value</t>
        </is>
      </c>
      <c r="H155" s="27" t="n">
        <v>0</v>
      </c>
      <c r="I155" s="27" t="n">
        <v>0</v>
      </c>
      <c r="J155" s="27" t="n">
        <v>1000000</v>
      </c>
      <c r="K155" s="27" t="n">
        <v>0</v>
      </c>
      <c r="L155" s="27" t="n">
        <v>0</v>
      </c>
      <c r="M155" s="27" t="n">
        <v>1000000</v>
      </c>
      <c r="N155" s="27" t="n">
        <v>0</v>
      </c>
      <c r="O155" s="27" t="n">
        <v>0</v>
      </c>
    </row>
    <row r="156">
      <c r="A156" s="26" t="inlineStr">
        <is>
          <t>SB0155</t>
        </is>
      </c>
      <c r="B156" s="26" t="inlineStr">
        <is>
          <t>Mr Ebosele Sunday Osabhue</t>
        </is>
      </c>
      <c r="C156" s="26" t="inlineStr">
        <is>
          <t>Housing</t>
        </is>
      </c>
      <c r="D156" s="26" t="inlineStr">
        <is>
          <t>Gorge View Court (GVC Gbagada)</t>
        </is>
      </c>
      <c r="E156" s="26" t="inlineStr">
        <is>
          <t>BOUGHT</t>
        </is>
      </c>
      <c r="F156" s="27" t="n">
        <v>250000000</v>
      </c>
      <c r="G156" s="28" t="inlineStr">
        <is>
          <t>Housing handover evidenced (Bought/Completed) and substantially paid — revenue at contract value</t>
        </is>
      </c>
      <c r="H156" s="27" t="n">
        <v>0</v>
      </c>
      <c r="I156" s="27" t="n">
        <v>0</v>
      </c>
      <c r="J156" s="27" t="n">
        <v>250000000</v>
      </c>
      <c r="K156" s="27" t="n">
        <v>0</v>
      </c>
      <c r="L156" s="27" t="n">
        <v>0</v>
      </c>
      <c r="M156" s="27" t="n">
        <v>250000000</v>
      </c>
      <c r="N156" s="27" t="n">
        <v>0</v>
      </c>
      <c r="O156" s="27" t="n">
        <v>0</v>
      </c>
    </row>
    <row r="157">
      <c r="A157" s="26" t="inlineStr">
        <is>
          <t>SB0156</t>
        </is>
      </c>
      <c r="B157" s="26" t="inlineStr">
        <is>
          <t>Mr Showande Lateef Olawale</t>
        </is>
      </c>
      <c r="C157" s="26" t="inlineStr">
        <is>
          <t>Land</t>
        </is>
      </c>
      <c r="D157" s="26" t="inlineStr">
        <is>
          <t>Green City Phase 3 (Omu-Epe)</t>
        </is>
      </c>
      <c r="E157" s="26" t="inlineStr">
        <is>
          <t>CLOSED</t>
        </is>
      </c>
      <c r="F157" s="27" t="n">
        <v>3800000</v>
      </c>
      <c r="G157" s="28" t="inlineStr">
        <is>
          <t>Land control transferred (allocated / bought). Revenue at contract value</t>
        </is>
      </c>
      <c r="H157" s="27" t="n">
        <v>0</v>
      </c>
      <c r="I157" s="27" t="n">
        <v>0</v>
      </c>
      <c r="J157" s="27" t="n">
        <v>1800000</v>
      </c>
      <c r="K157" s="27" t="n">
        <v>0</v>
      </c>
      <c r="L157" s="27" t="n">
        <v>0</v>
      </c>
      <c r="M157" s="27" t="n">
        <v>1800000</v>
      </c>
      <c r="N157" s="27" t="n">
        <v>0</v>
      </c>
      <c r="O157" s="27" t="n">
        <v>0</v>
      </c>
    </row>
    <row r="158">
      <c r="A158" s="26" t="inlineStr">
        <is>
          <t>SB0157</t>
        </is>
      </c>
      <c r="B158" s="26" t="inlineStr">
        <is>
          <t>Mrs Adenuga Damilola Grace</t>
        </is>
      </c>
      <c r="C158" s="26" t="inlineStr">
        <is>
          <t>Land</t>
        </is>
      </c>
      <c r="D158" s="26" t="inlineStr">
        <is>
          <t>Green City Phase 3 Extension (Omu-Epe)</t>
        </is>
      </c>
      <c r="E158" s="26" t="inlineStr">
        <is>
          <t>BOUGHT</t>
        </is>
      </c>
      <c r="F158" s="27" t="n">
        <v>2000000</v>
      </c>
      <c r="G158" s="28" t="inlineStr">
        <is>
          <t>Land control transferred (allocated / bought). Revenue at contract value</t>
        </is>
      </c>
      <c r="H158" s="27" t="n">
        <v>0</v>
      </c>
      <c r="I158" s="27" t="n">
        <v>0</v>
      </c>
      <c r="J158" s="27" t="n">
        <v>2000000</v>
      </c>
      <c r="K158" s="27" t="n">
        <v>0</v>
      </c>
      <c r="L158" s="27" t="n">
        <v>0</v>
      </c>
      <c r="M158" s="27" t="n">
        <v>2000000</v>
      </c>
      <c r="N158" s="27" t="n">
        <v>0</v>
      </c>
      <c r="O158" s="27" t="n">
        <v>0</v>
      </c>
    </row>
    <row r="159">
      <c r="A159" s="26" t="inlineStr">
        <is>
          <t>SB0158</t>
        </is>
      </c>
      <c r="B159" s="26" t="inlineStr">
        <is>
          <t>Miss Isawumi Daniella Mojoyin</t>
        </is>
      </c>
      <c r="C159" s="26" t="inlineStr">
        <is>
          <t>Land</t>
        </is>
      </c>
      <c r="D159" s="26" t="inlineStr">
        <is>
          <t>Heritage Garden</t>
        </is>
      </c>
      <c r="E159" s="26" t="inlineStr">
        <is>
          <t>PAYING</t>
        </is>
      </c>
      <c r="F159" s="27" t="n">
        <v>594000</v>
      </c>
      <c r="G159" s="28" t="inlineStr">
        <is>
          <t>Land subscription still paying / refund / no completed status — receipts deferred</t>
        </is>
      </c>
      <c r="H159" s="27" t="n">
        <v>0</v>
      </c>
      <c r="I159" s="27" t="n">
        <v>0</v>
      </c>
      <c r="J159" s="27" t="n">
        <v>0</v>
      </c>
      <c r="K159" s="27" t="n">
        <v>0</v>
      </c>
      <c r="L159" s="27" t="n">
        <v>0</v>
      </c>
      <c r="M159" s="27" t="n">
        <v>0</v>
      </c>
      <c r="N159" s="27" t="n">
        <v>0</v>
      </c>
      <c r="O159" s="27" t="n">
        <v>0</v>
      </c>
    </row>
    <row r="160">
      <c r="A160" s="26" t="inlineStr">
        <is>
          <t>SB0159</t>
        </is>
      </c>
      <c r="B160" s="26" t="inlineStr">
        <is>
          <t>Mr Owomoyela Abiodun Micheal</t>
        </is>
      </c>
      <c r="C160" s="26" t="inlineStr">
        <is>
          <t>Land</t>
        </is>
      </c>
      <c r="D160" s="26" t="inlineStr">
        <is>
          <t>Green City Phase 3 Extension (Omu-Epe)</t>
        </is>
      </c>
      <c r="E160" s="26" t="inlineStr">
        <is>
          <t>BOUGHT</t>
        </is>
      </c>
      <c r="F160" s="27" t="n">
        <v>3800000</v>
      </c>
      <c r="G160" s="28" t="inlineStr">
        <is>
          <t>Land control transferred (allocated / bought). Revenue at contract value</t>
        </is>
      </c>
      <c r="H160" s="27" t="n">
        <v>0</v>
      </c>
      <c r="I160" s="27" t="n">
        <v>0</v>
      </c>
      <c r="J160" s="27" t="n">
        <v>0</v>
      </c>
      <c r="K160" s="27" t="n">
        <v>0</v>
      </c>
      <c r="L160" s="27" t="n">
        <v>0</v>
      </c>
      <c r="M160" s="27" t="n">
        <v>0</v>
      </c>
      <c r="N160" s="27" t="n">
        <v>0</v>
      </c>
      <c r="O160" s="27" t="n">
        <v>0</v>
      </c>
    </row>
    <row r="161">
      <c r="A161" s="26" t="inlineStr">
        <is>
          <t>SB0160</t>
        </is>
      </c>
      <c r="B161" s="26" t="inlineStr">
        <is>
          <t>Mr Ajayi Adekunle Temitope</t>
        </is>
      </c>
      <c r="C161" s="26" t="inlineStr">
        <is>
          <t>Land</t>
        </is>
      </c>
      <c r="D161" s="26" t="inlineStr">
        <is>
          <t>Green City Ibadan (Akinyele-Moniya)</t>
        </is>
      </c>
      <c r="E161" s="26" t="inlineStr">
        <is>
          <t>BOUGHT</t>
        </is>
      </c>
      <c r="F161" s="27" t="n">
        <v>2500000</v>
      </c>
      <c r="G161" s="28" t="inlineStr">
        <is>
          <t>Land control transferred (allocated / bought). Revenue at contract value</t>
        </is>
      </c>
      <c r="H161" s="27" t="n">
        <v>0</v>
      </c>
      <c r="I161" s="27" t="n">
        <v>0</v>
      </c>
      <c r="J161" s="27" t="n">
        <v>0</v>
      </c>
      <c r="K161" s="27" t="n">
        <v>0</v>
      </c>
      <c r="L161" s="27" t="n">
        <v>0</v>
      </c>
      <c r="M161" s="27" t="n">
        <v>0</v>
      </c>
      <c r="N161" s="27" t="n">
        <v>0</v>
      </c>
      <c r="O161" s="27" t="n">
        <v>0</v>
      </c>
    </row>
    <row r="162">
      <c r="A162" s="26" t="inlineStr">
        <is>
          <t>SB0161</t>
        </is>
      </c>
      <c r="B162" s="26" t="inlineStr">
        <is>
          <t>Mr Olagbende Oluwashina Oluwaseun</t>
        </is>
      </c>
      <c r="C162" s="26" t="inlineStr">
        <is>
          <t>Housing</t>
        </is>
      </c>
      <c r="D162" s="26" t="inlineStr">
        <is>
          <t>Pacific Apartment</t>
        </is>
      </c>
      <c r="E162" s="26" t="inlineStr">
        <is>
          <t>PAYING</t>
        </is>
      </c>
      <c r="F162" s="27" t="n">
        <v>90000000</v>
      </c>
      <c r="G162" s="28" t="inlineStr">
        <is>
          <t>Housing not yet handed over — receipts held as deferred income (contract liability)</t>
        </is>
      </c>
      <c r="H162" s="27" t="n">
        <v>0</v>
      </c>
      <c r="I162" s="27" t="n">
        <v>0</v>
      </c>
      <c r="J162" s="27" t="n">
        <v>63000000</v>
      </c>
      <c r="K162" s="27" t="n">
        <v>0</v>
      </c>
      <c r="L162" s="27" t="n">
        <v>0</v>
      </c>
      <c r="M162" s="27" t="n">
        <v>0</v>
      </c>
      <c r="N162" s="27" t="n">
        <v>0</v>
      </c>
      <c r="O162" s="27" t="n">
        <v>63000000</v>
      </c>
    </row>
    <row r="163">
      <c r="A163" s="26" t="inlineStr">
        <is>
          <t>SB0162</t>
        </is>
      </c>
      <c r="B163" s="26" t="inlineStr">
        <is>
          <t>Miss Julian-Nwadi Hephzibah Chisom</t>
        </is>
      </c>
      <c r="C163" s="26" t="inlineStr">
        <is>
          <t>Land</t>
        </is>
      </c>
      <c r="D163" s="26" t="inlineStr">
        <is>
          <t>Heritage Garden</t>
        </is>
      </c>
      <c r="E163" s="26" t="inlineStr">
        <is>
          <t>BOUGHT</t>
        </is>
      </c>
      <c r="F163" s="27" t="n">
        <v>1050000</v>
      </c>
      <c r="G163" s="28" t="inlineStr">
        <is>
          <t>Land control transferred (allocated / bought). Revenue at contract value</t>
        </is>
      </c>
      <c r="H163" s="27" t="n">
        <v>0</v>
      </c>
      <c r="I163" s="27" t="n">
        <v>0</v>
      </c>
      <c r="J163" s="27" t="n">
        <v>1050000</v>
      </c>
      <c r="K163" s="27" t="n">
        <v>0</v>
      </c>
      <c r="L163" s="27" t="n">
        <v>0</v>
      </c>
      <c r="M163" s="27" t="n">
        <v>1050000</v>
      </c>
      <c r="N163" s="27" t="n">
        <v>0</v>
      </c>
      <c r="O163" s="27" t="n">
        <v>0</v>
      </c>
    </row>
    <row r="164">
      <c r="A164" s="26" t="inlineStr">
        <is>
          <t>SB0163</t>
        </is>
      </c>
      <c r="B164" s="26" t="inlineStr">
        <is>
          <t>Mr Uebari Sorbari Godwin</t>
        </is>
      </c>
      <c r="C164" s="26" t="inlineStr">
        <is>
          <t>Land</t>
        </is>
      </c>
      <c r="D164" s="26" t="inlineStr">
        <is>
          <t>Green City Phase 3 Extension (Omu-Epe)</t>
        </is>
      </c>
      <c r="E164" s="26" t="inlineStr">
        <is>
          <t>BOUGHT</t>
        </is>
      </c>
      <c r="F164" s="27" t="n">
        <v>3800000</v>
      </c>
      <c r="G164" s="28" t="inlineStr">
        <is>
          <t>Land control transferred (allocated / bought). Revenue at contract value</t>
        </is>
      </c>
      <c r="H164" s="27" t="n">
        <v>0</v>
      </c>
      <c r="I164" s="27" t="n">
        <v>500000</v>
      </c>
      <c r="J164" s="27" t="n">
        <v>0</v>
      </c>
      <c r="K164" s="27" t="n">
        <v>0</v>
      </c>
      <c r="L164" s="27" t="n">
        <v>0</v>
      </c>
      <c r="M164" s="27" t="n">
        <v>500000</v>
      </c>
      <c r="N164" s="27" t="n">
        <v>0</v>
      </c>
      <c r="O164" s="27" t="n">
        <v>0</v>
      </c>
    </row>
    <row r="165">
      <c r="A165" s="26" t="inlineStr">
        <is>
          <t>SB0164</t>
        </is>
      </c>
      <c r="B165" s="26" t="inlineStr">
        <is>
          <t>Mr Kafidipe Oladimeji Ayomikusibe</t>
        </is>
      </c>
      <c r="C165" s="26" t="inlineStr">
        <is>
          <t>Land</t>
        </is>
      </c>
      <c r="D165" s="26" t="inlineStr">
        <is>
          <t>Green Hillside</t>
        </is>
      </c>
      <c r="E165" s="26" t="inlineStr">
        <is>
          <t>BOUGHT</t>
        </is>
      </c>
      <c r="F165" s="27" t="n">
        <v>3800000</v>
      </c>
      <c r="G165" s="28" t="inlineStr">
        <is>
          <t>Land control transferred (allocated / bought). Revenue at contract value</t>
        </is>
      </c>
      <c r="H165" s="27" t="n">
        <v>0</v>
      </c>
      <c r="I165" s="27" t="n">
        <v>0</v>
      </c>
      <c r="J165" s="27" t="n">
        <v>3150000</v>
      </c>
      <c r="K165" s="27" t="n">
        <v>0</v>
      </c>
      <c r="L165" s="27" t="n">
        <v>0</v>
      </c>
      <c r="M165" s="27" t="n">
        <v>3150000</v>
      </c>
      <c r="N165" s="27" t="n">
        <v>0</v>
      </c>
      <c r="O165" s="27" t="n">
        <v>0</v>
      </c>
    </row>
    <row r="166">
      <c r="A166" s="26" t="inlineStr">
        <is>
          <t>SB0165</t>
        </is>
      </c>
      <c r="B166" s="26" t="inlineStr">
        <is>
          <t>Mr Adebanjo Isaac Olamilekan</t>
        </is>
      </c>
      <c r="C166" s="26" t="inlineStr">
        <is>
          <t>Land</t>
        </is>
      </c>
      <c r="D166" s="26" t="inlineStr">
        <is>
          <t>Green City Phase 2 (Ketu-Epe)</t>
        </is>
      </c>
      <c r="E166" s="26" t="inlineStr">
        <is>
          <t>BOUGHT</t>
        </is>
      </c>
      <c r="F166" s="27" t="n">
        <v>3000000</v>
      </c>
      <c r="G166" s="28" t="inlineStr">
        <is>
          <t>Land control transferred (allocated / bought). Revenue at contract value</t>
        </is>
      </c>
      <c r="H166" s="27" t="n">
        <v>1000000</v>
      </c>
      <c r="I166" s="27" t="n">
        <v>250000</v>
      </c>
      <c r="J166" s="27" t="n">
        <v>0</v>
      </c>
      <c r="K166" s="27" t="n">
        <v>0</v>
      </c>
      <c r="L166" s="27" t="n">
        <v>0</v>
      </c>
      <c r="M166" s="27" t="n">
        <v>1250000</v>
      </c>
      <c r="N166" s="27" t="n">
        <v>0</v>
      </c>
      <c r="O166" s="27" t="n">
        <v>0</v>
      </c>
    </row>
    <row r="167">
      <c r="A167" s="26" t="inlineStr">
        <is>
          <t>SB0166</t>
        </is>
      </c>
      <c r="B167" s="26" t="inlineStr">
        <is>
          <t>Mr Marizu Precious Chisom</t>
        </is>
      </c>
      <c r="C167" s="26" t="inlineStr">
        <is>
          <t>Land</t>
        </is>
      </c>
      <c r="D167" s="26" t="inlineStr">
        <is>
          <t>Green City Phase 3 Extension (Omu-Epe)</t>
        </is>
      </c>
      <c r="E167" s="26" t="inlineStr">
        <is>
          <t>BOUGHT</t>
        </is>
      </c>
      <c r="F167" s="27" t="n">
        <v>3800000</v>
      </c>
      <c r="G167" s="28" t="inlineStr">
        <is>
          <t>Land control transferred (allocated / bought). Revenue at contract value</t>
        </is>
      </c>
      <c r="H167" s="27" t="n">
        <v>0</v>
      </c>
      <c r="I167" s="27" t="n">
        <v>0</v>
      </c>
      <c r="J167" s="27" t="n">
        <v>3800000</v>
      </c>
      <c r="K167" s="27" t="n">
        <v>0</v>
      </c>
      <c r="L167" s="27" t="n">
        <v>0</v>
      </c>
      <c r="M167" s="27" t="n">
        <v>3800000</v>
      </c>
      <c r="N167" s="27" t="n">
        <v>0</v>
      </c>
      <c r="O167" s="27" t="n">
        <v>0</v>
      </c>
    </row>
    <row r="168">
      <c r="A168" s="26" t="inlineStr">
        <is>
          <t>SB0167</t>
        </is>
      </c>
      <c r="B168" s="26" t="inlineStr">
        <is>
          <t>Mrs Marizu Geraldine Ijeoma</t>
        </is>
      </c>
      <c r="C168" s="26" t="inlineStr">
        <is>
          <t>Land</t>
        </is>
      </c>
      <c r="D168" s="26" t="inlineStr">
        <is>
          <t>Green City Phase 3 Extension (Omu-Epe)</t>
        </is>
      </c>
      <c r="E168" s="26" t="inlineStr">
        <is>
          <t>BOUGHT</t>
        </is>
      </c>
      <c r="F168" s="27" t="n">
        <v>3800000</v>
      </c>
      <c r="G168" s="28" t="inlineStr">
        <is>
          <t>Land control transferred (allocated / bought). Revenue at contract value</t>
        </is>
      </c>
      <c r="H168" s="27" t="n">
        <v>0</v>
      </c>
      <c r="I168" s="27" t="n">
        <v>0</v>
      </c>
      <c r="J168" s="27" t="n">
        <v>3800000</v>
      </c>
      <c r="K168" s="27" t="n">
        <v>0</v>
      </c>
      <c r="L168" s="27" t="n">
        <v>0</v>
      </c>
      <c r="M168" s="27" t="n">
        <v>3800000</v>
      </c>
      <c r="N168" s="27" t="n">
        <v>0</v>
      </c>
      <c r="O168" s="27" t="n">
        <v>0</v>
      </c>
    </row>
    <row r="169">
      <c r="A169" s="26" t="inlineStr">
        <is>
          <t>SB0168</t>
        </is>
      </c>
      <c r="B169" s="26" t="inlineStr">
        <is>
          <t>Mrs Ajiri-Odeh Chioma Cynthia</t>
        </is>
      </c>
      <c r="C169" s="26" t="inlineStr">
        <is>
          <t>Land</t>
        </is>
      </c>
      <c r="D169" s="26" t="inlineStr">
        <is>
          <t>Heritage Garden</t>
        </is>
      </c>
      <c r="E169" s="26" t="inlineStr">
        <is>
          <t>BOUGHT</t>
        </is>
      </c>
      <c r="F169" s="27" t="n">
        <v>1050000</v>
      </c>
      <c r="G169" s="28" t="inlineStr">
        <is>
          <t>Land control transferred (allocated / bought). Revenue at contract value</t>
        </is>
      </c>
      <c r="H169" s="27" t="n">
        <v>0</v>
      </c>
      <c r="I169" s="27" t="n">
        <v>0</v>
      </c>
      <c r="J169" s="27" t="n">
        <v>1050000</v>
      </c>
      <c r="K169" s="27" t="n">
        <v>0</v>
      </c>
      <c r="L169" s="27" t="n">
        <v>0</v>
      </c>
      <c r="M169" s="27" t="n">
        <v>1050000</v>
      </c>
      <c r="N169" s="27" t="n">
        <v>0</v>
      </c>
      <c r="O169" s="27" t="n">
        <v>0</v>
      </c>
    </row>
    <row r="170">
      <c r="A170" s="26" t="inlineStr">
        <is>
          <t>SB0169</t>
        </is>
      </c>
      <c r="B170" s="26" t="inlineStr">
        <is>
          <t>Mr Olajide Hafeez olakunle</t>
        </is>
      </c>
      <c r="C170" s="26" t="inlineStr">
        <is>
          <t>Housing</t>
        </is>
      </c>
      <c r="D170" s="26" t="inlineStr">
        <is>
          <t>Pacific Apartment</t>
        </is>
      </c>
      <c r="E170" s="26" t="inlineStr">
        <is>
          <t>BOUGHT</t>
        </is>
      </c>
      <c r="F170" s="27" t="n">
        <v>100000000</v>
      </c>
      <c r="G170" s="28" t="inlineStr">
        <is>
          <t>Housing handover evidenced (Bought/Completed) and substantially paid — revenue at contract value</t>
        </is>
      </c>
      <c r="H170" s="27" t="n">
        <v>0</v>
      </c>
      <c r="I170" s="27" t="n">
        <v>0</v>
      </c>
      <c r="J170" s="27" t="n">
        <v>0</v>
      </c>
      <c r="K170" s="27" t="n">
        <v>0</v>
      </c>
      <c r="L170" s="27" t="n">
        <v>0</v>
      </c>
      <c r="M170" s="27" t="n">
        <v>0</v>
      </c>
      <c r="N170" s="27" t="n">
        <v>0</v>
      </c>
      <c r="O170" s="27" t="n">
        <v>0</v>
      </c>
    </row>
    <row r="171">
      <c r="A171" s="26" t="inlineStr">
        <is>
          <t>SB0170</t>
        </is>
      </c>
      <c r="B171" s="26" t="inlineStr">
        <is>
          <t>Miss Joshua Fortune Ufot</t>
        </is>
      </c>
      <c r="C171" s="26" t="inlineStr">
        <is>
          <t>Land</t>
        </is>
      </c>
      <c r="D171" s="26" t="inlineStr">
        <is>
          <t>Green Hillside</t>
        </is>
      </c>
      <c r="E171" s="26" t="inlineStr">
        <is>
          <t>BOUGHT</t>
        </is>
      </c>
      <c r="F171" s="27" t="n">
        <v>3400000</v>
      </c>
      <c r="G171" s="28" t="inlineStr">
        <is>
          <t>Land control transferred (allocated / bought). Revenue at contract value</t>
        </is>
      </c>
      <c r="H171" s="27" t="n">
        <v>0</v>
      </c>
      <c r="I171" s="27" t="n">
        <v>0</v>
      </c>
      <c r="J171" s="27" t="n">
        <v>3500000</v>
      </c>
      <c r="K171" s="27" t="n">
        <v>0</v>
      </c>
      <c r="L171" s="27" t="n">
        <v>0</v>
      </c>
      <c r="M171" s="27" t="n">
        <v>3400000</v>
      </c>
      <c r="N171" s="27" t="n">
        <v>0</v>
      </c>
      <c r="O171" s="27" t="n">
        <v>100000</v>
      </c>
    </row>
    <row r="172">
      <c r="A172" s="26" t="inlineStr">
        <is>
          <t>SB0171</t>
        </is>
      </c>
      <c r="B172" s="26" t="inlineStr">
        <is>
          <t>Mr Adebayo Adetunji Yusuff</t>
        </is>
      </c>
      <c r="C172" s="26" t="inlineStr">
        <is>
          <t>Land</t>
        </is>
      </c>
      <c r="D172" s="26" t="inlineStr">
        <is>
          <t>Green Hillside</t>
        </is>
      </c>
      <c r="E172" s="26" t="inlineStr">
        <is>
          <t>PAYING</t>
        </is>
      </c>
      <c r="F172" s="27" t="n">
        <v>1680000</v>
      </c>
      <c r="G172" s="28" t="inlineStr">
        <is>
          <t>Land subscription still paying / refund / no completed status — receipts deferred</t>
        </is>
      </c>
      <c r="H172" s="27" t="n">
        <v>0</v>
      </c>
      <c r="I172" s="27" t="n">
        <v>0</v>
      </c>
      <c r="J172" s="27" t="n">
        <v>0</v>
      </c>
      <c r="K172" s="27" t="n">
        <v>0</v>
      </c>
      <c r="L172" s="27" t="n">
        <v>0</v>
      </c>
      <c r="M172" s="27" t="n">
        <v>0</v>
      </c>
      <c r="N172" s="27" t="n">
        <v>0</v>
      </c>
      <c r="O172" s="27" t="n">
        <v>0</v>
      </c>
    </row>
    <row r="173">
      <c r="A173" s="26" t="inlineStr">
        <is>
          <t>SB0172</t>
        </is>
      </c>
      <c r="B173" s="26" t="inlineStr">
        <is>
          <t>Mr Klu Jeremiah</t>
        </is>
      </c>
      <c r="C173" s="26" t="inlineStr">
        <is>
          <t>Land</t>
        </is>
      </c>
      <c r="D173" s="26" t="inlineStr">
        <is>
          <t>Heritage Garden</t>
        </is>
      </c>
      <c r="E173" s="26" t="inlineStr">
        <is>
          <t>BOUGHT</t>
        </is>
      </c>
      <c r="F173" s="27" t="n">
        <v>2100000</v>
      </c>
      <c r="G173" s="28" t="inlineStr">
        <is>
          <t>Land control transferred (allocated / bought). Revenue at contract value</t>
        </is>
      </c>
      <c r="H173" s="27" t="n">
        <v>0</v>
      </c>
      <c r="I173" s="27" t="n">
        <v>0</v>
      </c>
      <c r="J173" s="27" t="n">
        <v>2100000</v>
      </c>
      <c r="K173" s="27" t="n">
        <v>0</v>
      </c>
      <c r="L173" s="27" t="n">
        <v>0</v>
      </c>
      <c r="M173" s="27" t="n">
        <v>2100000</v>
      </c>
      <c r="N173" s="27" t="n">
        <v>0</v>
      </c>
      <c r="O173" s="27" t="n">
        <v>0</v>
      </c>
    </row>
    <row r="174">
      <c r="A174" s="26" t="inlineStr">
        <is>
          <t>SB0173</t>
        </is>
      </c>
      <c r="B174" s="26" t="inlineStr">
        <is>
          <t>Mrs Omoko Onora Helen (Salem Real Estate Development</t>
        </is>
      </c>
      <c r="C174" s="26" t="inlineStr">
        <is>
          <t>Housing</t>
        </is>
      </c>
      <c r="D174" s="26" t="inlineStr">
        <is>
          <t>Pacific Apartment</t>
        </is>
      </c>
      <c r="E174" s="26" t="inlineStr">
        <is>
          <t>PAYING</t>
        </is>
      </c>
      <c r="F174" s="27" t="n">
        <v>98000000</v>
      </c>
      <c r="G174" s="28" t="inlineStr">
        <is>
          <t>Housing not yet handed over — receipts held as deferred income (contract liability)</t>
        </is>
      </c>
      <c r="H174" s="27" t="n">
        <v>0</v>
      </c>
      <c r="I174" s="27" t="n">
        <v>0</v>
      </c>
      <c r="J174" s="27" t="n">
        <v>41725000</v>
      </c>
      <c r="K174" s="27" t="n">
        <v>0</v>
      </c>
      <c r="L174" s="27" t="n">
        <v>0</v>
      </c>
      <c r="M174" s="27" t="n">
        <v>0</v>
      </c>
      <c r="N174" s="27" t="n">
        <v>0</v>
      </c>
      <c r="O174" s="27" t="n">
        <v>41725000</v>
      </c>
    </row>
    <row r="175">
      <c r="A175" s="26" t="inlineStr">
        <is>
          <t>SB0174</t>
        </is>
      </c>
      <c r="B175" s="26" t="inlineStr">
        <is>
          <t>Miss Olotu Tabitha Olamide</t>
        </is>
      </c>
      <c r="C175" s="26" t="inlineStr">
        <is>
          <t>Land</t>
        </is>
      </c>
      <c r="D175" s="26" t="inlineStr">
        <is>
          <t>Green Hillside</t>
        </is>
      </c>
      <c r="E175" s="26" t="inlineStr">
        <is>
          <t>BOUGHT</t>
        </is>
      </c>
      <c r="F175" s="27" t="n">
        <v>1800000</v>
      </c>
      <c r="G175" s="28" t="inlineStr">
        <is>
          <t>Land control transferred (allocated / bought). Revenue at contract value</t>
        </is>
      </c>
      <c r="H175" s="27" t="n">
        <v>0</v>
      </c>
      <c r="I175" s="27" t="n">
        <v>0</v>
      </c>
      <c r="J175" s="27" t="n">
        <v>1680000</v>
      </c>
      <c r="K175" s="27" t="n">
        <v>0</v>
      </c>
      <c r="L175" s="27" t="n">
        <v>0</v>
      </c>
      <c r="M175" s="27" t="n">
        <v>1680000</v>
      </c>
      <c r="N175" s="27" t="n">
        <v>0</v>
      </c>
      <c r="O175" s="27" t="n">
        <v>0</v>
      </c>
    </row>
    <row r="176">
      <c r="A176" s="26" t="inlineStr">
        <is>
          <t>SB0175</t>
        </is>
      </c>
      <c r="B176" s="26" t="inlineStr">
        <is>
          <t>Mr Atuanya Patrick Jideovo</t>
        </is>
      </c>
      <c r="C176" s="26" t="inlineStr">
        <is>
          <t>Land</t>
        </is>
      </c>
      <c r="D176" s="26" t="inlineStr">
        <is>
          <t>Green Hillside</t>
        </is>
      </c>
      <c r="E176" s="26" t="inlineStr">
        <is>
          <t>BOUGHT</t>
        </is>
      </c>
      <c r="F176" s="27" t="n">
        <v>1800000</v>
      </c>
      <c r="G176" s="28" t="inlineStr">
        <is>
          <t>Land control transferred (allocated / bought). Revenue at contract value</t>
        </is>
      </c>
      <c r="H176" s="27" t="n">
        <v>0</v>
      </c>
      <c r="I176" s="27" t="n">
        <v>0</v>
      </c>
      <c r="J176" s="27" t="n">
        <v>0</v>
      </c>
      <c r="K176" s="27" t="n">
        <v>0</v>
      </c>
      <c r="L176" s="27" t="n">
        <v>0</v>
      </c>
      <c r="M176" s="27" t="n">
        <v>0</v>
      </c>
      <c r="N176" s="27" t="n">
        <v>0</v>
      </c>
      <c r="O176" s="27" t="n">
        <v>0</v>
      </c>
    </row>
    <row r="177">
      <c r="A177" s="26" t="inlineStr">
        <is>
          <t>SB0176</t>
        </is>
      </c>
      <c r="B177" s="26" t="inlineStr">
        <is>
          <t>Mrs Kazeem Mariam Omotunde</t>
        </is>
      </c>
      <c r="C177" s="26" t="inlineStr">
        <is>
          <t>Land</t>
        </is>
      </c>
      <c r="D177" s="26" t="inlineStr">
        <is>
          <t>Green City Phase 3 Extension (Omu-Epe)</t>
        </is>
      </c>
      <c r="E177" s="26" t="inlineStr">
        <is>
          <t>BOUGHT</t>
        </is>
      </c>
      <c r="F177" s="27" t="n">
        <v>3800000</v>
      </c>
      <c r="G177" s="28" t="inlineStr">
        <is>
          <t>Land control transferred (allocated / bought). Revenue at contract value</t>
        </is>
      </c>
      <c r="H177" s="27" t="n">
        <v>0</v>
      </c>
      <c r="I177" s="27" t="n">
        <v>0</v>
      </c>
      <c r="J177" s="27" t="n">
        <v>3800000</v>
      </c>
      <c r="K177" s="27" t="n">
        <v>0</v>
      </c>
      <c r="L177" s="27" t="n">
        <v>0</v>
      </c>
      <c r="M177" s="27" t="n">
        <v>3800000</v>
      </c>
      <c r="N177" s="27" t="n">
        <v>0</v>
      </c>
      <c r="O177" s="27" t="n">
        <v>0</v>
      </c>
    </row>
    <row r="178">
      <c r="A178" s="26" t="inlineStr">
        <is>
          <t>SB0177</t>
        </is>
      </c>
      <c r="B178" s="26" t="inlineStr">
        <is>
          <t>Mr Olaiya Oluwatobi Emmanuel</t>
        </is>
      </c>
      <c r="C178" s="26" t="inlineStr">
        <is>
          <t>Land</t>
        </is>
      </c>
      <c r="D178" s="26" t="inlineStr">
        <is>
          <t>Green City Phase 3 Extension (Omu-Epe)</t>
        </is>
      </c>
      <c r="E178" s="26" t="inlineStr">
        <is>
          <t>PAYING</t>
        </is>
      </c>
      <c r="F178" s="27" t="n">
        <v>2000000</v>
      </c>
      <c r="G178" s="28" t="inlineStr">
        <is>
          <t>Land subscription still paying / refund / no completed status — receipts deferred</t>
        </is>
      </c>
      <c r="H178" s="27" t="n">
        <v>0</v>
      </c>
      <c r="I178" s="27" t="n">
        <v>0</v>
      </c>
      <c r="J178" s="27" t="n">
        <v>2000000</v>
      </c>
      <c r="K178" s="27" t="n">
        <v>0</v>
      </c>
      <c r="L178" s="27" t="n">
        <v>0</v>
      </c>
      <c r="M178" s="27" t="n">
        <v>0</v>
      </c>
      <c r="N178" s="27" t="n">
        <v>0</v>
      </c>
      <c r="O178" s="27" t="n">
        <v>2000000</v>
      </c>
    </row>
    <row r="179">
      <c r="A179" s="26" t="inlineStr">
        <is>
          <t>SB0178</t>
        </is>
      </c>
      <c r="B179" s="26" t="inlineStr">
        <is>
          <t>Mr &amp; Mrs Olowodagba Ganiyu</t>
        </is>
      </c>
      <c r="C179" s="26" t="inlineStr">
        <is>
          <t>Land</t>
        </is>
      </c>
      <c r="D179" s="26" t="inlineStr">
        <is>
          <t>Green Hillside</t>
        </is>
      </c>
      <c r="E179" s="26" t="inlineStr">
        <is>
          <t>BOUGHT</t>
        </is>
      </c>
      <c r="F179" s="27" t="n">
        <v>10200000</v>
      </c>
      <c r="G179" s="28" t="inlineStr">
        <is>
          <t>Land control transferred (allocated / bought). Revenue at contract value</t>
        </is>
      </c>
      <c r="H179" s="27" t="n">
        <v>0</v>
      </c>
      <c r="I179" s="27" t="n">
        <v>0</v>
      </c>
      <c r="J179" s="27" t="n">
        <v>10200000</v>
      </c>
      <c r="K179" s="27" t="n">
        <v>0</v>
      </c>
      <c r="L179" s="27" t="n">
        <v>0</v>
      </c>
      <c r="M179" s="27" t="n">
        <v>10200000</v>
      </c>
      <c r="N179" s="27" t="n">
        <v>0</v>
      </c>
      <c r="O179" s="27" t="n">
        <v>0</v>
      </c>
    </row>
    <row r="180">
      <c r="A180" s="26" t="inlineStr">
        <is>
          <t>SB0179</t>
        </is>
      </c>
      <c r="B180" s="26" t="inlineStr">
        <is>
          <t>Mr Olowodagba Olatunde Selim</t>
        </is>
      </c>
      <c r="C180" s="26" t="inlineStr">
        <is>
          <t>Land</t>
        </is>
      </c>
      <c r="D180" s="26" t="inlineStr">
        <is>
          <t>Green Hillside</t>
        </is>
      </c>
      <c r="E180" s="26" t="inlineStr">
        <is>
          <t>BOUGHT</t>
        </is>
      </c>
      <c r="F180" s="27" t="n">
        <v>3400000</v>
      </c>
      <c r="G180" s="28" t="inlineStr">
        <is>
          <t>Land control transferred (allocated / bought). Revenue at contract value</t>
        </is>
      </c>
      <c r="H180" s="27" t="n">
        <v>0</v>
      </c>
      <c r="I180" s="27" t="n">
        <v>0</v>
      </c>
      <c r="J180" s="27" t="n">
        <v>0</v>
      </c>
      <c r="K180" s="27" t="n">
        <v>0</v>
      </c>
      <c r="L180" s="27" t="n">
        <v>0</v>
      </c>
      <c r="M180" s="27" t="n">
        <v>0</v>
      </c>
      <c r="N180" s="27" t="n">
        <v>0</v>
      </c>
      <c r="O180" s="27" t="n">
        <v>0</v>
      </c>
    </row>
    <row r="181">
      <c r="A181" s="26" t="inlineStr">
        <is>
          <t>SB0180</t>
        </is>
      </c>
      <c r="B181" s="26" t="inlineStr">
        <is>
          <t>Mrs Oduomah Jumoke Olantun</t>
        </is>
      </c>
      <c r="C181" s="26" t="inlineStr">
        <is>
          <t>Land</t>
        </is>
      </c>
      <c r="D181" s="26" t="inlineStr">
        <is>
          <t>Green Hillside</t>
        </is>
      </c>
      <c r="E181" s="26" t="inlineStr">
        <is>
          <t>BOUGHT</t>
        </is>
      </c>
      <c r="F181" s="27" t="n">
        <v>1800000</v>
      </c>
      <c r="G181" s="28" t="inlineStr">
        <is>
          <t>Land control transferred (allocated / bought). Revenue at contract value</t>
        </is>
      </c>
      <c r="H181" s="27" t="n">
        <v>0</v>
      </c>
      <c r="I181" s="27" t="n">
        <v>0</v>
      </c>
      <c r="J181" s="27" t="n">
        <v>1800000</v>
      </c>
      <c r="K181" s="27" t="n">
        <v>0</v>
      </c>
      <c r="L181" s="27" t="n">
        <v>0</v>
      </c>
      <c r="M181" s="27" t="n">
        <v>1800000</v>
      </c>
      <c r="N181" s="27" t="n">
        <v>0</v>
      </c>
      <c r="O181" s="27" t="n">
        <v>0</v>
      </c>
    </row>
    <row r="182">
      <c r="A182" s="26" t="inlineStr">
        <is>
          <t>SB0181</t>
        </is>
      </c>
      <c r="B182" s="26" t="inlineStr">
        <is>
          <t>Dr Wilson Esangbedo</t>
        </is>
      </c>
      <c r="C182" s="26" t="inlineStr">
        <is>
          <t>Housing</t>
        </is>
      </c>
      <c r="D182" s="26" t="inlineStr">
        <is>
          <t>Pacific Apartment</t>
        </is>
      </c>
      <c r="E182" s="26" t="inlineStr">
        <is>
          <t>PAYING</t>
        </is>
      </c>
      <c r="F182" s="27" t="n">
        <v>80000000</v>
      </c>
      <c r="G182" s="28" t="inlineStr">
        <is>
          <t>Housing not yet handed over — receipts held as deferred income (contract liability)</t>
        </is>
      </c>
      <c r="H182" s="27" t="n">
        <v>0</v>
      </c>
      <c r="I182" s="27" t="n">
        <v>0</v>
      </c>
      <c r="J182" s="27" t="n">
        <v>64000000</v>
      </c>
      <c r="K182" s="27" t="n">
        <v>0</v>
      </c>
      <c r="L182" s="27" t="n">
        <v>0</v>
      </c>
      <c r="M182" s="27" t="n">
        <v>0</v>
      </c>
      <c r="N182" s="27" t="n">
        <v>0</v>
      </c>
      <c r="O182" s="27" t="n">
        <v>64000000</v>
      </c>
    </row>
    <row r="183">
      <c r="A183" s="26" t="inlineStr">
        <is>
          <t>SB0182</t>
        </is>
      </c>
      <c r="B183" s="26" t="inlineStr">
        <is>
          <t>Mrs Enitan Pine</t>
        </is>
      </c>
      <c r="C183" s="26" t="inlineStr">
        <is>
          <t>Housing</t>
        </is>
      </c>
      <c r="D183" s="26" t="inlineStr">
        <is>
          <t>Pacific Apartment</t>
        </is>
      </c>
      <c r="E183" s="26" t="inlineStr">
        <is>
          <t>PAYING</t>
        </is>
      </c>
      <c r="F183" s="27" t="n">
        <v>85000000</v>
      </c>
      <c r="G183" s="28" t="inlineStr">
        <is>
          <t>Housing not yet handed over — receipts held as deferred income (contract liability)</t>
        </is>
      </c>
      <c r="H183" s="27" t="n">
        <v>0</v>
      </c>
      <c r="I183" s="27" t="n">
        <v>0</v>
      </c>
      <c r="J183" s="27" t="n">
        <v>5000000</v>
      </c>
      <c r="K183" s="27" t="n">
        <v>0</v>
      </c>
      <c r="L183" s="27" t="n">
        <v>0</v>
      </c>
      <c r="M183" s="27" t="n">
        <v>0</v>
      </c>
      <c r="N183" s="27" t="n">
        <v>0</v>
      </c>
      <c r="O183" s="27" t="n">
        <v>5000000</v>
      </c>
    </row>
    <row r="184">
      <c r="A184" s="26" t="inlineStr">
        <is>
          <t>SB0183</t>
        </is>
      </c>
      <c r="B184" s="26" t="inlineStr">
        <is>
          <t>Mr Haruna Adekunle Waheed</t>
        </is>
      </c>
      <c r="C184" s="26" t="inlineStr">
        <is>
          <t>Land</t>
        </is>
      </c>
      <c r="D184" s="26" t="inlineStr">
        <is>
          <t>Green City Phase 3 (Omu-Epe)</t>
        </is>
      </c>
      <c r="E184" s="26" t="inlineStr">
        <is>
          <t>BOUGHT</t>
        </is>
      </c>
      <c r="F184" s="27" t="n">
        <v>7500000</v>
      </c>
      <c r="G184" s="28" t="inlineStr">
        <is>
          <t>Land control transferred (allocated / bought). Revenue at contract value</t>
        </is>
      </c>
      <c r="H184" s="27" t="n">
        <v>0</v>
      </c>
      <c r="I184" s="27" t="n">
        <v>0</v>
      </c>
      <c r="J184" s="27" t="n">
        <v>7500000</v>
      </c>
      <c r="K184" s="27" t="n">
        <v>0</v>
      </c>
      <c r="L184" s="27" t="n">
        <v>0</v>
      </c>
      <c r="M184" s="27" t="n">
        <v>7500000</v>
      </c>
      <c r="N184" s="27" t="n">
        <v>0</v>
      </c>
      <c r="O184" s="27" t="n">
        <v>0</v>
      </c>
    </row>
    <row r="185">
      <c r="A185" s="26" t="inlineStr">
        <is>
          <t>SB0184</t>
        </is>
      </c>
      <c r="B185" s="26" t="inlineStr">
        <is>
          <t>Mr Agbim Ikechukwu Godson</t>
        </is>
      </c>
      <c r="C185" s="26" t="inlineStr">
        <is>
          <t>Land</t>
        </is>
      </c>
      <c r="D185" s="26" t="inlineStr">
        <is>
          <t>Green City Phase 1 (Lantaba, Ketu-Epe)</t>
        </is>
      </c>
      <c r="E185" s="26" t="inlineStr">
        <is>
          <t>BOUGHT</t>
        </is>
      </c>
      <c r="F185" s="27" t="n">
        <v>4620000</v>
      </c>
      <c r="G185" s="28" t="inlineStr">
        <is>
          <t>Land control transferred (allocated / bought). Revenue at contract value</t>
        </is>
      </c>
      <c r="H185" s="27" t="n">
        <v>0</v>
      </c>
      <c r="I185" s="27" t="n">
        <v>0</v>
      </c>
      <c r="J185" s="27" t="n">
        <v>0</v>
      </c>
      <c r="K185" s="27" t="n">
        <v>0</v>
      </c>
      <c r="L185" s="27" t="n">
        <v>0</v>
      </c>
      <c r="M185" s="27" t="n">
        <v>0</v>
      </c>
      <c r="N185" s="27" t="n">
        <v>0</v>
      </c>
      <c r="O185" s="27" t="n">
        <v>0</v>
      </c>
    </row>
    <row r="186">
      <c r="A186" s="26" t="inlineStr">
        <is>
          <t>SB0185</t>
        </is>
      </c>
      <c r="B186" s="26" t="inlineStr">
        <is>
          <t>Miss Awonorin Oluwamayowa Aduragbemi</t>
        </is>
      </c>
      <c r="C186" s="26" t="inlineStr">
        <is>
          <t>Land</t>
        </is>
      </c>
      <c r="D186" s="26" t="inlineStr">
        <is>
          <t>Green City Ibadan (Akinyele-Moniya)</t>
        </is>
      </c>
      <c r="E186" s="26" t="inlineStr">
        <is>
          <t>BOUGHT</t>
        </is>
      </c>
      <c r="F186" s="27" t="n">
        <v>1350000</v>
      </c>
      <c r="G186" s="28" t="inlineStr">
        <is>
          <t>Land control transferred (allocated / bought). Revenue at contract value</t>
        </is>
      </c>
      <c r="H186" s="27" t="n">
        <v>0</v>
      </c>
      <c r="I186" s="27" t="n">
        <v>0</v>
      </c>
      <c r="J186" s="27" t="n">
        <v>0</v>
      </c>
      <c r="K186" s="27" t="n">
        <v>0</v>
      </c>
      <c r="L186" s="27" t="n">
        <v>0</v>
      </c>
      <c r="M186" s="27" t="n">
        <v>0</v>
      </c>
      <c r="N186" s="27" t="n">
        <v>0</v>
      </c>
      <c r="O186" s="27" t="n">
        <v>0</v>
      </c>
    </row>
    <row r="187">
      <c r="A187" s="26" t="inlineStr">
        <is>
          <t>SB0186</t>
        </is>
      </c>
      <c r="B187" s="26" t="inlineStr">
        <is>
          <t>Mr Akinruntan Adeyinka Benson</t>
        </is>
      </c>
      <c r="C187" s="26" t="inlineStr">
        <is>
          <t>Land</t>
        </is>
      </c>
      <c r="D187" s="26" t="inlineStr">
        <is>
          <t>Green Hillside</t>
        </is>
      </c>
      <c r="E187" s="26" t="inlineStr">
        <is>
          <t>BOUGHT</t>
        </is>
      </c>
      <c r="F187" s="27" t="n">
        <v>2500000</v>
      </c>
      <c r="G187" s="28" t="inlineStr">
        <is>
          <t>Land control transferred (allocated / bought). Revenue at contract value</t>
        </is>
      </c>
      <c r="H187" s="27" t="n">
        <v>0</v>
      </c>
      <c r="I187" s="27" t="n">
        <v>0</v>
      </c>
      <c r="J187" s="27" t="n">
        <v>2500000</v>
      </c>
      <c r="K187" s="27" t="n">
        <v>0</v>
      </c>
      <c r="L187" s="27" t="n">
        <v>0</v>
      </c>
      <c r="M187" s="27" t="n">
        <v>2500000</v>
      </c>
      <c r="N187" s="27" t="n">
        <v>0</v>
      </c>
      <c r="O187" s="27" t="n">
        <v>0</v>
      </c>
    </row>
    <row r="188">
      <c r="A188" s="26" t="inlineStr">
        <is>
          <t>SB0187</t>
        </is>
      </c>
      <c r="B188" s="26" t="inlineStr">
        <is>
          <t>Landnest Homes and Properties (Mrs. Abimbola)</t>
        </is>
      </c>
      <c r="C188" s="26" t="inlineStr">
        <is>
          <t>Housing</t>
        </is>
      </c>
      <c r="D188" s="26" t="inlineStr">
        <is>
          <t>Baay Foreshore</t>
        </is>
      </c>
      <c r="E188" s="26" t="inlineStr">
        <is>
          <t>PAYING</t>
        </is>
      </c>
      <c r="F188" s="27" t="n">
        <v>40100000</v>
      </c>
      <c r="G188" s="28" t="inlineStr">
        <is>
          <t>Housing not yet handed over — receipts held as deferred income (contract liability)</t>
        </is>
      </c>
      <c r="H188" s="27" t="n">
        <v>0</v>
      </c>
      <c r="I188" s="27" t="n">
        <v>0</v>
      </c>
      <c r="J188" s="27" t="n">
        <v>0</v>
      </c>
      <c r="K188" s="27" t="n">
        <v>0</v>
      </c>
      <c r="L188" s="27" t="n">
        <v>0</v>
      </c>
      <c r="M188" s="27" t="n">
        <v>0</v>
      </c>
      <c r="N188" s="27" t="n">
        <v>0</v>
      </c>
      <c r="O188" s="27" t="n">
        <v>0</v>
      </c>
    </row>
    <row r="189">
      <c r="A189" s="26" t="inlineStr">
        <is>
          <t>SB0188</t>
        </is>
      </c>
      <c r="B189" s="26" t="inlineStr">
        <is>
          <t>Miss Yesher Yakubu &amp; Miss Hadassah Yakubu</t>
        </is>
      </c>
      <c r="C189" s="26" t="inlineStr">
        <is>
          <t>Housing</t>
        </is>
      </c>
      <c r="D189" s="26" t="inlineStr">
        <is>
          <t>Pacific Apartment</t>
        </is>
      </c>
      <c r="E189" s="26" t="inlineStr">
        <is>
          <t>COMPLETED</t>
        </is>
      </c>
      <c r="F189" s="27" t="n">
        <v>112500000</v>
      </c>
      <c r="G189" s="28" t="inlineStr">
        <is>
          <t>Housing handover evidenced (Bought/Completed) and substantially paid — revenue at contract value</t>
        </is>
      </c>
      <c r="H189" s="27" t="n">
        <v>0</v>
      </c>
      <c r="I189" s="27" t="n">
        <v>0</v>
      </c>
      <c r="J189" s="27" t="n">
        <v>81600000</v>
      </c>
      <c r="K189" s="27" t="n">
        <v>0</v>
      </c>
      <c r="L189" s="27" t="n">
        <v>0</v>
      </c>
      <c r="M189" s="27" t="n">
        <v>81600000</v>
      </c>
      <c r="N189" s="27" t="n">
        <v>0</v>
      </c>
      <c r="O189" s="27" t="n">
        <v>0</v>
      </c>
    </row>
    <row r="190">
      <c r="A190" s="26" t="inlineStr">
        <is>
          <t>SB0189</t>
        </is>
      </c>
      <c r="B190" s="26" t="inlineStr">
        <is>
          <t>Mr Ogbomah Ebi Wilfred</t>
        </is>
      </c>
      <c r="C190" s="26" t="inlineStr">
        <is>
          <t>Housing</t>
        </is>
      </c>
      <c r="D190" s="26" t="inlineStr">
        <is>
          <t>Pacific Apartment</t>
        </is>
      </c>
      <c r="E190" s="26" t="inlineStr">
        <is>
          <t>COMPLETED</t>
        </is>
      </c>
      <c r="F190" s="27" t="n">
        <v>112500000</v>
      </c>
      <c r="G190" s="28" t="inlineStr">
        <is>
          <t>Housing handover evidenced (Bought/Completed) and substantially paid — revenue at contract value</t>
        </is>
      </c>
      <c r="H190" s="27" t="n">
        <v>0</v>
      </c>
      <c r="I190" s="27" t="n">
        <v>0</v>
      </c>
      <c r="J190" s="27" t="n">
        <v>142500000</v>
      </c>
      <c r="K190" s="27" t="n">
        <v>0</v>
      </c>
      <c r="L190" s="27" t="n">
        <v>0</v>
      </c>
      <c r="M190" s="27" t="n">
        <v>112500000</v>
      </c>
      <c r="N190" s="27" t="n">
        <v>0</v>
      </c>
      <c r="O190" s="27" t="n">
        <v>30000000</v>
      </c>
    </row>
    <row r="191">
      <c r="A191" s="26" t="inlineStr">
        <is>
          <t>SB0190</t>
        </is>
      </c>
      <c r="B191" s="26" t="inlineStr">
        <is>
          <t>Mr Akinjogunla Isaac Ogooluwa</t>
        </is>
      </c>
      <c r="C191" s="26" t="inlineStr">
        <is>
          <t>Housing</t>
        </is>
      </c>
      <c r="D191" s="26" t="inlineStr">
        <is>
          <t>Pacific Apartment</t>
        </is>
      </c>
      <c r="E191" s="26" t="inlineStr">
        <is>
          <t>PAYING</t>
        </is>
      </c>
      <c r="F191" s="27" t="n">
        <v>138000000</v>
      </c>
      <c r="G191" s="28" t="inlineStr">
        <is>
          <t>Housing not yet handed over — receipts held as deferred income (contract liability)</t>
        </is>
      </c>
      <c r="H191" s="27" t="n">
        <v>0</v>
      </c>
      <c r="I191" s="27" t="n">
        <v>0</v>
      </c>
      <c r="J191" s="27" t="n">
        <v>50000000</v>
      </c>
      <c r="K191" s="27" t="n">
        <v>0</v>
      </c>
      <c r="L191" s="27" t="n">
        <v>0</v>
      </c>
      <c r="M191" s="27" t="n">
        <v>0</v>
      </c>
      <c r="N191" s="27" t="n">
        <v>0</v>
      </c>
      <c r="O191" s="27" t="n">
        <v>50000000</v>
      </c>
    </row>
    <row r="192">
      <c r="A192" s="26" t="inlineStr">
        <is>
          <t>SB0191</t>
        </is>
      </c>
      <c r="B192" s="26" t="inlineStr">
        <is>
          <t>Landnest Homes and Properties (Dr. Oladeji Ifeoluwa)</t>
        </is>
      </c>
      <c r="C192" s="26" t="inlineStr">
        <is>
          <t>Housing</t>
        </is>
      </c>
      <c r="D192" s="26" t="inlineStr">
        <is>
          <t>Baay Foreshore</t>
        </is>
      </c>
      <c r="E192" s="26" t="inlineStr">
        <is>
          <t>PAYING</t>
        </is>
      </c>
      <c r="F192" s="27" t="n">
        <v>40100000</v>
      </c>
      <c r="G192" s="28" t="inlineStr">
        <is>
          <t>Housing not yet handed over — receipts held as deferred income (contract liability)</t>
        </is>
      </c>
      <c r="H192" s="27" t="n">
        <v>0</v>
      </c>
      <c r="I192" s="27" t="n">
        <v>0</v>
      </c>
      <c r="J192" s="27" t="n">
        <v>5000000</v>
      </c>
      <c r="K192" s="27" t="n">
        <v>0</v>
      </c>
      <c r="L192" s="27" t="n">
        <v>0</v>
      </c>
      <c r="M192" s="27" t="n">
        <v>0</v>
      </c>
      <c r="N192" s="27" t="n">
        <v>0</v>
      </c>
      <c r="O192" s="27" t="n">
        <v>5000000</v>
      </c>
    </row>
    <row r="193">
      <c r="A193" s="26" t="inlineStr">
        <is>
          <t>SB0192</t>
        </is>
      </c>
      <c r="B193" s="26" t="inlineStr">
        <is>
          <t>Landnest Homes and Properties(Mrs. Beatrice)</t>
        </is>
      </c>
      <c r="C193" s="26" t="inlineStr">
        <is>
          <t>Housing</t>
        </is>
      </c>
      <c r="D193" s="26" t="inlineStr">
        <is>
          <t>Baay Foreshore</t>
        </is>
      </c>
      <c r="E193" s="26" t="inlineStr">
        <is>
          <t>PAYING</t>
        </is>
      </c>
      <c r="F193" s="27" t="n">
        <v>40100000</v>
      </c>
      <c r="G193" s="28" t="inlineStr">
        <is>
          <t>Housing not yet handed over — receipts held as deferred income (contract liability)</t>
        </is>
      </c>
      <c r="H193" s="27" t="n">
        <v>0</v>
      </c>
      <c r="I193" s="27" t="n">
        <v>0</v>
      </c>
      <c r="J193" s="27" t="n">
        <v>0</v>
      </c>
      <c r="K193" s="27" t="n">
        <v>0</v>
      </c>
      <c r="L193" s="27" t="n">
        <v>0</v>
      </c>
      <c r="M193" s="27" t="n">
        <v>0</v>
      </c>
      <c r="N193" s="27" t="n">
        <v>0</v>
      </c>
      <c r="O193" s="27" t="n">
        <v>0</v>
      </c>
    </row>
    <row r="194">
      <c r="A194" s="26" t="inlineStr">
        <is>
          <t>SB0193</t>
        </is>
      </c>
      <c r="B194" s="26" t="inlineStr">
        <is>
          <t>Landnest Homes and Properties (Dr, Olusola Areo)</t>
        </is>
      </c>
      <c r="C194" s="26" t="inlineStr">
        <is>
          <t>Housing</t>
        </is>
      </c>
      <c r="D194" s="26" t="inlineStr">
        <is>
          <t>Baay Foreshore</t>
        </is>
      </c>
      <c r="E194" s="26" t="inlineStr">
        <is>
          <t>PAYING</t>
        </is>
      </c>
      <c r="F194" s="27" t="n">
        <v>40100000</v>
      </c>
      <c r="G194" s="28" t="inlineStr">
        <is>
          <t>Housing not yet handed over — receipts held as deferred income (contract liability)</t>
        </is>
      </c>
      <c r="H194" s="27" t="n">
        <v>0</v>
      </c>
      <c r="I194" s="27" t="n">
        <v>0</v>
      </c>
      <c r="J194" s="27" t="n">
        <v>5000000</v>
      </c>
      <c r="K194" s="27" t="n">
        <v>0</v>
      </c>
      <c r="L194" s="27" t="n">
        <v>0</v>
      </c>
      <c r="M194" s="27" t="n">
        <v>0</v>
      </c>
      <c r="N194" s="27" t="n">
        <v>0</v>
      </c>
      <c r="O194" s="27" t="n">
        <v>5000000</v>
      </c>
    </row>
    <row r="195">
      <c r="A195" s="26" t="inlineStr">
        <is>
          <t>SB0194</t>
        </is>
      </c>
      <c r="B195" s="26" t="inlineStr">
        <is>
          <t>Landnest Homes and Properties(Mrs. Lukoh)</t>
        </is>
      </c>
      <c r="C195" s="26" t="inlineStr">
        <is>
          <t>Housing</t>
        </is>
      </c>
      <c r="D195" s="26" t="inlineStr">
        <is>
          <t>Baay Foreshore</t>
        </is>
      </c>
      <c r="E195" s="26" t="inlineStr">
        <is>
          <t>PAID</t>
        </is>
      </c>
      <c r="F195" s="27" t="n">
        <v>37000000</v>
      </c>
      <c r="G195" s="28" t="inlineStr">
        <is>
          <t>Housing marked paid and register paid-to-date supports handover — revenue at contract value</t>
        </is>
      </c>
      <c r="H195" s="27" t="n">
        <v>0</v>
      </c>
      <c r="I195" s="27" t="n">
        <v>0</v>
      </c>
      <c r="J195" s="27" t="n">
        <v>0</v>
      </c>
      <c r="K195" s="27" t="n">
        <v>0</v>
      </c>
      <c r="L195" s="27" t="n">
        <v>0</v>
      </c>
      <c r="M195" s="27" t="n">
        <v>0</v>
      </c>
      <c r="N195" s="27" t="n">
        <v>0</v>
      </c>
      <c r="O195" s="27" t="n">
        <v>0</v>
      </c>
    </row>
    <row r="196">
      <c r="A196" s="26" t="inlineStr">
        <is>
          <t>SB0195</t>
        </is>
      </c>
      <c r="B196" s="26" t="inlineStr">
        <is>
          <t>Mr. Adeniji Oluwatosin Ademola</t>
        </is>
      </c>
      <c r="C196" s="26" t="inlineStr">
        <is>
          <t>Housing</t>
        </is>
      </c>
      <c r="D196" s="26" t="inlineStr">
        <is>
          <t>Baay Foreshore</t>
        </is>
      </c>
      <c r="E196" s="26" t="inlineStr">
        <is>
          <t>PAYING</t>
        </is>
      </c>
      <c r="F196" s="27" t="n">
        <v>34000000</v>
      </c>
      <c r="G196" s="28" t="inlineStr">
        <is>
          <t>Housing not yet handed over — receipts held as deferred income (contract liability)</t>
        </is>
      </c>
      <c r="H196" s="27" t="n">
        <v>0</v>
      </c>
      <c r="I196" s="27" t="n">
        <v>0</v>
      </c>
      <c r="J196" s="27" t="n">
        <v>20000000</v>
      </c>
      <c r="K196" s="27" t="n">
        <v>0</v>
      </c>
      <c r="L196" s="27" t="n">
        <v>0</v>
      </c>
      <c r="M196" s="27" t="n">
        <v>0</v>
      </c>
      <c r="N196" s="27" t="n">
        <v>0</v>
      </c>
      <c r="O196" s="27" t="n">
        <v>20000000</v>
      </c>
    </row>
    <row r="197">
      <c r="A197" s="26" t="inlineStr">
        <is>
          <t>SB0196</t>
        </is>
      </c>
      <c r="B197" s="26" t="inlineStr">
        <is>
          <t>Mr. Shino Precious Vincent</t>
        </is>
      </c>
      <c r="C197" s="26" t="inlineStr">
        <is>
          <t>Land</t>
        </is>
      </c>
      <c r="D197" s="26" t="inlineStr">
        <is>
          <t>Heritage Garden</t>
        </is>
      </c>
      <c r="E197" s="26" t="inlineStr">
        <is>
          <t>BOUGHT</t>
        </is>
      </c>
      <c r="F197" s="27" t="n">
        <v>1300000</v>
      </c>
      <c r="G197" s="28" t="inlineStr">
        <is>
          <t>Land control transferred (allocated / bought). Revenue at contract value</t>
        </is>
      </c>
      <c r="H197" s="27" t="n">
        <v>0</v>
      </c>
      <c r="I197" s="27" t="n">
        <v>0</v>
      </c>
      <c r="J197" s="27" t="n">
        <v>0</v>
      </c>
      <c r="K197" s="27" t="n">
        <v>0</v>
      </c>
      <c r="L197" s="27" t="n">
        <v>0</v>
      </c>
      <c r="M197" s="27" t="n">
        <v>0</v>
      </c>
      <c r="N197" s="27" t="n">
        <v>0</v>
      </c>
      <c r="O197" s="27" t="n">
        <v>0</v>
      </c>
    </row>
    <row r="198">
      <c r="A198" s="26" t="inlineStr">
        <is>
          <t>SB0197</t>
        </is>
      </c>
      <c r="B198" s="26" t="inlineStr">
        <is>
          <t>Miss Thomas Oluwabukola Comfort</t>
        </is>
      </c>
      <c r="C198" s="26" t="inlineStr">
        <is>
          <t>Land</t>
        </is>
      </c>
      <c r="D198" s="26" t="inlineStr">
        <is>
          <t>Green City Phase 3 Extension (Omu-Epe)</t>
        </is>
      </c>
      <c r="E198" s="26" t="inlineStr">
        <is>
          <t>BOUGHT</t>
        </is>
      </c>
      <c r="F198" s="27" t="n">
        <v>2500000</v>
      </c>
      <c r="G198" s="28" t="inlineStr">
        <is>
          <t>Land control transferred (allocated / bought). Revenue at contract value</t>
        </is>
      </c>
      <c r="H198" s="27" t="n">
        <v>0</v>
      </c>
      <c r="I198" s="27" t="n">
        <v>200000</v>
      </c>
      <c r="J198" s="27" t="n">
        <v>0</v>
      </c>
      <c r="K198" s="27" t="n">
        <v>0</v>
      </c>
      <c r="L198" s="27" t="n">
        <v>0</v>
      </c>
      <c r="M198" s="27" t="n">
        <v>200000</v>
      </c>
      <c r="N198" s="27" t="n">
        <v>0</v>
      </c>
      <c r="O198" s="27" t="n">
        <v>0</v>
      </c>
    </row>
    <row r="199">
      <c r="A199" s="26" t="inlineStr">
        <is>
          <t>SB0198</t>
        </is>
      </c>
      <c r="B199" s="26" t="inlineStr">
        <is>
          <t>Landnest Homes &amp; Properties (Mrs Abiodun Ayomipo Hannah)</t>
        </is>
      </c>
      <c r="C199" s="26" t="inlineStr">
        <is>
          <t>Housing</t>
        </is>
      </c>
      <c r="D199" s="26" t="inlineStr">
        <is>
          <t>Baay Foreshore</t>
        </is>
      </c>
      <c r="E199" s="26" t="inlineStr">
        <is>
          <t>PAYING</t>
        </is>
      </c>
      <c r="F199" s="27" t="n">
        <v>40100000</v>
      </c>
      <c r="G199" s="28" t="inlineStr">
        <is>
          <t>Housing not yet handed over — receipts held as deferred income (contract liability)</t>
        </is>
      </c>
      <c r="H199" s="27" t="n">
        <v>0</v>
      </c>
      <c r="I199" s="27" t="n">
        <v>0</v>
      </c>
      <c r="J199" s="27" t="n">
        <v>0</v>
      </c>
      <c r="K199" s="27" t="n">
        <v>0</v>
      </c>
      <c r="L199" s="27" t="n">
        <v>0</v>
      </c>
      <c r="M199" s="27" t="n">
        <v>0</v>
      </c>
      <c r="N199" s="27" t="n">
        <v>0</v>
      </c>
      <c r="O199" s="27" t="n">
        <v>0</v>
      </c>
    </row>
    <row r="200">
      <c r="A200" s="26" t="inlineStr">
        <is>
          <t>SB0199</t>
        </is>
      </c>
      <c r="B200" s="26" t="inlineStr">
        <is>
          <t>Landnest Homes and Properties (Mrs. Ayomiposi)</t>
        </is>
      </c>
      <c r="C200" s="26" t="inlineStr">
        <is>
          <t>Housing</t>
        </is>
      </c>
      <c r="D200" s="26" t="inlineStr">
        <is>
          <t>Baay Foreshore</t>
        </is>
      </c>
      <c r="E200" s="26" t="inlineStr">
        <is>
          <t>PAYING</t>
        </is>
      </c>
      <c r="F200" s="27" t="n">
        <v>40100000</v>
      </c>
      <c r="G200" s="28" t="inlineStr">
        <is>
          <t>Housing not yet handed over — receipts held as deferred income (contract liability)</t>
        </is>
      </c>
      <c r="H200" s="27" t="n">
        <v>0</v>
      </c>
      <c r="I200" s="27" t="n">
        <v>0</v>
      </c>
      <c r="J200" s="27" t="n">
        <v>0</v>
      </c>
      <c r="K200" s="27" t="n">
        <v>0</v>
      </c>
      <c r="L200" s="27" t="n">
        <v>0</v>
      </c>
      <c r="M200" s="27" t="n">
        <v>0</v>
      </c>
      <c r="N200" s="27" t="n">
        <v>0</v>
      </c>
      <c r="O200" s="27" t="n">
        <v>0</v>
      </c>
    </row>
    <row r="201">
      <c r="A201" s="26" t="inlineStr">
        <is>
          <t>SB0200</t>
        </is>
      </c>
      <c r="B201" s="26" t="inlineStr">
        <is>
          <t>Mrs. Taiwo Adeyinka</t>
        </is>
      </c>
      <c r="C201" s="26" t="inlineStr">
        <is>
          <t>Housing</t>
        </is>
      </c>
      <c r="D201" s="26" t="inlineStr">
        <is>
          <t>Baay Foreshore</t>
        </is>
      </c>
      <c r="E201" s="26" t="inlineStr">
        <is>
          <t>PAYING</t>
        </is>
      </c>
      <c r="F201" s="27" t="n">
        <v>68000000</v>
      </c>
      <c r="G201" s="28" t="inlineStr">
        <is>
          <t>Housing not yet handed over — receipts held as deferred income (contract liability)</t>
        </is>
      </c>
      <c r="H201" s="27" t="n">
        <v>0</v>
      </c>
      <c r="I201" s="27" t="n">
        <v>0</v>
      </c>
      <c r="J201" s="27" t="n">
        <v>35000000</v>
      </c>
      <c r="K201" s="27" t="n">
        <v>0</v>
      </c>
      <c r="L201" s="27" t="n">
        <v>0</v>
      </c>
      <c r="M201" s="27" t="n">
        <v>0</v>
      </c>
      <c r="N201" s="27" t="n">
        <v>0</v>
      </c>
      <c r="O201" s="27" t="n">
        <v>35000000</v>
      </c>
    </row>
    <row r="202">
      <c r="A202" s="26" t="inlineStr">
        <is>
          <t>SB0201</t>
        </is>
      </c>
      <c r="B202" s="26" t="inlineStr">
        <is>
          <t>Mr. Adelani Ibrahim Akinkunmi</t>
        </is>
      </c>
      <c r="C202" s="26" t="inlineStr">
        <is>
          <t>Housing</t>
        </is>
      </c>
      <c r="D202" s="26" t="inlineStr">
        <is>
          <t>Baay Foreshore</t>
        </is>
      </c>
      <c r="E202" s="26" t="inlineStr">
        <is>
          <t>PAYING</t>
        </is>
      </c>
      <c r="F202" s="27" t="n">
        <v>34000000</v>
      </c>
      <c r="G202" s="28" t="inlineStr">
        <is>
          <t>Housing not yet handed over — receipts held as deferred income (contract liability)</t>
        </is>
      </c>
      <c r="H202" s="27" t="n">
        <v>0</v>
      </c>
      <c r="I202" s="27" t="n">
        <v>0</v>
      </c>
      <c r="J202" s="27" t="n">
        <v>15000000</v>
      </c>
      <c r="K202" s="27" t="n">
        <v>0</v>
      </c>
      <c r="L202" s="27" t="n">
        <v>0</v>
      </c>
      <c r="M202" s="27" t="n">
        <v>0</v>
      </c>
      <c r="N202" s="27" t="n">
        <v>0</v>
      </c>
      <c r="O202" s="27" t="n">
        <v>15000000</v>
      </c>
    </row>
    <row r="203">
      <c r="A203" s="26" t="inlineStr">
        <is>
          <t>SB0202</t>
        </is>
      </c>
      <c r="B203" s="26" t="inlineStr">
        <is>
          <t>Mrs Oluwagbemiro Olajumoke Oluwakemi</t>
        </is>
      </c>
      <c r="C203" s="26" t="inlineStr">
        <is>
          <t>Land</t>
        </is>
      </c>
      <c r="D203" s="26" t="inlineStr">
        <is>
          <t>Green City Ibadan (Akinyele-Moniya)</t>
        </is>
      </c>
      <c r="E203" s="26" t="inlineStr">
        <is>
          <t>BOUGHT</t>
        </is>
      </c>
      <c r="F203" s="27" t="n">
        <v>2500000</v>
      </c>
      <c r="G203" s="28" t="inlineStr">
        <is>
          <t>Land control transferred (allocated / bought). Revenue at contract value</t>
        </is>
      </c>
      <c r="H203" s="27" t="n">
        <v>0</v>
      </c>
      <c r="I203" s="27" t="n">
        <v>0</v>
      </c>
      <c r="J203" s="27" t="n">
        <v>2500000</v>
      </c>
      <c r="K203" s="27" t="n">
        <v>0</v>
      </c>
      <c r="L203" s="27" t="n">
        <v>0</v>
      </c>
      <c r="M203" s="27" t="n">
        <v>2500000</v>
      </c>
      <c r="N203" s="27" t="n">
        <v>0</v>
      </c>
      <c r="O203" s="27" t="n">
        <v>0</v>
      </c>
    </row>
    <row r="204">
      <c r="A204" s="26" t="inlineStr">
        <is>
          <t>SB0203</t>
        </is>
      </c>
      <c r="B204" s="26" t="inlineStr">
        <is>
          <t>Mr Akinsola Joseph Mofoluwaso</t>
        </is>
      </c>
      <c r="C204" s="26" t="inlineStr">
        <is>
          <t>Housing</t>
        </is>
      </c>
      <c r="D204" s="26" t="inlineStr">
        <is>
          <t>Gorge View Court (GVC Gbagada)</t>
        </is>
      </c>
      <c r="E204" s="26" t="inlineStr">
        <is>
          <t>COMPLETED</t>
        </is>
      </c>
      <c r="F204" s="27" t="n">
        <v>290000000</v>
      </c>
      <c r="G204" s="28" t="inlineStr">
        <is>
          <t>Housing handover evidenced (Bought/Completed) and substantially paid — revenue at contract value</t>
        </is>
      </c>
      <c r="H204" s="27" t="n">
        <v>0</v>
      </c>
      <c r="I204" s="27" t="n">
        <v>0</v>
      </c>
      <c r="J204" s="27" t="n">
        <v>280000000</v>
      </c>
      <c r="K204" s="27" t="n">
        <v>0</v>
      </c>
      <c r="L204" s="27" t="n">
        <v>0</v>
      </c>
      <c r="M204" s="27" t="n">
        <v>290000000</v>
      </c>
      <c r="N204" s="27" t="n">
        <v>10000000</v>
      </c>
      <c r="O204" s="27" t="n">
        <v>0</v>
      </c>
    </row>
    <row r="205">
      <c r="A205" s="26" t="inlineStr">
        <is>
          <t>SB0204</t>
        </is>
      </c>
      <c r="B205" s="26" t="inlineStr">
        <is>
          <t>Mr Ajayi Adekunle Temitope</t>
        </is>
      </c>
      <c r="C205" s="26" t="inlineStr">
        <is>
          <t>Housing</t>
        </is>
      </c>
      <c r="D205" s="26" t="inlineStr">
        <is>
          <t>Baay Foreshore</t>
        </is>
      </c>
      <c r="E205" s="26" t="inlineStr">
        <is>
          <t>PAID</t>
        </is>
      </c>
      <c r="F205" s="27" t="n">
        <v>37000000</v>
      </c>
      <c r="G205" s="28" t="inlineStr">
        <is>
          <t>Housing marked paid and register paid-to-date supports handover — revenue at contract value</t>
        </is>
      </c>
      <c r="H205" s="27" t="n">
        <v>0</v>
      </c>
      <c r="I205" s="27" t="n">
        <v>0</v>
      </c>
      <c r="J205" s="27" t="n">
        <v>17000000</v>
      </c>
      <c r="K205" s="27" t="n">
        <v>0</v>
      </c>
      <c r="L205" s="27" t="n">
        <v>0</v>
      </c>
      <c r="M205" s="27" t="n">
        <v>17000000</v>
      </c>
      <c r="N205" s="27" t="n">
        <v>0</v>
      </c>
      <c r="O205" s="27" t="n">
        <v>0</v>
      </c>
    </row>
    <row r="206">
      <c r="A206" s="26" t="inlineStr">
        <is>
          <t>SB0205</t>
        </is>
      </c>
      <c r="B206" s="26" t="inlineStr">
        <is>
          <t>Mr Ali Sunday Patrick</t>
        </is>
      </c>
      <c r="C206" s="26" t="inlineStr">
        <is>
          <t>Housing</t>
        </is>
      </c>
      <c r="D206" s="26" t="inlineStr">
        <is>
          <t>Baay Foreshore</t>
        </is>
      </c>
      <c r="E206" s="26" t="inlineStr">
        <is>
          <t>PAYING</t>
        </is>
      </c>
      <c r="F206" s="27" t="n">
        <v>36720000</v>
      </c>
      <c r="G206" s="28" t="inlineStr">
        <is>
          <t>Housing not yet handed over — receipts held as deferred income (contract liability)</t>
        </is>
      </c>
      <c r="H206" s="27" t="n">
        <v>0</v>
      </c>
      <c r="I206" s="27" t="n">
        <v>0</v>
      </c>
      <c r="J206" s="27" t="n">
        <v>10000000</v>
      </c>
      <c r="K206" s="27" t="n">
        <v>0</v>
      </c>
      <c r="L206" s="27" t="n">
        <v>0</v>
      </c>
      <c r="M206" s="27" t="n">
        <v>0</v>
      </c>
      <c r="N206" s="27" t="n">
        <v>0</v>
      </c>
      <c r="O206" s="27" t="n">
        <v>10000000</v>
      </c>
    </row>
    <row r="207">
      <c r="A207" s="26" t="inlineStr">
        <is>
          <t>SB0206</t>
        </is>
      </c>
      <c r="B207" s="26" t="inlineStr">
        <is>
          <t>Mr Ayeni Mayowa &amp; Mrs Ayeni Olumide Ibitayo Mercy</t>
        </is>
      </c>
      <c r="C207" s="26" t="inlineStr">
        <is>
          <t>Land</t>
        </is>
      </c>
      <c r="D207" s="26" t="inlineStr">
        <is>
          <t>Heritage Garden</t>
        </is>
      </c>
      <c r="E207" s="26" t="inlineStr">
        <is>
          <t>BOUGHT</t>
        </is>
      </c>
      <c r="F207" s="27" t="n">
        <v>1050000</v>
      </c>
      <c r="G207" s="28" t="inlineStr">
        <is>
          <t>Land control transferred (allocated / bought). Revenue at contract value</t>
        </is>
      </c>
      <c r="H207" s="27" t="n">
        <v>0</v>
      </c>
      <c r="I207" s="27" t="n">
        <v>0</v>
      </c>
      <c r="J207" s="27" t="n">
        <v>1050000</v>
      </c>
      <c r="K207" s="27" t="n">
        <v>0</v>
      </c>
      <c r="L207" s="27" t="n">
        <v>0</v>
      </c>
      <c r="M207" s="27" t="n">
        <v>1050000</v>
      </c>
      <c r="N207" s="27" t="n">
        <v>0</v>
      </c>
      <c r="O207" s="27" t="n">
        <v>0</v>
      </c>
    </row>
    <row r="208">
      <c r="A208" s="26" t="inlineStr">
        <is>
          <t>SB0207</t>
        </is>
      </c>
      <c r="B208" s="26" t="inlineStr">
        <is>
          <t>Mr Omodele Oluseye Johnson</t>
        </is>
      </c>
      <c r="C208" s="26" t="inlineStr">
        <is>
          <t>Housing</t>
        </is>
      </c>
      <c r="D208" s="26" t="inlineStr">
        <is>
          <t>Baay Foreshore</t>
        </is>
      </c>
      <c r="E208" s="26" t="inlineStr">
        <is>
          <t>PAID</t>
        </is>
      </c>
      <c r="F208" s="27" t="n">
        <v>38000000</v>
      </c>
      <c r="G208" s="28" t="inlineStr">
        <is>
          <t>Housing marked paid and register paid-to-date supports handover — revenue at contract value</t>
        </is>
      </c>
      <c r="H208" s="27" t="n">
        <v>0</v>
      </c>
      <c r="I208" s="27" t="n">
        <v>0</v>
      </c>
      <c r="J208" s="27" t="n">
        <v>16000000</v>
      </c>
      <c r="K208" s="27" t="n">
        <v>0</v>
      </c>
      <c r="L208" s="27" t="n">
        <v>0</v>
      </c>
      <c r="M208" s="27" t="n">
        <v>16000000</v>
      </c>
      <c r="N208" s="27" t="n">
        <v>0</v>
      </c>
      <c r="O208" s="27" t="n">
        <v>0</v>
      </c>
    </row>
    <row r="209">
      <c r="A209" s="26" t="inlineStr">
        <is>
          <t>SB0208</t>
        </is>
      </c>
      <c r="B209" s="26" t="inlineStr">
        <is>
          <t>Mr Ojediran Oluwatosin James</t>
        </is>
      </c>
      <c r="C209" s="26" t="inlineStr">
        <is>
          <t>Land</t>
        </is>
      </c>
      <c r="D209" s="26" t="inlineStr">
        <is>
          <t>Green City Phase 3 Extension (Omu-Epe)</t>
        </is>
      </c>
      <c r="E209" s="26" t="inlineStr">
        <is>
          <t>PAYING</t>
        </is>
      </c>
      <c r="F209" s="27" t="n">
        <v>2250000</v>
      </c>
      <c r="G209" s="28" t="inlineStr">
        <is>
          <t>Land subscription still paying / refund / no completed status — receipts deferred</t>
        </is>
      </c>
      <c r="H209" s="27" t="n">
        <v>0</v>
      </c>
      <c r="I209" s="27" t="n">
        <v>0</v>
      </c>
      <c r="J209" s="27" t="n">
        <v>0</v>
      </c>
      <c r="K209" s="27" t="n">
        <v>0</v>
      </c>
      <c r="L209" s="27" t="n">
        <v>0</v>
      </c>
      <c r="M209" s="27" t="n">
        <v>0</v>
      </c>
      <c r="N209" s="27" t="n">
        <v>0</v>
      </c>
      <c r="O209" s="27" t="n">
        <v>0</v>
      </c>
    </row>
    <row r="210">
      <c r="A210" s="26" t="inlineStr">
        <is>
          <t>SB0209</t>
        </is>
      </c>
      <c r="B210" s="26" t="inlineStr">
        <is>
          <t>Mr Akinsode Adebowale Peter</t>
        </is>
      </c>
      <c r="C210" s="26" t="inlineStr">
        <is>
          <t>Housing</t>
        </is>
      </c>
      <c r="D210" s="26" t="inlineStr">
        <is>
          <t>Baay Foreshore</t>
        </is>
      </c>
      <c r="E210" s="26" t="inlineStr">
        <is>
          <t>PAYING</t>
        </is>
      </c>
      <c r="F210" s="27" t="n">
        <v>38000000</v>
      </c>
      <c r="G210" s="28" t="inlineStr">
        <is>
          <t>Housing not yet handed over — receipts held as deferred income (contract liability)</t>
        </is>
      </c>
      <c r="H210" s="27" t="n">
        <v>0</v>
      </c>
      <c r="I210" s="27" t="n">
        <v>0</v>
      </c>
      <c r="J210" s="27" t="n">
        <v>0</v>
      </c>
      <c r="K210" s="27" t="n">
        <v>0</v>
      </c>
      <c r="L210" s="27" t="n">
        <v>0</v>
      </c>
      <c r="M210" s="27" t="n">
        <v>0</v>
      </c>
      <c r="N210" s="27" t="n">
        <v>0</v>
      </c>
      <c r="O210" s="27" t="n">
        <v>0</v>
      </c>
    </row>
    <row r="211">
      <c r="A211" s="26" t="inlineStr">
        <is>
          <t>SB0210</t>
        </is>
      </c>
      <c r="B211" s="26" t="inlineStr">
        <is>
          <t>Mr Adebowale Oyindamola Adewunmi</t>
        </is>
      </c>
      <c r="C211" s="26" t="inlineStr">
        <is>
          <t>Housing</t>
        </is>
      </c>
      <c r="D211" s="26" t="inlineStr">
        <is>
          <t>Pacific Apartment</t>
        </is>
      </c>
      <c r="E211" s="26" t="inlineStr">
        <is>
          <t>PAYING</t>
        </is>
      </c>
      <c r="F211" s="27" t="n">
        <v>142000000</v>
      </c>
      <c r="G211" s="28" t="inlineStr">
        <is>
          <t>Housing not yet handed over — receipts held as deferred income (contract liability)</t>
        </is>
      </c>
      <c r="H211" s="27" t="n">
        <v>0</v>
      </c>
      <c r="I211" s="27" t="n">
        <v>0</v>
      </c>
      <c r="J211" s="27" t="n">
        <v>15000000</v>
      </c>
      <c r="K211" s="27" t="n">
        <v>0</v>
      </c>
      <c r="L211" s="27" t="n">
        <v>0</v>
      </c>
      <c r="M211" s="27" t="n">
        <v>0</v>
      </c>
      <c r="N211" s="27" t="n">
        <v>0</v>
      </c>
      <c r="O211" s="27" t="n">
        <v>15000000</v>
      </c>
    </row>
    <row r="212">
      <c r="A212" s="26" t="inlineStr">
        <is>
          <t>SB0211</t>
        </is>
      </c>
      <c r="B212" s="26" t="inlineStr">
        <is>
          <t>Mr Agbim Ikechukwu Godson</t>
        </is>
      </c>
      <c r="C212" s="26" t="inlineStr">
        <is>
          <t>Land</t>
        </is>
      </c>
      <c r="D212" s="26" t="inlineStr">
        <is>
          <t>Green City Phase 3 (Omu-Epe)</t>
        </is>
      </c>
      <c r="E212" s="26" t="inlineStr">
        <is>
          <t>PAYING</t>
        </is>
      </c>
      <c r="F212" s="27" t="n">
        <v>5625000</v>
      </c>
      <c r="G212" s="28" t="inlineStr">
        <is>
          <t>Land subscription still paying / refund / no completed status — receipts deferred</t>
        </is>
      </c>
      <c r="H212" s="27" t="n">
        <v>0</v>
      </c>
      <c r="I212" s="27" t="n">
        <v>0</v>
      </c>
      <c r="J212" s="27" t="n">
        <v>0</v>
      </c>
      <c r="K212" s="27" t="n">
        <v>0</v>
      </c>
      <c r="L212" s="27" t="n">
        <v>0</v>
      </c>
      <c r="M212" s="27" t="n">
        <v>0</v>
      </c>
      <c r="N212" s="27" t="n">
        <v>0</v>
      </c>
      <c r="O212" s="27" t="n">
        <v>0</v>
      </c>
    </row>
    <row r="213">
      <c r="A213" s="26" t="inlineStr">
        <is>
          <t>SB0212</t>
        </is>
      </c>
      <c r="B213" s="26" t="inlineStr">
        <is>
          <t>Mrs Adefila Oluwabukola Ibukunoluwa</t>
        </is>
      </c>
      <c r="C213" s="26" t="inlineStr">
        <is>
          <t>Housing</t>
        </is>
      </c>
      <c r="D213" s="26" t="inlineStr">
        <is>
          <t>Pacific Apartment</t>
        </is>
      </c>
      <c r="E213" s="26" t="inlineStr">
        <is>
          <t>PAYING</t>
        </is>
      </c>
      <c r="F213" s="27" t="n">
        <v>105000000</v>
      </c>
      <c r="G213" s="28" t="inlineStr">
        <is>
          <t>Housing not yet handed over — receipts held as deferred income (contract liability)</t>
        </is>
      </c>
      <c r="H213" s="27" t="n">
        <v>0</v>
      </c>
      <c r="I213" s="27" t="n">
        <v>0</v>
      </c>
      <c r="J213" s="27" t="n">
        <v>0</v>
      </c>
      <c r="K213" s="27" t="n">
        <v>0</v>
      </c>
      <c r="L213" s="27" t="n">
        <v>0</v>
      </c>
      <c r="M213" s="27" t="n">
        <v>0</v>
      </c>
      <c r="N213" s="27" t="n">
        <v>0</v>
      </c>
      <c r="O213" s="27" t="n">
        <v>0</v>
      </c>
    </row>
    <row r="214">
      <c r="A214" s="26" t="inlineStr">
        <is>
          <t>SB0213</t>
        </is>
      </c>
      <c r="B214" s="26" t="inlineStr">
        <is>
          <t>Mr Jude</t>
        </is>
      </c>
      <c r="C214" s="26" t="inlineStr">
        <is>
          <t>Housing</t>
        </is>
      </c>
      <c r="D214" s="26" t="inlineStr">
        <is>
          <t>Pacific Court</t>
        </is>
      </c>
      <c r="E214" s="26" t="inlineStr">
        <is>
          <t>ALMOST BOUGHT</t>
        </is>
      </c>
      <c r="F214" s="27" t="n">
        <v>0</v>
      </c>
      <c r="G214" s="28" t="inlineStr">
        <is>
          <t>Housing not yet handed over — receipts held as deferred income (contract liability)</t>
        </is>
      </c>
      <c r="H214" s="27" t="n">
        <v>0</v>
      </c>
      <c r="I214" s="27" t="n">
        <v>0</v>
      </c>
      <c r="J214" s="27" t="n">
        <v>0</v>
      </c>
      <c r="K214" s="27" t="n">
        <v>0</v>
      </c>
      <c r="L214" s="27" t="n">
        <v>0</v>
      </c>
      <c r="M214" s="27" t="n">
        <v>0</v>
      </c>
      <c r="N214" s="27" t="n">
        <v>0</v>
      </c>
      <c r="O214" s="27" t="n">
        <v>0</v>
      </c>
    </row>
    <row r="215">
      <c r="A215" s="26" t="inlineStr">
        <is>
          <t>SB0214</t>
        </is>
      </c>
      <c r="B215" s="26" t="inlineStr">
        <is>
          <t>Mrs and Mr Bidemi</t>
        </is>
      </c>
      <c r="C215" s="26" t="inlineStr">
        <is>
          <t>Housing</t>
        </is>
      </c>
      <c r="D215" s="26" t="inlineStr">
        <is>
          <t>Pacific Court</t>
        </is>
      </c>
      <c r="E215" s="26" t="inlineStr">
        <is>
          <t>ALMOST BOUGHT</t>
        </is>
      </c>
      <c r="F215" s="27" t="n">
        <v>0</v>
      </c>
      <c r="G215" s="28" t="inlineStr">
        <is>
          <t>Housing not yet handed over — receipts held as deferred income (contract liability)</t>
        </is>
      </c>
      <c r="H215" s="27" t="n">
        <v>0</v>
      </c>
      <c r="I215" s="27" t="n">
        <v>0</v>
      </c>
      <c r="J215" s="27" t="n">
        <v>0</v>
      </c>
      <c r="K215" s="27" t="n">
        <v>0</v>
      </c>
      <c r="L215" s="27" t="n">
        <v>0</v>
      </c>
      <c r="M215" s="27" t="n">
        <v>0</v>
      </c>
      <c r="N215" s="27" t="n">
        <v>0</v>
      </c>
      <c r="O215" s="27" t="n">
        <v>0</v>
      </c>
    </row>
    <row r="216">
      <c r="A216" s="26" t="inlineStr">
        <is>
          <t>UN-0001</t>
        </is>
      </c>
      <c r="B216" s="26" t="inlineStr">
        <is>
          <t>Mr Olasupo Oladimeji</t>
        </is>
      </c>
      <c r="C216" s="26" t="inlineStr">
        <is>
          <t>Land</t>
        </is>
      </c>
      <c r="D216" s="26" t="inlineStr">
        <is>
          <t>Land (estate not stated in source)</t>
        </is>
      </c>
      <c r="E216" s="26" t="inlineStr"/>
      <c r="F216" s="27" t="n">
        <v>0</v>
      </c>
      <c r="G216" s="28" t="inlineStr">
        <is>
          <t>Plot receipt with no open subscription — recognised in the year of receipt (turnover-register basis)</t>
        </is>
      </c>
      <c r="H216" s="27" t="n">
        <v>894000</v>
      </c>
      <c r="I216" s="27" t="n">
        <v>0</v>
      </c>
      <c r="J216" s="27" t="n">
        <v>0</v>
      </c>
      <c r="K216" s="27" t="n">
        <v>894000</v>
      </c>
      <c r="L216" s="27" t="n">
        <v>0</v>
      </c>
      <c r="M216" s="27" t="n">
        <v>0</v>
      </c>
      <c r="N216" s="27" t="n">
        <v>0</v>
      </c>
      <c r="O216" s="27" t="n">
        <v>0</v>
      </c>
    </row>
    <row r="217">
      <c r="A217" s="26" t="inlineStr">
        <is>
          <t>UN-0002</t>
        </is>
      </c>
      <c r="B217" s="26" t="inlineStr">
        <is>
          <t>Mr Olasupo Oladimeji Muritala</t>
        </is>
      </c>
      <c r="C217" s="26" t="inlineStr">
        <is>
          <t>Land</t>
        </is>
      </c>
      <c r="D217" s="26" t="inlineStr">
        <is>
          <t>Land (estate not stated in source)</t>
        </is>
      </c>
      <c r="E217" s="26" t="inlineStr"/>
      <c r="F217" s="27" t="n">
        <v>0</v>
      </c>
      <c r="G217" s="28" t="inlineStr">
        <is>
          <t>Plot receipt with no open subscription — recognised in the year of receipt (turnover-register basis)</t>
        </is>
      </c>
      <c r="H217" s="27" t="n">
        <v>2000000</v>
      </c>
      <c r="I217" s="27" t="n">
        <v>0</v>
      </c>
      <c r="J217" s="27" t="n">
        <v>0</v>
      </c>
      <c r="K217" s="27" t="n">
        <v>2000000</v>
      </c>
      <c r="L217" s="27" t="n">
        <v>0</v>
      </c>
      <c r="M217" s="27" t="n">
        <v>0</v>
      </c>
      <c r="N217" s="27" t="n">
        <v>0</v>
      </c>
      <c r="O217" s="27" t="n">
        <v>0</v>
      </c>
    </row>
    <row r="218">
      <c r="A218" s="26" t="inlineStr">
        <is>
          <t>UN-0003</t>
        </is>
      </c>
      <c r="B218" s="26" t="inlineStr">
        <is>
          <t>Miss Oji Blessing Mary</t>
        </is>
      </c>
      <c r="C218" s="26" t="inlineStr">
        <is>
          <t>Land</t>
        </is>
      </c>
      <c r="D218" s="26" t="inlineStr">
        <is>
          <t>Land: corner piece premium</t>
        </is>
      </c>
      <c r="E218" s="26" t="inlineStr"/>
      <c r="F218" s="27" t="n">
        <v>0</v>
      </c>
      <c r="G218" s="28" t="inlineStr">
        <is>
          <t>Plot receipt with no open subscription — recognised in the year of receipt (turnover-register basis)</t>
        </is>
      </c>
      <c r="H218" s="27" t="n">
        <v>0</v>
      </c>
      <c r="I218" s="27" t="n">
        <v>135000</v>
      </c>
      <c r="J218" s="27" t="n">
        <v>0</v>
      </c>
      <c r="K218" s="27" t="n">
        <v>0</v>
      </c>
      <c r="L218" s="27" t="n">
        <v>135000</v>
      </c>
      <c r="M218" s="27" t="n">
        <v>0</v>
      </c>
      <c r="N218" s="27" t="n">
        <v>0</v>
      </c>
      <c r="O218" s="27" t="n">
        <v>0</v>
      </c>
    </row>
    <row r="219">
      <c r="A219" s="26" t="inlineStr">
        <is>
          <t>UN-0004</t>
        </is>
      </c>
      <c r="B219" s="26" t="inlineStr">
        <is>
          <t>Mrs Yohanna Paulina</t>
        </is>
      </c>
      <c r="C219" s="26" t="inlineStr">
        <is>
          <t>Land</t>
        </is>
      </c>
      <c r="D219" s="26" t="inlineStr">
        <is>
          <t>Land (estate not stated in source)</t>
        </is>
      </c>
      <c r="E219" s="26" t="inlineStr"/>
      <c r="F219" s="27" t="n">
        <v>0</v>
      </c>
      <c r="G219" s="28" t="inlineStr">
        <is>
          <t>Plot receipt with no open subscription — recognised in the year of receipt (turnover-register basis)</t>
        </is>
      </c>
      <c r="H219" s="27" t="n">
        <v>300000</v>
      </c>
      <c r="I219" s="27" t="n">
        <v>0</v>
      </c>
      <c r="J219" s="27" t="n">
        <v>0</v>
      </c>
      <c r="K219" s="27" t="n">
        <v>300000</v>
      </c>
      <c r="L219" s="27" t="n">
        <v>0</v>
      </c>
      <c r="M219" s="27" t="n">
        <v>0</v>
      </c>
      <c r="N219" s="27" t="n">
        <v>0</v>
      </c>
      <c r="O219" s="27" t="n">
        <v>0</v>
      </c>
    </row>
    <row r="220">
      <c r="A220" s="26" t="inlineStr">
        <is>
          <t>UN-0005</t>
        </is>
      </c>
      <c r="B220" s="26" t="inlineStr">
        <is>
          <t>Mr Taiwo John Adeleye</t>
        </is>
      </c>
      <c r="C220" s="26" t="inlineStr">
        <is>
          <t>Land</t>
        </is>
      </c>
      <c r="D220" s="26" t="inlineStr">
        <is>
          <t>Land (estate not stated in source)</t>
        </is>
      </c>
      <c r="E220" s="26" t="inlineStr"/>
      <c r="F220" s="27" t="n">
        <v>0</v>
      </c>
      <c r="G220" s="28" t="inlineStr">
        <is>
          <t>Plot receipt with no open subscription — recognised in the year of receipt (turnover-register basis)</t>
        </is>
      </c>
      <c r="H220" s="27" t="n">
        <v>0</v>
      </c>
      <c r="I220" s="27" t="n">
        <v>0</v>
      </c>
      <c r="J220" s="27" t="n">
        <v>45000</v>
      </c>
      <c r="K220" s="27" t="n">
        <v>0</v>
      </c>
      <c r="L220" s="27" t="n">
        <v>0</v>
      </c>
      <c r="M220" s="27" t="n">
        <v>45000</v>
      </c>
      <c r="N220" s="27" t="n">
        <v>0</v>
      </c>
      <c r="O220" s="27" t="n">
        <v>0</v>
      </c>
    </row>
    <row r="221">
      <c r="A221" s="26" t="inlineStr">
        <is>
          <t>UN-0006</t>
        </is>
      </c>
      <c r="B221" s="26" t="inlineStr">
        <is>
          <t>Mr Ogbu Pius Ejaka</t>
        </is>
      </c>
      <c r="C221" s="26" t="inlineStr">
        <is>
          <t>Land</t>
        </is>
      </c>
      <c r="D221" s="26" t="inlineStr">
        <is>
          <t>Land (estate not stated in source)</t>
        </is>
      </c>
      <c r="E221" s="26" t="inlineStr"/>
      <c r="F221" s="27" t="n">
        <v>0</v>
      </c>
      <c r="G221" s="28" t="inlineStr">
        <is>
          <t>Plot receipt with no open subscription — recognised in the year of receipt (turnover-register basis)</t>
        </is>
      </c>
      <c r="H221" s="27" t="n">
        <v>1500000</v>
      </c>
      <c r="I221" s="27" t="n">
        <v>0</v>
      </c>
      <c r="J221" s="27" t="n">
        <v>6500000</v>
      </c>
      <c r="K221" s="27" t="n">
        <v>1500000</v>
      </c>
      <c r="L221" s="27" t="n">
        <v>0</v>
      </c>
      <c r="M221" s="27" t="n">
        <v>6500000</v>
      </c>
      <c r="N221" s="27" t="n">
        <v>0</v>
      </c>
      <c r="O221" s="27" t="n">
        <v>0</v>
      </c>
    </row>
    <row r="222">
      <c r="A222" s="26" t="inlineStr">
        <is>
          <t>UN-0007</t>
        </is>
      </c>
      <c r="B222" s="26" t="inlineStr">
        <is>
          <t>Mr Ogbu Pius Ejaka</t>
        </is>
      </c>
      <c r="C222" s="26" t="inlineStr">
        <is>
          <t>Land</t>
        </is>
      </c>
      <c r="D222" s="26" t="inlineStr">
        <is>
          <t>Land: corner piece premium</t>
        </is>
      </c>
      <c r="E222" s="26" t="inlineStr"/>
      <c r="F222" s="27" t="n">
        <v>0</v>
      </c>
      <c r="G222" s="28" t="inlineStr">
        <is>
          <t>Plot receipt with no open subscription — recognised in the year of receipt (turnover-register basis)</t>
        </is>
      </c>
      <c r="H222" s="27" t="n">
        <v>0</v>
      </c>
      <c r="I222" s="27" t="n">
        <v>135000</v>
      </c>
      <c r="J222" s="27" t="n">
        <v>0</v>
      </c>
      <c r="K222" s="27" t="n">
        <v>0</v>
      </c>
      <c r="L222" s="27" t="n">
        <v>135000</v>
      </c>
      <c r="M222" s="27" t="n">
        <v>0</v>
      </c>
      <c r="N222" s="27" t="n">
        <v>0</v>
      </c>
      <c r="O222" s="27" t="n">
        <v>0</v>
      </c>
    </row>
    <row r="223">
      <c r="A223" s="26" t="inlineStr">
        <is>
          <t>UN-0008</t>
        </is>
      </c>
      <c r="B223" s="26" t="inlineStr">
        <is>
          <t>Mr &amp; Mrs Adebayo Dada</t>
        </is>
      </c>
      <c r="C223" s="26" t="inlineStr">
        <is>
          <t>Land</t>
        </is>
      </c>
      <c r="D223" s="26" t="inlineStr">
        <is>
          <t>Land (estate not stated in source)</t>
        </is>
      </c>
      <c r="E223" s="26" t="inlineStr"/>
      <c r="F223" s="27" t="n">
        <v>0</v>
      </c>
      <c r="G223" s="28" t="inlineStr">
        <is>
          <t>Plot receipt with no open subscription — recognised in the year of receipt (turnover-register basis)</t>
        </is>
      </c>
      <c r="H223" s="27" t="n">
        <v>3000000</v>
      </c>
      <c r="I223" s="27" t="n">
        <v>0</v>
      </c>
      <c r="J223" s="27" t="n">
        <v>0</v>
      </c>
      <c r="K223" s="27" t="n">
        <v>3000000</v>
      </c>
      <c r="L223" s="27" t="n">
        <v>0</v>
      </c>
      <c r="M223" s="27" t="n">
        <v>0</v>
      </c>
      <c r="N223" s="27" t="n">
        <v>0</v>
      </c>
      <c r="O223" s="27" t="n">
        <v>0</v>
      </c>
    </row>
    <row r="224">
      <c r="A224" s="26" t="inlineStr">
        <is>
          <t>UN-0009</t>
        </is>
      </c>
      <c r="B224" s="26" t="inlineStr">
        <is>
          <t>Mr &amp; Mrs Adebayo Dada</t>
        </is>
      </c>
      <c r="C224" s="26" t="inlineStr">
        <is>
          <t>Land</t>
        </is>
      </c>
      <c r="D224" s="26" t="inlineStr">
        <is>
          <t>Land: corner piece premium</t>
        </is>
      </c>
      <c r="E224" s="26" t="inlineStr"/>
      <c r="F224" s="27" t="n">
        <v>0</v>
      </c>
      <c r="G224" s="28" t="inlineStr">
        <is>
          <t>Plot receipt with no open subscription — recognised in the year of receipt (turnover-register basis)</t>
        </is>
      </c>
      <c r="H224" s="27" t="n">
        <v>0</v>
      </c>
      <c r="I224" s="27" t="n">
        <v>135000</v>
      </c>
      <c r="J224" s="27" t="n">
        <v>0</v>
      </c>
      <c r="K224" s="27" t="n">
        <v>0</v>
      </c>
      <c r="L224" s="27" t="n">
        <v>135000</v>
      </c>
      <c r="M224" s="27" t="n">
        <v>0</v>
      </c>
      <c r="N224" s="27" t="n">
        <v>0</v>
      </c>
      <c r="O224" s="27" t="n">
        <v>0</v>
      </c>
    </row>
    <row r="225">
      <c r="A225" s="26" t="inlineStr">
        <is>
          <t>UN-0010</t>
        </is>
      </c>
      <c r="B225" s="26" t="inlineStr">
        <is>
          <t>Mr Adebayo Dada</t>
        </is>
      </c>
      <c r="C225" s="26" t="inlineStr">
        <is>
          <t>Land</t>
        </is>
      </c>
      <c r="D225" s="26" t="inlineStr">
        <is>
          <t>Land (estate not stated in source)</t>
        </is>
      </c>
      <c r="E225" s="26" t="inlineStr"/>
      <c r="F225" s="27" t="n">
        <v>0</v>
      </c>
      <c r="G225" s="28" t="inlineStr">
        <is>
          <t>Plot receipt with no open subscription — recognised in the year of receipt (turnover-register basis)</t>
        </is>
      </c>
      <c r="H225" s="27" t="n">
        <v>1300000</v>
      </c>
      <c r="I225" s="27" t="n">
        <v>0</v>
      </c>
      <c r="J225" s="27" t="n">
        <v>0</v>
      </c>
      <c r="K225" s="27" t="n">
        <v>1300000</v>
      </c>
      <c r="L225" s="27" t="n">
        <v>0</v>
      </c>
      <c r="M225" s="27" t="n">
        <v>0</v>
      </c>
      <c r="N225" s="27" t="n">
        <v>0</v>
      </c>
      <c r="O225" s="27" t="n">
        <v>0</v>
      </c>
    </row>
    <row r="226">
      <c r="A226" s="26" t="inlineStr">
        <is>
          <t>UN-0011</t>
        </is>
      </c>
      <c r="B226" s="26" t="inlineStr">
        <is>
          <t>Mr Edun Ayobami Simeon</t>
        </is>
      </c>
      <c r="C226" s="26" t="inlineStr">
        <is>
          <t>Land</t>
        </is>
      </c>
      <c r="D226" s="26" t="inlineStr">
        <is>
          <t>Land: corner piece premium</t>
        </is>
      </c>
      <c r="E226" s="26" t="inlineStr"/>
      <c r="F226" s="27" t="n">
        <v>0</v>
      </c>
      <c r="G226" s="28" t="inlineStr">
        <is>
          <t>Plot receipt with no open subscription — recognised in the year of receipt (turnover-register basis)</t>
        </is>
      </c>
      <c r="H226" s="27" t="n">
        <v>0</v>
      </c>
      <c r="I226" s="27" t="n">
        <v>135000</v>
      </c>
      <c r="J226" s="27" t="n">
        <v>0</v>
      </c>
      <c r="K226" s="27" t="n">
        <v>0</v>
      </c>
      <c r="L226" s="27" t="n">
        <v>135000</v>
      </c>
      <c r="M226" s="27" t="n">
        <v>0</v>
      </c>
      <c r="N226" s="27" t="n">
        <v>0</v>
      </c>
      <c r="O226" s="27" t="n">
        <v>0</v>
      </c>
    </row>
    <row r="227">
      <c r="A227" s="26" t="inlineStr">
        <is>
          <t>UN-0012</t>
        </is>
      </c>
      <c r="B227" s="26" t="inlineStr">
        <is>
          <t>Mr Adebanjo Isaac</t>
        </is>
      </c>
      <c r="C227" s="26" t="inlineStr">
        <is>
          <t>Land</t>
        </is>
      </c>
      <c r="D227" s="26" t="inlineStr">
        <is>
          <t>Land (estate not stated in source)</t>
        </is>
      </c>
      <c r="E227" s="26" t="inlineStr"/>
      <c r="F227" s="27" t="n">
        <v>0</v>
      </c>
      <c r="G227" s="28" t="inlineStr">
        <is>
          <t>Plot receipt with no open subscription — recognised in the year of receipt (turnover-register basis)</t>
        </is>
      </c>
      <c r="H227" s="27" t="n">
        <v>250000</v>
      </c>
      <c r="I227" s="27" t="n">
        <v>0</v>
      </c>
      <c r="J227" s="27" t="n">
        <v>0</v>
      </c>
      <c r="K227" s="27" t="n">
        <v>250000</v>
      </c>
      <c r="L227" s="27" t="n">
        <v>0</v>
      </c>
      <c r="M227" s="27" t="n">
        <v>0</v>
      </c>
      <c r="N227" s="27" t="n">
        <v>0</v>
      </c>
      <c r="O227" s="27" t="n">
        <v>0</v>
      </c>
    </row>
    <row r="228">
      <c r="A228" s="26" t="inlineStr">
        <is>
          <t>UN-0013</t>
        </is>
      </c>
      <c r="B228" s="26" t="inlineStr">
        <is>
          <t>Mr Ohanehi Anthony</t>
        </is>
      </c>
      <c r="C228" s="26" t="inlineStr">
        <is>
          <t>Land</t>
        </is>
      </c>
      <c r="D228" s="26" t="inlineStr">
        <is>
          <t>Land (estate not stated in source)</t>
        </is>
      </c>
      <c r="E228" s="26" t="inlineStr"/>
      <c r="F228" s="27" t="n">
        <v>0</v>
      </c>
      <c r="G228" s="28" t="inlineStr">
        <is>
          <t>Plot receipt with no open subscription — recognised in the year of receipt (turnover-register basis)</t>
        </is>
      </c>
      <c r="H228" s="27" t="n">
        <v>13500000</v>
      </c>
      <c r="I228" s="27" t="n">
        <v>0</v>
      </c>
      <c r="J228" s="27" t="n">
        <v>0</v>
      </c>
      <c r="K228" s="27" t="n">
        <v>13500000</v>
      </c>
      <c r="L228" s="27" t="n">
        <v>0</v>
      </c>
      <c r="M228" s="27" t="n">
        <v>0</v>
      </c>
      <c r="N228" s="27" t="n">
        <v>0</v>
      </c>
      <c r="O228" s="27" t="n">
        <v>0</v>
      </c>
    </row>
    <row r="229">
      <c r="A229" s="26" t="inlineStr">
        <is>
          <t>UN-0014</t>
        </is>
      </c>
      <c r="B229" s="26" t="inlineStr">
        <is>
          <t>Mr Ohanehi Anthony Chukwunonso</t>
        </is>
      </c>
      <c r="C229" s="26" t="inlineStr">
        <is>
          <t>Land</t>
        </is>
      </c>
      <c r="D229" s="26" t="inlineStr">
        <is>
          <t>Land (estate not stated in source)</t>
        </is>
      </c>
      <c r="E229" s="26" t="inlineStr"/>
      <c r="F229" s="27" t="n">
        <v>0</v>
      </c>
      <c r="G229" s="28" t="inlineStr">
        <is>
          <t>Plot receipt with no open subscription — recognised in the year of receipt (turnover-register basis)</t>
        </is>
      </c>
      <c r="H229" s="27" t="n">
        <v>2980000</v>
      </c>
      <c r="I229" s="27" t="n">
        <v>0</v>
      </c>
      <c r="J229" s="27" t="n">
        <v>0</v>
      </c>
      <c r="K229" s="27" t="n">
        <v>2980000</v>
      </c>
      <c r="L229" s="27" t="n">
        <v>0</v>
      </c>
      <c r="M229" s="27" t="n">
        <v>0</v>
      </c>
      <c r="N229" s="27" t="n">
        <v>0</v>
      </c>
      <c r="O229" s="27" t="n">
        <v>0</v>
      </c>
    </row>
    <row r="230">
      <c r="A230" s="26" t="inlineStr">
        <is>
          <t>UN-0015</t>
        </is>
      </c>
      <c r="B230" s="26" t="inlineStr">
        <is>
          <t>Mr Adese Akorede  John</t>
        </is>
      </c>
      <c r="C230" s="26" t="inlineStr">
        <is>
          <t>Land</t>
        </is>
      </c>
      <c r="D230" s="26" t="inlineStr">
        <is>
          <t>Land: development fee</t>
        </is>
      </c>
      <c r="E230" s="26" t="inlineStr"/>
      <c r="F230" s="27" t="n">
        <v>0</v>
      </c>
      <c r="G230" s="28" t="inlineStr">
        <is>
          <t>Plot receipt with no open subscription — recognised in the year of receipt (turnover-register basis)</t>
        </is>
      </c>
      <c r="H230" s="27" t="n">
        <v>0</v>
      </c>
      <c r="I230" s="27" t="n">
        <v>50000</v>
      </c>
      <c r="J230" s="27" t="n">
        <v>0</v>
      </c>
      <c r="K230" s="27" t="n">
        <v>0</v>
      </c>
      <c r="L230" s="27" t="n">
        <v>50000</v>
      </c>
      <c r="M230" s="27" t="n">
        <v>0</v>
      </c>
      <c r="N230" s="27" t="n">
        <v>0</v>
      </c>
      <c r="O230" s="27" t="n">
        <v>0</v>
      </c>
    </row>
    <row r="231">
      <c r="A231" s="26" t="inlineStr">
        <is>
          <t>UN-0016</t>
        </is>
      </c>
      <c r="B231" s="26" t="inlineStr">
        <is>
          <t>Mr Adese Akorede John</t>
        </is>
      </c>
      <c r="C231" s="26" t="inlineStr">
        <is>
          <t>Land</t>
        </is>
      </c>
      <c r="D231" s="26" t="inlineStr">
        <is>
          <t>Land (estate not stated in source)</t>
        </is>
      </c>
      <c r="E231" s="26" t="inlineStr"/>
      <c r="F231" s="27" t="n">
        <v>0</v>
      </c>
      <c r="G231" s="28" t="inlineStr">
        <is>
          <t>Plot receipt with no open subscription — recognised in the year of receipt (turnover-register basis)</t>
        </is>
      </c>
      <c r="H231" s="27" t="n">
        <v>0</v>
      </c>
      <c r="I231" s="27" t="n">
        <v>0</v>
      </c>
      <c r="J231" s="27" t="n">
        <v>500000</v>
      </c>
      <c r="K231" s="27" t="n">
        <v>0</v>
      </c>
      <c r="L231" s="27" t="n">
        <v>0</v>
      </c>
      <c r="M231" s="27" t="n">
        <v>500000</v>
      </c>
      <c r="N231" s="27" t="n">
        <v>0</v>
      </c>
      <c r="O231" s="27" t="n">
        <v>0</v>
      </c>
    </row>
    <row r="232">
      <c r="A232" s="26" t="inlineStr">
        <is>
          <t>UN-0017</t>
        </is>
      </c>
      <c r="B232" s="26" t="inlineStr">
        <is>
          <t>Mr Adese Akorede John</t>
        </is>
      </c>
      <c r="C232" s="26" t="inlineStr">
        <is>
          <t>Land</t>
        </is>
      </c>
      <c r="D232" s="26" t="inlineStr">
        <is>
          <t>Land: development fee</t>
        </is>
      </c>
      <c r="E232" s="26" t="inlineStr"/>
      <c r="F232" s="27" t="n">
        <v>0</v>
      </c>
      <c r="G232" s="28" t="inlineStr">
        <is>
          <t>Plot receipt with no open subscription — recognised in the year of receipt (turnover-register basis)</t>
        </is>
      </c>
      <c r="H232" s="27" t="n">
        <v>0</v>
      </c>
      <c r="I232" s="27" t="n">
        <v>300000</v>
      </c>
      <c r="J232" s="27" t="n">
        <v>0</v>
      </c>
      <c r="K232" s="27" t="n">
        <v>0</v>
      </c>
      <c r="L232" s="27" t="n">
        <v>300000</v>
      </c>
      <c r="M232" s="27" t="n">
        <v>0</v>
      </c>
      <c r="N232" s="27" t="n">
        <v>0</v>
      </c>
      <c r="O232" s="27" t="n">
        <v>0</v>
      </c>
    </row>
    <row r="233">
      <c r="A233" s="26" t="inlineStr">
        <is>
          <t>UN-0018</t>
        </is>
      </c>
      <c r="B233" s="26" t="inlineStr">
        <is>
          <t>Mr Akorede Adese</t>
        </is>
      </c>
      <c r="C233" s="26" t="inlineStr">
        <is>
          <t>Land</t>
        </is>
      </c>
      <c r="D233" s="26" t="inlineStr">
        <is>
          <t>Land (estate not stated in source)</t>
        </is>
      </c>
      <c r="E233" s="26" t="inlineStr"/>
      <c r="F233" s="27" t="n">
        <v>0</v>
      </c>
      <c r="G233" s="28" t="inlineStr">
        <is>
          <t>Plot receipt with no open subscription — recognised in the year of receipt (turnover-register basis)</t>
        </is>
      </c>
      <c r="H233" s="27" t="n">
        <v>200000</v>
      </c>
      <c r="I233" s="27" t="n">
        <v>0</v>
      </c>
      <c r="J233" s="27" t="n">
        <v>0</v>
      </c>
      <c r="K233" s="27" t="n">
        <v>200000</v>
      </c>
      <c r="L233" s="27" t="n">
        <v>0</v>
      </c>
      <c r="M233" s="27" t="n">
        <v>0</v>
      </c>
      <c r="N233" s="27" t="n">
        <v>0</v>
      </c>
      <c r="O233" s="27" t="n">
        <v>0</v>
      </c>
    </row>
    <row r="234">
      <c r="A234" s="26" t="inlineStr">
        <is>
          <t>UN-0019</t>
        </is>
      </c>
      <c r="B234" s="26" t="inlineStr">
        <is>
          <t>Mr Akorede Adese</t>
        </is>
      </c>
      <c r="C234" s="26" t="inlineStr">
        <is>
          <t>Land</t>
        </is>
      </c>
      <c r="D234" s="26" t="inlineStr">
        <is>
          <t>Land: development fee</t>
        </is>
      </c>
      <c r="E234" s="26" t="inlineStr"/>
      <c r="F234" s="27" t="n">
        <v>0</v>
      </c>
      <c r="G234" s="28" t="inlineStr">
        <is>
          <t>Plot receipt with no open subscription — recognised in the year of receipt (turnover-register basis)</t>
        </is>
      </c>
      <c r="H234" s="27" t="n">
        <v>0</v>
      </c>
      <c r="I234" s="27" t="n">
        <v>50000</v>
      </c>
      <c r="J234" s="27" t="n">
        <v>0</v>
      </c>
      <c r="K234" s="27" t="n">
        <v>0</v>
      </c>
      <c r="L234" s="27" t="n">
        <v>50000</v>
      </c>
      <c r="M234" s="27" t="n">
        <v>0</v>
      </c>
      <c r="N234" s="27" t="n">
        <v>0</v>
      </c>
      <c r="O234" s="27" t="n">
        <v>0</v>
      </c>
    </row>
    <row r="235">
      <c r="A235" s="26" t="inlineStr">
        <is>
          <t>UN-0020</t>
        </is>
      </c>
      <c r="B235" s="26" t="inlineStr">
        <is>
          <t>Mr Olumoko Oladapo Oluwaseun</t>
        </is>
      </c>
      <c r="C235" s="26" t="inlineStr">
        <is>
          <t>Land</t>
        </is>
      </c>
      <c r="D235" s="26" t="inlineStr">
        <is>
          <t>Land (estate not stated in source)</t>
        </is>
      </c>
      <c r="E235" s="26" t="inlineStr"/>
      <c r="F235" s="27" t="n">
        <v>0</v>
      </c>
      <c r="G235" s="28" t="inlineStr">
        <is>
          <t>Plot receipt with no open subscription — recognised in the year of receipt (turnover-register basis)</t>
        </is>
      </c>
      <c r="H235" s="27" t="n">
        <v>1000000</v>
      </c>
      <c r="I235" s="27" t="n">
        <v>0</v>
      </c>
      <c r="J235" s="27" t="n">
        <v>0</v>
      </c>
      <c r="K235" s="27" t="n">
        <v>1000000</v>
      </c>
      <c r="L235" s="27" t="n">
        <v>0</v>
      </c>
      <c r="M235" s="27" t="n">
        <v>0</v>
      </c>
      <c r="N235" s="27" t="n">
        <v>0</v>
      </c>
      <c r="O235" s="27" t="n">
        <v>0</v>
      </c>
    </row>
    <row r="236">
      <c r="A236" s="26" t="inlineStr">
        <is>
          <t>UN-0021</t>
        </is>
      </c>
      <c r="B236" s="26" t="inlineStr">
        <is>
          <t>Mr Ohumende Paul Osaze</t>
        </is>
      </c>
      <c r="C236" s="26" t="inlineStr">
        <is>
          <t>Land</t>
        </is>
      </c>
      <c r="D236" s="26" t="inlineStr">
        <is>
          <t>Land (estate not stated in source)</t>
        </is>
      </c>
      <c r="E236" s="26" t="inlineStr"/>
      <c r="F236" s="27" t="n">
        <v>0</v>
      </c>
      <c r="G236" s="28" t="inlineStr">
        <is>
          <t>Plot receipt with no open subscription — recognised in the year of receipt (turnover-register basis)</t>
        </is>
      </c>
      <c r="H236" s="27" t="n">
        <v>4600000</v>
      </c>
      <c r="I236" s="27" t="n">
        <v>0</v>
      </c>
      <c r="J236" s="27" t="n">
        <v>0</v>
      </c>
      <c r="K236" s="27" t="n">
        <v>4600000</v>
      </c>
      <c r="L236" s="27" t="n">
        <v>0</v>
      </c>
      <c r="M236" s="27" t="n">
        <v>0</v>
      </c>
      <c r="N236" s="27" t="n">
        <v>0</v>
      </c>
      <c r="O236" s="27" t="n">
        <v>0</v>
      </c>
    </row>
    <row r="237">
      <c r="A237" s="26" t="inlineStr">
        <is>
          <t>UN-0022</t>
        </is>
      </c>
      <c r="B237" s="26" t="inlineStr">
        <is>
          <t>Mr Ohumende Paul Osaze</t>
        </is>
      </c>
      <c r="C237" s="26" t="inlineStr">
        <is>
          <t>Land</t>
        </is>
      </c>
      <c r="D237" s="26" t="inlineStr">
        <is>
          <t>Land: corner piece premium</t>
        </is>
      </c>
      <c r="E237" s="26" t="inlineStr"/>
      <c r="F237" s="27" t="n">
        <v>0</v>
      </c>
      <c r="G237" s="28" t="inlineStr">
        <is>
          <t>Plot receipt with no open subscription — recognised in the year of receipt (turnover-register basis)</t>
        </is>
      </c>
      <c r="H237" s="27" t="n">
        <v>0</v>
      </c>
      <c r="I237" s="27" t="n">
        <v>270000</v>
      </c>
      <c r="J237" s="27" t="n">
        <v>0</v>
      </c>
      <c r="K237" s="27" t="n">
        <v>0</v>
      </c>
      <c r="L237" s="27" t="n">
        <v>270000</v>
      </c>
      <c r="M237" s="27" t="n">
        <v>0</v>
      </c>
      <c r="N237" s="27" t="n">
        <v>0</v>
      </c>
      <c r="O237" s="27" t="n">
        <v>0</v>
      </c>
    </row>
    <row r="238">
      <c r="A238" s="26" t="inlineStr">
        <is>
          <t>UN-0023</t>
        </is>
      </c>
      <c r="B238" s="26" t="inlineStr">
        <is>
          <t>Okeizie Ifeoma Mandy</t>
        </is>
      </c>
      <c r="C238" s="26" t="inlineStr">
        <is>
          <t>Land</t>
        </is>
      </c>
      <c r="D238" s="26" t="inlineStr">
        <is>
          <t>Land (estate not stated in source)</t>
        </is>
      </c>
      <c r="E238" s="26" t="inlineStr"/>
      <c r="F238" s="27" t="n">
        <v>0</v>
      </c>
      <c r="G238" s="28" t="inlineStr">
        <is>
          <t>Plot receipt with no open subscription — recognised in the year of receipt (turnover-register basis)</t>
        </is>
      </c>
      <c r="H238" s="27" t="n">
        <v>2000000</v>
      </c>
      <c r="I238" s="27" t="n">
        <v>0</v>
      </c>
      <c r="J238" s="27" t="n">
        <v>0</v>
      </c>
      <c r="K238" s="27" t="n">
        <v>2000000</v>
      </c>
      <c r="L238" s="27" t="n">
        <v>0</v>
      </c>
      <c r="M238" s="27" t="n">
        <v>0</v>
      </c>
      <c r="N238" s="27" t="n">
        <v>0</v>
      </c>
      <c r="O238" s="27" t="n">
        <v>0</v>
      </c>
    </row>
    <row r="239">
      <c r="A239" s="26" t="inlineStr">
        <is>
          <t>UN-0024</t>
        </is>
      </c>
      <c r="B239" s="26" t="inlineStr">
        <is>
          <t>Mr Alabi Abdulazeez</t>
        </is>
      </c>
      <c r="C239" s="26" t="inlineStr">
        <is>
          <t>Land</t>
        </is>
      </c>
      <c r="D239" s="26" t="inlineStr">
        <is>
          <t>Land (estate not stated in source)</t>
        </is>
      </c>
      <c r="E239" s="26" t="inlineStr"/>
      <c r="F239" s="27" t="n">
        <v>0</v>
      </c>
      <c r="G239" s="28" t="inlineStr">
        <is>
          <t>Plot receipt with no open subscription — recognised in the year of receipt (turnover-register basis)</t>
        </is>
      </c>
      <c r="H239" s="27" t="n">
        <v>800000</v>
      </c>
      <c r="I239" s="27" t="n">
        <v>0</v>
      </c>
      <c r="J239" s="27" t="n">
        <v>0</v>
      </c>
      <c r="K239" s="27" t="n">
        <v>800000</v>
      </c>
      <c r="L239" s="27" t="n">
        <v>0</v>
      </c>
      <c r="M239" s="27" t="n">
        <v>0</v>
      </c>
      <c r="N239" s="27" t="n">
        <v>0</v>
      </c>
      <c r="O239" s="27" t="n">
        <v>0</v>
      </c>
    </row>
    <row r="240">
      <c r="A240" s="26" t="inlineStr">
        <is>
          <t>UN-0025</t>
        </is>
      </c>
      <c r="B240" s="26" t="inlineStr">
        <is>
          <t>Alhaji Gbadamosi Mohammad</t>
        </is>
      </c>
      <c r="C240" s="26" t="inlineStr">
        <is>
          <t>Land</t>
        </is>
      </c>
      <c r="D240" s="26" t="inlineStr">
        <is>
          <t>Land (estate not stated in source)</t>
        </is>
      </c>
      <c r="E240" s="26" t="inlineStr"/>
      <c r="F240" s="27" t="n">
        <v>0</v>
      </c>
      <c r="G240" s="28" t="inlineStr">
        <is>
          <t>Plot receipt with no open subscription — recognised in the year of receipt (turnover-register basis)</t>
        </is>
      </c>
      <c r="H240" s="27" t="n">
        <v>3900000</v>
      </c>
      <c r="I240" s="27" t="n">
        <v>0</v>
      </c>
      <c r="J240" s="27" t="n">
        <v>0</v>
      </c>
      <c r="K240" s="27" t="n">
        <v>3900000</v>
      </c>
      <c r="L240" s="27" t="n">
        <v>0</v>
      </c>
      <c r="M240" s="27" t="n">
        <v>0</v>
      </c>
      <c r="N240" s="27" t="n">
        <v>0</v>
      </c>
      <c r="O240" s="27" t="n">
        <v>0</v>
      </c>
    </row>
    <row r="241">
      <c r="A241" s="26" t="inlineStr">
        <is>
          <t>UN-0026</t>
        </is>
      </c>
      <c r="B241" s="26" t="inlineStr">
        <is>
          <t>Mrs Oladiran Omolola</t>
        </is>
      </c>
      <c r="C241" s="26" t="inlineStr">
        <is>
          <t>Land</t>
        </is>
      </c>
      <c r="D241" s="26" t="inlineStr">
        <is>
          <t>Land (estate not stated in source)</t>
        </is>
      </c>
      <c r="E241" s="26" t="inlineStr"/>
      <c r="F241" s="27" t="n">
        <v>0</v>
      </c>
      <c r="G241" s="28" t="inlineStr">
        <is>
          <t>Plot receipt with no open subscription — recognised in the year of receipt (turnover-register basis)</t>
        </is>
      </c>
      <c r="H241" s="27" t="n">
        <v>750000</v>
      </c>
      <c r="I241" s="27" t="n">
        <v>0</v>
      </c>
      <c r="J241" s="27" t="n">
        <v>0</v>
      </c>
      <c r="K241" s="27" t="n">
        <v>750000</v>
      </c>
      <c r="L241" s="27" t="n">
        <v>0</v>
      </c>
      <c r="M241" s="27" t="n">
        <v>0</v>
      </c>
      <c r="N241" s="27" t="n">
        <v>0</v>
      </c>
      <c r="O241" s="27" t="n">
        <v>0</v>
      </c>
    </row>
    <row r="242">
      <c r="A242" s="26" t="inlineStr">
        <is>
          <t>UN-0027</t>
        </is>
      </c>
      <c r="B242" s="26" t="inlineStr">
        <is>
          <t>Mr Adesida Raphael</t>
        </is>
      </c>
      <c r="C242" s="26" t="inlineStr">
        <is>
          <t>Land</t>
        </is>
      </c>
      <c r="D242" s="26" t="inlineStr">
        <is>
          <t>Green City Phase 1 (Lantaba, Ketu-Epe)</t>
        </is>
      </c>
      <c r="E242" s="26" t="inlineStr"/>
      <c r="F242" s="27" t="n">
        <v>0</v>
      </c>
      <c r="G242" s="28" t="inlineStr">
        <is>
          <t>Plot receipt with no open subscription — recognised in the year of receipt (turnover-register basis)</t>
        </is>
      </c>
      <c r="H242" s="27" t="n">
        <v>0</v>
      </c>
      <c r="I242" s="27" t="n">
        <v>641000</v>
      </c>
      <c r="J242" s="27" t="n">
        <v>0</v>
      </c>
      <c r="K242" s="27" t="n">
        <v>0</v>
      </c>
      <c r="L242" s="27" t="n">
        <v>641000</v>
      </c>
      <c r="M242" s="27" t="n">
        <v>0</v>
      </c>
      <c r="N242" s="27" t="n">
        <v>0</v>
      </c>
      <c r="O242" s="27" t="n">
        <v>0</v>
      </c>
    </row>
    <row r="243">
      <c r="A243" s="26" t="inlineStr">
        <is>
          <t>UN-0028</t>
        </is>
      </c>
      <c r="B243" s="26" t="inlineStr">
        <is>
          <t>Mr Adesida Raphael</t>
        </is>
      </c>
      <c r="C243" s="26" t="inlineStr">
        <is>
          <t>Land</t>
        </is>
      </c>
      <c r="D243" s="26" t="inlineStr">
        <is>
          <t>Land: corner piece premium</t>
        </is>
      </c>
      <c r="E243" s="26" t="inlineStr"/>
      <c r="F243" s="27" t="n">
        <v>0</v>
      </c>
      <c r="G243" s="28" t="inlineStr">
        <is>
          <t>Plot receipt with no open subscription — recognised in the year of receipt (turnover-register basis)</t>
        </is>
      </c>
      <c r="H243" s="27" t="n">
        <v>0</v>
      </c>
      <c r="I243" s="27" t="n">
        <v>100000</v>
      </c>
      <c r="J243" s="27" t="n">
        <v>0</v>
      </c>
      <c r="K243" s="27" t="n">
        <v>0</v>
      </c>
      <c r="L243" s="27" t="n">
        <v>100000</v>
      </c>
      <c r="M243" s="27" t="n">
        <v>0</v>
      </c>
      <c r="N243" s="27" t="n">
        <v>0</v>
      </c>
      <c r="O243" s="27" t="n">
        <v>0</v>
      </c>
    </row>
    <row r="244">
      <c r="A244" s="26" t="inlineStr">
        <is>
          <t>UN-0029</t>
        </is>
      </c>
      <c r="B244" s="26" t="inlineStr">
        <is>
          <t>Mr Adesida Raphael Abiodun</t>
        </is>
      </c>
      <c r="C244" s="26" t="inlineStr">
        <is>
          <t>Land</t>
        </is>
      </c>
      <c r="D244" s="26" t="inlineStr">
        <is>
          <t>Green City Phase 1 (Ketu-Epe)</t>
        </is>
      </c>
      <c r="E244" s="26" t="inlineStr"/>
      <c r="F244" s="27" t="n">
        <v>0</v>
      </c>
      <c r="G244" s="28" t="inlineStr">
        <is>
          <t>Plot receipt with no open subscription — recognised in the year of receipt (turnover-register basis)</t>
        </is>
      </c>
      <c r="H244" s="27" t="n">
        <v>1000000</v>
      </c>
      <c r="I244" s="27" t="n">
        <v>0</v>
      </c>
      <c r="J244" s="27" t="n">
        <v>0</v>
      </c>
      <c r="K244" s="27" t="n">
        <v>1000000</v>
      </c>
      <c r="L244" s="27" t="n">
        <v>0</v>
      </c>
      <c r="M244" s="27" t="n">
        <v>0</v>
      </c>
      <c r="N244" s="27" t="n">
        <v>0</v>
      </c>
      <c r="O244" s="27" t="n">
        <v>0</v>
      </c>
    </row>
    <row r="245">
      <c r="A245" s="26" t="inlineStr">
        <is>
          <t>UN-0030</t>
        </is>
      </c>
      <c r="B245" s="26" t="inlineStr">
        <is>
          <t>Mr Adesida Raphael Abiodun</t>
        </is>
      </c>
      <c r="C245" s="26" t="inlineStr">
        <is>
          <t>Land</t>
        </is>
      </c>
      <c r="D245" s="26" t="inlineStr">
        <is>
          <t>Green City Phase 1 (Lantaba, Ketu-Epe)</t>
        </is>
      </c>
      <c r="E245" s="26" t="inlineStr"/>
      <c r="F245" s="27" t="n">
        <v>0</v>
      </c>
      <c r="G245" s="28" t="inlineStr">
        <is>
          <t>Plot receipt with no open subscription — recognised in the year of receipt (turnover-register basis)</t>
        </is>
      </c>
      <c r="H245" s="27" t="n">
        <v>0</v>
      </c>
      <c r="I245" s="27" t="n">
        <v>800000</v>
      </c>
      <c r="J245" s="27" t="n">
        <v>0</v>
      </c>
      <c r="K245" s="27" t="n">
        <v>0</v>
      </c>
      <c r="L245" s="27" t="n">
        <v>800000</v>
      </c>
      <c r="M245" s="27" t="n">
        <v>0</v>
      </c>
      <c r="N245" s="27" t="n">
        <v>0</v>
      </c>
      <c r="O245" s="27" t="n">
        <v>0</v>
      </c>
    </row>
    <row r="246">
      <c r="A246" s="26" t="inlineStr">
        <is>
          <t>UN-0031</t>
        </is>
      </c>
      <c r="B246" s="26" t="inlineStr">
        <is>
          <t>Mr Adesida Raphael abiodun</t>
        </is>
      </c>
      <c r="C246" s="26" t="inlineStr">
        <is>
          <t>Land</t>
        </is>
      </c>
      <c r="D246" s="26" t="inlineStr">
        <is>
          <t>Green City Phase 1 (Lantaba, Ketu-Epe)</t>
        </is>
      </c>
      <c r="E246" s="26" t="inlineStr"/>
      <c r="F246" s="27" t="n">
        <v>0</v>
      </c>
      <c r="G246" s="28" t="inlineStr">
        <is>
          <t>Plot receipt with no open subscription — recognised in the year of receipt (turnover-register basis)</t>
        </is>
      </c>
      <c r="H246" s="27" t="n">
        <v>0</v>
      </c>
      <c r="I246" s="27" t="n">
        <v>100000</v>
      </c>
      <c r="J246" s="27" t="n">
        <v>0</v>
      </c>
      <c r="K246" s="27" t="n">
        <v>0</v>
      </c>
      <c r="L246" s="27" t="n">
        <v>100000</v>
      </c>
      <c r="M246" s="27" t="n">
        <v>0</v>
      </c>
      <c r="N246" s="27" t="n">
        <v>0</v>
      </c>
      <c r="O246" s="27" t="n">
        <v>0</v>
      </c>
    </row>
    <row r="247">
      <c r="A247" s="26" t="inlineStr">
        <is>
          <t>UN-0032</t>
        </is>
      </c>
      <c r="B247" s="26" t="inlineStr">
        <is>
          <t>Ms Paulina Kehinde Akhere George</t>
        </is>
      </c>
      <c r="C247" s="26" t="inlineStr">
        <is>
          <t>Housing</t>
        </is>
      </c>
      <c r="D247" s="26" t="inlineStr">
        <is>
          <t>Housing unit (project not stated in source)</t>
        </is>
      </c>
      <c r="E247" s="26" t="inlineStr"/>
      <c r="F247" s="27" t="n">
        <v>0</v>
      </c>
      <c r="G247" s="28" t="inlineStr">
        <is>
          <t>Housing receipt with no handover evidence — deferred income</t>
        </is>
      </c>
      <c r="H247" s="27" t="n">
        <v>5000000</v>
      </c>
      <c r="I247" s="27" t="n">
        <v>0</v>
      </c>
      <c r="J247" s="27" t="n">
        <v>0</v>
      </c>
      <c r="K247" s="27" t="n">
        <v>0</v>
      </c>
      <c r="L247" s="27" t="n">
        <v>0</v>
      </c>
      <c r="M247" s="27" t="n">
        <v>0</v>
      </c>
      <c r="N247" s="27" t="n">
        <v>0</v>
      </c>
      <c r="O247" s="27" t="n">
        <v>5000000</v>
      </c>
    </row>
    <row r="248">
      <c r="A248" s="26" t="inlineStr">
        <is>
          <t>UN-0033</t>
        </is>
      </c>
      <c r="B248" s="26" t="inlineStr">
        <is>
          <t>Mr Atuanya Patrick Jideovo</t>
        </is>
      </c>
      <c r="C248" s="26" t="inlineStr">
        <is>
          <t>Land</t>
        </is>
      </c>
      <c r="D248" s="26" t="inlineStr">
        <is>
          <t>Land (estate not stated in source)</t>
        </is>
      </c>
      <c r="E248" s="26" t="inlineStr"/>
      <c r="F248" s="27" t="n">
        <v>0</v>
      </c>
      <c r="G248" s="28" t="inlineStr">
        <is>
          <t>Plot receipt with no open subscription — recognised in the year of receipt (turnover-register basis)</t>
        </is>
      </c>
      <c r="H248" s="27" t="n">
        <v>0</v>
      </c>
      <c r="I248" s="27" t="n">
        <v>0</v>
      </c>
      <c r="J248" s="27" t="n">
        <v>1800000</v>
      </c>
      <c r="K248" s="27" t="n">
        <v>0</v>
      </c>
      <c r="L248" s="27" t="n">
        <v>0</v>
      </c>
      <c r="M248" s="27" t="n">
        <v>1800000</v>
      </c>
      <c r="N248" s="27" t="n">
        <v>0</v>
      </c>
      <c r="O248" s="27" t="n">
        <v>0</v>
      </c>
    </row>
    <row r="249">
      <c r="A249" s="26" t="inlineStr">
        <is>
          <t>UN-0034</t>
        </is>
      </c>
      <c r="B249" s="26" t="inlineStr">
        <is>
          <t>Mr Atuanya Patrick Jideovo</t>
        </is>
      </c>
      <c r="C249" s="26" t="inlineStr">
        <is>
          <t>Land</t>
        </is>
      </c>
      <c r="D249" s="26" t="inlineStr">
        <is>
          <t>Land: corner piece premium</t>
        </is>
      </c>
      <c r="E249" s="26" t="inlineStr"/>
      <c r="F249" s="27" t="n">
        <v>0</v>
      </c>
      <c r="G249" s="28" t="inlineStr">
        <is>
          <t>Plot receipt with no open subscription — recognised in the year of receipt (turnover-register basis)</t>
        </is>
      </c>
      <c r="H249" s="27" t="n">
        <v>0</v>
      </c>
      <c r="I249" s="27" t="n">
        <v>135000</v>
      </c>
      <c r="J249" s="27" t="n">
        <v>0</v>
      </c>
      <c r="K249" s="27" t="n">
        <v>0</v>
      </c>
      <c r="L249" s="27" t="n">
        <v>135000</v>
      </c>
      <c r="M249" s="27" t="n">
        <v>0</v>
      </c>
      <c r="N249" s="27" t="n">
        <v>0</v>
      </c>
      <c r="O249" s="27" t="n">
        <v>0</v>
      </c>
    </row>
    <row r="250">
      <c r="A250" s="26" t="inlineStr">
        <is>
          <t>UN-0035</t>
        </is>
      </c>
      <c r="B250" s="26" t="inlineStr">
        <is>
          <t>Mr Patrick Atuanya Jideovo</t>
        </is>
      </c>
      <c r="C250" s="26" t="inlineStr">
        <is>
          <t>Land</t>
        </is>
      </c>
      <c r="D250" s="26" t="inlineStr">
        <is>
          <t>Land (estate not stated in source)</t>
        </is>
      </c>
      <c r="E250" s="26" t="inlineStr"/>
      <c r="F250" s="27" t="n">
        <v>0</v>
      </c>
      <c r="G250" s="28" t="inlineStr">
        <is>
          <t>Plot receipt with no open subscription — recognised in the year of receipt (turnover-register basis)</t>
        </is>
      </c>
      <c r="H250" s="27" t="n">
        <v>500000</v>
      </c>
      <c r="I250" s="27" t="n">
        <v>0</v>
      </c>
      <c r="J250" s="27" t="n">
        <v>0</v>
      </c>
      <c r="K250" s="27" t="n">
        <v>500000</v>
      </c>
      <c r="L250" s="27" t="n">
        <v>0</v>
      </c>
      <c r="M250" s="27" t="n">
        <v>0</v>
      </c>
      <c r="N250" s="27" t="n">
        <v>0</v>
      </c>
      <c r="O250" s="27" t="n">
        <v>0</v>
      </c>
    </row>
    <row r="251">
      <c r="A251" s="26" t="inlineStr">
        <is>
          <t>UN-0036</t>
        </is>
      </c>
      <c r="B251" s="26" t="inlineStr">
        <is>
          <t>Mr Olumide Ogunleye</t>
        </is>
      </c>
      <c r="C251" s="26" t="inlineStr">
        <is>
          <t>Land</t>
        </is>
      </c>
      <c r="D251" s="26" t="inlineStr">
        <is>
          <t>Land (estate not stated in source)</t>
        </is>
      </c>
      <c r="E251" s="26" t="inlineStr"/>
      <c r="F251" s="27" t="n">
        <v>0</v>
      </c>
      <c r="G251" s="28" t="inlineStr">
        <is>
          <t>Plot receipt with no open subscription — recognised in the year of receipt (turnover-register basis)</t>
        </is>
      </c>
      <c r="H251" s="27" t="n">
        <v>500000</v>
      </c>
      <c r="I251" s="27" t="n">
        <v>0</v>
      </c>
      <c r="J251" s="27" t="n">
        <v>0</v>
      </c>
      <c r="K251" s="27" t="n">
        <v>500000</v>
      </c>
      <c r="L251" s="27" t="n">
        <v>0</v>
      </c>
      <c r="M251" s="27" t="n">
        <v>0</v>
      </c>
      <c r="N251" s="27" t="n">
        <v>0</v>
      </c>
      <c r="O251" s="27" t="n">
        <v>0</v>
      </c>
    </row>
    <row r="252">
      <c r="A252" s="26" t="inlineStr">
        <is>
          <t>UN-0037</t>
        </is>
      </c>
      <c r="B252" s="26" t="inlineStr">
        <is>
          <t>Ms Okorejior Ojoma Lilian</t>
        </is>
      </c>
      <c r="C252" s="26" t="inlineStr">
        <is>
          <t>Land</t>
        </is>
      </c>
      <c r="D252" s="26" t="inlineStr">
        <is>
          <t>Land (estate not stated in source)</t>
        </is>
      </c>
      <c r="E252" s="26" t="inlineStr"/>
      <c r="F252" s="27" t="n">
        <v>0</v>
      </c>
      <c r="G252" s="28" t="inlineStr">
        <is>
          <t>Plot receipt with no open subscription — recognised in the year of receipt (turnover-register basis)</t>
        </is>
      </c>
      <c r="H252" s="27" t="n">
        <v>1000000</v>
      </c>
      <c r="I252" s="27" t="n">
        <v>0</v>
      </c>
      <c r="J252" s="27" t="n">
        <v>0</v>
      </c>
      <c r="K252" s="27" t="n">
        <v>1000000</v>
      </c>
      <c r="L252" s="27" t="n">
        <v>0</v>
      </c>
      <c r="M252" s="27" t="n">
        <v>0</v>
      </c>
      <c r="N252" s="27" t="n">
        <v>0</v>
      </c>
      <c r="O252" s="27" t="n">
        <v>0</v>
      </c>
    </row>
    <row r="253">
      <c r="A253" s="26" t="inlineStr">
        <is>
          <t>UN-0038</t>
        </is>
      </c>
      <c r="B253" s="26" t="inlineStr">
        <is>
          <t>Mr Adegbembo  Stephen Oluwagbemiga</t>
        </is>
      </c>
      <c r="C253" s="26" t="inlineStr">
        <is>
          <t>Land</t>
        </is>
      </c>
      <c r="D253" s="26" t="inlineStr">
        <is>
          <t>Land (estate not stated in source)</t>
        </is>
      </c>
      <c r="E253" s="26" t="inlineStr"/>
      <c r="F253" s="27" t="n">
        <v>0</v>
      </c>
      <c r="G253" s="28" t="inlineStr">
        <is>
          <t>Plot receipt with no open subscription — recognised in the year of receipt (turnover-register basis)</t>
        </is>
      </c>
      <c r="H253" s="27" t="n">
        <v>500000</v>
      </c>
      <c r="I253" s="27" t="n">
        <v>0</v>
      </c>
      <c r="J253" s="27" t="n">
        <v>0</v>
      </c>
      <c r="K253" s="27" t="n">
        <v>500000</v>
      </c>
      <c r="L253" s="27" t="n">
        <v>0</v>
      </c>
      <c r="M253" s="27" t="n">
        <v>0</v>
      </c>
      <c r="N253" s="27" t="n">
        <v>0</v>
      </c>
      <c r="O253" s="27" t="n">
        <v>0</v>
      </c>
    </row>
    <row r="254">
      <c r="A254" s="26" t="inlineStr">
        <is>
          <t>UN-0039</t>
        </is>
      </c>
      <c r="B254" s="26" t="inlineStr">
        <is>
          <t>Mr Adegbembo Stephen</t>
        </is>
      </c>
      <c r="C254" s="26" t="inlineStr">
        <is>
          <t>Land</t>
        </is>
      </c>
      <c r="D254" s="26" t="inlineStr">
        <is>
          <t>Land: corner piece premium</t>
        </is>
      </c>
      <c r="E254" s="26" t="inlineStr"/>
      <c r="F254" s="27" t="n">
        <v>0</v>
      </c>
      <c r="G254" s="28" t="inlineStr">
        <is>
          <t>Plot receipt with no open subscription — recognised in the year of receipt (turnover-register basis)</t>
        </is>
      </c>
      <c r="H254" s="27" t="n">
        <v>0</v>
      </c>
      <c r="I254" s="27" t="n">
        <v>135000</v>
      </c>
      <c r="J254" s="27" t="n">
        <v>0</v>
      </c>
      <c r="K254" s="27" t="n">
        <v>0</v>
      </c>
      <c r="L254" s="27" t="n">
        <v>135000</v>
      </c>
      <c r="M254" s="27" t="n">
        <v>0</v>
      </c>
      <c r="N254" s="27" t="n">
        <v>0</v>
      </c>
      <c r="O254" s="27" t="n">
        <v>0</v>
      </c>
    </row>
    <row r="255">
      <c r="A255" s="26" t="inlineStr">
        <is>
          <t>UN-0040</t>
        </is>
      </c>
      <c r="B255" s="26" t="inlineStr">
        <is>
          <t>Mr Ademola Adeniyi</t>
        </is>
      </c>
      <c r="C255" s="26" t="inlineStr">
        <is>
          <t>Land</t>
        </is>
      </c>
      <c r="D255" s="26" t="inlineStr">
        <is>
          <t>Land (estate not stated in source)</t>
        </is>
      </c>
      <c r="E255" s="26" t="inlineStr"/>
      <c r="F255" s="27" t="n">
        <v>0</v>
      </c>
      <c r="G255" s="28" t="inlineStr">
        <is>
          <t>Plot receipt with no open subscription — recognised in the year of receipt (turnover-register basis)</t>
        </is>
      </c>
      <c r="H255" s="27" t="n">
        <v>2000000</v>
      </c>
      <c r="I255" s="27" t="n">
        <v>0</v>
      </c>
      <c r="J255" s="27" t="n">
        <v>0</v>
      </c>
      <c r="K255" s="27" t="n">
        <v>2000000</v>
      </c>
      <c r="L255" s="27" t="n">
        <v>0</v>
      </c>
      <c r="M255" s="27" t="n">
        <v>0</v>
      </c>
      <c r="N255" s="27" t="n">
        <v>0</v>
      </c>
      <c r="O255" s="27" t="n">
        <v>0</v>
      </c>
    </row>
    <row r="256">
      <c r="A256" s="26" t="inlineStr">
        <is>
          <t>UN-0041</t>
        </is>
      </c>
      <c r="B256" s="26" t="inlineStr">
        <is>
          <t>Mr Adeniyi Ademola</t>
        </is>
      </c>
      <c r="C256" s="26" t="inlineStr">
        <is>
          <t>Land</t>
        </is>
      </c>
      <c r="D256" s="26" t="inlineStr">
        <is>
          <t>Land: corner piece premium</t>
        </is>
      </c>
      <c r="E256" s="26" t="inlineStr"/>
      <c r="F256" s="27" t="n">
        <v>0</v>
      </c>
      <c r="G256" s="28" t="inlineStr">
        <is>
          <t>Plot receipt with no open subscription — recognised in the year of receipt (turnover-register basis)</t>
        </is>
      </c>
      <c r="H256" s="27" t="n">
        <v>0</v>
      </c>
      <c r="I256" s="27" t="n">
        <v>135000</v>
      </c>
      <c r="J256" s="27" t="n">
        <v>0</v>
      </c>
      <c r="K256" s="27" t="n">
        <v>0</v>
      </c>
      <c r="L256" s="27" t="n">
        <v>135000</v>
      </c>
      <c r="M256" s="27" t="n">
        <v>0</v>
      </c>
      <c r="N256" s="27" t="n">
        <v>0</v>
      </c>
      <c r="O256" s="27" t="n">
        <v>0</v>
      </c>
    </row>
    <row r="257">
      <c r="A257" s="26" t="inlineStr">
        <is>
          <t>UN-0042</t>
        </is>
      </c>
      <c r="B257" s="26" t="inlineStr">
        <is>
          <t>Mr Ademola Adeniji</t>
        </is>
      </c>
      <c r="C257" s="26" t="inlineStr">
        <is>
          <t>Land</t>
        </is>
      </c>
      <c r="D257" s="26" t="inlineStr">
        <is>
          <t>Green City Phase 1 (Lantaba, Ketu-Epe)</t>
        </is>
      </c>
      <c r="E257" s="26" t="inlineStr"/>
      <c r="F257" s="27" t="n">
        <v>0</v>
      </c>
      <c r="G257" s="28" t="inlineStr">
        <is>
          <t>Plot receipt with no open subscription — recognised in the year of receipt (turnover-register basis)</t>
        </is>
      </c>
      <c r="H257" s="27" t="n">
        <v>0</v>
      </c>
      <c r="I257" s="27" t="n">
        <v>3000000</v>
      </c>
      <c r="J257" s="27" t="n">
        <v>0</v>
      </c>
      <c r="K257" s="27" t="n">
        <v>0</v>
      </c>
      <c r="L257" s="27" t="n">
        <v>3000000</v>
      </c>
      <c r="M257" s="27" t="n">
        <v>0</v>
      </c>
      <c r="N257" s="27" t="n">
        <v>0</v>
      </c>
      <c r="O257" s="27" t="n">
        <v>0</v>
      </c>
    </row>
    <row r="258">
      <c r="A258" s="26" t="inlineStr">
        <is>
          <t>UN-0043</t>
        </is>
      </c>
      <c r="B258" s="26" t="inlineStr">
        <is>
          <t>Mr Ademola Adeniji</t>
        </is>
      </c>
      <c r="C258" s="26" t="inlineStr">
        <is>
          <t>Land</t>
        </is>
      </c>
      <c r="D258" s="26" t="inlineStr">
        <is>
          <t>Land (estate not stated in source)</t>
        </is>
      </c>
      <c r="E258" s="26" t="inlineStr"/>
      <c r="F258" s="27" t="n">
        <v>0</v>
      </c>
      <c r="G258" s="28" t="inlineStr">
        <is>
          <t>Plot receipt with no open subscription — recognised in the year of receipt (turnover-register basis)</t>
        </is>
      </c>
      <c r="H258" s="27" t="n">
        <v>2000000</v>
      </c>
      <c r="I258" s="27" t="n">
        <v>0</v>
      </c>
      <c r="J258" s="27" t="n">
        <v>0</v>
      </c>
      <c r="K258" s="27" t="n">
        <v>2000000</v>
      </c>
      <c r="L258" s="27" t="n">
        <v>0</v>
      </c>
      <c r="M258" s="27" t="n">
        <v>0</v>
      </c>
      <c r="N258" s="27" t="n">
        <v>0</v>
      </c>
      <c r="O258" s="27" t="n">
        <v>0</v>
      </c>
    </row>
    <row r="259">
      <c r="A259" s="26" t="inlineStr">
        <is>
          <t>UN-0044</t>
        </is>
      </c>
      <c r="B259" s="26" t="inlineStr">
        <is>
          <t>Mr Adeuti Olanrewaju Babatunde</t>
        </is>
      </c>
      <c r="C259" s="26" t="inlineStr">
        <is>
          <t>Land</t>
        </is>
      </c>
      <c r="D259" s="26" t="inlineStr">
        <is>
          <t>Land (estate not stated in source)</t>
        </is>
      </c>
      <c r="E259" s="26" t="inlineStr"/>
      <c r="F259" s="27" t="n">
        <v>0</v>
      </c>
      <c r="G259" s="28" t="inlineStr">
        <is>
          <t>Plot receipt with no open subscription — recognised in the year of receipt (turnover-register basis)</t>
        </is>
      </c>
      <c r="H259" s="27" t="n">
        <v>500000</v>
      </c>
      <c r="I259" s="27" t="n">
        <v>0</v>
      </c>
      <c r="J259" s="27" t="n">
        <v>0</v>
      </c>
      <c r="K259" s="27" t="n">
        <v>500000</v>
      </c>
      <c r="L259" s="27" t="n">
        <v>0</v>
      </c>
      <c r="M259" s="27" t="n">
        <v>0</v>
      </c>
      <c r="N259" s="27" t="n">
        <v>0</v>
      </c>
      <c r="O259" s="27" t="n">
        <v>0</v>
      </c>
    </row>
    <row r="260">
      <c r="A260" s="26" t="inlineStr">
        <is>
          <t>UN-0045</t>
        </is>
      </c>
      <c r="B260" s="26" t="inlineStr">
        <is>
          <t>Mr Adeuti Olanrewaju Babatunde</t>
        </is>
      </c>
      <c r="C260" s="26" t="inlineStr">
        <is>
          <t>Land</t>
        </is>
      </c>
      <c r="D260" s="26" t="inlineStr">
        <is>
          <t>Land: corner piece premium</t>
        </is>
      </c>
      <c r="E260" s="26" t="inlineStr"/>
      <c r="F260" s="27" t="n">
        <v>0</v>
      </c>
      <c r="G260" s="28" t="inlineStr">
        <is>
          <t>Plot receipt with no open subscription — recognised in the year of receipt (turnover-register basis)</t>
        </is>
      </c>
      <c r="H260" s="27" t="n">
        <v>0</v>
      </c>
      <c r="I260" s="27" t="n">
        <v>135000</v>
      </c>
      <c r="J260" s="27" t="n">
        <v>0</v>
      </c>
      <c r="K260" s="27" t="n">
        <v>0</v>
      </c>
      <c r="L260" s="27" t="n">
        <v>135000</v>
      </c>
      <c r="M260" s="27" t="n">
        <v>0</v>
      </c>
      <c r="N260" s="27" t="n">
        <v>0</v>
      </c>
      <c r="O260" s="27" t="n">
        <v>0</v>
      </c>
    </row>
    <row r="261">
      <c r="A261" s="26" t="inlineStr">
        <is>
          <t>UN-0046</t>
        </is>
      </c>
      <c r="B261" s="26" t="inlineStr">
        <is>
          <t>Mr Oniyide Olalouwa Blessing</t>
        </is>
      </c>
      <c r="C261" s="26" t="inlineStr">
        <is>
          <t>Land</t>
        </is>
      </c>
      <c r="D261" s="26" t="inlineStr">
        <is>
          <t>Green City Phase 1 (Lantaba, Ketu-Epe)</t>
        </is>
      </c>
      <c r="E261" s="26" t="inlineStr"/>
      <c r="F261" s="27" t="n">
        <v>0</v>
      </c>
      <c r="G261" s="28" t="inlineStr">
        <is>
          <t>Plot receipt with no open subscription — recognised in the year of receipt (turnover-register basis)</t>
        </is>
      </c>
      <c r="H261" s="27" t="n">
        <v>0</v>
      </c>
      <c r="I261" s="27" t="n">
        <v>3040000</v>
      </c>
      <c r="J261" s="27" t="n">
        <v>0</v>
      </c>
      <c r="K261" s="27" t="n">
        <v>0</v>
      </c>
      <c r="L261" s="27" t="n">
        <v>3040000</v>
      </c>
      <c r="M261" s="27" t="n">
        <v>0</v>
      </c>
      <c r="N261" s="27" t="n">
        <v>0</v>
      </c>
      <c r="O261" s="27" t="n">
        <v>0</v>
      </c>
    </row>
    <row r="262">
      <c r="A262" s="26" t="inlineStr">
        <is>
          <t>UN-0047</t>
        </is>
      </c>
      <c r="B262" s="26" t="inlineStr">
        <is>
          <t>Mr Oniyide Olalouwa Blessing</t>
        </is>
      </c>
      <c r="C262" s="26" t="inlineStr">
        <is>
          <t>Land</t>
        </is>
      </c>
      <c r="D262" s="26" t="inlineStr">
        <is>
          <t>Land (estate not stated in source)</t>
        </is>
      </c>
      <c r="E262" s="26" t="inlineStr"/>
      <c r="F262" s="27" t="n">
        <v>0</v>
      </c>
      <c r="G262" s="28" t="inlineStr">
        <is>
          <t>Plot receipt with no open subscription — recognised in the year of receipt (turnover-register basis)</t>
        </is>
      </c>
      <c r="H262" s="27" t="n">
        <v>2000000</v>
      </c>
      <c r="I262" s="27" t="n">
        <v>0</v>
      </c>
      <c r="J262" s="27" t="n">
        <v>0</v>
      </c>
      <c r="K262" s="27" t="n">
        <v>2000000</v>
      </c>
      <c r="L262" s="27" t="n">
        <v>0</v>
      </c>
      <c r="M262" s="27" t="n">
        <v>0</v>
      </c>
      <c r="N262" s="27" t="n">
        <v>0</v>
      </c>
      <c r="O262" s="27" t="n">
        <v>0</v>
      </c>
    </row>
    <row r="263">
      <c r="A263" s="26" t="inlineStr">
        <is>
          <t>UN-0048</t>
        </is>
      </c>
      <c r="B263" s="26" t="inlineStr">
        <is>
          <t>Chief Elochukwu Onyemelukwe</t>
        </is>
      </c>
      <c r="C263" s="26" t="inlineStr">
        <is>
          <t>Land</t>
        </is>
      </c>
      <c r="D263" s="26" t="inlineStr">
        <is>
          <t>Land (estate not stated in source)</t>
        </is>
      </c>
      <c r="E263" s="26" t="inlineStr"/>
      <c r="F263" s="27" t="n">
        <v>0</v>
      </c>
      <c r="G263" s="28" t="inlineStr">
        <is>
          <t>Plot receipt with no open subscription — recognised in the year of receipt (turnover-register basis)</t>
        </is>
      </c>
      <c r="H263" s="27" t="n">
        <v>500000</v>
      </c>
      <c r="I263" s="27" t="n">
        <v>0</v>
      </c>
      <c r="J263" s="27" t="n">
        <v>0</v>
      </c>
      <c r="K263" s="27" t="n">
        <v>500000</v>
      </c>
      <c r="L263" s="27" t="n">
        <v>0</v>
      </c>
      <c r="M263" s="27" t="n">
        <v>0</v>
      </c>
      <c r="N263" s="27" t="n">
        <v>0</v>
      </c>
      <c r="O263" s="27" t="n">
        <v>0</v>
      </c>
    </row>
    <row r="264">
      <c r="A264" s="26" t="inlineStr">
        <is>
          <t>UN-0049</t>
        </is>
      </c>
      <c r="B264" s="26" t="inlineStr">
        <is>
          <t>Mr Ogunkoya Emmanuel Olatunji</t>
        </is>
      </c>
      <c r="C264" s="26" t="inlineStr">
        <is>
          <t>Land</t>
        </is>
      </c>
      <c r="D264" s="26" t="inlineStr">
        <is>
          <t>Land: corner piece premium</t>
        </is>
      </c>
      <c r="E264" s="26" t="inlineStr"/>
      <c r="F264" s="27" t="n">
        <v>0</v>
      </c>
      <c r="G264" s="28" t="inlineStr">
        <is>
          <t>Plot receipt with no open subscription — recognised in the year of receipt (turnover-register basis)</t>
        </is>
      </c>
      <c r="H264" s="27" t="n">
        <v>0</v>
      </c>
      <c r="I264" s="27" t="n">
        <v>130000</v>
      </c>
      <c r="J264" s="27" t="n">
        <v>0</v>
      </c>
      <c r="K264" s="27" t="n">
        <v>0</v>
      </c>
      <c r="L264" s="27" t="n">
        <v>130000</v>
      </c>
      <c r="M264" s="27" t="n">
        <v>0</v>
      </c>
      <c r="N264" s="27" t="n">
        <v>0</v>
      </c>
      <c r="O264" s="27" t="n">
        <v>0</v>
      </c>
    </row>
    <row r="265">
      <c r="A265" s="26" t="inlineStr">
        <is>
          <t>UN-0050</t>
        </is>
      </c>
      <c r="B265" s="26" t="inlineStr">
        <is>
          <t>Miss Omosanya Dotun Akeju</t>
        </is>
      </c>
      <c r="C265" s="26" t="inlineStr">
        <is>
          <t>Land</t>
        </is>
      </c>
      <c r="D265" s="26" t="inlineStr">
        <is>
          <t>Land: corner piece premium</t>
        </is>
      </c>
      <c r="E265" s="26" t="inlineStr"/>
      <c r="F265" s="27" t="n">
        <v>0</v>
      </c>
      <c r="G265" s="28" t="inlineStr">
        <is>
          <t>Plot receipt with no open subscription — recognised in the year of receipt (turnover-register basis)</t>
        </is>
      </c>
      <c r="H265" s="27" t="n">
        <v>0</v>
      </c>
      <c r="I265" s="27" t="n">
        <v>265000</v>
      </c>
      <c r="J265" s="27" t="n">
        <v>0</v>
      </c>
      <c r="K265" s="27" t="n">
        <v>0</v>
      </c>
      <c r="L265" s="27" t="n">
        <v>265000</v>
      </c>
      <c r="M265" s="27" t="n">
        <v>0</v>
      </c>
      <c r="N265" s="27" t="n">
        <v>0</v>
      </c>
      <c r="O265" s="27" t="n">
        <v>0</v>
      </c>
    </row>
    <row r="266">
      <c r="A266" s="26" t="inlineStr">
        <is>
          <t>UN-0051</t>
        </is>
      </c>
      <c r="B266" s="26" t="inlineStr">
        <is>
          <t>Miss Ebhotah Sharon Aisosa</t>
        </is>
      </c>
      <c r="C266" s="26" t="inlineStr">
        <is>
          <t>Land</t>
        </is>
      </c>
      <c r="D266" s="26" t="inlineStr">
        <is>
          <t>Land (estate not stated in source)</t>
        </is>
      </c>
      <c r="E266" s="26" t="inlineStr"/>
      <c r="F266" s="27" t="n">
        <v>0</v>
      </c>
      <c r="G266" s="28" t="inlineStr">
        <is>
          <t>Plot receipt with no open subscription — recognised in the year of receipt (turnover-register basis)</t>
        </is>
      </c>
      <c r="H266" s="27" t="n">
        <v>0</v>
      </c>
      <c r="I266" s="27" t="n">
        <v>0</v>
      </c>
      <c r="J266" s="27" t="n">
        <v>1330000</v>
      </c>
      <c r="K266" s="27" t="n">
        <v>0</v>
      </c>
      <c r="L266" s="27" t="n">
        <v>0</v>
      </c>
      <c r="M266" s="27" t="n">
        <v>1330000</v>
      </c>
      <c r="N266" s="27" t="n">
        <v>0</v>
      </c>
      <c r="O266" s="27" t="n">
        <v>0</v>
      </c>
    </row>
    <row r="267">
      <c r="A267" s="26" t="inlineStr">
        <is>
          <t>UN-0052</t>
        </is>
      </c>
      <c r="B267" s="26" t="inlineStr">
        <is>
          <t>Miss Ebhotah Sharon Aisosa</t>
        </is>
      </c>
      <c r="C267" s="26" t="inlineStr">
        <is>
          <t>Land</t>
        </is>
      </c>
      <c r="D267" s="26" t="inlineStr">
        <is>
          <t>Land: corner piece premium</t>
        </is>
      </c>
      <c r="E267" s="26" t="inlineStr"/>
      <c r="F267" s="27" t="n">
        <v>0</v>
      </c>
      <c r="G267" s="28" t="inlineStr">
        <is>
          <t>Plot receipt with no open subscription — recognised in the year of receipt (turnover-register basis)</t>
        </is>
      </c>
      <c r="H267" s="27" t="n">
        <v>0</v>
      </c>
      <c r="I267" s="27" t="n">
        <v>135000</v>
      </c>
      <c r="J267" s="27" t="n">
        <v>0</v>
      </c>
      <c r="K267" s="27" t="n">
        <v>0</v>
      </c>
      <c r="L267" s="27" t="n">
        <v>135000</v>
      </c>
      <c r="M267" s="27" t="n">
        <v>0</v>
      </c>
      <c r="N267" s="27" t="n">
        <v>0</v>
      </c>
      <c r="O267" s="27" t="n">
        <v>0</v>
      </c>
    </row>
    <row r="268">
      <c r="A268" s="26" t="inlineStr">
        <is>
          <t>UN-0053</t>
        </is>
      </c>
      <c r="B268" s="26" t="inlineStr">
        <is>
          <t>Mr Agbaje Christopher Usiala</t>
        </is>
      </c>
      <c r="C268" s="26" t="inlineStr">
        <is>
          <t>Land</t>
        </is>
      </c>
      <c r="D268" s="26" t="inlineStr">
        <is>
          <t>Green City Phase 1 (Lantaba, Ketu-Epe)</t>
        </is>
      </c>
      <c r="E268" s="26" t="inlineStr"/>
      <c r="F268" s="27" t="n">
        <v>0</v>
      </c>
      <c r="G268" s="28" t="inlineStr">
        <is>
          <t>Plot receipt with no open subscription — recognised in the year of receipt (turnover-register basis)</t>
        </is>
      </c>
      <c r="H268" s="27" t="n">
        <v>0</v>
      </c>
      <c r="I268" s="27" t="n">
        <v>135000</v>
      </c>
      <c r="J268" s="27" t="n">
        <v>0</v>
      </c>
      <c r="K268" s="27" t="n">
        <v>0</v>
      </c>
      <c r="L268" s="27" t="n">
        <v>135000</v>
      </c>
      <c r="M268" s="27" t="n">
        <v>0</v>
      </c>
      <c r="N268" s="27" t="n">
        <v>0</v>
      </c>
      <c r="O268" s="27" t="n">
        <v>0</v>
      </c>
    </row>
    <row r="269">
      <c r="A269" s="26" t="inlineStr">
        <is>
          <t>UN-0054</t>
        </is>
      </c>
      <c r="B269" s="26" t="inlineStr">
        <is>
          <t>Mr Daniel Ayodeji Adeogun</t>
        </is>
      </c>
      <c r="C269" s="26" t="inlineStr">
        <is>
          <t>Land</t>
        </is>
      </c>
      <c r="D269" s="26" t="inlineStr">
        <is>
          <t>Land: corner piece premium</t>
        </is>
      </c>
      <c r="E269" s="26" t="inlineStr"/>
      <c r="F269" s="27" t="n">
        <v>0</v>
      </c>
      <c r="G269" s="28" t="inlineStr">
        <is>
          <t>Plot receipt with no open subscription — recognised in the year of receipt (turnover-register basis)</t>
        </is>
      </c>
      <c r="H269" s="27" t="n">
        <v>0</v>
      </c>
      <c r="I269" s="27" t="n">
        <v>135000</v>
      </c>
      <c r="J269" s="27" t="n">
        <v>0</v>
      </c>
      <c r="K269" s="27" t="n">
        <v>0</v>
      </c>
      <c r="L269" s="27" t="n">
        <v>135000</v>
      </c>
      <c r="M269" s="27" t="n">
        <v>0</v>
      </c>
      <c r="N269" s="27" t="n">
        <v>0</v>
      </c>
      <c r="O269" s="27" t="n">
        <v>0</v>
      </c>
    </row>
    <row r="270">
      <c r="A270" s="26" t="inlineStr">
        <is>
          <t>UN-0055</t>
        </is>
      </c>
      <c r="B270" s="26" t="inlineStr">
        <is>
          <t>Oyebola Ajibola</t>
        </is>
      </c>
      <c r="C270" s="26" t="inlineStr">
        <is>
          <t>Land</t>
        </is>
      </c>
      <c r="D270" s="26" t="inlineStr">
        <is>
          <t>Land: corner piece premium</t>
        </is>
      </c>
      <c r="E270" s="26" t="inlineStr"/>
      <c r="F270" s="27" t="n">
        <v>0</v>
      </c>
      <c r="G270" s="28" t="inlineStr">
        <is>
          <t>Plot receipt with no open subscription — recognised in the year of receipt (turnover-register basis)</t>
        </is>
      </c>
      <c r="H270" s="27" t="n">
        <v>0</v>
      </c>
      <c r="I270" s="27" t="n">
        <v>135000</v>
      </c>
      <c r="J270" s="27" t="n">
        <v>0</v>
      </c>
      <c r="K270" s="27" t="n">
        <v>0</v>
      </c>
      <c r="L270" s="27" t="n">
        <v>135000</v>
      </c>
      <c r="M270" s="27" t="n">
        <v>0</v>
      </c>
      <c r="N270" s="27" t="n">
        <v>0</v>
      </c>
      <c r="O270" s="27" t="n">
        <v>0</v>
      </c>
    </row>
    <row r="271">
      <c r="A271" s="26" t="inlineStr">
        <is>
          <t>UN-0056</t>
        </is>
      </c>
      <c r="B271" s="26" t="inlineStr">
        <is>
          <t>Mrs Oloniluyi Victoria Iyabode Adetutu</t>
        </is>
      </c>
      <c r="C271" s="26" t="inlineStr">
        <is>
          <t>Land</t>
        </is>
      </c>
      <c r="D271" s="26" t="inlineStr">
        <is>
          <t>Land: corner piece premium</t>
        </is>
      </c>
      <c r="E271" s="26" t="inlineStr"/>
      <c r="F271" s="27" t="n">
        <v>0</v>
      </c>
      <c r="G271" s="28" t="inlineStr">
        <is>
          <t>Plot receipt with no open subscription — recognised in the year of receipt (turnover-register basis)</t>
        </is>
      </c>
      <c r="H271" s="27" t="n">
        <v>0</v>
      </c>
      <c r="I271" s="27" t="n">
        <v>135000</v>
      </c>
      <c r="J271" s="27" t="n">
        <v>0</v>
      </c>
      <c r="K271" s="27" t="n">
        <v>0</v>
      </c>
      <c r="L271" s="27" t="n">
        <v>135000</v>
      </c>
      <c r="M271" s="27" t="n">
        <v>0</v>
      </c>
      <c r="N271" s="27" t="n">
        <v>0</v>
      </c>
      <c r="O271" s="27" t="n">
        <v>0</v>
      </c>
    </row>
    <row r="272">
      <c r="A272" s="26" t="inlineStr">
        <is>
          <t>UN-0057</t>
        </is>
      </c>
      <c r="B272" s="26" t="inlineStr">
        <is>
          <t>Miss Ogidan Funmilayo Jumoke</t>
        </is>
      </c>
      <c r="C272" s="26" t="inlineStr">
        <is>
          <t>Land</t>
        </is>
      </c>
      <c r="D272" s="26" t="inlineStr">
        <is>
          <t>Land: corner piece premium</t>
        </is>
      </c>
      <c r="E272" s="26" t="inlineStr"/>
      <c r="F272" s="27" t="n">
        <v>0</v>
      </c>
      <c r="G272" s="28" t="inlineStr">
        <is>
          <t>Plot receipt with no open subscription — recognised in the year of receipt (turnover-register basis)</t>
        </is>
      </c>
      <c r="H272" s="27" t="n">
        <v>0</v>
      </c>
      <c r="I272" s="27" t="n">
        <v>135000</v>
      </c>
      <c r="J272" s="27" t="n">
        <v>0</v>
      </c>
      <c r="K272" s="27" t="n">
        <v>0</v>
      </c>
      <c r="L272" s="27" t="n">
        <v>135000</v>
      </c>
      <c r="M272" s="27" t="n">
        <v>0</v>
      </c>
      <c r="N272" s="27" t="n">
        <v>0</v>
      </c>
      <c r="O272" s="27" t="n">
        <v>0</v>
      </c>
    </row>
    <row r="273">
      <c r="A273" s="26" t="inlineStr">
        <is>
          <t>UN-0058</t>
        </is>
      </c>
      <c r="B273" s="26" t="inlineStr">
        <is>
          <t>Mr Ojo Ayomide Babatunde</t>
        </is>
      </c>
      <c r="C273" s="26" t="inlineStr">
        <is>
          <t>Land</t>
        </is>
      </c>
      <c r="D273" s="26" t="inlineStr">
        <is>
          <t>Land: corner piece premium</t>
        </is>
      </c>
      <c r="E273" s="26" t="inlineStr"/>
      <c r="F273" s="27" t="n">
        <v>0</v>
      </c>
      <c r="G273" s="28" t="inlineStr">
        <is>
          <t>Plot receipt with no open subscription — recognised in the year of receipt (turnover-register basis)</t>
        </is>
      </c>
      <c r="H273" s="27" t="n">
        <v>0</v>
      </c>
      <c r="I273" s="27" t="n">
        <v>135000</v>
      </c>
      <c r="J273" s="27" t="n">
        <v>0</v>
      </c>
      <c r="K273" s="27" t="n">
        <v>0</v>
      </c>
      <c r="L273" s="27" t="n">
        <v>135000</v>
      </c>
      <c r="M273" s="27" t="n">
        <v>0</v>
      </c>
      <c r="N273" s="27" t="n">
        <v>0</v>
      </c>
      <c r="O273" s="27" t="n">
        <v>0</v>
      </c>
    </row>
    <row r="274">
      <c r="A274" s="26" t="inlineStr">
        <is>
          <t>UN-0059</t>
        </is>
      </c>
      <c r="B274" s="26" t="inlineStr">
        <is>
          <t>Mr Uebari Sorbari</t>
        </is>
      </c>
      <c r="C274" s="26" t="inlineStr">
        <is>
          <t>Land</t>
        </is>
      </c>
      <c r="D274" s="26" t="inlineStr">
        <is>
          <t>Land (estate not stated in source)</t>
        </is>
      </c>
      <c r="E274" s="26" t="inlineStr"/>
      <c r="F274" s="27" t="n">
        <v>0</v>
      </c>
      <c r="G274" s="28" t="inlineStr">
        <is>
          <t>Plot receipt with no open subscription — recognised in the year of receipt (turnover-register basis)</t>
        </is>
      </c>
      <c r="H274" s="27" t="n">
        <v>0</v>
      </c>
      <c r="I274" s="27" t="n">
        <v>0</v>
      </c>
      <c r="J274" s="27" t="n">
        <v>3300000</v>
      </c>
      <c r="K274" s="27" t="n">
        <v>0</v>
      </c>
      <c r="L274" s="27" t="n">
        <v>0</v>
      </c>
      <c r="M274" s="27" t="n">
        <v>3300000</v>
      </c>
      <c r="N274" s="27" t="n">
        <v>0</v>
      </c>
      <c r="O274" s="27" t="n">
        <v>0</v>
      </c>
    </row>
    <row r="275">
      <c r="A275" s="26" t="inlineStr">
        <is>
          <t>UN-0060</t>
        </is>
      </c>
      <c r="B275" s="26" t="inlineStr">
        <is>
          <t>Mr Uebari Sorbari Godwin</t>
        </is>
      </c>
      <c r="C275" s="26" t="inlineStr">
        <is>
          <t>Land</t>
        </is>
      </c>
      <c r="D275" s="26" t="inlineStr">
        <is>
          <t>Land (estate not stated in source)</t>
        </is>
      </c>
      <c r="E275" s="26" t="inlineStr"/>
      <c r="F275" s="27" t="n">
        <v>0</v>
      </c>
      <c r="G275" s="28" t="inlineStr">
        <is>
          <t>Plot receipt with no open subscription — recognised in the year of receipt (turnover-register basis)</t>
        </is>
      </c>
      <c r="H275" s="27" t="n">
        <v>0</v>
      </c>
      <c r="I275" s="27" t="n">
        <v>0</v>
      </c>
      <c r="J275" s="27" t="n">
        <v>107000</v>
      </c>
      <c r="K275" s="27" t="n">
        <v>0</v>
      </c>
      <c r="L275" s="27" t="n">
        <v>0</v>
      </c>
      <c r="M275" s="27" t="n">
        <v>107000</v>
      </c>
      <c r="N275" s="27" t="n">
        <v>0</v>
      </c>
      <c r="O275" s="27" t="n">
        <v>0</v>
      </c>
    </row>
    <row r="276">
      <c r="A276" s="26" t="inlineStr">
        <is>
          <t>UN-0061</t>
        </is>
      </c>
      <c r="B276" s="26" t="inlineStr">
        <is>
          <t>Miss Bingham Kendra</t>
        </is>
      </c>
      <c r="C276" s="26" t="inlineStr">
        <is>
          <t>Land</t>
        </is>
      </c>
      <c r="D276" s="26" t="inlineStr">
        <is>
          <t>Land: corner piece premium</t>
        </is>
      </c>
      <c r="E276" s="26" t="inlineStr"/>
      <c r="F276" s="27" t="n">
        <v>0</v>
      </c>
      <c r="G276" s="28" t="inlineStr">
        <is>
          <t>Plot receipt with no open subscription — recognised in the year of receipt (turnover-register basis)</t>
        </is>
      </c>
      <c r="H276" s="27" t="n">
        <v>0</v>
      </c>
      <c r="I276" s="27" t="n">
        <v>250000</v>
      </c>
      <c r="J276" s="27" t="n">
        <v>0</v>
      </c>
      <c r="K276" s="27" t="n">
        <v>0</v>
      </c>
      <c r="L276" s="27" t="n">
        <v>250000</v>
      </c>
      <c r="M276" s="27" t="n">
        <v>0</v>
      </c>
      <c r="N276" s="27" t="n">
        <v>0</v>
      </c>
      <c r="O276" s="27" t="n">
        <v>0</v>
      </c>
    </row>
    <row r="277">
      <c r="A277" s="26" t="inlineStr">
        <is>
          <t>UN-0062</t>
        </is>
      </c>
      <c r="B277" s="26" t="inlineStr">
        <is>
          <t>Ms Bingham Kendra</t>
        </is>
      </c>
      <c r="C277" s="26" t="inlineStr">
        <is>
          <t>Land</t>
        </is>
      </c>
      <c r="D277" s="26" t="inlineStr">
        <is>
          <t>Land: documentation fee</t>
        </is>
      </c>
      <c r="E277" s="26" t="inlineStr"/>
      <c r="F277" s="27" t="n">
        <v>0</v>
      </c>
      <c r="G277" s="28" t="inlineStr">
        <is>
          <t>Plot receipt with no open subscription — recognised in the year of receipt (turnover-register basis)</t>
        </is>
      </c>
      <c r="H277" s="27" t="n">
        <v>0</v>
      </c>
      <c r="I277" s="27" t="n">
        <v>950000</v>
      </c>
      <c r="J277" s="27" t="n">
        <v>0</v>
      </c>
      <c r="K277" s="27" t="n">
        <v>0</v>
      </c>
      <c r="L277" s="27" t="n">
        <v>950000</v>
      </c>
      <c r="M277" s="27" t="n">
        <v>0</v>
      </c>
      <c r="N277" s="27" t="n">
        <v>0</v>
      </c>
      <c r="O277" s="27" t="n">
        <v>0</v>
      </c>
    </row>
    <row r="278">
      <c r="A278" s="26" t="inlineStr">
        <is>
          <t>UN-0063</t>
        </is>
      </c>
      <c r="B278" s="26" t="inlineStr">
        <is>
          <t>Miss Ukachi Oluchi Florence</t>
        </is>
      </c>
      <c r="C278" s="26" t="inlineStr">
        <is>
          <t>Land</t>
        </is>
      </c>
      <c r="D278" s="26" t="inlineStr">
        <is>
          <t>Land: corner piece premium</t>
        </is>
      </c>
      <c r="E278" s="26" t="inlineStr"/>
      <c r="F278" s="27" t="n">
        <v>0</v>
      </c>
      <c r="G278" s="28" t="inlineStr">
        <is>
          <t>Plot receipt with no open subscription — recognised in the year of receipt (turnover-register basis)</t>
        </is>
      </c>
      <c r="H278" s="27" t="n">
        <v>0</v>
      </c>
      <c r="I278" s="27" t="n">
        <v>135000</v>
      </c>
      <c r="J278" s="27" t="n">
        <v>0</v>
      </c>
      <c r="K278" s="27" t="n">
        <v>0</v>
      </c>
      <c r="L278" s="27" t="n">
        <v>135000</v>
      </c>
      <c r="M278" s="27" t="n">
        <v>0</v>
      </c>
      <c r="N278" s="27" t="n">
        <v>0</v>
      </c>
      <c r="O278" s="27" t="n">
        <v>0</v>
      </c>
    </row>
    <row r="279">
      <c r="A279" s="26" t="inlineStr">
        <is>
          <t>UN-0064</t>
        </is>
      </c>
      <c r="B279" s="26" t="inlineStr">
        <is>
          <t>Dr Ayansola Jeremiah Funso</t>
        </is>
      </c>
      <c r="C279" s="26" t="inlineStr">
        <is>
          <t>Land</t>
        </is>
      </c>
      <c r="D279" s="26" t="inlineStr">
        <is>
          <t>Land: corner piece premium</t>
        </is>
      </c>
      <c r="E279" s="26" t="inlineStr"/>
      <c r="F279" s="27" t="n">
        <v>0</v>
      </c>
      <c r="G279" s="28" t="inlineStr">
        <is>
          <t>Plot receipt with no open subscription — recognised in the year of receipt (turnover-register basis)</t>
        </is>
      </c>
      <c r="H279" s="27" t="n">
        <v>0</v>
      </c>
      <c r="I279" s="27" t="n">
        <v>135000</v>
      </c>
      <c r="J279" s="27" t="n">
        <v>0</v>
      </c>
      <c r="K279" s="27" t="n">
        <v>0</v>
      </c>
      <c r="L279" s="27" t="n">
        <v>135000</v>
      </c>
      <c r="M279" s="27" t="n">
        <v>0</v>
      </c>
      <c r="N279" s="27" t="n">
        <v>0</v>
      </c>
      <c r="O279" s="27" t="n">
        <v>0</v>
      </c>
    </row>
    <row r="280">
      <c r="A280" s="26" t="inlineStr">
        <is>
          <t>UN-0065</t>
        </is>
      </c>
      <c r="B280" s="26" t="inlineStr">
        <is>
          <t>Mr Ukachi Godfrey Ndukaku</t>
        </is>
      </c>
      <c r="C280" s="26" t="inlineStr">
        <is>
          <t>Land</t>
        </is>
      </c>
      <c r="D280" s="26" t="inlineStr">
        <is>
          <t>Land: corner piece premium</t>
        </is>
      </c>
      <c r="E280" s="26" t="inlineStr"/>
      <c r="F280" s="27" t="n">
        <v>0</v>
      </c>
      <c r="G280" s="28" t="inlineStr">
        <is>
          <t>Plot receipt with no open subscription — recognised in the year of receipt (turnover-register basis)</t>
        </is>
      </c>
      <c r="H280" s="27" t="n">
        <v>0</v>
      </c>
      <c r="I280" s="27" t="n">
        <v>135000</v>
      </c>
      <c r="J280" s="27" t="n">
        <v>0</v>
      </c>
      <c r="K280" s="27" t="n">
        <v>0</v>
      </c>
      <c r="L280" s="27" t="n">
        <v>135000</v>
      </c>
      <c r="M280" s="27" t="n">
        <v>0</v>
      </c>
      <c r="N280" s="27" t="n">
        <v>0</v>
      </c>
      <c r="O280" s="27" t="n">
        <v>0</v>
      </c>
    </row>
    <row r="281">
      <c r="A281" s="26" t="inlineStr">
        <is>
          <t>UN-0066</t>
        </is>
      </c>
      <c r="B281" s="26" t="inlineStr">
        <is>
          <t>Mrs Yohanna Victoria</t>
        </is>
      </c>
      <c r="C281" s="26" t="inlineStr">
        <is>
          <t>Land</t>
        </is>
      </c>
      <c r="D281" s="26" t="inlineStr">
        <is>
          <t>Green City Phase 1 (Lantaba, Ketu-Epe)</t>
        </is>
      </c>
      <c r="E281" s="26" t="inlineStr"/>
      <c r="F281" s="27" t="n">
        <v>0</v>
      </c>
      <c r="G281" s="28" t="inlineStr">
        <is>
          <t>Plot receipt with no open subscription — recognised in the year of receipt (turnover-register basis)</t>
        </is>
      </c>
      <c r="H281" s="27" t="n">
        <v>0</v>
      </c>
      <c r="I281" s="27" t="n">
        <v>3000000</v>
      </c>
      <c r="J281" s="27" t="n">
        <v>0</v>
      </c>
      <c r="K281" s="27" t="n">
        <v>0</v>
      </c>
      <c r="L281" s="27" t="n">
        <v>3000000</v>
      </c>
      <c r="M281" s="27" t="n">
        <v>0</v>
      </c>
      <c r="N281" s="27" t="n">
        <v>0</v>
      </c>
      <c r="O281" s="27" t="n">
        <v>0</v>
      </c>
    </row>
    <row r="282">
      <c r="A282" s="26" t="inlineStr">
        <is>
          <t>UN-0067</t>
        </is>
      </c>
      <c r="B282" s="26" t="inlineStr">
        <is>
          <t>Mr Ayokunu Adegbayemu</t>
        </is>
      </c>
      <c r="C282" s="26" t="inlineStr">
        <is>
          <t>Land</t>
        </is>
      </c>
      <c r="D282" s="26" t="inlineStr">
        <is>
          <t>Green City Phase 2 (Ketu-Epe)</t>
        </is>
      </c>
      <c r="E282" s="26" t="inlineStr"/>
      <c r="F282" s="27" t="n">
        <v>0</v>
      </c>
      <c r="G282" s="28" t="inlineStr">
        <is>
          <t>Plot receipt with no open subscription — recognised in the year of receipt (turnover-register basis)</t>
        </is>
      </c>
      <c r="H282" s="27" t="n">
        <v>0</v>
      </c>
      <c r="I282" s="27" t="n">
        <v>1430000</v>
      </c>
      <c r="J282" s="27" t="n">
        <v>0</v>
      </c>
      <c r="K282" s="27" t="n">
        <v>0</v>
      </c>
      <c r="L282" s="27" t="n">
        <v>1430000</v>
      </c>
      <c r="M282" s="27" t="n">
        <v>0</v>
      </c>
      <c r="N282" s="27" t="n">
        <v>0</v>
      </c>
      <c r="O282" s="27" t="n">
        <v>0</v>
      </c>
    </row>
    <row r="283">
      <c r="A283" s="26" t="inlineStr">
        <is>
          <t>UN-0068</t>
        </is>
      </c>
      <c r="B283" s="26" t="inlineStr">
        <is>
          <t>Mr Komolafe Leonard Oluwashola</t>
        </is>
      </c>
      <c r="C283" s="26" t="inlineStr">
        <is>
          <t>Land</t>
        </is>
      </c>
      <c r="D283" s="26" t="inlineStr">
        <is>
          <t>Land: corner piece premium</t>
        </is>
      </c>
      <c r="E283" s="26" t="inlineStr"/>
      <c r="F283" s="27" t="n">
        <v>0</v>
      </c>
      <c r="G283" s="28" t="inlineStr">
        <is>
          <t>Plot receipt with no open subscription — recognised in the year of receipt (turnover-register basis)</t>
        </is>
      </c>
      <c r="H283" s="27" t="n">
        <v>0</v>
      </c>
      <c r="I283" s="27" t="n">
        <v>135000</v>
      </c>
      <c r="J283" s="27" t="n">
        <v>0</v>
      </c>
      <c r="K283" s="27" t="n">
        <v>0</v>
      </c>
      <c r="L283" s="27" t="n">
        <v>135000</v>
      </c>
      <c r="M283" s="27" t="n">
        <v>0</v>
      </c>
      <c r="N283" s="27" t="n">
        <v>0</v>
      </c>
      <c r="O283" s="27" t="n">
        <v>0</v>
      </c>
    </row>
    <row r="284">
      <c r="A284" s="26" t="inlineStr">
        <is>
          <t>UN-0069</t>
        </is>
      </c>
      <c r="B284" s="26" t="inlineStr">
        <is>
          <t>Mr Lawson Oladele Valentino</t>
        </is>
      </c>
      <c r="C284" s="26" t="inlineStr">
        <is>
          <t>Land</t>
        </is>
      </c>
      <c r="D284" s="26" t="inlineStr">
        <is>
          <t>Land: corner piece premium</t>
        </is>
      </c>
      <c r="E284" s="26" t="inlineStr"/>
      <c r="F284" s="27" t="n">
        <v>0</v>
      </c>
      <c r="G284" s="28" t="inlineStr">
        <is>
          <t>Plot receipt with no open subscription — recognised in the year of receipt (turnover-register basis)</t>
        </is>
      </c>
      <c r="H284" s="27" t="n">
        <v>0</v>
      </c>
      <c r="I284" s="27" t="n">
        <v>135000</v>
      </c>
      <c r="J284" s="27" t="n">
        <v>0</v>
      </c>
      <c r="K284" s="27" t="n">
        <v>0</v>
      </c>
      <c r="L284" s="27" t="n">
        <v>135000</v>
      </c>
      <c r="M284" s="27" t="n">
        <v>0</v>
      </c>
      <c r="N284" s="27" t="n">
        <v>0</v>
      </c>
      <c r="O284" s="27" t="n">
        <v>0</v>
      </c>
    </row>
    <row r="285">
      <c r="A285" s="26" t="inlineStr">
        <is>
          <t>UN-0070</t>
        </is>
      </c>
      <c r="B285" s="26" t="inlineStr">
        <is>
          <t>Mr Ajiva Lubem Barnabas</t>
        </is>
      </c>
      <c r="C285" s="26" t="inlineStr">
        <is>
          <t>Land</t>
        </is>
      </c>
      <c r="D285" s="26" t="inlineStr">
        <is>
          <t>Land: corner piece premium</t>
        </is>
      </c>
      <c r="E285" s="26" t="inlineStr"/>
      <c r="F285" s="27" t="n">
        <v>0</v>
      </c>
      <c r="G285" s="28" t="inlineStr">
        <is>
          <t>Plot receipt with no open subscription — recognised in the year of receipt (turnover-register basis)</t>
        </is>
      </c>
      <c r="H285" s="27" t="n">
        <v>0</v>
      </c>
      <c r="I285" s="27" t="n">
        <v>135000</v>
      </c>
      <c r="J285" s="27" t="n">
        <v>0</v>
      </c>
      <c r="K285" s="27" t="n">
        <v>0</v>
      </c>
      <c r="L285" s="27" t="n">
        <v>135000</v>
      </c>
      <c r="M285" s="27" t="n">
        <v>0</v>
      </c>
      <c r="N285" s="27" t="n">
        <v>0</v>
      </c>
      <c r="O285" s="27" t="n">
        <v>0</v>
      </c>
    </row>
    <row r="286">
      <c r="A286" s="26" t="inlineStr">
        <is>
          <t>UN-0071</t>
        </is>
      </c>
      <c r="B286" s="26" t="inlineStr">
        <is>
          <t>Mr Ojo Olugbenga Daniel &amp; Mrs Ojo Omolola Oyewunmi</t>
        </is>
      </c>
      <c r="C286" s="26" t="inlineStr">
        <is>
          <t>Land</t>
        </is>
      </c>
      <c r="D286" s="26" t="inlineStr">
        <is>
          <t>Land: corner piece premium</t>
        </is>
      </c>
      <c r="E286" s="26" t="inlineStr"/>
      <c r="F286" s="27" t="n">
        <v>0</v>
      </c>
      <c r="G286" s="28" t="inlineStr">
        <is>
          <t>Plot receipt with no open subscription — recognised in the year of receipt (turnover-register basis)</t>
        </is>
      </c>
      <c r="H286" s="27" t="n">
        <v>0</v>
      </c>
      <c r="I286" s="27" t="n">
        <v>135000</v>
      </c>
      <c r="J286" s="27" t="n">
        <v>0</v>
      </c>
      <c r="K286" s="27" t="n">
        <v>0</v>
      </c>
      <c r="L286" s="27" t="n">
        <v>135000</v>
      </c>
      <c r="M286" s="27" t="n">
        <v>0</v>
      </c>
      <c r="N286" s="27" t="n">
        <v>0</v>
      </c>
      <c r="O286" s="27" t="n">
        <v>0</v>
      </c>
    </row>
    <row r="287">
      <c r="A287" s="26" t="inlineStr">
        <is>
          <t>UN-0072</t>
        </is>
      </c>
      <c r="B287" s="26" t="inlineStr">
        <is>
          <t>Mr Oriakhi Osemudiamen Peter</t>
        </is>
      </c>
      <c r="C287" s="26" t="inlineStr">
        <is>
          <t>Land</t>
        </is>
      </c>
      <c r="D287" s="26" t="inlineStr">
        <is>
          <t>Land: corner piece premium</t>
        </is>
      </c>
      <c r="E287" s="26" t="inlineStr"/>
      <c r="F287" s="27" t="n">
        <v>0</v>
      </c>
      <c r="G287" s="28" t="inlineStr">
        <is>
          <t>Plot receipt with no open subscription — recognised in the year of receipt (turnover-register basis)</t>
        </is>
      </c>
      <c r="H287" s="27" t="n">
        <v>0</v>
      </c>
      <c r="I287" s="27" t="n">
        <v>135000</v>
      </c>
      <c r="J287" s="27" t="n">
        <v>0</v>
      </c>
      <c r="K287" s="27" t="n">
        <v>0</v>
      </c>
      <c r="L287" s="27" t="n">
        <v>135000</v>
      </c>
      <c r="M287" s="27" t="n">
        <v>0</v>
      </c>
      <c r="N287" s="27" t="n">
        <v>0</v>
      </c>
      <c r="O287" s="27" t="n">
        <v>0</v>
      </c>
    </row>
    <row r="288">
      <c r="A288" s="26" t="inlineStr">
        <is>
          <t>UN-0073</t>
        </is>
      </c>
      <c r="B288" s="26" t="inlineStr">
        <is>
          <t>Mr Okuneye Oluwakayode Oluwaseyi</t>
        </is>
      </c>
      <c r="C288" s="26" t="inlineStr">
        <is>
          <t>Land</t>
        </is>
      </c>
      <c r="D288" s="26" t="inlineStr">
        <is>
          <t>Land: corner piece premium</t>
        </is>
      </c>
      <c r="E288" s="26" t="inlineStr"/>
      <c r="F288" s="27" t="n">
        <v>0</v>
      </c>
      <c r="G288" s="28" t="inlineStr">
        <is>
          <t>Plot receipt with no open subscription — recognised in the year of receipt (turnover-register basis)</t>
        </is>
      </c>
      <c r="H288" s="27" t="n">
        <v>0</v>
      </c>
      <c r="I288" s="27" t="n">
        <v>135000</v>
      </c>
      <c r="J288" s="27" t="n">
        <v>0</v>
      </c>
      <c r="K288" s="27" t="n">
        <v>0</v>
      </c>
      <c r="L288" s="27" t="n">
        <v>135000</v>
      </c>
      <c r="M288" s="27" t="n">
        <v>0</v>
      </c>
      <c r="N288" s="27" t="n">
        <v>0</v>
      </c>
      <c r="O288" s="27" t="n">
        <v>0</v>
      </c>
    </row>
    <row r="289">
      <c r="A289" s="26" t="inlineStr">
        <is>
          <t>UN-0074</t>
        </is>
      </c>
      <c r="B289" s="26" t="inlineStr">
        <is>
          <t>Mr Ajayi Oluwadunsin Babatunde</t>
        </is>
      </c>
      <c r="C289" s="26" t="inlineStr">
        <is>
          <t>Land</t>
        </is>
      </c>
      <c r="D289" s="26" t="inlineStr">
        <is>
          <t>Green City Phase 2 (Ketu-Epe)</t>
        </is>
      </c>
      <c r="E289" s="26" t="inlineStr"/>
      <c r="F289" s="27" t="n">
        <v>0</v>
      </c>
      <c r="G289" s="28" t="inlineStr">
        <is>
          <t>Plot receipt with no open subscription — recognised in the year of receipt (turnover-register basis)</t>
        </is>
      </c>
      <c r="H289" s="27" t="n">
        <v>0</v>
      </c>
      <c r="I289" s="27" t="n">
        <v>1000000</v>
      </c>
      <c r="J289" s="27" t="n">
        <v>0</v>
      </c>
      <c r="K289" s="27" t="n">
        <v>0</v>
      </c>
      <c r="L289" s="27" t="n">
        <v>1000000</v>
      </c>
      <c r="M289" s="27" t="n">
        <v>0</v>
      </c>
      <c r="N289" s="27" t="n">
        <v>0</v>
      </c>
      <c r="O289" s="27" t="n">
        <v>0</v>
      </c>
    </row>
    <row r="290">
      <c r="A290" s="26" t="inlineStr">
        <is>
          <t>UN-0075</t>
        </is>
      </c>
      <c r="B290" s="26" t="inlineStr">
        <is>
          <t>Miss Ebhotan Sharon Aisosa</t>
        </is>
      </c>
      <c r="C290" s="26" t="inlineStr">
        <is>
          <t>Land</t>
        </is>
      </c>
      <c r="D290" s="26" t="inlineStr">
        <is>
          <t>Green City Phase 2 (Ketu-Epe)</t>
        </is>
      </c>
      <c r="E290" s="26" t="inlineStr"/>
      <c r="F290" s="27" t="n">
        <v>0</v>
      </c>
      <c r="G290" s="28" t="inlineStr">
        <is>
          <t>Plot receipt with no open subscription — recognised in the year of receipt (turnover-register basis)</t>
        </is>
      </c>
      <c r="H290" s="27" t="n">
        <v>0</v>
      </c>
      <c r="I290" s="27" t="n">
        <v>295000</v>
      </c>
      <c r="J290" s="27" t="n">
        <v>0</v>
      </c>
      <c r="K290" s="27" t="n">
        <v>0</v>
      </c>
      <c r="L290" s="27" t="n">
        <v>295000</v>
      </c>
      <c r="M290" s="27" t="n">
        <v>0</v>
      </c>
      <c r="N290" s="27" t="n">
        <v>0</v>
      </c>
      <c r="O290" s="27" t="n">
        <v>0</v>
      </c>
    </row>
    <row r="291">
      <c r="A291" s="26" t="inlineStr">
        <is>
          <t>UN-0076</t>
        </is>
      </c>
      <c r="B291" s="26" t="inlineStr">
        <is>
          <t>Mrs Lawani Opemipo Lasode</t>
        </is>
      </c>
      <c r="C291" s="26" t="inlineStr">
        <is>
          <t>Land</t>
        </is>
      </c>
      <c r="D291" s="26" t="inlineStr">
        <is>
          <t>Land: corner piece premium</t>
        </is>
      </c>
      <c r="E291" s="26" t="inlineStr"/>
      <c r="F291" s="27" t="n">
        <v>0</v>
      </c>
      <c r="G291" s="28" t="inlineStr">
        <is>
          <t>Plot receipt with no open subscription — recognised in the year of receipt (turnover-register basis)</t>
        </is>
      </c>
      <c r="H291" s="27" t="n">
        <v>0</v>
      </c>
      <c r="I291" s="27" t="n">
        <v>135000</v>
      </c>
      <c r="J291" s="27" t="n">
        <v>0</v>
      </c>
      <c r="K291" s="27" t="n">
        <v>0</v>
      </c>
      <c r="L291" s="27" t="n">
        <v>135000</v>
      </c>
      <c r="M291" s="27" t="n">
        <v>0</v>
      </c>
      <c r="N291" s="27" t="n">
        <v>0</v>
      </c>
      <c r="O291" s="27" t="n">
        <v>0</v>
      </c>
    </row>
    <row r="292">
      <c r="A292" s="26" t="inlineStr">
        <is>
          <t>UN-0077</t>
        </is>
      </c>
      <c r="B292" s="26" t="inlineStr">
        <is>
          <t>Engr. Fagbulu Taiwo Olubunmi</t>
        </is>
      </c>
      <c r="C292" s="26" t="inlineStr">
        <is>
          <t>Land</t>
        </is>
      </c>
      <c r="D292" s="26" t="inlineStr">
        <is>
          <t>Land: corner piece premium</t>
        </is>
      </c>
      <c r="E292" s="26" t="inlineStr"/>
      <c r="F292" s="27" t="n">
        <v>0</v>
      </c>
      <c r="G292" s="28" t="inlineStr">
        <is>
          <t>Plot receipt with no open subscription — recognised in the year of receipt (turnover-register basis)</t>
        </is>
      </c>
      <c r="H292" s="27" t="n">
        <v>0</v>
      </c>
      <c r="I292" s="27" t="n">
        <v>135000</v>
      </c>
      <c r="J292" s="27" t="n">
        <v>0</v>
      </c>
      <c r="K292" s="27" t="n">
        <v>0</v>
      </c>
      <c r="L292" s="27" t="n">
        <v>135000</v>
      </c>
      <c r="M292" s="27" t="n">
        <v>0</v>
      </c>
      <c r="N292" s="27" t="n">
        <v>0</v>
      </c>
      <c r="O292" s="27" t="n">
        <v>0</v>
      </c>
    </row>
    <row r="293">
      <c r="A293" s="26" t="inlineStr">
        <is>
          <t>UN-0078</t>
        </is>
      </c>
      <c r="B293" s="26" t="inlineStr">
        <is>
          <t>Mr Alli Ifesinachi Innocent</t>
        </is>
      </c>
      <c r="C293" s="26" t="inlineStr">
        <is>
          <t>Land</t>
        </is>
      </c>
      <c r="D293" s="26" t="inlineStr">
        <is>
          <t>Land: corner piece premium</t>
        </is>
      </c>
      <c r="E293" s="26" t="inlineStr"/>
      <c r="F293" s="27" t="n">
        <v>0</v>
      </c>
      <c r="G293" s="28" t="inlineStr">
        <is>
          <t>Plot receipt with no open subscription — recognised in the year of receipt (turnover-register basis)</t>
        </is>
      </c>
      <c r="H293" s="27" t="n">
        <v>0</v>
      </c>
      <c r="I293" s="27" t="n">
        <v>135000</v>
      </c>
      <c r="J293" s="27" t="n">
        <v>0</v>
      </c>
      <c r="K293" s="27" t="n">
        <v>0</v>
      </c>
      <c r="L293" s="27" t="n">
        <v>135000</v>
      </c>
      <c r="M293" s="27" t="n">
        <v>0</v>
      </c>
      <c r="N293" s="27" t="n">
        <v>0</v>
      </c>
      <c r="O293" s="27" t="n">
        <v>0</v>
      </c>
    </row>
    <row r="294">
      <c r="A294" s="26" t="inlineStr">
        <is>
          <t>UN-0079</t>
        </is>
      </c>
      <c r="B294" s="26" t="inlineStr">
        <is>
          <t>Mr Olatunde Adesua Samuel</t>
        </is>
      </c>
      <c r="C294" s="26" t="inlineStr">
        <is>
          <t>Land</t>
        </is>
      </c>
      <c r="D294" s="26" t="inlineStr">
        <is>
          <t>Land: corner piece premium</t>
        </is>
      </c>
      <c r="E294" s="26" t="inlineStr"/>
      <c r="F294" s="27" t="n">
        <v>0</v>
      </c>
      <c r="G294" s="28" t="inlineStr">
        <is>
          <t>Plot receipt with no open subscription — recognised in the year of receipt (turnover-register basis)</t>
        </is>
      </c>
      <c r="H294" s="27" t="n">
        <v>0</v>
      </c>
      <c r="I294" s="27" t="n">
        <v>135000</v>
      </c>
      <c r="J294" s="27" t="n">
        <v>0</v>
      </c>
      <c r="K294" s="27" t="n">
        <v>0</v>
      </c>
      <c r="L294" s="27" t="n">
        <v>135000</v>
      </c>
      <c r="M294" s="27" t="n">
        <v>0</v>
      </c>
      <c r="N294" s="27" t="n">
        <v>0</v>
      </c>
      <c r="O294" s="27" t="n">
        <v>0</v>
      </c>
    </row>
    <row r="295">
      <c r="A295" s="26" t="inlineStr">
        <is>
          <t>UN-0080</t>
        </is>
      </c>
      <c r="B295" s="26" t="inlineStr">
        <is>
          <t>Mr Braimoh Ayomide Favour</t>
        </is>
      </c>
      <c r="C295" s="26" t="inlineStr">
        <is>
          <t>Land</t>
        </is>
      </c>
      <c r="D295" s="26" t="inlineStr">
        <is>
          <t>Land (estate not stated in source)</t>
        </is>
      </c>
      <c r="E295" s="26" t="inlineStr"/>
      <c r="F295" s="27" t="n">
        <v>0</v>
      </c>
      <c r="G295" s="28" t="inlineStr">
        <is>
          <t>Plot receipt with no open subscription — recognised in the year of receipt (turnover-register basis)</t>
        </is>
      </c>
      <c r="H295" s="27" t="n">
        <v>0</v>
      </c>
      <c r="I295" s="27" t="n">
        <v>250000</v>
      </c>
      <c r="J295" s="27" t="n">
        <v>0</v>
      </c>
      <c r="K295" s="27" t="n">
        <v>0</v>
      </c>
      <c r="L295" s="27" t="n">
        <v>250000</v>
      </c>
      <c r="M295" s="27" t="n">
        <v>0</v>
      </c>
      <c r="N295" s="27" t="n">
        <v>0</v>
      </c>
      <c r="O295" s="27" t="n">
        <v>0</v>
      </c>
    </row>
    <row r="296">
      <c r="A296" s="26" t="inlineStr">
        <is>
          <t>UN-0081</t>
        </is>
      </c>
      <c r="B296" s="26" t="inlineStr">
        <is>
          <t>Mr Braimoh Ayomide Favour</t>
        </is>
      </c>
      <c r="C296" s="26" t="inlineStr">
        <is>
          <t>Land</t>
        </is>
      </c>
      <c r="D296" s="26" t="inlineStr">
        <is>
          <t>Land: corner piece premium</t>
        </is>
      </c>
      <c r="E296" s="26" t="inlineStr"/>
      <c r="F296" s="27" t="n">
        <v>0</v>
      </c>
      <c r="G296" s="28" t="inlineStr">
        <is>
          <t>Plot receipt with no open subscription — recognised in the year of receipt (turnover-register basis)</t>
        </is>
      </c>
      <c r="H296" s="27" t="n">
        <v>0</v>
      </c>
      <c r="I296" s="27" t="n">
        <v>135000</v>
      </c>
      <c r="J296" s="27" t="n">
        <v>0</v>
      </c>
      <c r="K296" s="27" t="n">
        <v>0</v>
      </c>
      <c r="L296" s="27" t="n">
        <v>135000</v>
      </c>
      <c r="M296" s="27" t="n">
        <v>0</v>
      </c>
      <c r="N296" s="27" t="n">
        <v>0</v>
      </c>
      <c r="O296" s="27" t="n">
        <v>0</v>
      </c>
    </row>
    <row r="297">
      <c r="A297" s="26" t="inlineStr">
        <is>
          <t>UN-0082</t>
        </is>
      </c>
      <c r="B297" s="26" t="inlineStr">
        <is>
          <t>Miss Ojochegbe Success Danjuma</t>
        </is>
      </c>
      <c r="C297" s="26" t="inlineStr">
        <is>
          <t>Land</t>
        </is>
      </c>
      <c r="D297" s="26" t="inlineStr">
        <is>
          <t>Land: corner piece premium</t>
        </is>
      </c>
      <c r="E297" s="26" t="inlineStr"/>
      <c r="F297" s="27" t="n">
        <v>0</v>
      </c>
      <c r="G297" s="28" t="inlineStr">
        <is>
          <t>Plot receipt with no open subscription — recognised in the year of receipt (turnover-register basis)</t>
        </is>
      </c>
      <c r="H297" s="27" t="n">
        <v>0</v>
      </c>
      <c r="I297" s="27" t="n">
        <v>135000</v>
      </c>
      <c r="J297" s="27" t="n">
        <v>0</v>
      </c>
      <c r="K297" s="27" t="n">
        <v>0</v>
      </c>
      <c r="L297" s="27" t="n">
        <v>135000</v>
      </c>
      <c r="M297" s="27" t="n">
        <v>0</v>
      </c>
      <c r="N297" s="27" t="n">
        <v>0</v>
      </c>
      <c r="O297" s="27" t="n">
        <v>0</v>
      </c>
    </row>
    <row r="298">
      <c r="A298" s="26" t="inlineStr">
        <is>
          <t>UN-0083</t>
        </is>
      </c>
      <c r="B298" s="26" t="inlineStr">
        <is>
          <t>Mr Omodara Addewale</t>
        </is>
      </c>
      <c r="C298" s="26" t="inlineStr">
        <is>
          <t>Land</t>
        </is>
      </c>
      <c r="D298" s="26" t="inlineStr">
        <is>
          <t>Land: corner piece premium</t>
        </is>
      </c>
      <c r="E298" s="26" t="inlineStr"/>
      <c r="F298" s="27" t="n">
        <v>0</v>
      </c>
      <c r="G298" s="28" t="inlineStr">
        <is>
          <t>Plot receipt with no open subscription — recognised in the year of receipt (turnover-register basis)</t>
        </is>
      </c>
      <c r="H298" s="27" t="n">
        <v>0</v>
      </c>
      <c r="I298" s="27" t="n">
        <v>135000</v>
      </c>
      <c r="J298" s="27" t="n">
        <v>0</v>
      </c>
      <c r="K298" s="27" t="n">
        <v>0</v>
      </c>
      <c r="L298" s="27" t="n">
        <v>135000</v>
      </c>
      <c r="M298" s="27" t="n">
        <v>0</v>
      </c>
      <c r="N298" s="27" t="n">
        <v>0</v>
      </c>
      <c r="O298" s="27" t="n">
        <v>0</v>
      </c>
    </row>
    <row r="299">
      <c r="A299" s="26" t="inlineStr">
        <is>
          <t>UN-0084</t>
        </is>
      </c>
      <c r="B299" s="26" t="inlineStr">
        <is>
          <t>Mr Adebowale Pelumi Joseph</t>
        </is>
      </c>
      <c r="C299" s="26" t="inlineStr">
        <is>
          <t>Land</t>
        </is>
      </c>
      <c r="D299" s="26" t="inlineStr">
        <is>
          <t>Land: corner piece premium</t>
        </is>
      </c>
      <c r="E299" s="26" t="inlineStr"/>
      <c r="F299" s="27" t="n">
        <v>0</v>
      </c>
      <c r="G299" s="28" t="inlineStr">
        <is>
          <t>Plot receipt with no open subscription — recognised in the year of receipt (turnover-register basis)</t>
        </is>
      </c>
      <c r="H299" s="27" t="n">
        <v>0</v>
      </c>
      <c r="I299" s="27" t="n">
        <v>135000</v>
      </c>
      <c r="J299" s="27" t="n">
        <v>0</v>
      </c>
      <c r="K299" s="27" t="n">
        <v>0</v>
      </c>
      <c r="L299" s="27" t="n">
        <v>135000</v>
      </c>
      <c r="M299" s="27" t="n">
        <v>0</v>
      </c>
      <c r="N299" s="27" t="n">
        <v>0</v>
      </c>
      <c r="O299" s="27" t="n">
        <v>0</v>
      </c>
    </row>
    <row r="300">
      <c r="A300" s="26" t="inlineStr">
        <is>
          <t>UN-0085</t>
        </is>
      </c>
      <c r="B300" s="26" t="inlineStr">
        <is>
          <t>Mr Salawudeen Baqi Boladele</t>
        </is>
      </c>
      <c r="C300" s="26" t="inlineStr">
        <is>
          <t>Land</t>
        </is>
      </c>
      <c r="D300" s="26" t="inlineStr">
        <is>
          <t>Heritage Garden</t>
        </is>
      </c>
      <c r="E300" s="26" t="inlineStr"/>
      <c r="F300" s="27" t="n">
        <v>0</v>
      </c>
      <c r="G300" s="28" t="inlineStr">
        <is>
          <t>Plot receipt with no open subscription — recognised in the year of receipt (turnover-register basis)</t>
        </is>
      </c>
      <c r="H300" s="27" t="n">
        <v>0</v>
      </c>
      <c r="I300" s="27" t="n">
        <v>350000</v>
      </c>
      <c r="J300" s="27" t="n">
        <v>0</v>
      </c>
      <c r="K300" s="27" t="n">
        <v>0</v>
      </c>
      <c r="L300" s="27" t="n">
        <v>350000</v>
      </c>
      <c r="M300" s="27" t="n">
        <v>0</v>
      </c>
      <c r="N300" s="27" t="n">
        <v>0</v>
      </c>
      <c r="O300" s="27" t="n">
        <v>0</v>
      </c>
    </row>
    <row r="301">
      <c r="A301" s="26" t="inlineStr">
        <is>
          <t>UN-0086</t>
        </is>
      </c>
      <c r="B301" s="26" t="inlineStr">
        <is>
          <t>Mr Adeyemi Kayode</t>
        </is>
      </c>
      <c r="C301" s="26" t="inlineStr">
        <is>
          <t>Land</t>
        </is>
      </c>
      <c r="D301" s="26" t="inlineStr">
        <is>
          <t>Land: corner piece premium</t>
        </is>
      </c>
      <c r="E301" s="26" t="inlineStr"/>
      <c r="F301" s="27" t="n">
        <v>0</v>
      </c>
      <c r="G301" s="28" t="inlineStr">
        <is>
          <t>Plot receipt with no open subscription — recognised in the year of receipt (turnover-register basis)</t>
        </is>
      </c>
      <c r="H301" s="27" t="n">
        <v>0</v>
      </c>
      <c r="I301" s="27" t="n">
        <v>135000</v>
      </c>
      <c r="J301" s="27" t="n">
        <v>0</v>
      </c>
      <c r="K301" s="27" t="n">
        <v>0</v>
      </c>
      <c r="L301" s="27" t="n">
        <v>135000</v>
      </c>
      <c r="M301" s="27" t="n">
        <v>0</v>
      </c>
      <c r="N301" s="27" t="n">
        <v>0</v>
      </c>
      <c r="O301" s="27" t="n">
        <v>0</v>
      </c>
    </row>
    <row r="302">
      <c r="A302" s="26" t="inlineStr">
        <is>
          <t>UN-0087</t>
        </is>
      </c>
      <c r="B302" s="26" t="inlineStr">
        <is>
          <t>Mr Adenuga Lukman Ebenezer</t>
        </is>
      </c>
      <c r="C302" s="26" t="inlineStr">
        <is>
          <t>Land</t>
        </is>
      </c>
      <c r="D302" s="26" t="inlineStr">
        <is>
          <t>Land: corner piece premium</t>
        </is>
      </c>
      <c r="E302" s="26" t="inlineStr"/>
      <c r="F302" s="27" t="n">
        <v>0</v>
      </c>
      <c r="G302" s="28" t="inlineStr">
        <is>
          <t>Plot receipt with no open subscription — recognised in the year of receipt (turnover-register basis)</t>
        </is>
      </c>
      <c r="H302" s="27" t="n">
        <v>0</v>
      </c>
      <c r="I302" s="27" t="n">
        <v>135000</v>
      </c>
      <c r="J302" s="27" t="n">
        <v>0</v>
      </c>
      <c r="K302" s="27" t="n">
        <v>0</v>
      </c>
      <c r="L302" s="27" t="n">
        <v>135000</v>
      </c>
      <c r="M302" s="27" t="n">
        <v>0</v>
      </c>
      <c r="N302" s="27" t="n">
        <v>0</v>
      </c>
      <c r="O302" s="27" t="n">
        <v>0</v>
      </c>
    </row>
    <row r="303">
      <c r="A303" s="26" t="inlineStr">
        <is>
          <t>UN-0088</t>
        </is>
      </c>
      <c r="B303" s="26" t="inlineStr">
        <is>
          <t>Miss Ohaego Ijeoma Goodness</t>
        </is>
      </c>
      <c r="C303" s="26" t="inlineStr">
        <is>
          <t>Land</t>
        </is>
      </c>
      <c r="D303" s="26" t="inlineStr">
        <is>
          <t>Land: corner piece premium</t>
        </is>
      </c>
      <c r="E303" s="26" t="inlineStr"/>
      <c r="F303" s="27" t="n">
        <v>0</v>
      </c>
      <c r="G303" s="28" t="inlineStr">
        <is>
          <t>Plot receipt with no open subscription — recognised in the year of receipt (turnover-register basis)</t>
        </is>
      </c>
      <c r="H303" s="27" t="n">
        <v>0</v>
      </c>
      <c r="I303" s="27" t="n">
        <v>135000</v>
      </c>
      <c r="J303" s="27" t="n">
        <v>0</v>
      </c>
      <c r="K303" s="27" t="n">
        <v>0</v>
      </c>
      <c r="L303" s="27" t="n">
        <v>135000</v>
      </c>
      <c r="M303" s="27" t="n">
        <v>0</v>
      </c>
      <c r="N303" s="27" t="n">
        <v>0</v>
      </c>
      <c r="O303" s="27" t="n">
        <v>0</v>
      </c>
    </row>
    <row r="304">
      <c r="A304" s="26" t="inlineStr">
        <is>
          <t>UN-0089</t>
        </is>
      </c>
      <c r="B304" s="26" t="inlineStr">
        <is>
          <t>Lavonda King Family</t>
        </is>
      </c>
      <c r="C304" s="26" t="inlineStr">
        <is>
          <t>Land</t>
        </is>
      </c>
      <c r="D304" s="26" t="inlineStr">
        <is>
          <t>Land: corner piece premium</t>
        </is>
      </c>
      <c r="E304" s="26" t="inlineStr"/>
      <c r="F304" s="27" t="n">
        <v>0</v>
      </c>
      <c r="G304" s="28" t="inlineStr">
        <is>
          <t>Plot receipt with no open subscription — recognised in the year of receipt (turnover-register basis)</t>
        </is>
      </c>
      <c r="H304" s="27" t="n">
        <v>0</v>
      </c>
      <c r="I304" s="27" t="n">
        <v>135000</v>
      </c>
      <c r="J304" s="27" t="n">
        <v>0</v>
      </c>
      <c r="K304" s="27" t="n">
        <v>0</v>
      </c>
      <c r="L304" s="27" t="n">
        <v>135000</v>
      </c>
      <c r="M304" s="27" t="n">
        <v>0</v>
      </c>
      <c r="N304" s="27" t="n">
        <v>0</v>
      </c>
      <c r="O304" s="27" t="n">
        <v>0</v>
      </c>
    </row>
    <row r="305">
      <c r="A305" s="26" t="inlineStr">
        <is>
          <t>UN-0090</t>
        </is>
      </c>
      <c r="B305" s="26" t="inlineStr">
        <is>
          <t>Miss Okorie Rachael Mmesomachi</t>
        </is>
      </c>
      <c r="C305" s="26" t="inlineStr">
        <is>
          <t>Land</t>
        </is>
      </c>
      <c r="D305" s="26" t="inlineStr">
        <is>
          <t>Land: corner piece premium</t>
        </is>
      </c>
      <c r="E305" s="26" t="inlineStr"/>
      <c r="F305" s="27" t="n">
        <v>0</v>
      </c>
      <c r="G305" s="28" t="inlineStr">
        <is>
          <t>Plot receipt with no open subscription — recognised in the year of receipt (turnover-register basis)</t>
        </is>
      </c>
      <c r="H305" s="27" t="n">
        <v>0</v>
      </c>
      <c r="I305" s="27" t="n">
        <v>135000</v>
      </c>
      <c r="J305" s="27" t="n">
        <v>0</v>
      </c>
      <c r="K305" s="27" t="n">
        <v>0</v>
      </c>
      <c r="L305" s="27" t="n">
        <v>135000</v>
      </c>
      <c r="M305" s="27" t="n">
        <v>0</v>
      </c>
      <c r="N305" s="27" t="n">
        <v>0</v>
      </c>
      <c r="O305" s="27" t="n">
        <v>0</v>
      </c>
    </row>
    <row r="306">
      <c r="A306" s="26" t="inlineStr">
        <is>
          <t>UN-0091</t>
        </is>
      </c>
      <c r="B306" s="26" t="inlineStr">
        <is>
          <t>Mr Ikechukwu Jeremiah Kingsley</t>
        </is>
      </c>
      <c r="C306" s="26" t="inlineStr">
        <is>
          <t>Land</t>
        </is>
      </c>
      <c r="D306" s="26" t="inlineStr">
        <is>
          <t>Green City Phase 3 (Omu-Epe)</t>
        </is>
      </c>
      <c r="E306" s="26" t="inlineStr"/>
      <c r="F306" s="27" t="n">
        <v>0</v>
      </c>
      <c r="G306" s="28" t="inlineStr">
        <is>
          <t>Plot receipt with no open subscription — recognised in the year of receipt (turnover-register basis)</t>
        </is>
      </c>
      <c r="H306" s="27" t="n">
        <v>0</v>
      </c>
      <c r="I306" s="27" t="n">
        <v>2000000</v>
      </c>
      <c r="J306" s="27" t="n">
        <v>0</v>
      </c>
      <c r="K306" s="27" t="n">
        <v>0</v>
      </c>
      <c r="L306" s="27" t="n">
        <v>2000000</v>
      </c>
      <c r="M306" s="27" t="n">
        <v>0</v>
      </c>
      <c r="N306" s="27" t="n">
        <v>0</v>
      </c>
      <c r="O306" s="27" t="n">
        <v>0</v>
      </c>
    </row>
    <row r="307">
      <c r="A307" s="26" t="inlineStr">
        <is>
          <t>UN-0092</t>
        </is>
      </c>
      <c r="B307" s="26" t="inlineStr">
        <is>
          <t>Mr Adedapo Adekunle Solomon</t>
        </is>
      </c>
      <c r="C307" s="26" t="inlineStr">
        <is>
          <t>Land</t>
        </is>
      </c>
      <c r="D307" s="26" t="inlineStr">
        <is>
          <t>Land: corner piece premium</t>
        </is>
      </c>
      <c r="E307" s="26" t="inlineStr"/>
      <c r="F307" s="27" t="n">
        <v>0</v>
      </c>
      <c r="G307" s="28" t="inlineStr">
        <is>
          <t>Plot receipt with no open subscription — recognised in the year of receipt (turnover-register basis)</t>
        </is>
      </c>
      <c r="H307" s="27" t="n">
        <v>0</v>
      </c>
      <c r="I307" s="27" t="n">
        <v>135000</v>
      </c>
      <c r="J307" s="27" t="n">
        <v>0</v>
      </c>
      <c r="K307" s="27" t="n">
        <v>0</v>
      </c>
      <c r="L307" s="27" t="n">
        <v>135000</v>
      </c>
      <c r="M307" s="27" t="n">
        <v>0</v>
      </c>
      <c r="N307" s="27" t="n">
        <v>0</v>
      </c>
      <c r="O307" s="27" t="n">
        <v>0</v>
      </c>
    </row>
    <row r="308">
      <c r="A308" s="26" t="inlineStr">
        <is>
          <t>UN-0093</t>
        </is>
      </c>
      <c r="B308" s="26" t="inlineStr">
        <is>
          <t>Mr Olusegun Dare Michael</t>
        </is>
      </c>
      <c r="C308" s="26" t="inlineStr">
        <is>
          <t>Land</t>
        </is>
      </c>
      <c r="D308" s="26" t="inlineStr">
        <is>
          <t>Green City Phase 3 (Omu-Epe)</t>
        </is>
      </c>
      <c r="E308" s="26" t="inlineStr"/>
      <c r="F308" s="27" t="n">
        <v>0</v>
      </c>
      <c r="G308" s="28" t="inlineStr">
        <is>
          <t>Plot receipt with no open subscription — recognised in the year of receipt (turnover-register basis)</t>
        </is>
      </c>
      <c r="H308" s="27" t="n">
        <v>0</v>
      </c>
      <c r="I308" s="27" t="n">
        <v>4500000</v>
      </c>
      <c r="J308" s="27" t="n">
        <v>0</v>
      </c>
      <c r="K308" s="27" t="n">
        <v>0</v>
      </c>
      <c r="L308" s="27" t="n">
        <v>4500000</v>
      </c>
      <c r="M308" s="27" t="n">
        <v>0</v>
      </c>
      <c r="N308" s="27" t="n">
        <v>0</v>
      </c>
      <c r="O308" s="27" t="n">
        <v>0</v>
      </c>
    </row>
    <row r="309">
      <c r="A309" s="26" t="inlineStr">
        <is>
          <t>UN-0094</t>
        </is>
      </c>
      <c r="B309" s="26" t="inlineStr">
        <is>
          <t>Mr Olusegun Dare Michael</t>
        </is>
      </c>
      <c r="C309" s="26" t="inlineStr">
        <is>
          <t>Land</t>
        </is>
      </c>
      <c r="D309" s="26" t="inlineStr">
        <is>
          <t>Land: corner piece premium</t>
        </is>
      </c>
      <c r="E309" s="26" t="inlineStr"/>
      <c r="F309" s="27" t="n">
        <v>0</v>
      </c>
      <c r="G309" s="28" t="inlineStr">
        <is>
          <t>Plot receipt with no open subscription — recognised in the year of receipt (turnover-register basis)</t>
        </is>
      </c>
      <c r="H309" s="27" t="n">
        <v>0</v>
      </c>
      <c r="I309" s="27" t="n">
        <v>135000</v>
      </c>
      <c r="J309" s="27" t="n">
        <v>0</v>
      </c>
      <c r="K309" s="27" t="n">
        <v>0</v>
      </c>
      <c r="L309" s="27" t="n">
        <v>135000</v>
      </c>
      <c r="M309" s="27" t="n">
        <v>0</v>
      </c>
      <c r="N309" s="27" t="n">
        <v>0</v>
      </c>
      <c r="O309" s="27" t="n">
        <v>0</v>
      </c>
    </row>
    <row r="310">
      <c r="A310" s="26" t="inlineStr">
        <is>
          <t>UN-0095</t>
        </is>
      </c>
      <c r="B310" s="26" t="inlineStr">
        <is>
          <t>Mr Nweze Oluebube Valentine</t>
        </is>
      </c>
      <c r="C310" s="26" t="inlineStr">
        <is>
          <t>Land</t>
        </is>
      </c>
      <c r="D310" s="26" t="inlineStr">
        <is>
          <t>Land: corner piece premium</t>
        </is>
      </c>
      <c r="E310" s="26" t="inlineStr"/>
      <c r="F310" s="27" t="n">
        <v>0</v>
      </c>
      <c r="G310" s="28" t="inlineStr">
        <is>
          <t>Plot receipt with no open subscription — recognised in the year of receipt (turnover-register basis)</t>
        </is>
      </c>
      <c r="H310" s="27" t="n">
        <v>0</v>
      </c>
      <c r="I310" s="27" t="n">
        <v>135000</v>
      </c>
      <c r="J310" s="27" t="n">
        <v>0</v>
      </c>
      <c r="K310" s="27" t="n">
        <v>0</v>
      </c>
      <c r="L310" s="27" t="n">
        <v>135000</v>
      </c>
      <c r="M310" s="27" t="n">
        <v>0</v>
      </c>
      <c r="N310" s="27" t="n">
        <v>0</v>
      </c>
      <c r="O310" s="27" t="n">
        <v>0</v>
      </c>
    </row>
    <row r="311">
      <c r="A311" s="26" t="inlineStr">
        <is>
          <t>UN-0096</t>
        </is>
      </c>
      <c r="B311" s="26" t="inlineStr">
        <is>
          <t>Miss Thomas Oluwabukola Comfort</t>
        </is>
      </c>
      <c r="C311" s="26" t="inlineStr">
        <is>
          <t>Land</t>
        </is>
      </c>
      <c r="D311" s="26" t="inlineStr">
        <is>
          <t>Land (estate not stated in source)</t>
        </is>
      </c>
      <c r="E311" s="26" t="inlineStr"/>
      <c r="F311" s="27" t="n">
        <v>0</v>
      </c>
      <c r="G311" s="28" t="inlineStr">
        <is>
          <t>Plot receipt with no open subscription — recognised in the year of receipt (turnover-register basis)</t>
        </is>
      </c>
      <c r="H311" s="27" t="n">
        <v>0</v>
      </c>
      <c r="I311" s="27" t="n">
        <v>0</v>
      </c>
      <c r="J311" s="27" t="n">
        <v>2000000</v>
      </c>
      <c r="K311" s="27" t="n">
        <v>0</v>
      </c>
      <c r="L311" s="27" t="n">
        <v>0</v>
      </c>
      <c r="M311" s="27" t="n">
        <v>2000000</v>
      </c>
      <c r="N311" s="27" t="n">
        <v>0</v>
      </c>
      <c r="O311" s="27" t="n">
        <v>0</v>
      </c>
    </row>
    <row r="312">
      <c r="A312" s="26" t="inlineStr">
        <is>
          <t>UN-0097</t>
        </is>
      </c>
      <c r="B312" s="26" t="inlineStr">
        <is>
          <t>Mr Adigun Muyiwa &amp; Mrs Adigun Folashade Oluwaseun</t>
        </is>
      </c>
      <c r="C312" s="26" t="inlineStr">
        <is>
          <t>Land</t>
        </is>
      </c>
      <c r="D312" s="26" t="inlineStr">
        <is>
          <t>Land (estate not stated in source)</t>
        </is>
      </c>
      <c r="E312" s="26" t="inlineStr"/>
      <c r="F312" s="27" t="n">
        <v>0</v>
      </c>
      <c r="G312" s="28" t="inlineStr">
        <is>
          <t>Plot receipt with no open subscription — recognised in the year of receipt (turnover-register basis)</t>
        </is>
      </c>
      <c r="H312" s="27" t="n">
        <v>0</v>
      </c>
      <c r="I312" s="27" t="n">
        <v>0</v>
      </c>
      <c r="J312" s="27" t="n">
        <v>700000</v>
      </c>
      <c r="K312" s="27" t="n">
        <v>0</v>
      </c>
      <c r="L312" s="27" t="n">
        <v>0</v>
      </c>
      <c r="M312" s="27" t="n">
        <v>700000</v>
      </c>
      <c r="N312" s="27" t="n">
        <v>0</v>
      </c>
      <c r="O312" s="27" t="n">
        <v>0</v>
      </c>
    </row>
    <row r="313">
      <c r="A313" s="26" t="inlineStr">
        <is>
          <t>UN-0098</t>
        </is>
      </c>
      <c r="B313" s="26" t="inlineStr">
        <is>
          <t>Mrs Akindele Felicia Oluwatoyin</t>
        </is>
      </c>
      <c r="C313" s="26" t="inlineStr">
        <is>
          <t>Land</t>
        </is>
      </c>
      <c r="D313" s="26" t="inlineStr">
        <is>
          <t>Land (estate not stated in source)</t>
        </is>
      </c>
      <c r="E313" s="26" t="inlineStr"/>
      <c r="F313" s="27" t="n">
        <v>0</v>
      </c>
      <c r="G313" s="28" t="inlineStr">
        <is>
          <t>Plot receipt with no open subscription — recognised in the year of receipt (turnover-register basis)</t>
        </is>
      </c>
      <c r="H313" s="27" t="n">
        <v>0</v>
      </c>
      <c r="I313" s="27" t="n">
        <v>0</v>
      </c>
      <c r="J313" s="27" t="n">
        <v>100000</v>
      </c>
      <c r="K313" s="27" t="n">
        <v>0</v>
      </c>
      <c r="L313" s="27" t="n">
        <v>0</v>
      </c>
      <c r="M313" s="27" t="n">
        <v>100000</v>
      </c>
      <c r="N313" s="27" t="n">
        <v>0</v>
      </c>
      <c r="O313" s="27" t="n">
        <v>0</v>
      </c>
    </row>
    <row r="314">
      <c r="A314" s="26" t="inlineStr">
        <is>
          <t>UN-0099</t>
        </is>
      </c>
      <c r="B314" s="26" t="inlineStr">
        <is>
          <t>Scrapays Technologies</t>
        </is>
      </c>
      <c r="C314" s="26" t="inlineStr">
        <is>
          <t>Land</t>
        </is>
      </c>
      <c r="D314" s="26" t="inlineStr">
        <is>
          <t>Green City Phase 3 (Omu-Epe)</t>
        </is>
      </c>
      <c r="E314" s="26" t="inlineStr"/>
      <c r="F314" s="27" t="n">
        <v>0</v>
      </c>
      <c r="G314" s="28" t="inlineStr">
        <is>
          <t>Plot receipt with no open subscription — recognised in the year of receipt (turnover-register basis)</t>
        </is>
      </c>
      <c r="H314" s="27" t="n">
        <v>0</v>
      </c>
      <c r="I314" s="27" t="n">
        <v>3000000</v>
      </c>
      <c r="J314" s="27" t="n">
        <v>0</v>
      </c>
      <c r="K314" s="27" t="n">
        <v>0</v>
      </c>
      <c r="L314" s="27" t="n">
        <v>3000000</v>
      </c>
      <c r="M314" s="27" t="n">
        <v>0</v>
      </c>
      <c r="N314" s="27" t="n">
        <v>0</v>
      </c>
      <c r="O314" s="27" t="n">
        <v>0</v>
      </c>
    </row>
    <row r="315">
      <c r="A315" s="26" t="inlineStr">
        <is>
          <t>UN-0100</t>
        </is>
      </c>
      <c r="B315" s="26" t="inlineStr">
        <is>
          <t>Scrapays Technologies Ltd</t>
        </is>
      </c>
      <c r="C315" s="26" t="inlineStr">
        <is>
          <t>Land</t>
        </is>
      </c>
      <c r="D315" s="26" t="inlineStr">
        <is>
          <t>Green City Phase 3 (Omu-Epe)</t>
        </is>
      </c>
      <c r="E315" s="26" t="inlineStr"/>
      <c r="F315" s="27" t="n">
        <v>0</v>
      </c>
      <c r="G315" s="28" t="inlineStr">
        <is>
          <t>Plot receipt with no open subscription — recognised in the year of receipt (turnover-register basis)</t>
        </is>
      </c>
      <c r="H315" s="27" t="n">
        <v>0</v>
      </c>
      <c r="I315" s="27" t="n">
        <v>30000000</v>
      </c>
      <c r="J315" s="27" t="n">
        <v>0</v>
      </c>
      <c r="K315" s="27" t="n">
        <v>0</v>
      </c>
      <c r="L315" s="27" t="n">
        <v>30000000</v>
      </c>
      <c r="M315" s="27" t="n">
        <v>0</v>
      </c>
      <c r="N315" s="27" t="n">
        <v>0</v>
      </c>
      <c r="O315" s="27" t="n">
        <v>0</v>
      </c>
    </row>
    <row r="316">
      <c r="A316" s="26" t="inlineStr">
        <is>
          <t>UN-0101</t>
        </is>
      </c>
      <c r="B316" s="26" t="inlineStr">
        <is>
          <t>Mr Adekunle Temitope Ajayi</t>
        </is>
      </c>
      <c r="C316" s="26" t="inlineStr">
        <is>
          <t>Land</t>
        </is>
      </c>
      <c r="D316" s="26" t="inlineStr">
        <is>
          <t>Land (estate not stated in source)</t>
        </is>
      </c>
      <c r="E316" s="26" t="inlineStr"/>
      <c r="F316" s="27" t="n">
        <v>0</v>
      </c>
      <c r="G316" s="28" t="inlineStr">
        <is>
          <t>Plot receipt with no open subscription — recognised in the year of receipt (turnover-register basis)</t>
        </is>
      </c>
      <c r="H316" s="27" t="n">
        <v>0</v>
      </c>
      <c r="I316" s="27" t="n">
        <v>0</v>
      </c>
      <c r="J316" s="27" t="n">
        <v>2500000</v>
      </c>
      <c r="K316" s="27" t="n">
        <v>0</v>
      </c>
      <c r="L316" s="27" t="n">
        <v>0</v>
      </c>
      <c r="M316" s="27" t="n">
        <v>2500000</v>
      </c>
      <c r="N316" s="27" t="n">
        <v>0</v>
      </c>
      <c r="O316" s="27" t="n">
        <v>0</v>
      </c>
    </row>
    <row r="317">
      <c r="A317" s="26" t="inlineStr">
        <is>
          <t>UN-0102</t>
        </is>
      </c>
      <c r="B317" s="26" t="inlineStr">
        <is>
          <t>Mr Ajayi Adekunle Temitope</t>
        </is>
      </c>
      <c r="C317" s="26" t="inlineStr">
        <is>
          <t>Land</t>
        </is>
      </c>
      <c r="D317" s="26" t="inlineStr">
        <is>
          <t>Land: corner piece premium</t>
        </is>
      </c>
      <c r="E317" s="26" t="inlineStr"/>
      <c r="F317" s="27" t="n">
        <v>0</v>
      </c>
      <c r="G317" s="28" t="inlineStr">
        <is>
          <t>Plot receipt with no open subscription — recognised in the year of receipt (turnover-register basis)</t>
        </is>
      </c>
      <c r="H317" s="27" t="n">
        <v>0</v>
      </c>
      <c r="I317" s="27" t="n">
        <v>135000</v>
      </c>
      <c r="J317" s="27" t="n">
        <v>0</v>
      </c>
      <c r="K317" s="27" t="n">
        <v>0</v>
      </c>
      <c r="L317" s="27" t="n">
        <v>135000</v>
      </c>
      <c r="M317" s="27" t="n">
        <v>0</v>
      </c>
      <c r="N317" s="27" t="n">
        <v>0</v>
      </c>
      <c r="O317" s="27" t="n">
        <v>0</v>
      </c>
    </row>
    <row r="318">
      <c r="A318" s="26" t="inlineStr">
        <is>
          <t>UN-0103</t>
        </is>
      </c>
      <c r="B318" s="26" t="inlineStr">
        <is>
          <t>Mr Olagbende Oluwashina</t>
        </is>
      </c>
      <c r="C318" s="26" t="inlineStr">
        <is>
          <t>Land</t>
        </is>
      </c>
      <c r="D318" s="26" t="inlineStr">
        <is>
          <t>Land: corner piece premium</t>
        </is>
      </c>
      <c r="E318" s="26" t="inlineStr"/>
      <c r="F318" s="27" t="n">
        <v>0</v>
      </c>
      <c r="G318" s="28" t="inlineStr">
        <is>
          <t>Plot receipt with no open subscription — recognised in the year of receipt (turnover-register basis)</t>
        </is>
      </c>
      <c r="H318" s="27" t="n">
        <v>0</v>
      </c>
      <c r="I318" s="27" t="n">
        <v>135000</v>
      </c>
      <c r="J318" s="27" t="n">
        <v>0</v>
      </c>
      <c r="K318" s="27" t="n">
        <v>0</v>
      </c>
      <c r="L318" s="27" t="n">
        <v>135000</v>
      </c>
      <c r="M318" s="27" t="n">
        <v>0</v>
      </c>
      <c r="N318" s="27" t="n">
        <v>0</v>
      </c>
      <c r="O318" s="27" t="n">
        <v>0</v>
      </c>
    </row>
    <row r="319">
      <c r="A319" s="26" t="inlineStr">
        <is>
          <t>UN-0104</t>
        </is>
      </c>
      <c r="B319" s="26" t="inlineStr">
        <is>
          <t>Mr Salawudeen Bakkey</t>
        </is>
      </c>
      <c r="C319" s="26" t="inlineStr">
        <is>
          <t>Land</t>
        </is>
      </c>
      <c r="D319" s="26" t="inlineStr">
        <is>
          <t>Heritage Garden</t>
        </is>
      </c>
      <c r="E319" s="26" t="inlineStr"/>
      <c r="F319" s="27" t="n">
        <v>0</v>
      </c>
      <c r="G319" s="28" t="inlineStr">
        <is>
          <t>Plot receipt with no open subscription — recognised in the year of receipt (turnover-register basis)</t>
        </is>
      </c>
      <c r="H319" s="27" t="n">
        <v>0</v>
      </c>
      <c r="I319" s="27" t="n">
        <v>145000</v>
      </c>
      <c r="J319" s="27" t="n">
        <v>0</v>
      </c>
      <c r="K319" s="27" t="n">
        <v>0</v>
      </c>
      <c r="L319" s="27" t="n">
        <v>145000</v>
      </c>
      <c r="M319" s="27" t="n">
        <v>0</v>
      </c>
      <c r="N319" s="27" t="n">
        <v>0</v>
      </c>
      <c r="O319" s="27" t="n">
        <v>0</v>
      </c>
    </row>
    <row r="320">
      <c r="A320" s="26" t="inlineStr">
        <is>
          <t>UN-0105</t>
        </is>
      </c>
      <c r="B320" s="26" t="inlineStr">
        <is>
          <t>Mr Isibor Godwin</t>
        </is>
      </c>
      <c r="C320" s="26" t="inlineStr">
        <is>
          <t>Land</t>
        </is>
      </c>
      <c r="D320" s="26" t="inlineStr">
        <is>
          <t>Land (estate not stated in source)</t>
        </is>
      </c>
      <c r="E320" s="26" t="inlineStr"/>
      <c r="F320" s="27" t="n">
        <v>0</v>
      </c>
      <c r="G320" s="28" t="inlineStr">
        <is>
          <t>Plot receipt with no open subscription — recognised in the year of receipt (turnover-register basis)</t>
        </is>
      </c>
      <c r="H320" s="27" t="n">
        <v>0</v>
      </c>
      <c r="I320" s="27" t="n">
        <v>0</v>
      </c>
      <c r="J320" s="27" t="n">
        <v>1700000</v>
      </c>
      <c r="K320" s="27" t="n">
        <v>0</v>
      </c>
      <c r="L320" s="27" t="n">
        <v>0</v>
      </c>
      <c r="M320" s="27" t="n">
        <v>1700000</v>
      </c>
      <c r="N320" s="27" t="n">
        <v>0</v>
      </c>
      <c r="O320" s="27" t="n">
        <v>0</v>
      </c>
    </row>
    <row r="321">
      <c r="A321" s="26" t="inlineStr">
        <is>
          <t>UN-0106</t>
        </is>
      </c>
      <c r="B321" s="26" t="inlineStr">
        <is>
          <t>Mr Olatunde Selim Olowodagba</t>
        </is>
      </c>
      <c r="C321" s="26" t="inlineStr">
        <is>
          <t>Land</t>
        </is>
      </c>
      <c r="D321" s="26" t="inlineStr">
        <is>
          <t>Land (estate not stated in source)</t>
        </is>
      </c>
      <c r="E321" s="26" t="inlineStr"/>
      <c r="F321" s="27" t="n">
        <v>0</v>
      </c>
      <c r="G321" s="28" t="inlineStr">
        <is>
          <t>Plot receipt with no open subscription — recognised in the year of receipt (turnover-register basis)</t>
        </is>
      </c>
      <c r="H321" s="27" t="n">
        <v>0</v>
      </c>
      <c r="I321" s="27" t="n">
        <v>0</v>
      </c>
      <c r="J321" s="27" t="n">
        <v>1400000</v>
      </c>
      <c r="K321" s="27" t="n">
        <v>0</v>
      </c>
      <c r="L321" s="27" t="n">
        <v>0</v>
      </c>
      <c r="M321" s="27" t="n">
        <v>1400000</v>
      </c>
      <c r="N321" s="27" t="n">
        <v>0</v>
      </c>
      <c r="O321" s="27" t="n">
        <v>0</v>
      </c>
    </row>
    <row r="322">
      <c r="A322" s="26" t="inlineStr">
        <is>
          <t>UN-0107</t>
        </is>
      </c>
      <c r="B322" s="26" t="inlineStr">
        <is>
          <t>Mr Felix Oluwatobi Adejumo</t>
        </is>
      </c>
      <c r="C322" s="26" t="inlineStr">
        <is>
          <t>Land</t>
        </is>
      </c>
      <c r="D322" s="26" t="inlineStr">
        <is>
          <t>Green City Phase 3 (Omu-Epe)</t>
        </is>
      </c>
      <c r="E322" s="26" t="inlineStr"/>
      <c r="F322" s="27" t="n">
        <v>0</v>
      </c>
      <c r="G322" s="28" t="inlineStr">
        <is>
          <t>Plot receipt with no open subscription — recognised in the year of receipt (turnover-register basis)</t>
        </is>
      </c>
      <c r="H322" s="27" t="n">
        <v>0</v>
      </c>
      <c r="I322" s="27" t="n">
        <v>200000</v>
      </c>
      <c r="J322" s="27" t="n">
        <v>0</v>
      </c>
      <c r="K322" s="27" t="n">
        <v>0</v>
      </c>
      <c r="L322" s="27" t="n">
        <v>200000</v>
      </c>
      <c r="M322" s="27" t="n">
        <v>0</v>
      </c>
      <c r="N322" s="27" t="n">
        <v>0</v>
      </c>
      <c r="O322" s="27" t="n">
        <v>0</v>
      </c>
    </row>
    <row r="323">
      <c r="A323" s="26" t="inlineStr">
        <is>
          <t>UN-0108</t>
        </is>
      </c>
      <c r="B323" s="26" t="inlineStr">
        <is>
          <t>Mr Balogun Akeem Tokunbo</t>
        </is>
      </c>
      <c r="C323" s="26" t="inlineStr">
        <is>
          <t>Land</t>
        </is>
      </c>
      <c r="D323" s="26" t="inlineStr">
        <is>
          <t>Land (estate not stated in source)</t>
        </is>
      </c>
      <c r="E323" s="26" t="inlineStr"/>
      <c r="F323" s="27" t="n">
        <v>0</v>
      </c>
      <c r="G323" s="28" t="inlineStr">
        <is>
          <t>Plot receipt with no open subscription — recognised in the year of receipt (turnover-register basis)</t>
        </is>
      </c>
      <c r="H323" s="27" t="n">
        <v>0</v>
      </c>
      <c r="I323" s="27" t="n">
        <v>0</v>
      </c>
      <c r="J323" s="27" t="n">
        <v>3000000</v>
      </c>
      <c r="K323" s="27" t="n">
        <v>0</v>
      </c>
      <c r="L323" s="27" t="n">
        <v>0</v>
      </c>
      <c r="M323" s="27" t="n">
        <v>3000000</v>
      </c>
      <c r="N323" s="27" t="n">
        <v>0</v>
      </c>
      <c r="O323" s="27" t="n">
        <v>0</v>
      </c>
    </row>
    <row r="324">
      <c r="A324" s="26" t="inlineStr">
        <is>
          <t>UN-0109</t>
        </is>
      </c>
      <c r="B324" s="26" t="inlineStr">
        <is>
          <t>Mr Aremu Kayode Sarafa</t>
        </is>
      </c>
      <c r="C324" s="26" t="inlineStr">
        <is>
          <t>Land</t>
        </is>
      </c>
      <c r="D324" s="26" t="inlineStr">
        <is>
          <t>Land (estate not stated in source)</t>
        </is>
      </c>
      <c r="E324" s="26" t="inlineStr"/>
      <c r="F324" s="27" t="n">
        <v>0</v>
      </c>
      <c r="G324" s="28" t="inlineStr">
        <is>
          <t>Plot receipt with no open subscription — recognised in the year of receipt (turnover-register basis)</t>
        </is>
      </c>
      <c r="H324" s="27" t="n">
        <v>0</v>
      </c>
      <c r="I324" s="27" t="n">
        <v>0</v>
      </c>
      <c r="J324" s="27" t="n">
        <v>200000</v>
      </c>
      <c r="K324" s="27" t="n">
        <v>0</v>
      </c>
      <c r="L324" s="27" t="n">
        <v>0</v>
      </c>
      <c r="M324" s="27" t="n">
        <v>200000</v>
      </c>
      <c r="N324" s="27" t="n">
        <v>0</v>
      </c>
      <c r="O324" s="27" t="n">
        <v>0</v>
      </c>
    </row>
    <row r="325">
      <c r="A325" s="26" t="inlineStr">
        <is>
          <t>UN-0110</t>
        </is>
      </c>
      <c r="B325" s="26" t="inlineStr">
        <is>
          <t>Mr Simien Samuel &amp; Mrs Simien Oyindamola Adekunle</t>
        </is>
      </c>
      <c r="C325" s="26" t="inlineStr">
        <is>
          <t>Housing</t>
        </is>
      </c>
      <c r="D325" s="26" t="inlineStr">
        <is>
          <t>Pacific Apartment</t>
        </is>
      </c>
      <c r="E325" s="26" t="inlineStr"/>
      <c r="F325" s="27" t="n">
        <v>0</v>
      </c>
      <c r="G325" s="28" t="inlineStr">
        <is>
          <t>Housing receipt with no handover evidence — deferred income</t>
        </is>
      </c>
      <c r="H325" s="27" t="n">
        <v>0</v>
      </c>
      <c r="I325" s="27" t="n">
        <v>14750000</v>
      </c>
      <c r="J325" s="27" t="n">
        <v>0</v>
      </c>
      <c r="K325" s="27" t="n">
        <v>0</v>
      </c>
      <c r="L325" s="27" t="n">
        <v>0</v>
      </c>
      <c r="M325" s="27" t="n">
        <v>0</v>
      </c>
      <c r="N325" s="27" t="n">
        <v>0</v>
      </c>
      <c r="O325" s="27" t="n">
        <v>14750000</v>
      </c>
    </row>
    <row r="326">
      <c r="A326" s="26" t="inlineStr">
        <is>
          <t>UN-0111</t>
        </is>
      </c>
      <c r="B326" s="26" t="inlineStr">
        <is>
          <t>Miss Thomas Bukola Comfort</t>
        </is>
      </c>
      <c r="C326" s="26" t="inlineStr">
        <is>
          <t>Land</t>
        </is>
      </c>
      <c r="D326" s="26" t="inlineStr">
        <is>
          <t>Green City Phase 3 (Omu-Epe)</t>
        </is>
      </c>
      <c r="E326" s="26" t="inlineStr"/>
      <c r="F326" s="27" t="n">
        <v>0</v>
      </c>
      <c r="G326" s="28" t="inlineStr">
        <is>
          <t>Plot receipt with no open subscription — recognised in the year of receipt (turnover-register basis)</t>
        </is>
      </c>
      <c r="H326" s="27" t="n">
        <v>0</v>
      </c>
      <c r="I326" s="27" t="n">
        <v>300000</v>
      </c>
      <c r="J326" s="27" t="n">
        <v>0</v>
      </c>
      <c r="K326" s="27" t="n">
        <v>0</v>
      </c>
      <c r="L326" s="27" t="n">
        <v>300000</v>
      </c>
      <c r="M326" s="27" t="n">
        <v>0</v>
      </c>
      <c r="N326" s="27" t="n">
        <v>0</v>
      </c>
      <c r="O326" s="27" t="n">
        <v>0</v>
      </c>
    </row>
    <row r="327">
      <c r="A327" s="26" t="inlineStr">
        <is>
          <t>UN-0112</t>
        </is>
      </c>
      <c r="B327" s="26" t="inlineStr">
        <is>
          <t>Miss Tijani Tawa Motunrayo</t>
        </is>
      </c>
      <c r="C327" s="26" t="inlineStr">
        <is>
          <t>Land</t>
        </is>
      </c>
      <c r="D327" s="26" t="inlineStr">
        <is>
          <t>Land (estate not stated in source)</t>
        </is>
      </c>
      <c r="E327" s="26" t="inlineStr"/>
      <c r="F327" s="27" t="n">
        <v>0</v>
      </c>
      <c r="G327" s="28" t="inlineStr">
        <is>
          <t>Plot receipt with no open subscription — recognised in the year of receipt (turnover-register basis)</t>
        </is>
      </c>
      <c r="H327" s="27" t="n">
        <v>0</v>
      </c>
      <c r="I327" s="27" t="n">
        <v>0</v>
      </c>
      <c r="J327" s="27" t="n">
        <v>840000</v>
      </c>
      <c r="K327" s="27" t="n">
        <v>0</v>
      </c>
      <c r="L327" s="27" t="n">
        <v>0</v>
      </c>
      <c r="M327" s="27" t="n">
        <v>840000</v>
      </c>
      <c r="N327" s="27" t="n">
        <v>0</v>
      </c>
      <c r="O327" s="27" t="n">
        <v>0</v>
      </c>
    </row>
    <row r="328">
      <c r="A328" s="26" t="inlineStr">
        <is>
          <t>UN-0113</t>
        </is>
      </c>
      <c r="B328" s="26" t="inlineStr">
        <is>
          <t>Mrs Tijani Tawa Motunrayo</t>
        </is>
      </c>
      <c r="C328" s="26" t="inlineStr">
        <is>
          <t>Land</t>
        </is>
      </c>
      <c r="D328" s="26" t="inlineStr">
        <is>
          <t>Land (estate not stated in source)</t>
        </is>
      </c>
      <c r="E328" s="26" t="inlineStr"/>
      <c r="F328" s="27" t="n">
        <v>0</v>
      </c>
      <c r="G328" s="28" t="inlineStr">
        <is>
          <t>Plot receipt with no open subscription — recognised in the year of receipt (turnover-register basis)</t>
        </is>
      </c>
      <c r="H328" s="27" t="n">
        <v>0</v>
      </c>
      <c r="I328" s="27" t="n">
        <v>0</v>
      </c>
      <c r="J328" s="27" t="n">
        <v>1000000</v>
      </c>
      <c r="K328" s="27" t="n">
        <v>0</v>
      </c>
      <c r="L328" s="27" t="n">
        <v>0</v>
      </c>
      <c r="M328" s="27" t="n">
        <v>1000000</v>
      </c>
      <c r="N328" s="27" t="n">
        <v>0</v>
      </c>
      <c r="O328" s="27" t="n">
        <v>0</v>
      </c>
    </row>
    <row r="329">
      <c r="A329" s="26" t="inlineStr">
        <is>
          <t>UN-0114</t>
        </is>
      </c>
      <c r="B329" s="26" t="inlineStr">
        <is>
          <t>Pastor Ikechukwu Jeremiah &amp; Deaconess Ikechukwu Rose Iju</t>
        </is>
      </c>
      <c r="C329" s="26" t="inlineStr">
        <is>
          <t>Land</t>
        </is>
      </c>
      <c r="D329" s="26" t="inlineStr">
        <is>
          <t>Land: corner piece premium</t>
        </is>
      </c>
      <c r="E329" s="26" t="inlineStr"/>
      <c r="F329" s="27" t="n">
        <v>0</v>
      </c>
      <c r="G329" s="28" t="inlineStr">
        <is>
          <t>Plot receipt with no open subscription — recognised in the year of receipt (turnover-register basis)</t>
        </is>
      </c>
      <c r="H329" s="27" t="n">
        <v>0</v>
      </c>
      <c r="I329" s="27" t="n">
        <v>135000</v>
      </c>
      <c r="J329" s="27" t="n">
        <v>0</v>
      </c>
      <c r="K329" s="27" t="n">
        <v>0</v>
      </c>
      <c r="L329" s="27" t="n">
        <v>135000</v>
      </c>
      <c r="M329" s="27" t="n">
        <v>0</v>
      </c>
      <c r="N329" s="27" t="n">
        <v>0</v>
      </c>
      <c r="O329" s="27" t="n">
        <v>0</v>
      </c>
    </row>
    <row r="330">
      <c r="A330" s="26" t="inlineStr">
        <is>
          <t>UN-0115</t>
        </is>
      </c>
      <c r="B330" s="26" t="inlineStr">
        <is>
          <t>Mr Akinsete Michael</t>
        </is>
      </c>
      <c r="C330" s="26" t="inlineStr">
        <is>
          <t>Land</t>
        </is>
      </c>
      <c r="D330" s="26" t="inlineStr">
        <is>
          <t>Land (estate not stated in source)</t>
        </is>
      </c>
      <c r="E330" s="26" t="inlineStr"/>
      <c r="F330" s="27" t="n">
        <v>0</v>
      </c>
      <c r="G330" s="28" t="inlineStr">
        <is>
          <t>Plot receipt with no open subscription — recognised in the year of receipt (turnover-register basis)</t>
        </is>
      </c>
      <c r="H330" s="27" t="n">
        <v>0</v>
      </c>
      <c r="I330" s="27" t="n">
        <v>0</v>
      </c>
      <c r="J330" s="27" t="n">
        <v>1991400</v>
      </c>
      <c r="K330" s="27" t="n">
        <v>0</v>
      </c>
      <c r="L330" s="27" t="n">
        <v>0</v>
      </c>
      <c r="M330" s="27" t="n">
        <v>1991400</v>
      </c>
      <c r="N330" s="27" t="n">
        <v>0</v>
      </c>
      <c r="O330" s="27" t="n">
        <v>0</v>
      </c>
    </row>
    <row r="331">
      <c r="A331" s="26" t="inlineStr">
        <is>
          <t>UN-0116</t>
        </is>
      </c>
      <c r="B331" s="26" t="inlineStr">
        <is>
          <t>Mr Ajiboso Damilare &amp; Mrs Ajiboso Gbemisola</t>
        </is>
      </c>
      <c r="C331" s="26" t="inlineStr">
        <is>
          <t>Land</t>
        </is>
      </c>
      <c r="D331" s="26" t="inlineStr">
        <is>
          <t>Land (estate not stated in source)</t>
        </is>
      </c>
      <c r="E331" s="26" t="inlineStr"/>
      <c r="F331" s="27" t="n">
        <v>0</v>
      </c>
      <c r="G331" s="28" t="inlineStr">
        <is>
          <t>Plot receipt with no open subscription — recognised in the year of receipt (turnover-register basis)</t>
        </is>
      </c>
      <c r="H331" s="27" t="n">
        <v>0</v>
      </c>
      <c r="I331" s="27" t="n">
        <v>0</v>
      </c>
      <c r="J331" s="27" t="n">
        <v>1330000</v>
      </c>
      <c r="K331" s="27" t="n">
        <v>0</v>
      </c>
      <c r="L331" s="27" t="n">
        <v>0</v>
      </c>
      <c r="M331" s="27" t="n">
        <v>1330000</v>
      </c>
      <c r="N331" s="27" t="n">
        <v>0</v>
      </c>
      <c r="O331" s="27" t="n">
        <v>0</v>
      </c>
    </row>
    <row r="332">
      <c r="A332" s="26" t="inlineStr">
        <is>
          <t>UN-0117</t>
        </is>
      </c>
      <c r="B332" s="26" t="inlineStr">
        <is>
          <t>Mr Ajiboso Damilare Moses &amp; Mrs Ajiboso Gbemisola Rachael</t>
        </is>
      </c>
      <c r="C332" s="26" t="inlineStr">
        <is>
          <t>Land</t>
        </is>
      </c>
      <c r="D332" s="26" t="inlineStr">
        <is>
          <t>Land (estate not stated in source)</t>
        </is>
      </c>
      <c r="E332" s="26" t="inlineStr"/>
      <c r="F332" s="27" t="n">
        <v>0</v>
      </c>
      <c r="G332" s="28" t="inlineStr">
        <is>
          <t>Plot receipt with no open subscription — recognised in the year of receipt (turnover-register basis)</t>
        </is>
      </c>
      <c r="H332" s="27" t="n">
        <v>0</v>
      </c>
      <c r="I332" s="27" t="n">
        <v>0</v>
      </c>
      <c r="J332" s="27" t="n">
        <v>2670000</v>
      </c>
      <c r="K332" s="27" t="n">
        <v>0</v>
      </c>
      <c r="L332" s="27" t="n">
        <v>0</v>
      </c>
      <c r="M332" s="27" t="n">
        <v>2670000</v>
      </c>
      <c r="N332" s="27" t="n">
        <v>0</v>
      </c>
      <c r="O332" s="27" t="n">
        <v>0</v>
      </c>
    </row>
    <row r="333">
      <c r="A333" s="26" t="inlineStr">
        <is>
          <t>UN-0118</t>
        </is>
      </c>
      <c r="B333" s="26" t="inlineStr">
        <is>
          <t>Mrs Shotonwa Olamide Abosede</t>
        </is>
      </c>
      <c r="C333" s="26" t="inlineStr">
        <is>
          <t>Land</t>
        </is>
      </c>
      <c r="D333" s="26" t="inlineStr">
        <is>
          <t>Land (estate not stated in source)</t>
        </is>
      </c>
      <c r="E333" s="26" t="inlineStr"/>
      <c r="F333" s="27" t="n">
        <v>0</v>
      </c>
      <c r="G333" s="28" t="inlineStr">
        <is>
          <t>Plot receipt with no open subscription — recognised in the year of receipt (turnover-register basis)</t>
        </is>
      </c>
      <c r="H333" s="27" t="n">
        <v>0</v>
      </c>
      <c r="I333" s="27" t="n">
        <v>0</v>
      </c>
      <c r="J333" s="27" t="n">
        <v>4000000</v>
      </c>
      <c r="K333" s="27" t="n">
        <v>0</v>
      </c>
      <c r="L333" s="27" t="n">
        <v>0</v>
      </c>
      <c r="M333" s="27" t="n">
        <v>4000000</v>
      </c>
      <c r="N333" s="27" t="n">
        <v>0</v>
      </c>
      <c r="O333" s="27" t="n">
        <v>0</v>
      </c>
    </row>
    <row r="334">
      <c r="A334" s="26" t="inlineStr">
        <is>
          <t>UN-0119</t>
        </is>
      </c>
      <c r="B334" s="26" t="inlineStr">
        <is>
          <t>Miss Ademakinwa Abosede Wuraola</t>
        </is>
      </c>
      <c r="C334" s="26" t="inlineStr">
        <is>
          <t>Land</t>
        </is>
      </c>
      <c r="D334" s="26" t="inlineStr">
        <is>
          <t>Land (estate not stated in source)</t>
        </is>
      </c>
      <c r="E334" s="26" t="inlineStr"/>
      <c r="F334" s="27" t="n">
        <v>0</v>
      </c>
      <c r="G334" s="28" t="inlineStr">
        <is>
          <t>Plot receipt with no open subscription — recognised in the year of receipt (turnover-register basis)</t>
        </is>
      </c>
      <c r="H334" s="27" t="n">
        <v>0</v>
      </c>
      <c r="I334" s="27" t="n">
        <v>0</v>
      </c>
      <c r="J334" s="27" t="n">
        <v>2400000</v>
      </c>
      <c r="K334" s="27" t="n">
        <v>0</v>
      </c>
      <c r="L334" s="27" t="n">
        <v>0</v>
      </c>
      <c r="M334" s="27" t="n">
        <v>2400000</v>
      </c>
      <c r="N334" s="27" t="n">
        <v>0</v>
      </c>
      <c r="O334" s="27" t="n">
        <v>0</v>
      </c>
    </row>
    <row r="335">
      <c r="A335" s="26" t="inlineStr">
        <is>
          <t>UN-0120</t>
        </is>
      </c>
      <c r="B335" s="26" t="inlineStr">
        <is>
          <t>Mr Adepoju Adewale Emmanuel</t>
        </is>
      </c>
      <c r="C335" s="26" t="inlineStr">
        <is>
          <t>Land</t>
        </is>
      </c>
      <c r="D335" s="26" t="inlineStr">
        <is>
          <t>Land (estate not stated in source)</t>
        </is>
      </c>
      <c r="E335" s="26" t="inlineStr"/>
      <c r="F335" s="27" t="n">
        <v>0</v>
      </c>
      <c r="G335" s="28" t="inlineStr">
        <is>
          <t>Plot receipt with no open subscription — recognised in the year of receipt (turnover-register basis)</t>
        </is>
      </c>
      <c r="H335" s="27" t="n">
        <v>0</v>
      </c>
      <c r="I335" s="27" t="n">
        <v>0</v>
      </c>
      <c r="J335" s="27" t="n">
        <v>4800000</v>
      </c>
      <c r="K335" s="27" t="n">
        <v>0</v>
      </c>
      <c r="L335" s="27" t="n">
        <v>0</v>
      </c>
      <c r="M335" s="27" t="n">
        <v>4800000</v>
      </c>
      <c r="N335" s="27" t="n">
        <v>0</v>
      </c>
      <c r="O335" s="27" t="n">
        <v>0</v>
      </c>
    </row>
    <row r="336">
      <c r="A336" s="26" t="inlineStr">
        <is>
          <t>UN-0121</t>
        </is>
      </c>
      <c r="B336" s="26" t="inlineStr">
        <is>
          <t>Mr Adeyanju Adebayo Samson</t>
        </is>
      </c>
      <c r="C336" s="26" t="inlineStr">
        <is>
          <t>Land</t>
        </is>
      </c>
      <c r="D336" s="26" t="inlineStr">
        <is>
          <t>Land (estate not stated in source)</t>
        </is>
      </c>
      <c r="E336" s="26" t="inlineStr"/>
      <c r="F336" s="27" t="n">
        <v>0</v>
      </c>
      <c r="G336" s="28" t="inlineStr">
        <is>
          <t>Plot receipt with no open subscription — recognised in the year of receipt (turnover-register basis)</t>
        </is>
      </c>
      <c r="H336" s="27" t="n">
        <v>0</v>
      </c>
      <c r="I336" s="27" t="n">
        <v>0</v>
      </c>
      <c r="J336" s="27" t="n">
        <v>2400000</v>
      </c>
      <c r="K336" s="27" t="n">
        <v>0</v>
      </c>
      <c r="L336" s="27" t="n">
        <v>0</v>
      </c>
      <c r="M336" s="27" t="n">
        <v>2400000</v>
      </c>
      <c r="N336" s="27" t="n">
        <v>0</v>
      </c>
      <c r="O336" s="27" t="n">
        <v>0</v>
      </c>
    </row>
    <row r="337">
      <c r="A337" s="26" t="inlineStr">
        <is>
          <t>UN-0122</t>
        </is>
      </c>
      <c r="B337" s="26" t="inlineStr">
        <is>
          <t>Mr Simien Sauel &amp; Mrs Simien Oyindamola Adekunle</t>
        </is>
      </c>
      <c r="C337" s="26" t="inlineStr">
        <is>
          <t>Housing</t>
        </is>
      </c>
      <c r="D337" s="26" t="inlineStr">
        <is>
          <t>Pacific Apartment</t>
        </is>
      </c>
      <c r="E337" s="26" t="inlineStr"/>
      <c r="F337" s="27" t="n">
        <v>0</v>
      </c>
      <c r="G337" s="28" t="inlineStr">
        <is>
          <t>Housing receipt with no handover evidence — deferred income</t>
        </is>
      </c>
      <c r="H337" s="27" t="n">
        <v>0</v>
      </c>
      <c r="I337" s="27" t="n">
        <v>4750000</v>
      </c>
      <c r="J337" s="27" t="n">
        <v>0</v>
      </c>
      <c r="K337" s="27" t="n">
        <v>0</v>
      </c>
      <c r="L337" s="27" t="n">
        <v>0</v>
      </c>
      <c r="M337" s="27" t="n">
        <v>0</v>
      </c>
      <c r="N337" s="27" t="n">
        <v>0</v>
      </c>
      <c r="O337" s="27" t="n">
        <v>4750000</v>
      </c>
    </row>
    <row r="338">
      <c r="A338" s="26" t="inlineStr">
        <is>
          <t>UN-0123</t>
        </is>
      </c>
      <c r="B338" s="26" t="inlineStr">
        <is>
          <t>Mrs Adepoju Adebola Adeniran</t>
        </is>
      </c>
      <c r="C338" s="26" t="inlineStr">
        <is>
          <t>Land</t>
        </is>
      </c>
      <c r="D338" s="26" t="inlineStr">
        <is>
          <t>Land (estate not stated in source)</t>
        </is>
      </c>
      <c r="E338" s="26" t="inlineStr"/>
      <c r="F338" s="27" t="n">
        <v>0</v>
      </c>
      <c r="G338" s="28" t="inlineStr">
        <is>
          <t>Plot receipt with no open subscription — recognised in the year of receipt (turnover-register basis)</t>
        </is>
      </c>
      <c r="H338" s="27" t="n">
        <v>0</v>
      </c>
      <c r="I338" s="27" t="n">
        <v>0</v>
      </c>
      <c r="J338" s="27" t="n">
        <v>4800000</v>
      </c>
      <c r="K338" s="27" t="n">
        <v>0</v>
      </c>
      <c r="L338" s="27" t="n">
        <v>0</v>
      </c>
      <c r="M338" s="27" t="n">
        <v>4800000</v>
      </c>
      <c r="N338" s="27" t="n">
        <v>0</v>
      </c>
      <c r="O338" s="27" t="n">
        <v>0</v>
      </c>
    </row>
    <row r="339">
      <c r="A339" s="26" t="inlineStr">
        <is>
          <t>UN-0124</t>
        </is>
      </c>
      <c r="B339" s="26" t="inlineStr">
        <is>
          <t>Mr Shino Vincent Precious</t>
        </is>
      </c>
      <c r="C339" s="26" t="inlineStr">
        <is>
          <t>Land</t>
        </is>
      </c>
      <c r="D339" s="26" t="inlineStr">
        <is>
          <t>Land (estate not stated in source)</t>
        </is>
      </c>
      <c r="E339" s="26" t="inlineStr"/>
      <c r="F339" s="27" t="n">
        <v>0</v>
      </c>
      <c r="G339" s="28" t="inlineStr">
        <is>
          <t>Plot receipt with no open subscription — recognised in the year of receipt (turnover-register basis)</t>
        </is>
      </c>
      <c r="H339" s="27" t="n">
        <v>0</v>
      </c>
      <c r="I339" s="27" t="n">
        <v>0</v>
      </c>
      <c r="J339" s="27" t="n">
        <v>1200000</v>
      </c>
      <c r="K339" s="27" t="n">
        <v>0</v>
      </c>
      <c r="L339" s="27" t="n">
        <v>0</v>
      </c>
      <c r="M339" s="27" t="n">
        <v>1200000</v>
      </c>
      <c r="N339" s="27" t="n">
        <v>0</v>
      </c>
      <c r="O339" s="27" t="n">
        <v>0</v>
      </c>
    </row>
    <row r="340">
      <c r="A340" s="26" t="inlineStr">
        <is>
          <t>UN-0125</t>
        </is>
      </c>
      <c r="B340" s="26" t="inlineStr">
        <is>
          <t>Miss Etefe Ava Ogheneyorhe</t>
        </is>
      </c>
      <c r="C340" s="26" t="inlineStr">
        <is>
          <t>Land</t>
        </is>
      </c>
      <c r="D340" s="26" t="inlineStr">
        <is>
          <t>Land (estate not stated in source)</t>
        </is>
      </c>
      <c r="E340" s="26" t="inlineStr"/>
      <c r="F340" s="27" t="n">
        <v>0</v>
      </c>
      <c r="G340" s="28" t="inlineStr">
        <is>
          <t>Plot receipt with no open subscription — recognised in the year of receipt (turnover-register basis)</t>
        </is>
      </c>
      <c r="H340" s="27" t="n">
        <v>0</v>
      </c>
      <c r="I340" s="27" t="n">
        <v>0</v>
      </c>
      <c r="J340" s="27" t="n">
        <v>500000</v>
      </c>
      <c r="K340" s="27" t="n">
        <v>0</v>
      </c>
      <c r="L340" s="27" t="n">
        <v>0</v>
      </c>
      <c r="M340" s="27" t="n">
        <v>500000</v>
      </c>
      <c r="N340" s="27" t="n">
        <v>0</v>
      </c>
      <c r="O340" s="27" t="n">
        <v>0</v>
      </c>
    </row>
    <row r="341">
      <c r="A341" s="26" t="inlineStr">
        <is>
          <t>UN-0126</t>
        </is>
      </c>
      <c r="B341" s="26" t="inlineStr">
        <is>
          <t>Miss Uthman Alimot Modupe</t>
        </is>
      </c>
      <c r="C341" s="26" t="inlineStr">
        <is>
          <t>Land</t>
        </is>
      </c>
      <c r="D341" s="26" t="inlineStr">
        <is>
          <t>Green City Phase 3 Extension (Omu-Epe)</t>
        </is>
      </c>
      <c r="E341" s="26" t="inlineStr"/>
      <c r="F341" s="27" t="n">
        <v>0</v>
      </c>
      <c r="G341" s="28" t="inlineStr">
        <is>
          <t>Plot receipt with no open subscription — recognised in the year of receipt (turnover-register basis)</t>
        </is>
      </c>
      <c r="H341" s="27" t="n">
        <v>0</v>
      </c>
      <c r="I341" s="27" t="n">
        <v>300000</v>
      </c>
      <c r="J341" s="27" t="n">
        <v>0</v>
      </c>
      <c r="K341" s="27" t="n">
        <v>0</v>
      </c>
      <c r="L341" s="27" t="n">
        <v>300000</v>
      </c>
      <c r="M341" s="27" t="n">
        <v>0</v>
      </c>
      <c r="N341" s="27" t="n">
        <v>0</v>
      </c>
      <c r="O341" s="27" t="n">
        <v>0</v>
      </c>
    </row>
    <row r="342">
      <c r="A342" s="26" t="inlineStr">
        <is>
          <t>UN-0127</t>
        </is>
      </c>
      <c r="B342" s="26" t="inlineStr">
        <is>
          <t>Mr Ajagbe James Olatayo</t>
        </is>
      </c>
      <c r="C342" s="26" t="inlineStr">
        <is>
          <t>Land</t>
        </is>
      </c>
      <c r="D342" s="26" t="inlineStr">
        <is>
          <t>Land: documentation fee</t>
        </is>
      </c>
      <c r="E342" s="26" t="inlineStr"/>
      <c r="F342" s="27" t="n">
        <v>0</v>
      </c>
      <c r="G342" s="28" t="inlineStr">
        <is>
          <t>Plot receipt with no open subscription — recognised in the year of receipt (turnover-register basis)</t>
        </is>
      </c>
      <c r="H342" s="27" t="n">
        <v>0</v>
      </c>
      <c r="I342" s="27" t="n">
        <v>50000</v>
      </c>
      <c r="J342" s="27" t="n">
        <v>0</v>
      </c>
      <c r="K342" s="27" t="n">
        <v>0</v>
      </c>
      <c r="L342" s="27" t="n">
        <v>50000</v>
      </c>
      <c r="M342" s="27" t="n">
        <v>0</v>
      </c>
      <c r="N342" s="27" t="n">
        <v>0</v>
      </c>
      <c r="O342" s="27" t="n">
        <v>0</v>
      </c>
    </row>
    <row r="343">
      <c r="A343" s="26" t="inlineStr">
        <is>
          <t>UN-0128</t>
        </is>
      </c>
      <c r="B343" s="26" t="inlineStr">
        <is>
          <t>Mr Uneze Grant Chetana</t>
        </is>
      </c>
      <c r="C343" s="26" t="inlineStr">
        <is>
          <t>Land</t>
        </is>
      </c>
      <c r="D343" s="26" t="inlineStr">
        <is>
          <t>Land (estate not stated in source)</t>
        </is>
      </c>
      <c r="E343" s="26" t="inlineStr"/>
      <c r="F343" s="27" t="n">
        <v>0</v>
      </c>
      <c r="G343" s="28" t="inlineStr">
        <is>
          <t>Plot receipt with no open subscription — recognised in the year of receipt (turnover-register basis)</t>
        </is>
      </c>
      <c r="H343" s="27" t="n">
        <v>0</v>
      </c>
      <c r="I343" s="27" t="n">
        <v>0</v>
      </c>
      <c r="J343" s="27" t="n">
        <v>3000000</v>
      </c>
      <c r="K343" s="27" t="n">
        <v>0</v>
      </c>
      <c r="L343" s="27" t="n">
        <v>0</v>
      </c>
      <c r="M343" s="27" t="n">
        <v>3000000</v>
      </c>
      <c r="N343" s="27" t="n">
        <v>0</v>
      </c>
      <c r="O343" s="27" t="n">
        <v>0</v>
      </c>
    </row>
    <row r="344">
      <c r="A344" s="26" t="inlineStr">
        <is>
          <t>UN-0129</t>
        </is>
      </c>
      <c r="B344" s="26" t="inlineStr">
        <is>
          <t>Mr Owomoyela Abiodun Michael</t>
        </is>
      </c>
      <c r="C344" s="26" t="inlineStr">
        <is>
          <t>Land</t>
        </is>
      </c>
      <c r="D344" s="26" t="inlineStr">
        <is>
          <t>Land (estate not stated in source)</t>
        </is>
      </c>
      <c r="E344" s="26" t="inlineStr"/>
      <c r="F344" s="27" t="n">
        <v>0</v>
      </c>
      <c r="G344" s="28" t="inlineStr">
        <is>
          <t>Plot receipt with no open subscription — recognised in the year of receipt (turnover-register basis)</t>
        </is>
      </c>
      <c r="H344" s="27" t="n">
        <v>0</v>
      </c>
      <c r="I344" s="27" t="n">
        <v>0</v>
      </c>
      <c r="J344" s="27" t="n">
        <v>3800000</v>
      </c>
      <c r="K344" s="27" t="n">
        <v>0</v>
      </c>
      <c r="L344" s="27" t="n">
        <v>0</v>
      </c>
      <c r="M344" s="27" t="n">
        <v>3800000</v>
      </c>
      <c r="N344" s="27" t="n">
        <v>0</v>
      </c>
      <c r="O344" s="27" t="n">
        <v>0</v>
      </c>
    </row>
    <row r="345">
      <c r="A345" s="26" t="inlineStr">
        <is>
          <t>UN-0130</t>
        </is>
      </c>
      <c r="B345" s="26" t="inlineStr">
        <is>
          <t>Mr Peter Chidera Eteng</t>
        </is>
      </c>
      <c r="C345" s="26" t="inlineStr">
        <is>
          <t>Land</t>
        </is>
      </c>
      <c r="D345" s="26" t="inlineStr">
        <is>
          <t>Land (estate not stated in source)</t>
        </is>
      </c>
      <c r="E345" s="26" t="inlineStr"/>
      <c r="F345" s="27" t="n">
        <v>0</v>
      </c>
      <c r="G345" s="28" t="inlineStr">
        <is>
          <t>Plot receipt with no open subscription — recognised in the year of receipt (turnover-register basis)</t>
        </is>
      </c>
      <c r="H345" s="27" t="n">
        <v>0</v>
      </c>
      <c r="I345" s="27" t="n">
        <v>0</v>
      </c>
      <c r="J345" s="27" t="n">
        <v>200000</v>
      </c>
      <c r="K345" s="27" t="n">
        <v>0</v>
      </c>
      <c r="L345" s="27" t="n">
        <v>0</v>
      </c>
      <c r="M345" s="27" t="n">
        <v>200000</v>
      </c>
      <c r="N345" s="27" t="n">
        <v>0</v>
      </c>
      <c r="O345" s="27" t="n">
        <v>0</v>
      </c>
    </row>
    <row r="346">
      <c r="A346" s="26" t="inlineStr">
        <is>
          <t>UN-0131</t>
        </is>
      </c>
      <c r="B346" s="26" t="inlineStr">
        <is>
          <t>Mrs. Osobu Olufunke</t>
        </is>
      </c>
      <c r="C346" s="26" t="inlineStr">
        <is>
          <t>Housing</t>
        </is>
      </c>
      <c r="D346" s="26" t="inlineStr">
        <is>
          <t>Baay Foreshore</t>
        </is>
      </c>
      <c r="E346" s="26" t="inlineStr"/>
      <c r="F346" s="27" t="n">
        <v>0</v>
      </c>
      <c r="G346" s="28" t="inlineStr">
        <is>
          <t>Housing receipt with no handover evidence — deferred income</t>
        </is>
      </c>
      <c r="H346" s="27" t="n">
        <v>0</v>
      </c>
      <c r="I346" s="27" t="n">
        <v>0</v>
      </c>
      <c r="J346" s="27" t="n">
        <v>25000000</v>
      </c>
      <c r="K346" s="27" t="n">
        <v>0</v>
      </c>
      <c r="L346" s="27" t="n">
        <v>0</v>
      </c>
      <c r="M346" s="27" t="n">
        <v>0</v>
      </c>
      <c r="N346" s="27" t="n">
        <v>0</v>
      </c>
      <c r="O346" s="27" t="n">
        <v>25000000</v>
      </c>
    </row>
    <row r="347">
      <c r="A347" s="26" t="inlineStr">
        <is>
          <t>UN-0132</t>
        </is>
      </c>
      <c r="B347" s="26" t="inlineStr">
        <is>
          <t>Mr Olajide Afeez</t>
        </is>
      </c>
      <c r="C347" s="26" t="inlineStr">
        <is>
          <t>Housing</t>
        </is>
      </c>
      <c r="D347" s="26" t="inlineStr">
        <is>
          <t>Pacific Apartment</t>
        </is>
      </c>
      <c r="E347" s="26" t="inlineStr"/>
      <c r="F347" s="27" t="n">
        <v>0</v>
      </c>
      <c r="G347" s="28" t="inlineStr">
        <is>
          <t>Housing receipt with no handover evidence — deferred income</t>
        </is>
      </c>
      <c r="H347" s="27" t="n">
        <v>0</v>
      </c>
      <c r="I347" s="27" t="n">
        <v>0</v>
      </c>
      <c r="J347" s="27" t="n">
        <v>100000000</v>
      </c>
      <c r="K347" s="27" t="n">
        <v>0</v>
      </c>
      <c r="L347" s="27" t="n">
        <v>0</v>
      </c>
      <c r="M347" s="27" t="n">
        <v>0</v>
      </c>
      <c r="N347" s="27" t="n">
        <v>0</v>
      </c>
      <c r="O347" s="27" t="n">
        <v>100000000</v>
      </c>
    </row>
    <row r="348">
      <c r="A348" s="26" t="inlineStr">
        <is>
          <t>UN-0133</t>
        </is>
      </c>
      <c r="B348" s="26" t="inlineStr">
        <is>
          <t>Salem Real Estate (Mr Atoyebi Isaac Jesuloba)</t>
        </is>
      </c>
      <c r="C348" s="26" t="inlineStr">
        <is>
          <t>Housing</t>
        </is>
      </c>
      <c r="D348" s="26" t="inlineStr">
        <is>
          <t>Pacific Apartment</t>
        </is>
      </c>
      <c r="E348" s="26" t="inlineStr"/>
      <c r="F348" s="27" t="n">
        <v>0</v>
      </c>
      <c r="G348" s="28" t="inlineStr">
        <is>
          <t>Housing receipt with no handover evidence — deferred income</t>
        </is>
      </c>
      <c r="H348" s="27" t="n">
        <v>0</v>
      </c>
      <c r="I348" s="27" t="n">
        <v>0</v>
      </c>
      <c r="J348" s="27" t="n">
        <v>5000000</v>
      </c>
      <c r="K348" s="27" t="n">
        <v>0</v>
      </c>
      <c r="L348" s="27" t="n">
        <v>0</v>
      </c>
      <c r="M348" s="27" t="n">
        <v>0</v>
      </c>
      <c r="N348" s="27" t="n">
        <v>0</v>
      </c>
      <c r="O348" s="27" t="n">
        <v>5000000</v>
      </c>
    </row>
    <row r="349">
      <c r="A349" s="26" t="inlineStr">
        <is>
          <t>UN-0134</t>
        </is>
      </c>
      <c r="B349" s="26" t="inlineStr">
        <is>
          <t>Mr Onwuegbuna Ikechukwu Emmanuel</t>
        </is>
      </c>
      <c r="C349" s="26" t="inlineStr">
        <is>
          <t>Housing</t>
        </is>
      </c>
      <c r="D349" s="26" t="inlineStr">
        <is>
          <t>Pacific Court 2</t>
        </is>
      </c>
      <c r="E349" s="26" t="inlineStr"/>
      <c r="F349" s="27" t="n">
        <v>0</v>
      </c>
      <c r="G349" s="28" t="inlineStr">
        <is>
          <t>Housing receipt with no handover evidence — deferred income</t>
        </is>
      </c>
      <c r="H349" s="27" t="n">
        <v>0</v>
      </c>
      <c r="I349" s="27" t="n">
        <v>0</v>
      </c>
      <c r="J349" s="27" t="n">
        <v>36000000</v>
      </c>
      <c r="K349" s="27" t="n">
        <v>0</v>
      </c>
      <c r="L349" s="27" t="n">
        <v>0</v>
      </c>
      <c r="M349" s="27" t="n">
        <v>0</v>
      </c>
      <c r="N349" s="27" t="n">
        <v>0</v>
      </c>
      <c r="O349" s="27" t="n">
        <v>36000000</v>
      </c>
    </row>
    <row r="350">
      <c r="A350" s="26" t="inlineStr">
        <is>
          <t>UN-0135</t>
        </is>
      </c>
      <c r="B350" s="26" t="inlineStr">
        <is>
          <t>Mr Emmanuel Famous Chinenye</t>
        </is>
      </c>
      <c r="C350" s="26" t="inlineStr">
        <is>
          <t>Land</t>
        </is>
      </c>
      <c r="D350" s="26" t="inlineStr">
        <is>
          <t>Land (estate not stated in source)</t>
        </is>
      </c>
      <c r="E350" s="26" t="inlineStr"/>
      <c r="F350" s="27" t="n">
        <v>0</v>
      </c>
      <c r="G350" s="28" t="inlineStr">
        <is>
          <t>Plot receipt with no open subscription — recognised in the year of receipt (turnover-register basis)</t>
        </is>
      </c>
      <c r="H350" s="27" t="n">
        <v>0</v>
      </c>
      <c r="I350" s="27" t="n">
        <v>0</v>
      </c>
      <c r="J350" s="27" t="n">
        <v>1050000</v>
      </c>
      <c r="K350" s="27" t="n">
        <v>0</v>
      </c>
      <c r="L350" s="27" t="n">
        <v>0</v>
      </c>
      <c r="M350" s="27" t="n">
        <v>1050000</v>
      </c>
      <c r="N350" s="27" t="n">
        <v>0</v>
      </c>
      <c r="O350" s="27" t="n">
        <v>0</v>
      </c>
    </row>
    <row r="351">
      <c r="A351" s="26" t="inlineStr">
        <is>
          <t>UN-0136</t>
        </is>
      </c>
      <c r="B351" s="26" t="inlineStr">
        <is>
          <t>Mrs Enitan Pine</t>
        </is>
      </c>
      <c r="C351" s="26" t="inlineStr">
        <is>
          <t>Housing</t>
        </is>
      </c>
      <c r="D351" s="26" t="inlineStr">
        <is>
          <t>Housing unit (project not stated in source)</t>
        </is>
      </c>
      <c r="E351" s="26" t="inlineStr"/>
      <c r="F351" s="27" t="n">
        <v>0</v>
      </c>
      <c r="G351" s="28" t="inlineStr">
        <is>
          <t>Housing receipt with no handover evidence — deferred income</t>
        </is>
      </c>
      <c r="H351" s="27" t="n">
        <v>0</v>
      </c>
      <c r="I351" s="27" t="n">
        <v>0</v>
      </c>
      <c r="J351" s="27" t="n">
        <v>19100000</v>
      </c>
      <c r="K351" s="27" t="n">
        <v>0</v>
      </c>
      <c r="L351" s="27" t="n">
        <v>0</v>
      </c>
      <c r="M351" s="27" t="n">
        <v>0</v>
      </c>
      <c r="N351" s="27" t="n">
        <v>0</v>
      </c>
      <c r="O351" s="27" t="n">
        <v>19100000</v>
      </c>
    </row>
    <row r="352">
      <c r="A352" s="26" t="inlineStr">
        <is>
          <t>UN-0137</t>
        </is>
      </c>
      <c r="B352" s="26" t="inlineStr">
        <is>
          <t>Mr Agbim Ikechukwu Godson</t>
        </is>
      </c>
      <c r="C352" s="26" t="inlineStr">
        <is>
          <t>Land</t>
        </is>
      </c>
      <c r="D352" s="26" t="inlineStr">
        <is>
          <t>Land (estate not stated in source)</t>
        </is>
      </c>
      <c r="E352" s="26" t="inlineStr"/>
      <c r="F352" s="27" t="n">
        <v>0</v>
      </c>
      <c r="G352" s="28" t="inlineStr">
        <is>
          <t>Plot receipt with no open subscription — recognised in the year of receipt (turnover-register basis)</t>
        </is>
      </c>
      <c r="H352" s="27" t="n">
        <v>0</v>
      </c>
      <c r="I352" s="27" t="n">
        <v>0</v>
      </c>
      <c r="J352" s="27" t="n">
        <v>2000000</v>
      </c>
      <c r="K352" s="27" t="n">
        <v>0</v>
      </c>
      <c r="L352" s="27" t="n">
        <v>0</v>
      </c>
      <c r="M352" s="27" t="n">
        <v>2000000</v>
      </c>
      <c r="N352" s="27" t="n">
        <v>0</v>
      </c>
      <c r="O352" s="27" t="n">
        <v>0</v>
      </c>
    </row>
    <row r="353">
      <c r="A353" s="26" t="inlineStr">
        <is>
          <t>UN-0138</t>
        </is>
      </c>
      <c r="B353" s="26" t="inlineStr">
        <is>
          <t>Mr Ikechukwu Godson Agbim</t>
        </is>
      </c>
      <c r="C353" s="26" t="inlineStr">
        <is>
          <t>Land</t>
        </is>
      </c>
      <c r="D353" s="26" t="inlineStr">
        <is>
          <t>Land (estate not stated in source)</t>
        </is>
      </c>
      <c r="E353" s="26" t="inlineStr"/>
      <c r="F353" s="27" t="n">
        <v>0</v>
      </c>
      <c r="G353" s="28" t="inlineStr">
        <is>
          <t>Plot receipt with no open subscription — recognised in the year of receipt (turnover-register basis)</t>
        </is>
      </c>
      <c r="H353" s="27" t="n">
        <v>0</v>
      </c>
      <c r="I353" s="27" t="n">
        <v>0</v>
      </c>
      <c r="J353" s="27" t="n">
        <v>7000000</v>
      </c>
      <c r="K353" s="27" t="n">
        <v>0</v>
      </c>
      <c r="L353" s="27" t="n">
        <v>0</v>
      </c>
      <c r="M353" s="27" t="n">
        <v>7000000</v>
      </c>
      <c r="N353" s="27" t="n">
        <v>0</v>
      </c>
      <c r="O353" s="27" t="n">
        <v>0</v>
      </c>
    </row>
    <row r="354">
      <c r="A354" s="26" t="inlineStr">
        <is>
          <t>UN-0139</t>
        </is>
      </c>
      <c r="B354" s="26" t="inlineStr">
        <is>
          <t>Landnest Homes (Mrs Abimbola)</t>
        </is>
      </c>
      <c r="C354" s="26" t="inlineStr">
        <is>
          <t>Housing</t>
        </is>
      </c>
      <c r="D354" s="26" t="inlineStr">
        <is>
          <t>Baay Foreshore</t>
        </is>
      </c>
      <c r="E354" s="26" t="inlineStr"/>
      <c r="F354" s="27" t="n">
        <v>0</v>
      </c>
      <c r="G354" s="28" t="inlineStr">
        <is>
          <t>Housing receipt with no handover evidence — deferred income</t>
        </is>
      </c>
      <c r="H354" s="27" t="n">
        <v>0</v>
      </c>
      <c r="I354" s="27" t="n">
        <v>0</v>
      </c>
      <c r="J354" s="27" t="n">
        <v>5000000</v>
      </c>
      <c r="K354" s="27" t="n">
        <v>0</v>
      </c>
      <c r="L354" s="27" t="n">
        <v>0</v>
      </c>
      <c r="M354" s="27" t="n">
        <v>0</v>
      </c>
      <c r="N354" s="27" t="n">
        <v>0</v>
      </c>
      <c r="O354" s="27" t="n">
        <v>5000000</v>
      </c>
    </row>
    <row r="355">
      <c r="A355" s="26" t="inlineStr">
        <is>
          <t>UN-0140</t>
        </is>
      </c>
      <c r="B355" s="26" t="inlineStr">
        <is>
          <t>Miss Yesher Yakubu &amp; Miss Hadassah Yakubu</t>
        </is>
      </c>
      <c r="C355" s="26" t="inlineStr">
        <is>
          <t>Housing</t>
        </is>
      </c>
      <c r="D355" s="26" t="inlineStr">
        <is>
          <t>Baay Foreshore</t>
        </is>
      </c>
      <c r="E355" s="26" t="inlineStr"/>
      <c r="F355" s="27" t="n">
        <v>0</v>
      </c>
      <c r="G355" s="28" t="inlineStr">
        <is>
          <t>Housing receipt with no handover evidence — deferred income</t>
        </is>
      </c>
      <c r="H355" s="27" t="n">
        <v>0</v>
      </c>
      <c r="I355" s="27" t="n">
        <v>0</v>
      </c>
      <c r="J355" s="27" t="n">
        <v>30900000</v>
      </c>
      <c r="K355" s="27" t="n">
        <v>0</v>
      </c>
      <c r="L355" s="27" t="n">
        <v>0</v>
      </c>
      <c r="M355" s="27" t="n">
        <v>0</v>
      </c>
      <c r="N355" s="27" t="n">
        <v>0</v>
      </c>
      <c r="O355" s="27" t="n">
        <v>30900000</v>
      </c>
    </row>
    <row r="356">
      <c r="A356" s="26" t="inlineStr">
        <is>
          <t>UN-0141</t>
        </is>
      </c>
      <c r="B356" s="26" t="inlineStr">
        <is>
          <t>Mr Akinjogunla Isaac Ogooluwa</t>
        </is>
      </c>
      <c r="C356" s="26" t="inlineStr">
        <is>
          <t>Housing</t>
        </is>
      </c>
      <c r="D356" s="26" t="inlineStr">
        <is>
          <t>Baay Foreshore</t>
        </is>
      </c>
      <c r="E356" s="26" t="inlineStr"/>
      <c r="F356" s="27" t="n">
        <v>0</v>
      </c>
      <c r="G356" s="28" t="inlineStr">
        <is>
          <t>Housing receipt with no handover evidence — deferred income</t>
        </is>
      </c>
      <c r="H356" s="27" t="n">
        <v>0</v>
      </c>
      <c r="I356" s="27" t="n">
        <v>0</v>
      </c>
      <c r="J356" s="27" t="n">
        <v>9000000</v>
      </c>
      <c r="K356" s="27" t="n">
        <v>0</v>
      </c>
      <c r="L356" s="27" t="n">
        <v>0</v>
      </c>
      <c r="M356" s="27" t="n">
        <v>0</v>
      </c>
      <c r="N356" s="27" t="n">
        <v>0</v>
      </c>
      <c r="O356" s="27" t="n">
        <v>9000000</v>
      </c>
    </row>
    <row r="357">
      <c r="A357" s="26" t="inlineStr">
        <is>
          <t>UN-0142</t>
        </is>
      </c>
      <c r="B357" s="26" t="inlineStr">
        <is>
          <t>Landnest Homes (Mrs Lukoh)</t>
        </is>
      </c>
      <c r="C357" s="26" t="inlineStr">
        <is>
          <t>Housing</t>
        </is>
      </c>
      <c r="D357" s="26" t="inlineStr">
        <is>
          <t>Baay Foreshore</t>
        </is>
      </c>
      <c r="E357" s="26" t="inlineStr"/>
      <c r="F357" s="27" t="n">
        <v>0</v>
      </c>
      <c r="G357" s="28" t="inlineStr">
        <is>
          <t>Housing receipt with no handover evidence — deferred income</t>
        </is>
      </c>
      <c r="H357" s="27" t="n">
        <v>0</v>
      </c>
      <c r="I357" s="27" t="n">
        <v>0</v>
      </c>
      <c r="J357" s="27" t="n">
        <v>15000000</v>
      </c>
      <c r="K357" s="27" t="n">
        <v>0</v>
      </c>
      <c r="L357" s="27" t="n">
        <v>0</v>
      </c>
      <c r="M357" s="27" t="n">
        <v>0</v>
      </c>
      <c r="N357" s="27" t="n">
        <v>0</v>
      </c>
      <c r="O357" s="27" t="n">
        <v>15000000</v>
      </c>
    </row>
    <row r="358">
      <c r="A358" s="26" t="inlineStr">
        <is>
          <t>UN-0143</t>
        </is>
      </c>
      <c r="B358" s="26" t="inlineStr">
        <is>
          <t>Landnest Homes (Mrs Beatrice)</t>
        </is>
      </c>
      <c r="C358" s="26" t="inlineStr">
        <is>
          <t>Housing</t>
        </is>
      </c>
      <c r="D358" s="26" t="inlineStr">
        <is>
          <t>Baay Foreshore</t>
        </is>
      </c>
      <c r="E358" s="26" t="inlineStr"/>
      <c r="F358" s="27" t="n">
        <v>0</v>
      </c>
      <c r="G358" s="28" t="inlineStr">
        <is>
          <t>Housing receipt with no handover evidence — deferred income</t>
        </is>
      </c>
      <c r="H358" s="27" t="n">
        <v>0</v>
      </c>
      <c r="I358" s="27" t="n">
        <v>0</v>
      </c>
      <c r="J358" s="27" t="n">
        <v>22915000</v>
      </c>
      <c r="K358" s="27" t="n">
        <v>0</v>
      </c>
      <c r="L358" s="27" t="n">
        <v>0</v>
      </c>
      <c r="M358" s="27" t="n">
        <v>0</v>
      </c>
      <c r="N358" s="27" t="n">
        <v>0</v>
      </c>
      <c r="O358" s="27" t="n">
        <v>22915000</v>
      </c>
    </row>
    <row r="359">
      <c r="A359" s="26" t="inlineStr">
        <is>
          <t>UN-0144</t>
        </is>
      </c>
      <c r="B359" s="26" t="inlineStr">
        <is>
          <t>Mrs Pine Ritajoe Egbede</t>
        </is>
      </c>
      <c r="C359" s="26" t="inlineStr">
        <is>
          <t>Housing</t>
        </is>
      </c>
      <c r="D359" s="26" t="inlineStr">
        <is>
          <t>Housing unit (project not stated in source)</t>
        </is>
      </c>
      <c r="E359" s="26" t="inlineStr"/>
      <c r="F359" s="27" t="n">
        <v>0</v>
      </c>
      <c r="G359" s="28" t="inlineStr">
        <is>
          <t>Housing receipt with no handover evidence — deferred income</t>
        </is>
      </c>
      <c r="H359" s="27" t="n">
        <v>0</v>
      </c>
      <c r="I359" s="27" t="n">
        <v>0</v>
      </c>
      <c r="J359" s="27" t="n">
        <v>4000000</v>
      </c>
      <c r="K359" s="27" t="n">
        <v>0</v>
      </c>
      <c r="L359" s="27" t="n">
        <v>0</v>
      </c>
      <c r="M359" s="27" t="n">
        <v>0</v>
      </c>
      <c r="N359" s="27" t="n">
        <v>0</v>
      </c>
      <c r="O359" s="27" t="n">
        <v>4000000</v>
      </c>
    </row>
    <row r="360">
      <c r="A360" s="26" t="inlineStr">
        <is>
          <t>UN-0145</t>
        </is>
      </c>
      <c r="B360" s="26" t="inlineStr">
        <is>
          <t>Landnest (Mrs Lukoh)</t>
        </is>
      </c>
      <c r="C360" s="26" t="inlineStr">
        <is>
          <t>Housing</t>
        </is>
      </c>
      <c r="D360" s="26" t="inlineStr">
        <is>
          <t>Baay Foreshore</t>
        </is>
      </c>
      <c r="E360" s="26" t="inlineStr"/>
      <c r="F360" s="27" t="n">
        <v>0</v>
      </c>
      <c r="G360" s="28" t="inlineStr">
        <is>
          <t>Housing receipt with no handover evidence — deferred income</t>
        </is>
      </c>
      <c r="H360" s="27" t="n">
        <v>0</v>
      </c>
      <c r="I360" s="27" t="n">
        <v>0</v>
      </c>
      <c r="J360" s="27" t="n">
        <v>26430000</v>
      </c>
      <c r="K360" s="27" t="n">
        <v>0</v>
      </c>
      <c r="L360" s="27" t="n">
        <v>0</v>
      </c>
      <c r="M360" s="27" t="n">
        <v>0</v>
      </c>
      <c r="N360" s="27" t="n">
        <v>0</v>
      </c>
      <c r="O360" s="27" t="n">
        <v>26430000</v>
      </c>
    </row>
    <row r="361">
      <c r="A361" s="26" t="inlineStr">
        <is>
          <t>UN-0146</t>
        </is>
      </c>
      <c r="B361" s="26" t="inlineStr">
        <is>
          <t>Landnest Homes (Mrs Ayomipo)</t>
        </is>
      </c>
      <c r="C361" s="26" t="inlineStr">
        <is>
          <t>Housing</t>
        </is>
      </c>
      <c r="D361" s="26" t="inlineStr">
        <is>
          <t>Baay Foreshore</t>
        </is>
      </c>
      <c r="E361" s="26" t="inlineStr"/>
      <c r="F361" s="27" t="n">
        <v>0</v>
      </c>
      <c r="G361" s="28" t="inlineStr">
        <is>
          <t>Housing receipt with no handover evidence — deferred income</t>
        </is>
      </c>
      <c r="H361" s="27" t="n">
        <v>0</v>
      </c>
      <c r="I361" s="27" t="n">
        <v>0</v>
      </c>
      <c r="J361" s="27" t="n">
        <v>5000000</v>
      </c>
      <c r="K361" s="27" t="n">
        <v>0</v>
      </c>
      <c r="L361" s="27" t="n">
        <v>0</v>
      </c>
      <c r="M361" s="27" t="n">
        <v>0</v>
      </c>
      <c r="N361" s="27" t="n">
        <v>0</v>
      </c>
      <c r="O361" s="27" t="n">
        <v>5000000</v>
      </c>
    </row>
    <row r="362">
      <c r="A362" s="26" t="inlineStr">
        <is>
          <t>UN-0147</t>
        </is>
      </c>
      <c r="B362" s="26" t="inlineStr">
        <is>
          <t>Mr Opeodu Ayodele &amp; Mr Daisi Omokoya</t>
        </is>
      </c>
      <c r="C362" s="26" t="inlineStr">
        <is>
          <t>Housing</t>
        </is>
      </c>
      <c r="D362" s="26" t="inlineStr">
        <is>
          <t>Gorge View Court (GVC Gbagada)</t>
        </is>
      </c>
      <c r="E362" s="26" t="inlineStr"/>
      <c r="F362" s="27" t="n">
        <v>0</v>
      </c>
      <c r="G362" s="28" t="inlineStr">
        <is>
          <t>Housing receipt with no handover evidence — deferred income</t>
        </is>
      </c>
      <c r="H362" s="27" t="n">
        <v>0</v>
      </c>
      <c r="I362" s="27" t="n">
        <v>0</v>
      </c>
      <c r="J362" s="27" t="n">
        <v>250000000</v>
      </c>
      <c r="K362" s="27" t="n">
        <v>0</v>
      </c>
      <c r="L362" s="27" t="n">
        <v>0</v>
      </c>
      <c r="M362" s="27" t="n">
        <v>0</v>
      </c>
      <c r="N362" s="27" t="n">
        <v>0</v>
      </c>
      <c r="O362" s="27" t="n">
        <v>250000000</v>
      </c>
    </row>
    <row r="363">
      <c r="A363" s="29" t="inlineStr">
        <is>
          <t>Total</t>
        </is>
      </c>
      <c r="F363" s="30" t="n">
        <v>4016366740</v>
      </c>
      <c r="H363" s="30" t="n">
        <v>125620000</v>
      </c>
      <c r="I363" s="30" t="n">
        <v>594080600</v>
      </c>
      <c r="J363" s="30" t="n">
        <v>1865113400</v>
      </c>
      <c r="K363" s="30" t="n">
        <v>84117680</v>
      </c>
      <c r="L363" s="30" t="n">
        <v>350864060</v>
      </c>
      <c r="M363" s="30" t="n">
        <v>940893400</v>
      </c>
      <c r="N363" s="30" t="n">
        <v>14900000</v>
      </c>
      <c r="O363" s="30" t="n">
        <v>1223838860</v>
      </c>
    </row>
  </sheetData>
  <autoFilter ref="A1:O3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2"/>
  <sheetViews>
    <sheetView zoomScaleNormal="100" workbookViewId="0">
      <pane xSplit="1" ySplit="3" topLeftCell="B52" activePane="bottomRight" state="frozen"/>
      <selection pane="topRight" activeCell="B1" sqref="B1"/>
      <selection pane="bottomLeft" activeCell="A4" sqref="A4"/>
      <selection pane="bottomRight" activeCell="F7" sqref="F7"/>
    </sheetView>
  </sheetViews>
  <sheetFormatPr baseColWidth="8" defaultColWidth="8.6328125" defaultRowHeight="14.5"/>
  <cols>
    <col width="44" customWidth="1" min="1" max="1"/>
    <col width="15" customWidth="1" min="2" max="5"/>
    <col width="17" customWidth="1" min="6" max="6"/>
  </cols>
  <sheetData>
    <row r="1" ht="18" customHeight="1">
      <c r="A1" s="1" t="inlineStr">
        <is>
          <t>BAAY Projects Limited: sales and customer summary for the auditor, 2022 to 2025</t>
        </is>
      </c>
    </row>
    <row r="2">
      <c r="A2" s="2" t="inlineStr">
        <is>
          <t>Prepared 2 October 2026 from the company Google Drive (not Xero). All figures are cash receipts per company records, in Naira. Every number below is a formula on the detail tabs.</t>
        </is>
      </c>
    </row>
    <row r="4">
      <c r="A4" s="3" t="inlineStr">
        <is>
          <t>1. Sales receipts by product line and year (Sales_Ledger)</t>
        </is>
      </c>
    </row>
    <row r="5">
      <c r="A5" s="2" t="inlineStr">
        <is>
          <t>2022 shows nil: no transaction-level receipts for 2022 exist on the Drive. Construction shows nil: no construction-contract receipts were found for 2022 to 2025.</t>
        </is>
      </c>
    </row>
    <row r="6">
      <c r="A6" s="4" t="inlineStr">
        <is>
          <t>Product line</t>
        </is>
      </c>
      <c r="B6" s="5" t="inlineStr">
        <is>
          <t>2022</t>
        </is>
      </c>
      <c r="C6" s="5" t="inlineStr">
        <is>
          <t>2023</t>
        </is>
      </c>
      <c r="D6" s="5" t="inlineStr">
        <is>
          <t>2024</t>
        </is>
      </c>
      <c r="E6" s="5" t="inlineStr">
        <is>
          <t>2025</t>
        </is>
      </c>
      <c r="F6" s="5" t="inlineStr">
        <is>
          <t>Total 2022-2025</t>
        </is>
      </c>
    </row>
    <row r="7">
      <c r="A7" s="6" t="inlineStr">
        <is>
          <t>Land: plot price / instalments</t>
        </is>
      </c>
      <c r="B7" s="7">
        <f>SUMIFS(Sales_Ledger!$J$5:$J$863,Sales_Ledger!$E$5:$E$863,"Land",Sales_Ledger!$D$5:$D$863,2022,Sales_Ledger!$F$5:$F$863,"Plot / unit price")</f>
        <v/>
      </c>
      <c r="C7" s="7">
        <f>SUMIFS(Sales_Ledger!$J$5:$J$863,Sales_Ledger!$E$5:$E$863,"Land",Sales_Ledger!$D$5:$D$863,2023,Sales_Ledger!$F$5:$F$863,"Plot / unit price")</f>
        <v/>
      </c>
      <c r="D7" s="7">
        <f>SUMIFS(Sales_Ledger!$J$5:$J$863,Sales_Ledger!$E$5:$E$863,"Land",Sales_Ledger!$D$5:$D$863,2024,Sales_Ledger!$F$5:$F$863,"Plot / unit price")</f>
        <v/>
      </c>
      <c r="E7" s="7">
        <f>SUMIFS(Sales_Ledger!$J$5:$J$863,Sales_Ledger!$E$5:$E$863,"Land",Sales_Ledger!$D$5:$D$863,2025,Sales_Ledger!$F$5:$F$863,"Plot / unit price")</f>
        <v/>
      </c>
      <c r="F7" s="7">
        <f>SUM(B7:E7)</f>
        <v/>
      </c>
    </row>
    <row r="8">
      <c r="A8" s="6" t="inlineStr">
        <is>
          <t>Land: ancillary charges (corner piece, documentation, development)</t>
        </is>
      </c>
      <c r="B8" s="7">
        <f>SUMIFS(Sales_Ledger!$J$5:$J$863,Sales_Ledger!$E$5:$E$863,"Land",Sales_Ledger!$D$5:$D$863,2022,Sales_Ledger!$F$5:$F$863,"Ancillary charge")</f>
        <v/>
      </c>
      <c r="C8" s="7">
        <f>SUMIFS(Sales_Ledger!$J$5:$J$863,Sales_Ledger!$E$5:$E$863,"Land",Sales_Ledger!$D$5:$D$863,2023,Sales_Ledger!$F$5:$F$863,"Ancillary charge")</f>
        <v/>
      </c>
      <c r="D8" s="7">
        <f>SUMIFS(Sales_Ledger!$J$5:$J$863,Sales_Ledger!$E$5:$E$863,"Land",Sales_Ledger!$D$5:$D$863,2024,Sales_Ledger!$F$5:$F$863,"Ancillary charge")</f>
        <v/>
      </c>
      <c r="E8" s="7">
        <f>SUMIFS(Sales_Ledger!$J$5:$J$863,Sales_Ledger!$E$5:$E$863,"Land",Sales_Ledger!$D$5:$D$863,2025,Sales_Ledger!$F$5:$F$863,"Ancillary charge")</f>
        <v/>
      </c>
      <c r="F8" s="7">
        <f>SUM(B8:E8)</f>
        <v/>
      </c>
    </row>
    <row r="9">
      <c r="A9" s="6" t="inlineStr">
        <is>
          <t>Housing: unit price / instalments</t>
        </is>
      </c>
      <c r="B9" s="7">
        <f>SUMIFS(Sales_Ledger!$J$5:$J$863,Sales_Ledger!$E$5:$E$863,"Housing",Sales_Ledger!$D$5:$D$863,2022,Sales_Ledger!$F$5:$F$863,"Plot / unit price")</f>
        <v/>
      </c>
      <c r="C9" s="7">
        <f>SUMIFS(Sales_Ledger!$J$5:$J$863,Sales_Ledger!$E$5:$E$863,"Housing",Sales_Ledger!$D$5:$D$863,2023,Sales_Ledger!$F$5:$F$863,"Plot / unit price")</f>
        <v/>
      </c>
      <c r="D9" s="7">
        <f>SUMIFS(Sales_Ledger!$J$5:$J$863,Sales_Ledger!$E$5:$E$863,"Housing",Sales_Ledger!$D$5:$D$863,2024,Sales_Ledger!$F$5:$F$863,"Plot / unit price")</f>
        <v/>
      </c>
      <c r="E9" s="7">
        <f>SUMIFS(Sales_Ledger!$J$5:$J$863,Sales_Ledger!$E$5:$E$863,"Housing",Sales_Ledger!$D$5:$D$863,2025,Sales_Ledger!$F$5:$F$863,"Plot / unit price")</f>
        <v/>
      </c>
      <c r="F9" s="7">
        <f>SUM(B9:E9)</f>
        <v/>
      </c>
    </row>
    <row r="10">
      <c r="A10" s="6" t="inlineStr">
        <is>
          <t>Construction</t>
        </is>
      </c>
      <c r="B10" s="7">
        <f>SUMIFS(Sales_Ledger!$J$5:$J$863,Sales_Ledger!$E$5:$E$863,"Construction",Sales_Ledger!$D$5:$D$863,2022)</f>
        <v/>
      </c>
      <c r="C10" s="7">
        <f>SUMIFS(Sales_Ledger!$J$5:$J$863,Sales_Ledger!$E$5:$E$863,"Construction",Sales_Ledger!$D$5:$D$863,2023)</f>
        <v/>
      </c>
      <c r="D10" s="7">
        <f>SUMIFS(Sales_Ledger!$J$5:$J$863,Sales_Ledger!$E$5:$E$863,"Construction",Sales_Ledger!$D$5:$D$863,2024)</f>
        <v/>
      </c>
      <c r="E10" s="7">
        <f>SUMIFS(Sales_Ledger!$J$5:$J$863,Sales_Ledger!$E$5:$E$863,"Construction",Sales_Ledger!$D$5:$D$863,2025)</f>
        <v/>
      </c>
      <c r="F10" s="7">
        <f>SUM(B10:E10)</f>
        <v/>
      </c>
    </row>
    <row r="11">
      <c r="A11" s="8" t="inlineStr">
        <is>
          <t>Total sales receipts</t>
        </is>
      </c>
      <c r="B11" s="9">
        <f>SUM(B7:B10)</f>
        <v/>
      </c>
      <c r="C11" s="9">
        <f>SUM(C7:C10)</f>
        <v/>
      </c>
      <c r="D11" s="9">
        <f>SUM(D7:D10)</f>
        <v/>
      </c>
      <c r="E11" s="9">
        <f>SUM(E7:E10)</f>
        <v/>
      </c>
      <c r="F11" s="9">
        <f>SUM(F7:F10)</f>
        <v/>
      </c>
    </row>
    <row r="12">
      <c r="A12" s="10" t="inlineStr">
        <is>
          <t>Check: agrees to Sales_Ledger total (should be 0)</t>
        </is>
      </c>
      <c r="B12" s="7" t="n"/>
      <c r="C12" s="7" t="n"/>
      <c r="D12" s="7" t="n"/>
      <c r="E12" s="7" t="n"/>
      <c r="F12" s="7">
        <f>F11-SUM(Sales_Ledger!$J$5:$J$863)</f>
        <v/>
      </c>
    </row>
    <row r="14">
      <c r="A14" s="3" t="inlineStr">
        <is>
          <t>2. How each year's receipts were sourced</t>
        </is>
      </c>
    </row>
    <row r="15">
      <c r="A15" s="2" t="inlineStr">
        <is>
          <t>The basis tells the auditor how much reliance the list can bear before agreeing it to bank statements.</t>
        </is>
      </c>
    </row>
    <row r="16">
      <c r="A16" s="4" t="inlineStr">
        <is>
          <t>Population basis</t>
        </is>
      </c>
      <c r="B16" s="5" t="inlineStr">
        <is>
          <t>2022</t>
        </is>
      </c>
      <c r="C16" s="5" t="inlineStr">
        <is>
          <t>2023</t>
        </is>
      </c>
      <c r="D16" s="5" t="inlineStr">
        <is>
          <t>2024</t>
        </is>
      </c>
      <c r="E16" s="5" t="inlineStr">
        <is>
          <t>2025</t>
        </is>
      </c>
      <c r="F16" s="5" t="inlineStr">
        <is>
          <t>Total</t>
        </is>
      </c>
    </row>
    <row r="17">
      <c r="A17" s="6" t="inlineStr">
        <is>
          <t>Monthly turnover register (Dec 2023 to Dec 2024)</t>
        </is>
      </c>
      <c r="B17" s="7">
        <f>SUMIFS(Sales_Ledger!$J$5:$J$863,Sales_Ledger!$L$5:$L$863,"Primary: monthly turnover register",Sales_Ledger!$D$5:$D$863,2022)</f>
        <v/>
      </c>
      <c r="C17" s="7">
        <f>SUMIFS(Sales_Ledger!$J$5:$J$863,Sales_Ledger!$L$5:$L$863,"Primary: monthly turnover register",Sales_Ledger!$D$5:$D$863,2023)</f>
        <v/>
      </c>
      <c r="D17" s="7">
        <f>SUMIFS(Sales_Ledger!$J$5:$J$863,Sales_Ledger!$L$5:$L$863,"Primary: monthly turnover register",Sales_Ledger!$D$5:$D$863,2024)</f>
        <v/>
      </c>
      <c r="E17" s="7">
        <f>SUMIFS(Sales_Ledger!$J$5:$J$863,Sales_Ledger!$L$5:$L$863,"Primary: monthly turnover register",Sales_Ledger!$D$5:$D$863,2025)</f>
        <v/>
      </c>
      <c r="F17" s="7">
        <f>SUM(B17:E17)</f>
        <v/>
      </c>
    </row>
    <row r="18">
      <c r="A18" s="6" t="inlineStr">
        <is>
          <t>Turnover schedule, Green City Ph1/Ph2 (Jan to Nov 2023)</t>
        </is>
      </c>
      <c r="B18" s="7">
        <f>SUMIFS(Sales_Ledger!$J$5:$J$863,Sales_Ledger!$L$5:$L$863,"Secondary: turnover schedule (Green City Ph1/Ph2 payment history); no monthly turnover register for this period",Sales_Ledger!$D$5:$D$863,2022)</f>
        <v/>
      </c>
      <c r="C18" s="7">
        <f>SUMIFS(Sales_Ledger!$J$5:$J$863,Sales_Ledger!$L$5:$L$863,"Secondary: turnover schedule (Green City Ph1/Ph2 payment history); no monthly turnover register for this period",Sales_Ledger!$D$5:$D$863,2023)</f>
        <v/>
      </c>
      <c r="D18" s="7">
        <f>SUMIFS(Sales_Ledger!$J$5:$J$863,Sales_Ledger!$L$5:$L$863,"Secondary: turnover schedule (Green City Ph1/Ph2 payment history); no monthly turnover register for this period",Sales_Ledger!$D$5:$D$863,2024)</f>
        <v/>
      </c>
      <c r="E18" s="7">
        <f>SUMIFS(Sales_Ledger!$J$5:$J$863,Sales_Ledger!$L$5:$L$863,"Secondary: turnover schedule (Green City Ph1/Ph2 payment history); no monthly turnover register for this period",Sales_Ledger!$D$5:$D$863,2025)</f>
        <v/>
      </c>
      <c r="F18" s="7">
        <f>SUM(B18:E18)</f>
        <v/>
      </c>
    </row>
    <row r="19">
      <c r="A19" s="6" t="inlineStr">
        <is>
          <t>Sales commission records (Jan to Nov 2023, and all of 2025)</t>
        </is>
      </c>
      <c r="B19" s="7">
        <f>SUMIFS(Sales_Ledger!$J$5:$J$863,Sales_Ledger!$L$5:$L$863,"Secondary: commission records; no monthly turnover register for this period",Sales_Ledger!$D$5:$D$863,2022)</f>
        <v/>
      </c>
      <c r="C19" s="7">
        <f>SUMIFS(Sales_Ledger!$J$5:$J$863,Sales_Ledger!$L$5:$L$863,"Secondary: commission records; no monthly turnover register for this period",Sales_Ledger!$D$5:$D$863,2023)</f>
        <v/>
      </c>
      <c r="D19" s="7">
        <f>SUMIFS(Sales_Ledger!$J$5:$J$863,Sales_Ledger!$L$5:$L$863,"Secondary: commission records; no monthly turnover register for this period",Sales_Ledger!$D$5:$D$863,2024)</f>
        <v/>
      </c>
      <c r="E19" s="7">
        <f>SUMIFS(Sales_Ledger!$J$5:$J$863,Sales_Ledger!$L$5:$L$863,"Secondary: commission records; no monthly turnover register for this period",Sales_Ledger!$D$5:$D$863,2025)</f>
        <v/>
      </c>
      <c r="F19" s="7">
        <f>SUM(B19:E19)</f>
        <v/>
      </c>
    </row>
    <row r="20">
      <c r="A20" s="8" t="inlineStr">
        <is>
          <t>Total</t>
        </is>
      </c>
      <c r="B20" s="9">
        <f>SUM(B17:B19)</f>
        <v/>
      </c>
      <c r="C20" s="9">
        <f>SUM(C17:C19)</f>
        <v/>
      </c>
      <c r="D20" s="9">
        <f>SUM(D17:D19)</f>
        <v/>
      </c>
      <c r="E20" s="9">
        <f>SUM(E17:E19)</f>
        <v/>
      </c>
      <c r="F20" s="9">
        <f>SUM(F17:F19)</f>
        <v/>
      </c>
    </row>
    <row r="22">
      <c r="A22" s="3" t="inlineStr">
        <is>
          <t>3. Sales receipts by project / estate and year</t>
        </is>
      </c>
    </row>
    <row r="23">
      <c r="A23" s="4" t="inlineStr">
        <is>
          <t>Project / estate</t>
        </is>
      </c>
      <c r="B23" s="5" t="inlineStr">
        <is>
          <t>2022</t>
        </is>
      </c>
      <c r="C23" s="5" t="inlineStr">
        <is>
          <t>2023</t>
        </is>
      </c>
      <c r="D23" s="5" t="inlineStr">
        <is>
          <t>2024</t>
        </is>
      </c>
      <c r="E23" s="5" t="inlineStr">
        <is>
          <t>2025</t>
        </is>
      </c>
      <c r="F23" s="5" t="inlineStr">
        <is>
          <t>Total</t>
        </is>
      </c>
    </row>
    <row r="24">
      <c r="A24" s="6" t="inlineStr">
        <is>
          <t>Baay Foreshore</t>
        </is>
      </c>
      <c r="B24" s="7">
        <f>SUMIFS(Sales_Ledger!$J$5:$J$863,Sales_Ledger!$G$5:$G$863,$A24,Sales_Ledger!$D$5:$D$863,2022)</f>
        <v/>
      </c>
      <c r="C24" s="7">
        <f>SUMIFS(Sales_Ledger!$J$5:$J$863,Sales_Ledger!$G$5:$G$863,$A24,Sales_Ledger!$D$5:$D$863,2023)</f>
        <v/>
      </c>
      <c r="D24" s="7">
        <f>SUMIFS(Sales_Ledger!$J$5:$J$863,Sales_Ledger!$G$5:$G$863,$A24,Sales_Ledger!$D$5:$D$863,2024)</f>
        <v/>
      </c>
      <c r="E24" s="7">
        <f>SUMIFS(Sales_Ledger!$J$5:$J$863,Sales_Ledger!$G$5:$G$863,$A24,Sales_Ledger!$D$5:$D$863,2025)</f>
        <v/>
      </c>
      <c r="F24" s="7">
        <f>SUM(B24:E24)</f>
        <v/>
      </c>
    </row>
    <row r="25">
      <c r="A25" s="6" t="inlineStr">
        <is>
          <t>Gorge View Court (GVC Gbagada)</t>
        </is>
      </c>
      <c r="B25" s="7">
        <f>SUMIFS(Sales_Ledger!$J$5:$J$863,Sales_Ledger!$G$5:$G$863,$A25,Sales_Ledger!$D$5:$D$863,2022)</f>
        <v/>
      </c>
      <c r="C25" s="7">
        <f>SUMIFS(Sales_Ledger!$J$5:$J$863,Sales_Ledger!$G$5:$G$863,$A25,Sales_Ledger!$D$5:$D$863,2023)</f>
        <v/>
      </c>
      <c r="D25" s="7">
        <f>SUMIFS(Sales_Ledger!$J$5:$J$863,Sales_Ledger!$G$5:$G$863,$A25,Sales_Ledger!$D$5:$D$863,2024)</f>
        <v/>
      </c>
      <c r="E25" s="7">
        <f>SUMIFS(Sales_Ledger!$J$5:$J$863,Sales_Ledger!$G$5:$G$863,$A25,Sales_Ledger!$D$5:$D$863,2025)</f>
        <v/>
      </c>
      <c r="F25" s="7">
        <f>SUM(B25:E25)</f>
        <v/>
      </c>
    </row>
    <row r="26">
      <c r="A26" s="6" t="inlineStr">
        <is>
          <t>Green City Ibadan (Akinyele-Moniya)</t>
        </is>
      </c>
      <c r="B26" s="7">
        <f>SUMIFS(Sales_Ledger!$J$5:$J$863,Sales_Ledger!$G$5:$G$863,$A26,Sales_Ledger!$D$5:$D$863,2022)</f>
        <v/>
      </c>
      <c r="C26" s="7">
        <f>SUMIFS(Sales_Ledger!$J$5:$J$863,Sales_Ledger!$G$5:$G$863,$A26,Sales_Ledger!$D$5:$D$863,2023)</f>
        <v/>
      </c>
      <c r="D26" s="7">
        <f>SUMIFS(Sales_Ledger!$J$5:$J$863,Sales_Ledger!$G$5:$G$863,$A26,Sales_Ledger!$D$5:$D$863,2024)</f>
        <v/>
      </c>
      <c r="E26" s="7">
        <f>SUMIFS(Sales_Ledger!$J$5:$J$863,Sales_Ledger!$G$5:$G$863,$A26,Sales_Ledger!$D$5:$D$863,2025)</f>
        <v/>
      </c>
      <c r="F26" s="7">
        <f>SUM(B26:E26)</f>
        <v/>
      </c>
    </row>
    <row r="27">
      <c r="A27" s="6" t="inlineStr">
        <is>
          <t>Green City Phase 1 (Ketu-Epe)</t>
        </is>
      </c>
      <c r="B27" s="7">
        <f>SUMIFS(Sales_Ledger!$J$5:$J$863,Sales_Ledger!$G$5:$G$863,$A27,Sales_Ledger!$D$5:$D$863,2022)</f>
        <v/>
      </c>
      <c r="C27" s="7">
        <f>SUMIFS(Sales_Ledger!$J$5:$J$863,Sales_Ledger!$G$5:$G$863,$A27,Sales_Ledger!$D$5:$D$863,2023)</f>
        <v/>
      </c>
      <c r="D27" s="7">
        <f>SUMIFS(Sales_Ledger!$J$5:$J$863,Sales_Ledger!$G$5:$G$863,$A27,Sales_Ledger!$D$5:$D$863,2024)</f>
        <v/>
      </c>
      <c r="E27" s="7">
        <f>SUMIFS(Sales_Ledger!$J$5:$J$863,Sales_Ledger!$G$5:$G$863,$A27,Sales_Ledger!$D$5:$D$863,2025)</f>
        <v/>
      </c>
      <c r="F27" s="7">
        <f>SUM(B27:E27)</f>
        <v/>
      </c>
    </row>
    <row r="28">
      <c r="A28" s="6" t="inlineStr">
        <is>
          <t>Green City Phase 1 (Lantaba, Ketu-Epe)</t>
        </is>
      </c>
      <c r="B28" s="7">
        <f>SUMIFS(Sales_Ledger!$J$5:$J$863,Sales_Ledger!$G$5:$G$863,$A28,Sales_Ledger!$D$5:$D$863,2022)</f>
        <v/>
      </c>
      <c r="C28" s="7">
        <f>SUMIFS(Sales_Ledger!$J$5:$J$863,Sales_Ledger!$G$5:$G$863,$A28,Sales_Ledger!$D$5:$D$863,2023)</f>
        <v/>
      </c>
      <c r="D28" s="7">
        <f>SUMIFS(Sales_Ledger!$J$5:$J$863,Sales_Ledger!$G$5:$G$863,$A28,Sales_Ledger!$D$5:$D$863,2024)</f>
        <v/>
      </c>
      <c r="E28" s="7">
        <f>SUMIFS(Sales_Ledger!$J$5:$J$863,Sales_Ledger!$G$5:$G$863,$A28,Sales_Ledger!$D$5:$D$863,2025)</f>
        <v/>
      </c>
      <c r="F28" s="7">
        <f>SUM(B28:E28)</f>
        <v/>
      </c>
    </row>
    <row r="29">
      <c r="A29" s="6" t="inlineStr">
        <is>
          <t>Green City Phase 2 (Idobi, Ketu-Epe)</t>
        </is>
      </c>
      <c r="B29" s="7">
        <f>SUMIFS(Sales_Ledger!$J$5:$J$863,Sales_Ledger!$G$5:$G$863,$A29,Sales_Ledger!$D$5:$D$863,2022)</f>
        <v/>
      </c>
      <c r="C29" s="7">
        <f>SUMIFS(Sales_Ledger!$J$5:$J$863,Sales_Ledger!$G$5:$G$863,$A29,Sales_Ledger!$D$5:$D$863,2023)</f>
        <v/>
      </c>
      <c r="D29" s="7">
        <f>SUMIFS(Sales_Ledger!$J$5:$J$863,Sales_Ledger!$G$5:$G$863,$A29,Sales_Ledger!$D$5:$D$863,2024)</f>
        <v/>
      </c>
      <c r="E29" s="7">
        <f>SUMIFS(Sales_Ledger!$J$5:$J$863,Sales_Ledger!$G$5:$G$863,$A29,Sales_Ledger!$D$5:$D$863,2025)</f>
        <v/>
      </c>
      <c r="F29" s="7">
        <f>SUM(B29:E29)</f>
        <v/>
      </c>
    </row>
    <row r="30">
      <c r="A30" s="6" t="inlineStr">
        <is>
          <t>Green City Phase 2 (Ketu-Epe)</t>
        </is>
      </c>
      <c r="B30" s="7">
        <f>SUMIFS(Sales_Ledger!$J$5:$J$863,Sales_Ledger!$G$5:$G$863,$A30,Sales_Ledger!$D$5:$D$863,2022)</f>
        <v/>
      </c>
      <c r="C30" s="7">
        <f>SUMIFS(Sales_Ledger!$J$5:$J$863,Sales_Ledger!$G$5:$G$863,$A30,Sales_Ledger!$D$5:$D$863,2023)</f>
        <v/>
      </c>
      <c r="D30" s="7">
        <f>SUMIFS(Sales_Ledger!$J$5:$J$863,Sales_Ledger!$G$5:$G$863,$A30,Sales_Ledger!$D$5:$D$863,2024)</f>
        <v/>
      </c>
      <c r="E30" s="7">
        <f>SUMIFS(Sales_Ledger!$J$5:$J$863,Sales_Ledger!$G$5:$G$863,$A30,Sales_Ledger!$D$5:$D$863,2025)</f>
        <v/>
      </c>
      <c r="F30" s="7">
        <f>SUM(B30:E30)</f>
        <v/>
      </c>
    </row>
    <row r="31">
      <c r="A31" s="6" t="inlineStr">
        <is>
          <t>Green City Phase 3 (Omu-Epe)</t>
        </is>
      </c>
      <c r="B31" s="7">
        <f>SUMIFS(Sales_Ledger!$J$5:$J$863,Sales_Ledger!$G$5:$G$863,$A31,Sales_Ledger!$D$5:$D$863,2022)</f>
        <v/>
      </c>
      <c r="C31" s="7">
        <f>SUMIFS(Sales_Ledger!$J$5:$J$863,Sales_Ledger!$G$5:$G$863,$A31,Sales_Ledger!$D$5:$D$863,2023)</f>
        <v/>
      </c>
      <c r="D31" s="7">
        <f>SUMIFS(Sales_Ledger!$J$5:$J$863,Sales_Ledger!$G$5:$G$863,$A31,Sales_Ledger!$D$5:$D$863,2024)</f>
        <v/>
      </c>
      <c r="E31" s="7">
        <f>SUMIFS(Sales_Ledger!$J$5:$J$863,Sales_Ledger!$G$5:$G$863,$A31,Sales_Ledger!$D$5:$D$863,2025)</f>
        <v/>
      </c>
      <c r="F31" s="7">
        <f>SUM(B31:E31)</f>
        <v/>
      </c>
    </row>
    <row r="32">
      <c r="A32" s="6" t="inlineStr">
        <is>
          <t>Green City Phase 3 Extension (Omu-Epe)</t>
        </is>
      </c>
      <c r="B32" s="7">
        <f>SUMIFS(Sales_Ledger!$J$5:$J$863,Sales_Ledger!$G$5:$G$863,$A32,Sales_Ledger!$D$5:$D$863,2022)</f>
        <v/>
      </c>
      <c r="C32" s="7">
        <f>SUMIFS(Sales_Ledger!$J$5:$J$863,Sales_Ledger!$G$5:$G$863,$A32,Sales_Ledger!$D$5:$D$863,2023)</f>
        <v/>
      </c>
      <c r="D32" s="7">
        <f>SUMIFS(Sales_Ledger!$J$5:$J$863,Sales_Ledger!$G$5:$G$863,$A32,Sales_Ledger!$D$5:$D$863,2024)</f>
        <v/>
      </c>
      <c r="E32" s="7">
        <f>SUMIFS(Sales_Ledger!$J$5:$J$863,Sales_Ledger!$G$5:$G$863,$A32,Sales_Ledger!$D$5:$D$863,2025)</f>
        <v/>
      </c>
      <c r="F32" s="7">
        <f>SUM(B32:E32)</f>
        <v/>
      </c>
    </row>
    <row r="33">
      <c r="A33" s="6" t="inlineStr">
        <is>
          <t>Heritage Garden</t>
        </is>
      </c>
      <c r="B33" s="7">
        <f>SUMIFS(Sales_Ledger!$J$5:$J$863,Sales_Ledger!$G$5:$G$863,$A33,Sales_Ledger!$D$5:$D$863,2022)</f>
        <v/>
      </c>
      <c r="C33" s="7">
        <f>SUMIFS(Sales_Ledger!$J$5:$J$863,Sales_Ledger!$G$5:$G$863,$A33,Sales_Ledger!$D$5:$D$863,2023)</f>
        <v/>
      </c>
      <c r="D33" s="7">
        <f>SUMIFS(Sales_Ledger!$J$5:$J$863,Sales_Ledger!$G$5:$G$863,$A33,Sales_Ledger!$D$5:$D$863,2024)</f>
        <v/>
      </c>
      <c r="E33" s="7">
        <f>SUMIFS(Sales_Ledger!$J$5:$J$863,Sales_Ledger!$G$5:$G$863,$A33,Sales_Ledger!$D$5:$D$863,2025)</f>
        <v/>
      </c>
      <c r="F33" s="7">
        <f>SUM(B33:E33)</f>
        <v/>
      </c>
    </row>
    <row r="34">
      <c r="A34" s="6" t="inlineStr">
        <is>
          <t>Housing unit (project not stated in source)</t>
        </is>
      </c>
      <c r="B34" s="7">
        <f>SUMIFS(Sales_Ledger!$J$5:$J$863,Sales_Ledger!$G$5:$G$863,$A34,Sales_Ledger!$D$5:$D$863,2022)</f>
        <v/>
      </c>
      <c r="C34" s="7">
        <f>SUMIFS(Sales_Ledger!$J$5:$J$863,Sales_Ledger!$G$5:$G$863,$A34,Sales_Ledger!$D$5:$D$863,2023)</f>
        <v/>
      </c>
      <c r="D34" s="7">
        <f>SUMIFS(Sales_Ledger!$J$5:$J$863,Sales_Ledger!$G$5:$G$863,$A34,Sales_Ledger!$D$5:$D$863,2024)</f>
        <v/>
      </c>
      <c r="E34" s="7">
        <f>SUMIFS(Sales_Ledger!$J$5:$J$863,Sales_Ledger!$G$5:$G$863,$A34,Sales_Ledger!$D$5:$D$863,2025)</f>
        <v/>
      </c>
      <c r="F34" s="7">
        <f>SUM(B34:E34)</f>
        <v/>
      </c>
    </row>
    <row r="35">
      <c r="A35" s="6" t="inlineStr">
        <is>
          <t>Land (estate not stated in source)</t>
        </is>
      </c>
      <c r="B35" s="7">
        <f>SUMIFS(Sales_Ledger!$J$5:$J$863,Sales_Ledger!$G$5:$G$863,$A35,Sales_Ledger!$D$5:$D$863,2022)</f>
        <v/>
      </c>
      <c r="C35" s="7">
        <f>SUMIFS(Sales_Ledger!$J$5:$J$863,Sales_Ledger!$G$5:$G$863,$A35,Sales_Ledger!$D$5:$D$863,2023)</f>
        <v/>
      </c>
      <c r="D35" s="7">
        <f>SUMIFS(Sales_Ledger!$J$5:$J$863,Sales_Ledger!$G$5:$G$863,$A35,Sales_Ledger!$D$5:$D$863,2024)</f>
        <v/>
      </c>
      <c r="E35" s="7">
        <f>SUMIFS(Sales_Ledger!$J$5:$J$863,Sales_Ledger!$G$5:$G$863,$A35,Sales_Ledger!$D$5:$D$863,2025)</f>
        <v/>
      </c>
      <c r="F35" s="7">
        <f>SUM(B35:E35)</f>
        <v/>
      </c>
    </row>
    <row r="36">
      <c r="A36" s="6" t="inlineStr">
        <is>
          <t>Land: corner piece premium</t>
        </is>
      </c>
      <c r="B36" s="7">
        <f>SUMIFS(Sales_Ledger!$J$5:$J$863,Sales_Ledger!$G$5:$G$863,$A36,Sales_Ledger!$D$5:$D$863,2022)</f>
        <v/>
      </c>
      <c r="C36" s="7">
        <f>SUMIFS(Sales_Ledger!$J$5:$J$863,Sales_Ledger!$G$5:$G$863,$A36,Sales_Ledger!$D$5:$D$863,2023)</f>
        <v/>
      </c>
      <c r="D36" s="7">
        <f>SUMIFS(Sales_Ledger!$J$5:$J$863,Sales_Ledger!$G$5:$G$863,$A36,Sales_Ledger!$D$5:$D$863,2024)</f>
        <v/>
      </c>
      <c r="E36" s="7">
        <f>SUMIFS(Sales_Ledger!$J$5:$J$863,Sales_Ledger!$G$5:$G$863,$A36,Sales_Ledger!$D$5:$D$863,2025)</f>
        <v/>
      </c>
      <c r="F36" s="7">
        <f>SUM(B36:E36)</f>
        <v/>
      </c>
    </row>
    <row r="37">
      <c r="A37" s="6" t="inlineStr">
        <is>
          <t>Land: development fee</t>
        </is>
      </c>
      <c r="B37" s="7">
        <f>SUMIFS(Sales_Ledger!$J$5:$J$863,Sales_Ledger!$G$5:$G$863,$A37,Sales_Ledger!$D$5:$D$863,2022)</f>
        <v/>
      </c>
      <c r="C37" s="7">
        <f>SUMIFS(Sales_Ledger!$J$5:$J$863,Sales_Ledger!$G$5:$G$863,$A37,Sales_Ledger!$D$5:$D$863,2023)</f>
        <v/>
      </c>
      <c r="D37" s="7">
        <f>SUMIFS(Sales_Ledger!$J$5:$J$863,Sales_Ledger!$G$5:$G$863,$A37,Sales_Ledger!$D$5:$D$863,2024)</f>
        <v/>
      </c>
      <c r="E37" s="7">
        <f>SUMIFS(Sales_Ledger!$J$5:$J$863,Sales_Ledger!$G$5:$G$863,$A37,Sales_Ledger!$D$5:$D$863,2025)</f>
        <v/>
      </c>
      <c r="F37" s="7">
        <f>SUM(B37:E37)</f>
        <v/>
      </c>
    </row>
    <row r="38">
      <c r="A38" s="6" t="inlineStr">
        <is>
          <t>Land: documentation fee</t>
        </is>
      </c>
      <c r="B38" s="7">
        <f>SUMIFS(Sales_Ledger!$J$5:$J$863,Sales_Ledger!$G$5:$G$863,$A38,Sales_Ledger!$D$5:$D$863,2022)</f>
        <v/>
      </c>
      <c r="C38" s="7">
        <f>SUMIFS(Sales_Ledger!$J$5:$J$863,Sales_Ledger!$G$5:$G$863,$A38,Sales_Ledger!$D$5:$D$863,2023)</f>
        <v/>
      </c>
      <c r="D38" s="7">
        <f>SUMIFS(Sales_Ledger!$J$5:$J$863,Sales_Ledger!$G$5:$G$863,$A38,Sales_Ledger!$D$5:$D$863,2024)</f>
        <v/>
      </c>
      <c r="E38" s="7">
        <f>SUMIFS(Sales_Ledger!$J$5:$J$863,Sales_Ledger!$G$5:$G$863,$A38,Sales_Ledger!$D$5:$D$863,2025)</f>
        <v/>
      </c>
      <c r="F38" s="7">
        <f>SUM(B38:E38)</f>
        <v/>
      </c>
    </row>
    <row r="39">
      <c r="A39" s="6" t="inlineStr">
        <is>
          <t>Pacific Apartment</t>
        </is>
      </c>
      <c r="B39" s="7">
        <f>SUMIFS(Sales_Ledger!$J$5:$J$863,Sales_Ledger!$G$5:$G$863,$A39,Sales_Ledger!$D$5:$D$863,2022)</f>
        <v/>
      </c>
      <c r="C39" s="7">
        <f>SUMIFS(Sales_Ledger!$J$5:$J$863,Sales_Ledger!$G$5:$G$863,$A39,Sales_Ledger!$D$5:$D$863,2023)</f>
        <v/>
      </c>
      <c r="D39" s="7">
        <f>SUMIFS(Sales_Ledger!$J$5:$J$863,Sales_Ledger!$G$5:$G$863,$A39,Sales_Ledger!$D$5:$D$863,2024)</f>
        <v/>
      </c>
      <c r="E39" s="7">
        <f>SUMIFS(Sales_Ledger!$J$5:$J$863,Sales_Ledger!$G$5:$G$863,$A39,Sales_Ledger!$D$5:$D$863,2025)</f>
        <v/>
      </c>
      <c r="F39" s="7">
        <f>SUM(B39:E39)</f>
        <v/>
      </c>
    </row>
    <row r="40">
      <c r="A40" s="6" t="inlineStr">
        <is>
          <t>Pacific Court</t>
        </is>
      </c>
      <c r="B40" s="7">
        <f>SUMIFS(Sales_Ledger!$J$5:$J$863,Sales_Ledger!$G$5:$G$863,$A40,Sales_Ledger!$D$5:$D$863,2022)</f>
        <v/>
      </c>
      <c r="C40" s="7">
        <f>SUMIFS(Sales_Ledger!$J$5:$J$863,Sales_Ledger!$G$5:$G$863,$A40,Sales_Ledger!$D$5:$D$863,2023)</f>
        <v/>
      </c>
      <c r="D40" s="7">
        <f>SUMIFS(Sales_Ledger!$J$5:$J$863,Sales_Ledger!$G$5:$G$863,$A40,Sales_Ledger!$D$5:$D$863,2024)</f>
        <v/>
      </c>
      <c r="E40" s="7">
        <f>SUMIFS(Sales_Ledger!$J$5:$J$863,Sales_Ledger!$G$5:$G$863,$A40,Sales_Ledger!$D$5:$D$863,2025)</f>
        <v/>
      </c>
      <c r="F40" s="7">
        <f>SUM(B40:E40)</f>
        <v/>
      </c>
    </row>
    <row r="41">
      <c r="A41" s="6" t="inlineStr">
        <is>
          <t>Pacific Court 2</t>
        </is>
      </c>
      <c r="B41" s="7">
        <f>SUMIFS(Sales_Ledger!$J$5:$J$863,Sales_Ledger!$G$5:$G$863,$A41,Sales_Ledger!$D$5:$D$863,2022)</f>
        <v/>
      </c>
      <c r="C41" s="7">
        <f>SUMIFS(Sales_Ledger!$J$5:$J$863,Sales_Ledger!$G$5:$G$863,$A41,Sales_Ledger!$D$5:$D$863,2023)</f>
        <v/>
      </c>
      <c r="D41" s="7">
        <f>SUMIFS(Sales_Ledger!$J$5:$J$863,Sales_Ledger!$G$5:$G$863,$A41,Sales_Ledger!$D$5:$D$863,2024)</f>
        <v/>
      </c>
      <c r="E41" s="7">
        <f>SUMIFS(Sales_Ledger!$J$5:$J$863,Sales_Ledger!$G$5:$G$863,$A41,Sales_Ledger!$D$5:$D$863,2025)</f>
        <v/>
      </c>
      <c r="F41" s="7">
        <f>SUM(B41:E41)</f>
        <v/>
      </c>
    </row>
    <row r="42">
      <c r="A42" s="8" t="inlineStr">
        <is>
          <t>Total</t>
        </is>
      </c>
      <c r="B42" s="9">
        <f>SUM(B24:B41)</f>
        <v/>
      </c>
      <c r="C42" s="9">
        <f>SUM(C24:C41)</f>
        <v/>
      </c>
      <c r="D42" s="9">
        <f>SUM(D24:D41)</f>
        <v/>
      </c>
      <c r="E42" s="9">
        <f>SUM(E24:E41)</f>
        <v/>
      </c>
      <c r="F42" s="9">
        <f>SUM(F24:F41)</f>
        <v/>
      </c>
    </row>
    <row r="44">
      <c r="A44" s="3" t="inlineStr">
        <is>
          <t>4. Customers subscribed (Subscriptions and Customer_Master)</t>
        </is>
      </c>
    </row>
    <row r="45">
      <c r="A45" s="2" t="inlineStr">
        <is>
          <t>Subscriptions are counted in the year of the subscription date in the client register.</t>
        </is>
      </c>
    </row>
    <row r="46">
      <c r="A46" s="4" t="inlineStr">
        <is>
          <t>Subscriptions per client register</t>
        </is>
      </c>
      <c r="B46" s="5" t="inlineStr">
        <is>
          <t>2022</t>
        </is>
      </c>
      <c r="C46" s="5" t="inlineStr">
        <is>
          <t>2023</t>
        </is>
      </c>
      <c r="D46" s="5" t="inlineStr">
        <is>
          <t>2024</t>
        </is>
      </c>
      <c r="E46" s="5" t="inlineStr">
        <is>
          <t>2025</t>
        </is>
      </c>
      <c r="F46" s="5" t="inlineStr">
        <is>
          <t>Total</t>
        </is>
      </c>
    </row>
    <row r="47">
      <c r="A47" s="6" t="inlineStr">
        <is>
          <t>Land</t>
        </is>
      </c>
      <c r="B47" s="7">
        <f>COUNTIFS(Subscriptions!$D$5:$D$218,"Land",Subscriptions!$H$5:$H$218,2022)</f>
        <v/>
      </c>
      <c r="C47" s="7">
        <f>COUNTIFS(Subscriptions!$D$5:$D$218,"Land",Subscriptions!$H$5:$H$218,2023)</f>
        <v/>
      </c>
      <c r="D47" s="7">
        <f>COUNTIFS(Subscriptions!$D$5:$D$218,"Land",Subscriptions!$H$5:$H$218,2024)</f>
        <v/>
      </c>
      <c r="E47" s="7">
        <f>COUNTIFS(Subscriptions!$D$5:$D$218,"Land",Subscriptions!$H$5:$H$218,2025)</f>
        <v/>
      </c>
      <c r="F47" s="7">
        <f>SUM(B47:E47)</f>
        <v/>
      </c>
    </row>
    <row r="48">
      <c r="A48" s="6" t="inlineStr">
        <is>
          <t>Housing</t>
        </is>
      </c>
      <c r="B48" s="7">
        <f>COUNTIFS(Subscriptions!$D$5:$D$218,"Housing",Subscriptions!$H$5:$H$218,2022)</f>
        <v/>
      </c>
      <c r="C48" s="7">
        <f>COUNTIFS(Subscriptions!$D$5:$D$218,"Housing",Subscriptions!$H$5:$H$218,2023)</f>
        <v/>
      </c>
      <c r="D48" s="7">
        <f>COUNTIFS(Subscriptions!$D$5:$D$218,"Housing",Subscriptions!$H$5:$H$218,2024)</f>
        <v/>
      </c>
      <c r="E48" s="7">
        <f>COUNTIFS(Subscriptions!$D$5:$D$218,"Housing",Subscriptions!$H$5:$H$218,2025)</f>
        <v/>
      </c>
      <c r="F48" s="7">
        <f>SUM(B48:E48)</f>
        <v/>
      </c>
    </row>
    <row r="49">
      <c r="A49" s="6" t="inlineStr">
        <is>
          <t>Construction</t>
        </is>
      </c>
      <c r="B49" s="7">
        <f>COUNTIFS(Subscriptions!$D$5:$D$218,"Construction",Subscriptions!$H$5:$H$218,2022)</f>
        <v/>
      </c>
      <c r="C49" s="7">
        <f>COUNTIFS(Subscriptions!$D$5:$D$218,"Construction",Subscriptions!$H$5:$H$218,2023)</f>
        <v/>
      </c>
      <c r="D49" s="7">
        <f>COUNTIFS(Subscriptions!$D$5:$D$218,"Construction",Subscriptions!$H$5:$H$218,2024)</f>
        <v/>
      </c>
      <c r="E49" s="7">
        <f>COUNTIFS(Subscriptions!$D$5:$D$218,"Construction",Subscriptions!$H$5:$H$218,2025)</f>
        <v/>
      </c>
      <c r="F49" s="7">
        <f>SUM(B49:E49)</f>
        <v/>
      </c>
    </row>
    <row r="50">
      <c r="A50" s="8" t="inlineStr">
        <is>
          <t>Subscriptions with a dated entry</t>
        </is>
      </c>
      <c r="B50" s="9">
        <f>SUM(B47:B49)</f>
        <v/>
      </c>
      <c r="C50" s="9">
        <f>SUM(C47:C49)</f>
        <v/>
      </c>
      <c r="D50" s="9">
        <f>SUM(D47:D49)</f>
        <v/>
      </c>
      <c r="E50" s="9">
        <f>SUM(E47:E49)</f>
        <v/>
      </c>
      <c r="F50" s="9">
        <f>SUM(F47:F49)</f>
        <v/>
      </c>
    </row>
    <row r="51">
      <c r="A51" s="6" t="inlineStr">
        <is>
          <t>Subscriptions with no date in the register</t>
        </is>
      </c>
      <c r="B51" s="7" t="n"/>
      <c r="C51" s="7" t="n"/>
      <c r="D51" s="7" t="n"/>
      <c r="E51" s="7" t="n"/>
      <c r="F51" s="7">
        <f>COUNTIFS(Subscriptions!$A$5:$A$218,"SB*",Subscriptions!$G$5:$G$218,"")</f>
        <v/>
      </c>
    </row>
    <row r="54">
      <c r="A54" s="6" t="inlineStr">
        <is>
          <t>Distinct customers in Customer_Master</t>
        </is>
      </c>
      <c r="B54" s="7" t="n"/>
      <c r="C54" s="7" t="n"/>
      <c r="D54" s="7" t="n"/>
      <c r="E54" s="7" t="n"/>
      <c r="F54" s="11">
        <f>COUNTIF(Customer_Master!$A$5:$A$240,"BP-C*")</f>
        <v/>
      </c>
    </row>
    <row r="55">
      <c r="A55" s="6" t="inlineStr">
        <is>
          <t xml:space="preserve">  of which buying land</t>
        </is>
      </c>
      <c r="B55" s="7" t="n"/>
      <c r="C55" s="7" t="n"/>
      <c r="D55" s="7" t="n"/>
      <c r="E55" s="7" t="n"/>
      <c r="F55" s="11">
        <f>COUNTIF(Customer_Master!$E$5:$E$240,"*Land*")</f>
        <v/>
      </c>
    </row>
    <row r="56">
      <c r="A56" s="6" t="inlineStr">
        <is>
          <t xml:space="preserve">  of which buying housing</t>
        </is>
      </c>
      <c r="B56" s="7" t="n"/>
      <c r="C56" s="7" t="n"/>
      <c r="D56" s="7" t="n"/>
      <c r="E56" s="7" t="n"/>
      <c r="F56" s="11">
        <f>COUNTIF(Customer_Master!$E$5:$E$240,"*Housing*")</f>
        <v/>
      </c>
    </row>
    <row r="57">
      <c r="A57" s="6" t="inlineStr">
        <is>
          <t xml:space="preserve">  found in both client register and transaction records</t>
        </is>
      </c>
      <c r="B57" s="7" t="n"/>
      <c r="C57" s="7" t="n"/>
      <c r="D57" s="7" t="n"/>
      <c r="E57" s="7" t="n"/>
      <c r="F57" s="11">
        <f>COUNTIF(Customer_Master!$O$5:$O$240,"Client register + Transaction records")</f>
        <v/>
      </c>
    </row>
    <row r="58">
      <c r="A58" s="6" t="inlineStr">
        <is>
          <t xml:space="preserve">  in client register only (no receipt line found)</t>
        </is>
      </c>
      <c r="B58" s="7" t="n"/>
      <c r="C58" s="7" t="n"/>
      <c r="D58" s="7" t="n"/>
      <c r="E58" s="7" t="n"/>
      <c r="F58" s="11">
        <f>COUNTIF(Customer_Master!$O$5:$O$240,"Client register")</f>
        <v/>
      </c>
    </row>
    <row r="59">
      <c r="A59" s="6" t="inlineStr">
        <is>
          <t xml:space="preserve">  in transaction records only (not in client register)</t>
        </is>
      </c>
      <c r="B59" s="7" t="n"/>
      <c r="C59" s="7" t="n"/>
      <c r="D59" s="7" t="n"/>
      <c r="E59" s="7" t="n"/>
      <c r="F59" s="11">
        <f>COUNTIF(Customer_Master!$O$5:$O$240,"Transaction records")</f>
        <v/>
      </c>
    </row>
    <row r="60">
      <c r="A60" s="6" t="inlineStr">
        <is>
          <t xml:space="preserve">  in commission records only (see exceptions tab)</t>
        </is>
      </c>
      <c r="B60" s="7" t="n"/>
      <c r="C60" s="7" t="n"/>
      <c r="D60" s="7" t="n"/>
      <c r="E60" s="7" t="n"/>
      <c r="F60" s="11">
        <f>COUNTIF(Customer_Master!$O$5:$O$240,"Commission records only*")</f>
        <v/>
      </c>
    </row>
    <row r="61">
      <c r="A61" s="6" t="inlineStr">
        <is>
          <t>Customers flagged for review (Customer_Master column R)</t>
        </is>
      </c>
      <c r="B61" s="7" t="n"/>
      <c r="C61" s="7" t="n"/>
      <c r="D61" s="7" t="n"/>
      <c r="E61" s="7" t="n"/>
      <c r="F61" s="11">
        <f>COUNTIF(Customer_Master!$R$5:$R$240,"?*")</f>
        <v/>
      </c>
    </row>
    <row r="63">
      <c r="A63" s="3" t="inlineStr">
        <is>
          <t>5. Items removed from the sales population (Exclusions tab)</t>
        </is>
      </c>
    </row>
    <row r="64">
      <c r="A64" s="4" t="inlineStr">
        <is>
          <t>Reason</t>
        </is>
      </c>
      <c r="B64" s="5" t="inlineStr">
        <is>
          <t>2022</t>
        </is>
      </c>
      <c r="C64" s="5" t="inlineStr">
        <is>
          <t>2023</t>
        </is>
      </c>
      <c r="D64" s="5" t="inlineStr">
        <is>
          <t>2024</t>
        </is>
      </c>
      <c r="E64" s="5" t="inlineStr">
        <is>
          <t>2025</t>
        </is>
      </c>
      <c r="F64" s="5" t="inlineStr">
        <is>
          <t>Total</t>
        </is>
      </c>
    </row>
    <row r="65">
      <c r="A65" s="6" t="inlineStr">
        <is>
          <t>Co-ownership investment receipts</t>
        </is>
      </c>
      <c r="B65" s="7">
        <f>SUMIFS(Exclusions!$F$5:$F$108,Exclusions!$H$5:$H$108,"Co-ownership investment receipt: fixed-r*",Exclusions!$D$5:$D$108,2022)</f>
        <v/>
      </c>
      <c r="C65" s="7">
        <f>SUMIFS(Exclusions!$F$5:$F$108,Exclusions!$H$5:$H$108,"Co-ownership investment receipt: fixed-r*",Exclusions!$D$5:$D$108,2023)</f>
        <v/>
      </c>
      <c r="D65" s="7">
        <f>SUMIFS(Exclusions!$F$5:$F$108,Exclusions!$H$5:$H$108,"Co-ownership investment receipt: fixed-r*",Exclusions!$D$5:$D$108,2024)</f>
        <v/>
      </c>
      <c r="E65" s="7">
        <f>SUMIFS(Exclusions!$F$5:$F$108,Exclusions!$H$5:$H$108,"Co-ownership investment receipt: fixed-r*",Exclusions!$D$5:$D$108,2025)</f>
        <v/>
      </c>
      <c r="F65" s="7">
        <f>SUM(B65:E65)</f>
        <v/>
      </c>
    </row>
    <row r="66">
      <c r="A66" s="6" t="inlineStr">
        <is>
          <t>Credit memos (non-cash transfers)</t>
        </is>
      </c>
      <c r="B66" s="7">
        <f>SUMIFS(Exclusions!$F$5:$F$108,Exclusions!$H$5:$H$108,"Credit memo: non-cash transfer of an ear*",Exclusions!$D$5:$D$108,2022)</f>
        <v/>
      </c>
      <c r="C66" s="7">
        <f>SUMIFS(Exclusions!$F$5:$F$108,Exclusions!$H$5:$H$108,"Credit memo: non-cash transfer of an ear*",Exclusions!$D$5:$D$108,2023)</f>
        <v/>
      </c>
      <c r="D66" s="7">
        <f>SUMIFS(Exclusions!$F$5:$F$108,Exclusions!$H$5:$H$108,"Credit memo: non-cash transfer of an ear*",Exclusions!$D$5:$D$108,2024)</f>
        <v/>
      </c>
      <c r="E66" s="7">
        <f>SUMIFS(Exclusions!$F$5:$F$108,Exclusions!$H$5:$H$108,"Credit memo: non-cash transfer of an ear*",Exclusions!$D$5:$D$108,2025)</f>
        <v/>
      </c>
      <c r="F66" s="7">
        <f>SUM(B66:E66)</f>
        <v/>
      </c>
    </row>
    <row r="67">
      <c r="A67" s="6" t="inlineStr">
        <is>
          <t>Service / engagement income</t>
        </is>
      </c>
      <c r="B67" s="7">
        <f>SUMIFS(Exclusions!$F$5:$F$108,Exclusions!$H$5:$H$108,"Service/engagement income: not a land, h*",Exclusions!$D$5:$D$108,2022)</f>
        <v/>
      </c>
      <c r="C67" s="7">
        <f>SUMIFS(Exclusions!$F$5:$F$108,Exclusions!$H$5:$H$108,"Service/engagement income: not a land, h*",Exclusions!$D$5:$D$108,2023)</f>
        <v/>
      </c>
      <c r="D67" s="7">
        <f>SUMIFS(Exclusions!$F$5:$F$108,Exclusions!$H$5:$H$108,"Service/engagement income: not a land, h*",Exclusions!$D$5:$D$108,2024)</f>
        <v/>
      </c>
      <c r="E67" s="7">
        <f>SUMIFS(Exclusions!$F$5:$F$108,Exclusions!$H$5:$H$108,"Service/engagement income: not a land, h*",Exclusions!$D$5:$D$108,2025)</f>
        <v/>
      </c>
      <c r="F67" s="7">
        <f>SUM(B67:E67)</f>
        <v/>
      </c>
    </row>
    <row r="68">
      <c r="A68" s="8" t="inlineStr">
        <is>
          <t>Total excluded</t>
        </is>
      </c>
      <c r="B68" s="9">
        <f>SUM(B65:B67)</f>
        <v/>
      </c>
      <c r="C68" s="9">
        <f>SUM(C65:C67)</f>
        <v/>
      </c>
      <c r="D68" s="9">
        <f>SUM(D65:D67)</f>
        <v/>
      </c>
      <c r="E68" s="9">
        <f>SUM(E65:E67)</f>
        <v/>
      </c>
      <c r="F68" s="9">
        <f>SUM(F65:F67)</f>
        <v/>
      </c>
    </row>
    <row r="70">
      <c r="A70" s="3" t="inlineStr">
        <is>
          <t>6. Open items for the auditor</t>
        </is>
      </c>
    </row>
    <row r="71">
      <c r="A71" s="6" t="inlineStr">
        <is>
          <t>Unmatched secondary records, Dec 2023 to Dec 2024 (Exceptions tab)</t>
        </is>
      </c>
      <c r="B71" s="7" t="n"/>
      <c r="C71" s="7" t="n"/>
      <c r="D71" s="7" t="n"/>
      <c r="E71" s="7" t="n"/>
      <c r="F71" s="7">
        <f>SUM(Exceptions_Dec23_Dec24!$F$5:$F$94)</f>
        <v/>
      </c>
    </row>
    <row r="72">
      <c r="A72" s="6" t="inlineStr">
        <is>
          <t>Turnover sheets: total differences vs stated totals (Turnover_Recon)</t>
        </is>
      </c>
      <c r="B72" s="7" t="n"/>
      <c r="C72" s="7" t="n"/>
      <c r="D72" s="7" t="n"/>
      <c r="E72" s="7" t="n"/>
      <c r="F72" s="7">
        <f>SUM(Turnover_Recon!H5:H17)</f>
        <v/>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B33"/>
  <sheetViews>
    <sheetView topLeftCell="A22" zoomScaleNormal="100" workbookViewId="0">
      <selection activeCell="B9" sqref="B9"/>
    </sheetView>
  </sheetViews>
  <sheetFormatPr baseColWidth="8" defaultColWidth="8.6328125" defaultRowHeight="14.5"/>
  <cols>
    <col width="34" customWidth="1" min="1" max="1"/>
    <col width="120" customWidth="1" min="2" max="2"/>
  </cols>
  <sheetData>
    <row r="1" ht="18" customHeight="1">
      <c r="A1" s="1" t="inlineStr">
        <is>
          <t>Basis of preparation, sources and limitations</t>
        </is>
      </c>
    </row>
    <row r="4">
      <c r="A4" s="3" t="inlineStr">
        <is>
          <t>Purpose</t>
        </is>
      </c>
    </row>
    <row r="5" ht="45" customHeight="1">
      <c r="A5" s="12" t="inlineStr">
        <is>
          <t>Scope</t>
        </is>
      </c>
      <c r="B5" s="13" t="inlineStr">
        <is>
          <t>All sales records across land, housing and construction for 1 Jan 2023 to 31 Dec 2025, with 2022 included where records exist, plus every customer who subscribed in that window. Prepared for the external auditor from files on the BAAY Google Drive. Xero was not used.</t>
        </is>
      </c>
    </row>
    <row r="6" ht="45" customHeight="1">
      <c r="A6" s="12" t="inlineStr">
        <is>
          <t>What the figures are</t>
        </is>
      </c>
      <c r="B6" s="13" t="inlineStr">
        <is>
          <t>Cash receipts from customers as recorded by Accounts and Client Relations. They are not revenue: under IFRS 15, housing revenue is recognised at handover and instalment land sales on transfer of control, so receipts will not equal the revenue line in the audited accounts.</t>
        </is>
      </c>
    </row>
    <row r="8">
      <c r="A8" s="3" t="inlineStr">
        <is>
          <t>Source files (Google Drive)</t>
        </is>
      </c>
    </row>
    <row r="9" ht="45" customHeight="1">
      <c r="A9" s="12" t="inlineStr">
        <is>
          <t>BAAY PROJECTS FINANCIALS 2024.xlsx</t>
        </is>
      </c>
      <c r="B9" s="13" t="inlineStr">
        <is>
          <t>Owner baayrealty@gmail.com. Monthly turnover sheets DECEMBER 2023 TURNOVER to DECEMBER TURNOVER (2024), split by Allen and Magodo branches from July 2024; TURNOVER SCHEDULE (Green City Phase 1 and 2 payment histories, 2023 to 2024). https://drive.google.com/file/d/1xxPmuhTO7yU2Xj4dTlhJLBm4G8uQ0djH/view</t>
        </is>
      </c>
    </row>
    <row r="10" ht="60" customHeight="1">
      <c r="A10" s="12" t="inlineStr">
        <is>
          <t>BAAY PROJECTS SALES EXPENSES (COMMISSION) RECORDS (1)</t>
        </is>
      </c>
      <c r="B10" s="13" t="inlineStr">
        <is>
          <t>Owner finance.baayprojects@gmail.com, live Google Sheet (latest version, edited 2 Oct 2026). One tab per realtor/associate listing each client payment on which commission was computed. Tabs RESERVE, ASSOCIATE LEAD and 2% UPLINE were not used because they restate the same sales. https://docs.google.com/spreadsheets/d/1d6rtbsgtIV7EDgoHHqDDx_pL2jXcNY92DPUl5KqOXg8</t>
        </is>
      </c>
    </row>
    <row r="11" ht="45" customHeight="1">
      <c r="A11" s="12" t="inlineStr">
        <is>
          <t>BAAY PROJECTS CLIENTS</t>
        </is>
      </c>
      <c r="B11" s="13" t="inlineStr">
        <is>
          <t>Owner baayrealty@gmail.com. Client register maintained by Client Relations: one tab per estate/project with subscription date, price, amount paid, payment plan, allocation and contacts. https://docs.google.com/spreadsheets/d/1DRFmvVuOpeHsLXLAUwPu5Y37A_mOiNGEEYaO8-mRS2o</t>
        </is>
      </c>
    </row>
    <row r="12" ht="30" customHeight="1">
      <c r="A12" s="12" t="inlineStr">
        <is>
          <t>BAAY FORESHORE, IBADAN EXPENSES, SUBSCRIBERS &amp; FINANCIALS</t>
        </is>
      </c>
      <c r="B12" s="13" t="inlineStr">
        <is>
          <t>Owner acct.baayprojects@gmail.com. Tab REVENUE/FINACIALS BY SUBSCRIBERS used for Baay Foreshore subscribers in 2025 (cost, payment, plan). https://docs.google.com/spreadsheets/d/10QOMlmpicusYlxha1Q1CMPboSlq193dtaN_DveSicyg</t>
        </is>
      </c>
    </row>
    <row r="13" ht="30" customHeight="1">
      <c r="A13" s="12" t="inlineStr">
        <is>
          <t>Searched, not used</t>
        </is>
      </c>
      <c r="B13" s="13" t="inlineStr">
        <is>
          <t>BAAY PROJECTS Revenue and Expense Register 2026 and BAAY PROJECTS FINANCIALS 2026 (2026 only); BAAY_Management_Accounts_Workshop.xlsx (2026 journals); audited financial statement PDFs (no customer-level detail); payroll files.</t>
        </is>
      </c>
    </row>
    <row r="15">
      <c r="A15" s="3" t="inlineStr">
        <is>
          <t>How each year was built</t>
        </is>
      </c>
    </row>
    <row r="16" ht="30" customHeight="1">
      <c r="A16" s="12" t="inlineStr">
        <is>
          <t>2022</t>
        </is>
      </c>
      <c r="B16" s="13" t="inlineStr">
        <is>
          <t>No transaction-level receipts exist on the Drive for 2022. Customers subscribed in 2022 (Pacific Court) are listed from the client register only.</t>
        </is>
      </c>
    </row>
    <row r="17" ht="30" customHeight="1">
      <c r="A17" s="12" t="inlineStr">
        <is>
          <t>Jan to Nov 2023</t>
        </is>
      </c>
      <c r="B17" s="13" t="inlineStr">
        <is>
          <t>No monthly turnover register exists for this period. Receipts come from the TURNOVER SCHEDULE (Green City Phase 1 and 2 only) and from the commission records; a commission line that matches a schedule line is not counted twice.</t>
        </is>
      </c>
    </row>
    <row r="18" ht="45" customHeight="1">
      <c r="A18" s="12" t="inlineStr">
        <is>
          <t>Dec 2023 to Dec 2024</t>
        </is>
      </c>
      <c r="B18" s="13" t="inlineStr">
        <is>
          <t>The monthly turnover register is the population. Turnover-schedule and commission lines that match a register line one-to-one are shown in the "Also recorded in" column. Lines that do not match are listed on Exceptions_Dec23_Dec24 and are NOT added, because most are aggregates or splits of register receipts; adding them would double count.</t>
        </is>
      </c>
    </row>
    <row r="19" ht="45" customHeight="1">
      <c r="A19" s="12" t="inlineStr">
        <is>
          <t>2025</t>
        </is>
      </c>
      <c r="B19" s="13" t="inlineStr">
        <is>
          <t>No turnover register for 2025 exists on the Drive. Receipts come from the commission records, de-duplicated across realtor tabs. Commission records only capture sales that carried commission, and a single line can aggregate several transfers, so 2025 should be treated as a list for testing against bank statements, not a complete cash book.</t>
        </is>
      </c>
    </row>
    <row r="20" ht="30" customHeight="1">
      <c r="A20" s="12" t="inlineStr">
        <is>
          <t>Construction</t>
        </is>
      </c>
      <c r="B20" s="13" t="inlineStr">
        <is>
          <t>No construction-contract receipts were found for 2022 to 2025 in any source. The first construction engagement in the records (12 Basket apartment renovation) is dated February 2026, outside this period.</t>
        </is>
      </c>
    </row>
    <row r="22">
      <c r="A22" s="3" t="inlineStr">
        <is>
          <t>Processing rules</t>
        </is>
      </c>
    </row>
    <row r="23" ht="75" customHeight="1">
      <c r="A23" s="12" t="inlineStr">
        <is>
          <t>Dates</t>
        </is>
      </c>
      <c r="B23" s="13" t="inlineStr">
        <is>
          <t>Several source sheets store dates typed as day/month but read by the spreadsheet as month/day (e.g. 1 December 2023 held as 12 January 2023). Day and month were swapped back for those cells; the sequence of each client's instalments and the month of each turnover sheet confirm the correction. The date exactly as stored is kept in the "Date as recorded" column. Obvious year typos (e.g. 3034, 0204) are noted and the line is reported in the month of the sheet it sits on.</t>
        </is>
      </c>
    </row>
    <row r="24" ht="45" customHeight="1">
      <c r="A24" s="12" t="inlineStr">
        <is>
          <t>Duplicates</t>
        </is>
      </c>
      <c r="B24" s="13" t="inlineStr">
        <is>
          <t>Commission tabs restate earlier payments in each payout block, and the same sale can sit on two realtor tabs. Exact repeats within a tab were dropped; across tabs, lines for the same customer and amount within 45 days were treated as one receipt (cross-reference kept).</t>
        </is>
      </c>
    </row>
    <row r="25" ht="45" customHeight="1">
      <c r="A25" s="12" t="inlineStr">
        <is>
          <t>Customer matching</t>
        </is>
      </c>
      <c r="B25" s="13" t="inlineStr">
        <is>
          <t>Names were matched across sources after removing titles (Mr, Mrs, Dr, Engr, etc.) and comparing the remaining name parts. Each person has one Customer ID. Matching is approximate: a misspelt name can create a second ID, so review the Customer_Master flags.</t>
        </is>
      </c>
    </row>
    <row r="26" ht="45" customHeight="1">
      <c r="A26" s="12" t="inlineStr">
        <is>
          <t>Exclusions</t>
        </is>
      </c>
      <c r="B26" s="13" t="inlineStr">
        <is>
          <t>Co-ownership receipts (a fixed-return investment product, not a sale), credit memos (non-cash transfers between products) and service/engagement income are removed to the Exclusions tab, so the turnover sheet totals still reconcile on Turnover_Recon.</t>
        </is>
      </c>
    </row>
    <row r="27" ht="30" customHeight="1">
      <c r="A27" s="12" t="inlineStr">
        <is>
          <t>Contact details</t>
        </is>
      </c>
      <c r="B27" s="13" t="inlineStr">
        <is>
          <t>Phone and email are included only for customer confirmation work. Dates of birth held in the client register were left out.</t>
        </is>
      </c>
    </row>
    <row r="29">
      <c r="A29" s="3" t="inlineStr">
        <is>
          <t>Points the auditor should know</t>
        </is>
      </c>
    </row>
    <row r="30" ht="15" customHeight="1">
      <c r="A30" s="12" t="inlineStr">
        <is>
          <t>1</t>
        </is>
      </c>
      <c r="B30" s="13" t="inlineStr">
        <is>
          <t>Agree receipts to bank statements, especially 2025 and the Exceptions tab.</t>
        </is>
      </c>
    </row>
    <row r="31" ht="15" customHeight="1">
      <c r="A31" s="12" t="inlineStr">
        <is>
          <t>2</t>
        </is>
      </c>
      <c r="B31" s="13" t="inlineStr">
        <is>
          <t>9 register entries dated in 2026 were left out of Subscriptions (outside the period).</t>
        </is>
      </c>
    </row>
    <row r="32" ht="45" customHeight="1">
      <c r="A32" s="12" t="inlineStr">
        <is>
          <t>3</t>
        </is>
      </c>
      <c r="B32" s="13" t="inlineStr">
        <is>
          <t>Customer_Master column R flags customers whose receipts exceed the contract value in the register (possible duplicate entries, a second plot, or ancillary fees) and customers who appear in transaction records but not in the client register.</t>
        </is>
      </c>
    </row>
    <row r="33" ht="30" customHeight="1">
      <c r="A33" s="12" t="inlineStr">
        <is>
          <t>4</t>
        </is>
      </c>
      <c r="B33" s="13" t="inlineStr">
        <is>
          <t>Contract values and paid-to-date figures on Subscriptions are as typed by Client Relations and were not recomputed.</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R864"/>
  <sheetViews>
    <sheetView zoomScaleNormal="100" workbookViewId="0">
      <pane xSplit="2" ySplit="4" topLeftCell="C239" activePane="bottomRight" state="frozen"/>
      <selection pane="topRight" activeCell="C1" sqref="C1"/>
      <selection pane="bottomLeft" activeCell="A5" sqref="A5"/>
      <selection pane="bottomRight" activeCell="A1" sqref="A1"/>
    </sheetView>
  </sheetViews>
  <sheetFormatPr baseColWidth="8" defaultColWidth="8.6328125" defaultRowHeight="14.5"/>
  <cols>
    <col width="10" customWidth="1" min="1" max="1"/>
    <col width="12" customWidth="1" min="2" max="2"/>
    <col width="11" customWidth="1" min="3" max="3"/>
    <col width="7" customWidth="1" min="4" max="4"/>
    <col width="11" customWidth="1" min="5" max="5"/>
    <col width="16" customWidth="1" min="6" max="6"/>
    <col width="30" customWidth="1" min="7" max="7"/>
    <col width="11" customWidth="1" min="8" max="8"/>
    <col width="34" customWidth="1" min="9" max="9"/>
    <col width="15" customWidth="1" min="10" max="11"/>
    <col width="40" customWidth="1" min="12" max="12"/>
    <col width="34" customWidth="1" min="13" max="13"/>
    <col width="22" customWidth="1" min="14" max="14"/>
    <col width="8" customWidth="1" min="15" max="15"/>
    <col width="14" customWidth="1" min="16" max="16"/>
    <col width="30" customWidth="1" min="17" max="17"/>
    <col width="46" customWidth="1" min="18" max="18"/>
  </cols>
  <sheetData>
    <row r="1" ht="18" customHeight="1">
      <c r="A1" s="1" t="inlineStr">
        <is>
          <t>BAAY Projects Limited: Sales receipts ledger, land and housing (Jan 2023 to Dec 2025)</t>
        </is>
      </c>
    </row>
    <row r="2">
      <c r="A2" s="2" t="inlineStr">
        <is>
          <t>One row per customer receipt. Source, row and recorded date kept for every line so each can be traced back. Amounts in Naira.</t>
        </is>
      </c>
    </row>
    <row r="4" ht="30" customHeight="1">
      <c r="A4" s="14" t="inlineStr">
        <is>
          <t>Ref</t>
        </is>
      </c>
      <c r="B4" s="14" t="inlineStr">
        <is>
          <t>Receipt date</t>
        </is>
      </c>
      <c r="C4" s="14" t="inlineStr">
        <is>
          <t>Reporting month</t>
        </is>
      </c>
      <c r="D4" s="14" t="inlineStr">
        <is>
          <t>Year</t>
        </is>
      </c>
      <c r="E4" s="14" t="inlineStr">
        <is>
          <t>Product line</t>
        </is>
      </c>
      <c r="F4" s="14" t="inlineStr">
        <is>
          <t>Receipt type</t>
        </is>
      </c>
      <c r="G4" s="14" t="inlineStr">
        <is>
          <t>Project / estate</t>
        </is>
      </c>
      <c r="H4" s="14" t="inlineStr">
        <is>
          <t>Customer ID</t>
        </is>
      </c>
      <c r="I4" s="14" t="inlineStr">
        <is>
          <t>Customer name (as recorded)</t>
        </is>
      </c>
      <c r="J4" s="14" t="inlineStr">
        <is>
          <t>Amount (₦)</t>
        </is>
      </c>
      <c r="K4" s="14" t="inlineStr">
        <is>
          <t>Branch</t>
        </is>
      </c>
      <c r="L4" s="14" t="inlineStr">
        <is>
          <t>Population basis</t>
        </is>
      </c>
      <c r="M4" s="14" t="inlineStr">
        <is>
          <t>Source file</t>
        </is>
      </c>
      <c r="N4" s="14" t="inlineStr">
        <is>
          <t>Source sheet</t>
        </is>
      </c>
      <c r="O4" s="14" t="inlineStr">
        <is>
          <t>Source row</t>
        </is>
      </c>
      <c r="P4" s="14" t="inlineStr">
        <is>
          <t>Date as recorded in source</t>
        </is>
      </c>
      <c r="Q4" s="14" t="inlineStr">
        <is>
          <t>Also recorded in</t>
        </is>
      </c>
      <c r="R4" s="14" t="inlineStr">
        <is>
          <t>Review note</t>
        </is>
      </c>
    </row>
    <row r="5">
      <c r="A5" s="15" t="inlineStr">
        <is>
          <t>SL0001</t>
        </is>
      </c>
      <c r="B5" s="16" t="n">
        <v>44957</v>
      </c>
      <c r="C5" s="15" t="inlineStr">
        <is>
          <t>2023-01</t>
        </is>
      </c>
      <c r="D5" s="15" t="n">
        <v>2023</v>
      </c>
      <c r="E5" s="15" t="inlineStr">
        <is>
          <t>Land</t>
        </is>
      </c>
      <c r="F5" s="15" t="inlineStr">
        <is>
          <t>Plot / unit price</t>
        </is>
      </c>
      <c r="G5" s="15" t="inlineStr">
        <is>
          <t>Land (estate not stated in source)</t>
        </is>
      </c>
      <c r="H5" s="15" t="inlineStr">
        <is>
          <t>BP-C0006</t>
        </is>
      </c>
      <c r="I5" s="15" t="inlineStr">
        <is>
          <t>Mr Olasupo Oladimeji</t>
        </is>
      </c>
      <c r="J5" s="17" t="n">
        <v>894000</v>
      </c>
      <c r="K5" s="15" t="n"/>
      <c r="L5" s="15" t="inlineStr">
        <is>
          <t>Secondary: commission records; no monthly turnover register for this period</t>
        </is>
      </c>
      <c r="M5" s="15" t="inlineStr">
        <is>
          <t>BAAY PROJECTS SALES EXPENSES (COMMISSION) RECORDS (1)</t>
        </is>
      </c>
      <c r="N5" s="15" t="inlineStr">
        <is>
          <t>MRS ABIMBOLA</t>
        </is>
      </c>
      <c r="O5" s="15" t="n">
        <v>15</v>
      </c>
      <c r="P5" s="15" t="inlineStr">
        <is>
          <t>31/01/2023</t>
        </is>
      </c>
      <c r="Q5" s="15" t="n"/>
      <c r="R5" s="15" t="inlineStr">
        <is>
          <t>Commission-record amount: confirm to bank statement (records can aggregate several transfers)</t>
        </is>
      </c>
    </row>
    <row r="6">
      <c r="A6" s="15" t="inlineStr">
        <is>
          <t>SL0002</t>
        </is>
      </c>
      <c r="B6" s="16" t="n">
        <v>44987</v>
      </c>
      <c r="C6" s="15" t="inlineStr">
        <is>
          <t>2023-03</t>
        </is>
      </c>
      <c r="D6" s="15" t="n">
        <v>2023</v>
      </c>
      <c r="E6" s="15" t="inlineStr">
        <is>
          <t>Land</t>
        </is>
      </c>
      <c r="F6" s="15" t="inlineStr">
        <is>
          <t>Plot / unit price</t>
        </is>
      </c>
      <c r="G6" s="15" t="inlineStr">
        <is>
          <t>Green City Phase 2 (Ketu-Epe)</t>
        </is>
      </c>
      <c r="H6" s="15" t="inlineStr">
        <is>
          <t>BP-C0009</t>
        </is>
      </c>
      <c r="I6" s="15" t="inlineStr">
        <is>
          <t>Miss Oji Blessing Mary</t>
        </is>
      </c>
      <c r="J6" s="17" t="n">
        <v>740000</v>
      </c>
      <c r="K6" s="15" t="n"/>
      <c r="L6" s="15" t="inlineStr">
        <is>
          <t>Secondary: turnover schedule (Green City Ph1/Ph2 payment history); no monthly turnover register for this period</t>
        </is>
      </c>
      <c r="M6" s="15" t="inlineStr">
        <is>
          <t>BAAY PROJECTS FINANCIALS 2024.xlsx</t>
        </is>
      </c>
      <c r="N6" s="15" t="inlineStr">
        <is>
          <t>TURNOVER SCHEDULE</t>
        </is>
      </c>
      <c r="O6" s="15" t="n">
        <v>111</v>
      </c>
      <c r="P6" s="15" t="inlineStr">
        <is>
          <t>2023-02-03</t>
        </is>
      </c>
      <c r="Q6" s="15" t="n"/>
      <c r="R6" s="15" t="n"/>
    </row>
    <row r="7">
      <c r="A7" s="15" t="inlineStr">
        <is>
          <t>SL0003</t>
        </is>
      </c>
      <c r="B7" s="16" t="n">
        <v>45059</v>
      </c>
      <c r="C7" s="15" t="inlineStr">
        <is>
          <t>2023-05</t>
        </is>
      </c>
      <c r="D7" s="15" t="n">
        <v>2023</v>
      </c>
      <c r="E7" s="15" t="inlineStr">
        <is>
          <t>Land</t>
        </is>
      </c>
      <c r="F7" s="15" t="inlineStr">
        <is>
          <t>Plot / unit price</t>
        </is>
      </c>
      <c r="G7" s="15" t="inlineStr">
        <is>
          <t>Land (estate not stated in source)</t>
        </is>
      </c>
      <c r="H7" s="15" t="inlineStr">
        <is>
          <t>BP-C0010</t>
        </is>
      </c>
      <c r="I7" s="15" t="inlineStr">
        <is>
          <t>Mrs Yohanna Paulina</t>
        </is>
      </c>
      <c r="J7" s="17" t="n">
        <v>300000</v>
      </c>
      <c r="K7" s="15" t="n"/>
      <c r="L7" s="15" t="inlineStr">
        <is>
          <t>Secondary: commission records; no monthly turnover register for this period</t>
        </is>
      </c>
      <c r="M7" s="15" t="inlineStr">
        <is>
          <t>BAAY PROJECTS SALES EXPENSES (COMMISSION) RECORDS (1)</t>
        </is>
      </c>
      <c r="N7" s="15" t="inlineStr">
        <is>
          <t>MR CHARLES</t>
        </is>
      </c>
      <c r="O7" s="15" t="n">
        <v>44</v>
      </c>
      <c r="P7" s="15" t="inlineStr">
        <is>
          <t>13/05/2023</t>
        </is>
      </c>
      <c r="Q7" s="15" t="n"/>
      <c r="R7" s="15" t="inlineStr">
        <is>
          <t>Commission-record amount: confirm to bank statement (records can aggregate several transfers)</t>
        </is>
      </c>
    </row>
    <row r="8">
      <c r="A8" s="15" t="inlineStr">
        <is>
          <t>SL0004</t>
        </is>
      </c>
      <c r="B8" s="16" t="n">
        <v>45063</v>
      </c>
      <c r="C8" s="15" t="inlineStr">
        <is>
          <t>2023-05</t>
        </is>
      </c>
      <c r="D8" s="15" t="n">
        <v>2023</v>
      </c>
      <c r="E8" s="15" t="inlineStr">
        <is>
          <t>Land</t>
        </is>
      </c>
      <c r="F8" s="15" t="inlineStr">
        <is>
          <t>Plot / unit price</t>
        </is>
      </c>
      <c r="G8" s="15" t="inlineStr">
        <is>
          <t>Green City Phase 2 (Ketu-Epe)</t>
        </is>
      </c>
      <c r="H8" s="15" t="inlineStr">
        <is>
          <t>BP-C0012</t>
        </is>
      </c>
      <c r="I8" s="15" t="inlineStr">
        <is>
          <t>Mr Apiafi Imiebam</t>
        </is>
      </c>
      <c r="J8" s="17" t="n">
        <v>1000000</v>
      </c>
      <c r="K8" s="15" t="n"/>
      <c r="L8" s="15" t="inlineStr">
        <is>
          <t>Secondary: turnover schedule (Green City Ph1/Ph2 payment history); no monthly turnover register for this period</t>
        </is>
      </c>
      <c r="M8" s="15" t="inlineStr">
        <is>
          <t>BAAY PROJECTS FINANCIALS 2024.xlsx</t>
        </is>
      </c>
      <c r="N8" s="15" t="inlineStr">
        <is>
          <t>TURNOVER SCHEDULE</t>
        </is>
      </c>
      <c r="O8" s="15" t="n">
        <v>310</v>
      </c>
      <c r="P8" s="15" t="inlineStr">
        <is>
          <t>17/05/2023</t>
        </is>
      </c>
      <c r="Q8" s="15" t="n"/>
      <c r="R8" s="15" t="n"/>
    </row>
    <row r="9">
      <c r="A9" s="15" t="inlineStr">
        <is>
          <t>SL0005</t>
        </is>
      </c>
      <c r="B9" s="16" t="n">
        <v>45076</v>
      </c>
      <c r="C9" s="15" t="inlineStr">
        <is>
          <t>2023-05</t>
        </is>
      </c>
      <c r="D9" s="15" t="n">
        <v>2023</v>
      </c>
      <c r="E9" s="15" t="inlineStr">
        <is>
          <t>Land</t>
        </is>
      </c>
      <c r="F9" s="15" t="inlineStr">
        <is>
          <t>Plot / unit price</t>
        </is>
      </c>
      <c r="G9" s="15" t="inlineStr">
        <is>
          <t>Green City Phase 1 (Ketu-Epe)</t>
        </is>
      </c>
      <c r="H9" s="15" t="inlineStr">
        <is>
          <t>BP-C0013</t>
        </is>
      </c>
      <c r="I9" s="15" t="inlineStr">
        <is>
          <t>Mr Tijani Moshood Abiola</t>
        </is>
      </c>
      <c r="J9" s="17" t="n">
        <v>1000000</v>
      </c>
      <c r="K9" s="15" t="n"/>
      <c r="L9" s="15" t="inlineStr">
        <is>
          <t>Secondary: turnover schedule (Green City Ph1/Ph2 payment history); no monthly turnover register for this period</t>
        </is>
      </c>
      <c r="M9" s="15" t="inlineStr">
        <is>
          <t>BAAY PROJECTS FINANCIALS 2024.xlsx</t>
        </is>
      </c>
      <c r="N9" s="15" t="inlineStr">
        <is>
          <t>TURNOVER SCHEDULE</t>
        </is>
      </c>
      <c r="O9" s="15" t="n">
        <v>282</v>
      </c>
      <c r="P9" s="15" t="inlineStr">
        <is>
          <t>30/05/2023</t>
        </is>
      </c>
      <c r="Q9" s="15" t="n"/>
      <c r="R9" s="15" t="n"/>
    </row>
    <row r="10">
      <c r="A10" s="15" t="inlineStr">
        <is>
          <t>SL0006</t>
        </is>
      </c>
      <c r="B10" s="16" t="n">
        <v>45092</v>
      </c>
      <c r="C10" s="15" t="inlineStr">
        <is>
          <t>2023-06</t>
        </is>
      </c>
      <c r="D10" s="15" t="n">
        <v>2023</v>
      </c>
      <c r="E10" s="15" t="inlineStr">
        <is>
          <t>Land</t>
        </is>
      </c>
      <c r="F10" s="15" t="inlineStr">
        <is>
          <t>Plot / unit price</t>
        </is>
      </c>
      <c r="G10" s="15" t="inlineStr">
        <is>
          <t>Land (estate not stated in source)</t>
        </is>
      </c>
      <c r="H10" s="15" t="inlineStr">
        <is>
          <t>BP-C0015</t>
        </is>
      </c>
      <c r="I10" s="15" t="inlineStr">
        <is>
          <t>Mr Damilare Ositade Owolabi</t>
        </is>
      </c>
      <c r="J10" s="17" t="n">
        <v>1500000</v>
      </c>
      <c r="K10" s="15" t="n"/>
      <c r="L10" s="15" t="inlineStr">
        <is>
          <t>Secondary: commission records; no monthly turnover register for this period</t>
        </is>
      </c>
      <c r="M10" s="15" t="inlineStr">
        <is>
          <t>BAAY PROJECTS SALES EXPENSES (COMMISSION) RECORDS (1)</t>
        </is>
      </c>
      <c r="N10" s="15" t="inlineStr">
        <is>
          <t>IDARA EKANEMI</t>
        </is>
      </c>
      <c r="O10" s="15" t="n">
        <v>7</v>
      </c>
      <c r="P10" s="15" t="inlineStr">
        <is>
          <t>15/06/2023</t>
        </is>
      </c>
      <c r="Q10" s="15" t="n"/>
      <c r="R10" s="15" t="inlineStr">
        <is>
          <t>Commission-record amount: confirm to bank statement (records can aggregate several transfers)</t>
        </is>
      </c>
    </row>
    <row r="11">
      <c r="A11" s="15" t="inlineStr">
        <is>
          <t>SL0007</t>
        </is>
      </c>
      <c r="B11" s="16" t="n">
        <v>45152</v>
      </c>
      <c r="C11" s="15" t="inlineStr">
        <is>
          <t>2023-08</t>
        </is>
      </c>
      <c r="D11" s="15" t="n">
        <v>2023</v>
      </c>
      <c r="E11" s="15" t="inlineStr">
        <is>
          <t>Land</t>
        </is>
      </c>
      <c r="F11" s="15" t="inlineStr">
        <is>
          <t>Plot / unit price</t>
        </is>
      </c>
      <c r="G11" s="15" t="inlineStr">
        <is>
          <t>Land (estate not stated in source)</t>
        </is>
      </c>
      <c r="H11" s="15" t="inlineStr">
        <is>
          <t>BP-C0019</t>
        </is>
      </c>
      <c r="I11" s="15" t="inlineStr">
        <is>
          <t>Mr Ogbu Pius Ejaka</t>
        </is>
      </c>
      <c r="J11" s="17" t="n">
        <v>1500000</v>
      </c>
      <c r="K11" s="15" t="n"/>
      <c r="L11" s="15" t="inlineStr">
        <is>
          <t>Secondary: commission records; no monthly turnover register for this period</t>
        </is>
      </c>
      <c r="M11" s="15" t="inlineStr">
        <is>
          <t>BAAY PROJECTS SALES EXPENSES (COMMISSION) RECORDS (1)</t>
        </is>
      </c>
      <c r="N11" s="15" t="inlineStr">
        <is>
          <t>MS BLESSING</t>
        </is>
      </c>
      <c r="O11" s="15" t="n">
        <v>90</v>
      </c>
      <c r="P11" s="15" t="inlineStr">
        <is>
          <t>14/08/2023</t>
        </is>
      </c>
      <c r="Q11" s="15" t="inlineStr">
        <is>
          <t>MS MAYOWA BRAIMOH r19</t>
        </is>
      </c>
      <c r="R11" s="15" t="inlineStr">
        <is>
          <t>Commission-record amount: confirm to bank statement (records can aggregate several transfers)</t>
        </is>
      </c>
    </row>
    <row r="12">
      <c r="A12" s="15" t="inlineStr">
        <is>
          <t>SL0008</t>
        </is>
      </c>
      <c r="B12" s="16" t="n">
        <v>45161</v>
      </c>
      <c r="C12" s="15" t="inlineStr">
        <is>
          <t>2023-08</t>
        </is>
      </c>
      <c r="D12" s="15" t="n">
        <v>2023</v>
      </c>
      <c r="E12" s="15" t="inlineStr">
        <is>
          <t>Land</t>
        </is>
      </c>
      <c r="F12" s="15" t="inlineStr">
        <is>
          <t>Plot / unit price</t>
        </is>
      </c>
      <c r="G12" s="15" t="inlineStr">
        <is>
          <t>Land (estate not stated in source)</t>
        </is>
      </c>
      <c r="H12" s="15" t="inlineStr">
        <is>
          <t>BP-C0021</t>
        </is>
      </c>
      <c r="I12" s="15" t="inlineStr">
        <is>
          <t>Mr Oyewusi sheriff Oyewole</t>
        </is>
      </c>
      <c r="J12" s="17" t="n">
        <v>1000000</v>
      </c>
      <c r="K12" s="15" t="n"/>
      <c r="L12" s="15" t="inlineStr">
        <is>
          <t>Secondary: commission records; no monthly turnover register for this period</t>
        </is>
      </c>
      <c r="M12" s="15" t="inlineStr">
        <is>
          <t>BAAY PROJECTS SALES EXPENSES (COMMISSION) RECORDS (1)</t>
        </is>
      </c>
      <c r="N12" s="15" t="inlineStr">
        <is>
          <t>MS BOLANLE</t>
        </is>
      </c>
      <c r="O12" s="15" t="n">
        <v>7</v>
      </c>
      <c r="P12" s="15" t="inlineStr">
        <is>
          <t>23/08/2023</t>
        </is>
      </c>
      <c r="Q12" s="15" t="n"/>
      <c r="R12" s="15" t="inlineStr">
        <is>
          <t>Commission-record amount: confirm to bank statement (records can aggregate several transfers)</t>
        </is>
      </c>
    </row>
    <row r="13">
      <c r="A13" s="15" t="inlineStr">
        <is>
          <t>SL0009</t>
        </is>
      </c>
      <c r="B13" s="16" t="n">
        <v>45173</v>
      </c>
      <c r="C13" s="15" t="inlineStr">
        <is>
          <t>2023-09</t>
        </is>
      </c>
      <c r="D13" s="15" t="n">
        <v>2023</v>
      </c>
      <c r="E13" s="15" t="inlineStr">
        <is>
          <t>Land</t>
        </is>
      </c>
      <c r="F13" s="15" t="inlineStr">
        <is>
          <t>Plot / unit price</t>
        </is>
      </c>
      <c r="G13" s="15" t="inlineStr">
        <is>
          <t>Land (estate not stated in source)</t>
        </is>
      </c>
      <c r="H13" s="15" t="inlineStr">
        <is>
          <t>BP-C0025</t>
        </is>
      </c>
      <c r="I13" s="15" t="inlineStr">
        <is>
          <t>Mrs Obadara Dorcas Adebisi</t>
        </is>
      </c>
      <c r="J13" s="17" t="n">
        <v>1500000</v>
      </c>
      <c r="K13" s="15" t="n"/>
      <c r="L13" s="15" t="inlineStr">
        <is>
          <t>Secondary: commission records; no monthly turnover register for this period</t>
        </is>
      </c>
      <c r="M13" s="15" t="inlineStr">
        <is>
          <t>BAAY PROJECTS SALES EXPENSES (COMMISSION) RECORDS (1)</t>
        </is>
      </c>
      <c r="N13" s="15" t="inlineStr">
        <is>
          <t>NELSON</t>
        </is>
      </c>
      <c r="O13" s="15" t="n">
        <v>7</v>
      </c>
      <c r="P13" s="15" t="inlineStr">
        <is>
          <t>2023-04-09</t>
        </is>
      </c>
      <c r="Q13" s="15" t="n"/>
      <c r="R13" s="15" t="inlineStr">
        <is>
          <t>Commission-record amount: confirm to bank statement (records can aggregate several transfers)</t>
        </is>
      </c>
    </row>
    <row r="14">
      <c r="A14" s="15" t="inlineStr">
        <is>
          <t>SL0010</t>
        </is>
      </c>
      <c r="B14" s="16" t="n">
        <v>45184</v>
      </c>
      <c r="C14" s="15" t="inlineStr">
        <is>
          <t>2023-09</t>
        </is>
      </c>
      <c r="D14" s="15" t="n">
        <v>2023</v>
      </c>
      <c r="E14" s="15" t="inlineStr">
        <is>
          <t>Land</t>
        </is>
      </c>
      <c r="F14" s="15" t="inlineStr">
        <is>
          <t>Plot / unit price</t>
        </is>
      </c>
      <c r="G14" s="15" t="inlineStr">
        <is>
          <t>Green City Phase 1 (Ketu-Epe)</t>
        </is>
      </c>
      <c r="H14" s="15" t="inlineStr">
        <is>
          <t>BP-C0026</t>
        </is>
      </c>
      <c r="I14" s="15" t="inlineStr">
        <is>
          <t>Mr Adebayo Dada</t>
        </is>
      </c>
      <c r="J14" s="17" t="n">
        <v>400000</v>
      </c>
      <c r="K14" s="15" t="n"/>
      <c r="L14" s="15" t="inlineStr">
        <is>
          <t>Secondary: turnover schedule (Green City Ph1/Ph2 payment history); no monthly turnover register for this period</t>
        </is>
      </c>
      <c r="M14" s="15" t="inlineStr">
        <is>
          <t>BAAY PROJECTS FINANCIALS 2024.xlsx</t>
        </is>
      </c>
      <c r="N14" s="15" t="inlineStr">
        <is>
          <t>TURNOVER SCHEDULE</t>
        </is>
      </c>
      <c r="O14" s="15" t="n">
        <v>6</v>
      </c>
      <c r="P14" s="15" t="inlineStr">
        <is>
          <t>15/09/2023</t>
        </is>
      </c>
      <c r="Q14" s="15" t="n"/>
      <c r="R14" s="15" t="n"/>
    </row>
    <row r="15">
      <c r="A15" s="15" t="inlineStr">
        <is>
          <t>SL0011</t>
        </is>
      </c>
      <c r="B15" s="16" t="n">
        <v>45190</v>
      </c>
      <c r="C15" s="15" t="inlineStr">
        <is>
          <t>2023-09</t>
        </is>
      </c>
      <c r="D15" s="15" t="n">
        <v>2023</v>
      </c>
      <c r="E15" s="15" t="inlineStr">
        <is>
          <t>Land</t>
        </is>
      </c>
      <c r="F15" s="15" t="inlineStr">
        <is>
          <t>Plot / unit price</t>
        </is>
      </c>
      <c r="G15" s="15" t="inlineStr">
        <is>
          <t>Green City Phase 1 (Ketu-Epe)</t>
        </is>
      </c>
      <c r="H15" s="15" t="inlineStr">
        <is>
          <t>BP-C0027</t>
        </is>
      </c>
      <c r="I15" s="15" t="inlineStr">
        <is>
          <t>Mr Edun Ayobami Simeon</t>
        </is>
      </c>
      <c r="J15" s="17" t="n">
        <v>1000000</v>
      </c>
      <c r="K15" s="15" t="n"/>
      <c r="L15" s="15" t="inlineStr">
        <is>
          <t>Secondary: turnover schedule (Green City Ph1/Ph2 payment history); no monthly turnover register for this period</t>
        </is>
      </c>
      <c r="M15" s="15" t="inlineStr">
        <is>
          <t>BAAY PROJECTS FINANCIALS 2024.xlsx</t>
        </is>
      </c>
      <c r="N15" s="15" t="inlineStr">
        <is>
          <t>TURNOVER SCHEDULE</t>
        </is>
      </c>
      <c r="O15" s="15" t="n">
        <v>125</v>
      </c>
      <c r="P15" s="15" t="inlineStr">
        <is>
          <t>21/09/2023</t>
        </is>
      </c>
      <c r="Q15" s="15" t="inlineStr">
        <is>
          <t>OLAIYA r7</t>
        </is>
      </c>
      <c r="R15" s="15" t="n"/>
    </row>
    <row r="16">
      <c r="A16" s="15" t="inlineStr">
        <is>
          <t>SL0012</t>
        </is>
      </c>
      <c r="B16" s="16" t="n">
        <v>45190</v>
      </c>
      <c r="C16" s="15" t="inlineStr">
        <is>
          <t>2023-09</t>
        </is>
      </c>
      <c r="D16" s="15" t="n">
        <v>2023</v>
      </c>
      <c r="E16" s="15" t="inlineStr">
        <is>
          <t>Land</t>
        </is>
      </c>
      <c r="F16" s="15" t="inlineStr">
        <is>
          <t>Plot / unit price</t>
        </is>
      </c>
      <c r="G16" s="15" t="inlineStr">
        <is>
          <t>Land (estate not stated in source)</t>
        </is>
      </c>
      <c r="H16" s="15" t="inlineStr">
        <is>
          <t>BP-C0018</t>
        </is>
      </c>
      <c r="I16" s="15" t="inlineStr">
        <is>
          <t>Mr Sunday Gideon</t>
        </is>
      </c>
      <c r="J16" s="17" t="n">
        <v>1500000</v>
      </c>
      <c r="K16" s="15" t="n"/>
      <c r="L16" s="15" t="inlineStr">
        <is>
          <t>Secondary: commission records; no monthly turnover register for this period</t>
        </is>
      </c>
      <c r="M16" s="15" t="inlineStr">
        <is>
          <t>BAAY PROJECTS SALES EXPENSES (COMMISSION) RECORDS (1)</t>
        </is>
      </c>
      <c r="N16" s="15" t="inlineStr">
        <is>
          <t>MS BLESSING</t>
        </is>
      </c>
      <c r="O16" s="15" t="n">
        <v>7</v>
      </c>
      <c r="P16" s="15" t="inlineStr">
        <is>
          <t>21/09/2023</t>
        </is>
      </c>
      <c r="Q16" s="15" t="n"/>
      <c r="R16" s="15" t="inlineStr">
        <is>
          <t>Commission-record amount: confirm to bank statement (records can aggregate several transfers)</t>
        </is>
      </c>
    </row>
    <row r="17">
      <c r="A17" s="15" t="inlineStr">
        <is>
          <t>SL0013</t>
        </is>
      </c>
      <c r="B17" s="16" t="n">
        <v>45197</v>
      </c>
      <c r="C17" s="15" t="inlineStr">
        <is>
          <t>2023-09</t>
        </is>
      </c>
      <c r="D17" s="15" t="n">
        <v>2023</v>
      </c>
      <c r="E17" s="15" t="inlineStr">
        <is>
          <t>Land</t>
        </is>
      </c>
      <c r="F17" s="15" t="inlineStr">
        <is>
          <t>Plot / unit price</t>
        </is>
      </c>
      <c r="G17" s="15" t="inlineStr">
        <is>
          <t>Green City Phase 1 (Ketu-Epe)</t>
        </is>
      </c>
      <c r="H17" s="15" t="inlineStr">
        <is>
          <t>BP-C0028</t>
        </is>
      </c>
      <c r="I17" s="15" t="inlineStr">
        <is>
          <t>Mr Adebanjo Isaac</t>
        </is>
      </c>
      <c r="J17" s="17" t="n">
        <v>1000000</v>
      </c>
      <c r="K17" s="15" t="n"/>
      <c r="L17" s="15" t="inlineStr">
        <is>
          <t>Secondary: turnover schedule (Green City Ph1/Ph2 payment history); no monthly turnover register for this period</t>
        </is>
      </c>
      <c r="M17" s="15" t="inlineStr">
        <is>
          <t>BAAY PROJECTS FINANCIALS 2024.xlsx</t>
        </is>
      </c>
      <c r="N17" s="15" t="inlineStr">
        <is>
          <t>TURNOVER SCHEDULE</t>
        </is>
      </c>
      <c r="O17" s="15" t="n">
        <v>198</v>
      </c>
      <c r="P17" s="15" t="inlineStr">
        <is>
          <t>28/09/2023</t>
        </is>
      </c>
      <c r="Q17" s="15" t="n"/>
      <c r="R17" s="15" t="n"/>
    </row>
    <row r="18">
      <c r="A18" s="15" t="inlineStr">
        <is>
          <t>SL0014</t>
        </is>
      </c>
      <c r="B18" s="16" t="n">
        <v>45197</v>
      </c>
      <c r="C18" s="15" t="inlineStr">
        <is>
          <t>2023-09</t>
        </is>
      </c>
      <c r="D18" s="15" t="n">
        <v>2023</v>
      </c>
      <c r="E18" s="15" t="inlineStr">
        <is>
          <t>Land</t>
        </is>
      </c>
      <c r="F18" s="15" t="inlineStr">
        <is>
          <t>Plot / unit price</t>
        </is>
      </c>
      <c r="G18" s="15" t="inlineStr">
        <is>
          <t>Green City Phase 1 (Ketu-Epe)</t>
        </is>
      </c>
      <c r="H18" s="15" t="inlineStr">
        <is>
          <t>BP-C0026</t>
        </is>
      </c>
      <c r="I18" s="15" t="inlineStr">
        <is>
          <t>Mr Adebayo Dada</t>
        </is>
      </c>
      <c r="J18" s="17" t="n">
        <v>300000</v>
      </c>
      <c r="K18" s="15" t="n"/>
      <c r="L18" s="15" t="inlineStr">
        <is>
          <t>Secondary: turnover schedule (Green City Ph1/Ph2 payment history); no monthly turnover register for this period</t>
        </is>
      </c>
      <c r="M18" s="15" t="inlineStr">
        <is>
          <t>BAAY PROJECTS FINANCIALS 2024.xlsx</t>
        </is>
      </c>
      <c r="N18" s="15" t="inlineStr">
        <is>
          <t>TURNOVER SCHEDULE</t>
        </is>
      </c>
      <c r="O18" s="15" t="n">
        <v>7</v>
      </c>
      <c r="P18" s="15" t="inlineStr">
        <is>
          <t>28/09/2023</t>
        </is>
      </c>
      <c r="Q18" s="15" t="n"/>
      <c r="R18" s="15" t="n"/>
    </row>
    <row r="19">
      <c r="A19" s="15" t="inlineStr">
        <is>
          <t>SL0015</t>
        </is>
      </c>
      <c r="B19" s="16" t="n">
        <v>45197</v>
      </c>
      <c r="C19" s="15" t="inlineStr">
        <is>
          <t>2023-09</t>
        </is>
      </c>
      <c r="D19" s="15" t="n">
        <v>2023</v>
      </c>
      <c r="E19" s="15" t="inlineStr">
        <is>
          <t>Land</t>
        </is>
      </c>
      <c r="F19" s="15" t="inlineStr">
        <is>
          <t>Plot / unit price</t>
        </is>
      </c>
      <c r="G19" s="15" t="inlineStr">
        <is>
          <t>Land (estate not stated in source)</t>
        </is>
      </c>
      <c r="H19" s="15" t="inlineStr">
        <is>
          <t>BP-C0021</t>
        </is>
      </c>
      <c r="I19" s="15" t="inlineStr">
        <is>
          <t>Mr Oyewusi sheriff Oyewole</t>
        </is>
      </c>
      <c r="J19" s="17" t="n">
        <v>1000000</v>
      </c>
      <c r="K19" s="15" t="n"/>
      <c r="L19" s="15" t="inlineStr">
        <is>
          <t>Secondary: commission records; no monthly turnover register for this period</t>
        </is>
      </c>
      <c r="M19" s="15" t="inlineStr">
        <is>
          <t>BAAY PROJECTS SALES EXPENSES (COMMISSION) RECORDS (1)</t>
        </is>
      </c>
      <c r="N19" s="15" t="inlineStr">
        <is>
          <t>MS BOLANLE</t>
        </is>
      </c>
      <c r="O19" s="15" t="n">
        <v>8</v>
      </c>
      <c r="P19" s="15" t="inlineStr">
        <is>
          <t>28/09/2023</t>
        </is>
      </c>
      <c r="Q19" s="15" t="n"/>
      <c r="R19" s="15" t="inlineStr">
        <is>
          <t>Commission-record amount: confirm to bank statement (records can aggregate several transfers)</t>
        </is>
      </c>
    </row>
    <row r="20">
      <c r="A20" s="15" t="inlineStr">
        <is>
          <t>SL0016</t>
        </is>
      </c>
      <c r="B20" s="16" t="n">
        <v>45202</v>
      </c>
      <c r="C20" s="15" t="inlineStr">
        <is>
          <t>2023-10</t>
        </is>
      </c>
      <c r="D20" s="15" t="n">
        <v>2023</v>
      </c>
      <c r="E20" s="15" t="inlineStr">
        <is>
          <t>Land</t>
        </is>
      </c>
      <c r="F20" s="15" t="inlineStr">
        <is>
          <t>Plot / unit price</t>
        </is>
      </c>
      <c r="G20" s="15" t="inlineStr">
        <is>
          <t>Green City Phase 1 (Ketu-Epe)</t>
        </is>
      </c>
      <c r="H20" s="15" t="inlineStr">
        <is>
          <t>BP-C0030</t>
        </is>
      </c>
      <c r="I20" s="15" t="inlineStr">
        <is>
          <t>Mr Akorede Adese</t>
        </is>
      </c>
      <c r="J20" s="17" t="n">
        <v>1000000</v>
      </c>
      <c r="K20" s="15" t="n"/>
      <c r="L20" s="15" t="inlineStr">
        <is>
          <t>Secondary: turnover schedule (Green City Ph1/Ph2 payment history); no monthly turnover register for this period</t>
        </is>
      </c>
      <c r="M20" s="15" t="inlineStr">
        <is>
          <t>BAAY PROJECTS FINANCIALS 2024.xlsx</t>
        </is>
      </c>
      <c r="N20" s="15" t="inlineStr">
        <is>
          <t>TURNOVER SCHEDULE</t>
        </is>
      </c>
      <c r="O20" s="15" t="n">
        <v>202</v>
      </c>
      <c r="P20" s="15" t="inlineStr">
        <is>
          <t>2023-03-10</t>
        </is>
      </c>
      <c r="Q20" s="15" t="n"/>
      <c r="R20" s="15" t="n"/>
    </row>
    <row r="21">
      <c r="A21" s="15" t="inlineStr">
        <is>
          <t>SL0017</t>
        </is>
      </c>
      <c r="B21" s="16" t="n">
        <v>45202</v>
      </c>
      <c r="C21" s="15" t="inlineStr">
        <is>
          <t>2023-10</t>
        </is>
      </c>
      <c r="D21" s="15" t="n">
        <v>2023</v>
      </c>
      <c r="E21" s="15" t="inlineStr">
        <is>
          <t>Land</t>
        </is>
      </c>
      <c r="F21" s="15" t="inlineStr">
        <is>
          <t>Plot / unit price</t>
        </is>
      </c>
      <c r="G21" s="15" t="inlineStr">
        <is>
          <t>Green City Phase 1 (Ketu-Epe)</t>
        </is>
      </c>
      <c r="H21" s="15" t="inlineStr">
        <is>
          <t>BP-C0030</t>
        </is>
      </c>
      <c r="I21" s="15" t="inlineStr">
        <is>
          <t>Mr Akorede Adese</t>
        </is>
      </c>
      <c r="J21" s="17" t="n">
        <v>100000</v>
      </c>
      <c r="K21" s="15" t="n"/>
      <c r="L21" s="15" t="inlineStr">
        <is>
          <t>Secondary: turnover schedule (Green City Ph1/Ph2 payment history); no monthly turnover register for this period</t>
        </is>
      </c>
      <c r="M21" s="15" t="inlineStr">
        <is>
          <t>BAAY PROJECTS FINANCIALS 2024.xlsx</t>
        </is>
      </c>
      <c r="N21" s="15" t="inlineStr">
        <is>
          <t>TURNOVER SCHEDULE</t>
        </is>
      </c>
      <c r="O21" s="15" t="n">
        <v>203</v>
      </c>
      <c r="P21" s="15" t="inlineStr">
        <is>
          <t>2023-03-10</t>
        </is>
      </c>
      <c r="Q21" s="15" t="n"/>
      <c r="R21" s="15" t="n"/>
    </row>
    <row r="22">
      <c r="A22" s="15" t="inlineStr">
        <is>
          <t>SL0018</t>
        </is>
      </c>
      <c r="B22" s="16" t="n">
        <v>45202</v>
      </c>
      <c r="C22" s="15" t="inlineStr">
        <is>
          <t>2023-10</t>
        </is>
      </c>
      <c r="D22" s="15" t="n">
        <v>2023</v>
      </c>
      <c r="E22" s="15" t="inlineStr">
        <is>
          <t>Land</t>
        </is>
      </c>
      <c r="F22" s="15" t="inlineStr">
        <is>
          <t>Plot / unit price</t>
        </is>
      </c>
      <c r="G22" s="15" t="inlineStr">
        <is>
          <t>Land (estate not stated in source)</t>
        </is>
      </c>
      <c r="H22" s="15" t="inlineStr">
        <is>
          <t>BP-C0029</t>
        </is>
      </c>
      <c r="I22" s="15" t="inlineStr">
        <is>
          <t>Mr Ohanehi Anthony</t>
        </is>
      </c>
      <c r="J22" s="17" t="n">
        <v>3000000</v>
      </c>
      <c r="K22" s="15" t="n"/>
      <c r="L22" s="15" t="inlineStr">
        <is>
          <t>Secondary: commission records; no monthly turnover register for this period</t>
        </is>
      </c>
      <c r="M22" s="15" t="inlineStr">
        <is>
          <t>BAAY PROJECTS SALES EXPENSES (COMMISSION) RECORDS (1)</t>
        </is>
      </c>
      <c r="N22" s="15" t="inlineStr">
        <is>
          <t>MS IMMACULATE</t>
        </is>
      </c>
      <c r="O22" s="15" t="n">
        <v>8</v>
      </c>
      <c r="P22" s="15" t="inlineStr">
        <is>
          <t>2023-03-10</t>
        </is>
      </c>
      <c r="Q22" s="15" t="n"/>
      <c r="R22" s="15" t="inlineStr">
        <is>
          <t>Commission-record amount: confirm to bank statement (records can aggregate several transfers)</t>
        </is>
      </c>
    </row>
    <row r="23">
      <c r="A23" s="15" t="inlineStr">
        <is>
          <t>SL0019</t>
        </is>
      </c>
      <c r="B23" s="16" t="n">
        <v>45202</v>
      </c>
      <c r="C23" s="15" t="inlineStr">
        <is>
          <t>2023-10</t>
        </is>
      </c>
      <c r="D23" s="15" t="n">
        <v>2023</v>
      </c>
      <c r="E23" s="15" t="inlineStr">
        <is>
          <t>Land</t>
        </is>
      </c>
      <c r="F23" s="15" t="inlineStr">
        <is>
          <t>Plot / unit price</t>
        </is>
      </c>
      <c r="G23" s="15" t="inlineStr">
        <is>
          <t>Green City Phase 1 (Ketu-Epe)</t>
        </is>
      </c>
      <c r="H23" s="15" t="inlineStr">
        <is>
          <t>BP-C0008</t>
        </is>
      </c>
      <c r="I23" s="15" t="inlineStr">
        <is>
          <t>Mr Roqeeb Rasaq Adebare</t>
        </is>
      </c>
      <c r="J23" s="17" t="n">
        <v>300000</v>
      </c>
      <c r="K23" s="15" t="n"/>
      <c r="L23" s="15" t="inlineStr">
        <is>
          <t>Secondary: turnover schedule (Green City Ph1/Ph2 payment history); no monthly turnover register for this period</t>
        </is>
      </c>
      <c r="M23" s="15" t="inlineStr">
        <is>
          <t>BAAY PROJECTS FINANCIALS 2024.xlsx</t>
        </is>
      </c>
      <c r="N23" s="15" t="inlineStr">
        <is>
          <t>TURNOVER SCHEDULE</t>
        </is>
      </c>
      <c r="O23" s="15" t="n">
        <v>182</v>
      </c>
      <c r="P23" s="15" t="inlineStr">
        <is>
          <t>2023-03-10</t>
        </is>
      </c>
      <c r="Q23" s="15" t="n"/>
      <c r="R23" s="15" t="n"/>
    </row>
    <row r="24">
      <c r="A24" s="15" t="inlineStr">
        <is>
          <t>SL0020</t>
        </is>
      </c>
      <c r="B24" s="16" t="n">
        <v>45202</v>
      </c>
      <c r="C24" s="15" t="inlineStr">
        <is>
          <t>2023-10</t>
        </is>
      </c>
      <c r="D24" s="15" t="n">
        <v>2023</v>
      </c>
      <c r="E24" s="15" t="inlineStr">
        <is>
          <t>Land</t>
        </is>
      </c>
      <c r="F24" s="15" t="inlineStr">
        <is>
          <t>Plot / unit price</t>
        </is>
      </c>
      <c r="G24" s="15" t="inlineStr">
        <is>
          <t>Green City Phase 1 (Ketu-Epe)</t>
        </is>
      </c>
      <c r="H24" s="15" t="inlineStr">
        <is>
          <t>BP-C0008</t>
        </is>
      </c>
      <c r="I24" s="15" t="inlineStr">
        <is>
          <t>Mr Roqeeb Rasaq Adebare</t>
        </is>
      </c>
      <c r="J24" s="17" t="n">
        <v>200000</v>
      </c>
      <c r="K24" s="15" t="n"/>
      <c r="L24" s="15" t="inlineStr">
        <is>
          <t>Secondary: turnover schedule (Green City Ph1/Ph2 payment history); no monthly turnover register for this period</t>
        </is>
      </c>
      <c r="M24" s="15" t="inlineStr">
        <is>
          <t>BAAY PROJECTS FINANCIALS 2024.xlsx</t>
        </is>
      </c>
      <c r="N24" s="15" t="inlineStr">
        <is>
          <t>TURNOVER SCHEDULE</t>
        </is>
      </c>
      <c r="O24" s="15" t="n">
        <v>183</v>
      </c>
      <c r="P24" s="15" t="inlineStr">
        <is>
          <t>2023-03-10</t>
        </is>
      </c>
      <c r="Q24" s="15" t="n"/>
      <c r="R24" s="15" t="n"/>
    </row>
    <row r="25">
      <c r="A25" s="15" t="inlineStr">
        <is>
          <t>SL0021</t>
        </is>
      </c>
      <c r="B25" s="16" t="n">
        <v>45205</v>
      </c>
      <c r="C25" s="15" t="inlineStr">
        <is>
          <t>2023-10</t>
        </is>
      </c>
      <c r="D25" s="15" t="n">
        <v>2023</v>
      </c>
      <c r="E25" s="15" t="inlineStr">
        <is>
          <t>Land</t>
        </is>
      </c>
      <c r="F25" s="15" t="inlineStr">
        <is>
          <t>Plot / unit price</t>
        </is>
      </c>
      <c r="G25" s="15" t="inlineStr">
        <is>
          <t>Land (estate not stated in source)</t>
        </is>
      </c>
      <c r="H25" s="15" t="inlineStr">
        <is>
          <t>BP-C0026</t>
        </is>
      </c>
      <c r="I25" s="15" t="inlineStr">
        <is>
          <t>Mr &amp; Mrs Adebayo Dada</t>
        </is>
      </c>
      <c r="J25" s="17" t="n">
        <v>3000000</v>
      </c>
      <c r="K25" s="15" t="n"/>
      <c r="L25" s="15" t="inlineStr">
        <is>
          <t>Secondary: commission records; no monthly turnover register for this period</t>
        </is>
      </c>
      <c r="M25" s="15" t="inlineStr">
        <is>
          <t>BAAY PROJECTS SALES EXPENSES (COMMISSION) RECORDS (1)</t>
        </is>
      </c>
      <c r="N25" s="15" t="inlineStr">
        <is>
          <t>MRS ABIMBOLA</t>
        </is>
      </c>
      <c r="O25" s="15" t="n">
        <v>7</v>
      </c>
      <c r="P25" s="15" t="inlineStr">
        <is>
          <t>2023-06-10</t>
        </is>
      </c>
      <c r="Q25" s="15" t="n"/>
      <c r="R25" s="15" t="inlineStr">
        <is>
          <t>Commission-record amount: confirm to bank statement (records can aggregate several transfers)</t>
        </is>
      </c>
    </row>
    <row r="26">
      <c r="A26" s="15" t="inlineStr">
        <is>
          <t>SL0022</t>
        </is>
      </c>
      <c r="B26" s="16" t="n">
        <v>45205</v>
      </c>
      <c r="C26" s="15" t="inlineStr">
        <is>
          <t>2023-10</t>
        </is>
      </c>
      <c r="D26" s="15" t="n">
        <v>2023</v>
      </c>
      <c r="E26" s="15" t="inlineStr">
        <is>
          <t>Land</t>
        </is>
      </c>
      <c r="F26" s="15" t="inlineStr">
        <is>
          <t>Plot / unit price</t>
        </is>
      </c>
      <c r="G26" s="15" t="inlineStr">
        <is>
          <t>Green City Phase 1 (Ketu-Epe)</t>
        </is>
      </c>
      <c r="H26" s="15" t="inlineStr">
        <is>
          <t>BP-C0026</t>
        </is>
      </c>
      <c r="I26" s="15" t="inlineStr">
        <is>
          <t>Mr Adebayo Dada</t>
        </is>
      </c>
      <c r="J26" s="17" t="n">
        <v>300000</v>
      </c>
      <c r="K26" s="15" t="n"/>
      <c r="L26" s="15" t="inlineStr">
        <is>
          <t>Secondary: turnover schedule (Green City Ph1/Ph2 payment history); no monthly turnover register for this period</t>
        </is>
      </c>
      <c r="M26" s="15" t="inlineStr">
        <is>
          <t>BAAY PROJECTS FINANCIALS 2024.xlsx</t>
        </is>
      </c>
      <c r="N26" s="15" t="inlineStr">
        <is>
          <t>TURNOVER SCHEDULE</t>
        </is>
      </c>
      <c r="O26" s="15" t="n">
        <v>8</v>
      </c>
      <c r="P26" s="15" t="inlineStr">
        <is>
          <t>2023-06-10</t>
        </is>
      </c>
      <c r="Q26" s="15" t="n"/>
      <c r="R26" s="15" t="n"/>
    </row>
    <row r="27">
      <c r="A27" s="15" t="inlineStr">
        <is>
          <t>SL0023</t>
        </is>
      </c>
      <c r="B27" s="16" t="n">
        <v>45209</v>
      </c>
      <c r="C27" s="15" t="inlineStr">
        <is>
          <t>2023-10</t>
        </is>
      </c>
      <c r="D27" s="15" t="n">
        <v>2023</v>
      </c>
      <c r="E27" s="15" t="inlineStr">
        <is>
          <t>Land</t>
        </is>
      </c>
      <c r="F27" s="15" t="inlineStr">
        <is>
          <t>Plot / unit price</t>
        </is>
      </c>
      <c r="G27" s="15" t="inlineStr">
        <is>
          <t>Land (estate not stated in source)</t>
        </is>
      </c>
      <c r="H27" s="15" t="inlineStr">
        <is>
          <t>BP-C0029</t>
        </is>
      </c>
      <c r="I27" s="15" t="inlineStr">
        <is>
          <t>Mr Ohanehi Anthony</t>
        </is>
      </c>
      <c r="J27" s="17" t="n">
        <v>1500000</v>
      </c>
      <c r="K27" s="15" t="n"/>
      <c r="L27" s="15" t="inlineStr">
        <is>
          <t>Secondary: commission records; no monthly turnover register for this period</t>
        </is>
      </c>
      <c r="M27" s="15" t="inlineStr">
        <is>
          <t>BAAY PROJECTS SALES EXPENSES (COMMISSION) RECORDS (1)</t>
        </is>
      </c>
      <c r="N27" s="15" t="inlineStr">
        <is>
          <t>MS IMMACULATE</t>
        </is>
      </c>
      <c r="O27" s="15" t="n">
        <v>7</v>
      </c>
      <c r="P27" s="15" t="inlineStr">
        <is>
          <t>2023-10-10</t>
        </is>
      </c>
      <c r="Q27" s="15" t="n"/>
      <c r="R27" s="15" t="inlineStr">
        <is>
          <t>Commission-record amount: confirm to bank statement (records can aggregate several transfers)</t>
        </is>
      </c>
    </row>
    <row r="28">
      <c r="A28" s="15" t="inlineStr">
        <is>
          <t>SL0024</t>
        </is>
      </c>
      <c r="B28" s="16" t="n">
        <v>45211</v>
      </c>
      <c r="C28" s="15" t="inlineStr">
        <is>
          <t>2023-10</t>
        </is>
      </c>
      <c r="D28" s="15" t="n">
        <v>2023</v>
      </c>
      <c r="E28" s="15" t="inlineStr">
        <is>
          <t>Land</t>
        </is>
      </c>
      <c r="F28" s="15" t="inlineStr">
        <is>
          <t>Plot / unit price</t>
        </is>
      </c>
      <c r="G28" s="15" t="inlineStr">
        <is>
          <t>Green City Phase 1 (Ketu-Epe)</t>
        </is>
      </c>
      <c r="H28" s="15" t="inlineStr">
        <is>
          <t>BP-C0033</t>
        </is>
      </c>
      <c r="I28" s="15" t="inlineStr">
        <is>
          <t>Mr Olumoko Oladapo Oluwaseun</t>
        </is>
      </c>
      <c r="J28" s="17" t="n">
        <v>1000000</v>
      </c>
      <c r="K28" s="15" t="n"/>
      <c r="L28" s="15" t="inlineStr">
        <is>
          <t>Secondary: turnover schedule (Green City Ph1/Ph2 payment history); no monthly turnover register for this period</t>
        </is>
      </c>
      <c r="M28" s="15" t="inlineStr">
        <is>
          <t>BAAY PROJECTS FINANCIALS 2024.xlsx</t>
        </is>
      </c>
      <c r="N28" s="15" t="inlineStr">
        <is>
          <t>TURNOVER SCHEDULE</t>
        </is>
      </c>
      <c r="O28" s="15" t="n">
        <v>155</v>
      </c>
      <c r="P28" s="15" t="inlineStr">
        <is>
          <t>2023-12-10</t>
        </is>
      </c>
      <c r="Q28" s="15" t="inlineStr">
        <is>
          <t>MS BOLANLE r12</t>
        </is>
      </c>
      <c r="R28" s="15" t="n"/>
    </row>
    <row r="29">
      <c r="A29" s="15" t="inlineStr">
        <is>
          <t>SL0025</t>
        </is>
      </c>
      <c r="B29" s="16" t="n">
        <v>45211</v>
      </c>
      <c r="C29" s="15" t="inlineStr">
        <is>
          <t>2023-10</t>
        </is>
      </c>
      <c r="D29" s="15" t="n">
        <v>2023</v>
      </c>
      <c r="E29" s="15" t="inlineStr">
        <is>
          <t>Land</t>
        </is>
      </c>
      <c r="F29" s="15" t="inlineStr">
        <is>
          <t>Plot / unit price</t>
        </is>
      </c>
      <c r="G29" s="15" t="inlineStr">
        <is>
          <t>Land (estate not stated in source)</t>
        </is>
      </c>
      <c r="H29" s="15" t="inlineStr">
        <is>
          <t>BP-C0034</t>
        </is>
      </c>
      <c r="I29" s="15" t="inlineStr">
        <is>
          <t>Mrs Ndubuisi Ujunwa</t>
        </is>
      </c>
      <c r="J29" s="17" t="n">
        <v>1500000</v>
      </c>
      <c r="K29" s="15" t="n"/>
      <c r="L29" s="15" t="inlineStr">
        <is>
          <t>Secondary: commission records; no monthly turnover register for this period</t>
        </is>
      </c>
      <c r="M29" s="15" t="inlineStr">
        <is>
          <t>BAAY PROJECTS SALES EXPENSES (COMMISSION) RECORDS (1)</t>
        </is>
      </c>
      <c r="N29" s="15" t="inlineStr">
        <is>
          <t>MS IMMACULATE</t>
        </is>
      </c>
      <c r="O29" s="15" t="n">
        <v>9</v>
      </c>
      <c r="P29" s="15" t="inlineStr">
        <is>
          <t>2023-12-10</t>
        </is>
      </c>
      <c r="Q29" s="15" t="n"/>
      <c r="R29" s="15" t="inlineStr">
        <is>
          <t>Commission-record amount: confirm to bank statement (records can aggregate several transfers)</t>
        </is>
      </c>
    </row>
    <row r="30">
      <c r="A30" s="15" t="inlineStr">
        <is>
          <t>SL0026</t>
        </is>
      </c>
      <c r="B30" s="16" t="n">
        <v>45219</v>
      </c>
      <c r="C30" s="15" t="inlineStr">
        <is>
          <t>2023-10</t>
        </is>
      </c>
      <c r="D30" s="15" t="n">
        <v>2023</v>
      </c>
      <c r="E30" s="15" t="inlineStr">
        <is>
          <t>Land</t>
        </is>
      </c>
      <c r="F30" s="15" t="inlineStr">
        <is>
          <t>Plot / unit price</t>
        </is>
      </c>
      <c r="G30" s="15" t="inlineStr">
        <is>
          <t>Land (estate not stated in source)</t>
        </is>
      </c>
      <c r="H30" s="15" t="inlineStr">
        <is>
          <t>BP-C0021</t>
        </is>
      </c>
      <c r="I30" s="15" t="inlineStr">
        <is>
          <t>Mr Oyewusi sheriff Oyewole</t>
        </is>
      </c>
      <c r="J30" s="17" t="n">
        <v>1000000</v>
      </c>
      <c r="K30" s="15" t="n"/>
      <c r="L30" s="15" t="inlineStr">
        <is>
          <t>Secondary: commission records; no monthly turnover register for this period</t>
        </is>
      </c>
      <c r="M30" s="15" t="inlineStr">
        <is>
          <t>BAAY PROJECTS SALES EXPENSES (COMMISSION) RECORDS (1)</t>
        </is>
      </c>
      <c r="N30" s="15" t="inlineStr">
        <is>
          <t>MS BOLANLE</t>
        </is>
      </c>
      <c r="O30" s="15" t="n">
        <v>9</v>
      </c>
      <c r="P30" s="15" t="inlineStr">
        <is>
          <t>20/10/2023</t>
        </is>
      </c>
      <c r="Q30" s="15" t="n"/>
      <c r="R30" s="15" t="inlineStr">
        <is>
          <t>Commission-record amount: confirm to bank statement (records can aggregate several transfers)</t>
        </is>
      </c>
    </row>
    <row r="31">
      <c r="A31" s="15" t="inlineStr">
        <is>
          <t>SL0027</t>
        </is>
      </c>
      <c r="B31" s="16" t="n">
        <v>45222</v>
      </c>
      <c r="C31" s="15" t="inlineStr">
        <is>
          <t>2023-10</t>
        </is>
      </c>
      <c r="D31" s="15" t="n">
        <v>2023</v>
      </c>
      <c r="E31" s="15" t="inlineStr">
        <is>
          <t>Land</t>
        </is>
      </c>
      <c r="F31" s="15" t="inlineStr">
        <is>
          <t>Plot / unit price</t>
        </is>
      </c>
      <c r="G31" s="15" t="inlineStr">
        <is>
          <t>Green City Phase 1 (Ketu-Epe)</t>
        </is>
      </c>
      <c r="H31" s="15" t="inlineStr">
        <is>
          <t>BP-C0027</t>
        </is>
      </c>
      <c r="I31" s="15" t="inlineStr">
        <is>
          <t>Mr Edun Ayobami Simeon</t>
        </is>
      </c>
      <c r="J31" s="17" t="n">
        <v>700000</v>
      </c>
      <c r="K31" s="15" t="n"/>
      <c r="L31" s="15" t="inlineStr">
        <is>
          <t>Secondary: turnover schedule (Green City Ph1/Ph2 payment history); no monthly turnover register for this period</t>
        </is>
      </c>
      <c r="M31" s="15" t="inlineStr">
        <is>
          <t>BAAY PROJECTS FINANCIALS 2024.xlsx</t>
        </is>
      </c>
      <c r="N31" s="15" t="inlineStr">
        <is>
          <t>TURNOVER SCHEDULE</t>
        </is>
      </c>
      <c r="O31" s="15" t="n">
        <v>126</v>
      </c>
      <c r="P31" s="15" t="inlineStr">
        <is>
          <t>23/10/2023</t>
        </is>
      </c>
      <c r="Q31" s="15" t="inlineStr">
        <is>
          <t>OLAIYA r8</t>
        </is>
      </c>
      <c r="R31" s="15" t="n"/>
    </row>
    <row r="32">
      <c r="A32" s="15" t="inlineStr">
        <is>
          <t>SL0028</t>
        </is>
      </c>
      <c r="B32" s="16" t="n">
        <v>45226</v>
      </c>
      <c r="C32" s="15" t="inlineStr">
        <is>
          <t>2023-10</t>
        </is>
      </c>
      <c r="D32" s="15" t="n">
        <v>2023</v>
      </c>
      <c r="E32" s="15" t="inlineStr">
        <is>
          <t>Land</t>
        </is>
      </c>
      <c r="F32" s="15" t="inlineStr">
        <is>
          <t>Plot / unit price</t>
        </is>
      </c>
      <c r="G32" s="15" t="inlineStr">
        <is>
          <t>Green City Phase 1 (Ketu-Epe)</t>
        </is>
      </c>
      <c r="H32" s="15" t="inlineStr">
        <is>
          <t>BP-C0033</t>
        </is>
      </c>
      <c r="I32" s="15" t="inlineStr">
        <is>
          <t>Mr Olumoko Oladapo Oluwaseun</t>
        </is>
      </c>
      <c r="J32" s="17" t="n">
        <v>1000000</v>
      </c>
      <c r="K32" s="15" t="n"/>
      <c r="L32" s="15" t="inlineStr">
        <is>
          <t>Secondary: turnover schedule (Green City Ph1/Ph2 payment history); no monthly turnover register for this period</t>
        </is>
      </c>
      <c r="M32" s="15" t="inlineStr">
        <is>
          <t>BAAY PROJECTS FINANCIALS 2024.xlsx</t>
        </is>
      </c>
      <c r="N32" s="15" t="inlineStr">
        <is>
          <t>TURNOVER SCHEDULE</t>
        </is>
      </c>
      <c r="O32" s="15" t="n">
        <v>156</v>
      </c>
      <c r="P32" s="15" t="inlineStr">
        <is>
          <t>27/10/2023</t>
        </is>
      </c>
      <c r="Q32" s="15" t="inlineStr">
        <is>
          <t>MS BOLANLE r13</t>
        </is>
      </c>
      <c r="R32" s="15" t="n"/>
    </row>
    <row r="33">
      <c r="A33" s="15" t="inlineStr">
        <is>
          <t>SL0029</t>
        </is>
      </c>
      <c r="B33" s="16" t="n">
        <v>45227</v>
      </c>
      <c r="C33" s="15" t="inlineStr">
        <is>
          <t>2023-10</t>
        </is>
      </c>
      <c r="D33" s="15" t="n">
        <v>2023</v>
      </c>
      <c r="E33" s="15" t="inlineStr">
        <is>
          <t>Land</t>
        </is>
      </c>
      <c r="F33" s="15" t="inlineStr">
        <is>
          <t>Plot / unit price</t>
        </is>
      </c>
      <c r="G33" s="15" t="inlineStr">
        <is>
          <t>Green City Phase 1 (Ketu-Epe)</t>
        </is>
      </c>
      <c r="H33" s="15" t="inlineStr">
        <is>
          <t>BP-C0036</t>
        </is>
      </c>
      <c r="I33" s="15" t="inlineStr">
        <is>
          <t>Mr Ohumende Paul Osaze</t>
        </is>
      </c>
      <c r="J33" s="17" t="n">
        <v>3000000</v>
      </c>
      <c r="K33" s="15" t="n"/>
      <c r="L33" s="15" t="inlineStr">
        <is>
          <t>Secondary: turnover schedule (Green City Ph1/Ph2 payment history); no monthly turnover register for this period</t>
        </is>
      </c>
      <c r="M33" s="15" t="inlineStr">
        <is>
          <t>BAAY PROJECTS FINANCIALS 2024.xlsx</t>
        </is>
      </c>
      <c r="N33" s="15" t="inlineStr">
        <is>
          <t>TURNOVER SCHEDULE</t>
        </is>
      </c>
      <c r="O33" s="15" t="n">
        <v>117</v>
      </c>
      <c r="P33" s="15" t="inlineStr">
        <is>
          <t>28/10/2023</t>
        </is>
      </c>
      <c r="Q33" s="15" t="n"/>
      <c r="R33" s="15" t="n"/>
    </row>
    <row r="34">
      <c r="A34" s="15" t="inlineStr">
        <is>
          <t>SL0030</t>
        </is>
      </c>
      <c r="B34" s="16" t="n">
        <v>45228</v>
      </c>
      <c r="C34" s="15" t="inlineStr">
        <is>
          <t>2023-10</t>
        </is>
      </c>
      <c r="D34" s="15" t="n">
        <v>2023</v>
      </c>
      <c r="E34" s="15" t="inlineStr">
        <is>
          <t>Land</t>
        </is>
      </c>
      <c r="F34" s="15" t="inlineStr">
        <is>
          <t>Plot / unit price</t>
        </is>
      </c>
      <c r="G34" s="15" t="inlineStr">
        <is>
          <t>Land (estate not stated in source)</t>
        </is>
      </c>
      <c r="H34" s="15" t="inlineStr">
        <is>
          <t>BP-C0029</t>
        </is>
      </c>
      <c r="I34" s="15" t="inlineStr">
        <is>
          <t>Mr Ohanehi Anthony</t>
        </is>
      </c>
      <c r="J34" s="17" t="n">
        <v>9000000</v>
      </c>
      <c r="K34" s="15" t="n"/>
      <c r="L34" s="15" t="inlineStr">
        <is>
          <t>Secondary: commission records; no monthly turnover register for this period</t>
        </is>
      </c>
      <c r="M34" s="15" t="inlineStr">
        <is>
          <t>BAAY PROJECTS SALES EXPENSES (COMMISSION) RECORDS (1)</t>
        </is>
      </c>
      <c r="N34" s="15" t="inlineStr">
        <is>
          <t>MS IMMACULATE</t>
        </is>
      </c>
      <c r="O34" s="15" t="n">
        <v>10</v>
      </c>
      <c r="P34" s="15" t="inlineStr">
        <is>
          <t>29/10/2023</t>
        </is>
      </c>
      <c r="Q34" s="15" t="n"/>
      <c r="R34" s="15" t="inlineStr">
        <is>
          <t>Commission-record amount: confirm to bank statement (records can aggregate several transfers)</t>
        </is>
      </c>
    </row>
    <row r="35">
      <c r="A35" s="15" t="inlineStr">
        <is>
          <t>SL0031</t>
        </is>
      </c>
      <c r="B35" s="16" t="n">
        <v>45228</v>
      </c>
      <c r="C35" s="15" t="inlineStr">
        <is>
          <t>2023-10</t>
        </is>
      </c>
      <c r="D35" s="15" t="n">
        <v>2023</v>
      </c>
      <c r="E35" s="15" t="inlineStr">
        <is>
          <t>Land</t>
        </is>
      </c>
      <c r="F35" s="15" t="inlineStr">
        <is>
          <t>Plot / unit price</t>
        </is>
      </c>
      <c r="G35" s="15" t="inlineStr">
        <is>
          <t>Land (estate not stated in source)</t>
        </is>
      </c>
      <c r="H35" s="15" t="inlineStr">
        <is>
          <t>BP-C0038</t>
        </is>
      </c>
      <c r="I35" s="15" t="inlineStr">
        <is>
          <t>Okeizie Ifeoma Mandy</t>
        </is>
      </c>
      <c r="J35" s="17" t="n">
        <v>2000000</v>
      </c>
      <c r="K35" s="15" t="n"/>
      <c r="L35" s="15" t="inlineStr">
        <is>
          <t>Secondary: commission records; no monthly turnover register for this period</t>
        </is>
      </c>
      <c r="M35" s="15" t="inlineStr">
        <is>
          <t>BAAY PROJECTS SALES EXPENSES (COMMISSION) RECORDS (1)</t>
        </is>
      </c>
      <c r="N35" s="15" t="inlineStr">
        <is>
          <t>MS CELINA</t>
        </is>
      </c>
      <c r="O35" s="15" t="n">
        <v>7</v>
      </c>
      <c r="P35" s="15" t="inlineStr">
        <is>
          <t>29/10/2023</t>
        </is>
      </c>
      <c r="Q35" s="15" t="n"/>
      <c r="R35" s="15" t="inlineStr">
        <is>
          <t>Commission-record amount: confirm to bank statement (records can aggregate several transfers)</t>
        </is>
      </c>
    </row>
    <row r="36">
      <c r="A36" s="15" t="inlineStr">
        <is>
          <t>SL0032</t>
        </is>
      </c>
      <c r="B36" s="16" t="n">
        <v>45229</v>
      </c>
      <c r="C36" s="15" t="inlineStr">
        <is>
          <t>2023-10</t>
        </is>
      </c>
      <c r="D36" s="15" t="n">
        <v>2023</v>
      </c>
      <c r="E36" s="15" t="inlineStr">
        <is>
          <t>Land</t>
        </is>
      </c>
      <c r="F36" s="15" t="inlineStr">
        <is>
          <t>Plot / unit price</t>
        </is>
      </c>
      <c r="G36" s="15" t="inlineStr">
        <is>
          <t>Land (estate not stated in source)</t>
        </is>
      </c>
      <c r="H36" s="15" t="inlineStr">
        <is>
          <t>BP-C0040</t>
        </is>
      </c>
      <c r="I36" s="15" t="inlineStr">
        <is>
          <t>Bassey Christopher</t>
        </is>
      </c>
      <c r="J36" s="17" t="n">
        <v>9000000</v>
      </c>
      <c r="K36" s="15" t="n"/>
      <c r="L36" s="15" t="inlineStr">
        <is>
          <t>Secondary: commission records; no monthly turnover register for this period</t>
        </is>
      </c>
      <c r="M36" s="15" t="inlineStr">
        <is>
          <t>BAAY PROJECTS SALES EXPENSES (COMMISSION) RECORDS (1)</t>
        </is>
      </c>
      <c r="N36" s="15" t="inlineStr">
        <is>
          <t>MS IMMACULATE</t>
        </is>
      </c>
      <c r="O36" s="15" t="n">
        <v>11</v>
      </c>
      <c r="P36" s="15" t="inlineStr">
        <is>
          <t>30/10/2023</t>
        </is>
      </c>
      <c r="Q36" s="15" t="n"/>
      <c r="R36" s="15" t="inlineStr">
        <is>
          <t>Commission-record amount: confirm to bank statement (records can aggregate several transfers)</t>
        </is>
      </c>
    </row>
    <row r="37">
      <c r="A37" s="15" t="inlineStr">
        <is>
          <t>SL0033</t>
        </is>
      </c>
      <c r="B37" s="16" t="n">
        <v>45229</v>
      </c>
      <c r="C37" s="15" t="inlineStr">
        <is>
          <t>2023-10</t>
        </is>
      </c>
      <c r="D37" s="15" t="n">
        <v>2023</v>
      </c>
      <c r="E37" s="15" t="inlineStr">
        <is>
          <t>Land</t>
        </is>
      </c>
      <c r="F37" s="15" t="inlineStr">
        <is>
          <t>Plot / unit price</t>
        </is>
      </c>
      <c r="G37" s="15" t="inlineStr">
        <is>
          <t>Land (estate not stated in source)</t>
        </is>
      </c>
      <c r="H37" s="15" t="inlineStr">
        <is>
          <t>BP-C0040</t>
        </is>
      </c>
      <c r="I37" s="15" t="inlineStr">
        <is>
          <t>Bassey Christopher</t>
        </is>
      </c>
      <c r="J37" s="17" t="n">
        <v>3000000</v>
      </c>
      <c r="K37" s="15" t="n"/>
      <c r="L37" s="15" t="inlineStr">
        <is>
          <t>Secondary: commission records; no monthly turnover register for this period</t>
        </is>
      </c>
      <c r="M37" s="15" t="inlineStr">
        <is>
          <t>BAAY PROJECTS SALES EXPENSES (COMMISSION) RECORDS (1)</t>
        </is>
      </c>
      <c r="N37" s="15" t="inlineStr">
        <is>
          <t>MS IMMACULATE</t>
        </is>
      </c>
      <c r="O37" s="15" t="n">
        <v>12</v>
      </c>
      <c r="P37" s="15" t="inlineStr">
        <is>
          <t>30/10/2023</t>
        </is>
      </c>
      <c r="Q37" s="15" t="n"/>
      <c r="R37" s="15" t="inlineStr">
        <is>
          <t>Commission-record amount: confirm to bank statement (records can aggregate several transfers)</t>
        </is>
      </c>
    </row>
    <row r="38">
      <c r="A38" s="15" t="inlineStr">
        <is>
          <t>SL0034</t>
        </is>
      </c>
      <c r="B38" s="16" t="n">
        <v>45229</v>
      </c>
      <c r="C38" s="15" t="inlineStr">
        <is>
          <t>2023-10</t>
        </is>
      </c>
      <c r="D38" s="15" t="n">
        <v>2023</v>
      </c>
      <c r="E38" s="15" t="inlineStr">
        <is>
          <t>Land</t>
        </is>
      </c>
      <c r="F38" s="15" t="inlineStr">
        <is>
          <t>Plot / unit price</t>
        </is>
      </c>
      <c r="G38" s="15" t="inlineStr">
        <is>
          <t>Green City Phase 1 (Ketu-Epe)</t>
        </is>
      </c>
      <c r="H38" s="15" t="inlineStr">
        <is>
          <t>BP-C0030</t>
        </is>
      </c>
      <c r="I38" s="15" t="inlineStr">
        <is>
          <t>Mr Akorede Adese</t>
        </is>
      </c>
      <c r="J38" s="17" t="n">
        <v>100000</v>
      </c>
      <c r="K38" s="15" t="n"/>
      <c r="L38" s="15" t="inlineStr">
        <is>
          <t>Secondary: turnover schedule (Green City Ph1/Ph2 payment history); no monthly turnover register for this period</t>
        </is>
      </c>
      <c r="M38" s="15" t="inlineStr">
        <is>
          <t>BAAY PROJECTS FINANCIALS 2024.xlsx</t>
        </is>
      </c>
      <c r="N38" s="15" t="inlineStr">
        <is>
          <t>TURNOVER SCHEDULE</t>
        </is>
      </c>
      <c r="O38" s="15" t="n">
        <v>204</v>
      </c>
      <c r="P38" s="15" t="inlineStr">
        <is>
          <t>30/10/2023</t>
        </is>
      </c>
      <c r="Q38" s="15" t="n"/>
      <c r="R38" s="15" t="n"/>
    </row>
    <row r="39">
      <c r="A39" s="15" t="inlineStr">
        <is>
          <t>SL0035</t>
        </is>
      </c>
      <c r="B39" s="16" t="n">
        <v>45229</v>
      </c>
      <c r="C39" s="15" t="inlineStr">
        <is>
          <t>2023-10</t>
        </is>
      </c>
      <c r="D39" s="15" t="n">
        <v>2023</v>
      </c>
      <c r="E39" s="15" t="inlineStr">
        <is>
          <t>Land</t>
        </is>
      </c>
      <c r="F39" s="15" t="inlineStr">
        <is>
          <t>Plot / unit price</t>
        </is>
      </c>
      <c r="G39" s="15" t="inlineStr">
        <is>
          <t>Green City Phase 2 (Ketu-Epe)</t>
        </is>
      </c>
      <c r="H39" s="15" t="inlineStr">
        <is>
          <t>BP-C0039</t>
        </is>
      </c>
      <c r="I39" s="15" t="inlineStr">
        <is>
          <t>Mr Alabi Abdulazeez</t>
        </is>
      </c>
      <c r="J39" s="17" t="n">
        <v>1000000</v>
      </c>
      <c r="K39" s="15" t="n"/>
      <c r="L39" s="15" t="inlineStr">
        <is>
          <t>Secondary: turnover schedule (Green City Ph1/Ph2 payment history); no monthly turnover register for this period</t>
        </is>
      </c>
      <c r="M39" s="15" t="inlineStr">
        <is>
          <t>BAAY PROJECTS FINANCIALS 2024.xlsx</t>
        </is>
      </c>
      <c r="N39" s="15" t="inlineStr">
        <is>
          <t>TURNOVER SCHEDULE</t>
        </is>
      </c>
      <c r="O39" s="15" t="n">
        <v>195</v>
      </c>
      <c r="P39" s="15" t="inlineStr">
        <is>
          <t>30/10/2023</t>
        </is>
      </c>
      <c r="Q39" s="15" t="n"/>
      <c r="R39" s="15" t="n"/>
    </row>
    <row r="40">
      <c r="A40" s="15" t="inlineStr">
        <is>
          <t>SL0036</t>
        </is>
      </c>
      <c r="B40" s="16" t="n">
        <v>45229</v>
      </c>
      <c r="C40" s="15" t="inlineStr">
        <is>
          <t>2023-10</t>
        </is>
      </c>
      <c r="D40" s="15" t="n">
        <v>2023</v>
      </c>
      <c r="E40" s="15" t="inlineStr">
        <is>
          <t>Land</t>
        </is>
      </c>
      <c r="F40" s="15" t="inlineStr">
        <is>
          <t>Plot / unit price</t>
        </is>
      </c>
      <c r="G40" s="15" t="inlineStr">
        <is>
          <t>Green City Phase 1 (Ketu-Epe)</t>
        </is>
      </c>
      <c r="H40" s="15" t="inlineStr">
        <is>
          <t>BP-C0029</t>
        </is>
      </c>
      <c r="I40" s="15" t="inlineStr">
        <is>
          <t>Mr Ohanehi Anthony Chukwunonso</t>
        </is>
      </c>
      <c r="J40" s="17" t="n">
        <v>1000000</v>
      </c>
      <c r="K40" s="15" t="n"/>
      <c r="L40" s="15" t="inlineStr">
        <is>
          <t>Secondary: turnover schedule (Green City Ph1/Ph2 payment history); no monthly turnover register for this period</t>
        </is>
      </c>
      <c r="M40" s="15" t="inlineStr">
        <is>
          <t>BAAY PROJECTS FINANCIALS 2024.xlsx</t>
        </is>
      </c>
      <c r="N40" s="15" t="inlineStr">
        <is>
          <t>TURNOVER SCHEDULE</t>
        </is>
      </c>
      <c r="O40" s="15" t="n">
        <v>17</v>
      </c>
      <c r="P40" s="15" t="inlineStr">
        <is>
          <t>30/10/2023</t>
        </is>
      </c>
      <c r="Q40" s="15" t="n"/>
      <c r="R40" s="15" t="n"/>
    </row>
    <row r="41">
      <c r="A41" s="15" t="inlineStr">
        <is>
          <t>SL0037</t>
        </is>
      </c>
      <c r="B41" s="16" t="n">
        <v>45229</v>
      </c>
      <c r="C41" s="15" t="inlineStr">
        <is>
          <t>2023-10</t>
        </is>
      </c>
      <c r="D41" s="15" t="n">
        <v>2023</v>
      </c>
      <c r="E41" s="15" t="inlineStr">
        <is>
          <t>Land</t>
        </is>
      </c>
      <c r="F41" s="15" t="inlineStr">
        <is>
          <t>Plot / unit price</t>
        </is>
      </c>
      <c r="G41" s="15" t="inlineStr">
        <is>
          <t>Green City Phase 1 (Ketu-Epe)</t>
        </is>
      </c>
      <c r="H41" s="15" t="inlineStr">
        <is>
          <t>BP-C0029</t>
        </is>
      </c>
      <c r="I41" s="15" t="inlineStr">
        <is>
          <t>Mr Ohanehi Anthony Chukwunonso</t>
        </is>
      </c>
      <c r="J41" s="17" t="n">
        <v>1000000</v>
      </c>
      <c r="K41" s="15" t="n"/>
      <c r="L41" s="15" t="inlineStr">
        <is>
          <t>Secondary: turnover schedule (Green City Ph1/Ph2 payment history); no monthly turnover register for this period</t>
        </is>
      </c>
      <c r="M41" s="15" t="inlineStr">
        <is>
          <t>BAAY PROJECTS FINANCIALS 2024.xlsx</t>
        </is>
      </c>
      <c r="N41" s="15" t="inlineStr">
        <is>
          <t>TURNOVER SCHEDULE</t>
        </is>
      </c>
      <c r="O41" s="15" t="n">
        <v>163</v>
      </c>
      <c r="P41" s="15" t="inlineStr">
        <is>
          <t>30/10/2023</t>
        </is>
      </c>
      <c r="Q41" s="15" t="n"/>
      <c r="R41" s="15" t="n"/>
    </row>
    <row r="42">
      <c r="A42" s="15" t="inlineStr">
        <is>
          <t>SL0038</t>
        </is>
      </c>
      <c r="B42" s="16" t="n">
        <v>45229</v>
      </c>
      <c r="C42" s="15" t="inlineStr">
        <is>
          <t>2023-10</t>
        </is>
      </c>
      <c r="D42" s="15" t="n">
        <v>2023</v>
      </c>
      <c r="E42" s="15" t="inlineStr">
        <is>
          <t>Land</t>
        </is>
      </c>
      <c r="F42" s="15" t="inlineStr">
        <is>
          <t>Plot / unit price</t>
        </is>
      </c>
      <c r="G42" s="15" t="inlineStr">
        <is>
          <t>Land (estate not stated in source)</t>
        </is>
      </c>
      <c r="H42" s="15" t="inlineStr">
        <is>
          <t>BP-C0021</t>
        </is>
      </c>
      <c r="I42" s="15" t="inlineStr">
        <is>
          <t>Mr Oyewusi sheriff Oyewole</t>
        </is>
      </c>
      <c r="J42" s="17" t="n">
        <v>600000</v>
      </c>
      <c r="K42" s="15" t="n"/>
      <c r="L42" s="15" t="inlineStr">
        <is>
          <t>Secondary: commission records; no monthly turnover register for this period</t>
        </is>
      </c>
      <c r="M42" s="15" t="inlineStr">
        <is>
          <t>BAAY PROJECTS SALES EXPENSES (COMMISSION) RECORDS (1)</t>
        </is>
      </c>
      <c r="N42" s="15" t="inlineStr">
        <is>
          <t>MS BOLANLE</t>
        </is>
      </c>
      <c r="O42" s="15" t="n">
        <v>10</v>
      </c>
      <c r="P42" s="15" t="inlineStr">
        <is>
          <t>30/10/2023</t>
        </is>
      </c>
      <c r="Q42" s="15" t="n"/>
      <c r="R42" s="15" t="inlineStr">
        <is>
          <t>Commission-record amount: confirm to bank statement (records can aggregate several transfers)</t>
        </is>
      </c>
    </row>
    <row r="43">
      <c r="A43" s="15" t="inlineStr">
        <is>
          <t>SL0039</t>
        </is>
      </c>
      <c r="B43" s="16" t="n">
        <v>45232</v>
      </c>
      <c r="C43" s="15" t="inlineStr">
        <is>
          <t>2023-11</t>
        </is>
      </c>
      <c r="D43" s="15" t="n">
        <v>2023</v>
      </c>
      <c r="E43" s="15" t="inlineStr">
        <is>
          <t>Land</t>
        </is>
      </c>
      <c r="F43" s="15" t="inlineStr">
        <is>
          <t>Plot / unit price</t>
        </is>
      </c>
      <c r="G43" s="15" t="inlineStr">
        <is>
          <t>Green City Phase 1 (Ketu-Epe)</t>
        </is>
      </c>
      <c r="H43" s="15" t="inlineStr">
        <is>
          <t>BP-C0036</t>
        </is>
      </c>
      <c r="I43" s="15" t="inlineStr">
        <is>
          <t>Mr Ohumende Paul Osaze</t>
        </is>
      </c>
      <c r="J43" s="17" t="n">
        <v>3000000</v>
      </c>
      <c r="K43" s="15" t="n"/>
      <c r="L43" s="15" t="inlineStr">
        <is>
          <t>Secondary: turnover schedule (Green City Ph1/Ph2 payment history); no monthly turnover register for this period</t>
        </is>
      </c>
      <c r="M43" s="15" t="inlineStr">
        <is>
          <t>BAAY PROJECTS FINANCIALS 2024.xlsx</t>
        </is>
      </c>
      <c r="N43" s="15" t="inlineStr">
        <is>
          <t>TURNOVER SCHEDULE</t>
        </is>
      </c>
      <c r="O43" s="15" t="n">
        <v>118</v>
      </c>
      <c r="P43" s="15" t="inlineStr">
        <is>
          <t>2023-02-11</t>
        </is>
      </c>
      <c r="Q43" s="15" t="n"/>
      <c r="R43" s="15" t="n"/>
    </row>
    <row r="44">
      <c r="A44" s="15" t="inlineStr">
        <is>
          <t>SL0040</t>
        </is>
      </c>
      <c r="B44" s="16" t="n">
        <v>45233</v>
      </c>
      <c r="C44" s="15" t="inlineStr">
        <is>
          <t>2023-11</t>
        </is>
      </c>
      <c r="D44" s="15" t="n">
        <v>2023</v>
      </c>
      <c r="E44" s="15" t="inlineStr">
        <is>
          <t>Land</t>
        </is>
      </c>
      <c r="F44" s="15" t="inlineStr">
        <is>
          <t>Plot / unit price</t>
        </is>
      </c>
      <c r="G44" s="15" t="inlineStr">
        <is>
          <t>Land (estate not stated in source)</t>
        </is>
      </c>
      <c r="H44" s="15" t="inlineStr">
        <is>
          <t>BP-C0042</t>
        </is>
      </c>
      <c r="I44" s="15" t="inlineStr">
        <is>
          <t>Alhaji Gbadamosi Mohammad</t>
        </is>
      </c>
      <c r="J44" s="17" t="n">
        <v>3900000</v>
      </c>
      <c r="K44" s="15" t="n"/>
      <c r="L44" s="15" t="inlineStr">
        <is>
          <t>Secondary: commission records; no monthly turnover register for this period</t>
        </is>
      </c>
      <c r="M44" s="15" t="inlineStr">
        <is>
          <t>BAAY PROJECTS SALES EXPENSES (COMMISSION) RECORDS (1)</t>
        </is>
      </c>
      <c r="N44" s="15" t="inlineStr">
        <is>
          <t>OLUWATOBIJUWON</t>
        </is>
      </c>
      <c r="O44" s="15" t="n">
        <v>7</v>
      </c>
      <c r="P44" s="15" t="inlineStr">
        <is>
          <t>2023-03-11</t>
        </is>
      </c>
      <c r="Q44" s="15" t="n"/>
      <c r="R44" s="15" t="inlineStr">
        <is>
          <t>Commission-record amount: confirm to bank statement (records can aggregate several transfers)</t>
        </is>
      </c>
    </row>
    <row r="45">
      <c r="A45" s="15" t="inlineStr">
        <is>
          <t>SL0041</t>
        </is>
      </c>
      <c r="B45" s="16" t="n">
        <v>45239</v>
      </c>
      <c r="C45" s="15" t="inlineStr">
        <is>
          <t>2023-11</t>
        </is>
      </c>
      <c r="D45" s="15" t="n">
        <v>2023</v>
      </c>
      <c r="E45" s="15" t="inlineStr">
        <is>
          <t>Land</t>
        </is>
      </c>
      <c r="F45" s="15" t="inlineStr">
        <is>
          <t>Plot / unit price</t>
        </is>
      </c>
      <c r="G45" s="15" t="inlineStr">
        <is>
          <t>Green City Phase 1 (Ketu-Epe)</t>
        </is>
      </c>
      <c r="H45" s="15" t="inlineStr">
        <is>
          <t>BP-C0026</t>
        </is>
      </c>
      <c r="I45" s="15" t="inlineStr">
        <is>
          <t>Mr Adebayo Dada</t>
        </is>
      </c>
      <c r="J45" s="17" t="n">
        <v>200000</v>
      </c>
      <c r="K45" s="15" t="n"/>
      <c r="L45" s="15" t="inlineStr">
        <is>
          <t>Secondary: turnover schedule (Green City Ph1/Ph2 payment history); no monthly turnover register for this period</t>
        </is>
      </c>
      <c r="M45" s="15" t="inlineStr">
        <is>
          <t>BAAY PROJECTS FINANCIALS 2024.xlsx</t>
        </is>
      </c>
      <c r="N45" s="15" t="inlineStr">
        <is>
          <t>TURNOVER SCHEDULE</t>
        </is>
      </c>
      <c r="O45" s="15" t="n">
        <v>9</v>
      </c>
      <c r="P45" s="15" t="inlineStr">
        <is>
          <t>2023-09-11</t>
        </is>
      </c>
      <c r="Q45" s="15" t="n"/>
      <c r="R45" s="15" t="n"/>
    </row>
    <row r="46">
      <c r="A46" s="15" t="inlineStr">
        <is>
          <t>SL0042</t>
        </is>
      </c>
      <c r="B46" s="16" t="n">
        <v>45239</v>
      </c>
      <c r="C46" s="15" t="inlineStr">
        <is>
          <t>2023-11</t>
        </is>
      </c>
      <c r="D46" s="15" t="n">
        <v>2023</v>
      </c>
      <c r="E46" s="15" t="inlineStr">
        <is>
          <t>Land</t>
        </is>
      </c>
      <c r="F46" s="15" t="inlineStr">
        <is>
          <t>Plot / unit price</t>
        </is>
      </c>
      <c r="G46" s="15" t="inlineStr">
        <is>
          <t>Green City Phase 1 (Ketu-Epe)</t>
        </is>
      </c>
      <c r="H46" s="15" t="inlineStr">
        <is>
          <t>BP-C0044</t>
        </is>
      </c>
      <c r="I46" s="15" t="inlineStr">
        <is>
          <t>Mr Babajide Oluwase</t>
        </is>
      </c>
      <c r="J46" s="17" t="n">
        <v>1200000</v>
      </c>
      <c r="K46" s="15" t="n"/>
      <c r="L46" s="15" t="inlineStr">
        <is>
          <t>Secondary: turnover schedule (Green City Ph1/Ph2 payment history); no monthly turnover register for this period</t>
        </is>
      </c>
      <c r="M46" s="15" t="inlineStr">
        <is>
          <t>BAAY PROJECTS FINANCIALS 2024.xlsx</t>
        </is>
      </c>
      <c r="N46" s="15" t="inlineStr">
        <is>
          <t>TURNOVER SCHEDULE</t>
        </is>
      </c>
      <c r="O46" s="15" t="n">
        <v>189</v>
      </c>
      <c r="P46" s="15" t="inlineStr">
        <is>
          <t>2023-09-11</t>
        </is>
      </c>
      <c r="Q46" s="15" t="n"/>
      <c r="R46" s="15" t="n"/>
    </row>
    <row r="47">
      <c r="A47" s="15" t="inlineStr">
        <is>
          <t>SL0043</t>
        </is>
      </c>
      <c r="B47" s="16" t="n">
        <v>45239</v>
      </c>
      <c r="C47" s="15" t="inlineStr">
        <is>
          <t>2023-11</t>
        </is>
      </c>
      <c r="D47" s="15" t="n">
        <v>2023</v>
      </c>
      <c r="E47" s="15" t="inlineStr">
        <is>
          <t>Land</t>
        </is>
      </c>
      <c r="F47" s="15" t="inlineStr">
        <is>
          <t>Plot / unit price</t>
        </is>
      </c>
      <c r="G47" s="15" t="inlineStr">
        <is>
          <t>Land (estate not stated in source)</t>
        </is>
      </c>
      <c r="H47" s="15" t="inlineStr">
        <is>
          <t>BP-C0043</t>
        </is>
      </c>
      <c r="I47" s="15" t="inlineStr">
        <is>
          <t>Mrs Oladiran Omolola</t>
        </is>
      </c>
      <c r="J47" s="17" t="n">
        <v>750000</v>
      </c>
      <c r="K47" s="15" t="n"/>
      <c r="L47" s="15" t="inlineStr">
        <is>
          <t>Secondary: commission records; no monthly turnover register for this period</t>
        </is>
      </c>
      <c r="M47" s="15" t="inlineStr">
        <is>
          <t>BAAY PROJECTS SALES EXPENSES (COMMISSION) RECORDS (1)</t>
        </is>
      </c>
      <c r="N47" s="15" t="inlineStr">
        <is>
          <t>MR PELUMI</t>
        </is>
      </c>
      <c r="O47" s="15" t="n">
        <v>7</v>
      </c>
      <c r="P47" s="15" t="inlineStr">
        <is>
          <t>2023-09-11</t>
        </is>
      </c>
      <c r="Q47" s="15" t="n"/>
      <c r="R47" s="15" t="inlineStr">
        <is>
          <t>Commission-record amount: confirm to bank statement (records can aggregate several transfers)</t>
        </is>
      </c>
    </row>
    <row r="48">
      <c r="A48" s="15" t="inlineStr">
        <is>
          <t>SL0044</t>
        </is>
      </c>
      <c r="B48" s="16" t="n">
        <v>45245</v>
      </c>
      <c r="C48" s="15" t="inlineStr">
        <is>
          <t>2023-11</t>
        </is>
      </c>
      <c r="D48" s="15" t="n">
        <v>2023</v>
      </c>
      <c r="E48" s="15" t="inlineStr">
        <is>
          <t>Land</t>
        </is>
      </c>
      <c r="F48" s="15" t="inlineStr">
        <is>
          <t>Plot / unit price</t>
        </is>
      </c>
      <c r="G48" s="15" t="inlineStr">
        <is>
          <t>Green City Phase 1 (Ketu-Epe)</t>
        </is>
      </c>
      <c r="H48" s="15" t="inlineStr">
        <is>
          <t>BP-C0045</t>
        </is>
      </c>
      <c r="I48" s="15" t="inlineStr">
        <is>
          <t>Mr Bolarinwa Iyanuoluwa Simon &amp; Dr Bolarinwa Abisola Christianah</t>
        </is>
      </c>
      <c r="J48" s="17" t="n">
        <v>1000000</v>
      </c>
      <c r="K48" s="15" t="n"/>
      <c r="L48" s="15" t="inlineStr">
        <is>
          <t>Secondary: turnover schedule (Green City Ph1/Ph2 payment history); no monthly turnover register for this period</t>
        </is>
      </c>
      <c r="M48" s="15" t="inlineStr">
        <is>
          <t>BAAY PROJECTS FINANCIALS 2024.xlsx</t>
        </is>
      </c>
      <c r="N48" s="15" t="inlineStr">
        <is>
          <t>TURNOVER SCHEDULE</t>
        </is>
      </c>
      <c r="O48" s="15" t="n">
        <v>265</v>
      </c>
      <c r="P48" s="15" t="inlineStr">
        <is>
          <t>15/11/2023</t>
        </is>
      </c>
      <c r="Q48" s="15" t="n"/>
      <c r="R48" s="15" t="n"/>
    </row>
    <row r="49">
      <c r="A49" s="15" t="inlineStr">
        <is>
          <t>SL0045</t>
        </is>
      </c>
      <c r="B49" s="16" t="n">
        <v>45246</v>
      </c>
      <c r="C49" s="15" t="inlineStr">
        <is>
          <t>2023-11</t>
        </is>
      </c>
      <c r="D49" s="15" t="n">
        <v>2023</v>
      </c>
      <c r="E49" s="15" t="inlineStr">
        <is>
          <t>Land</t>
        </is>
      </c>
      <c r="F49" s="15" t="inlineStr">
        <is>
          <t>Plot / unit price</t>
        </is>
      </c>
      <c r="G49" s="15" t="inlineStr">
        <is>
          <t>Green City Phase 1 (Ketu-Epe)</t>
        </is>
      </c>
      <c r="H49" s="15" t="inlineStr">
        <is>
          <t>BP-C0027</t>
        </is>
      </c>
      <c r="I49" s="15" t="inlineStr">
        <is>
          <t>Mr Edun Ayobami Simeon</t>
        </is>
      </c>
      <c r="J49" s="17" t="n">
        <v>700000</v>
      </c>
      <c r="K49" s="15" t="n"/>
      <c r="L49" s="15" t="inlineStr">
        <is>
          <t>Secondary: turnover schedule (Green City Ph1/Ph2 payment history); no monthly turnover register for this period</t>
        </is>
      </c>
      <c r="M49" s="15" t="inlineStr">
        <is>
          <t>BAAY PROJECTS FINANCIALS 2024.xlsx</t>
        </is>
      </c>
      <c r="N49" s="15" t="inlineStr">
        <is>
          <t>TURNOVER SCHEDULE</t>
        </is>
      </c>
      <c r="O49" s="15" t="n">
        <v>127</v>
      </c>
      <c r="P49" s="15" t="inlineStr">
        <is>
          <t>16/11/2023</t>
        </is>
      </c>
      <c r="Q49" s="15" t="inlineStr">
        <is>
          <t>OLAIYA r9</t>
        </is>
      </c>
      <c r="R49" s="15" t="n"/>
    </row>
    <row r="50">
      <c r="A50" s="15" t="inlineStr">
        <is>
          <t>SL0046</t>
        </is>
      </c>
      <c r="B50" s="16" t="n">
        <v>45251</v>
      </c>
      <c r="C50" s="15" t="inlineStr">
        <is>
          <t>2023-11</t>
        </is>
      </c>
      <c r="D50" s="15" t="n">
        <v>2023</v>
      </c>
      <c r="E50" s="15" t="inlineStr">
        <is>
          <t>Land</t>
        </is>
      </c>
      <c r="F50" s="15" t="inlineStr">
        <is>
          <t>Plot / unit price</t>
        </is>
      </c>
      <c r="G50" s="15" t="inlineStr">
        <is>
          <t>Green City Phase 1 (Ketu-Epe)</t>
        </is>
      </c>
      <c r="H50" s="15" t="inlineStr">
        <is>
          <t>BP-C0046</t>
        </is>
      </c>
      <c r="I50" s="15" t="inlineStr">
        <is>
          <t>Mr Adesida Raphael Abiodun</t>
        </is>
      </c>
      <c r="J50" s="17" t="n">
        <v>1000000</v>
      </c>
      <c r="K50" s="15" t="n"/>
      <c r="L50" s="15" t="inlineStr">
        <is>
          <t>Secondary: turnover schedule (Green City Ph1/Ph2 payment history); no monthly turnover register for this period</t>
        </is>
      </c>
      <c r="M50" s="15" t="inlineStr">
        <is>
          <t>BAAY PROJECTS FINANCIALS 2024.xlsx</t>
        </is>
      </c>
      <c r="N50" s="15" t="inlineStr">
        <is>
          <t>TURNOVER SCHEDULE</t>
        </is>
      </c>
      <c r="O50" s="15" t="n">
        <v>169</v>
      </c>
      <c r="P50" s="15" t="inlineStr">
        <is>
          <t>21/11/2023</t>
        </is>
      </c>
      <c r="Q50" s="15" t="n"/>
      <c r="R50" s="15" t="n"/>
    </row>
    <row r="51">
      <c r="A51" s="15" t="inlineStr">
        <is>
          <t>SL0047</t>
        </is>
      </c>
      <c r="B51" s="16" t="n">
        <v>45254</v>
      </c>
      <c r="C51" s="15" t="inlineStr">
        <is>
          <t>2023-11</t>
        </is>
      </c>
      <c r="D51" s="15" t="n">
        <v>2023</v>
      </c>
      <c r="E51" s="15" t="inlineStr">
        <is>
          <t>Housing</t>
        </is>
      </c>
      <c r="F51" s="15" t="inlineStr">
        <is>
          <t>Plot / unit price</t>
        </is>
      </c>
      <c r="G51" s="15" t="inlineStr">
        <is>
          <t>Pacific Court</t>
        </is>
      </c>
      <c r="H51" s="15" t="inlineStr">
        <is>
          <t>BP-C0047</t>
        </is>
      </c>
      <c r="I51" s="15" t="inlineStr">
        <is>
          <t>Ms Paulina Kehinde Akhere George</t>
        </is>
      </c>
      <c r="J51" s="17" t="n">
        <v>16500000</v>
      </c>
      <c r="K51" s="15" t="n"/>
      <c r="L51" s="15" t="inlineStr">
        <is>
          <t>Secondary: turnover schedule (Green City Ph1/Ph2 payment history); no monthly turnover register for this period</t>
        </is>
      </c>
      <c r="M51" s="15" t="inlineStr">
        <is>
          <t>BAAY PROJECTS FINANCIALS 2024.xlsx</t>
        </is>
      </c>
      <c r="N51" s="15" t="inlineStr">
        <is>
          <t>TURNOVER SCHEDULE</t>
        </is>
      </c>
      <c r="O51" s="15" t="n">
        <v>211</v>
      </c>
      <c r="P51" s="15" t="inlineStr">
        <is>
          <t>24/11/2023</t>
        </is>
      </c>
      <c r="Q51" s="15" t="n"/>
      <c r="R51" s="15" t="n"/>
    </row>
    <row r="52">
      <c r="A52" s="15" t="inlineStr">
        <is>
          <t>SL0048</t>
        </is>
      </c>
      <c r="B52" s="16" t="n">
        <v>45255</v>
      </c>
      <c r="C52" s="15" t="inlineStr">
        <is>
          <t>2023-11</t>
        </is>
      </c>
      <c r="D52" s="15" t="n">
        <v>2023</v>
      </c>
      <c r="E52" s="15" t="inlineStr">
        <is>
          <t>Land</t>
        </is>
      </c>
      <c r="F52" s="15" t="inlineStr">
        <is>
          <t>Plot / unit price</t>
        </is>
      </c>
      <c r="G52" s="15" t="inlineStr">
        <is>
          <t>Green City Phase 1 (Ketu-Epe)</t>
        </is>
      </c>
      <c r="H52" s="15" t="inlineStr">
        <is>
          <t>BP-C0026</t>
        </is>
      </c>
      <c r="I52" s="15" t="inlineStr">
        <is>
          <t>Mr Adebayo Dada</t>
        </is>
      </c>
      <c r="J52" s="17" t="n">
        <v>200000</v>
      </c>
      <c r="K52" s="15" t="n"/>
      <c r="L52" s="15" t="inlineStr">
        <is>
          <t>Secondary: turnover schedule (Green City Ph1/Ph2 payment history); no monthly turnover register for this period</t>
        </is>
      </c>
      <c r="M52" s="15" t="inlineStr">
        <is>
          <t>BAAY PROJECTS FINANCIALS 2024.xlsx</t>
        </is>
      </c>
      <c r="N52" s="15" t="inlineStr">
        <is>
          <t>TURNOVER SCHEDULE</t>
        </is>
      </c>
      <c r="O52" s="15" t="n">
        <v>11</v>
      </c>
      <c r="P52" s="15" t="inlineStr">
        <is>
          <t>25/11/2023</t>
        </is>
      </c>
      <c r="Q52" s="15" t="n"/>
      <c r="R52" s="15" t="n"/>
    </row>
    <row r="53">
      <c r="A53" s="15" t="inlineStr">
        <is>
          <t>SL0049</t>
        </is>
      </c>
      <c r="B53" s="16" t="n">
        <v>45259</v>
      </c>
      <c r="C53" s="15" t="inlineStr">
        <is>
          <t>2023-11</t>
        </is>
      </c>
      <c r="D53" s="15" t="n">
        <v>2023</v>
      </c>
      <c r="E53" s="15" t="inlineStr">
        <is>
          <t>Land</t>
        </is>
      </c>
      <c r="F53" s="15" t="inlineStr">
        <is>
          <t>Plot / unit price</t>
        </is>
      </c>
      <c r="G53" s="15" t="inlineStr">
        <is>
          <t>Green City Phase 1 (Ketu-Epe)</t>
        </is>
      </c>
      <c r="H53" s="15" t="inlineStr">
        <is>
          <t>BP-C0029</t>
        </is>
      </c>
      <c r="I53" s="15" t="inlineStr">
        <is>
          <t>Mr Ohanehi Anthony Chukwunonso</t>
        </is>
      </c>
      <c r="J53" s="17" t="n">
        <v>1483000</v>
      </c>
      <c r="K53" s="15" t="n"/>
      <c r="L53" s="15" t="inlineStr">
        <is>
          <t>Secondary: turnover schedule (Green City Ph1/Ph2 payment history); no monthly turnover register for this period</t>
        </is>
      </c>
      <c r="M53" s="15" t="inlineStr">
        <is>
          <t>BAAY PROJECTS FINANCIALS 2024.xlsx</t>
        </is>
      </c>
      <c r="N53" s="15" t="inlineStr">
        <is>
          <t>TURNOVER SCHEDULE</t>
        </is>
      </c>
      <c r="O53" s="15" t="n">
        <v>18</v>
      </c>
      <c r="P53" s="15" t="inlineStr">
        <is>
          <t>29/11/2023</t>
        </is>
      </c>
      <c r="Q53" s="15" t="n"/>
      <c r="R53" s="15" t="n"/>
    </row>
    <row r="54">
      <c r="A54" s="15" t="inlineStr">
        <is>
          <t>SL0050</t>
        </is>
      </c>
      <c r="B54" s="16" t="n">
        <v>45259</v>
      </c>
      <c r="C54" s="15" t="inlineStr">
        <is>
          <t>2023-11</t>
        </is>
      </c>
      <c r="D54" s="15" t="n">
        <v>2023</v>
      </c>
      <c r="E54" s="15" t="inlineStr">
        <is>
          <t>Land</t>
        </is>
      </c>
      <c r="F54" s="15" t="inlineStr">
        <is>
          <t>Plot / unit price</t>
        </is>
      </c>
      <c r="G54" s="15" t="inlineStr">
        <is>
          <t>Green City Phase 1 (Ketu-Epe)</t>
        </is>
      </c>
      <c r="H54" s="15" t="inlineStr">
        <is>
          <t>BP-C0029</t>
        </is>
      </c>
      <c r="I54" s="15" t="inlineStr">
        <is>
          <t>Mr Ohanehi Anthony Chukwunonso</t>
        </is>
      </c>
      <c r="J54" s="17" t="n">
        <v>1483000</v>
      </c>
      <c r="K54" s="15" t="n"/>
      <c r="L54" s="15" t="inlineStr">
        <is>
          <t>Secondary: turnover schedule (Green City Ph1/Ph2 payment history); no monthly turnover register for this period</t>
        </is>
      </c>
      <c r="M54" s="15" t="inlineStr">
        <is>
          <t>BAAY PROJECTS FINANCIALS 2024.xlsx</t>
        </is>
      </c>
      <c r="N54" s="15" t="inlineStr">
        <is>
          <t>TURNOVER SCHEDULE</t>
        </is>
      </c>
      <c r="O54" s="15" t="n">
        <v>164</v>
      </c>
      <c r="P54" s="15" t="inlineStr">
        <is>
          <t>29/11/2023</t>
        </is>
      </c>
      <c r="Q54" s="15" t="n"/>
      <c r="R54" s="15" t="n"/>
    </row>
    <row r="55">
      <c r="A55" s="15" t="inlineStr">
        <is>
          <t>SL0051</t>
        </is>
      </c>
      <c r="B55" s="16" t="n">
        <v>45261</v>
      </c>
      <c r="C55" s="15" t="inlineStr">
        <is>
          <t>2023-12</t>
        </is>
      </c>
      <c r="D55" s="15" t="n">
        <v>2023</v>
      </c>
      <c r="E55" s="15" t="inlineStr">
        <is>
          <t>Land</t>
        </is>
      </c>
      <c r="F55" s="15" t="inlineStr">
        <is>
          <t>Plot / unit price</t>
        </is>
      </c>
      <c r="G55" s="15" t="inlineStr">
        <is>
          <t>Land (estate not stated in source)</t>
        </is>
      </c>
      <c r="H55" s="15" t="inlineStr">
        <is>
          <t>BP-C0026</t>
        </is>
      </c>
      <c r="I55" s="15" t="inlineStr">
        <is>
          <t>Mr Adebayo Dada</t>
        </is>
      </c>
      <c r="J55" s="17" t="n">
        <v>300000</v>
      </c>
      <c r="K55" s="15" t="inlineStr">
        <is>
          <t>Single register</t>
        </is>
      </c>
      <c r="L55" s="15" t="inlineStr">
        <is>
          <t>Primary: monthly turnover register</t>
        </is>
      </c>
      <c r="M55" s="15" t="inlineStr">
        <is>
          <t>BAAY PROJECTS FINANCIALS 2024.xlsx</t>
        </is>
      </c>
      <c r="N55" s="15" t="inlineStr">
        <is>
          <t>DECEMBER 2023 TURNOVER</t>
        </is>
      </c>
      <c r="O55" s="15" t="n">
        <v>6</v>
      </c>
      <c r="P55" s="15" t="inlineStr">
        <is>
          <t>2023-01-12</t>
        </is>
      </c>
      <c r="Q55" s="15" t="inlineStr">
        <is>
          <t>TURNOVER SCHEDULE r10</t>
        </is>
      </c>
      <c r="R55" s="15" t="n"/>
    </row>
    <row r="56">
      <c r="A56" s="15" t="inlineStr">
        <is>
          <t>SL0052</t>
        </is>
      </c>
      <c r="B56" s="16" t="n">
        <v>45264</v>
      </c>
      <c r="C56" s="15" t="inlineStr">
        <is>
          <t>2023-12</t>
        </is>
      </c>
      <c r="D56" s="15" t="n">
        <v>2023</v>
      </c>
      <c r="E56" s="15" t="inlineStr">
        <is>
          <t>Land</t>
        </is>
      </c>
      <c r="F56" s="15" t="inlineStr">
        <is>
          <t>Plot / unit price</t>
        </is>
      </c>
      <c r="G56" s="15" t="inlineStr">
        <is>
          <t>Land (estate not stated in source)</t>
        </is>
      </c>
      <c r="H56" s="15" t="inlineStr">
        <is>
          <t>BP-C0036</t>
        </is>
      </c>
      <c r="I56" s="15" t="inlineStr">
        <is>
          <t>Mr Ohumende Paul Osaze</t>
        </is>
      </c>
      <c r="J56" s="17" t="n">
        <v>4600000</v>
      </c>
      <c r="K56" s="15" t="inlineStr">
        <is>
          <t>Single register</t>
        </is>
      </c>
      <c r="L56" s="15" t="inlineStr">
        <is>
          <t>Primary: monthly turnover register</t>
        </is>
      </c>
      <c r="M56" s="15" t="inlineStr">
        <is>
          <t>BAAY PROJECTS FINANCIALS 2024.xlsx</t>
        </is>
      </c>
      <c r="N56" s="15" t="inlineStr">
        <is>
          <t>DECEMBER 2023 TURNOVER</t>
        </is>
      </c>
      <c r="O56" s="15" t="n">
        <v>7</v>
      </c>
      <c r="P56" s="15" t="inlineStr">
        <is>
          <t>2023-04-12</t>
        </is>
      </c>
      <c r="Q56" s="15" t="inlineStr">
        <is>
          <t>TURNOVER SCHEDULE r119</t>
        </is>
      </c>
      <c r="R56" s="15" t="n"/>
    </row>
    <row r="57">
      <c r="A57" s="15" t="inlineStr">
        <is>
          <t>SL0053</t>
        </is>
      </c>
      <c r="B57" s="16" t="n">
        <v>45264</v>
      </c>
      <c r="C57" s="15" t="inlineStr">
        <is>
          <t>2023-12</t>
        </is>
      </c>
      <c r="D57" s="15" t="n">
        <v>2023</v>
      </c>
      <c r="E57" s="15" t="inlineStr">
        <is>
          <t>Housing</t>
        </is>
      </c>
      <c r="F57" s="15" t="inlineStr">
        <is>
          <t>Plot / unit price</t>
        </is>
      </c>
      <c r="G57" s="15" t="inlineStr">
        <is>
          <t>Housing unit (project not stated in source)</t>
        </is>
      </c>
      <c r="H57" s="15" t="inlineStr">
        <is>
          <t>BP-C0047</t>
        </is>
      </c>
      <c r="I57" s="15" t="inlineStr">
        <is>
          <t>Ms Paulina Kehinde Akhere George</t>
        </is>
      </c>
      <c r="J57" s="17" t="n">
        <v>2500000</v>
      </c>
      <c r="K57" s="15" t="inlineStr">
        <is>
          <t>Single register</t>
        </is>
      </c>
      <c r="L57" s="15" t="inlineStr">
        <is>
          <t>Primary: monthly turnover register</t>
        </is>
      </c>
      <c r="M57" s="15" t="inlineStr">
        <is>
          <t>BAAY PROJECTS FINANCIALS 2024.xlsx</t>
        </is>
      </c>
      <c r="N57" s="15" t="inlineStr">
        <is>
          <t>DECEMBER 2023 TURNOVER</t>
        </is>
      </c>
      <c r="O57" s="15" t="n">
        <v>8</v>
      </c>
      <c r="P57" s="15" t="inlineStr">
        <is>
          <t>2023-04-12</t>
        </is>
      </c>
      <c r="Q57" s="15" t="inlineStr">
        <is>
          <t>TURNOVER SCHEDULE r212</t>
        </is>
      </c>
      <c r="R57" s="15" t="n"/>
    </row>
    <row r="58">
      <c r="A58" s="15" t="inlineStr">
        <is>
          <t>SL0054</t>
        </is>
      </c>
      <c r="B58" s="16" t="n">
        <v>45266</v>
      </c>
      <c r="C58" s="15" t="inlineStr">
        <is>
          <t>2023-12</t>
        </is>
      </c>
      <c r="D58" s="15" t="n">
        <v>2023</v>
      </c>
      <c r="E58" s="15" t="inlineStr">
        <is>
          <t>Land</t>
        </is>
      </c>
      <c r="F58" s="15" t="inlineStr">
        <is>
          <t>Plot / unit price</t>
        </is>
      </c>
      <c r="G58" s="15" t="inlineStr">
        <is>
          <t>Land (estate not stated in source)</t>
        </is>
      </c>
      <c r="H58" s="15" t="inlineStr">
        <is>
          <t>BP-C0039</t>
        </is>
      </c>
      <c r="I58" s="15" t="inlineStr">
        <is>
          <t>Mr Alabi Abdulazeez</t>
        </is>
      </c>
      <c r="J58" s="17" t="n">
        <v>800000</v>
      </c>
      <c r="K58" s="15" t="inlineStr">
        <is>
          <t>Single register</t>
        </is>
      </c>
      <c r="L58" s="15" t="inlineStr">
        <is>
          <t>Primary: monthly turnover register</t>
        </is>
      </c>
      <c r="M58" s="15" t="inlineStr">
        <is>
          <t>BAAY PROJECTS FINANCIALS 2024.xlsx</t>
        </is>
      </c>
      <c r="N58" s="15" t="inlineStr">
        <is>
          <t>DECEMBER 2023 TURNOVER</t>
        </is>
      </c>
      <c r="O58" s="15" t="n">
        <v>9</v>
      </c>
      <c r="P58" s="15" t="inlineStr">
        <is>
          <t>2023-06-12</t>
        </is>
      </c>
      <c r="Q58" s="15" t="inlineStr">
        <is>
          <t>TURNOVER SCHEDULE r196</t>
        </is>
      </c>
      <c r="R58" s="15" t="n"/>
    </row>
    <row r="59">
      <c r="A59" s="15" t="inlineStr">
        <is>
          <t>SL0055</t>
        </is>
      </c>
      <c r="B59" s="16" t="n">
        <v>45268</v>
      </c>
      <c r="C59" s="15" t="inlineStr">
        <is>
          <t>2023-12</t>
        </is>
      </c>
      <c r="D59" s="15" t="n">
        <v>2023</v>
      </c>
      <c r="E59" s="15" t="inlineStr">
        <is>
          <t>Land</t>
        </is>
      </c>
      <c r="F59" s="15" t="inlineStr">
        <is>
          <t>Plot / unit price</t>
        </is>
      </c>
      <c r="G59" s="15" t="inlineStr">
        <is>
          <t>Land (estate not stated in source)</t>
        </is>
      </c>
      <c r="H59" s="15" t="inlineStr">
        <is>
          <t>BP-C0048</t>
        </is>
      </c>
      <c r="I59" s="15" t="inlineStr">
        <is>
          <t>Mr Araokonmi Sodiq</t>
        </is>
      </c>
      <c r="J59" s="17" t="n">
        <v>2600000</v>
      </c>
      <c r="K59" s="15" t="inlineStr">
        <is>
          <t>Single register</t>
        </is>
      </c>
      <c r="L59" s="15" t="inlineStr">
        <is>
          <t>Primary: monthly turnover register</t>
        </is>
      </c>
      <c r="M59" s="15" t="inlineStr">
        <is>
          <t>BAAY PROJECTS FINANCIALS 2024.xlsx</t>
        </is>
      </c>
      <c r="N59" s="15" t="inlineStr">
        <is>
          <t>DECEMBER 2023 TURNOVER</t>
        </is>
      </c>
      <c r="O59" s="15" t="n">
        <v>10</v>
      </c>
      <c r="P59" s="15" t="inlineStr">
        <is>
          <t>2023-08-12</t>
        </is>
      </c>
      <c r="Q59" s="15" t="inlineStr">
        <is>
          <t>TURNOVER SCHEDULE r123, MS YETUNDE ABISOYE r7</t>
        </is>
      </c>
      <c r="R59" s="15" t="n"/>
    </row>
    <row r="60">
      <c r="A60" s="15" t="inlineStr">
        <is>
          <t>SL0056</t>
        </is>
      </c>
      <c r="B60" s="16" t="n">
        <v>45270</v>
      </c>
      <c r="C60" s="15" t="inlineStr">
        <is>
          <t>2023-12</t>
        </is>
      </c>
      <c r="D60" s="15" t="n">
        <v>2023</v>
      </c>
      <c r="E60" s="15" t="inlineStr">
        <is>
          <t>Land</t>
        </is>
      </c>
      <c r="F60" s="15" t="inlineStr">
        <is>
          <t>Plot / unit price</t>
        </is>
      </c>
      <c r="G60" s="15" t="inlineStr">
        <is>
          <t>Land (estate not stated in source)</t>
        </is>
      </c>
      <c r="H60" s="15" t="inlineStr">
        <is>
          <t>BP-C0028</t>
        </is>
      </c>
      <c r="I60" s="15" t="inlineStr">
        <is>
          <t>Mr Adebanjo Isaac</t>
        </is>
      </c>
      <c r="J60" s="17" t="n">
        <v>250000</v>
      </c>
      <c r="K60" s="15" t="inlineStr">
        <is>
          <t>Single register</t>
        </is>
      </c>
      <c r="L60" s="15" t="inlineStr">
        <is>
          <t>Primary: monthly turnover register</t>
        </is>
      </c>
      <c r="M60" s="15" t="inlineStr">
        <is>
          <t>BAAY PROJECTS FINANCIALS 2024.xlsx</t>
        </is>
      </c>
      <c r="N60" s="15" t="inlineStr">
        <is>
          <t>DECEMBER 2023 TURNOVER</t>
        </is>
      </c>
      <c r="O60" s="15" t="n">
        <v>11</v>
      </c>
      <c r="P60" s="15" t="inlineStr">
        <is>
          <t>2023-10-12</t>
        </is>
      </c>
      <c r="Q60" s="15" t="inlineStr">
        <is>
          <t>TURNOVER SCHEDULE r199</t>
        </is>
      </c>
      <c r="R60" s="15" t="n"/>
    </row>
    <row r="61">
      <c r="A61" s="15" t="inlineStr">
        <is>
          <t>SL0057</t>
        </is>
      </c>
      <c r="B61" s="16" t="n">
        <v>45270</v>
      </c>
      <c r="C61" s="15" t="inlineStr">
        <is>
          <t>2023-12</t>
        </is>
      </c>
      <c r="D61" s="15" t="n">
        <v>2023</v>
      </c>
      <c r="E61" s="15" t="inlineStr">
        <is>
          <t>Housing</t>
        </is>
      </c>
      <c r="F61" s="15" t="inlineStr">
        <is>
          <t>Plot / unit price</t>
        </is>
      </c>
      <c r="G61" s="15" t="inlineStr">
        <is>
          <t>Housing unit (project not stated in source)</t>
        </is>
      </c>
      <c r="H61" s="15" t="inlineStr">
        <is>
          <t>BP-C0047</t>
        </is>
      </c>
      <c r="I61" s="15" t="inlineStr">
        <is>
          <t>Ms Paulina Kehinde Akhere George</t>
        </is>
      </c>
      <c r="J61" s="17" t="n">
        <v>2500000</v>
      </c>
      <c r="K61" s="15" t="inlineStr">
        <is>
          <t>Single register</t>
        </is>
      </c>
      <c r="L61" s="15" t="inlineStr">
        <is>
          <t>Primary: monthly turnover register</t>
        </is>
      </c>
      <c r="M61" s="15" t="inlineStr">
        <is>
          <t>BAAY PROJECTS FINANCIALS 2024.xlsx</t>
        </is>
      </c>
      <c r="N61" s="15" t="inlineStr">
        <is>
          <t>DECEMBER 2023 TURNOVER</t>
        </is>
      </c>
      <c r="O61" s="15" t="n">
        <v>12</v>
      </c>
      <c r="P61" s="15" t="inlineStr">
        <is>
          <t>2023-10-12</t>
        </is>
      </c>
      <c r="Q61" s="15" t="inlineStr">
        <is>
          <t>TURNOVER SCHEDULE r213</t>
        </is>
      </c>
      <c r="R61" s="15" t="n"/>
    </row>
    <row r="62">
      <c r="A62" s="15" t="inlineStr">
        <is>
          <t>SL0058</t>
        </is>
      </c>
      <c r="B62" s="16" t="n">
        <v>45271</v>
      </c>
      <c r="C62" s="15" t="inlineStr">
        <is>
          <t>2023-12</t>
        </is>
      </c>
      <c r="D62" s="15" t="n">
        <v>2023</v>
      </c>
      <c r="E62" s="15" t="inlineStr">
        <is>
          <t>Land</t>
        </is>
      </c>
      <c r="F62" s="15" t="inlineStr">
        <is>
          <t>Plot / unit price</t>
        </is>
      </c>
      <c r="G62" s="15" t="inlineStr">
        <is>
          <t>Land (estate not stated in source)</t>
        </is>
      </c>
      <c r="H62" s="15" t="inlineStr">
        <is>
          <t>BP-C0049</t>
        </is>
      </c>
      <c r="I62" s="15" t="inlineStr">
        <is>
          <t>Mr Ali Ifesinachi Innocent</t>
        </is>
      </c>
      <c r="J62" s="17" t="n">
        <v>5040000</v>
      </c>
      <c r="K62" s="15" t="inlineStr">
        <is>
          <t>Single register</t>
        </is>
      </c>
      <c r="L62" s="15" t="inlineStr">
        <is>
          <t>Primary: monthly turnover register</t>
        </is>
      </c>
      <c r="M62" s="15" t="inlineStr">
        <is>
          <t>BAAY PROJECTS FINANCIALS 2024.xlsx</t>
        </is>
      </c>
      <c r="N62" s="15" t="inlineStr">
        <is>
          <t>DECEMBER 2023 TURNOVER</t>
        </is>
      </c>
      <c r="O62" s="15" t="n">
        <v>13</v>
      </c>
      <c r="P62" s="15" t="inlineStr">
        <is>
          <t>2023-11-12</t>
        </is>
      </c>
      <c r="Q62" s="15" t="inlineStr">
        <is>
          <t>TURNOVER SCHEDULE r209</t>
        </is>
      </c>
      <c r="R62" s="15" t="n"/>
    </row>
    <row r="63">
      <c r="A63" s="15" t="inlineStr">
        <is>
          <t>SL0059</t>
        </is>
      </c>
      <c r="B63" s="16" t="n">
        <v>45278</v>
      </c>
      <c r="C63" s="15" t="inlineStr">
        <is>
          <t>2023-12</t>
        </is>
      </c>
      <c r="D63" s="15" t="n">
        <v>2023</v>
      </c>
      <c r="E63" s="15" t="inlineStr">
        <is>
          <t>Land</t>
        </is>
      </c>
      <c r="F63" s="15" t="inlineStr">
        <is>
          <t>Plot / unit price</t>
        </is>
      </c>
      <c r="G63" s="15" t="inlineStr">
        <is>
          <t>Land (estate not stated in source)</t>
        </is>
      </c>
      <c r="H63" s="15" t="inlineStr">
        <is>
          <t>BP-C0026</t>
        </is>
      </c>
      <c r="I63" s="15" t="inlineStr">
        <is>
          <t>Mr Adebayo Dada</t>
        </is>
      </c>
      <c r="J63" s="17" t="n">
        <v>500000</v>
      </c>
      <c r="K63" s="15" t="inlineStr">
        <is>
          <t>Single register</t>
        </is>
      </c>
      <c r="L63" s="15" t="inlineStr">
        <is>
          <t>Primary: monthly turnover register</t>
        </is>
      </c>
      <c r="M63" s="15" t="inlineStr">
        <is>
          <t>BAAY PROJECTS FINANCIALS 2024.xlsx</t>
        </is>
      </c>
      <c r="N63" s="15" t="inlineStr">
        <is>
          <t>DECEMBER 2023 TURNOVER</t>
        </is>
      </c>
      <c r="O63" s="15" t="n">
        <v>14</v>
      </c>
      <c r="P63" s="15" t="inlineStr">
        <is>
          <t>18/12/2023</t>
        </is>
      </c>
      <c r="Q63" s="15" t="inlineStr">
        <is>
          <t>TURNOVER SCHEDULE r13</t>
        </is>
      </c>
      <c r="R63" s="15" t="n"/>
    </row>
    <row r="64">
      <c r="A64" s="15" t="inlineStr">
        <is>
          <t>SL0060</t>
        </is>
      </c>
      <c r="B64" s="16" t="n">
        <v>45279</v>
      </c>
      <c r="C64" s="15" t="inlineStr">
        <is>
          <t>2023-12</t>
        </is>
      </c>
      <c r="D64" s="15" t="n">
        <v>2023</v>
      </c>
      <c r="E64" s="15" t="inlineStr">
        <is>
          <t>Land</t>
        </is>
      </c>
      <c r="F64" s="15" t="inlineStr">
        <is>
          <t>Plot / unit price</t>
        </is>
      </c>
      <c r="G64" s="15" t="inlineStr">
        <is>
          <t>Land (estate not stated in source)</t>
        </is>
      </c>
      <c r="H64" s="15" t="inlineStr">
        <is>
          <t>BP-C0026</t>
        </is>
      </c>
      <c r="I64" s="15" t="inlineStr">
        <is>
          <t>Mr Adebayo Dada</t>
        </is>
      </c>
      <c r="J64" s="17" t="n">
        <v>500000</v>
      </c>
      <c r="K64" s="15" t="inlineStr">
        <is>
          <t>Single register</t>
        </is>
      </c>
      <c r="L64" s="15" t="inlineStr">
        <is>
          <t>Primary: monthly turnover register</t>
        </is>
      </c>
      <c r="M64" s="15" t="inlineStr">
        <is>
          <t>BAAY PROJECTS FINANCIALS 2024.xlsx</t>
        </is>
      </c>
      <c r="N64" s="15" t="inlineStr">
        <is>
          <t>DECEMBER 2023 TURNOVER</t>
        </is>
      </c>
      <c r="O64" s="15" t="n">
        <v>15</v>
      </c>
      <c r="P64" s="15" t="inlineStr">
        <is>
          <t>19/12/2023</t>
        </is>
      </c>
      <c r="Q64" s="15" t="inlineStr">
        <is>
          <t>TURNOVER SCHEDULE r14</t>
        </is>
      </c>
      <c r="R64" s="15" t="n"/>
    </row>
    <row r="65">
      <c r="A65" s="15" t="inlineStr">
        <is>
          <t>SL0061</t>
        </is>
      </c>
      <c r="B65" s="16" t="n">
        <v>45280</v>
      </c>
      <c r="C65" s="15" t="inlineStr">
        <is>
          <t>2023-12</t>
        </is>
      </c>
      <c r="D65" s="15" t="n">
        <v>2023</v>
      </c>
      <c r="E65" s="15" t="inlineStr">
        <is>
          <t>Land</t>
        </is>
      </c>
      <c r="F65" s="15" t="inlineStr">
        <is>
          <t>Plot / unit price</t>
        </is>
      </c>
      <c r="G65" s="15" t="inlineStr">
        <is>
          <t>Land (estate not stated in source)</t>
        </is>
      </c>
      <c r="H65" s="15" t="inlineStr">
        <is>
          <t>BP-C0033</t>
        </is>
      </c>
      <c r="I65" s="15" t="inlineStr">
        <is>
          <t>Mr Olumoko Oladapo Oluwaseun</t>
        </is>
      </c>
      <c r="J65" s="17" t="n">
        <v>1000000</v>
      </c>
      <c r="K65" s="15" t="inlineStr">
        <is>
          <t>Single register</t>
        </is>
      </c>
      <c r="L65" s="15" t="inlineStr">
        <is>
          <t>Primary: monthly turnover register</t>
        </is>
      </c>
      <c r="M65" s="15" t="inlineStr">
        <is>
          <t>BAAY PROJECTS FINANCIALS 2024.xlsx</t>
        </is>
      </c>
      <c r="N65" s="15" t="inlineStr">
        <is>
          <t>DECEMBER 2023 TURNOVER</t>
        </is>
      </c>
      <c r="O65" s="15" t="n">
        <v>16</v>
      </c>
      <c r="P65" s="15" t="inlineStr">
        <is>
          <t>20/12/2023</t>
        </is>
      </c>
      <c r="Q65" s="15" t="inlineStr">
        <is>
          <t>TURNOVER SCHEDULE r157, MS BOLANLE r14</t>
        </is>
      </c>
      <c r="R65" s="15" t="n"/>
    </row>
    <row r="66">
      <c r="A66" s="15" t="inlineStr">
        <is>
          <t>SL0062</t>
        </is>
      </c>
      <c r="B66" s="16" t="n">
        <v>45281</v>
      </c>
      <c r="C66" s="15" t="inlineStr">
        <is>
          <t>2023-12</t>
        </is>
      </c>
      <c r="D66" s="15" t="n">
        <v>2023</v>
      </c>
      <c r="E66" s="15" t="inlineStr">
        <is>
          <t>Land</t>
        </is>
      </c>
      <c r="F66" s="15" t="inlineStr">
        <is>
          <t>Plot / unit price</t>
        </is>
      </c>
      <c r="G66" s="15" t="inlineStr">
        <is>
          <t>Land (estate not stated in source)</t>
        </is>
      </c>
      <c r="H66" s="15" t="inlineStr">
        <is>
          <t>BP-C0051</t>
        </is>
      </c>
      <c r="I66" s="15" t="inlineStr">
        <is>
          <t>Mr Olumide Ogunleye</t>
        </is>
      </c>
      <c r="J66" s="17" t="n">
        <v>500000</v>
      </c>
      <c r="K66" s="15" t="inlineStr">
        <is>
          <t>Single register</t>
        </is>
      </c>
      <c r="L66" s="15" t="inlineStr">
        <is>
          <t>Primary: monthly turnover register</t>
        </is>
      </c>
      <c r="M66" s="15" t="inlineStr">
        <is>
          <t>BAAY PROJECTS FINANCIALS 2024.xlsx</t>
        </is>
      </c>
      <c r="N66" s="15" t="inlineStr">
        <is>
          <t>DECEMBER 2023 TURNOVER</t>
        </is>
      </c>
      <c r="O66" s="15" t="n">
        <v>17</v>
      </c>
      <c r="P66" s="15" t="inlineStr">
        <is>
          <t>21/12/2023</t>
        </is>
      </c>
      <c r="Q66" s="15" t="inlineStr">
        <is>
          <t>TURNOVER SCHEDULE r41</t>
        </is>
      </c>
      <c r="R66" s="15" t="n"/>
    </row>
    <row r="67">
      <c r="A67" s="15" t="inlineStr">
        <is>
          <t>SL0063</t>
        </is>
      </c>
      <c r="B67" s="16" t="n">
        <v>45283</v>
      </c>
      <c r="C67" s="15" t="inlineStr">
        <is>
          <t>2023-12</t>
        </is>
      </c>
      <c r="D67" s="15" t="n">
        <v>2023</v>
      </c>
      <c r="E67" s="15" t="inlineStr">
        <is>
          <t>Land</t>
        </is>
      </c>
      <c r="F67" s="15" t="inlineStr">
        <is>
          <t>Plot / unit price</t>
        </is>
      </c>
      <c r="G67" s="15" t="inlineStr">
        <is>
          <t>Land (estate not stated in source)</t>
        </is>
      </c>
      <c r="H67" s="15" t="inlineStr">
        <is>
          <t>BP-C0030</t>
        </is>
      </c>
      <c r="I67" s="15" t="inlineStr">
        <is>
          <t>Mr Akorede Adese</t>
        </is>
      </c>
      <c r="J67" s="17" t="n">
        <v>100000</v>
      </c>
      <c r="K67" s="15" t="inlineStr">
        <is>
          <t>Single register</t>
        </is>
      </c>
      <c r="L67" s="15" t="inlineStr">
        <is>
          <t>Primary: monthly turnover register</t>
        </is>
      </c>
      <c r="M67" s="15" t="inlineStr">
        <is>
          <t>BAAY PROJECTS FINANCIALS 2024.xlsx</t>
        </is>
      </c>
      <c r="N67" s="15" t="inlineStr">
        <is>
          <t>DECEMBER 2023 TURNOVER</t>
        </is>
      </c>
      <c r="O67" s="15" t="n">
        <v>18</v>
      </c>
      <c r="P67" s="15" t="inlineStr">
        <is>
          <t>23/12/2023</t>
        </is>
      </c>
      <c r="Q67" s="15" t="inlineStr">
        <is>
          <t>TURNOVER SCHEDULE r205</t>
        </is>
      </c>
      <c r="R67" s="15" t="n"/>
    </row>
    <row r="68">
      <c r="A68" s="15" t="inlineStr">
        <is>
          <t>SL0064</t>
        </is>
      </c>
      <c r="B68" s="16" t="n">
        <v>45283</v>
      </c>
      <c r="C68" s="15" t="inlineStr">
        <is>
          <t>2023-12</t>
        </is>
      </c>
      <c r="D68" s="15" t="n">
        <v>2023</v>
      </c>
      <c r="E68" s="15" t="inlineStr">
        <is>
          <t>Land</t>
        </is>
      </c>
      <c r="F68" s="15" t="inlineStr">
        <is>
          <t>Plot / unit price</t>
        </is>
      </c>
      <c r="G68" s="15" t="inlineStr">
        <is>
          <t>Land (estate not stated in source)</t>
        </is>
      </c>
      <c r="H68" s="15" t="inlineStr">
        <is>
          <t>BP-C0052</t>
        </is>
      </c>
      <c r="I68" s="15" t="inlineStr">
        <is>
          <t>Ms Okorejior Ojoma Lilian</t>
        </is>
      </c>
      <c r="J68" s="17" t="n">
        <v>1000000</v>
      </c>
      <c r="K68" s="15" t="inlineStr">
        <is>
          <t>Single register</t>
        </is>
      </c>
      <c r="L68" s="15" t="inlineStr">
        <is>
          <t>Primary: monthly turnover register</t>
        </is>
      </c>
      <c r="M68" s="15" t="inlineStr">
        <is>
          <t>BAAY PROJECTS FINANCIALS 2024.xlsx</t>
        </is>
      </c>
      <c r="N68" s="15" t="inlineStr">
        <is>
          <t>DECEMBER 2023 TURNOVER</t>
        </is>
      </c>
      <c r="O68" s="15" t="n">
        <v>19</v>
      </c>
      <c r="P68" s="15" t="inlineStr">
        <is>
          <t>23/12/2023</t>
        </is>
      </c>
      <c r="Q68" s="15" t="inlineStr">
        <is>
          <t>TURNOVER SCHEDULE r73, MS IMMACULATE r13</t>
        </is>
      </c>
      <c r="R68" s="15" t="n"/>
    </row>
    <row r="69">
      <c r="A69" s="15" t="inlineStr">
        <is>
          <t>SL0065</t>
        </is>
      </c>
      <c r="B69" s="16" t="n">
        <v>45284</v>
      </c>
      <c r="C69" s="15" t="inlineStr">
        <is>
          <t>2023-12</t>
        </is>
      </c>
      <c r="D69" s="15" t="n">
        <v>2023</v>
      </c>
      <c r="E69" s="15" t="inlineStr">
        <is>
          <t>Land</t>
        </is>
      </c>
      <c r="F69" s="15" t="inlineStr">
        <is>
          <t>Plot / unit price</t>
        </is>
      </c>
      <c r="G69" s="15" t="inlineStr">
        <is>
          <t>Land (estate not stated in source)</t>
        </is>
      </c>
      <c r="H69" s="15" t="inlineStr">
        <is>
          <t>BP-C0030</t>
        </is>
      </c>
      <c r="I69" s="15" t="inlineStr">
        <is>
          <t>Mr Akorede Adese</t>
        </is>
      </c>
      <c r="J69" s="17" t="n">
        <v>100000</v>
      </c>
      <c r="K69" s="15" t="inlineStr">
        <is>
          <t>Single register</t>
        </is>
      </c>
      <c r="L69" s="15" t="inlineStr">
        <is>
          <t>Primary: monthly turnover register</t>
        </is>
      </c>
      <c r="M69" s="15" t="inlineStr">
        <is>
          <t>BAAY PROJECTS FINANCIALS 2024.xlsx</t>
        </is>
      </c>
      <c r="N69" s="15" t="inlineStr">
        <is>
          <t>DECEMBER 2023 TURNOVER</t>
        </is>
      </c>
      <c r="O69" s="15" t="n">
        <v>20</v>
      </c>
      <c r="P69" s="15" t="inlineStr">
        <is>
          <t>24/12/2023</t>
        </is>
      </c>
      <c r="Q69" s="15" t="inlineStr">
        <is>
          <t>TURNOVER SCHEDULE r206</t>
        </is>
      </c>
      <c r="R69" s="15" t="n"/>
    </row>
    <row r="70">
      <c r="A70" s="15" t="inlineStr">
        <is>
          <t>SL0066</t>
        </is>
      </c>
      <c r="B70" s="16" t="n">
        <v>45286</v>
      </c>
      <c r="C70" s="15" t="inlineStr">
        <is>
          <t>2023-12</t>
        </is>
      </c>
      <c r="D70" s="15" t="n">
        <v>2023</v>
      </c>
      <c r="E70" s="15" t="inlineStr">
        <is>
          <t>Land</t>
        </is>
      </c>
      <c r="F70" s="15" t="inlineStr">
        <is>
          <t>Plot / unit price</t>
        </is>
      </c>
      <c r="G70" s="15" t="inlineStr">
        <is>
          <t>Land (estate not stated in source)</t>
        </is>
      </c>
      <c r="H70" s="15" t="inlineStr">
        <is>
          <t>BP-C0053</t>
        </is>
      </c>
      <c r="I70" s="15" t="inlineStr">
        <is>
          <t>Mr Adegbembo  Stephen Oluwagbemiga</t>
        </is>
      </c>
      <c r="J70" s="17" t="n">
        <v>500000</v>
      </c>
      <c r="K70" s="15" t="inlineStr">
        <is>
          <t>Single register</t>
        </is>
      </c>
      <c r="L70" s="15" t="inlineStr">
        <is>
          <t>Primary: monthly turnover register</t>
        </is>
      </c>
      <c r="M70" s="15" t="inlineStr">
        <is>
          <t>BAAY PROJECTS FINANCIALS 2024.xlsx</t>
        </is>
      </c>
      <c r="N70" s="15" t="inlineStr">
        <is>
          <t>DECEMBER 2023 TURNOVER</t>
        </is>
      </c>
      <c r="O70" s="15" t="n">
        <v>21</v>
      </c>
      <c r="P70" s="15" t="inlineStr">
        <is>
          <t>26/12/2023</t>
        </is>
      </c>
      <c r="Q70" s="15" t="inlineStr">
        <is>
          <t>TURNOVER SCHEDULE r82</t>
        </is>
      </c>
      <c r="R70" s="15" t="n"/>
    </row>
    <row r="71">
      <c r="A71" s="15" t="inlineStr">
        <is>
          <t>SL0067</t>
        </is>
      </c>
      <c r="B71" s="16" t="n">
        <v>45288</v>
      </c>
      <c r="C71" s="15" t="inlineStr">
        <is>
          <t>2023-12</t>
        </is>
      </c>
      <c r="D71" s="15" t="n">
        <v>2023</v>
      </c>
      <c r="E71" s="15" t="inlineStr">
        <is>
          <t>Land</t>
        </is>
      </c>
      <c r="F71" s="15" t="inlineStr">
        <is>
          <t>Plot / unit price</t>
        </is>
      </c>
      <c r="G71" s="15" t="inlineStr">
        <is>
          <t>Land (estate not stated in source)</t>
        </is>
      </c>
      <c r="H71" s="15" t="inlineStr">
        <is>
          <t>BP-C0055</t>
        </is>
      </c>
      <c r="I71" s="15" t="inlineStr">
        <is>
          <t>Mr Ademola Adeniji</t>
        </is>
      </c>
      <c r="J71" s="17" t="n">
        <v>2000000</v>
      </c>
      <c r="K71" s="15" t="inlineStr">
        <is>
          <t>Single register</t>
        </is>
      </c>
      <c r="L71" s="15" t="inlineStr">
        <is>
          <t>Primary: monthly turnover register</t>
        </is>
      </c>
      <c r="M71" s="15" t="inlineStr">
        <is>
          <t>BAAY PROJECTS FINANCIALS 2024.xlsx</t>
        </is>
      </c>
      <c r="N71" s="15" t="inlineStr">
        <is>
          <t>DECEMBER 2023 TURNOVER</t>
        </is>
      </c>
      <c r="O71" s="15" t="n">
        <v>22</v>
      </c>
      <c r="P71" s="15" t="inlineStr">
        <is>
          <t>28/12/2023</t>
        </is>
      </c>
      <c r="Q71" s="15" t="inlineStr">
        <is>
          <t>TURNOVER SCHEDULE r35</t>
        </is>
      </c>
      <c r="R71" s="15" t="n"/>
    </row>
    <row r="72">
      <c r="A72" s="15" t="inlineStr">
        <is>
          <t>SL0068</t>
        </is>
      </c>
      <c r="B72" s="16" t="n">
        <v>45288</v>
      </c>
      <c r="C72" s="15" t="inlineStr">
        <is>
          <t>2023-12</t>
        </is>
      </c>
      <c r="D72" s="15" t="n">
        <v>2023</v>
      </c>
      <c r="E72" s="15" t="inlineStr">
        <is>
          <t>Land</t>
        </is>
      </c>
      <c r="F72" s="15" t="inlineStr">
        <is>
          <t>Plot / unit price</t>
        </is>
      </c>
      <c r="G72" s="15" t="inlineStr">
        <is>
          <t>Land (estate not stated in source)</t>
        </is>
      </c>
      <c r="H72" s="15" t="inlineStr">
        <is>
          <t>BP-C0054</t>
        </is>
      </c>
      <c r="I72" s="15" t="inlineStr">
        <is>
          <t>Mr Ademola Adeniyi</t>
        </is>
      </c>
      <c r="J72" s="17" t="n">
        <v>2000000</v>
      </c>
      <c r="K72" s="15" t="inlineStr">
        <is>
          <t>Single register</t>
        </is>
      </c>
      <c r="L72" s="15" t="inlineStr">
        <is>
          <t>Primary: monthly turnover register</t>
        </is>
      </c>
      <c r="M72" s="15" t="inlineStr">
        <is>
          <t>BAAY PROJECTS FINANCIALS 2024.xlsx</t>
        </is>
      </c>
      <c r="N72" s="15" t="inlineStr">
        <is>
          <t>DECEMBER 2023 TURNOVER</t>
        </is>
      </c>
      <c r="O72" s="15" t="n">
        <v>23</v>
      </c>
      <c r="P72" s="15" t="inlineStr">
        <is>
          <t>28/12/2023</t>
        </is>
      </c>
      <c r="Q72" s="15" t="inlineStr">
        <is>
          <t>TURNOVER SCHEDULE r88, MRS ABIMBOLA r9</t>
        </is>
      </c>
      <c r="R72" s="15" t="n"/>
    </row>
    <row r="73">
      <c r="A73" s="15" t="inlineStr">
        <is>
          <t>SL0069</t>
        </is>
      </c>
      <c r="B73" s="16" t="n">
        <v>45288</v>
      </c>
      <c r="C73" s="15" t="inlineStr">
        <is>
          <t>2023-12</t>
        </is>
      </c>
      <c r="D73" s="15" t="n">
        <v>2023</v>
      </c>
      <c r="E73" s="15" t="inlineStr">
        <is>
          <t>Land</t>
        </is>
      </c>
      <c r="F73" s="15" t="inlineStr">
        <is>
          <t>Plot / unit price</t>
        </is>
      </c>
      <c r="G73" s="15" t="inlineStr">
        <is>
          <t>Land (estate not stated in source)</t>
        </is>
      </c>
      <c r="H73" s="15" t="inlineStr">
        <is>
          <t>BP-C0006</t>
        </is>
      </c>
      <c r="I73" s="15" t="inlineStr">
        <is>
          <t>Mr Olasupo Oladimeji Muritala</t>
        </is>
      </c>
      <c r="J73" s="17" t="n">
        <v>2000000</v>
      </c>
      <c r="K73" s="15" t="inlineStr">
        <is>
          <t>Single register</t>
        </is>
      </c>
      <c r="L73" s="15" t="inlineStr">
        <is>
          <t>Primary: monthly turnover register</t>
        </is>
      </c>
      <c r="M73" s="15" t="inlineStr">
        <is>
          <t>BAAY PROJECTS FINANCIALS 2024.xlsx</t>
        </is>
      </c>
      <c r="N73" s="15" t="inlineStr">
        <is>
          <t>DECEMBER 2023 TURNOVER</t>
        </is>
      </c>
      <c r="O73" s="15" t="n">
        <v>24</v>
      </c>
      <c r="P73" s="15" t="inlineStr">
        <is>
          <t>28/12/2023</t>
        </is>
      </c>
      <c r="Q73" s="15" t="inlineStr">
        <is>
          <t>TURNOVER SCHEDULE r26, MRS ABIMBOLA r14</t>
        </is>
      </c>
      <c r="R73" s="15" t="n"/>
    </row>
    <row r="74">
      <c r="A74" s="15" t="inlineStr">
        <is>
          <t>SL0070</t>
        </is>
      </c>
      <c r="B74" s="16" t="n">
        <v>45289</v>
      </c>
      <c r="C74" s="15" t="inlineStr">
        <is>
          <t>2023-12</t>
        </is>
      </c>
      <c r="D74" s="15" t="n">
        <v>2023</v>
      </c>
      <c r="E74" s="15" t="inlineStr">
        <is>
          <t>Land</t>
        </is>
      </c>
      <c r="F74" s="15" t="inlineStr">
        <is>
          <t>Plot / unit price</t>
        </is>
      </c>
      <c r="G74" s="15" t="inlineStr">
        <is>
          <t>Land (estate not stated in source)</t>
        </is>
      </c>
      <c r="H74" s="15" t="inlineStr">
        <is>
          <t>BP-C0056</t>
        </is>
      </c>
      <c r="I74" s="15" t="inlineStr">
        <is>
          <t>Mr Adeuti Olanrewaju Babatunde</t>
        </is>
      </c>
      <c r="J74" s="17" t="n">
        <v>500000</v>
      </c>
      <c r="K74" s="15" t="inlineStr">
        <is>
          <t>Single register</t>
        </is>
      </c>
      <c r="L74" s="15" t="inlineStr">
        <is>
          <t>Primary: monthly turnover register</t>
        </is>
      </c>
      <c r="M74" s="15" t="inlineStr">
        <is>
          <t>BAAY PROJECTS FINANCIALS 2024.xlsx</t>
        </is>
      </c>
      <c r="N74" s="15" t="inlineStr">
        <is>
          <t>DECEMBER 2023 TURNOVER</t>
        </is>
      </c>
      <c r="O74" s="15" t="n">
        <v>25</v>
      </c>
      <c r="P74" s="15" t="inlineStr">
        <is>
          <t>29/12/2023</t>
        </is>
      </c>
      <c r="Q74" s="15" t="inlineStr">
        <is>
          <t>TURNOVER SCHEDULE r77, MRS ABIMBOLA r20</t>
        </is>
      </c>
      <c r="R74" s="15" t="n"/>
    </row>
    <row r="75">
      <c r="A75" s="15" t="inlineStr">
        <is>
          <t>SL0071</t>
        </is>
      </c>
      <c r="B75" s="16" t="n">
        <v>45289</v>
      </c>
      <c r="C75" s="15" t="inlineStr">
        <is>
          <t>2023-12</t>
        </is>
      </c>
      <c r="D75" s="15" t="n">
        <v>2023</v>
      </c>
      <c r="E75" s="15" t="inlineStr">
        <is>
          <t>Land</t>
        </is>
      </c>
      <c r="F75" s="15" t="inlineStr">
        <is>
          <t>Plot / unit price</t>
        </is>
      </c>
      <c r="G75" s="15" t="inlineStr">
        <is>
          <t>Land (estate not stated in source)</t>
        </is>
      </c>
      <c r="H75" s="15" t="inlineStr">
        <is>
          <t>BP-C0029</t>
        </is>
      </c>
      <c r="I75" s="15" t="inlineStr">
        <is>
          <t>Mr Ohanehi Anthony Chukwunonso</t>
        </is>
      </c>
      <c r="J75" s="17" t="n">
        <v>1490000</v>
      </c>
      <c r="K75" s="15" t="inlineStr">
        <is>
          <t>Single register</t>
        </is>
      </c>
      <c r="L75" s="15" t="inlineStr">
        <is>
          <t>Primary: monthly turnover register</t>
        </is>
      </c>
      <c r="M75" s="15" t="inlineStr">
        <is>
          <t>BAAY PROJECTS FINANCIALS 2024.xlsx</t>
        </is>
      </c>
      <c r="N75" s="15" t="inlineStr">
        <is>
          <t>DECEMBER 2023 TURNOVER</t>
        </is>
      </c>
      <c r="O75" s="15" t="n">
        <v>26</v>
      </c>
      <c r="P75" s="15" t="inlineStr">
        <is>
          <t>29/12/2023</t>
        </is>
      </c>
      <c r="Q75" s="15" t="inlineStr">
        <is>
          <t>TURNOVER SCHEDULE r19</t>
        </is>
      </c>
      <c r="R75" s="15" t="n"/>
    </row>
    <row r="76">
      <c r="A76" s="15" t="inlineStr">
        <is>
          <t>SL0072</t>
        </is>
      </c>
      <c r="B76" s="16" t="n">
        <v>45289</v>
      </c>
      <c r="C76" s="15" t="inlineStr">
        <is>
          <t>2023-12</t>
        </is>
      </c>
      <c r="D76" s="15" t="n">
        <v>2023</v>
      </c>
      <c r="E76" s="15" t="inlineStr">
        <is>
          <t>Land</t>
        </is>
      </c>
      <c r="F76" s="15" t="inlineStr">
        <is>
          <t>Plot / unit price</t>
        </is>
      </c>
      <c r="G76" s="15" t="inlineStr">
        <is>
          <t>Land (estate not stated in source)</t>
        </is>
      </c>
      <c r="H76" s="15" t="inlineStr">
        <is>
          <t>BP-C0029</t>
        </is>
      </c>
      <c r="I76" s="15" t="inlineStr">
        <is>
          <t>Mr Ohanehi Anthony Chukwunonso</t>
        </is>
      </c>
      <c r="J76" s="17" t="n">
        <v>1490000</v>
      </c>
      <c r="K76" s="15" t="inlineStr">
        <is>
          <t>Single register</t>
        </is>
      </c>
      <c r="L76" s="15" t="inlineStr">
        <is>
          <t>Primary: monthly turnover register</t>
        </is>
      </c>
      <c r="M76" s="15" t="inlineStr">
        <is>
          <t>BAAY PROJECTS FINANCIALS 2024.xlsx</t>
        </is>
      </c>
      <c r="N76" s="15" t="inlineStr">
        <is>
          <t>DECEMBER 2023 TURNOVER</t>
        </is>
      </c>
      <c r="O76" s="15" t="n">
        <v>27</v>
      </c>
      <c r="P76" s="15" t="inlineStr">
        <is>
          <t>29/12/2023</t>
        </is>
      </c>
      <c r="Q76" s="15" t="inlineStr">
        <is>
          <t>TURNOVER SCHEDULE r165</t>
        </is>
      </c>
      <c r="R76" s="15" t="n"/>
    </row>
    <row r="77">
      <c r="A77" s="15" t="inlineStr">
        <is>
          <t>SL0073</t>
        </is>
      </c>
      <c r="B77" s="16" t="n">
        <v>45289</v>
      </c>
      <c r="C77" s="15" t="inlineStr">
        <is>
          <t>2023-12</t>
        </is>
      </c>
      <c r="D77" s="15" t="n">
        <v>2023</v>
      </c>
      <c r="E77" s="15" t="inlineStr">
        <is>
          <t>Land</t>
        </is>
      </c>
      <c r="F77" s="15" t="inlineStr">
        <is>
          <t>Plot / unit price</t>
        </is>
      </c>
      <c r="G77" s="15" t="inlineStr">
        <is>
          <t>Land (estate not stated in source)</t>
        </is>
      </c>
      <c r="H77" s="15" t="inlineStr">
        <is>
          <t>BP-C0057</t>
        </is>
      </c>
      <c r="I77" s="15" t="inlineStr">
        <is>
          <t>Mr Oniyide Olalouwa Blessing</t>
        </is>
      </c>
      <c r="J77" s="17" t="n">
        <v>2000000</v>
      </c>
      <c r="K77" s="15" t="inlineStr">
        <is>
          <t>Single register</t>
        </is>
      </c>
      <c r="L77" s="15" t="inlineStr">
        <is>
          <t>Primary: monthly turnover register</t>
        </is>
      </c>
      <c r="M77" s="15" t="inlineStr">
        <is>
          <t>BAAY PROJECTS FINANCIALS 2024.xlsx</t>
        </is>
      </c>
      <c r="N77" s="15" t="inlineStr">
        <is>
          <t>DECEMBER 2023 TURNOVER</t>
        </is>
      </c>
      <c r="O77" s="15" t="n">
        <v>28</v>
      </c>
      <c r="P77" s="15" t="inlineStr">
        <is>
          <t>29/12/2023</t>
        </is>
      </c>
      <c r="Q77" s="15" t="inlineStr">
        <is>
          <t>TURNOVER SCHEDULE r68</t>
        </is>
      </c>
      <c r="R77" s="15" t="n"/>
    </row>
    <row r="78">
      <c r="A78" s="15" t="inlineStr">
        <is>
          <t>SL0074</t>
        </is>
      </c>
      <c r="B78" s="16" t="n">
        <v>45290</v>
      </c>
      <c r="C78" s="15" t="inlineStr">
        <is>
          <t>2023-12</t>
        </is>
      </c>
      <c r="D78" s="15" t="n">
        <v>2023</v>
      </c>
      <c r="E78" s="15" t="inlineStr">
        <is>
          <t>Land</t>
        </is>
      </c>
      <c r="F78" s="15" t="inlineStr">
        <is>
          <t>Plot / unit price</t>
        </is>
      </c>
      <c r="G78" s="15" t="inlineStr">
        <is>
          <t>Land (estate not stated in source)</t>
        </is>
      </c>
      <c r="H78" s="15" t="inlineStr">
        <is>
          <t>BP-C0050</t>
        </is>
      </c>
      <c r="I78" s="15" t="inlineStr">
        <is>
          <t>Mr Patrick Atuanya Jideovo</t>
        </is>
      </c>
      <c r="J78" s="17" t="n">
        <v>500000</v>
      </c>
      <c r="K78" s="15" t="inlineStr">
        <is>
          <t>Single register</t>
        </is>
      </c>
      <c r="L78" s="15" t="inlineStr">
        <is>
          <t>Primary: monthly turnover register</t>
        </is>
      </c>
      <c r="M78" s="15" t="inlineStr">
        <is>
          <t>BAAY PROJECTS FINANCIALS 2024.xlsx</t>
        </is>
      </c>
      <c r="N78" s="15" t="inlineStr">
        <is>
          <t>DECEMBER 2023 TURNOVER</t>
        </is>
      </c>
      <c r="O78" s="15" t="n">
        <v>29</v>
      </c>
      <c r="P78" s="15" t="inlineStr">
        <is>
          <t>30/12/2023</t>
        </is>
      </c>
      <c r="Q78" s="15" t="inlineStr">
        <is>
          <t>TURNOVER SCHEDULE r142, MS YETUNDE ABISOYE r11</t>
        </is>
      </c>
      <c r="R78" s="15" t="n"/>
    </row>
    <row r="79">
      <c r="A79" s="15" t="inlineStr">
        <is>
          <t>SL0075</t>
        </is>
      </c>
      <c r="B79" s="16" t="n">
        <v>45291</v>
      </c>
      <c r="C79" s="15" t="inlineStr">
        <is>
          <t>2023-12</t>
        </is>
      </c>
      <c r="D79" s="15" t="n">
        <v>2023</v>
      </c>
      <c r="E79" s="15" t="inlineStr">
        <is>
          <t>Land</t>
        </is>
      </c>
      <c r="F79" s="15" t="inlineStr">
        <is>
          <t>Plot / unit price</t>
        </is>
      </c>
      <c r="G79" s="15" t="inlineStr">
        <is>
          <t>Land (estate not stated in source)</t>
        </is>
      </c>
      <c r="H79" s="15" t="inlineStr">
        <is>
          <t>BP-C0059</t>
        </is>
      </c>
      <c r="I79" s="15" t="inlineStr">
        <is>
          <t>Chief Elochukwu Onyemelukwe</t>
        </is>
      </c>
      <c r="J79" s="17" t="n">
        <v>500000</v>
      </c>
      <c r="K79" s="15" t="inlineStr">
        <is>
          <t>Single register</t>
        </is>
      </c>
      <c r="L79" s="15" t="inlineStr">
        <is>
          <t>Primary: monthly turnover register</t>
        </is>
      </c>
      <c r="M79" s="15" t="inlineStr">
        <is>
          <t>BAAY PROJECTS FINANCIALS 2024.xlsx</t>
        </is>
      </c>
      <c r="N79" s="15" t="inlineStr">
        <is>
          <t>DECEMBER 2023 TURNOVER</t>
        </is>
      </c>
      <c r="O79" s="15" t="n">
        <v>30</v>
      </c>
      <c r="P79" s="15" t="inlineStr">
        <is>
          <t>31/12/2023</t>
        </is>
      </c>
      <c r="Q79" s="15" t="inlineStr">
        <is>
          <t>TURNOVER SCHEDULE r136</t>
        </is>
      </c>
      <c r="R79" s="15" t="n"/>
    </row>
    <row r="80">
      <c r="A80" s="15" t="inlineStr">
        <is>
          <t>SL0076</t>
        </is>
      </c>
      <c r="B80" s="16" t="n">
        <v>45292</v>
      </c>
      <c r="C80" s="15" t="inlineStr">
        <is>
          <t>2024-01</t>
        </is>
      </c>
      <c r="D80" s="15" t="n">
        <v>2024</v>
      </c>
      <c r="E80" s="15" t="inlineStr">
        <is>
          <t>Land</t>
        </is>
      </c>
      <c r="F80" s="15" t="inlineStr">
        <is>
          <t>Plot / unit price</t>
        </is>
      </c>
      <c r="G80" s="15" t="inlineStr">
        <is>
          <t>Green City Phase 1 (Lantaba, Ketu-Epe)</t>
        </is>
      </c>
      <c r="H80" s="15" t="inlineStr">
        <is>
          <t>BP-C0046</t>
        </is>
      </c>
      <c r="I80" s="15" t="inlineStr">
        <is>
          <t>Mr Adesida Raphael Abiodun</t>
        </is>
      </c>
      <c r="J80" s="17" t="n">
        <v>200000</v>
      </c>
      <c r="K80" s="15" t="inlineStr">
        <is>
          <t>Single register</t>
        </is>
      </c>
      <c r="L80" s="15" t="inlineStr">
        <is>
          <t>Primary: monthly turnover register</t>
        </is>
      </c>
      <c r="M80" s="15" t="inlineStr">
        <is>
          <t>BAAY PROJECTS FINANCIALS 2024.xlsx</t>
        </is>
      </c>
      <c r="N80" s="15" t="inlineStr">
        <is>
          <t>JANUARY TURNOVER</t>
        </is>
      </c>
      <c r="O80" s="15" t="n">
        <v>6</v>
      </c>
      <c r="P80" s="15" t="inlineStr">
        <is>
          <t>2024-01-01</t>
        </is>
      </c>
      <c r="Q80" s="15" t="inlineStr">
        <is>
          <t>TURNOVER SCHEDULE r170</t>
        </is>
      </c>
      <c r="R80" s="15" t="n"/>
    </row>
    <row r="81">
      <c r="A81" s="15" t="inlineStr">
        <is>
          <t>SL0077</t>
        </is>
      </c>
      <c r="B81" s="16" t="n">
        <v>45292</v>
      </c>
      <c r="C81" s="15" t="inlineStr">
        <is>
          <t>2024-01</t>
        </is>
      </c>
      <c r="D81" s="15" t="n">
        <v>2024</v>
      </c>
      <c r="E81" s="15" t="inlineStr">
        <is>
          <t>Land</t>
        </is>
      </c>
      <c r="F81" s="15" t="inlineStr">
        <is>
          <t>Plot / unit price</t>
        </is>
      </c>
      <c r="G81" s="15" t="inlineStr">
        <is>
          <t>Green City Phase 2 (Idobi, Ketu-Epe)</t>
        </is>
      </c>
      <c r="H81" s="15" t="inlineStr">
        <is>
          <t>BP-C0060</t>
        </is>
      </c>
      <c r="I81" s="15" t="inlineStr">
        <is>
          <t>Ms. Mitchell Jennifer</t>
        </is>
      </c>
      <c r="J81" s="17" t="n">
        <v>200000</v>
      </c>
      <c r="K81" s="15" t="inlineStr">
        <is>
          <t>Single register</t>
        </is>
      </c>
      <c r="L81" s="15" t="inlineStr">
        <is>
          <t>Primary: monthly turnover register</t>
        </is>
      </c>
      <c r="M81" s="15" t="inlineStr">
        <is>
          <t>BAAY PROJECTS FINANCIALS 2024.xlsx</t>
        </is>
      </c>
      <c r="N81" s="15" t="inlineStr">
        <is>
          <t>JANUARY TURNOVER</t>
        </is>
      </c>
      <c r="O81" s="15" t="n">
        <v>7</v>
      </c>
      <c r="P81" s="15" t="inlineStr">
        <is>
          <t>2024-01-01</t>
        </is>
      </c>
      <c r="Q81" s="15" t="inlineStr">
        <is>
          <t>TURNOVER SCHEDULE r55</t>
        </is>
      </c>
      <c r="R81" s="15" t="n"/>
    </row>
    <row r="82">
      <c r="A82" s="15" t="inlineStr">
        <is>
          <t>SL0078</t>
        </is>
      </c>
      <c r="B82" s="16" t="n">
        <v>45293</v>
      </c>
      <c r="C82" s="15" t="inlineStr">
        <is>
          <t>2024-01</t>
        </is>
      </c>
      <c r="D82" s="15" t="n">
        <v>2024</v>
      </c>
      <c r="E82" s="15" t="inlineStr">
        <is>
          <t>Land</t>
        </is>
      </c>
      <c r="F82" s="15" t="inlineStr">
        <is>
          <t>Plot / unit price</t>
        </is>
      </c>
      <c r="G82" s="15" t="inlineStr">
        <is>
          <t>Green City Phase 1 (Lantaba, Ketu-Epe)</t>
        </is>
      </c>
      <c r="H82" s="15" t="inlineStr">
        <is>
          <t>BP-C0027</t>
        </is>
      </c>
      <c r="I82" s="15" t="inlineStr">
        <is>
          <t>Mr Edun Ayobami Simeon</t>
        </is>
      </c>
      <c r="J82" s="17" t="n">
        <v>1000000</v>
      </c>
      <c r="K82" s="15" t="inlineStr">
        <is>
          <t>Single register</t>
        </is>
      </c>
      <c r="L82" s="15" t="inlineStr">
        <is>
          <t>Primary: monthly turnover register</t>
        </is>
      </c>
      <c r="M82" s="15" t="inlineStr">
        <is>
          <t>BAAY PROJECTS FINANCIALS 2024.xlsx</t>
        </is>
      </c>
      <c r="N82" s="15" t="inlineStr">
        <is>
          <t>JANUARY TURNOVER</t>
        </is>
      </c>
      <c r="O82" s="15" t="n">
        <v>8</v>
      </c>
      <c r="P82" s="15" t="inlineStr">
        <is>
          <t>2024-02-01</t>
        </is>
      </c>
      <c r="Q82" s="15" t="inlineStr">
        <is>
          <t>TURNOVER SCHEDULE r128, OLAIYA r10</t>
        </is>
      </c>
      <c r="R82" s="15" t="n"/>
    </row>
    <row r="83">
      <c r="A83" s="15" t="inlineStr">
        <is>
          <t>SL0079</t>
        </is>
      </c>
      <c r="B83" s="16" t="n">
        <v>45294</v>
      </c>
      <c r="C83" s="15" t="inlineStr">
        <is>
          <t>2024-01</t>
        </is>
      </c>
      <c r="D83" s="15" t="n">
        <v>2024</v>
      </c>
      <c r="E83" s="15" t="inlineStr">
        <is>
          <t>Land</t>
        </is>
      </c>
      <c r="F83" s="15" t="inlineStr">
        <is>
          <t>Plot / unit price</t>
        </is>
      </c>
      <c r="G83" s="15" t="inlineStr">
        <is>
          <t>Green City Phase 2 (Idobi, Ketu-Epe)</t>
        </is>
      </c>
      <c r="H83" s="15" t="inlineStr">
        <is>
          <t>BP-C0008</t>
        </is>
      </c>
      <c r="I83" s="15" t="inlineStr">
        <is>
          <t>Mr Roqeeb Rasaq Adebare</t>
        </is>
      </c>
      <c r="J83" s="17" t="n">
        <v>100000</v>
      </c>
      <c r="K83" s="15" t="inlineStr">
        <is>
          <t>Single register</t>
        </is>
      </c>
      <c r="L83" s="15" t="inlineStr">
        <is>
          <t>Primary: monthly turnover register</t>
        </is>
      </c>
      <c r="M83" s="15" t="inlineStr">
        <is>
          <t>BAAY PROJECTS FINANCIALS 2024.xlsx</t>
        </is>
      </c>
      <c r="N83" s="15" t="inlineStr">
        <is>
          <t>JANUARY TURNOVER</t>
        </is>
      </c>
      <c r="O83" s="15" t="n">
        <v>9</v>
      </c>
      <c r="P83" s="15" t="inlineStr">
        <is>
          <t>2024-03-01</t>
        </is>
      </c>
      <c r="Q83" s="15" t="inlineStr">
        <is>
          <t>TURNOVER SCHEDULE r184</t>
        </is>
      </c>
      <c r="R83" s="15" t="n"/>
    </row>
    <row r="84">
      <c r="A84" s="15" t="inlineStr">
        <is>
          <t>SL0080</t>
        </is>
      </c>
      <c r="B84" s="16" t="n">
        <v>45294</v>
      </c>
      <c r="C84" s="15" t="inlineStr">
        <is>
          <t>2024-01</t>
        </is>
      </c>
      <c r="D84" s="15" t="n">
        <v>2024</v>
      </c>
      <c r="E84" s="15" t="inlineStr">
        <is>
          <t>Land</t>
        </is>
      </c>
      <c r="F84" s="15" t="inlineStr">
        <is>
          <t>Plot / unit price</t>
        </is>
      </c>
      <c r="G84" s="15" t="inlineStr">
        <is>
          <t>Green City Phase 2 (Idobi, Ketu-Epe)</t>
        </is>
      </c>
      <c r="H84" s="15" t="inlineStr">
        <is>
          <t>BP-C0008</t>
        </is>
      </c>
      <c r="I84" s="15" t="inlineStr">
        <is>
          <t>Mr Roqeeb Rasaq Adebare</t>
        </is>
      </c>
      <c r="J84" s="17" t="n">
        <v>400000</v>
      </c>
      <c r="K84" s="15" t="inlineStr">
        <is>
          <t>Single register</t>
        </is>
      </c>
      <c r="L84" s="15" t="inlineStr">
        <is>
          <t>Primary: monthly turnover register</t>
        </is>
      </c>
      <c r="M84" s="15" t="inlineStr">
        <is>
          <t>BAAY PROJECTS FINANCIALS 2024.xlsx</t>
        </is>
      </c>
      <c r="N84" s="15" t="inlineStr">
        <is>
          <t>JANUARY TURNOVER</t>
        </is>
      </c>
      <c r="O84" s="15" t="n">
        <v>10</v>
      </c>
      <c r="P84" s="15" t="inlineStr">
        <is>
          <t>2024-03-01</t>
        </is>
      </c>
      <c r="Q84" s="15" t="inlineStr">
        <is>
          <t>TURNOVER SCHEDULE r185</t>
        </is>
      </c>
      <c r="R84" s="15" t="n"/>
    </row>
    <row r="85">
      <c r="A85" s="15" t="inlineStr">
        <is>
          <t>SL0081</t>
        </is>
      </c>
      <c r="B85" s="16" t="n">
        <v>45296</v>
      </c>
      <c r="C85" s="15" t="inlineStr">
        <is>
          <t>2024-01</t>
        </is>
      </c>
      <c r="D85" s="15" t="n">
        <v>2024</v>
      </c>
      <c r="E85" s="15" t="inlineStr">
        <is>
          <t>Land</t>
        </is>
      </c>
      <c r="F85" s="15" t="inlineStr">
        <is>
          <t>Plot / unit price</t>
        </is>
      </c>
      <c r="G85" s="15" t="inlineStr">
        <is>
          <t>Green City Phase 2 (Idobi, Ketu-Epe)</t>
        </is>
      </c>
      <c r="H85" s="15" t="inlineStr">
        <is>
          <t>BP-C0061</t>
        </is>
      </c>
      <c r="I85" s="15" t="inlineStr">
        <is>
          <t>Mr Ogunkoya Emmanuel Olatunji</t>
        </is>
      </c>
      <c r="J85" s="17" t="n">
        <v>1500000</v>
      </c>
      <c r="K85" s="15" t="inlineStr">
        <is>
          <t>Single register</t>
        </is>
      </c>
      <c r="L85" s="15" t="inlineStr">
        <is>
          <t>Primary: monthly turnover register</t>
        </is>
      </c>
      <c r="M85" s="15" t="inlineStr">
        <is>
          <t>BAAY PROJECTS FINANCIALS 2024.xlsx</t>
        </is>
      </c>
      <c r="N85" s="15" t="inlineStr">
        <is>
          <t>JANUARY TURNOVER</t>
        </is>
      </c>
      <c r="O85" s="15" t="n">
        <v>11</v>
      </c>
      <c r="P85" s="15" t="inlineStr">
        <is>
          <t>2024-05-01</t>
        </is>
      </c>
      <c r="Q85" s="15" t="inlineStr">
        <is>
          <t>TURNOVER SCHEDULE r92</t>
        </is>
      </c>
      <c r="R85" s="15" t="n"/>
    </row>
    <row r="86">
      <c r="A86" s="15" t="inlineStr">
        <is>
          <t>SL0082</t>
        </is>
      </c>
      <c r="B86" s="16" t="n">
        <v>45306</v>
      </c>
      <c r="C86" s="15" t="inlineStr">
        <is>
          <t>2024-01</t>
        </is>
      </c>
      <c r="D86" s="15" t="n">
        <v>2024</v>
      </c>
      <c r="E86" s="15" t="inlineStr">
        <is>
          <t>Land</t>
        </is>
      </c>
      <c r="F86" s="15" t="inlineStr">
        <is>
          <t>Plot / unit price</t>
        </is>
      </c>
      <c r="G86" s="15" t="inlineStr">
        <is>
          <t>Green City Phase 2 (Idobi, Ketu-Epe)</t>
        </is>
      </c>
      <c r="H86" s="15" t="inlineStr">
        <is>
          <t>BP-C0017</t>
        </is>
      </c>
      <c r="I86" s="15" t="inlineStr">
        <is>
          <t>Mr John Adeleye Taiwo</t>
        </is>
      </c>
      <c r="J86" s="17" t="n">
        <v>1000000</v>
      </c>
      <c r="K86" s="15" t="inlineStr">
        <is>
          <t>Single register</t>
        </is>
      </c>
      <c r="L86" s="15" t="inlineStr">
        <is>
          <t>Primary: monthly turnover register</t>
        </is>
      </c>
      <c r="M86" s="15" t="inlineStr">
        <is>
          <t>BAAY PROJECTS FINANCIALS 2024.xlsx</t>
        </is>
      </c>
      <c r="N86" s="15" t="inlineStr">
        <is>
          <t>JANUARY TURNOVER</t>
        </is>
      </c>
      <c r="O86" s="15" t="n">
        <v>12</v>
      </c>
      <c r="P86" s="15" t="inlineStr">
        <is>
          <t>15/01/2024</t>
        </is>
      </c>
      <c r="Q86" s="15" t="inlineStr">
        <is>
          <t>TURNOVER SCHEDULE r61</t>
        </is>
      </c>
      <c r="R86" s="15" t="n"/>
    </row>
    <row r="87">
      <c r="A87" s="15" t="inlineStr">
        <is>
          <t>SL0083</t>
        </is>
      </c>
      <c r="B87" s="16" t="n">
        <v>45308</v>
      </c>
      <c r="C87" s="15" t="inlineStr">
        <is>
          <t>2024-01</t>
        </is>
      </c>
      <c r="D87" s="15" t="n">
        <v>2024</v>
      </c>
      <c r="E87" s="15" t="inlineStr">
        <is>
          <t>Land</t>
        </is>
      </c>
      <c r="F87" s="15" t="inlineStr">
        <is>
          <t>Plot / unit price</t>
        </is>
      </c>
      <c r="G87" s="15" t="inlineStr">
        <is>
          <t>Green City Phase 2 (Idobi, Ketu-Epe)</t>
        </is>
      </c>
      <c r="H87" s="15" t="inlineStr">
        <is>
          <t>BP-C0028</t>
        </is>
      </c>
      <c r="I87" s="15" t="inlineStr">
        <is>
          <t>Mr Adebanjo Isaac</t>
        </is>
      </c>
      <c r="J87" s="17" t="n">
        <v>250000</v>
      </c>
      <c r="K87" s="15" t="inlineStr">
        <is>
          <t>Single register</t>
        </is>
      </c>
      <c r="L87" s="15" t="inlineStr">
        <is>
          <t>Primary: monthly turnover register</t>
        </is>
      </c>
      <c r="M87" s="15" t="inlineStr">
        <is>
          <t>BAAY PROJECTS FINANCIALS 2024.xlsx</t>
        </is>
      </c>
      <c r="N87" s="15" t="inlineStr">
        <is>
          <t>JANUARY TURNOVER</t>
        </is>
      </c>
      <c r="O87" s="15" t="n">
        <v>13</v>
      </c>
      <c r="P87" s="15" t="inlineStr">
        <is>
          <t>17/01/2024</t>
        </is>
      </c>
      <c r="Q87" s="15" t="inlineStr">
        <is>
          <t>TURNOVER SCHEDULE r200</t>
        </is>
      </c>
      <c r="R87" s="15" t="n"/>
    </row>
    <row r="88">
      <c r="A88" s="15" t="inlineStr">
        <is>
          <t>SL0084</t>
        </is>
      </c>
      <c r="B88" s="16" t="n">
        <v>45308</v>
      </c>
      <c r="C88" s="15" t="inlineStr">
        <is>
          <t>2024-01</t>
        </is>
      </c>
      <c r="D88" s="15" t="n">
        <v>2024</v>
      </c>
      <c r="E88" s="15" t="inlineStr">
        <is>
          <t>Land</t>
        </is>
      </c>
      <c r="F88" s="15" t="inlineStr">
        <is>
          <t>Plot / unit price</t>
        </is>
      </c>
      <c r="G88" s="15" t="inlineStr">
        <is>
          <t>Green City Phase 1 (Lantaba, Ketu-Epe)</t>
        </is>
      </c>
      <c r="H88" s="15" t="inlineStr">
        <is>
          <t>BP-C0027</t>
        </is>
      </c>
      <c r="I88" s="15" t="inlineStr">
        <is>
          <t>Mr Edun Ayobami Simeon</t>
        </is>
      </c>
      <c r="J88" s="17" t="n">
        <v>800000</v>
      </c>
      <c r="K88" s="15" t="inlineStr">
        <is>
          <t>Single register</t>
        </is>
      </c>
      <c r="L88" s="15" t="inlineStr">
        <is>
          <t>Primary: monthly turnover register</t>
        </is>
      </c>
      <c r="M88" s="15" t="inlineStr">
        <is>
          <t>BAAY PROJECTS FINANCIALS 2024.xlsx</t>
        </is>
      </c>
      <c r="N88" s="15" t="inlineStr">
        <is>
          <t>JANUARY TURNOVER</t>
        </is>
      </c>
      <c r="O88" s="15" t="n">
        <v>14</v>
      </c>
      <c r="P88" s="15" t="inlineStr">
        <is>
          <t>17/01/2024</t>
        </is>
      </c>
      <c r="Q88" s="15" t="inlineStr">
        <is>
          <t>TURNOVER SCHEDULE r129, OLAIYA r11</t>
        </is>
      </c>
      <c r="R88" s="15" t="n"/>
    </row>
    <row r="89">
      <c r="A89" s="15" t="inlineStr">
        <is>
          <t>SL0085</t>
        </is>
      </c>
      <c r="B89" s="16" t="n">
        <v>45309</v>
      </c>
      <c r="C89" s="15" t="inlineStr">
        <is>
          <t>2024-01</t>
        </is>
      </c>
      <c r="D89" s="15" t="n">
        <v>2024</v>
      </c>
      <c r="E89" s="15" t="inlineStr">
        <is>
          <t>Land</t>
        </is>
      </c>
      <c r="F89" s="15" t="inlineStr">
        <is>
          <t>Plot / unit price</t>
        </is>
      </c>
      <c r="G89" s="15" t="inlineStr">
        <is>
          <t>Green City Phase 1 (Lantaba, Ketu-Epe)</t>
        </is>
      </c>
      <c r="H89" s="15" t="inlineStr">
        <is>
          <t>BP-C0017</t>
        </is>
      </c>
      <c r="I89" s="15" t="inlineStr">
        <is>
          <t>Mr John Adeleye Taiwo</t>
        </is>
      </c>
      <c r="J89" s="17" t="n">
        <v>500000</v>
      </c>
      <c r="K89" s="15" t="inlineStr">
        <is>
          <t>Single register</t>
        </is>
      </c>
      <c r="L89" s="15" t="inlineStr">
        <is>
          <t>Primary: monthly turnover register</t>
        </is>
      </c>
      <c r="M89" s="15" t="inlineStr">
        <is>
          <t>BAAY PROJECTS FINANCIALS 2024.xlsx</t>
        </is>
      </c>
      <c r="N89" s="15" t="inlineStr">
        <is>
          <t>JANUARY TURNOVER</t>
        </is>
      </c>
      <c r="O89" s="15" t="n">
        <v>15</v>
      </c>
      <c r="P89" s="15" t="inlineStr">
        <is>
          <t>18/01/2024</t>
        </is>
      </c>
      <c r="Q89" s="15" t="inlineStr">
        <is>
          <t>TURNOVER SCHEDULE r62</t>
        </is>
      </c>
      <c r="R89" s="15" t="n"/>
    </row>
    <row r="90">
      <c r="A90" s="15" t="inlineStr">
        <is>
          <t>SL0086</t>
        </is>
      </c>
      <c r="B90" s="16" t="n">
        <v>45309</v>
      </c>
      <c r="C90" s="15" t="inlineStr">
        <is>
          <t>2024-01</t>
        </is>
      </c>
      <c r="D90" s="15" t="n">
        <v>2024</v>
      </c>
      <c r="E90" s="15" t="inlineStr">
        <is>
          <t>Land</t>
        </is>
      </c>
      <c r="F90" s="15" t="inlineStr">
        <is>
          <t>Plot / unit price</t>
        </is>
      </c>
      <c r="G90" s="15" t="inlineStr">
        <is>
          <t>Green City Phase 1 (Lantaba, Ketu-Epe)</t>
        </is>
      </c>
      <c r="H90" s="15" t="inlineStr">
        <is>
          <t>BP-C0051</t>
        </is>
      </c>
      <c r="I90" s="15" t="inlineStr">
        <is>
          <t>Mr Olumide Ogunleye</t>
        </is>
      </c>
      <c r="J90" s="17" t="n">
        <v>500000</v>
      </c>
      <c r="K90" s="15" t="inlineStr">
        <is>
          <t>Single register</t>
        </is>
      </c>
      <c r="L90" s="15" t="inlineStr">
        <is>
          <t>Primary: monthly turnover register</t>
        </is>
      </c>
      <c r="M90" s="15" t="inlineStr">
        <is>
          <t>BAAY PROJECTS FINANCIALS 2024.xlsx</t>
        </is>
      </c>
      <c r="N90" s="15" t="inlineStr">
        <is>
          <t>JANUARY TURNOVER</t>
        </is>
      </c>
      <c r="O90" s="15" t="n">
        <v>16</v>
      </c>
      <c r="P90" s="15" t="inlineStr">
        <is>
          <t>18/01/2024</t>
        </is>
      </c>
      <c r="Q90" s="15" t="inlineStr">
        <is>
          <t>TURNOVER SCHEDULE r42</t>
        </is>
      </c>
      <c r="R90" s="15" t="n"/>
    </row>
    <row r="91">
      <c r="A91" s="15" t="inlineStr">
        <is>
          <t>SL0087</t>
        </is>
      </c>
      <c r="B91" s="16" t="n">
        <v>45314</v>
      </c>
      <c r="C91" s="15" t="inlineStr">
        <is>
          <t>2024-01</t>
        </is>
      </c>
      <c r="D91" s="15" t="n">
        <v>2024</v>
      </c>
      <c r="E91" s="15" t="inlineStr">
        <is>
          <t>Land</t>
        </is>
      </c>
      <c r="F91" s="15" t="inlineStr">
        <is>
          <t>Plot / unit price</t>
        </is>
      </c>
      <c r="G91" s="15" t="inlineStr">
        <is>
          <t>Green City Phase 1 (Lantaba, Ketu-Epe)</t>
        </is>
      </c>
      <c r="H91" s="15" t="inlineStr">
        <is>
          <t>BP-C0044</t>
        </is>
      </c>
      <c r="I91" s="15" t="inlineStr">
        <is>
          <t>Mr Babajide Oluwase</t>
        </is>
      </c>
      <c r="J91" s="17" t="n">
        <v>900000</v>
      </c>
      <c r="K91" s="15" t="inlineStr">
        <is>
          <t>Single register</t>
        </is>
      </c>
      <c r="L91" s="15" t="inlineStr">
        <is>
          <t>Primary: monthly turnover register</t>
        </is>
      </c>
      <c r="M91" s="15" t="inlineStr">
        <is>
          <t>BAAY PROJECTS FINANCIALS 2024.xlsx</t>
        </is>
      </c>
      <c r="N91" s="15" t="inlineStr">
        <is>
          <t>JANUARY TURNOVER</t>
        </is>
      </c>
      <c r="O91" s="15" t="n">
        <v>17</v>
      </c>
      <c r="P91" s="15" t="inlineStr">
        <is>
          <t>23/01/2024</t>
        </is>
      </c>
      <c r="Q91" s="15" t="inlineStr">
        <is>
          <t>TURNOVER SCHEDULE r190</t>
        </is>
      </c>
      <c r="R91" s="15" t="n"/>
    </row>
    <row r="92">
      <c r="A92" s="15" t="inlineStr">
        <is>
          <t>SL0088</t>
        </is>
      </c>
      <c r="B92" s="16" t="n">
        <v>45315</v>
      </c>
      <c r="C92" s="15" t="inlineStr">
        <is>
          <t>2024-01</t>
        </is>
      </c>
      <c r="D92" s="15" t="n">
        <v>2024</v>
      </c>
      <c r="E92" s="15" t="inlineStr">
        <is>
          <t>Land</t>
        </is>
      </c>
      <c r="F92" s="15" t="inlineStr">
        <is>
          <t>Plot / unit price</t>
        </is>
      </c>
      <c r="G92" s="15" t="inlineStr">
        <is>
          <t>Green City Phase 1 (Lantaba, Ketu-Epe)</t>
        </is>
      </c>
      <c r="H92" s="15" t="inlineStr">
        <is>
          <t>BP-C0059</t>
        </is>
      </c>
      <c r="I92" s="15" t="inlineStr">
        <is>
          <t>Chief Elochukwu Onyemelukwe</t>
        </is>
      </c>
      <c r="J92" s="17" t="n">
        <v>4000000</v>
      </c>
      <c r="K92" s="15" t="inlineStr">
        <is>
          <t>Single register</t>
        </is>
      </c>
      <c r="L92" s="15" t="inlineStr">
        <is>
          <t>Primary: monthly turnover register</t>
        </is>
      </c>
      <c r="M92" s="15" t="inlineStr">
        <is>
          <t>BAAY PROJECTS FINANCIALS 2024.xlsx</t>
        </is>
      </c>
      <c r="N92" s="15" t="inlineStr">
        <is>
          <t>JANUARY TURNOVER</t>
        </is>
      </c>
      <c r="O92" s="15" t="n">
        <v>18</v>
      </c>
      <c r="P92" s="15" t="inlineStr">
        <is>
          <t>24/01/2024</t>
        </is>
      </c>
      <c r="Q92" s="15" t="inlineStr">
        <is>
          <t>TURNOVER SCHEDULE r137</t>
        </is>
      </c>
      <c r="R92" s="15" t="n"/>
    </row>
    <row r="93">
      <c r="A93" s="15" t="inlineStr">
        <is>
          <t>SL0089</t>
        </is>
      </c>
      <c r="B93" s="16" t="n">
        <v>45315</v>
      </c>
      <c r="C93" s="15" t="inlineStr">
        <is>
          <t>2024-01</t>
        </is>
      </c>
      <c r="D93" s="15" t="n">
        <v>2024</v>
      </c>
      <c r="E93" s="15" t="inlineStr">
        <is>
          <t>Land</t>
        </is>
      </c>
      <c r="F93" s="15" t="inlineStr">
        <is>
          <t>Plot / unit price</t>
        </is>
      </c>
      <c r="G93" s="15" t="inlineStr">
        <is>
          <t>Green City Phase 1 (Lantaba, Ketu-Epe)</t>
        </is>
      </c>
      <c r="H93" s="15" t="inlineStr">
        <is>
          <t>BP-C0046</t>
        </is>
      </c>
      <c r="I93" s="15" t="inlineStr">
        <is>
          <t>Mr Adesida Raphael Abiodun</t>
        </is>
      </c>
      <c r="J93" s="17" t="n">
        <v>200000</v>
      </c>
      <c r="K93" s="15" t="inlineStr">
        <is>
          <t>Single register</t>
        </is>
      </c>
      <c r="L93" s="15" t="inlineStr">
        <is>
          <t>Primary: monthly turnover register</t>
        </is>
      </c>
      <c r="M93" s="15" t="inlineStr">
        <is>
          <t>BAAY PROJECTS FINANCIALS 2024.xlsx</t>
        </is>
      </c>
      <c r="N93" s="15" t="inlineStr">
        <is>
          <t>JANUARY TURNOVER</t>
        </is>
      </c>
      <c r="O93" s="15" t="n">
        <v>19</v>
      </c>
      <c r="P93" s="15" t="inlineStr">
        <is>
          <t>24/01/2024</t>
        </is>
      </c>
      <c r="Q93" s="15" t="inlineStr">
        <is>
          <t>TURNOVER SCHEDULE r171</t>
        </is>
      </c>
      <c r="R93" s="15" t="n"/>
    </row>
    <row r="94">
      <c r="A94" s="15" t="inlineStr">
        <is>
          <t>SL0090</t>
        </is>
      </c>
      <c r="B94" s="16" t="n">
        <v>45315</v>
      </c>
      <c r="C94" s="15" t="inlineStr">
        <is>
          <t>2024-01</t>
        </is>
      </c>
      <c r="D94" s="15" t="n">
        <v>2024</v>
      </c>
      <c r="E94" s="15" t="inlineStr">
        <is>
          <t>Land</t>
        </is>
      </c>
      <c r="F94" s="15" t="inlineStr">
        <is>
          <t>Plot / unit price</t>
        </is>
      </c>
      <c r="G94" s="15" t="inlineStr">
        <is>
          <t>Green City Phase 1 (Lantaba, Ketu-Epe)</t>
        </is>
      </c>
      <c r="H94" s="15" t="inlineStr">
        <is>
          <t>BP-C0056</t>
        </is>
      </c>
      <c r="I94" s="15" t="inlineStr">
        <is>
          <t>Mr Adeuti Olanrewaju Babatunde</t>
        </is>
      </c>
      <c r="J94" s="17" t="n">
        <v>740000</v>
      </c>
      <c r="K94" s="15" t="inlineStr">
        <is>
          <t>Single register</t>
        </is>
      </c>
      <c r="L94" s="15" t="inlineStr">
        <is>
          <t>Primary: monthly turnover register</t>
        </is>
      </c>
      <c r="M94" s="15" t="inlineStr">
        <is>
          <t>BAAY PROJECTS FINANCIALS 2024.xlsx</t>
        </is>
      </c>
      <c r="N94" s="15" t="inlineStr">
        <is>
          <t>JANUARY TURNOVER</t>
        </is>
      </c>
      <c r="O94" s="15" t="n">
        <v>20</v>
      </c>
      <c r="P94" s="15" t="inlineStr">
        <is>
          <t>24/01/2024</t>
        </is>
      </c>
      <c r="Q94" s="15" t="inlineStr">
        <is>
          <t>TURNOVER SCHEDULE r78, MRS ABIMBOLA r21</t>
        </is>
      </c>
      <c r="R94" s="15" t="n"/>
    </row>
    <row r="95">
      <c r="A95" s="15" t="inlineStr">
        <is>
          <t>SL0091</t>
        </is>
      </c>
      <c r="B95" s="16" t="n">
        <v>45315</v>
      </c>
      <c r="C95" s="15" t="inlineStr">
        <is>
          <t>2024-01</t>
        </is>
      </c>
      <c r="D95" s="15" t="n">
        <v>2024</v>
      </c>
      <c r="E95" s="15" t="inlineStr">
        <is>
          <t>Land</t>
        </is>
      </c>
      <c r="F95" s="15" t="inlineStr">
        <is>
          <t>Plot / unit price</t>
        </is>
      </c>
      <c r="G95" s="15" t="inlineStr">
        <is>
          <t>Green City Phase 1 (Lantaba, Ketu-Epe)</t>
        </is>
      </c>
      <c r="H95" s="15" t="inlineStr">
        <is>
          <t>BP-C0057</t>
        </is>
      </c>
      <c r="I95" s="15" t="inlineStr">
        <is>
          <t>Mr Oniyide Olalouwa Blessing</t>
        </is>
      </c>
      <c r="J95" s="17" t="n">
        <v>1000000</v>
      </c>
      <c r="K95" s="15" t="inlineStr">
        <is>
          <t>Single register</t>
        </is>
      </c>
      <c r="L95" s="15" t="inlineStr">
        <is>
          <t>Primary: monthly turnover register</t>
        </is>
      </c>
      <c r="M95" s="15" t="inlineStr">
        <is>
          <t>BAAY PROJECTS FINANCIALS 2024.xlsx</t>
        </is>
      </c>
      <c r="N95" s="15" t="inlineStr">
        <is>
          <t>JANUARY TURNOVER</t>
        </is>
      </c>
      <c r="O95" s="15" t="n">
        <v>21</v>
      </c>
      <c r="P95" s="15" t="inlineStr">
        <is>
          <t>24/01/2024</t>
        </is>
      </c>
      <c r="Q95" s="15" t="inlineStr">
        <is>
          <t>TURNOVER SCHEDULE r69</t>
        </is>
      </c>
      <c r="R95" s="15" t="n"/>
    </row>
    <row r="96">
      <c r="A96" s="15" t="inlineStr">
        <is>
          <t>SL0092</t>
        </is>
      </c>
      <c r="B96" s="16" t="n">
        <v>45317</v>
      </c>
      <c r="C96" s="15" t="inlineStr">
        <is>
          <t>2024-01</t>
        </is>
      </c>
      <c r="D96" s="15" t="n">
        <v>2024</v>
      </c>
      <c r="E96" s="15" t="inlineStr">
        <is>
          <t>Land</t>
        </is>
      </c>
      <c r="F96" s="15" t="inlineStr">
        <is>
          <t>Plot / unit price</t>
        </is>
      </c>
      <c r="G96" s="15" t="inlineStr">
        <is>
          <t>Green City Phase 1 (Lantaba, Ketu-Epe)</t>
        </is>
      </c>
      <c r="H96" s="15" t="inlineStr">
        <is>
          <t>BP-C0053</t>
        </is>
      </c>
      <c r="I96" s="15" t="inlineStr">
        <is>
          <t>Mr Adegbembo  Stephen Oluwagbemiga</t>
        </is>
      </c>
      <c r="J96" s="17" t="n">
        <v>1000000</v>
      </c>
      <c r="K96" s="15" t="inlineStr">
        <is>
          <t>Single register</t>
        </is>
      </c>
      <c r="L96" s="15" t="inlineStr">
        <is>
          <t>Primary: monthly turnover register</t>
        </is>
      </c>
      <c r="M96" s="15" t="inlineStr">
        <is>
          <t>BAAY PROJECTS FINANCIALS 2024.xlsx</t>
        </is>
      </c>
      <c r="N96" s="15" t="inlineStr">
        <is>
          <t>JANUARY TURNOVER</t>
        </is>
      </c>
      <c r="O96" s="15" t="n">
        <v>22</v>
      </c>
      <c r="P96" s="15" t="inlineStr">
        <is>
          <t>26/01/2024</t>
        </is>
      </c>
      <c r="Q96" s="15" t="inlineStr">
        <is>
          <t>TURNOVER SCHEDULE r83</t>
        </is>
      </c>
      <c r="R96" s="15" t="n"/>
    </row>
    <row r="97">
      <c r="A97" s="15" t="inlineStr">
        <is>
          <t>SL0093</t>
        </is>
      </c>
      <c r="B97" s="16" t="n">
        <v>45317</v>
      </c>
      <c r="C97" s="15" t="inlineStr">
        <is>
          <t>2024-01</t>
        </is>
      </c>
      <c r="D97" s="15" t="n">
        <v>2024</v>
      </c>
      <c r="E97" s="15" t="inlineStr">
        <is>
          <t>Land</t>
        </is>
      </c>
      <c r="F97" s="15" t="inlineStr">
        <is>
          <t>Plot / unit price</t>
        </is>
      </c>
      <c r="G97" s="15" t="inlineStr">
        <is>
          <t>Green City Phase 2 (Idobi, Ketu-Epe)</t>
        </is>
      </c>
      <c r="H97" s="15" t="inlineStr">
        <is>
          <t>BP-C0017</t>
        </is>
      </c>
      <c r="I97" s="15" t="inlineStr">
        <is>
          <t>Mr John Adeleye Taiwo</t>
        </is>
      </c>
      <c r="J97" s="17" t="n">
        <v>500000</v>
      </c>
      <c r="K97" s="15" t="inlineStr">
        <is>
          <t>Single register</t>
        </is>
      </c>
      <c r="L97" s="15" t="inlineStr">
        <is>
          <t>Primary: monthly turnover register</t>
        </is>
      </c>
      <c r="M97" s="15" t="inlineStr">
        <is>
          <t>BAAY PROJECTS FINANCIALS 2024.xlsx</t>
        </is>
      </c>
      <c r="N97" s="15" t="inlineStr">
        <is>
          <t>JANUARY TURNOVER</t>
        </is>
      </c>
      <c r="O97" s="15" t="n">
        <v>23</v>
      </c>
      <c r="P97" s="15" t="inlineStr">
        <is>
          <t>26/01/2024</t>
        </is>
      </c>
      <c r="Q97" s="15" t="inlineStr">
        <is>
          <t>TURNOVER SCHEDULE r63</t>
        </is>
      </c>
      <c r="R97" s="15" t="n"/>
    </row>
    <row r="98">
      <c r="A98" s="15" t="inlineStr">
        <is>
          <t>SL0094</t>
        </is>
      </c>
      <c r="B98" s="16" t="n">
        <v>45320</v>
      </c>
      <c r="C98" s="15" t="inlineStr">
        <is>
          <t>2024-01</t>
        </is>
      </c>
      <c r="D98" s="15" t="n">
        <v>2024</v>
      </c>
      <c r="E98" s="15" t="inlineStr">
        <is>
          <t>Land</t>
        </is>
      </c>
      <c r="F98" s="15" t="inlineStr">
        <is>
          <t>Plot / unit price</t>
        </is>
      </c>
      <c r="G98" s="15" t="inlineStr">
        <is>
          <t>Green City Phase 1 (Lantaba, Ketu-Epe)</t>
        </is>
      </c>
      <c r="H98" s="15" t="inlineStr">
        <is>
          <t>BP-C0055</t>
        </is>
      </c>
      <c r="I98" s="15" t="inlineStr">
        <is>
          <t>Mr Ademola Adeniji</t>
        </is>
      </c>
      <c r="J98" s="17" t="n">
        <v>3000000</v>
      </c>
      <c r="K98" s="15" t="inlineStr">
        <is>
          <t>Single register</t>
        </is>
      </c>
      <c r="L98" s="15" t="inlineStr">
        <is>
          <t>Primary: monthly turnover register</t>
        </is>
      </c>
      <c r="M98" s="15" t="inlineStr">
        <is>
          <t>BAAY PROJECTS FINANCIALS 2024.xlsx</t>
        </is>
      </c>
      <c r="N98" s="15" t="inlineStr">
        <is>
          <t>JANUARY TURNOVER</t>
        </is>
      </c>
      <c r="O98" s="15" t="n">
        <v>24</v>
      </c>
      <c r="P98" s="15" t="inlineStr">
        <is>
          <t>29/01/2024</t>
        </is>
      </c>
      <c r="Q98" s="15" t="inlineStr">
        <is>
          <t>TURNOVER SCHEDULE r36</t>
        </is>
      </c>
      <c r="R98" s="15" t="n"/>
    </row>
    <row r="99">
      <c r="A99" s="15" t="inlineStr">
        <is>
          <t>SL0095</t>
        </is>
      </c>
      <c r="B99" s="16" t="n">
        <v>45320</v>
      </c>
      <c r="C99" s="15" t="inlineStr">
        <is>
          <t>2024-01</t>
        </is>
      </c>
      <c r="D99" s="15" t="n">
        <v>2024</v>
      </c>
      <c r="E99" s="15" t="inlineStr">
        <is>
          <t>Land</t>
        </is>
      </c>
      <c r="F99" s="15" t="inlineStr">
        <is>
          <t>Plot / unit price</t>
        </is>
      </c>
      <c r="G99" s="15" t="inlineStr">
        <is>
          <t>Green City Phase 1 (Lantaba, Ketu-Epe)</t>
        </is>
      </c>
      <c r="H99" s="15" t="inlineStr">
        <is>
          <t>BP-C0054</t>
        </is>
      </c>
      <c r="I99" s="15" t="inlineStr">
        <is>
          <t>Mr Ademola Adeniyi</t>
        </is>
      </c>
      <c r="J99" s="17" t="n">
        <v>3000000</v>
      </c>
      <c r="K99" s="15" t="inlineStr">
        <is>
          <t>Single register</t>
        </is>
      </c>
      <c r="L99" s="15" t="inlineStr">
        <is>
          <t>Primary: monthly turnover register</t>
        </is>
      </c>
      <c r="M99" s="15" t="inlineStr">
        <is>
          <t>BAAY PROJECTS FINANCIALS 2024.xlsx</t>
        </is>
      </c>
      <c r="N99" s="15" t="inlineStr">
        <is>
          <t>JANUARY TURNOVER</t>
        </is>
      </c>
      <c r="O99" s="15" t="n">
        <v>25</v>
      </c>
      <c r="P99" s="15" t="inlineStr">
        <is>
          <t>29/01/2024</t>
        </is>
      </c>
      <c r="Q99" s="15" t="inlineStr">
        <is>
          <t>TURNOVER SCHEDULE r89, MRS ABIMBOLA r10</t>
        </is>
      </c>
      <c r="R99" s="15" t="n"/>
    </row>
    <row r="100">
      <c r="A100" s="15" t="inlineStr">
        <is>
          <t>SL0096</t>
        </is>
      </c>
      <c r="B100" s="16" t="n">
        <v>45320</v>
      </c>
      <c r="C100" s="15" t="inlineStr">
        <is>
          <t>2024-01</t>
        </is>
      </c>
      <c r="D100" s="15" t="n">
        <v>2024</v>
      </c>
      <c r="E100" s="15" t="inlineStr">
        <is>
          <t>Land</t>
        </is>
      </c>
      <c r="F100" s="15" t="inlineStr">
        <is>
          <t>Plot / unit price</t>
        </is>
      </c>
      <c r="G100" s="15" t="inlineStr">
        <is>
          <t>Green City Phase 2 (Idobi, Ketu-Epe)</t>
        </is>
      </c>
      <c r="H100" s="15" t="inlineStr">
        <is>
          <t>BP-C0017</t>
        </is>
      </c>
      <c r="I100" s="15" t="inlineStr">
        <is>
          <t>Mr John Adeleye Taiwo</t>
        </is>
      </c>
      <c r="J100" s="17" t="n">
        <v>500000</v>
      </c>
      <c r="K100" s="15" t="inlineStr">
        <is>
          <t>Single register</t>
        </is>
      </c>
      <c r="L100" s="15" t="inlineStr">
        <is>
          <t>Primary: monthly turnover register</t>
        </is>
      </c>
      <c r="M100" s="15" t="inlineStr">
        <is>
          <t>BAAY PROJECTS FINANCIALS 2024.xlsx</t>
        </is>
      </c>
      <c r="N100" s="15" t="inlineStr">
        <is>
          <t>JANUARY TURNOVER</t>
        </is>
      </c>
      <c r="O100" s="15" t="n">
        <v>26</v>
      </c>
      <c r="P100" s="15" t="inlineStr">
        <is>
          <t>29/01/2024</t>
        </is>
      </c>
      <c r="Q100" s="15" t="inlineStr">
        <is>
          <t>TURNOVER SCHEDULE r64</t>
        </is>
      </c>
      <c r="R100" s="15" t="n"/>
    </row>
    <row r="101">
      <c r="A101" s="15" t="inlineStr">
        <is>
          <t>SL0097</t>
        </is>
      </c>
      <c r="B101" s="16" t="n">
        <v>45320</v>
      </c>
      <c r="C101" s="15" t="inlineStr">
        <is>
          <t>2024-01</t>
        </is>
      </c>
      <c r="D101" s="15" t="n">
        <v>2024</v>
      </c>
      <c r="E101" s="15" t="inlineStr">
        <is>
          <t>Land</t>
        </is>
      </c>
      <c r="F101" s="15" t="inlineStr">
        <is>
          <t>Plot / unit price</t>
        </is>
      </c>
      <c r="G101" s="15" t="inlineStr">
        <is>
          <t>Green City Phase 1 (Lantaba, Ketu-Epe)</t>
        </is>
      </c>
      <c r="H101" s="15" t="inlineStr">
        <is>
          <t>BP-C0029</t>
        </is>
      </c>
      <c r="I101" s="15" t="inlineStr">
        <is>
          <t>Mr Ohanehi Anthony Chukwunonso</t>
        </is>
      </c>
      <c r="J101" s="17" t="n">
        <v>1500000</v>
      </c>
      <c r="K101" s="15" t="inlineStr">
        <is>
          <t>Single register</t>
        </is>
      </c>
      <c r="L101" s="15" t="inlineStr">
        <is>
          <t>Primary: monthly turnover register</t>
        </is>
      </c>
      <c r="M101" s="15" t="inlineStr">
        <is>
          <t>BAAY PROJECTS FINANCIALS 2024.xlsx</t>
        </is>
      </c>
      <c r="N101" s="15" t="inlineStr">
        <is>
          <t>JANUARY TURNOVER</t>
        </is>
      </c>
      <c r="O101" s="15" t="n">
        <v>27</v>
      </c>
      <c r="P101" s="15" t="inlineStr">
        <is>
          <t>29/01/2024</t>
        </is>
      </c>
      <c r="Q101" s="15" t="inlineStr">
        <is>
          <t>TURNOVER SCHEDULE r20</t>
        </is>
      </c>
      <c r="R101" s="15" t="n"/>
    </row>
    <row r="102">
      <c r="A102" s="15" t="inlineStr">
        <is>
          <t>SL0098</t>
        </is>
      </c>
      <c r="B102" s="16" t="n">
        <v>45322</v>
      </c>
      <c r="C102" s="15" t="inlineStr">
        <is>
          <t>2024-01</t>
        </is>
      </c>
      <c r="D102" s="15" t="n">
        <v>2024</v>
      </c>
      <c r="E102" s="15" t="inlineStr">
        <is>
          <t>Land</t>
        </is>
      </c>
      <c r="F102" s="15" t="inlineStr">
        <is>
          <t>Plot / unit price</t>
        </is>
      </c>
      <c r="G102" s="15" t="inlineStr">
        <is>
          <t>Green City Phase 1 (Lantaba, Ketu-Epe)</t>
        </is>
      </c>
      <c r="H102" s="15" t="inlineStr">
        <is>
          <t>BP-C0006</t>
        </is>
      </c>
      <c r="I102" s="15" t="inlineStr">
        <is>
          <t>Mr Olasupo Oladimeji Muritala</t>
        </is>
      </c>
      <c r="J102" s="17" t="n">
        <v>894000</v>
      </c>
      <c r="K102" s="15" t="inlineStr">
        <is>
          <t>Single register</t>
        </is>
      </c>
      <c r="L102" s="15" t="inlineStr">
        <is>
          <t>Primary: monthly turnover register</t>
        </is>
      </c>
      <c r="M102" s="15" t="inlineStr">
        <is>
          <t>BAAY PROJECTS FINANCIALS 2024.xlsx</t>
        </is>
      </c>
      <c r="N102" s="15" t="inlineStr">
        <is>
          <t>JANUARY TURNOVER</t>
        </is>
      </c>
      <c r="O102" s="15" t="n">
        <v>28</v>
      </c>
      <c r="P102" s="15" t="inlineStr">
        <is>
          <t>31/01/2024</t>
        </is>
      </c>
      <c r="Q102" s="15" t="inlineStr">
        <is>
          <t>TURNOVER SCHEDULE r27</t>
        </is>
      </c>
      <c r="R102" s="15" t="n"/>
    </row>
    <row r="103">
      <c r="A103" s="15" t="inlineStr">
        <is>
          <t>SL0099</t>
        </is>
      </c>
      <c r="B103" s="16" t="n">
        <v>45322</v>
      </c>
      <c r="C103" s="15" t="inlineStr">
        <is>
          <t>2024-01</t>
        </is>
      </c>
      <c r="D103" s="15" t="n">
        <v>2024</v>
      </c>
      <c r="E103" s="15" t="inlineStr">
        <is>
          <t>Land</t>
        </is>
      </c>
      <c r="F103" s="15" t="inlineStr">
        <is>
          <t>Plot / unit price</t>
        </is>
      </c>
      <c r="G103" s="15" t="inlineStr">
        <is>
          <t>Green City Phase 1 (Lantaba, Ketu-Epe)</t>
        </is>
      </c>
      <c r="H103" s="15" t="inlineStr">
        <is>
          <t>BP-C0050</t>
        </is>
      </c>
      <c r="I103" s="15" t="inlineStr">
        <is>
          <t>Mr Patrick Atuanya Jideovo</t>
        </is>
      </c>
      <c r="J103" s="17" t="n">
        <v>400000</v>
      </c>
      <c r="K103" s="15" t="inlineStr">
        <is>
          <t>Single register</t>
        </is>
      </c>
      <c r="L103" s="15" t="inlineStr">
        <is>
          <t>Primary: monthly turnover register</t>
        </is>
      </c>
      <c r="M103" s="15" t="inlineStr">
        <is>
          <t>BAAY PROJECTS FINANCIALS 2024.xlsx</t>
        </is>
      </c>
      <c r="N103" s="15" t="inlineStr">
        <is>
          <t>JANUARY TURNOVER</t>
        </is>
      </c>
      <c r="O103" s="15" t="n">
        <v>29</v>
      </c>
      <c r="P103" s="15" t="inlineStr">
        <is>
          <t>31/01/2024</t>
        </is>
      </c>
      <c r="Q103" s="15" t="inlineStr">
        <is>
          <t>TURNOVER SCHEDULE r143, MS YETUNDE ABISOYE r12</t>
        </is>
      </c>
      <c r="R103" s="15" t="n"/>
    </row>
    <row r="104">
      <c r="A104" s="15" t="inlineStr">
        <is>
          <t>SL0100</t>
        </is>
      </c>
      <c r="B104" s="16" t="n">
        <v>45323</v>
      </c>
      <c r="C104" s="15" t="inlineStr">
        <is>
          <t>2024-02</t>
        </is>
      </c>
      <c r="D104" s="15" t="n">
        <v>2024</v>
      </c>
      <c r="E104" s="15" t="inlineStr">
        <is>
          <t>Land</t>
        </is>
      </c>
      <c r="F104" s="15" t="inlineStr">
        <is>
          <t>Plot / unit price</t>
        </is>
      </c>
      <c r="G104" s="15" t="inlineStr">
        <is>
          <t>Green City Phase 2 (Ketu-Epe)</t>
        </is>
      </c>
      <c r="H104" s="15" t="inlineStr">
        <is>
          <t>BP-C0061</t>
        </is>
      </c>
      <c r="I104" s="15" t="inlineStr">
        <is>
          <t>Mr Ogunkoya Emmanuel Olatunji</t>
        </is>
      </c>
      <c r="J104" s="17" t="n">
        <v>200000</v>
      </c>
      <c r="K104" s="15" t="inlineStr">
        <is>
          <t>Single register</t>
        </is>
      </c>
      <c r="L104" s="15" t="inlineStr">
        <is>
          <t>Primary: monthly turnover register</t>
        </is>
      </c>
      <c r="M104" s="15" t="inlineStr">
        <is>
          <t>BAAY PROJECTS FINANCIALS 2024.xlsx</t>
        </is>
      </c>
      <c r="N104" s="15" t="inlineStr">
        <is>
          <t>FEBRUARY TURNOVER</t>
        </is>
      </c>
      <c r="O104" s="15" t="n">
        <v>6</v>
      </c>
      <c r="P104" s="15" t="inlineStr">
        <is>
          <t>2024-01-02</t>
        </is>
      </c>
      <c r="Q104" s="15" t="inlineStr">
        <is>
          <t>TURNOVER SCHEDULE r93</t>
        </is>
      </c>
      <c r="R104" s="15" t="n"/>
    </row>
    <row r="105">
      <c r="A105" s="15" t="inlineStr">
        <is>
          <t>SL0101</t>
        </is>
      </c>
      <c r="B105" s="16" t="n">
        <v>45323</v>
      </c>
      <c r="C105" s="15" t="inlineStr">
        <is>
          <t>2024-02</t>
        </is>
      </c>
      <c r="D105" s="15" t="n">
        <v>2024</v>
      </c>
      <c r="E105" s="15" t="inlineStr">
        <is>
          <t>Land</t>
        </is>
      </c>
      <c r="F105" s="15" t="inlineStr">
        <is>
          <t>Plot / unit price</t>
        </is>
      </c>
      <c r="G105" s="15" t="inlineStr">
        <is>
          <t>Green City Phase 1 (Lantaba, Ketu-Epe)</t>
        </is>
      </c>
      <c r="H105" s="15" t="inlineStr">
        <is>
          <t>BP-C0050</t>
        </is>
      </c>
      <c r="I105" s="15" t="inlineStr">
        <is>
          <t>Mr Patrick Atuanya Jideovo</t>
        </is>
      </c>
      <c r="J105" s="17" t="n">
        <v>450000</v>
      </c>
      <c r="K105" s="15" t="inlineStr">
        <is>
          <t>Single register</t>
        </is>
      </c>
      <c r="L105" s="15" t="inlineStr">
        <is>
          <t>Primary: monthly turnover register</t>
        </is>
      </c>
      <c r="M105" s="15" t="inlineStr">
        <is>
          <t>BAAY PROJECTS FINANCIALS 2024.xlsx</t>
        </is>
      </c>
      <c r="N105" s="15" t="inlineStr">
        <is>
          <t>FEBRUARY TURNOVER</t>
        </is>
      </c>
      <c r="O105" s="15" t="n">
        <v>7</v>
      </c>
      <c r="P105" s="15" t="inlineStr">
        <is>
          <t>2024-01-02</t>
        </is>
      </c>
      <c r="Q105" s="15" t="inlineStr">
        <is>
          <t>TURNOVER SCHEDULE r144, MS YETUNDE ABISOYE r13</t>
        </is>
      </c>
      <c r="R105" s="15" t="n"/>
    </row>
    <row r="106">
      <c r="A106" s="15" t="inlineStr">
        <is>
          <t>SL0102</t>
        </is>
      </c>
      <c r="B106" s="16" t="n">
        <v>45323</v>
      </c>
      <c r="C106" s="15" t="inlineStr">
        <is>
          <t>2024-02</t>
        </is>
      </c>
      <c r="D106" s="15" t="n">
        <v>2024</v>
      </c>
      <c r="E106" s="15" t="inlineStr">
        <is>
          <t>Land</t>
        </is>
      </c>
      <c r="F106" s="15" t="inlineStr">
        <is>
          <t>Plot / unit price</t>
        </is>
      </c>
      <c r="G106" s="15" t="inlineStr">
        <is>
          <t>Green City Phase 2 (Ketu-Epe)</t>
        </is>
      </c>
      <c r="H106" s="15" t="inlineStr">
        <is>
          <t>BP-C0060</t>
        </is>
      </c>
      <c r="I106" s="15" t="inlineStr">
        <is>
          <t>Ms. Mitchell Jennifer</t>
        </is>
      </c>
      <c r="J106" s="17" t="n">
        <v>200000</v>
      </c>
      <c r="K106" s="15" t="inlineStr">
        <is>
          <t>Single register</t>
        </is>
      </c>
      <c r="L106" s="15" t="inlineStr">
        <is>
          <t>Primary: monthly turnover register</t>
        </is>
      </c>
      <c r="M106" s="15" t="inlineStr">
        <is>
          <t>BAAY PROJECTS FINANCIALS 2024.xlsx</t>
        </is>
      </c>
      <c r="N106" s="15" t="inlineStr">
        <is>
          <t>FEBRUARY TURNOVER</t>
        </is>
      </c>
      <c r="O106" s="15" t="n">
        <v>8</v>
      </c>
      <c r="P106" s="15" t="inlineStr">
        <is>
          <t>2024-01-02</t>
        </is>
      </c>
      <c r="Q106" s="15" t="inlineStr">
        <is>
          <t>TURNOVER SCHEDULE r56</t>
        </is>
      </c>
      <c r="R106" s="15" t="n"/>
    </row>
    <row r="107">
      <c r="A107" s="15" t="inlineStr">
        <is>
          <t>SL0103</t>
        </is>
      </c>
      <c r="B107" s="16" t="n">
        <v>45324</v>
      </c>
      <c r="C107" s="15" t="inlineStr">
        <is>
          <t>2024-02</t>
        </is>
      </c>
      <c r="D107" s="15" t="n">
        <v>2024</v>
      </c>
      <c r="E107" s="15" t="inlineStr">
        <is>
          <t>Land</t>
        </is>
      </c>
      <c r="F107" s="15" t="inlineStr">
        <is>
          <t>Plot / unit price</t>
        </is>
      </c>
      <c r="G107" s="15" t="inlineStr">
        <is>
          <t>Green City Phase 1 (Lantaba, Ketu-Epe)</t>
        </is>
      </c>
      <c r="H107" s="15" t="inlineStr">
        <is>
          <t>BP-C0062</t>
        </is>
      </c>
      <c r="I107" s="15" t="inlineStr">
        <is>
          <t>Mr Agbaje Christopher Usiola</t>
        </is>
      </c>
      <c r="J107" s="17" t="n">
        <v>4500000</v>
      </c>
      <c r="K107" s="15" t="inlineStr">
        <is>
          <t>Single register</t>
        </is>
      </c>
      <c r="L107" s="15" t="inlineStr">
        <is>
          <t>Primary: monthly turnover register</t>
        </is>
      </c>
      <c r="M107" s="15" t="inlineStr">
        <is>
          <t>BAAY PROJECTS FINANCIALS 2024.xlsx</t>
        </is>
      </c>
      <c r="N107" s="15" t="inlineStr">
        <is>
          <t>FEBRUARY TURNOVER</t>
        </is>
      </c>
      <c r="O107" s="15" t="n">
        <v>9</v>
      </c>
      <c r="P107" s="15" t="inlineStr">
        <is>
          <t>2024-02-02</t>
        </is>
      </c>
      <c r="Q107" s="15" t="inlineStr">
        <is>
          <t>TURNOVER SCHEDULE r101</t>
        </is>
      </c>
      <c r="R107" s="15" t="n"/>
    </row>
    <row r="108">
      <c r="A108" s="15" t="inlineStr">
        <is>
          <t>SL0104</t>
        </is>
      </c>
      <c r="B108" s="16" t="n">
        <v>45324</v>
      </c>
      <c r="C108" s="15" t="inlineStr">
        <is>
          <t>2024-02</t>
        </is>
      </c>
      <c r="D108" s="15" t="n">
        <v>2024</v>
      </c>
      <c r="E108" s="15" t="inlineStr">
        <is>
          <t>Land</t>
        </is>
      </c>
      <c r="F108" s="15" t="inlineStr">
        <is>
          <t>Plot / unit price</t>
        </is>
      </c>
      <c r="G108" s="15" t="inlineStr">
        <is>
          <t>Green City Phase 1 (Lantaba, Ketu-Epe)</t>
        </is>
      </c>
      <c r="H108" s="15" t="inlineStr">
        <is>
          <t>BP-C0017</t>
        </is>
      </c>
      <c r="I108" s="15" t="inlineStr">
        <is>
          <t>Mr John Adeleye Taiwo</t>
        </is>
      </c>
      <c r="J108" s="17" t="n">
        <v>500000</v>
      </c>
      <c r="K108" s="15" t="inlineStr">
        <is>
          <t>Single register</t>
        </is>
      </c>
      <c r="L108" s="15" t="inlineStr">
        <is>
          <t>Primary: monthly turnover register</t>
        </is>
      </c>
      <c r="M108" s="15" t="inlineStr">
        <is>
          <t>BAAY PROJECTS FINANCIALS 2024.xlsx</t>
        </is>
      </c>
      <c r="N108" s="15" t="inlineStr">
        <is>
          <t>FEBRUARY TURNOVER</t>
        </is>
      </c>
      <c r="O108" s="15" t="n">
        <v>10</v>
      </c>
      <c r="P108" s="15" t="inlineStr">
        <is>
          <t>2024-02-02</t>
        </is>
      </c>
      <c r="Q108" s="15" t="inlineStr">
        <is>
          <t>TURNOVER SCHEDULE r65</t>
        </is>
      </c>
      <c r="R108" s="15" t="n"/>
    </row>
    <row r="109">
      <c r="A109" s="15" t="inlineStr">
        <is>
          <t>SL0105</t>
        </is>
      </c>
      <c r="B109" s="16" t="n">
        <v>45324</v>
      </c>
      <c r="C109" s="15" t="inlineStr">
        <is>
          <t>2024-02</t>
        </is>
      </c>
      <c r="D109" s="15" t="n">
        <v>2024</v>
      </c>
      <c r="E109" s="15" t="inlineStr">
        <is>
          <t>Land</t>
        </is>
      </c>
      <c r="F109" s="15" t="inlineStr">
        <is>
          <t>Plot / unit price</t>
        </is>
      </c>
      <c r="G109" s="15" t="inlineStr">
        <is>
          <t>Green City Phase 1 (Lantaba, Ketu-Epe)</t>
        </is>
      </c>
      <c r="H109" s="15" t="inlineStr">
        <is>
          <t>BP-C0006</t>
        </is>
      </c>
      <c r="I109" s="15" t="inlineStr">
        <is>
          <t>Mr Olasupo Oladimeji Muritala</t>
        </is>
      </c>
      <c r="J109" s="17" t="n">
        <v>506000</v>
      </c>
      <c r="K109" s="15" t="inlineStr">
        <is>
          <t>Single register</t>
        </is>
      </c>
      <c r="L109" s="15" t="inlineStr">
        <is>
          <t>Primary: monthly turnover register</t>
        </is>
      </c>
      <c r="M109" s="15" t="inlineStr">
        <is>
          <t>BAAY PROJECTS FINANCIALS 2024.xlsx</t>
        </is>
      </c>
      <c r="N109" s="15" t="inlineStr">
        <is>
          <t>FEBRUARY TURNOVER</t>
        </is>
      </c>
      <c r="O109" s="15" t="n">
        <v>11</v>
      </c>
      <c r="P109" s="15" t="inlineStr">
        <is>
          <t>2024-02-02</t>
        </is>
      </c>
      <c r="Q109" s="15" t="inlineStr">
        <is>
          <t>TURNOVER SCHEDULE r28, MRS ABIMBOLA r16</t>
        </is>
      </c>
      <c r="R109" s="15" t="n"/>
    </row>
    <row r="110">
      <c r="A110" s="15" t="inlineStr">
        <is>
          <t>SL0106</t>
        </is>
      </c>
      <c r="B110" s="16" t="n">
        <v>45325</v>
      </c>
      <c r="C110" s="15" t="inlineStr">
        <is>
          <t>2024-02</t>
        </is>
      </c>
      <c r="D110" s="15" t="n">
        <v>2024</v>
      </c>
      <c r="E110" s="15" t="inlineStr">
        <is>
          <t>Land</t>
        </is>
      </c>
      <c r="F110" s="15" t="inlineStr">
        <is>
          <t>Plot / unit price</t>
        </is>
      </c>
      <c r="G110" s="15" t="inlineStr">
        <is>
          <t>Green City Phase 2 (Ketu-Epe)</t>
        </is>
      </c>
      <c r="H110" s="15" t="inlineStr">
        <is>
          <t>BP-C0063</t>
        </is>
      </c>
      <c r="I110" s="15" t="inlineStr">
        <is>
          <t>Mr Omodara Adewale</t>
        </is>
      </c>
      <c r="J110" s="17" t="n">
        <v>1000000</v>
      </c>
      <c r="K110" s="15" t="inlineStr">
        <is>
          <t>Single register</t>
        </is>
      </c>
      <c r="L110" s="15" t="inlineStr">
        <is>
          <t>Primary: monthly turnover register</t>
        </is>
      </c>
      <c r="M110" s="15" t="inlineStr">
        <is>
          <t>BAAY PROJECTS FINANCIALS 2024.xlsx</t>
        </is>
      </c>
      <c r="N110" s="15" t="inlineStr">
        <is>
          <t>FEBRUARY TURNOVER</t>
        </is>
      </c>
      <c r="O110" s="15" t="n">
        <v>12</v>
      </c>
      <c r="P110" s="15" t="inlineStr">
        <is>
          <t>2024-03-02</t>
        </is>
      </c>
      <c r="Q110" s="15" t="inlineStr">
        <is>
          <t>TURNOVER SCHEDULE r95, MS TAIWO r7</t>
        </is>
      </c>
      <c r="R110" s="15" t="n"/>
    </row>
    <row r="111">
      <c r="A111" s="15" t="inlineStr">
        <is>
          <t>SL0107</t>
        </is>
      </c>
      <c r="B111" s="16" t="n">
        <v>45327</v>
      </c>
      <c r="C111" s="15" t="inlineStr">
        <is>
          <t>2024-02</t>
        </is>
      </c>
      <c r="D111" s="15" t="n">
        <v>2024</v>
      </c>
      <c r="E111" s="15" t="inlineStr">
        <is>
          <t>Land</t>
        </is>
      </c>
      <c r="F111" s="15" t="inlineStr">
        <is>
          <t>Plot / unit price</t>
        </is>
      </c>
      <c r="G111" s="15" t="inlineStr">
        <is>
          <t>Green City Phase 1 (Lantaba, Ketu-Epe)</t>
        </is>
      </c>
      <c r="H111" s="15" t="inlineStr">
        <is>
          <t>BP-C0036</t>
        </is>
      </c>
      <c r="I111" s="15" t="inlineStr">
        <is>
          <t>Mr Ohumende Paul Osaze</t>
        </is>
      </c>
      <c r="J111" s="17" t="n">
        <v>10000000</v>
      </c>
      <c r="K111" s="15" t="inlineStr">
        <is>
          <t>Single register</t>
        </is>
      </c>
      <c r="L111" s="15" t="inlineStr">
        <is>
          <t>Primary: monthly turnover register</t>
        </is>
      </c>
      <c r="M111" s="15" t="inlineStr">
        <is>
          <t>BAAY PROJECTS FINANCIALS 2024.xlsx</t>
        </is>
      </c>
      <c r="N111" s="15" t="inlineStr">
        <is>
          <t>FEBRUARY TURNOVER</t>
        </is>
      </c>
      <c r="O111" s="15" t="n">
        <v>13</v>
      </c>
      <c r="P111" s="15" t="inlineStr">
        <is>
          <t>2024-05-02</t>
        </is>
      </c>
      <c r="Q111" s="15" t="inlineStr">
        <is>
          <t>TURNOVER SCHEDULE r120</t>
        </is>
      </c>
      <c r="R111" s="15" t="n"/>
    </row>
    <row r="112">
      <c r="A112" s="15" t="inlineStr">
        <is>
          <t>SL0108</t>
        </is>
      </c>
      <c r="B112" s="16" t="n">
        <v>45328</v>
      </c>
      <c r="C112" s="15" t="inlineStr">
        <is>
          <t>2024-02</t>
        </is>
      </c>
      <c r="D112" s="15" t="n">
        <v>2024</v>
      </c>
      <c r="E112" s="15" t="inlineStr">
        <is>
          <t>Land</t>
        </is>
      </c>
      <c r="F112" s="15" t="inlineStr">
        <is>
          <t>Plot / unit price</t>
        </is>
      </c>
      <c r="G112" s="15" t="inlineStr">
        <is>
          <t>Green City Phase 2 (Ketu-Epe)</t>
        </is>
      </c>
      <c r="H112" s="15" t="inlineStr">
        <is>
          <t>BP-C0064</t>
        </is>
      </c>
      <c r="I112" s="15" t="inlineStr">
        <is>
          <t>Mr Okosun Damian Ehimen</t>
        </is>
      </c>
      <c r="J112" s="17" t="n">
        <v>500000</v>
      </c>
      <c r="K112" s="15" t="inlineStr">
        <is>
          <t>Single register</t>
        </is>
      </c>
      <c r="L112" s="15" t="inlineStr">
        <is>
          <t>Primary: monthly turnover register</t>
        </is>
      </c>
      <c r="M112" s="15" t="inlineStr">
        <is>
          <t>BAAY PROJECTS FINANCIALS 2024.xlsx</t>
        </is>
      </c>
      <c r="N112" s="15" t="inlineStr">
        <is>
          <t>FEBRUARY TURNOVER</t>
        </is>
      </c>
      <c r="O112" s="15" t="n">
        <v>14</v>
      </c>
      <c r="P112" s="15" t="inlineStr">
        <is>
          <t>2024-06-02</t>
        </is>
      </c>
      <c r="Q112" s="15" t="inlineStr">
        <is>
          <t>TURNOVER SCHEDULE r103, MS BOLANLE r21</t>
        </is>
      </c>
      <c r="R112" s="15" t="n"/>
    </row>
    <row r="113">
      <c r="A113" s="15" t="inlineStr">
        <is>
          <t>SL0109</t>
        </is>
      </c>
      <c r="B113" s="16" t="n">
        <v>45328</v>
      </c>
      <c r="C113" s="15" t="inlineStr">
        <is>
          <t>2024-02</t>
        </is>
      </c>
      <c r="D113" s="15" t="n">
        <v>2024</v>
      </c>
      <c r="E113" s="15" t="inlineStr">
        <is>
          <t>Land</t>
        </is>
      </c>
      <c r="F113" s="15" t="inlineStr">
        <is>
          <t>Plot / unit price</t>
        </is>
      </c>
      <c r="G113" s="15" t="inlineStr">
        <is>
          <t>Green City Phase 1 (Lantaba, Ketu-Epe)</t>
        </is>
      </c>
      <c r="H113" s="15" t="inlineStr">
        <is>
          <t>BP-C0057</t>
        </is>
      </c>
      <c r="I113" s="15" t="inlineStr">
        <is>
          <t>Mr Oniyide Olalouwa Blessing</t>
        </is>
      </c>
      <c r="J113" s="17" t="n">
        <v>1000000</v>
      </c>
      <c r="K113" s="15" t="inlineStr">
        <is>
          <t>Single register</t>
        </is>
      </c>
      <c r="L113" s="15" t="inlineStr">
        <is>
          <t>Primary: monthly turnover register</t>
        </is>
      </c>
      <c r="M113" s="15" t="inlineStr">
        <is>
          <t>BAAY PROJECTS FINANCIALS 2024.xlsx</t>
        </is>
      </c>
      <c r="N113" s="15" t="inlineStr">
        <is>
          <t>FEBRUARY TURNOVER</t>
        </is>
      </c>
      <c r="O113" s="15" t="n">
        <v>15</v>
      </c>
      <c r="P113" s="15" t="inlineStr">
        <is>
          <t>2024-06-02</t>
        </is>
      </c>
      <c r="Q113" s="15" t="inlineStr">
        <is>
          <t>TURNOVER SCHEDULE r70</t>
        </is>
      </c>
      <c r="R113" s="15" t="n"/>
    </row>
    <row r="114">
      <c r="A114" s="15" t="inlineStr">
        <is>
          <t>SL0110</t>
        </is>
      </c>
      <c r="B114" s="16" t="n">
        <v>45328</v>
      </c>
      <c r="C114" s="15" t="inlineStr">
        <is>
          <t>2024-02</t>
        </is>
      </c>
      <c r="D114" s="15" t="n">
        <v>2024</v>
      </c>
      <c r="E114" s="15" t="inlineStr">
        <is>
          <t>Land</t>
        </is>
      </c>
      <c r="F114" s="15" t="inlineStr">
        <is>
          <t>Plot / unit price</t>
        </is>
      </c>
      <c r="G114" s="15" t="inlineStr">
        <is>
          <t>Green City Phase 2 (Ketu-Epe)</t>
        </is>
      </c>
      <c r="H114" s="15" t="inlineStr">
        <is>
          <t>BP-C0065</t>
        </is>
      </c>
      <c r="I114" s="15" t="inlineStr">
        <is>
          <t>Mr Yusuf Saheed Taiwo</t>
        </is>
      </c>
      <c r="J114" s="17" t="n">
        <v>1800000</v>
      </c>
      <c r="K114" s="15" t="inlineStr">
        <is>
          <t>Single register</t>
        </is>
      </c>
      <c r="L114" s="15" t="inlineStr">
        <is>
          <t>Primary: monthly turnover register</t>
        </is>
      </c>
      <c r="M114" s="15" t="inlineStr">
        <is>
          <t>BAAY PROJECTS FINANCIALS 2024.xlsx</t>
        </is>
      </c>
      <c r="N114" s="15" t="inlineStr">
        <is>
          <t>FEBRUARY TURNOVER</t>
        </is>
      </c>
      <c r="O114" s="15" t="n">
        <v>16</v>
      </c>
      <c r="P114" s="15" t="inlineStr">
        <is>
          <t>2024-06-02</t>
        </is>
      </c>
      <c r="Q114" s="15" t="inlineStr">
        <is>
          <t>TURNOVER SCHEDULE r108</t>
        </is>
      </c>
      <c r="R114" s="15" t="n"/>
    </row>
    <row r="115">
      <c r="A115" s="15" t="inlineStr">
        <is>
          <t>SL0111</t>
        </is>
      </c>
      <c r="B115" s="16" t="n">
        <v>45331</v>
      </c>
      <c r="C115" s="15" t="inlineStr">
        <is>
          <t>2024-02</t>
        </is>
      </c>
      <c r="D115" s="15" t="n">
        <v>2024</v>
      </c>
      <c r="E115" s="15" t="inlineStr">
        <is>
          <t>Land</t>
        </is>
      </c>
      <c r="F115" s="15" t="inlineStr">
        <is>
          <t>Plot / unit price</t>
        </is>
      </c>
      <c r="G115" s="15" t="inlineStr">
        <is>
          <t>Green City Phase 1 (Lantaba, Ketu-Epe)</t>
        </is>
      </c>
      <c r="H115" s="15" t="inlineStr">
        <is>
          <t>BP-C0050</t>
        </is>
      </c>
      <c r="I115" s="15" t="inlineStr">
        <is>
          <t>Mr Atuanya Patrick Jideovo</t>
        </is>
      </c>
      <c r="J115" s="17" t="n">
        <v>160000</v>
      </c>
      <c r="K115" s="15" t="inlineStr">
        <is>
          <t>Single register</t>
        </is>
      </c>
      <c r="L115" s="15" t="inlineStr">
        <is>
          <t>Primary: monthly turnover register</t>
        </is>
      </c>
      <c r="M115" s="15" t="inlineStr">
        <is>
          <t>BAAY PROJECTS FINANCIALS 2024.xlsx</t>
        </is>
      </c>
      <c r="N115" s="15" t="inlineStr">
        <is>
          <t>FEBRUARY TURNOVER</t>
        </is>
      </c>
      <c r="O115" s="15" t="n">
        <v>17</v>
      </c>
      <c r="P115" s="15" t="inlineStr">
        <is>
          <t>2024-09-02</t>
        </is>
      </c>
      <c r="Q115" s="15" t="inlineStr">
        <is>
          <t>TURNOVER SCHEDULE r145, MS YETUNDE ABISOYE r17</t>
        </is>
      </c>
      <c r="R115" s="15" t="n"/>
    </row>
    <row r="116">
      <c r="A116" s="15" t="inlineStr">
        <is>
          <t>SL0112</t>
        </is>
      </c>
      <c r="B116" s="16" t="n">
        <v>45333</v>
      </c>
      <c r="C116" s="15" t="inlineStr">
        <is>
          <t>2024-02</t>
        </is>
      </c>
      <c r="D116" s="15" t="n">
        <v>2024</v>
      </c>
      <c r="E116" s="15" t="inlineStr">
        <is>
          <t>Land</t>
        </is>
      </c>
      <c r="F116" s="15" t="inlineStr">
        <is>
          <t>Plot / unit price</t>
        </is>
      </c>
      <c r="G116" s="15" t="inlineStr">
        <is>
          <t>Green City Phase 1 (Lantaba, Ketu-Epe)</t>
        </is>
      </c>
      <c r="H116" s="15" t="inlineStr">
        <is>
          <t>BP-C0006</t>
        </is>
      </c>
      <c r="I116" s="15" t="inlineStr">
        <is>
          <t>Mr Olasupo Oladimeji Muritala</t>
        </is>
      </c>
      <c r="J116" s="17" t="n">
        <v>1612600</v>
      </c>
      <c r="K116" s="15" t="inlineStr">
        <is>
          <t>Single register</t>
        </is>
      </c>
      <c r="L116" s="15" t="inlineStr">
        <is>
          <t>Primary: monthly turnover register</t>
        </is>
      </c>
      <c r="M116" s="15" t="inlineStr">
        <is>
          <t>BAAY PROJECTS FINANCIALS 2024.xlsx</t>
        </is>
      </c>
      <c r="N116" s="15" t="inlineStr">
        <is>
          <t>FEBRUARY TURNOVER</t>
        </is>
      </c>
      <c r="O116" s="15" t="n">
        <v>18</v>
      </c>
      <c r="P116" s="15" t="inlineStr">
        <is>
          <t>2024-11-02</t>
        </is>
      </c>
      <c r="Q116" s="15" t="inlineStr">
        <is>
          <t>TURNOVER SCHEDULE r29, MRS ABIMBOLA r26</t>
        </is>
      </c>
      <c r="R116" s="15" t="n"/>
    </row>
    <row r="117">
      <c r="A117" s="15" t="inlineStr">
        <is>
          <t>SL0113</t>
        </is>
      </c>
      <c r="B117" s="16" t="n">
        <v>45334</v>
      </c>
      <c r="C117" s="15" t="inlineStr">
        <is>
          <t>2024-02</t>
        </is>
      </c>
      <c r="D117" s="15" t="n">
        <v>2024</v>
      </c>
      <c r="E117" s="15" t="inlineStr">
        <is>
          <t>Land</t>
        </is>
      </c>
      <c r="F117" s="15" t="inlineStr">
        <is>
          <t>Plot / unit price</t>
        </is>
      </c>
      <c r="G117" s="15" t="inlineStr">
        <is>
          <t>Green City Phase 2 (Ketu-Epe)</t>
        </is>
      </c>
      <c r="H117" s="15" t="inlineStr">
        <is>
          <t>BP-C0009</t>
        </is>
      </c>
      <c r="I117" s="15" t="inlineStr">
        <is>
          <t>Miss Oji Blessing Mary</t>
        </is>
      </c>
      <c r="J117" s="17" t="n">
        <v>1500000</v>
      </c>
      <c r="K117" s="15" t="inlineStr">
        <is>
          <t>Single register</t>
        </is>
      </c>
      <c r="L117" s="15" t="inlineStr">
        <is>
          <t>Primary: monthly turnover register</t>
        </is>
      </c>
      <c r="M117" s="15" t="inlineStr">
        <is>
          <t>BAAY PROJECTS FINANCIALS 2024.xlsx</t>
        </is>
      </c>
      <c r="N117" s="15" t="inlineStr">
        <is>
          <t>FEBRUARY TURNOVER</t>
        </is>
      </c>
      <c r="O117" s="15" t="n">
        <v>19</v>
      </c>
      <c r="P117" s="15" t="inlineStr">
        <is>
          <t>2024-12-02</t>
        </is>
      </c>
      <c r="Q117" s="15" t="inlineStr">
        <is>
          <t>TURNOVER SCHEDULE r110, MS BOLANLE r18</t>
        </is>
      </c>
      <c r="R117" s="15" t="n"/>
    </row>
    <row r="118">
      <c r="A118" s="15" t="inlineStr">
        <is>
          <t>SL0114</t>
        </is>
      </c>
      <c r="B118" s="16" t="n">
        <v>45341</v>
      </c>
      <c r="C118" s="15" t="inlineStr">
        <is>
          <t>2024-02</t>
        </is>
      </c>
      <c r="D118" s="15" t="n">
        <v>2024</v>
      </c>
      <c r="E118" s="15" t="inlineStr">
        <is>
          <t>Land</t>
        </is>
      </c>
      <c r="F118" s="15" t="inlineStr">
        <is>
          <t>Plot / unit price</t>
        </is>
      </c>
      <c r="G118" s="15" t="inlineStr">
        <is>
          <t>Green City Phase 1 (Lantaba, Ketu-Epe)</t>
        </is>
      </c>
      <c r="H118" s="15" t="inlineStr">
        <is>
          <t>BP-C0059</t>
        </is>
      </c>
      <c r="I118" s="15" t="inlineStr">
        <is>
          <t>Chief Onyemelukwe Elochukwu George</t>
        </is>
      </c>
      <c r="J118" s="17" t="n">
        <v>540000</v>
      </c>
      <c r="K118" s="15" t="inlineStr">
        <is>
          <t>Single register</t>
        </is>
      </c>
      <c r="L118" s="15" t="inlineStr">
        <is>
          <t>Primary: monthly turnover register</t>
        </is>
      </c>
      <c r="M118" s="15" t="inlineStr">
        <is>
          <t>BAAY PROJECTS FINANCIALS 2024.xlsx</t>
        </is>
      </c>
      <c r="N118" s="15" t="inlineStr">
        <is>
          <t>FEBRUARY TURNOVER</t>
        </is>
      </c>
      <c r="O118" s="15" t="n">
        <v>20</v>
      </c>
      <c r="P118" s="15" t="inlineStr">
        <is>
          <t>19/02/2024</t>
        </is>
      </c>
      <c r="Q118" s="15" t="inlineStr">
        <is>
          <t>TURNOVER SCHEDULE r138, MRS ABIMBOLA r27</t>
        </is>
      </c>
      <c r="R118" s="15" t="n"/>
    </row>
    <row r="119">
      <c r="A119" s="15" t="inlineStr">
        <is>
          <t>SL0115</t>
        </is>
      </c>
      <c r="B119" s="16" t="n">
        <v>45341</v>
      </c>
      <c r="C119" s="15" t="inlineStr">
        <is>
          <t>2024-02</t>
        </is>
      </c>
      <c r="D119" s="15" t="n">
        <v>2024</v>
      </c>
      <c r="E119" s="15" t="inlineStr">
        <is>
          <t>Land</t>
        </is>
      </c>
      <c r="F119" s="15" t="inlineStr">
        <is>
          <t>Plot / unit price</t>
        </is>
      </c>
      <c r="G119" s="15" t="inlineStr">
        <is>
          <t>Green City Phase 2 (Ketu-Epe)</t>
        </is>
      </c>
      <c r="H119" s="15" t="inlineStr">
        <is>
          <t>BP-C0064</t>
        </is>
      </c>
      <c r="I119" s="15" t="inlineStr">
        <is>
          <t>Mr Damian Okosun</t>
        </is>
      </c>
      <c r="J119" s="17" t="n">
        <v>1000000</v>
      </c>
      <c r="K119" s="15" t="inlineStr">
        <is>
          <t>Single register</t>
        </is>
      </c>
      <c r="L119" s="15" t="inlineStr">
        <is>
          <t>Primary: monthly turnover register</t>
        </is>
      </c>
      <c r="M119" s="15" t="inlineStr">
        <is>
          <t>BAAY PROJECTS FINANCIALS 2024.xlsx</t>
        </is>
      </c>
      <c r="N119" s="15" t="inlineStr">
        <is>
          <t>FEBRUARY TURNOVER</t>
        </is>
      </c>
      <c r="O119" s="15" t="n">
        <v>21</v>
      </c>
      <c r="P119" s="15" t="inlineStr">
        <is>
          <t>19/02/2024</t>
        </is>
      </c>
      <c r="Q119" s="15" t="inlineStr">
        <is>
          <t>TURNOVER SCHEDULE r104, MS BOLANLE r22</t>
        </is>
      </c>
      <c r="R119" s="15" t="n"/>
    </row>
    <row r="120">
      <c r="A120" s="15" t="inlineStr">
        <is>
          <t>SL0116</t>
        </is>
      </c>
      <c r="B120" s="16" t="n">
        <v>45343</v>
      </c>
      <c r="C120" s="15" t="inlineStr">
        <is>
          <t>2024-02</t>
        </is>
      </c>
      <c r="D120" s="15" t="n">
        <v>2024</v>
      </c>
      <c r="E120" s="15" t="inlineStr">
        <is>
          <t>Land</t>
        </is>
      </c>
      <c r="F120" s="15" t="inlineStr">
        <is>
          <t>Plot / unit price</t>
        </is>
      </c>
      <c r="G120" s="15" t="inlineStr">
        <is>
          <t>Green City Phase 1 (Lantaba, Ketu-Epe)</t>
        </is>
      </c>
      <c r="H120" s="15" t="inlineStr">
        <is>
          <t>BP-C0056</t>
        </is>
      </c>
      <c r="I120" s="15" t="inlineStr">
        <is>
          <t>Mr Adeuti Babatunde Olanrewaju</t>
        </is>
      </c>
      <c r="J120" s="17" t="n">
        <v>740000</v>
      </c>
      <c r="K120" s="15" t="inlineStr">
        <is>
          <t>Single register</t>
        </is>
      </c>
      <c r="L120" s="15" t="inlineStr">
        <is>
          <t>Primary: monthly turnover register</t>
        </is>
      </c>
      <c r="M120" s="15" t="inlineStr">
        <is>
          <t>BAAY PROJECTS FINANCIALS 2024.xlsx</t>
        </is>
      </c>
      <c r="N120" s="15" t="inlineStr">
        <is>
          <t>FEBRUARY TURNOVER</t>
        </is>
      </c>
      <c r="O120" s="15" t="n">
        <v>22</v>
      </c>
      <c r="P120" s="15" t="inlineStr">
        <is>
          <t>21/02/2024</t>
        </is>
      </c>
      <c r="Q120" s="15" t="inlineStr">
        <is>
          <t>TURNOVER SCHEDULE r79, MRS ABIMBOLA r28</t>
        </is>
      </c>
      <c r="R120" s="15" t="n"/>
    </row>
    <row r="121">
      <c r="A121" s="15" t="inlineStr">
        <is>
          <t>SL0117</t>
        </is>
      </c>
      <c r="B121" s="16" t="n">
        <v>45344</v>
      </c>
      <c r="C121" s="15" t="inlineStr">
        <is>
          <t>2024-02</t>
        </is>
      </c>
      <c r="D121" s="15" t="n">
        <v>2024</v>
      </c>
      <c r="E121" s="15" t="inlineStr">
        <is>
          <t>Land</t>
        </is>
      </c>
      <c r="F121" s="15" t="inlineStr">
        <is>
          <t>Plot / unit price</t>
        </is>
      </c>
      <c r="G121" s="15" t="inlineStr">
        <is>
          <t>Green City Phase 1 (Lantaba, Ketu-Epe)</t>
        </is>
      </c>
      <c r="H121" s="15" t="inlineStr">
        <is>
          <t>BP-C0056</t>
        </is>
      </c>
      <c r="I121" s="15" t="inlineStr">
        <is>
          <t>Mr Adeuti Babatunde Olanrewaju</t>
        </is>
      </c>
      <c r="J121" s="17" t="n">
        <v>660000</v>
      </c>
      <c r="K121" s="15" t="inlineStr">
        <is>
          <t>Single register</t>
        </is>
      </c>
      <c r="L121" s="15" t="inlineStr">
        <is>
          <t>Primary: monthly turnover register</t>
        </is>
      </c>
      <c r="M121" s="15" t="inlineStr">
        <is>
          <t>BAAY PROJECTS FINANCIALS 2024.xlsx</t>
        </is>
      </c>
      <c r="N121" s="15" t="inlineStr">
        <is>
          <t>FEBRUARY TURNOVER</t>
        </is>
      </c>
      <c r="O121" s="15" t="n">
        <v>24</v>
      </c>
      <c r="P121" s="15" t="inlineStr">
        <is>
          <t>22/02/2024</t>
        </is>
      </c>
      <c r="Q121" s="15" t="inlineStr">
        <is>
          <t>TURNOVER SCHEDULE r80, MRS ABIMBOLA r29</t>
        </is>
      </c>
      <c r="R121" s="15" t="n"/>
    </row>
    <row r="122">
      <c r="A122" s="15" t="inlineStr">
        <is>
          <t>SL0118</t>
        </is>
      </c>
      <c r="B122" s="16" t="n">
        <v>45344</v>
      </c>
      <c r="C122" s="15" t="inlineStr">
        <is>
          <t>2024-02</t>
        </is>
      </c>
      <c r="D122" s="15" t="n">
        <v>2024</v>
      </c>
      <c r="E122" s="15" t="inlineStr">
        <is>
          <t>Land</t>
        </is>
      </c>
      <c r="F122" s="15" t="inlineStr">
        <is>
          <t>Plot / unit price</t>
        </is>
      </c>
      <c r="G122" s="15" t="inlineStr">
        <is>
          <t>Green City Phase 1 (Lantaba, Ketu-Epe)</t>
        </is>
      </c>
      <c r="H122" s="15" t="inlineStr">
        <is>
          <t>BP-C0044</t>
        </is>
      </c>
      <c r="I122" s="15" t="inlineStr">
        <is>
          <t>Mr Babajide Oluwase</t>
        </is>
      </c>
      <c r="J122" s="17" t="n">
        <v>715000</v>
      </c>
      <c r="K122" s="15" t="inlineStr">
        <is>
          <t>Single register</t>
        </is>
      </c>
      <c r="L122" s="15" t="inlineStr">
        <is>
          <t>Primary: monthly turnover register</t>
        </is>
      </c>
      <c r="M122" s="15" t="inlineStr">
        <is>
          <t>BAAY PROJECTS FINANCIALS 2024.xlsx</t>
        </is>
      </c>
      <c r="N122" s="15" t="inlineStr">
        <is>
          <t>FEBRUARY TURNOVER</t>
        </is>
      </c>
      <c r="O122" s="15" t="n">
        <v>23</v>
      </c>
      <c r="P122" s="15" t="inlineStr">
        <is>
          <t>22/02/2024</t>
        </is>
      </c>
      <c r="Q122" s="15" t="inlineStr">
        <is>
          <t>TURNOVER SCHEDULE r191, MD r27</t>
        </is>
      </c>
      <c r="R122" s="15" t="n"/>
    </row>
    <row r="123">
      <c r="A123" s="15" t="inlineStr">
        <is>
          <t>SL0119</t>
        </is>
      </c>
      <c r="B123" s="16" t="n">
        <v>45345</v>
      </c>
      <c r="C123" s="15" t="inlineStr">
        <is>
          <t>2024-02</t>
        </is>
      </c>
      <c r="D123" s="15" t="n">
        <v>2024</v>
      </c>
      <c r="E123" s="15" t="inlineStr">
        <is>
          <t>Land</t>
        </is>
      </c>
      <c r="F123" s="15" t="inlineStr">
        <is>
          <t>Plot / unit price</t>
        </is>
      </c>
      <c r="G123" s="15" t="inlineStr">
        <is>
          <t>Green City Phase 1 (Lantaba, Ketu-Epe)</t>
        </is>
      </c>
      <c r="H123" s="15" t="inlineStr">
        <is>
          <t>BP-C0053</t>
        </is>
      </c>
      <c r="I123" s="15" t="inlineStr">
        <is>
          <t>Mr Adegbembo Stephen Oluwagbemiga</t>
        </is>
      </c>
      <c r="J123" s="17" t="n">
        <v>1000000</v>
      </c>
      <c r="K123" s="15" t="inlineStr">
        <is>
          <t>Single register</t>
        </is>
      </c>
      <c r="L123" s="15" t="inlineStr">
        <is>
          <t>Primary: monthly turnover register</t>
        </is>
      </c>
      <c r="M123" s="15" t="inlineStr">
        <is>
          <t>BAAY PROJECTS FINANCIALS 2024.xlsx</t>
        </is>
      </c>
      <c r="N123" s="15" t="inlineStr">
        <is>
          <t>FEBRUARY TURNOVER</t>
        </is>
      </c>
      <c r="O123" s="15" t="n">
        <v>25</v>
      </c>
      <c r="P123" s="15" t="inlineStr">
        <is>
          <t>23/02/2024</t>
        </is>
      </c>
      <c r="Q123" s="15" t="inlineStr">
        <is>
          <t>TURNOVER SCHEDULE r84</t>
        </is>
      </c>
      <c r="R123" s="15" t="n"/>
    </row>
    <row r="124">
      <c r="A124" s="15" t="inlineStr">
        <is>
          <t>SL0120</t>
        </is>
      </c>
      <c r="B124" s="16" t="n">
        <v>45347</v>
      </c>
      <c r="C124" s="15" t="inlineStr">
        <is>
          <t>2024-02</t>
        </is>
      </c>
      <c r="D124" s="15" t="n">
        <v>2024</v>
      </c>
      <c r="E124" s="15" t="inlineStr">
        <is>
          <t>Land</t>
        </is>
      </c>
      <c r="F124" s="15" t="inlineStr">
        <is>
          <t>Plot / unit price</t>
        </is>
      </c>
      <c r="G124" s="15" t="inlineStr">
        <is>
          <t>Green City Phase 1 (Lantaba, Ketu-Epe)</t>
        </is>
      </c>
      <c r="H124" s="15" t="inlineStr">
        <is>
          <t>BP-C0027</t>
        </is>
      </c>
      <c r="I124" s="15" t="inlineStr">
        <is>
          <t>Mr Edun Ayobami Simeon</t>
        </is>
      </c>
      <c r="J124" s="17" t="n">
        <v>700000</v>
      </c>
      <c r="K124" s="15" t="inlineStr">
        <is>
          <t>Single register</t>
        </is>
      </c>
      <c r="L124" s="15" t="inlineStr">
        <is>
          <t>Primary: monthly turnover register</t>
        </is>
      </c>
      <c r="M124" s="15" t="inlineStr">
        <is>
          <t>BAAY PROJECTS FINANCIALS 2024.xlsx</t>
        </is>
      </c>
      <c r="N124" s="15" t="inlineStr">
        <is>
          <t>FEBRUARY TURNOVER</t>
        </is>
      </c>
      <c r="O124" s="15" t="n">
        <v>26</v>
      </c>
      <c r="P124" s="15" t="inlineStr">
        <is>
          <t>25/02/2024</t>
        </is>
      </c>
      <c r="Q124" s="15" t="inlineStr">
        <is>
          <t>TURNOVER SCHEDULE r130, MRS ABIMBOLA r80</t>
        </is>
      </c>
      <c r="R124" s="15" t="n"/>
    </row>
    <row r="125">
      <c r="A125" s="15" t="inlineStr">
        <is>
          <t>SL0121</t>
        </is>
      </c>
      <c r="B125" s="16" t="n">
        <v>45348</v>
      </c>
      <c r="C125" s="15" t="inlineStr">
        <is>
          <t>2024-02</t>
        </is>
      </c>
      <c r="D125" s="15" t="n">
        <v>2024</v>
      </c>
      <c r="E125" s="15" t="inlineStr">
        <is>
          <t>Land</t>
        </is>
      </c>
      <c r="F125" s="15" t="inlineStr">
        <is>
          <t>Plot / unit price</t>
        </is>
      </c>
      <c r="G125" s="15" t="inlineStr">
        <is>
          <t>Green City Phase 1 (Lantaba, Ketu-Epe)</t>
        </is>
      </c>
      <c r="H125" s="15" t="inlineStr">
        <is>
          <t>BP-C0046</t>
        </is>
      </c>
      <c r="I125" s="15" t="inlineStr">
        <is>
          <t>Mr Adesida Raphael</t>
        </is>
      </c>
      <c r="J125" s="17" t="n">
        <v>100000</v>
      </c>
      <c r="K125" s="15" t="inlineStr">
        <is>
          <t>Single register</t>
        </is>
      </c>
      <c r="L125" s="15" t="inlineStr">
        <is>
          <t>Primary: monthly turnover register</t>
        </is>
      </c>
      <c r="M125" s="15" t="inlineStr">
        <is>
          <t>BAAY PROJECTS FINANCIALS 2024.xlsx</t>
        </is>
      </c>
      <c r="N125" s="15" t="inlineStr">
        <is>
          <t>FEBRUARY TURNOVER</t>
        </is>
      </c>
      <c r="O125" s="15" t="n">
        <v>29</v>
      </c>
      <c r="P125" s="15" t="inlineStr">
        <is>
          <t>26/02/2024</t>
        </is>
      </c>
      <c r="Q125" s="15" t="inlineStr">
        <is>
          <t>TURNOVER SCHEDULE r172</t>
        </is>
      </c>
      <c r="R125" s="15" t="n"/>
    </row>
    <row r="126">
      <c r="A126" s="15" t="inlineStr">
        <is>
          <t>SL0122</t>
        </is>
      </c>
      <c r="B126" s="16" t="n">
        <v>45348</v>
      </c>
      <c r="C126" s="15" t="inlineStr">
        <is>
          <t>2024-02</t>
        </is>
      </c>
      <c r="D126" s="15" t="n">
        <v>2024</v>
      </c>
      <c r="E126" s="15" t="inlineStr">
        <is>
          <t>Land</t>
        </is>
      </c>
      <c r="F126" s="15" t="inlineStr">
        <is>
          <t>Plot / unit price</t>
        </is>
      </c>
      <c r="G126" s="15" t="inlineStr">
        <is>
          <t>Green City Phase 2 (Ketu-Epe)</t>
        </is>
      </c>
      <c r="H126" s="15" t="inlineStr">
        <is>
          <t>BP-C0067</t>
        </is>
      </c>
      <c r="I126" s="15" t="inlineStr">
        <is>
          <t>Mr Odje Theophilus Bamidele</t>
        </is>
      </c>
      <c r="J126" s="17" t="n">
        <v>3500000</v>
      </c>
      <c r="K126" s="15" t="inlineStr">
        <is>
          <t>Single register</t>
        </is>
      </c>
      <c r="L126" s="15" t="inlineStr">
        <is>
          <t>Primary: monthly turnover register</t>
        </is>
      </c>
      <c r="M126" s="15" t="inlineStr">
        <is>
          <t>BAAY PROJECTS FINANCIALS 2024.xlsx</t>
        </is>
      </c>
      <c r="N126" s="15" t="inlineStr">
        <is>
          <t>FEBRUARY TURNOVER</t>
        </is>
      </c>
      <c r="O126" s="15" t="n">
        <v>30</v>
      </c>
      <c r="P126" s="15" t="inlineStr">
        <is>
          <t>26/02/2024</t>
        </is>
      </c>
      <c r="Q126" s="15" t="inlineStr">
        <is>
          <t>TURNOVER SCHEDULE r221, MR PRAISE r2</t>
        </is>
      </c>
      <c r="R126" s="15" t="n"/>
    </row>
    <row r="127">
      <c r="A127" s="15" t="inlineStr">
        <is>
          <t>SL0123</t>
        </is>
      </c>
      <c r="B127" s="16" t="n">
        <v>45348</v>
      </c>
      <c r="C127" s="15" t="inlineStr">
        <is>
          <t>2024-02</t>
        </is>
      </c>
      <c r="D127" s="15" t="n">
        <v>2024</v>
      </c>
      <c r="E127" s="15" t="inlineStr">
        <is>
          <t>Land</t>
        </is>
      </c>
      <c r="F127" s="15" t="inlineStr">
        <is>
          <t>Plot / unit price</t>
        </is>
      </c>
      <c r="G127" s="15" t="inlineStr">
        <is>
          <t>Green City Phase 2 (Ketu-Epe)</t>
        </is>
      </c>
      <c r="H127" s="15" t="inlineStr">
        <is>
          <t>BP-C0063</t>
        </is>
      </c>
      <c r="I127" s="15" t="inlineStr">
        <is>
          <t>Mr Omodara Adewale</t>
        </is>
      </c>
      <c r="J127" s="17" t="n">
        <v>2000000</v>
      </c>
      <c r="K127" s="15" t="inlineStr">
        <is>
          <t>Single register</t>
        </is>
      </c>
      <c r="L127" s="15" t="inlineStr">
        <is>
          <t>Primary: monthly turnover register</t>
        </is>
      </c>
      <c r="M127" s="15" t="inlineStr">
        <is>
          <t>BAAY PROJECTS FINANCIALS 2024.xlsx</t>
        </is>
      </c>
      <c r="N127" s="15" t="inlineStr">
        <is>
          <t>FEBRUARY TURNOVER</t>
        </is>
      </c>
      <c r="O127" s="15" t="n">
        <v>31</v>
      </c>
      <c r="P127" s="15" t="inlineStr">
        <is>
          <t>26/02/2024</t>
        </is>
      </c>
      <c r="Q127" s="15" t="inlineStr">
        <is>
          <t>TURNOVER SCHEDULE r96, MS TAIWO r13</t>
        </is>
      </c>
      <c r="R127" s="15" t="n"/>
    </row>
    <row r="128">
      <c r="A128" s="15" t="inlineStr">
        <is>
          <t>SL0124</t>
        </is>
      </c>
      <c r="B128" s="16" t="n">
        <v>45348</v>
      </c>
      <c r="C128" s="15" t="inlineStr">
        <is>
          <t>2024-02</t>
        </is>
      </c>
      <c r="D128" s="15" t="n">
        <v>2024</v>
      </c>
      <c r="E128" s="15" t="inlineStr">
        <is>
          <t>Land</t>
        </is>
      </c>
      <c r="F128" s="15" t="inlineStr">
        <is>
          <t>Plot / unit price</t>
        </is>
      </c>
      <c r="G128" s="15" t="inlineStr">
        <is>
          <t>Green City Phase 1 (Lantaba, Ketu-Epe)</t>
        </is>
      </c>
      <c r="H128" s="15" t="inlineStr">
        <is>
          <t>BP-C0057</t>
        </is>
      </c>
      <c r="I128" s="15" t="inlineStr">
        <is>
          <t>Mr Oniyide Olalouwa Blessing</t>
        </is>
      </c>
      <c r="J128" s="17" t="n">
        <v>1040000</v>
      </c>
      <c r="K128" s="15" t="inlineStr">
        <is>
          <t>Single register</t>
        </is>
      </c>
      <c r="L128" s="15" t="inlineStr">
        <is>
          <t>Primary: monthly turnover register</t>
        </is>
      </c>
      <c r="M128" s="15" t="inlineStr">
        <is>
          <t>BAAY PROJECTS FINANCIALS 2024.xlsx</t>
        </is>
      </c>
      <c r="N128" s="15" t="inlineStr">
        <is>
          <t>FEBRUARY TURNOVER</t>
        </is>
      </c>
      <c r="O128" s="15" t="n">
        <v>27</v>
      </c>
      <c r="P128" s="15" t="inlineStr">
        <is>
          <t>26/02/2024</t>
        </is>
      </c>
      <c r="Q128" s="15" t="inlineStr">
        <is>
          <t>TURNOVER SCHEDULE r71</t>
        </is>
      </c>
      <c r="R128" s="15" t="n"/>
    </row>
    <row r="129">
      <c r="A129" s="15" t="inlineStr">
        <is>
          <t>SL0125</t>
        </is>
      </c>
      <c r="B129" s="16" t="n">
        <v>45348</v>
      </c>
      <c r="C129" s="15" t="inlineStr">
        <is>
          <t>2024-02</t>
        </is>
      </c>
      <c r="D129" s="15" t="n">
        <v>2024</v>
      </c>
      <c r="E129" s="15" t="inlineStr">
        <is>
          <t>Land</t>
        </is>
      </c>
      <c r="F129" s="15" t="inlineStr">
        <is>
          <t>Plot / unit price</t>
        </is>
      </c>
      <c r="G129" s="15" t="inlineStr">
        <is>
          <t>Green City Phase 2 (Ketu-Epe)</t>
        </is>
      </c>
      <c r="H129" s="15" t="inlineStr">
        <is>
          <t>BP-C0008</t>
        </is>
      </c>
      <c r="I129" s="15" t="inlineStr">
        <is>
          <t>Mr Rasaq Roqeeb Adebare</t>
        </is>
      </c>
      <c r="J129" s="17" t="n">
        <v>500000</v>
      </c>
      <c r="K129" s="15" t="inlineStr">
        <is>
          <t>Single register</t>
        </is>
      </c>
      <c r="L129" s="15" t="inlineStr">
        <is>
          <t>Primary: monthly turnover register</t>
        </is>
      </c>
      <c r="M129" s="15" t="inlineStr">
        <is>
          <t>BAAY PROJECTS FINANCIALS 2024.xlsx</t>
        </is>
      </c>
      <c r="N129" s="15" t="inlineStr">
        <is>
          <t>FEBRUARY TURNOVER</t>
        </is>
      </c>
      <c r="O129" s="15" t="n">
        <v>28</v>
      </c>
      <c r="P129" s="15" t="inlineStr">
        <is>
          <t>26/02/2024</t>
        </is>
      </c>
      <c r="Q129" s="15" t="inlineStr">
        <is>
          <t>TURNOVER SCHEDULE r186</t>
        </is>
      </c>
      <c r="R129" s="15" t="n"/>
    </row>
    <row r="130">
      <c r="A130" s="15" t="inlineStr">
        <is>
          <t>SL0126</t>
        </is>
      </c>
      <c r="B130" s="16" t="n">
        <v>45349</v>
      </c>
      <c r="C130" s="15" t="inlineStr">
        <is>
          <t>2024-02</t>
        </is>
      </c>
      <c r="D130" s="15" t="n">
        <v>2024</v>
      </c>
      <c r="E130" s="15" t="inlineStr">
        <is>
          <t>Land</t>
        </is>
      </c>
      <c r="F130" s="15" t="inlineStr">
        <is>
          <t>Plot / unit price</t>
        </is>
      </c>
      <c r="G130" s="15" t="inlineStr">
        <is>
          <t>Green City Phase 1 (Lantaba, Ketu-Epe)</t>
        </is>
      </c>
      <c r="H130" s="15" t="inlineStr">
        <is>
          <t>BP-C0046</t>
        </is>
      </c>
      <c r="I130" s="15" t="inlineStr">
        <is>
          <t>Mr Adesida Raphael</t>
        </is>
      </c>
      <c r="J130" s="17" t="n">
        <v>100000</v>
      </c>
      <c r="K130" s="15" t="inlineStr">
        <is>
          <t>Single register</t>
        </is>
      </c>
      <c r="L130" s="15" t="inlineStr">
        <is>
          <t>Primary: monthly turnover register</t>
        </is>
      </c>
      <c r="M130" s="15" t="inlineStr">
        <is>
          <t>BAAY PROJECTS FINANCIALS 2024.xlsx</t>
        </is>
      </c>
      <c r="N130" s="15" t="inlineStr">
        <is>
          <t>FEBRUARY TURNOVER</t>
        </is>
      </c>
      <c r="O130" s="15" t="n">
        <v>32</v>
      </c>
      <c r="P130" s="15" t="inlineStr">
        <is>
          <t>27/02/2024</t>
        </is>
      </c>
      <c r="Q130" s="15" t="inlineStr">
        <is>
          <t>TURNOVER SCHEDULE r173</t>
        </is>
      </c>
      <c r="R130" s="15" t="n"/>
    </row>
    <row r="131">
      <c r="A131" s="15" t="inlineStr">
        <is>
          <t>SL0127</t>
        </is>
      </c>
      <c r="B131" s="16" t="n">
        <v>45350</v>
      </c>
      <c r="C131" s="15" t="inlineStr">
        <is>
          <t>2024-02</t>
        </is>
      </c>
      <c r="D131" s="15" t="n">
        <v>2024</v>
      </c>
      <c r="E131" s="15" t="inlineStr">
        <is>
          <t>Land</t>
        </is>
      </c>
      <c r="F131" s="15" t="inlineStr">
        <is>
          <t>Plot / unit price</t>
        </is>
      </c>
      <c r="G131" s="15" t="inlineStr">
        <is>
          <t>Green City Phase 1 (Lantaba, Ketu-Epe)</t>
        </is>
      </c>
      <c r="H131" s="15" t="inlineStr">
        <is>
          <t>BP-C0029</t>
        </is>
      </c>
      <c r="I131" s="15" t="inlineStr">
        <is>
          <t>Mr Ohanehi Anthony Chukwunonso</t>
        </is>
      </c>
      <c r="J131" s="17" t="n">
        <v>1511250</v>
      </c>
      <c r="K131" s="15" t="inlineStr">
        <is>
          <t>Single register</t>
        </is>
      </c>
      <c r="L131" s="15" t="inlineStr">
        <is>
          <t>Primary: monthly turnover register</t>
        </is>
      </c>
      <c r="M131" s="15" t="inlineStr">
        <is>
          <t>BAAY PROJECTS FINANCIALS 2024.xlsx</t>
        </is>
      </c>
      <c r="N131" s="15" t="inlineStr">
        <is>
          <t>FEBRUARY TURNOVER</t>
        </is>
      </c>
      <c r="O131" s="15" t="n">
        <v>33</v>
      </c>
      <c r="P131" s="15" t="inlineStr">
        <is>
          <t>28/02/2024</t>
        </is>
      </c>
      <c r="Q131" s="15" t="inlineStr">
        <is>
          <t>TURNOVER SCHEDULE r21, MS IMMACULATE r16</t>
        </is>
      </c>
      <c r="R131" s="15" t="n"/>
    </row>
    <row r="132">
      <c r="A132" s="15" t="inlineStr">
        <is>
          <t>SL0128</t>
        </is>
      </c>
      <c r="B132" s="16" t="n">
        <v>45352</v>
      </c>
      <c r="C132" s="15" t="inlineStr">
        <is>
          <t>2024-03</t>
        </is>
      </c>
      <c r="D132" s="15" t="n">
        <v>2024</v>
      </c>
      <c r="E132" s="15" t="inlineStr">
        <is>
          <t>Land</t>
        </is>
      </c>
      <c r="F132" s="15" t="inlineStr">
        <is>
          <t>Plot / unit price</t>
        </is>
      </c>
      <c r="G132" s="15" t="inlineStr">
        <is>
          <t>Green City Phase 1 (Lantaba, Ketu-Epe)</t>
        </is>
      </c>
      <c r="H132" s="15" t="inlineStr">
        <is>
          <t>BP-C0054</t>
        </is>
      </c>
      <c r="I132" s="15" t="inlineStr">
        <is>
          <t>Mr Ademola Adeniyi</t>
        </is>
      </c>
      <c r="J132" s="17" t="n">
        <v>3000000</v>
      </c>
      <c r="K132" s="15" t="inlineStr">
        <is>
          <t>Single register</t>
        </is>
      </c>
      <c r="L132" s="15" t="inlineStr">
        <is>
          <t>Primary: monthly turnover register</t>
        </is>
      </c>
      <c r="M132" s="15" t="inlineStr">
        <is>
          <t>BAAY PROJECTS FINANCIALS 2024.xlsx</t>
        </is>
      </c>
      <c r="N132" s="15" t="inlineStr">
        <is>
          <t>MARCH TURNOVER</t>
        </is>
      </c>
      <c r="O132" s="15" t="n">
        <v>7</v>
      </c>
      <c r="P132" s="15" t="inlineStr">
        <is>
          <t>2024-01-03</t>
        </is>
      </c>
      <c r="Q132" s="15" t="inlineStr">
        <is>
          <t>TURNOVER SCHEDULE r90, MRS ABIMBOLA r36</t>
        </is>
      </c>
      <c r="R132" s="15" t="n"/>
    </row>
    <row r="133">
      <c r="A133" s="15" t="inlineStr">
        <is>
          <t>SL0129</t>
        </is>
      </c>
      <c r="B133" s="16" t="n">
        <v>45352</v>
      </c>
      <c r="C133" s="15" t="inlineStr">
        <is>
          <t>2024-03</t>
        </is>
      </c>
      <c r="D133" s="15" t="n">
        <v>2024</v>
      </c>
      <c r="E133" s="15" t="inlineStr">
        <is>
          <t>Land</t>
        </is>
      </c>
      <c r="F133" s="15" t="inlineStr">
        <is>
          <t>Plot / unit price</t>
        </is>
      </c>
      <c r="G133" s="15" t="inlineStr">
        <is>
          <t>Green City Phase 2 (Ketu-Epe)</t>
        </is>
      </c>
      <c r="H133" s="15" t="inlineStr">
        <is>
          <t>BP-C0064</t>
        </is>
      </c>
      <c r="I133" s="15" t="inlineStr">
        <is>
          <t>Mr Okosun Damian Ehimen</t>
        </is>
      </c>
      <c r="J133" s="17" t="n">
        <v>300000</v>
      </c>
      <c r="K133" s="15" t="inlineStr">
        <is>
          <t>Single register</t>
        </is>
      </c>
      <c r="L133" s="15" t="inlineStr">
        <is>
          <t>Primary: monthly turnover register</t>
        </is>
      </c>
      <c r="M133" s="15" t="inlineStr">
        <is>
          <t>BAAY PROJECTS FINANCIALS 2024.xlsx</t>
        </is>
      </c>
      <c r="N133" s="15" t="inlineStr">
        <is>
          <t>MARCH TURNOVER</t>
        </is>
      </c>
      <c r="O133" s="15" t="n">
        <v>8</v>
      </c>
      <c r="P133" s="15" t="inlineStr">
        <is>
          <t>2024-01-03</t>
        </is>
      </c>
      <c r="Q133" s="15" t="inlineStr">
        <is>
          <t>TURNOVER SCHEDULE r105, MS BOLANLE r32</t>
        </is>
      </c>
      <c r="R133" s="15" t="n"/>
    </row>
    <row r="134">
      <c r="A134" s="15" t="inlineStr">
        <is>
          <t>SL0130</t>
        </is>
      </c>
      <c r="B134" s="16" t="n">
        <v>45352</v>
      </c>
      <c r="C134" s="15" t="inlineStr">
        <is>
          <t>2024-03</t>
        </is>
      </c>
      <c r="D134" s="15" t="n">
        <v>2024</v>
      </c>
      <c r="E134" s="15" t="inlineStr">
        <is>
          <t>Land</t>
        </is>
      </c>
      <c r="F134" s="15" t="inlineStr">
        <is>
          <t>Plot / unit price</t>
        </is>
      </c>
      <c r="G134" s="15" t="inlineStr">
        <is>
          <t>Green City Phase 2 (Ketu-Epe)</t>
        </is>
      </c>
      <c r="H134" s="15" t="inlineStr">
        <is>
          <t>BP-C0008</t>
        </is>
      </c>
      <c r="I134" s="15" t="inlineStr">
        <is>
          <t>Mr Rasaq Roqeeb Adebare</t>
        </is>
      </c>
      <c r="J134" s="17" t="n">
        <v>150000</v>
      </c>
      <c r="K134" s="15" t="inlineStr">
        <is>
          <t>Single register</t>
        </is>
      </c>
      <c r="L134" s="15" t="inlineStr">
        <is>
          <t>Primary: monthly turnover register</t>
        </is>
      </c>
      <c r="M134" s="15" t="inlineStr">
        <is>
          <t>BAAY PROJECTS FINANCIALS 2024.xlsx</t>
        </is>
      </c>
      <c r="N134" s="15" t="inlineStr">
        <is>
          <t>MARCH TURNOVER</t>
        </is>
      </c>
      <c r="O134" s="15" t="n">
        <v>6</v>
      </c>
      <c r="P134" s="15" t="inlineStr">
        <is>
          <t>2024-01-03</t>
        </is>
      </c>
      <c r="Q134" s="15" t="inlineStr">
        <is>
          <t>TURNOVER SCHEDULE r187</t>
        </is>
      </c>
      <c r="R134" s="15" t="n"/>
    </row>
    <row r="135">
      <c r="A135" s="15" t="inlineStr">
        <is>
          <t>SL0131</t>
        </is>
      </c>
      <c r="B135" s="16" t="n">
        <v>45353</v>
      </c>
      <c r="C135" s="15" t="inlineStr">
        <is>
          <t>2024-03</t>
        </is>
      </c>
      <c r="D135" s="15" t="n">
        <v>2024</v>
      </c>
      <c r="E135" s="15" t="inlineStr">
        <is>
          <t>Land</t>
        </is>
      </c>
      <c r="F135" s="15" t="inlineStr">
        <is>
          <t>Plot / unit price</t>
        </is>
      </c>
      <c r="G135" s="15" t="inlineStr">
        <is>
          <t>Green City Phase 2 (Ketu-Epe)</t>
        </is>
      </c>
      <c r="H135" s="15" t="inlineStr">
        <is>
          <t>BP-C0009</t>
        </is>
      </c>
      <c r="I135" s="15" t="inlineStr">
        <is>
          <t>Miss Oji Blessing</t>
        </is>
      </c>
      <c r="J135" s="17" t="n">
        <v>740000</v>
      </c>
      <c r="K135" s="15" t="inlineStr">
        <is>
          <t>Single register</t>
        </is>
      </c>
      <c r="L135" s="15" t="inlineStr">
        <is>
          <t>Primary: monthly turnover register</t>
        </is>
      </c>
      <c r="M135" s="15" t="inlineStr">
        <is>
          <t>BAAY PROJECTS FINANCIALS 2024.xlsx</t>
        </is>
      </c>
      <c r="N135" s="15" t="inlineStr">
        <is>
          <t>MARCH TURNOVER</t>
        </is>
      </c>
      <c r="O135" s="15" t="n">
        <v>9</v>
      </c>
      <c r="P135" s="15" t="inlineStr">
        <is>
          <t>3034-02-03</t>
        </is>
      </c>
      <c r="Q135" s="15" t="n"/>
      <c r="R135" s="15" t="inlineStr">
        <is>
          <t>Year typed as 3034 in source (3034-02-03); corrected to 2024 from the sheet month</t>
        </is>
      </c>
    </row>
    <row r="136">
      <c r="A136" s="15" t="inlineStr">
        <is>
          <t>SL0132</t>
        </is>
      </c>
      <c r="B136" s="16" t="n">
        <v>45354</v>
      </c>
      <c r="C136" s="15" t="inlineStr">
        <is>
          <t>2024-03</t>
        </is>
      </c>
      <c r="D136" s="15" t="n">
        <v>2024</v>
      </c>
      <c r="E136" s="15" t="inlineStr">
        <is>
          <t>Land</t>
        </is>
      </c>
      <c r="F136" s="15" t="inlineStr">
        <is>
          <t>Plot / unit price</t>
        </is>
      </c>
      <c r="G136" s="15" t="inlineStr">
        <is>
          <t>Green City Phase 2 (Ketu-Epe)</t>
        </is>
      </c>
      <c r="H136" s="15" t="inlineStr">
        <is>
          <t>BP-C0060</t>
        </is>
      </c>
      <c r="I136" s="15" t="inlineStr">
        <is>
          <t>Ms Mitchell jennifer</t>
        </is>
      </c>
      <c r="J136" s="17" t="n">
        <v>200000</v>
      </c>
      <c r="K136" s="15" t="inlineStr">
        <is>
          <t>Single register</t>
        </is>
      </c>
      <c r="L136" s="15" t="inlineStr">
        <is>
          <t>Primary: monthly turnover register</t>
        </is>
      </c>
      <c r="M136" s="15" t="inlineStr">
        <is>
          <t>BAAY PROJECTS FINANCIALS 2024.xlsx</t>
        </is>
      </c>
      <c r="N136" s="15" t="inlineStr">
        <is>
          <t>MARCH TURNOVER</t>
        </is>
      </c>
      <c r="O136" s="15" t="n">
        <v>10</v>
      </c>
      <c r="P136" s="15" t="inlineStr">
        <is>
          <t>2024-03-03</t>
        </is>
      </c>
      <c r="Q136" s="15" t="inlineStr">
        <is>
          <t>TURNOVER SCHEDULE r57</t>
        </is>
      </c>
      <c r="R136" s="15" t="n"/>
    </row>
    <row r="137">
      <c r="A137" s="15" t="inlineStr">
        <is>
          <t>SL0133</t>
        </is>
      </c>
      <c r="B137" s="16" t="n">
        <v>45354</v>
      </c>
      <c r="C137" s="15" t="inlineStr">
        <is>
          <t>2024-03</t>
        </is>
      </c>
      <c r="D137" s="15" t="n">
        <v>2024</v>
      </c>
      <c r="E137" s="15" t="inlineStr">
        <is>
          <t>Land</t>
        </is>
      </c>
      <c r="F137" s="15" t="inlineStr">
        <is>
          <t>Plot / unit price</t>
        </is>
      </c>
      <c r="G137" s="15" t="inlineStr">
        <is>
          <t>Green City Phase 2 (Ketu-Epe)</t>
        </is>
      </c>
      <c r="H137" s="15" t="inlineStr">
        <is>
          <t>BP-C0066</t>
        </is>
      </c>
      <c r="I137" s="15" t="inlineStr">
        <is>
          <t>Omosanya Dotun Akeju</t>
        </is>
      </c>
      <c r="J137" s="17" t="n">
        <v>1650000</v>
      </c>
      <c r="K137" s="15" t="inlineStr">
        <is>
          <t>Single register</t>
        </is>
      </c>
      <c r="L137" s="15" t="inlineStr">
        <is>
          <t>Primary: monthly turnover register</t>
        </is>
      </c>
      <c r="M137" s="15" t="inlineStr">
        <is>
          <t>BAAY PROJECTS FINANCIALS 2024.xlsx</t>
        </is>
      </c>
      <c r="N137" s="15" t="inlineStr">
        <is>
          <t>MARCH TURNOVER</t>
        </is>
      </c>
      <c r="O137" s="15" t="n">
        <v>11</v>
      </c>
      <c r="P137" s="15" t="inlineStr">
        <is>
          <t>2024-03-03</t>
        </is>
      </c>
      <c r="Q137" s="15" t="inlineStr">
        <is>
          <t>TURNOVER SCHEDULE r217, MS BOLANLE r34, MS BLESSING OJI r3</t>
        </is>
      </c>
      <c r="R137" s="15" t="n"/>
    </row>
    <row r="138">
      <c r="A138" s="15" t="inlineStr">
        <is>
          <t>SL0134</t>
        </is>
      </c>
      <c r="B138" s="16" t="n">
        <v>45355</v>
      </c>
      <c r="C138" s="15" t="inlineStr">
        <is>
          <t>2024-03</t>
        </is>
      </c>
      <c r="D138" s="15" t="n">
        <v>2024</v>
      </c>
      <c r="E138" s="15" t="inlineStr">
        <is>
          <t>Land</t>
        </is>
      </c>
      <c r="F138" s="15" t="inlineStr">
        <is>
          <t>Plot / unit price</t>
        </is>
      </c>
      <c r="G138" s="15" t="inlineStr">
        <is>
          <t>Green City Phase 1 (Lantaba, Ketu-Epe)</t>
        </is>
      </c>
      <c r="H138" s="15" t="inlineStr">
        <is>
          <t>BP-C0006</t>
        </is>
      </c>
      <c r="I138" s="15" t="inlineStr">
        <is>
          <t>Mr Olasupo Oladimeji</t>
        </is>
      </c>
      <c r="J138" s="17" t="n">
        <v>460500</v>
      </c>
      <c r="K138" s="15" t="inlineStr">
        <is>
          <t>Single register</t>
        </is>
      </c>
      <c r="L138" s="15" t="inlineStr">
        <is>
          <t>Primary: monthly turnover register</t>
        </is>
      </c>
      <c r="M138" s="15" t="inlineStr">
        <is>
          <t>BAAY PROJECTS FINANCIALS 2024.xlsx</t>
        </is>
      </c>
      <c r="N138" s="15" t="inlineStr">
        <is>
          <t>MARCH TURNOVER</t>
        </is>
      </c>
      <c r="O138" s="15" t="n">
        <v>13</v>
      </c>
      <c r="P138" s="15" t="inlineStr">
        <is>
          <t>2024-04-03</t>
        </is>
      </c>
      <c r="Q138" s="15" t="inlineStr">
        <is>
          <t>TURNOVER SCHEDULE r30, MRS ABIMBOLA r37</t>
        </is>
      </c>
      <c r="R138" s="15" t="n"/>
    </row>
    <row r="139">
      <c r="A139" s="15" t="inlineStr">
        <is>
          <t>SL0135</t>
        </is>
      </c>
      <c r="B139" s="16" t="n">
        <v>45356</v>
      </c>
      <c r="C139" s="15" t="inlineStr">
        <is>
          <t>2024-03</t>
        </is>
      </c>
      <c r="D139" s="15" t="n">
        <v>2024</v>
      </c>
      <c r="E139" s="15" t="inlineStr">
        <is>
          <t>Land</t>
        </is>
      </c>
      <c r="F139" s="15" t="inlineStr">
        <is>
          <t>Plot / unit price</t>
        </is>
      </c>
      <c r="G139" s="15" t="inlineStr">
        <is>
          <t>Green City Phase 2 (Ketu-Epe)</t>
        </is>
      </c>
      <c r="H139" s="15" t="inlineStr">
        <is>
          <t>BP-C0030</t>
        </is>
      </c>
      <c r="I139" s="15" t="inlineStr">
        <is>
          <t>Adese Akorede John</t>
        </is>
      </c>
      <c r="J139" s="17" t="n">
        <v>900000</v>
      </c>
      <c r="K139" s="15" t="inlineStr">
        <is>
          <t>Single register</t>
        </is>
      </c>
      <c r="L139" s="15" t="inlineStr">
        <is>
          <t>Primary: monthly turnover register</t>
        </is>
      </c>
      <c r="M139" s="15" t="inlineStr">
        <is>
          <t>BAAY PROJECTS FINANCIALS 2024.xlsx</t>
        </is>
      </c>
      <c r="N139" s="15" t="inlineStr">
        <is>
          <t>MARCH TURNOVER</t>
        </is>
      </c>
      <c r="O139" s="15" t="n">
        <v>14</v>
      </c>
      <c r="P139" s="15" t="inlineStr">
        <is>
          <t>2024-05-03</t>
        </is>
      </c>
      <c r="Q139" s="15" t="inlineStr">
        <is>
          <t>TURNOVER SCHEDULE r286</t>
        </is>
      </c>
      <c r="R139" s="15" t="n"/>
    </row>
    <row r="140">
      <c r="A140" s="15" t="inlineStr">
        <is>
          <t>SL0136</t>
        </is>
      </c>
      <c r="B140" s="16" t="n">
        <v>45357</v>
      </c>
      <c r="C140" s="15" t="inlineStr">
        <is>
          <t>2024-03</t>
        </is>
      </c>
      <c r="D140" s="15" t="n">
        <v>2024</v>
      </c>
      <c r="E140" s="15" t="inlineStr">
        <is>
          <t>Land</t>
        </is>
      </c>
      <c r="F140" s="15" t="inlineStr">
        <is>
          <t>Plot / unit price</t>
        </is>
      </c>
      <c r="G140" s="15" t="inlineStr">
        <is>
          <t>Green City Phase 1 (Lantaba, Ketu-Epe)</t>
        </is>
      </c>
      <c r="H140" s="15" t="inlineStr">
        <is>
          <t>BP-C0069</t>
        </is>
      </c>
      <c r="I140" s="15" t="inlineStr">
        <is>
          <t>Mr Agbaje Christopher Usiala</t>
        </is>
      </c>
      <c r="J140" s="17" t="n">
        <v>135000</v>
      </c>
      <c r="K140" s="15" t="inlineStr">
        <is>
          <t>Single register</t>
        </is>
      </c>
      <c r="L140" s="15" t="inlineStr">
        <is>
          <t>Primary: monthly turnover register</t>
        </is>
      </c>
      <c r="M140" s="15" t="inlineStr">
        <is>
          <t>BAAY PROJECTS FINANCIALS 2024.xlsx</t>
        </is>
      </c>
      <c r="N140" s="15" t="inlineStr">
        <is>
          <t>MARCH TURNOVER</t>
        </is>
      </c>
      <c r="O140" s="15" t="n">
        <v>17</v>
      </c>
      <c r="P140" s="15" t="inlineStr">
        <is>
          <t>2024-06-03</t>
        </is>
      </c>
      <c r="Q140" s="15" t="n"/>
      <c r="R140" s="15" t="n"/>
    </row>
    <row r="141">
      <c r="A141" s="15" t="inlineStr">
        <is>
          <t>SL0137</t>
        </is>
      </c>
      <c r="B141" s="16" t="n">
        <v>45357</v>
      </c>
      <c r="C141" s="15" t="inlineStr">
        <is>
          <t>2024-03</t>
        </is>
      </c>
      <c r="D141" s="15" t="n">
        <v>2024</v>
      </c>
      <c r="E141" s="15" t="inlineStr">
        <is>
          <t>Land</t>
        </is>
      </c>
      <c r="F141" s="15" t="inlineStr">
        <is>
          <t>Plot / unit price</t>
        </is>
      </c>
      <c r="G141" s="15" t="inlineStr">
        <is>
          <t>Green City Phase 2 (Ketu-Epe)</t>
        </is>
      </c>
      <c r="H141" s="15" t="inlineStr">
        <is>
          <t>BP-C0070</t>
        </is>
      </c>
      <c r="I141" s="15" t="inlineStr">
        <is>
          <t>Mr Ayodeji Adeogun Daniel</t>
        </is>
      </c>
      <c r="J141" s="17" t="n">
        <v>1000000</v>
      </c>
      <c r="K141" s="15" t="inlineStr">
        <is>
          <t>Single register</t>
        </is>
      </c>
      <c r="L141" s="15" t="inlineStr">
        <is>
          <t>Primary: monthly turnover register</t>
        </is>
      </c>
      <c r="M141" s="15" t="inlineStr">
        <is>
          <t>BAAY PROJECTS FINANCIALS 2024.xlsx</t>
        </is>
      </c>
      <c r="N141" s="15" t="inlineStr">
        <is>
          <t>MARCH TURNOVER</t>
        </is>
      </c>
      <c r="O141" s="15" t="n">
        <v>16</v>
      </c>
      <c r="P141" s="15" t="inlineStr">
        <is>
          <t>2024-06-03</t>
        </is>
      </c>
      <c r="Q141" s="15" t="inlineStr">
        <is>
          <t>TURNOVER SCHEDULE r223, MS TAIWO r19, MR ADEWALE OMODARA r2</t>
        </is>
      </c>
      <c r="R141" s="15" t="n"/>
    </row>
    <row r="142">
      <c r="A142" s="15" t="inlineStr">
        <is>
          <t>SL0138</t>
        </is>
      </c>
      <c r="B142" s="16" t="n">
        <v>45357</v>
      </c>
      <c r="C142" s="15" t="inlineStr">
        <is>
          <t>2024-03</t>
        </is>
      </c>
      <c r="D142" s="15" t="n">
        <v>2024</v>
      </c>
      <c r="E142" s="15" t="inlineStr">
        <is>
          <t>Land</t>
        </is>
      </c>
      <c r="F142" s="15" t="inlineStr">
        <is>
          <t>Plot / unit price</t>
        </is>
      </c>
      <c r="G142" s="15" t="inlineStr">
        <is>
          <t>Green City Phase 2 (Ketu-Epe)</t>
        </is>
      </c>
      <c r="H142" s="15" t="inlineStr">
        <is>
          <t>BP-C0063</t>
        </is>
      </c>
      <c r="I142" s="15" t="inlineStr">
        <is>
          <t>Mr Omodara Adewale</t>
        </is>
      </c>
      <c r="J142" s="17" t="n">
        <v>500000</v>
      </c>
      <c r="K142" s="15" t="inlineStr">
        <is>
          <t>Single register</t>
        </is>
      </c>
      <c r="L142" s="15" t="inlineStr">
        <is>
          <t>Primary: monthly turnover register</t>
        </is>
      </c>
      <c r="M142" s="15" t="inlineStr">
        <is>
          <t>BAAY PROJECTS FINANCIALS 2024.xlsx</t>
        </is>
      </c>
      <c r="N142" s="15" t="inlineStr">
        <is>
          <t>MARCH TURNOVER</t>
        </is>
      </c>
      <c r="O142" s="15" t="n">
        <v>15</v>
      </c>
      <c r="P142" s="15" t="inlineStr">
        <is>
          <t>2024-06-03</t>
        </is>
      </c>
      <c r="Q142" s="15" t="inlineStr">
        <is>
          <t>TURNOVER SCHEDULE r97, MS TAIWO r20</t>
        </is>
      </c>
      <c r="R142" s="15" t="n"/>
    </row>
    <row r="143">
      <c r="A143" s="15" t="inlineStr">
        <is>
          <t>SL0139</t>
        </is>
      </c>
      <c r="B143" s="16" t="n">
        <v>45359</v>
      </c>
      <c r="C143" s="15" t="inlineStr">
        <is>
          <t>2024-03</t>
        </is>
      </c>
      <c r="D143" s="15" t="n">
        <v>2024</v>
      </c>
      <c r="E143" s="15" t="inlineStr">
        <is>
          <t>Land</t>
        </is>
      </c>
      <c r="F143" s="15" t="inlineStr">
        <is>
          <t>Plot / unit price</t>
        </is>
      </c>
      <c r="G143" s="15" t="inlineStr">
        <is>
          <t>Green City Phase 2 (Ketu-Epe)</t>
        </is>
      </c>
      <c r="H143" s="15" t="inlineStr">
        <is>
          <t>BP-C0071</t>
        </is>
      </c>
      <c r="I143" s="15" t="inlineStr">
        <is>
          <t>Miss Oyebola Moyosoreoluwa Boluwatife</t>
        </is>
      </c>
      <c r="J143" s="17" t="n">
        <v>1500000</v>
      </c>
      <c r="K143" s="15" t="inlineStr">
        <is>
          <t>Single register</t>
        </is>
      </c>
      <c r="L143" s="15" t="inlineStr">
        <is>
          <t>Primary: monthly turnover register</t>
        </is>
      </c>
      <c r="M143" s="15" t="inlineStr">
        <is>
          <t>BAAY PROJECTS FINANCIALS 2024.xlsx</t>
        </is>
      </c>
      <c r="N143" s="15" t="inlineStr">
        <is>
          <t>MARCH TURNOVER</t>
        </is>
      </c>
      <c r="O143" s="15" t="n">
        <v>19</v>
      </c>
      <c r="P143" s="15" t="inlineStr">
        <is>
          <t>2024-08-03</t>
        </is>
      </c>
      <c r="Q143" s="15" t="inlineStr">
        <is>
          <t>TURNOVER SCHEDULE r228, MR AYOMIDE r2</t>
        </is>
      </c>
      <c r="R143" s="15" t="n"/>
    </row>
    <row r="144">
      <c r="A144" s="15" t="inlineStr">
        <is>
          <t>SL0140</t>
        </is>
      </c>
      <c r="B144" s="16" t="n">
        <v>45359</v>
      </c>
      <c r="C144" s="15" t="inlineStr">
        <is>
          <t>2024-03</t>
        </is>
      </c>
      <c r="D144" s="15" t="n">
        <v>2024</v>
      </c>
      <c r="E144" s="15" t="inlineStr">
        <is>
          <t>Land</t>
        </is>
      </c>
      <c r="F144" s="15" t="inlineStr">
        <is>
          <t>Plot / unit price</t>
        </is>
      </c>
      <c r="G144" s="15" t="inlineStr">
        <is>
          <t>Green City Phase 2 (Ketu-Epe)</t>
        </is>
      </c>
      <c r="H144" s="15" t="inlineStr">
        <is>
          <t>BP-C0072</t>
        </is>
      </c>
      <c r="I144" s="15" t="inlineStr">
        <is>
          <t>Mr Oyebola Ajibola Ayobami</t>
        </is>
      </c>
      <c r="J144" s="17" t="n">
        <v>1500000</v>
      </c>
      <c r="K144" s="15" t="inlineStr">
        <is>
          <t>Single register</t>
        </is>
      </c>
      <c r="L144" s="15" t="inlineStr">
        <is>
          <t>Primary: monthly turnover register</t>
        </is>
      </c>
      <c r="M144" s="15" t="inlineStr">
        <is>
          <t>BAAY PROJECTS FINANCIALS 2024.xlsx</t>
        </is>
      </c>
      <c r="N144" s="15" t="inlineStr">
        <is>
          <t>MARCH TURNOVER</t>
        </is>
      </c>
      <c r="O144" s="15" t="n">
        <v>21</v>
      </c>
      <c r="P144" s="15" t="inlineStr">
        <is>
          <t>2024-08-03</t>
        </is>
      </c>
      <c r="Q144" s="15" t="inlineStr">
        <is>
          <t>TURNOVER SCHEDULE r236, MR AYOMIDE r4</t>
        </is>
      </c>
      <c r="R144" s="15" t="n"/>
    </row>
    <row r="145">
      <c r="A145" s="15" t="inlineStr">
        <is>
          <t>SL0141</t>
        </is>
      </c>
      <c r="B145" s="16" t="n">
        <v>45359</v>
      </c>
      <c r="C145" s="15" t="inlineStr">
        <is>
          <t>2024-03</t>
        </is>
      </c>
      <c r="D145" s="15" t="n">
        <v>2024</v>
      </c>
      <c r="E145" s="15" t="inlineStr">
        <is>
          <t>Land</t>
        </is>
      </c>
      <c r="F145" s="15" t="inlineStr">
        <is>
          <t>Plot / unit price</t>
        </is>
      </c>
      <c r="G145" s="15" t="inlineStr">
        <is>
          <t>Green City Phase 2 (Ketu-Epe)</t>
        </is>
      </c>
      <c r="H145" s="15" t="inlineStr">
        <is>
          <t>BP-C0073</t>
        </is>
      </c>
      <c r="I145" s="15" t="inlineStr">
        <is>
          <t>Mr Oyebola Temiloluwa Olayinka</t>
        </is>
      </c>
      <c r="J145" s="17" t="n">
        <v>1500000</v>
      </c>
      <c r="K145" s="15" t="inlineStr">
        <is>
          <t>Single register</t>
        </is>
      </c>
      <c r="L145" s="15" t="inlineStr">
        <is>
          <t>Primary: monthly turnover register</t>
        </is>
      </c>
      <c r="M145" s="15" t="inlineStr">
        <is>
          <t>BAAY PROJECTS FINANCIALS 2024.xlsx</t>
        </is>
      </c>
      <c r="N145" s="15" t="inlineStr">
        <is>
          <t>MARCH TURNOVER</t>
        </is>
      </c>
      <c r="O145" s="15" t="n">
        <v>20</v>
      </c>
      <c r="P145" s="15" t="inlineStr">
        <is>
          <t>2024-08-03</t>
        </is>
      </c>
      <c r="Q145" s="15" t="inlineStr">
        <is>
          <t>TURNOVER SCHEDULE r232, MR AYOMIDE r3</t>
        </is>
      </c>
      <c r="R145" s="15" t="n"/>
    </row>
    <row r="146">
      <c r="A146" s="15" t="inlineStr">
        <is>
          <t>SL0142</t>
        </is>
      </c>
      <c r="B146" s="16" t="n">
        <v>45359</v>
      </c>
      <c r="C146" s="15" t="inlineStr">
        <is>
          <t>2024-03</t>
        </is>
      </c>
      <c r="D146" s="15" t="n">
        <v>2024</v>
      </c>
      <c r="E146" s="15" t="inlineStr">
        <is>
          <t>Land</t>
        </is>
      </c>
      <c r="F146" s="15" t="inlineStr">
        <is>
          <t>Plot / unit price</t>
        </is>
      </c>
      <c r="G146" s="15" t="inlineStr">
        <is>
          <t>Green City Phase 2 (Ketu-Epe)</t>
        </is>
      </c>
      <c r="H146" s="15" t="inlineStr">
        <is>
          <t>BP-C0013</t>
        </is>
      </c>
      <c r="I146" s="15" t="inlineStr">
        <is>
          <t>Mr Tijani Moshood Abiola</t>
        </is>
      </c>
      <c r="J146" s="17" t="n">
        <v>400000</v>
      </c>
      <c r="K146" s="15" t="inlineStr">
        <is>
          <t>Single register</t>
        </is>
      </c>
      <c r="L146" s="15" t="inlineStr">
        <is>
          <t>Primary: monthly turnover register</t>
        </is>
      </c>
      <c r="M146" s="15" t="inlineStr">
        <is>
          <t>BAAY PROJECTS FINANCIALS 2024.xlsx</t>
        </is>
      </c>
      <c r="N146" s="15" t="inlineStr">
        <is>
          <t>MARCH TURNOVER</t>
        </is>
      </c>
      <c r="O146" s="15" t="n">
        <v>22</v>
      </c>
      <c r="P146" s="15" t="inlineStr">
        <is>
          <t>2024-08-03</t>
        </is>
      </c>
      <c r="Q146" s="15" t="inlineStr">
        <is>
          <t>TURNOVER SCHEDULE r283</t>
        </is>
      </c>
      <c r="R146" s="15" t="n"/>
    </row>
    <row r="147">
      <c r="A147" s="15" t="inlineStr">
        <is>
          <t>SL0143</t>
        </is>
      </c>
      <c r="B147" s="16" t="n">
        <v>45359</v>
      </c>
      <c r="C147" s="15" t="inlineStr">
        <is>
          <t>2024-03</t>
        </is>
      </c>
      <c r="D147" s="15" t="n">
        <v>2024</v>
      </c>
      <c r="E147" s="15" t="inlineStr">
        <is>
          <t>Land</t>
        </is>
      </c>
      <c r="F147" s="15" t="inlineStr">
        <is>
          <t>Plot / unit price</t>
        </is>
      </c>
      <c r="G147" s="15" t="inlineStr">
        <is>
          <t>Green City Phase 1 (Lantaba, Ketu-Epe)</t>
        </is>
      </c>
      <c r="H147" s="15" t="inlineStr">
        <is>
          <t>BP-C0074</t>
        </is>
      </c>
      <c r="I147" s="15" t="inlineStr">
        <is>
          <t>Mrs Oloniluyi Victoria</t>
        </is>
      </c>
      <c r="J147" s="17" t="n">
        <v>7000000</v>
      </c>
      <c r="K147" s="15" t="inlineStr">
        <is>
          <t>Single register</t>
        </is>
      </c>
      <c r="L147" s="15" t="inlineStr">
        <is>
          <t>Primary: monthly turnover register</t>
        </is>
      </c>
      <c r="M147" s="15" t="inlineStr">
        <is>
          <t>BAAY PROJECTS FINANCIALS 2024.xlsx</t>
        </is>
      </c>
      <c r="N147" s="15" t="inlineStr">
        <is>
          <t>MARCH TURNOVER</t>
        </is>
      </c>
      <c r="O147" s="15" t="n">
        <v>18</v>
      </c>
      <c r="P147" s="15" t="inlineStr">
        <is>
          <t>2024-08-03</t>
        </is>
      </c>
      <c r="Q147" s="15" t="inlineStr">
        <is>
          <t>TURNOVER SCHEDULE r280, MRS AGBAJE r2, MD r8</t>
        </is>
      </c>
      <c r="R147" s="15" t="n"/>
    </row>
    <row r="148">
      <c r="A148" s="15" t="inlineStr">
        <is>
          <t>SL0144</t>
        </is>
      </c>
      <c r="B148" s="16" t="n">
        <v>45360</v>
      </c>
      <c r="C148" s="15" t="inlineStr">
        <is>
          <t>2024-03</t>
        </is>
      </c>
      <c r="D148" s="15" t="n">
        <v>2024</v>
      </c>
      <c r="E148" s="15" t="inlineStr">
        <is>
          <t>Land</t>
        </is>
      </c>
      <c r="F148" s="15" t="inlineStr">
        <is>
          <t>Plot / unit price</t>
        </is>
      </c>
      <c r="G148" s="15" t="inlineStr">
        <is>
          <t>Green City Phase 1 (Lantaba, Ketu-Epe)</t>
        </is>
      </c>
      <c r="H148" s="15" t="inlineStr">
        <is>
          <t>BP-C0033</t>
        </is>
      </c>
      <c r="I148" s="15" t="inlineStr">
        <is>
          <t>Mr Olumoko Oladapo</t>
        </is>
      </c>
      <c r="J148" s="17" t="n">
        <v>1000000</v>
      </c>
      <c r="K148" s="15" t="inlineStr">
        <is>
          <t>Single register</t>
        </is>
      </c>
      <c r="L148" s="15" t="inlineStr">
        <is>
          <t>Primary: monthly turnover register</t>
        </is>
      </c>
      <c r="M148" s="15" t="inlineStr">
        <is>
          <t>BAAY PROJECTS FINANCIALS 2024.xlsx</t>
        </is>
      </c>
      <c r="N148" s="15" t="inlineStr">
        <is>
          <t>MARCH TURNOVER</t>
        </is>
      </c>
      <c r="O148" s="15" t="n">
        <v>25</v>
      </c>
      <c r="P148" s="15" t="inlineStr">
        <is>
          <t>2024-09-03</t>
        </is>
      </c>
      <c r="Q148" s="15" t="inlineStr">
        <is>
          <t>TURNOVER SCHEDULE r159, MS BOLANLE r16</t>
        </is>
      </c>
      <c r="R148" s="15" t="n"/>
    </row>
    <row r="149">
      <c r="A149" s="15" t="inlineStr">
        <is>
          <t>SL0145</t>
        </is>
      </c>
      <c r="B149" s="16" t="n">
        <v>45360</v>
      </c>
      <c r="C149" s="15" t="inlineStr">
        <is>
          <t>2024-03</t>
        </is>
      </c>
      <c r="D149" s="15" t="n">
        <v>2024</v>
      </c>
      <c r="E149" s="15" t="inlineStr">
        <is>
          <t>Land</t>
        </is>
      </c>
      <c r="F149" s="15" t="inlineStr">
        <is>
          <t>Plot / unit price</t>
        </is>
      </c>
      <c r="G149" s="15" t="inlineStr">
        <is>
          <t>Green City Phase 2 (Ketu-Epe)</t>
        </is>
      </c>
      <c r="H149" s="15" t="inlineStr">
        <is>
          <t>BP-C0075</t>
        </is>
      </c>
      <c r="I149" s="15" t="inlineStr">
        <is>
          <t>Ogidan Funmilayo</t>
        </is>
      </c>
      <c r="J149" s="17" t="n">
        <v>300000</v>
      </c>
      <c r="K149" s="15" t="inlineStr">
        <is>
          <t>Single register</t>
        </is>
      </c>
      <c r="L149" s="15" t="inlineStr">
        <is>
          <t>Primary: monthly turnover register</t>
        </is>
      </c>
      <c r="M149" s="15" t="inlineStr">
        <is>
          <t>BAAY PROJECTS FINANCIALS 2024.xlsx</t>
        </is>
      </c>
      <c r="N149" s="15" t="inlineStr">
        <is>
          <t>MARCH TURNOVER</t>
        </is>
      </c>
      <c r="O149" s="15" t="n">
        <v>24</v>
      </c>
      <c r="P149" s="15" t="inlineStr">
        <is>
          <t>2024-09-03</t>
        </is>
      </c>
      <c r="Q149" s="15" t="inlineStr">
        <is>
          <t>TURNOVER SCHEDULE r269, OGIDAN r2</t>
        </is>
      </c>
      <c r="R149" s="15" t="n"/>
    </row>
    <row r="150">
      <c r="A150" s="15" t="inlineStr">
        <is>
          <t>SL0146</t>
        </is>
      </c>
      <c r="B150" s="16" t="n">
        <v>45360</v>
      </c>
      <c r="C150" s="15" t="inlineStr">
        <is>
          <t>2024-03</t>
        </is>
      </c>
      <c r="D150" s="15" t="n">
        <v>2024</v>
      </c>
      <c r="E150" s="15" t="inlineStr">
        <is>
          <t>Land</t>
        </is>
      </c>
      <c r="F150" s="15" t="inlineStr">
        <is>
          <t>Plot / unit price</t>
        </is>
      </c>
      <c r="G150" s="15" t="inlineStr">
        <is>
          <t>Green City Phase 2 (Ketu-Epe)</t>
        </is>
      </c>
      <c r="H150" s="15" t="inlineStr">
        <is>
          <t>BP-C0076</t>
        </is>
      </c>
      <c r="I150" s="15" t="inlineStr">
        <is>
          <t>Ojo Ayomide Babatunde</t>
        </is>
      </c>
      <c r="J150" s="17" t="n">
        <v>500000</v>
      </c>
      <c r="K150" s="15" t="inlineStr">
        <is>
          <t>Single register</t>
        </is>
      </c>
      <c r="L150" s="15" t="inlineStr">
        <is>
          <t>Primary: monthly turnover register</t>
        </is>
      </c>
      <c r="M150" s="15" t="inlineStr">
        <is>
          <t>BAAY PROJECTS FINANCIALS 2024.xlsx</t>
        </is>
      </c>
      <c r="N150" s="15" t="inlineStr">
        <is>
          <t>MARCH TURNOVER</t>
        </is>
      </c>
      <c r="O150" s="15" t="n">
        <v>23</v>
      </c>
      <c r="P150" s="15" t="inlineStr">
        <is>
          <t>2024-09-03</t>
        </is>
      </c>
      <c r="Q150" s="15" t="inlineStr">
        <is>
          <t>TURNOVER SCHEDULE r255</t>
        </is>
      </c>
      <c r="R150" s="15" t="n"/>
    </row>
    <row r="151">
      <c r="A151" s="15" t="inlineStr">
        <is>
          <t>SL0147</t>
        </is>
      </c>
      <c r="B151" s="16" t="n">
        <v>45361</v>
      </c>
      <c r="C151" s="15" t="inlineStr">
        <is>
          <t>2024-03</t>
        </is>
      </c>
      <c r="D151" s="15" t="n">
        <v>2024</v>
      </c>
      <c r="E151" s="15" t="inlineStr">
        <is>
          <t>Land</t>
        </is>
      </c>
      <c r="F151" s="15" t="inlineStr">
        <is>
          <t>Plot / unit price</t>
        </is>
      </c>
      <c r="G151" s="15" t="inlineStr">
        <is>
          <t>Green City Phase 2 (Ketu-Epe)</t>
        </is>
      </c>
      <c r="H151" s="15" t="inlineStr">
        <is>
          <t>BP-C0077</t>
        </is>
      </c>
      <c r="I151" s="15" t="inlineStr">
        <is>
          <t>Mr Uebari Sorbari Godwin</t>
        </is>
      </c>
      <c r="J151" s="17" t="n">
        <v>300000</v>
      </c>
      <c r="K151" s="15" t="inlineStr">
        <is>
          <t>Single register</t>
        </is>
      </c>
      <c r="L151" s="15" t="inlineStr">
        <is>
          <t>Primary: monthly turnover register</t>
        </is>
      </c>
      <c r="M151" s="15" t="inlineStr">
        <is>
          <t>BAAY PROJECTS FINANCIALS 2024.xlsx</t>
        </is>
      </c>
      <c r="N151" s="15" t="inlineStr">
        <is>
          <t>MARCH TURNOVER</t>
        </is>
      </c>
      <c r="O151" s="15" t="n">
        <v>26</v>
      </c>
      <c r="P151" s="15" t="inlineStr">
        <is>
          <t>2024-10-03</t>
        </is>
      </c>
      <c r="Q151" s="15" t="inlineStr">
        <is>
          <t>TURNOVER SCHEDULE r304, MS ELIZABETH r24</t>
        </is>
      </c>
      <c r="R151" s="15" t="n"/>
    </row>
    <row r="152">
      <c r="A152" s="15" t="inlineStr">
        <is>
          <t>SL0148</t>
        </is>
      </c>
      <c r="B152" s="16" t="n">
        <v>45362</v>
      </c>
      <c r="C152" s="15" t="inlineStr">
        <is>
          <t>2024-03</t>
        </is>
      </c>
      <c r="D152" s="15" t="n">
        <v>2024</v>
      </c>
      <c r="E152" s="15" t="inlineStr">
        <is>
          <t>Land</t>
        </is>
      </c>
      <c r="F152" s="15" t="inlineStr">
        <is>
          <t>Plot / unit price</t>
        </is>
      </c>
      <c r="G152" s="15" t="inlineStr">
        <is>
          <t>Green City Phase 1 (Lantaba, Ketu-Epe)</t>
        </is>
      </c>
      <c r="H152" s="15" t="inlineStr">
        <is>
          <t>BP-C0078</t>
        </is>
      </c>
      <c r="I152" s="15" t="inlineStr">
        <is>
          <t>Miss Bingham Kendra</t>
        </is>
      </c>
      <c r="J152" s="17" t="n">
        <v>2000000</v>
      </c>
      <c r="K152" s="15" t="inlineStr">
        <is>
          <t>Single register</t>
        </is>
      </c>
      <c r="L152" s="15" t="inlineStr">
        <is>
          <t>Primary: monthly turnover register</t>
        </is>
      </c>
      <c r="M152" s="15" t="inlineStr">
        <is>
          <t>BAAY PROJECTS FINANCIALS 2024.xlsx</t>
        </is>
      </c>
      <c r="N152" s="15" t="inlineStr">
        <is>
          <t>MARCH TURNOVER</t>
        </is>
      </c>
      <c r="O152" s="15" t="n">
        <v>28</v>
      </c>
      <c r="P152" s="15" t="inlineStr">
        <is>
          <t>2024-11-03</t>
        </is>
      </c>
      <c r="Q152" s="15" t="inlineStr">
        <is>
          <t>TURNOVER SCHEDULE r240, MRS ABIMBOLA r48</t>
        </is>
      </c>
      <c r="R152" s="15" t="n"/>
    </row>
    <row r="153">
      <c r="A153" s="15" t="inlineStr">
        <is>
          <t>SL0149</t>
        </is>
      </c>
      <c r="B153" s="16" t="n">
        <v>45362</v>
      </c>
      <c r="C153" s="15" t="inlineStr">
        <is>
          <t>2024-03</t>
        </is>
      </c>
      <c r="D153" s="15" t="n">
        <v>2024</v>
      </c>
      <c r="E153" s="15" t="inlineStr">
        <is>
          <t>Land</t>
        </is>
      </c>
      <c r="F153" s="15" t="inlineStr">
        <is>
          <t>Plot / unit price</t>
        </is>
      </c>
      <c r="G153" s="15" t="inlineStr">
        <is>
          <t>Green City Phase 2 (Ketu-Epe)</t>
        </is>
      </c>
      <c r="H153" s="15" t="inlineStr">
        <is>
          <t>BP-C0078</t>
        </is>
      </c>
      <c r="I153" s="15" t="inlineStr">
        <is>
          <t>Miss Bingham Kendra</t>
        </is>
      </c>
      <c r="J153" s="17" t="n">
        <v>1000000</v>
      </c>
      <c r="K153" s="15" t="inlineStr">
        <is>
          <t>Single register</t>
        </is>
      </c>
      <c r="L153" s="15" t="inlineStr">
        <is>
          <t>Primary: monthly turnover register</t>
        </is>
      </c>
      <c r="M153" s="15" t="inlineStr">
        <is>
          <t>BAAY PROJECTS FINANCIALS 2024.xlsx</t>
        </is>
      </c>
      <c r="N153" s="15" t="inlineStr">
        <is>
          <t>MARCH TURNOVER</t>
        </is>
      </c>
      <c r="O153" s="15" t="n">
        <v>29</v>
      </c>
      <c r="P153" s="15" t="inlineStr">
        <is>
          <t>2024-11-03</t>
        </is>
      </c>
      <c r="Q153" s="15" t="inlineStr">
        <is>
          <t>TURNOVER SCHEDULE r245, MRS ABIMBOLA r49</t>
        </is>
      </c>
      <c r="R153" s="15" t="n"/>
    </row>
    <row r="154">
      <c r="A154" s="15" t="inlineStr">
        <is>
          <t>SL0150</t>
        </is>
      </c>
      <c r="B154" s="16" t="n">
        <v>45362</v>
      </c>
      <c r="C154" s="15" t="inlineStr">
        <is>
          <t>2024-03</t>
        </is>
      </c>
      <c r="D154" s="15" t="n">
        <v>2024</v>
      </c>
      <c r="E154" s="15" t="inlineStr">
        <is>
          <t>Land</t>
        </is>
      </c>
      <c r="F154" s="15" t="inlineStr">
        <is>
          <t>Plot / unit price</t>
        </is>
      </c>
      <c r="G154" s="15" t="inlineStr">
        <is>
          <t>Green City Phase 2 (Ketu-Epe)</t>
        </is>
      </c>
      <c r="H154" s="15" t="inlineStr">
        <is>
          <t>BP-C0070</t>
        </is>
      </c>
      <c r="I154" s="15" t="inlineStr">
        <is>
          <t>Mr Ayodeji Adeogun Daniel</t>
        </is>
      </c>
      <c r="J154" s="17" t="n">
        <v>1500000</v>
      </c>
      <c r="K154" s="15" t="inlineStr">
        <is>
          <t>Single register</t>
        </is>
      </c>
      <c r="L154" s="15" t="inlineStr">
        <is>
          <t>Primary: monthly turnover register</t>
        </is>
      </c>
      <c r="M154" s="15" t="inlineStr">
        <is>
          <t>BAAY PROJECTS FINANCIALS 2024.xlsx</t>
        </is>
      </c>
      <c r="N154" s="15" t="inlineStr">
        <is>
          <t>MARCH TURNOVER</t>
        </is>
      </c>
      <c r="O154" s="15" t="n">
        <v>27</v>
      </c>
      <c r="P154" s="15" t="inlineStr">
        <is>
          <t>2024-11-03</t>
        </is>
      </c>
      <c r="Q154" s="15" t="inlineStr">
        <is>
          <t>TURNOVER SCHEDULE r224, MS TAIWO r21, MR ADEWALE OMODARA r3</t>
        </is>
      </c>
      <c r="R154" s="15" t="n"/>
    </row>
    <row r="155">
      <c r="A155" s="15" t="inlineStr">
        <is>
          <t>SL0151</t>
        </is>
      </c>
      <c r="B155" s="16" t="n">
        <v>45362</v>
      </c>
      <c r="C155" s="15" t="inlineStr">
        <is>
          <t>2024-03</t>
        </is>
      </c>
      <c r="D155" s="15" t="n">
        <v>2024</v>
      </c>
      <c r="E155" s="15" t="inlineStr">
        <is>
          <t>Land</t>
        </is>
      </c>
      <c r="F155" s="15" t="inlineStr">
        <is>
          <t>Plot / unit price</t>
        </is>
      </c>
      <c r="G155" s="15" t="inlineStr">
        <is>
          <t>Green City Phase 1 (Lantaba, Ketu-Epe)</t>
        </is>
      </c>
      <c r="H155" s="15" t="inlineStr">
        <is>
          <t>BP-C0006</t>
        </is>
      </c>
      <c r="I155" s="15" t="inlineStr">
        <is>
          <t>Mr Olasupo Oladimeji</t>
        </is>
      </c>
      <c r="J155" s="17" t="n">
        <v>954000</v>
      </c>
      <c r="K155" s="15" t="inlineStr">
        <is>
          <t>Single register</t>
        </is>
      </c>
      <c r="L155" s="15" t="inlineStr">
        <is>
          <t>Primary: monthly turnover register</t>
        </is>
      </c>
      <c r="M155" s="15" t="inlineStr">
        <is>
          <t>BAAY PROJECTS FINANCIALS 2024.xlsx</t>
        </is>
      </c>
      <c r="N155" s="15" t="inlineStr">
        <is>
          <t>MARCH TURNOVER</t>
        </is>
      </c>
      <c r="O155" s="15" t="n">
        <v>31</v>
      </c>
      <c r="P155" s="15" t="inlineStr">
        <is>
          <t>2024-11-03</t>
        </is>
      </c>
      <c r="Q155" s="15" t="inlineStr">
        <is>
          <t>TURNOVER SCHEDULE r31, MRS ABIMBOLA r38</t>
        </is>
      </c>
      <c r="R155" s="15" t="n"/>
    </row>
    <row r="156">
      <c r="A156" s="15" t="inlineStr">
        <is>
          <t>SL0152</t>
        </is>
      </c>
      <c r="B156" s="16" t="n">
        <v>45362</v>
      </c>
      <c r="C156" s="15" t="inlineStr">
        <is>
          <t>2024-03</t>
        </is>
      </c>
      <c r="D156" s="15" t="n">
        <v>2024</v>
      </c>
      <c r="E156" s="15" t="inlineStr">
        <is>
          <t>Land</t>
        </is>
      </c>
      <c r="F156" s="15" t="inlineStr">
        <is>
          <t>Plot / unit price</t>
        </is>
      </c>
      <c r="G156" s="15" t="inlineStr">
        <is>
          <t>Green City Phase 2 (Ketu-Epe)</t>
        </is>
      </c>
      <c r="H156" s="15" t="inlineStr">
        <is>
          <t>BP-C0079</t>
        </is>
      </c>
      <c r="I156" s="15" t="inlineStr">
        <is>
          <t>Ukachi Florence Oluchi</t>
        </is>
      </c>
      <c r="J156" s="17" t="n">
        <v>500000</v>
      </c>
      <c r="K156" s="15" t="inlineStr">
        <is>
          <t>Single register</t>
        </is>
      </c>
      <c r="L156" s="15" t="inlineStr">
        <is>
          <t>Primary: monthly turnover register</t>
        </is>
      </c>
      <c r="M156" s="15" t="inlineStr">
        <is>
          <t>BAAY PROJECTS FINANCIALS 2024.xlsx</t>
        </is>
      </c>
      <c r="N156" s="15" t="inlineStr">
        <is>
          <t>MARCH TURNOVER</t>
        </is>
      </c>
      <c r="O156" s="15" t="n">
        <v>30</v>
      </c>
      <c r="P156" s="15" t="inlineStr">
        <is>
          <t>2024-11-03</t>
        </is>
      </c>
      <c r="Q156" s="15" t="inlineStr">
        <is>
          <t>TURNOVER SCHEDULE r250, MS FEYI r2</t>
        </is>
      </c>
      <c r="R156" s="15" t="n"/>
    </row>
    <row r="157">
      <c r="A157" s="15" t="inlineStr">
        <is>
          <t>SL0153</t>
        </is>
      </c>
      <c r="B157" s="16" t="n">
        <v>45363</v>
      </c>
      <c r="C157" s="15" t="inlineStr">
        <is>
          <t>2024-03</t>
        </is>
      </c>
      <c r="D157" s="15" t="n">
        <v>2024</v>
      </c>
      <c r="E157" s="15" t="inlineStr">
        <is>
          <t>Land</t>
        </is>
      </c>
      <c r="F157" s="15" t="inlineStr">
        <is>
          <t>Plot / unit price</t>
        </is>
      </c>
      <c r="G157" s="15" t="inlineStr">
        <is>
          <t>Green City Phase 2 (Ketu-Epe)</t>
        </is>
      </c>
      <c r="H157" s="15" t="inlineStr">
        <is>
          <t>BP-C0080</t>
        </is>
      </c>
      <c r="I157" s="15" t="inlineStr">
        <is>
          <t>Dr Ayansola Jeremiah Funso</t>
        </is>
      </c>
      <c r="J157" s="17" t="n">
        <v>2000000</v>
      </c>
      <c r="K157" s="15" t="inlineStr">
        <is>
          <t>Single register</t>
        </is>
      </c>
      <c r="L157" s="15" t="inlineStr">
        <is>
          <t>Primary: monthly turnover register</t>
        </is>
      </c>
      <c r="M157" s="15" t="inlineStr">
        <is>
          <t>BAAY PROJECTS FINANCIALS 2024.xlsx</t>
        </is>
      </c>
      <c r="N157" s="15" t="inlineStr">
        <is>
          <t>MARCH TURNOVER</t>
        </is>
      </c>
      <c r="O157" s="15" t="n">
        <v>36</v>
      </c>
      <c r="P157" s="15" t="inlineStr">
        <is>
          <t>2024-12-03</t>
        </is>
      </c>
      <c r="Q157" s="15" t="inlineStr">
        <is>
          <t>TURNOVER SCHEDULE r298, MR JUWON r8</t>
        </is>
      </c>
      <c r="R157" s="15" t="n"/>
    </row>
    <row r="158">
      <c r="A158" s="15" t="inlineStr">
        <is>
          <t>SL0154</t>
        </is>
      </c>
      <c r="B158" s="16" t="n">
        <v>45363</v>
      </c>
      <c r="C158" s="15" t="inlineStr">
        <is>
          <t>2024-03</t>
        </is>
      </c>
      <c r="D158" s="15" t="n">
        <v>2024</v>
      </c>
      <c r="E158" s="15" t="inlineStr">
        <is>
          <t>Land</t>
        </is>
      </c>
      <c r="F158" s="15" t="inlineStr">
        <is>
          <t>Plot / unit price</t>
        </is>
      </c>
      <c r="G158" s="15" t="inlineStr">
        <is>
          <t>Green City Phase 1 (Lantaba, Ketu-Epe)</t>
        </is>
      </c>
      <c r="H158" s="15" t="inlineStr">
        <is>
          <t>BP-C0050</t>
        </is>
      </c>
      <c r="I158" s="15" t="inlineStr">
        <is>
          <t>Mr Atuanya Patrick Jidevo</t>
        </is>
      </c>
      <c r="J158" s="17" t="n">
        <v>300000</v>
      </c>
      <c r="K158" s="15" t="inlineStr">
        <is>
          <t>Single register</t>
        </is>
      </c>
      <c r="L158" s="15" t="inlineStr">
        <is>
          <t>Primary: monthly turnover register</t>
        </is>
      </c>
      <c r="M158" s="15" t="inlineStr">
        <is>
          <t>BAAY PROJECTS FINANCIALS 2024.xlsx</t>
        </is>
      </c>
      <c r="N158" s="15" t="inlineStr">
        <is>
          <t>MARCH TURNOVER</t>
        </is>
      </c>
      <c r="O158" s="15" t="n">
        <v>32</v>
      </c>
      <c r="P158" s="15" t="inlineStr">
        <is>
          <t>2024-12-03</t>
        </is>
      </c>
      <c r="Q158" s="15" t="inlineStr">
        <is>
          <t>TURNOVER SCHEDULE r146, MS YETUNDE ABISOYE r24</t>
        </is>
      </c>
      <c r="R158" s="15" t="n"/>
    </row>
    <row r="159">
      <c r="A159" s="15" t="inlineStr">
        <is>
          <t>SL0155</t>
        </is>
      </c>
      <c r="B159" s="16" t="n">
        <v>45363</v>
      </c>
      <c r="C159" s="15" t="inlineStr">
        <is>
          <t>2024-03</t>
        </is>
      </c>
      <c r="D159" s="15" t="n">
        <v>2024</v>
      </c>
      <c r="E159" s="15" t="inlineStr">
        <is>
          <t>Land</t>
        </is>
      </c>
      <c r="F159" s="15" t="inlineStr">
        <is>
          <t>Plot / unit price</t>
        </is>
      </c>
      <c r="G159" s="15" t="inlineStr">
        <is>
          <t>Green City Phase 2 (Ketu-Epe)</t>
        </is>
      </c>
      <c r="H159" s="15" t="inlineStr">
        <is>
          <t>BP-C0070</t>
        </is>
      </c>
      <c r="I159" s="15" t="inlineStr">
        <is>
          <t>Mr Ayodeji Adeogun Daniel</t>
        </is>
      </c>
      <c r="J159" s="17" t="n">
        <v>1000000</v>
      </c>
      <c r="K159" s="15" t="inlineStr">
        <is>
          <t>Single register</t>
        </is>
      </c>
      <c r="L159" s="15" t="inlineStr">
        <is>
          <t>Primary: monthly turnover register</t>
        </is>
      </c>
      <c r="M159" s="15" t="inlineStr">
        <is>
          <t>BAAY PROJECTS FINANCIALS 2024.xlsx</t>
        </is>
      </c>
      <c r="N159" s="15" t="inlineStr">
        <is>
          <t>MARCH TURNOVER</t>
        </is>
      </c>
      <c r="O159" s="15" t="n">
        <v>33</v>
      </c>
      <c r="P159" s="15" t="inlineStr">
        <is>
          <t>2024-12-03</t>
        </is>
      </c>
      <c r="Q159" s="15" t="inlineStr">
        <is>
          <t>TURNOVER SCHEDULE r225, MS TAIWO r22, MR ADEWALE OMODARA r4</t>
        </is>
      </c>
      <c r="R159" s="15" t="n"/>
    </row>
    <row r="160">
      <c r="A160" s="15" t="inlineStr">
        <is>
          <t>SL0156</t>
        </is>
      </c>
      <c r="B160" s="16" t="n">
        <v>45363</v>
      </c>
      <c r="C160" s="15" t="inlineStr">
        <is>
          <t>2024-03</t>
        </is>
      </c>
      <c r="D160" s="15" t="n">
        <v>2024</v>
      </c>
      <c r="E160" s="15" t="inlineStr">
        <is>
          <t>Land</t>
        </is>
      </c>
      <c r="F160" s="15" t="inlineStr">
        <is>
          <t>Plot / unit price</t>
        </is>
      </c>
      <c r="G160" s="15" t="inlineStr">
        <is>
          <t>Green City Phase 2 (Ketu-Epe)</t>
        </is>
      </c>
      <c r="H160" s="15" t="inlineStr">
        <is>
          <t>BP-C0081</t>
        </is>
      </c>
      <c r="I160" s="15" t="inlineStr">
        <is>
          <t>Mr Ukachi Godfrey Ndukaku</t>
        </is>
      </c>
      <c r="J160" s="17" t="n">
        <v>500000</v>
      </c>
      <c r="K160" s="15" t="inlineStr">
        <is>
          <t>Single register</t>
        </is>
      </c>
      <c r="L160" s="15" t="inlineStr">
        <is>
          <t>Primary: monthly turnover register</t>
        </is>
      </c>
      <c r="M160" s="15" t="inlineStr">
        <is>
          <t>BAAY PROJECTS FINANCIALS 2024.xlsx</t>
        </is>
      </c>
      <c r="N160" s="15" t="inlineStr">
        <is>
          <t>MARCH TURNOVER</t>
        </is>
      </c>
      <c r="O160" s="15" t="n">
        <v>34</v>
      </c>
      <c r="P160" s="15" t="inlineStr">
        <is>
          <t>2024-12-03</t>
        </is>
      </c>
      <c r="Q160" s="15" t="inlineStr">
        <is>
          <t>TURNOVER SCHEDULE r275, MS FEYI r3</t>
        </is>
      </c>
      <c r="R160" s="15" t="n"/>
    </row>
    <row r="161">
      <c r="A161" s="15" t="inlineStr">
        <is>
          <t>SL0157</t>
        </is>
      </c>
      <c r="B161" s="16" t="n">
        <v>45363</v>
      </c>
      <c r="C161" s="15" t="inlineStr">
        <is>
          <t>2024-03</t>
        </is>
      </c>
      <c r="D161" s="15" t="n">
        <v>2024</v>
      </c>
      <c r="E161" s="15" t="inlineStr">
        <is>
          <t>Land</t>
        </is>
      </c>
      <c r="F161" s="15" t="inlineStr">
        <is>
          <t>Plot / unit price</t>
        </is>
      </c>
      <c r="G161" s="15" t="inlineStr">
        <is>
          <t>Green City Phase 2 (Ketu-Epe)</t>
        </is>
      </c>
      <c r="H161" s="15" t="inlineStr">
        <is>
          <t>BP-C0082</t>
        </is>
      </c>
      <c r="I161" s="15" t="inlineStr">
        <is>
          <t>Mrs Olarewaju Remilekun Mary</t>
        </is>
      </c>
      <c r="J161" s="17" t="n">
        <v>500000</v>
      </c>
      <c r="K161" s="15" t="inlineStr">
        <is>
          <t>Single register</t>
        </is>
      </c>
      <c r="L161" s="15" t="inlineStr">
        <is>
          <t>Primary: monthly turnover register</t>
        </is>
      </c>
      <c r="M161" s="15" t="inlineStr">
        <is>
          <t>BAAY PROJECTS FINANCIALS 2024.xlsx</t>
        </is>
      </c>
      <c r="N161" s="15" t="inlineStr">
        <is>
          <t>MARCH TURNOVER</t>
        </is>
      </c>
      <c r="O161" s="15" t="n">
        <v>35</v>
      </c>
      <c r="P161" s="15" t="inlineStr">
        <is>
          <t>2024-12-03</t>
        </is>
      </c>
      <c r="Q161" s="15" t="inlineStr">
        <is>
          <t>TURNOVER SCHEDULE r319, MR JUWON r2</t>
        </is>
      </c>
      <c r="R161" s="15" t="n"/>
    </row>
    <row r="162">
      <c r="A162" s="15" t="inlineStr">
        <is>
          <t>SL0158</t>
        </is>
      </c>
      <c r="B162" s="16" t="n">
        <v>45364</v>
      </c>
      <c r="C162" s="15" t="inlineStr">
        <is>
          <t>2024-03</t>
        </is>
      </c>
      <c r="D162" s="15" t="n">
        <v>2024</v>
      </c>
      <c r="E162" s="15" t="inlineStr">
        <is>
          <t>Land</t>
        </is>
      </c>
      <c r="F162" s="15" t="inlineStr">
        <is>
          <t>Plot / unit price</t>
        </is>
      </c>
      <c r="G162" s="15" t="inlineStr">
        <is>
          <t>Green City Phase 1 (Lantaba, Ketu-Epe)</t>
        </is>
      </c>
      <c r="H162" s="15" t="inlineStr">
        <is>
          <t>BP-C0006</t>
        </is>
      </c>
      <c r="I162" s="15" t="inlineStr">
        <is>
          <t>Mr Olasupo Oladimeji</t>
        </is>
      </c>
      <c r="J162" s="17" t="n">
        <v>700000</v>
      </c>
      <c r="K162" s="15" t="inlineStr">
        <is>
          <t>Single register</t>
        </is>
      </c>
      <c r="L162" s="15" t="inlineStr">
        <is>
          <t>Primary: monthly turnover register</t>
        </is>
      </c>
      <c r="M162" s="15" t="inlineStr">
        <is>
          <t>BAAY PROJECTS FINANCIALS 2024.xlsx</t>
        </is>
      </c>
      <c r="N162" s="15" t="inlineStr">
        <is>
          <t>MARCH TURNOVER</t>
        </is>
      </c>
      <c r="O162" s="15" t="n">
        <v>37</v>
      </c>
      <c r="P162" s="15" t="inlineStr">
        <is>
          <t>13/03/2024</t>
        </is>
      </c>
      <c r="Q162" s="15" t="inlineStr">
        <is>
          <t>TURNOVER SCHEDULE r32, MRS ABIMBOLA r39</t>
        </is>
      </c>
      <c r="R162" s="15" t="n"/>
    </row>
    <row r="163">
      <c r="A163" s="15" t="inlineStr">
        <is>
          <t>SL0159</t>
        </is>
      </c>
      <c r="B163" s="16" t="n">
        <v>45365</v>
      </c>
      <c r="C163" s="15" t="inlineStr">
        <is>
          <t>2024-03</t>
        </is>
      </c>
      <c r="D163" s="15" t="n">
        <v>2024</v>
      </c>
      <c r="E163" s="15" t="inlineStr">
        <is>
          <t>Land</t>
        </is>
      </c>
      <c r="F163" s="15" t="inlineStr">
        <is>
          <t>Plot / unit price</t>
        </is>
      </c>
      <c r="G163" s="15" t="inlineStr">
        <is>
          <t>Green City Phase 1 (Lantaba, Ketu-Epe)</t>
        </is>
      </c>
      <c r="H163" s="15" t="inlineStr">
        <is>
          <t>BP-C0083</t>
        </is>
      </c>
      <c r="I163" s="15" t="inlineStr">
        <is>
          <t>Mrs Yohanna Victoria</t>
        </is>
      </c>
      <c r="J163" s="17" t="n">
        <v>3000000</v>
      </c>
      <c r="K163" s="15" t="inlineStr">
        <is>
          <t>Single register</t>
        </is>
      </c>
      <c r="L163" s="15" t="inlineStr">
        <is>
          <t>Primary: monthly turnover register</t>
        </is>
      </c>
      <c r="M163" s="15" t="inlineStr">
        <is>
          <t>BAAY PROJECTS FINANCIALS 2024.xlsx</t>
        </is>
      </c>
      <c r="N163" s="15" t="inlineStr">
        <is>
          <t>MARCH TURNOVER</t>
        </is>
      </c>
      <c r="O163" s="15" t="n">
        <v>38</v>
      </c>
      <c r="P163" s="15" t="inlineStr">
        <is>
          <t>14/03/2024</t>
        </is>
      </c>
      <c r="Q163" s="15" t="n"/>
      <c r="R163" s="15" t="n"/>
    </row>
    <row r="164">
      <c r="A164" s="15" t="inlineStr">
        <is>
          <t>SL0160</t>
        </is>
      </c>
      <c r="B164" s="16" t="n">
        <v>45366</v>
      </c>
      <c r="C164" s="15" t="inlineStr">
        <is>
          <t>2024-03</t>
        </is>
      </c>
      <c r="D164" s="15" t="n">
        <v>2024</v>
      </c>
      <c r="E164" s="15" t="inlineStr">
        <is>
          <t>Land</t>
        </is>
      </c>
      <c r="F164" s="15" t="inlineStr">
        <is>
          <t>Plot / unit price</t>
        </is>
      </c>
      <c r="G164" s="15" t="inlineStr">
        <is>
          <t>Green City Phase 1 (Lantaba, Ketu-Epe)</t>
        </is>
      </c>
      <c r="H164" s="15" t="inlineStr">
        <is>
          <t>BP-C0036</t>
        </is>
      </c>
      <c r="I164" s="15" t="inlineStr">
        <is>
          <t>Mr Ohumende Paul Osaze</t>
        </is>
      </c>
      <c r="J164" s="17" t="n">
        <v>7000000</v>
      </c>
      <c r="K164" s="15" t="inlineStr">
        <is>
          <t>Single register</t>
        </is>
      </c>
      <c r="L164" s="15" t="inlineStr">
        <is>
          <t>Primary: monthly turnover register</t>
        </is>
      </c>
      <c r="M164" s="15" t="inlineStr">
        <is>
          <t>BAAY PROJECTS FINANCIALS 2024.xlsx</t>
        </is>
      </c>
      <c r="N164" s="15" t="inlineStr">
        <is>
          <t>MARCH TURNOVER</t>
        </is>
      </c>
      <c r="O164" s="15" t="n">
        <v>39</v>
      </c>
      <c r="P164" s="15" t="inlineStr">
        <is>
          <t>15/03/2024</t>
        </is>
      </c>
      <c r="Q164" s="15" t="inlineStr">
        <is>
          <t>TURNOVER SCHEDULE r121</t>
        </is>
      </c>
      <c r="R164" s="15" t="n"/>
    </row>
    <row r="165">
      <c r="A165" s="15" t="inlineStr">
        <is>
          <t>SL0161</t>
        </is>
      </c>
      <c r="B165" s="16" t="n">
        <v>45367</v>
      </c>
      <c r="C165" s="15" t="inlineStr">
        <is>
          <t>2024-03</t>
        </is>
      </c>
      <c r="D165" s="15" t="n">
        <v>2024</v>
      </c>
      <c r="E165" s="15" t="inlineStr">
        <is>
          <t>Land</t>
        </is>
      </c>
      <c r="F165" s="15" t="inlineStr">
        <is>
          <t>Plot / unit price</t>
        </is>
      </c>
      <c r="G165" s="15" t="inlineStr">
        <is>
          <t>Green City Phase 1 (Lantaba, Ketu-Epe)</t>
        </is>
      </c>
      <c r="H165" s="15" t="inlineStr">
        <is>
          <t>BP-C0045</t>
        </is>
      </c>
      <c r="I165" s="15" t="inlineStr">
        <is>
          <t>Mr Bolarinwa Iyanuoluwa Simon &amp; Dr Bolarinwa Abisola Christianah</t>
        </is>
      </c>
      <c r="J165" s="17" t="n">
        <v>3600000</v>
      </c>
      <c r="K165" s="15" t="inlineStr">
        <is>
          <t>Single register</t>
        </is>
      </c>
      <c r="L165" s="15" t="inlineStr">
        <is>
          <t>Primary: monthly turnover register</t>
        </is>
      </c>
      <c r="M165" s="15" t="inlineStr">
        <is>
          <t>BAAY PROJECTS FINANCIALS 2024.xlsx</t>
        </is>
      </c>
      <c r="N165" s="15" t="inlineStr">
        <is>
          <t>MARCH TURNOVER</t>
        </is>
      </c>
      <c r="O165" s="15" t="n">
        <v>40</v>
      </c>
      <c r="P165" s="15" t="inlineStr">
        <is>
          <t>16/03/2024</t>
        </is>
      </c>
      <c r="Q165" s="15" t="inlineStr">
        <is>
          <t>MD r20</t>
        </is>
      </c>
      <c r="R165" s="15" t="n"/>
    </row>
    <row r="166">
      <c r="A166" s="15" t="inlineStr">
        <is>
          <t>SL0162</t>
        </is>
      </c>
      <c r="B166" s="16" t="n">
        <v>45367</v>
      </c>
      <c r="C166" s="15" t="inlineStr">
        <is>
          <t>2024-03</t>
        </is>
      </c>
      <c r="D166" s="15" t="n">
        <v>2024</v>
      </c>
      <c r="E166" s="15" t="inlineStr">
        <is>
          <t>Land</t>
        </is>
      </c>
      <c r="F166" s="15" t="inlineStr">
        <is>
          <t>Plot / unit price</t>
        </is>
      </c>
      <c r="G166" s="15" t="inlineStr">
        <is>
          <t>Green City Phase 2 (Ketu-Epe)</t>
        </is>
      </c>
      <c r="H166" s="15" t="inlineStr">
        <is>
          <t>BP-C0051</t>
        </is>
      </c>
      <c r="I166" s="15" t="inlineStr">
        <is>
          <t>Mr Ogunleye Olumide</t>
        </is>
      </c>
      <c r="J166" s="17" t="n">
        <v>150000</v>
      </c>
      <c r="K166" s="15" t="inlineStr">
        <is>
          <t>Single register</t>
        </is>
      </c>
      <c r="L166" s="15" t="inlineStr">
        <is>
          <t>Primary: monthly turnover register</t>
        </is>
      </c>
      <c r="M166" s="15" t="inlineStr">
        <is>
          <t>BAAY PROJECTS FINANCIALS 2024.xlsx</t>
        </is>
      </c>
      <c r="N166" s="15" t="inlineStr">
        <is>
          <t>MARCH TURNOVER</t>
        </is>
      </c>
      <c r="O166" s="15" t="n">
        <v>41</v>
      </c>
      <c r="P166" s="15" t="inlineStr">
        <is>
          <t>16/03/2024</t>
        </is>
      </c>
      <c r="Q166" s="15" t="inlineStr">
        <is>
          <t>TURNOVER SCHEDULE r44</t>
        </is>
      </c>
      <c r="R166" s="15" t="n"/>
    </row>
    <row r="167">
      <c r="A167" s="15" t="inlineStr">
        <is>
          <t>SL0163</t>
        </is>
      </c>
      <c r="B167" s="16" t="n">
        <v>45367</v>
      </c>
      <c r="C167" s="15" t="inlineStr">
        <is>
          <t>2024-03</t>
        </is>
      </c>
      <c r="D167" s="15" t="n">
        <v>2024</v>
      </c>
      <c r="E167" s="15" t="inlineStr">
        <is>
          <t>Land</t>
        </is>
      </c>
      <c r="F167" s="15" t="inlineStr">
        <is>
          <t>Plot / unit price</t>
        </is>
      </c>
      <c r="G167" s="15" t="inlineStr">
        <is>
          <t>Green City Phase 1 (Lantaba, Ketu-Epe)</t>
        </is>
      </c>
      <c r="H167" s="15" t="inlineStr">
        <is>
          <t>BP-C0051</t>
        </is>
      </c>
      <c r="I167" s="15" t="inlineStr">
        <is>
          <t>Mr Ogunleye Olumide</t>
        </is>
      </c>
      <c r="J167" s="17" t="n">
        <v>500000</v>
      </c>
      <c r="K167" s="15" t="inlineStr">
        <is>
          <t>Single register</t>
        </is>
      </c>
      <c r="L167" s="15" t="inlineStr">
        <is>
          <t>Primary: monthly turnover register</t>
        </is>
      </c>
      <c r="M167" s="15" t="inlineStr">
        <is>
          <t>BAAY PROJECTS FINANCIALS 2024.xlsx</t>
        </is>
      </c>
      <c r="N167" s="15" t="inlineStr">
        <is>
          <t>MARCH TURNOVER</t>
        </is>
      </c>
      <c r="O167" s="15" t="n">
        <v>42</v>
      </c>
      <c r="P167" s="15" t="inlineStr">
        <is>
          <t>16/03/2024</t>
        </is>
      </c>
      <c r="Q167" s="15" t="inlineStr">
        <is>
          <t>TURNOVER SCHEDULE r51</t>
        </is>
      </c>
      <c r="R167" s="15" t="n"/>
    </row>
    <row r="168">
      <c r="A168" s="15" t="inlineStr">
        <is>
          <t>SL0164</t>
        </is>
      </c>
      <c r="B168" s="16" t="n">
        <v>45371</v>
      </c>
      <c r="C168" s="15" t="inlineStr">
        <is>
          <t>2024-03</t>
        </is>
      </c>
      <c r="D168" s="15" t="n">
        <v>2024</v>
      </c>
      <c r="E168" s="15" t="inlineStr">
        <is>
          <t>Land</t>
        </is>
      </c>
      <c r="F168" s="15" t="inlineStr">
        <is>
          <t>Plot / unit price</t>
        </is>
      </c>
      <c r="G168" s="15" t="inlineStr">
        <is>
          <t>Green City Phase 1 (Lantaba, Ketu-Epe)</t>
        </is>
      </c>
      <c r="H168" s="15" t="inlineStr">
        <is>
          <t>BP-C0050</t>
        </is>
      </c>
      <c r="I168" s="15" t="inlineStr">
        <is>
          <t>Mr Atuanya Patrick Jidevo</t>
        </is>
      </c>
      <c r="J168" s="17" t="n">
        <v>550000</v>
      </c>
      <c r="K168" s="15" t="inlineStr">
        <is>
          <t>Single register</t>
        </is>
      </c>
      <c r="L168" s="15" t="inlineStr">
        <is>
          <t>Primary: monthly turnover register</t>
        </is>
      </c>
      <c r="M168" s="15" t="inlineStr">
        <is>
          <t>BAAY PROJECTS FINANCIALS 2024.xlsx</t>
        </is>
      </c>
      <c r="N168" s="15" t="inlineStr">
        <is>
          <t>MARCH TURNOVER</t>
        </is>
      </c>
      <c r="O168" s="15" t="n">
        <v>43</v>
      </c>
      <c r="P168" s="15" t="inlineStr">
        <is>
          <t>20/03/2024</t>
        </is>
      </c>
      <c r="Q168" s="15" t="inlineStr">
        <is>
          <t>TURNOVER SCHEDULE r147, MS YETUNDE ABISOYE r31</t>
        </is>
      </c>
      <c r="R168" s="15" t="n"/>
    </row>
    <row r="169">
      <c r="A169" s="15" t="inlineStr">
        <is>
          <t>SL0165</t>
        </is>
      </c>
      <c r="B169" s="16" t="n">
        <v>45372</v>
      </c>
      <c r="C169" s="15" t="inlineStr">
        <is>
          <t>2024-03</t>
        </is>
      </c>
      <c r="D169" s="15" t="n">
        <v>2024</v>
      </c>
      <c r="E169" s="15" t="inlineStr">
        <is>
          <t>Land</t>
        </is>
      </c>
      <c r="F169" s="15" t="inlineStr">
        <is>
          <t>Plot / unit price</t>
        </is>
      </c>
      <c r="G169" s="15" t="inlineStr">
        <is>
          <t>Green City Phase 2 (Ketu-Epe)</t>
        </is>
      </c>
      <c r="H169" s="15" t="inlineStr">
        <is>
          <t>BP-C0071</t>
        </is>
      </c>
      <c r="I169" s="15" t="inlineStr">
        <is>
          <t>Miss Oyebola Moyosoreoluwa Boluwatife</t>
        </is>
      </c>
      <c r="J169" s="17" t="n">
        <v>1500000</v>
      </c>
      <c r="K169" s="15" t="inlineStr">
        <is>
          <t>Single register</t>
        </is>
      </c>
      <c r="L169" s="15" t="inlineStr">
        <is>
          <t>Primary: monthly turnover register</t>
        </is>
      </c>
      <c r="M169" s="15" t="inlineStr">
        <is>
          <t>BAAY PROJECTS FINANCIALS 2024.xlsx</t>
        </is>
      </c>
      <c r="N169" s="15" t="inlineStr">
        <is>
          <t>MARCH TURNOVER</t>
        </is>
      </c>
      <c r="O169" s="15" t="n">
        <v>44</v>
      </c>
      <c r="P169" s="15" t="inlineStr">
        <is>
          <t>21/03/2024</t>
        </is>
      </c>
      <c r="Q169" s="15" t="inlineStr">
        <is>
          <t>TURNOVER SCHEDULE r229, MR AYOMIDE r5</t>
        </is>
      </c>
      <c r="R169" s="15" t="n"/>
    </row>
    <row r="170">
      <c r="A170" s="15" t="inlineStr">
        <is>
          <t>SL0166</t>
        </is>
      </c>
      <c r="B170" s="16" t="n">
        <v>45372</v>
      </c>
      <c r="C170" s="15" t="inlineStr">
        <is>
          <t>2024-03</t>
        </is>
      </c>
      <c r="D170" s="15" t="n">
        <v>2024</v>
      </c>
      <c r="E170" s="15" t="inlineStr">
        <is>
          <t>Land</t>
        </is>
      </c>
      <c r="F170" s="15" t="inlineStr">
        <is>
          <t>Plot / unit price</t>
        </is>
      </c>
      <c r="G170" s="15" t="inlineStr">
        <is>
          <t>Green City Phase 1 (Lantaba, Ketu-Epe)</t>
        </is>
      </c>
      <c r="H170" s="15" t="inlineStr">
        <is>
          <t>BP-C0006</t>
        </is>
      </c>
      <c r="I170" s="15" t="inlineStr">
        <is>
          <t>Mr Olasupo Oladimeji</t>
        </is>
      </c>
      <c r="J170" s="17" t="n">
        <v>875350</v>
      </c>
      <c r="K170" s="15" t="inlineStr">
        <is>
          <t>Single register</t>
        </is>
      </c>
      <c r="L170" s="15" t="inlineStr">
        <is>
          <t>Primary: monthly turnover register</t>
        </is>
      </c>
      <c r="M170" s="15" t="inlineStr">
        <is>
          <t>BAAY PROJECTS FINANCIALS 2024.xlsx</t>
        </is>
      </c>
      <c r="N170" s="15" t="inlineStr">
        <is>
          <t>MARCH TURNOVER</t>
        </is>
      </c>
      <c r="O170" s="15" t="n">
        <v>47</v>
      </c>
      <c r="P170" s="15" t="inlineStr">
        <is>
          <t>21/03/2024</t>
        </is>
      </c>
      <c r="Q170" s="15" t="inlineStr">
        <is>
          <t>TURNOVER SCHEDULE r33, MRS ABIMBOLA r40</t>
        </is>
      </c>
      <c r="R170" s="15" t="n"/>
    </row>
    <row r="171">
      <c r="A171" s="15" t="inlineStr">
        <is>
          <t>SL0167</t>
        </is>
      </c>
      <c r="B171" s="16" t="n">
        <v>45372</v>
      </c>
      <c r="C171" s="15" t="inlineStr">
        <is>
          <t>2024-03</t>
        </is>
      </c>
      <c r="D171" s="15" t="n">
        <v>2024</v>
      </c>
      <c r="E171" s="15" t="inlineStr">
        <is>
          <t>Land</t>
        </is>
      </c>
      <c r="F171" s="15" t="inlineStr">
        <is>
          <t>Plot / unit price</t>
        </is>
      </c>
      <c r="G171" s="15" t="inlineStr">
        <is>
          <t>Green City Phase 2 (Ketu-Epe)</t>
        </is>
      </c>
      <c r="H171" s="15" t="inlineStr">
        <is>
          <t>BP-C0072</t>
        </is>
      </c>
      <c r="I171" s="15" t="inlineStr">
        <is>
          <t>Mr Oyebola Ajibola Ayobami</t>
        </is>
      </c>
      <c r="J171" s="17" t="n">
        <v>1500000</v>
      </c>
      <c r="K171" s="15" t="inlineStr">
        <is>
          <t>Single register</t>
        </is>
      </c>
      <c r="L171" s="15" t="inlineStr">
        <is>
          <t>Primary: monthly turnover register</t>
        </is>
      </c>
      <c r="M171" s="15" t="inlineStr">
        <is>
          <t>BAAY PROJECTS FINANCIALS 2024.xlsx</t>
        </is>
      </c>
      <c r="N171" s="15" t="inlineStr">
        <is>
          <t>MARCH TURNOVER</t>
        </is>
      </c>
      <c r="O171" s="15" t="n">
        <v>46</v>
      </c>
      <c r="P171" s="15" t="inlineStr">
        <is>
          <t>21/03/2024</t>
        </is>
      </c>
      <c r="Q171" s="15" t="inlineStr">
        <is>
          <t>TURNOVER SCHEDULE r237, MR AYOMIDE r7</t>
        </is>
      </c>
      <c r="R171" s="15" t="n"/>
    </row>
    <row r="172">
      <c r="A172" s="15" t="inlineStr">
        <is>
          <t>SL0168</t>
        </is>
      </c>
      <c r="B172" s="16" t="n">
        <v>45372</v>
      </c>
      <c r="C172" s="15" t="inlineStr">
        <is>
          <t>2024-03</t>
        </is>
      </c>
      <c r="D172" s="15" t="n">
        <v>2024</v>
      </c>
      <c r="E172" s="15" t="inlineStr">
        <is>
          <t>Land</t>
        </is>
      </c>
      <c r="F172" s="15" t="inlineStr">
        <is>
          <t>Plot / unit price</t>
        </is>
      </c>
      <c r="G172" s="15" t="inlineStr">
        <is>
          <t>Green City Phase 2 (Ketu-Epe)</t>
        </is>
      </c>
      <c r="H172" s="15" t="inlineStr">
        <is>
          <t>BP-C0073</t>
        </is>
      </c>
      <c r="I172" s="15" t="inlineStr">
        <is>
          <t>Mr Oyebola Temiloluwa Olayinka</t>
        </is>
      </c>
      <c r="J172" s="17" t="n">
        <v>1500000</v>
      </c>
      <c r="K172" s="15" t="inlineStr">
        <is>
          <t>Single register</t>
        </is>
      </c>
      <c r="L172" s="15" t="inlineStr">
        <is>
          <t>Primary: monthly turnover register</t>
        </is>
      </c>
      <c r="M172" s="15" t="inlineStr">
        <is>
          <t>BAAY PROJECTS FINANCIALS 2024.xlsx</t>
        </is>
      </c>
      <c r="N172" s="15" t="inlineStr">
        <is>
          <t>MARCH TURNOVER</t>
        </is>
      </c>
      <c r="O172" s="15" t="n">
        <v>45</v>
      </c>
      <c r="P172" s="15" t="inlineStr">
        <is>
          <t>21/03/2024</t>
        </is>
      </c>
      <c r="Q172" s="15" t="inlineStr">
        <is>
          <t>TURNOVER SCHEDULE r233, MR AYOMIDE r6</t>
        </is>
      </c>
      <c r="R172" s="15" t="n"/>
    </row>
    <row r="173">
      <c r="A173" s="15" t="inlineStr">
        <is>
          <t>SL0169</t>
        </is>
      </c>
      <c r="B173" s="16" t="n">
        <v>45373</v>
      </c>
      <c r="C173" s="15" t="inlineStr">
        <is>
          <t>2024-03</t>
        </is>
      </c>
      <c r="D173" s="15" t="n">
        <v>2024</v>
      </c>
      <c r="E173" s="15" t="inlineStr">
        <is>
          <t>Land</t>
        </is>
      </c>
      <c r="F173" s="15" t="inlineStr">
        <is>
          <t>Plot / unit price</t>
        </is>
      </c>
      <c r="G173" s="15" t="inlineStr">
        <is>
          <t>Green City Phase 1 (Lantaba, Ketu-Epe)</t>
        </is>
      </c>
      <c r="H173" s="15" t="inlineStr">
        <is>
          <t>BP-C0053</t>
        </is>
      </c>
      <c r="I173" s="15" t="inlineStr">
        <is>
          <t>Mr Adegbembo Stephen</t>
        </is>
      </c>
      <c r="J173" s="17" t="n">
        <v>1000000</v>
      </c>
      <c r="K173" s="15" t="inlineStr">
        <is>
          <t>Single register</t>
        </is>
      </c>
      <c r="L173" s="15" t="inlineStr">
        <is>
          <t>Primary: monthly turnover register</t>
        </is>
      </c>
      <c r="M173" s="15" t="inlineStr">
        <is>
          <t>BAAY PROJECTS FINANCIALS 2024.xlsx</t>
        </is>
      </c>
      <c r="N173" s="15" t="inlineStr">
        <is>
          <t>MARCH TURNOVER</t>
        </is>
      </c>
      <c r="O173" s="15" t="n">
        <v>48</v>
      </c>
      <c r="P173" s="15" t="inlineStr">
        <is>
          <t>22/03/2024</t>
        </is>
      </c>
      <c r="Q173" s="15" t="inlineStr">
        <is>
          <t>TURNOVER SCHEDULE r85</t>
        </is>
      </c>
      <c r="R173" s="15" t="n"/>
    </row>
    <row r="174">
      <c r="A174" s="15" t="inlineStr">
        <is>
          <t>SL0170</t>
        </is>
      </c>
      <c r="B174" s="16" t="n">
        <v>45376</v>
      </c>
      <c r="C174" s="15" t="inlineStr">
        <is>
          <t>2024-03</t>
        </is>
      </c>
      <c r="D174" s="15" t="n">
        <v>2024</v>
      </c>
      <c r="E174" s="15" t="inlineStr">
        <is>
          <t>Land</t>
        </is>
      </c>
      <c r="F174" s="15" t="inlineStr">
        <is>
          <t>Plot / unit price</t>
        </is>
      </c>
      <c r="G174" s="15" t="inlineStr">
        <is>
          <t>Green City Phase 1 (Lantaba, Ketu-Epe)</t>
        </is>
      </c>
      <c r="H174" s="15" t="inlineStr">
        <is>
          <t>BP-C0046</t>
        </is>
      </c>
      <c r="I174" s="15" t="inlineStr">
        <is>
          <t>Mr Adesida Raphael</t>
        </is>
      </c>
      <c r="J174" s="17" t="n">
        <v>100000</v>
      </c>
      <c r="K174" s="15" t="inlineStr">
        <is>
          <t>Single register</t>
        </is>
      </c>
      <c r="L174" s="15" t="inlineStr">
        <is>
          <t>Primary: monthly turnover register</t>
        </is>
      </c>
      <c r="M174" s="15" t="inlineStr">
        <is>
          <t>BAAY PROJECTS FINANCIALS 2024.xlsx</t>
        </is>
      </c>
      <c r="N174" s="15" t="inlineStr">
        <is>
          <t>MARCH TURNOVER</t>
        </is>
      </c>
      <c r="O174" s="15" t="n">
        <v>49</v>
      </c>
      <c r="P174" s="15" t="inlineStr">
        <is>
          <t>25/03/2024</t>
        </is>
      </c>
      <c r="Q174" s="15" t="inlineStr">
        <is>
          <t>TURNOVER SCHEDULE r174, MD r31</t>
        </is>
      </c>
      <c r="R174" s="15" t="n"/>
    </row>
    <row r="175">
      <c r="A175" s="15" t="inlineStr">
        <is>
          <t>SL0171</t>
        </is>
      </c>
      <c r="B175" s="16" t="n">
        <v>45376</v>
      </c>
      <c r="C175" s="15" t="inlineStr">
        <is>
          <t>2024-03</t>
        </is>
      </c>
      <c r="D175" s="15" t="n">
        <v>2024</v>
      </c>
      <c r="E175" s="15" t="inlineStr">
        <is>
          <t>Land</t>
        </is>
      </c>
      <c r="F175" s="15" t="inlineStr">
        <is>
          <t>Plot / unit price</t>
        </is>
      </c>
      <c r="G175" s="15" t="inlineStr">
        <is>
          <t>Green City Phase 2 (Ketu-Epe)</t>
        </is>
      </c>
      <c r="H175" s="15" t="inlineStr">
        <is>
          <t>BP-C0012</t>
        </is>
      </c>
      <c r="I175" s="15" t="inlineStr">
        <is>
          <t>Mr Apiafi Imiebam</t>
        </is>
      </c>
      <c r="J175" s="17" t="n">
        <v>1800000</v>
      </c>
      <c r="K175" s="15" t="inlineStr">
        <is>
          <t>Single register</t>
        </is>
      </c>
      <c r="L175" s="15" t="inlineStr">
        <is>
          <t>Primary: monthly turnover register</t>
        </is>
      </c>
      <c r="M175" s="15" t="inlineStr">
        <is>
          <t>BAAY PROJECTS FINANCIALS 2024.xlsx</t>
        </is>
      </c>
      <c r="N175" s="15" t="inlineStr">
        <is>
          <t>MARCH TURNOVER</t>
        </is>
      </c>
      <c r="O175" s="15" t="n">
        <v>50</v>
      </c>
      <c r="P175" s="15" t="inlineStr">
        <is>
          <t>25/03/2024</t>
        </is>
      </c>
      <c r="Q175" s="15" t="inlineStr">
        <is>
          <t>TURNOVER SCHEDULE r308, MS BLESSING r28</t>
        </is>
      </c>
      <c r="R175" s="15" t="n"/>
    </row>
    <row r="176">
      <c r="A176" s="15" t="inlineStr">
        <is>
          <t>SL0172</t>
        </is>
      </c>
      <c r="B176" s="16" t="n">
        <v>45376</v>
      </c>
      <c r="C176" s="15" t="inlineStr">
        <is>
          <t>2024-03</t>
        </is>
      </c>
      <c r="D176" s="15" t="n">
        <v>2024</v>
      </c>
      <c r="E176" s="15" t="inlineStr">
        <is>
          <t>Land</t>
        </is>
      </c>
      <c r="F176" s="15" t="inlineStr">
        <is>
          <t>Plot / unit price</t>
        </is>
      </c>
      <c r="G176" s="15" t="inlineStr">
        <is>
          <t>Green City Phase 2 (Ketu-Epe)</t>
        </is>
      </c>
      <c r="H176" s="15" t="inlineStr">
        <is>
          <t>BP-C0085</t>
        </is>
      </c>
      <c r="I176" s="15" t="inlineStr">
        <is>
          <t>Mr Ayokunu Adegbayemu</t>
        </is>
      </c>
      <c r="J176" s="17" t="n">
        <v>1430000</v>
      </c>
      <c r="K176" s="15" t="inlineStr">
        <is>
          <t>Single register</t>
        </is>
      </c>
      <c r="L176" s="15" t="inlineStr">
        <is>
          <t>Primary: monthly turnover register</t>
        </is>
      </c>
      <c r="M176" s="15" t="inlineStr">
        <is>
          <t>BAAY PROJECTS FINANCIALS 2024.xlsx</t>
        </is>
      </c>
      <c r="N176" s="15" t="inlineStr">
        <is>
          <t>MARCH TURNOVER</t>
        </is>
      </c>
      <c r="O176" s="15" t="n">
        <v>51</v>
      </c>
      <c r="P176" s="15" t="inlineStr">
        <is>
          <t>25/03/2024</t>
        </is>
      </c>
      <c r="Q176" s="15" t="n"/>
      <c r="R176" s="15" t="n"/>
    </row>
    <row r="177">
      <c r="A177" s="15" t="inlineStr">
        <is>
          <t>SL0173</t>
        </is>
      </c>
      <c r="B177" s="16" t="n">
        <v>45376</v>
      </c>
      <c r="C177" s="15" t="inlineStr">
        <is>
          <t>2024-03</t>
        </is>
      </c>
      <c r="D177" s="15" t="n">
        <v>2024</v>
      </c>
      <c r="E177" s="15" t="inlineStr">
        <is>
          <t>Land</t>
        </is>
      </c>
      <c r="F177" s="15" t="inlineStr">
        <is>
          <t>Plot / unit price</t>
        </is>
      </c>
      <c r="G177" s="15" t="inlineStr">
        <is>
          <t>Green City Phase 2 (Ketu-Epe)</t>
        </is>
      </c>
      <c r="H177" s="15" t="inlineStr">
        <is>
          <t>BP-C0017</t>
        </is>
      </c>
      <c r="I177" s="15" t="inlineStr">
        <is>
          <t>Mr John Taiwo Adeleye</t>
        </is>
      </c>
      <c r="J177" s="17" t="n">
        <v>1000000</v>
      </c>
      <c r="K177" s="15" t="inlineStr">
        <is>
          <t>Single register</t>
        </is>
      </c>
      <c r="L177" s="15" t="inlineStr">
        <is>
          <t>Primary: monthly turnover register</t>
        </is>
      </c>
      <c r="M177" s="15" t="inlineStr">
        <is>
          <t>BAAY PROJECTS FINANCIALS 2024.xlsx</t>
        </is>
      </c>
      <c r="N177" s="15" t="inlineStr">
        <is>
          <t>MARCH TURNOVER</t>
        </is>
      </c>
      <c r="O177" s="15" t="n">
        <v>52</v>
      </c>
      <c r="P177" s="15" t="inlineStr">
        <is>
          <t>25/03/2023</t>
        </is>
      </c>
      <c r="Q177" s="15" t="n"/>
      <c r="R177" s="15" t="inlineStr">
        <is>
          <t>Year typed as 2023 in source (25/03/2023); corrected to 2024 from the sheet month</t>
        </is>
      </c>
    </row>
    <row r="178">
      <c r="A178" s="15" t="inlineStr">
        <is>
          <t>SL0174</t>
        </is>
      </c>
      <c r="B178" s="16" t="n">
        <v>45377</v>
      </c>
      <c r="C178" s="15" t="inlineStr">
        <is>
          <t>2024-03</t>
        </is>
      </c>
      <c r="D178" s="15" t="n">
        <v>2024</v>
      </c>
      <c r="E178" s="15" t="inlineStr">
        <is>
          <t>Land</t>
        </is>
      </c>
      <c r="F178" s="15" t="inlineStr">
        <is>
          <t>Plot / unit price</t>
        </is>
      </c>
      <c r="G178" s="15" t="inlineStr">
        <is>
          <t>Green City Phase 1 (Lantaba, Ketu-Epe)</t>
        </is>
      </c>
      <c r="H178" s="15" t="inlineStr">
        <is>
          <t>BP-C0086</t>
        </is>
      </c>
      <c r="I178" s="15" t="inlineStr">
        <is>
          <t>Miss Nwobodo Miriam Chioma</t>
        </is>
      </c>
      <c r="J178" s="17" t="n">
        <v>3000000</v>
      </c>
      <c r="K178" s="15" t="inlineStr">
        <is>
          <t>Single register</t>
        </is>
      </c>
      <c r="L178" s="15" t="inlineStr">
        <is>
          <t>Primary: monthly turnover register</t>
        </is>
      </c>
      <c r="M178" s="15" t="inlineStr">
        <is>
          <t>BAAY PROJECTS FINANCIALS 2024.xlsx</t>
        </is>
      </c>
      <c r="N178" s="15" t="inlineStr">
        <is>
          <t>MARCH TURNOVER</t>
        </is>
      </c>
      <c r="O178" s="15" t="n">
        <v>54</v>
      </c>
      <c r="P178" s="15" t="inlineStr">
        <is>
          <t>26/03/2024</t>
        </is>
      </c>
      <c r="Q178" s="15" t="inlineStr">
        <is>
          <t>TURNOVER SCHEDULE r314, MD r9</t>
        </is>
      </c>
      <c r="R178" s="15" t="n"/>
    </row>
    <row r="179">
      <c r="A179" s="15" t="inlineStr">
        <is>
          <t>SL0175</t>
        </is>
      </c>
      <c r="B179" s="16" t="n">
        <v>45377</v>
      </c>
      <c r="C179" s="15" t="inlineStr">
        <is>
          <t>2024-03</t>
        </is>
      </c>
      <c r="D179" s="15" t="n">
        <v>2024</v>
      </c>
      <c r="E179" s="15" t="inlineStr">
        <is>
          <t>Land</t>
        </is>
      </c>
      <c r="F179" s="15" t="inlineStr">
        <is>
          <t>Plot / unit price</t>
        </is>
      </c>
      <c r="G179" s="15" t="inlineStr">
        <is>
          <t>Green City Phase 1 (Lantaba, Ketu-Epe)</t>
        </is>
      </c>
      <c r="H179" s="15" t="inlineStr">
        <is>
          <t>BP-C0046</t>
        </is>
      </c>
      <c r="I179" s="15" t="inlineStr">
        <is>
          <t>Mr Adesida Raphael</t>
        </is>
      </c>
      <c r="J179" s="17" t="n">
        <v>100000</v>
      </c>
      <c r="K179" s="15" t="inlineStr">
        <is>
          <t>Single register</t>
        </is>
      </c>
      <c r="L179" s="15" t="inlineStr">
        <is>
          <t>Primary: monthly turnover register</t>
        </is>
      </c>
      <c r="M179" s="15" t="inlineStr">
        <is>
          <t>BAAY PROJECTS FINANCIALS 2024.xlsx</t>
        </is>
      </c>
      <c r="N179" s="15" t="inlineStr">
        <is>
          <t>MARCH TURNOVER</t>
        </is>
      </c>
      <c r="O179" s="15" t="n">
        <v>55</v>
      </c>
      <c r="P179" s="15" t="inlineStr">
        <is>
          <t>26/03/2024</t>
        </is>
      </c>
      <c r="Q179" s="15" t="inlineStr">
        <is>
          <t>TURNOVER SCHEDULE r175, MD r32</t>
        </is>
      </c>
      <c r="R179" s="15" t="n"/>
    </row>
    <row r="180">
      <c r="A180" s="15" t="inlineStr">
        <is>
          <t>SL0176</t>
        </is>
      </c>
      <c r="B180" s="16" t="n">
        <v>45377</v>
      </c>
      <c r="C180" s="15" t="inlineStr">
        <is>
          <t>2024-03</t>
        </is>
      </c>
      <c r="D180" s="15" t="n">
        <v>2024</v>
      </c>
      <c r="E180" s="15" t="inlineStr">
        <is>
          <t>Land</t>
        </is>
      </c>
      <c r="F180" s="15" t="inlineStr">
        <is>
          <t>Plot / unit price</t>
        </is>
      </c>
      <c r="G180" s="15" t="inlineStr">
        <is>
          <t>Green City Phase 2 (Ketu-Epe)</t>
        </is>
      </c>
      <c r="H180" s="15" t="inlineStr">
        <is>
          <t>BP-C0076</t>
        </is>
      </c>
      <c r="I180" s="15" t="inlineStr">
        <is>
          <t>Ojo Ayomide Babatunde</t>
        </is>
      </c>
      <c r="J180" s="17" t="n">
        <v>3000000</v>
      </c>
      <c r="K180" s="15" t="inlineStr">
        <is>
          <t>Single register</t>
        </is>
      </c>
      <c r="L180" s="15" t="inlineStr">
        <is>
          <t>Primary: monthly turnover register</t>
        </is>
      </c>
      <c r="M180" s="15" t="inlineStr">
        <is>
          <t>BAAY PROJECTS FINANCIALS 2024.xlsx</t>
        </is>
      </c>
      <c r="N180" s="15" t="inlineStr">
        <is>
          <t>MARCH TURNOVER</t>
        </is>
      </c>
      <c r="O180" s="15" t="n">
        <v>53</v>
      </c>
      <c r="P180" s="15" t="inlineStr">
        <is>
          <t>26/03/2024</t>
        </is>
      </c>
      <c r="Q180" s="15" t="inlineStr">
        <is>
          <t>TURNOVER SCHEDULE r256</t>
        </is>
      </c>
      <c r="R180" s="15" t="n"/>
    </row>
    <row r="181">
      <c r="A181" s="15" t="inlineStr">
        <is>
          <t>SL0177</t>
        </is>
      </c>
      <c r="B181" s="16" t="n">
        <v>45379</v>
      </c>
      <c r="C181" s="15" t="inlineStr">
        <is>
          <t>2024-03</t>
        </is>
      </c>
      <c r="D181" s="15" t="n">
        <v>2024</v>
      </c>
      <c r="E181" s="15" t="inlineStr">
        <is>
          <t>Land</t>
        </is>
      </c>
      <c r="F181" s="15" t="inlineStr">
        <is>
          <t>Plot / unit price</t>
        </is>
      </c>
      <c r="G181" s="15" t="inlineStr">
        <is>
          <t>Green City Phase 2 (Ketu-Epe)</t>
        </is>
      </c>
      <c r="H181" s="15" t="inlineStr">
        <is>
          <t>BP-C0068</t>
        </is>
      </c>
      <c r="I181" s="15" t="inlineStr">
        <is>
          <t>Miss Ebhotah Sharon Aisosa</t>
        </is>
      </c>
      <c r="J181" s="17" t="n">
        <v>500000</v>
      </c>
      <c r="K181" s="15" t="inlineStr">
        <is>
          <t>Single register</t>
        </is>
      </c>
      <c r="L181" s="15" t="inlineStr">
        <is>
          <t>Primary: monthly turnover register</t>
        </is>
      </c>
      <c r="M181" s="15" t="inlineStr">
        <is>
          <t>BAAY PROJECTS FINANCIALS 2024.xlsx</t>
        </is>
      </c>
      <c r="N181" s="15" t="inlineStr">
        <is>
          <t>MARCH TURNOVER</t>
        </is>
      </c>
      <c r="O181" s="15" t="n">
        <v>57</v>
      </c>
      <c r="P181" s="15" t="inlineStr">
        <is>
          <t>28/03/2024</t>
        </is>
      </c>
      <c r="Q181" s="15" t="inlineStr">
        <is>
          <t>TURNOVER SCHEDULE r259</t>
        </is>
      </c>
      <c r="R181" s="15" t="n"/>
    </row>
    <row r="182">
      <c r="A182" s="15" t="inlineStr">
        <is>
          <t>SL0178</t>
        </is>
      </c>
      <c r="B182" s="16" t="n">
        <v>45379</v>
      </c>
      <c r="C182" s="15" t="inlineStr">
        <is>
          <t>2024-03</t>
        </is>
      </c>
      <c r="D182" s="15" t="n">
        <v>2024</v>
      </c>
      <c r="E182" s="15" t="inlineStr">
        <is>
          <t>Land</t>
        </is>
      </c>
      <c r="F182" s="15" t="inlineStr">
        <is>
          <t>Plot / unit price</t>
        </is>
      </c>
      <c r="G182" s="15" t="inlineStr">
        <is>
          <t>Green City Phase 2 (Ketu-Epe)</t>
        </is>
      </c>
      <c r="H182" s="15" t="inlineStr">
        <is>
          <t>BP-C0066</t>
        </is>
      </c>
      <c r="I182" s="15" t="inlineStr">
        <is>
          <t>Omosanya Dotun Akeju</t>
        </is>
      </c>
      <c r="J182" s="17" t="n">
        <v>850000</v>
      </c>
      <c r="K182" s="15" t="inlineStr">
        <is>
          <t>Single register</t>
        </is>
      </c>
      <c r="L182" s="15" t="inlineStr">
        <is>
          <t>Primary: monthly turnover register</t>
        </is>
      </c>
      <c r="M182" s="15" t="inlineStr">
        <is>
          <t>BAAY PROJECTS FINANCIALS 2024.xlsx</t>
        </is>
      </c>
      <c r="N182" s="15" t="inlineStr">
        <is>
          <t>MARCH TURNOVER</t>
        </is>
      </c>
      <c r="O182" s="15" t="n">
        <v>56</v>
      </c>
      <c r="P182" s="15" t="inlineStr">
        <is>
          <t>28/03/2024</t>
        </is>
      </c>
      <c r="Q182" s="15" t="inlineStr">
        <is>
          <t>TURNOVER SCHEDULE r218, MS BOLANLE r36, MS BLESSING OJI r7</t>
        </is>
      </c>
      <c r="R182" s="15" t="n"/>
    </row>
    <row r="183">
      <c r="A183" s="15" t="inlineStr">
        <is>
          <t>SL0179</t>
        </is>
      </c>
      <c r="B183" s="16" t="n">
        <v>45381</v>
      </c>
      <c r="C183" s="15" t="inlineStr">
        <is>
          <t>2024-03</t>
        </is>
      </c>
      <c r="D183" s="15" t="n">
        <v>2024</v>
      </c>
      <c r="E183" s="15" t="inlineStr">
        <is>
          <t>Land</t>
        </is>
      </c>
      <c r="F183" s="15" t="inlineStr">
        <is>
          <t>Plot / unit price</t>
        </is>
      </c>
      <c r="G183" s="15" t="inlineStr">
        <is>
          <t>Green City Phase 1 (Lantaba, Ketu-Epe)</t>
        </is>
      </c>
      <c r="H183" s="15" t="inlineStr">
        <is>
          <t>BP-C0027</t>
        </is>
      </c>
      <c r="I183" s="15" t="inlineStr">
        <is>
          <t>Mr Edun Ayobami Simeon</t>
        </is>
      </c>
      <c r="J183" s="17" t="n">
        <v>700000</v>
      </c>
      <c r="K183" s="15" t="inlineStr">
        <is>
          <t>Single register</t>
        </is>
      </c>
      <c r="L183" s="15" t="inlineStr">
        <is>
          <t>Primary: monthly turnover register</t>
        </is>
      </c>
      <c r="M183" s="15" t="inlineStr">
        <is>
          <t>BAAY PROJECTS FINANCIALS 2024.xlsx</t>
        </is>
      </c>
      <c r="N183" s="15" t="inlineStr">
        <is>
          <t>MARCH TURNOVER</t>
        </is>
      </c>
      <c r="O183" s="15" t="n">
        <v>61</v>
      </c>
      <c r="P183" s="15" t="inlineStr">
        <is>
          <t>30/03/2024</t>
        </is>
      </c>
      <c r="Q183" s="15" t="inlineStr">
        <is>
          <t>TURNOVER SCHEDULE r131, MRS ABIMBOLA r81</t>
        </is>
      </c>
      <c r="R183" s="15" t="n"/>
    </row>
    <row r="184">
      <c r="A184" s="15" t="inlineStr">
        <is>
          <t>SL0180</t>
        </is>
      </c>
      <c r="B184" s="16" t="n">
        <v>45381</v>
      </c>
      <c r="C184" s="15" t="inlineStr">
        <is>
          <t>2024-03</t>
        </is>
      </c>
      <c r="D184" s="15" t="n">
        <v>2024</v>
      </c>
      <c r="E184" s="15" t="inlineStr">
        <is>
          <t>Land</t>
        </is>
      </c>
      <c r="F184" s="15" t="inlineStr">
        <is>
          <t>Plot / unit price</t>
        </is>
      </c>
      <c r="G184" s="15" t="inlineStr">
        <is>
          <t>Green City Phase 1 (Lantaba, Ketu-Epe)</t>
        </is>
      </c>
      <c r="H184" s="15" t="inlineStr">
        <is>
          <t>BP-C0029</t>
        </is>
      </c>
      <c r="I184" s="15" t="inlineStr">
        <is>
          <t>Mr Ohanehi Anthony Patrick</t>
        </is>
      </c>
      <c r="J184" s="17" t="n">
        <v>1500000</v>
      </c>
      <c r="K184" s="15" t="inlineStr">
        <is>
          <t>Single register</t>
        </is>
      </c>
      <c r="L184" s="15" t="inlineStr">
        <is>
          <t>Primary: monthly turnover register</t>
        </is>
      </c>
      <c r="M184" s="15" t="inlineStr">
        <is>
          <t>BAAY PROJECTS FINANCIALS 2024.xlsx</t>
        </is>
      </c>
      <c r="N184" s="15" t="inlineStr">
        <is>
          <t>MARCH TURNOVER</t>
        </is>
      </c>
      <c r="O184" s="15" t="n">
        <v>60</v>
      </c>
      <c r="P184" s="15" t="inlineStr">
        <is>
          <t>30/03/2024</t>
        </is>
      </c>
      <c r="Q184" s="15" t="inlineStr">
        <is>
          <t>TURNOVER SCHEDULE r22, MS IMMACULATE r24</t>
        </is>
      </c>
      <c r="R184" s="15" t="n"/>
    </row>
    <row r="185">
      <c r="A185" s="15" t="inlineStr">
        <is>
          <t>SL0181</t>
        </is>
      </c>
      <c r="B185" s="16" t="n">
        <v>45381</v>
      </c>
      <c r="C185" s="15" t="inlineStr">
        <is>
          <t>2024-03</t>
        </is>
      </c>
      <c r="D185" s="15" t="n">
        <v>2024</v>
      </c>
      <c r="E185" s="15" t="inlineStr">
        <is>
          <t>Land</t>
        </is>
      </c>
      <c r="F185" s="15" t="inlineStr">
        <is>
          <t>Plot / unit price</t>
        </is>
      </c>
      <c r="G185" s="15" t="inlineStr">
        <is>
          <t>Green City Phase 2 (Ketu-Epe)</t>
        </is>
      </c>
      <c r="H185" s="15" t="inlineStr">
        <is>
          <t>BP-C0075</t>
        </is>
      </c>
      <c r="I185" s="15" t="inlineStr">
        <is>
          <t>Ogidan Funmilayo</t>
        </is>
      </c>
      <c r="J185" s="17" t="n">
        <v>700000</v>
      </c>
      <c r="K185" s="15" t="inlineStr">
        <is>
          <t>Single register</t>
        </is>
      </c>
      <c r="L185" s="15" t="inlineStr">
        <is>
          <t>Primary: monthly turnover register</t>
        </is>
      </c>
      <c r="M185" s="15" t="inlineStr">
        <is>
          <t>BAAY PROJECTS FINANCIALS 2024.xlsx</t>
        </is>
      </c>
      <c r="N185" s="15" t="inlineStr">
        <is>
          <t>MARCH TURNOVER</t>
        </is>
      </c>
      <c r="O185" s="15" t="n">
        <v>59</v>
      </c>
      <c r="P185" s="15" t="inlineStr">
        <is>
          <t>30/03/2024</t>
        </is>
      </c>
      <c r="Q185" s="15" t="inlineStr">
        <is>
          <t>TURNOVER SCHEDULE r270, OGIDAN r3</t>
        </is>
      </c>
      <c r="R185" s="15" t="n"/>
    </row>
    <row r="186">
      <c r="A186" s="15" t="inlineStr">
        <is>
          <t>SL0182</t>
        </is>
      </c>
      <c r="B186" s="16" t="n">
        <v>45382</v>
      </c>
      <c r="C186" s="15" t="inlineStr">
        <is>
          <t>2024-03</t>
        </is>
      </c>
      <c r="D186" s="15" t="n">
        <v>2024</v>
      </c>
      <c r="E186" s="15" t="inlineStr">
        <is>
          <t>Land</t>
        </is>
      </c>
      <c r="F186" s="15" t="inlineStr">
        <is>
          <t>Plot / unit price</t>
        </is>
      </c>
      <c r="G186" s="15" t="inlineStr">
        <is>
          <t>Green City Phase 2 (Ketu-Epe)</t>
        </is>
      </c>
      <c r="H186" s="15" t="inlineStr">
        <is>
          <t>BP-C0082</t>
        </is>
      </c>
      <c r="I186" s="15" t="inlineStr">
        <is>
          <t>Mrs Olarewaju Remilekun Mary</t>
        </is>
      </c>
      <c r="J186" s="17" t="n">
        <v>500000</v>
      </c>
      <c r="K186" s="15" t="inlineStr">
        <is>
          <t>Single register</t>
        </is>
      </c>
      <c r="L186" s="15" t="inlineStr">
        <is>
          <t>Primary: monthly turnover register</t>
        </is>
      </c>
      <c r="M186" s="15" t="inlineStr">
        <is>
          <t>BAAY PROJECTS FINANCIALS 2024.xlsx</t>
        </is>
      </c>
      <c r="N186" s="15" t="inlineStr">
        <is>
          <t>MARCH TURNOVER</t>
        </is>
      </c>
      <c r="O186" s="15" t="n">
        <v>62</v>
      </c>
      <c r="P186" s="15" t="inlineStr">
        <is>
          <t>31/03/2024</t>
        </is>
      </c>
      <c r="Q186" s="15" t="inlineStr">
        <is>
          <t>TURNOVER SCHEDULE r320</t>
        </is>
      </c>
      <c r="R186" s="15" t="n"/>
    </row>
    <row r="187">
      <c r="A187" s="15" t="inlineStr">
        <is>
          <t>SL0183</t>
        </is>
      </c>
      <c r="B187" s="16" t="n">
        <v>45383</v>
      </c>
      <c r="C187" s="15" t="inlineStr">
        <is>
          <t>2024-04</t>
        </is>
      </c>
      <c r="D187" s="15" t="n">
        <v>2024</v>
      </c>
      <c r="E187" s="15" t="inlineStr">
        <is>
          <t>Land</t>
        </is>
      </c>
      <c r="F187" s="15" t="inlineStr">
        <is>
          <t>Plot / unit price</t>
        </is>
      </c>
      <c r="G187" s="15" t="inlineStr">
        <is>
          <t>Green City Phase 2 (Ketu-Epe)</t>
        </is>
      </c>
      <c r="H187" s="15" t="inlineStr">
        <is>
          <t>BP-C0051</t>
        </is>
      </c>
      <c r="I187" s="15" t="inlineStr">
        <is>
          <t>Mr Ogunleye Olumide Victor</t>
        </is>
      </c>
      <c r="J187" s="17" t="n">
        <v>250000</v>
      </c>
      <c r="K187" s="15" t="inlineStr">
        <is>
          <t>Single register</t>
        </is>
      </c>
      <c r="L187" s="15" t="inlineStr">
        <is>
          <t>Primary: monthly turnover register</t>
        </is>
      </c>
      <c r="M187" s="15" t="inlineStr">
        <is>
          <t>BAAY PROJECTS FINANCIALS 2024.xlsx</t>
        </is>
      </c>
      <c r="N187" s="15" t="inlineStr">
        <is>
          <t>APRIL TURNOVER</t>
        </is>
      </c>
      <c r="O187" s="15" t="n">
        <v>6</v>
      </c>
      <c r="P187" s="15" t="inlineStr">
        <is>
          <t>2024-01-04</t>
        </is>
      </c>
      <c r="Q187" s="15" t="inlineStr">
        <is>
          <t>TURNOVER SCHEDULE r45</t>
        </is>
      </c>
      <c r="R187" s="15" t="n"/>
    </row>
    <row r="188">
      <c r="A188" s="15" t="inlineStr">
        <is>
          <t>SL0184</t>
        </is>
      </c>
      <c r="B188" s="16" t="n">
        <v>45383</v>
      </c>
      <c r="C188" s="15" t="inlineStr">
        <is>
          <t>2024-04</t>
        </is>
      </c>
      <c r="D188" s="15" t="n">
        <v>2024</v>
      </c>
      <c r="E188" s="15" t="inlineStr">
        <is>
          <t>Land</t>
        </is>
      </c>
      <c r="F188" s="15" t="inlineStr">
        <is>
          <t>Plot / unit price</t>
        </is>
      </c>
      <c r="G188" s="15" t="inlineStr">
        <is>
          <t>Green City Phase 1 (Lantaba, Ketu-Epe)</t>
        </is>
      </c>
      <c r="H188" s="15" t="inlineStr">
        <is>
          <t>BP-C0051</t>
        </is>
      </c>
      <c r="I188" s="15" t="inlineStr">
        <is>
          <t>Mr Ogunleye Olumide Victor</t>
        </is>
      </c>
      <c r="J188" s="17" t="n">
        <v>200000</v>
      </c>
      <c r="K188" s="15" t="inlineStr">
        <is>
          <t>Single register</t>
        </is>
      </c>
      <c r="L188" s="15" t="inlineStr">
        <is>
          <t>Primary: monthly turnover register</t>
        </is>
      </c>
      <c r="M188" s="15" t="inlineStr">
        <is>
          <t>BAAY PROJECTS FINANCIALS 2024.xlsx</t>
        </is>
      </c>
      <c r="N188" s="15" t="inlineStr">
        <is>
          <t>APRIL TURNOVER</t>
        </is>
      </c>
      <c r="O188" s="15" t="n">
        <v>7</v>
      </c>
      <c r="P188" s="15" t="inlineStr">
        <is>
          <t>2024-01-04</t>
        </is>
      </c>
      <c r="Q188" s="15" t="inlineStr">
        <is>
          <t>TURNOVER SCHEDULE r52</t>
        </is>
      </c>
      <c r="R188" s="15" t="n"/>
    </row>
    <row r="189">
      <c r="A189" s="15" t="inlineStr">
        <is>
          <t>SL0185</t>
        </is>
      </c>
      <c r="B189" s="16" t="n">
        <v>45383</v>
      </c>
      <c r="C189" s="15" t="inlineStr">
        <is>
          <t>2024-04</t>
        </is>
      </c>
      <c r="D189" s="15" t="n">
        <v>2024</v>
      </c>
      <c r="E189" s="15" t="inlineStr">
        <is>
          <t>Land</t>
        </is>
      </c>
      <c r="F189" s="15" t="inlineStr">
        <is>
          <t>Plot / unit price</t>
        </is>
      </c>
      <c r="G189" s="15" t="inlineStr">
        <is>
          <t>Green City Phase 2 (Ketu-Epe)</t>
        </is>
      </c>
      <c r="H189" s="15" t="inlineStr">
        <is>
          <t>BP-C0029</t>
        </is>
      </c>
      <c r="I189" s="15" t="inlineStr">
        <is>
          <t>Mr Ohanehi Anthony Patrick</t>
        </is>
      </c>
      <c r="J189" s="17" t="n">
        <v>500000</v>
      </c>
      <c r="K189" s="15" t="inlineStr">
        <is>
          <t>Single register</t>
        </is>
      </c>
      <c r="L189" s="15" t="inlineStr">
        <is>
          <t>Primary: monthly turnover register</t>
        </is>
      </c>
      <c r="M189" s="15" t="inlineStr">
        <is>
          <t>BAAY PROJECTS FINANCIALS 2024.xlsx</t>
        </is>
      </c>
      <c r="N189" s="15" t="inlineStr">
        <is>
          <t>APRIL TURNOVER</t>
        </is>
      </c>
      <c r="O189" s="15" t="n">
        <v>8</v>
      </c>
      <c r="P189" s="15" t="inlineStr">
        <is>
          <t>2024-01-04</t>
        </is>
      </c>
      <c r="Q189" s="15" t="inlineStr">
        <is>
          <t>TURNOVER SCHEDULE r337, IDAH MARYDAVID r2</t>
        </is>
      </c>
      <c r="R189" s="15" t="n"/>
    </row>
    <row r="190">
      <c r="A190" s="15" t="inlineStr">
        <is>
          <t>SL0186</t>
        </is>
      </c>
      <c r="B190" s="16" t="n">
        <v>45384</v>
      </c>
      <c r="C190" s="15" t="inlineStr">
        <is>
          <t>2024-04</t>
        </is>
      </c>
      <c r="D190" s="15" t="n">
        <v>2024</v>
      </c>
      <c r="E190" s="15" t="inlineStr">
        <is>
          <t>Land</t>
        </is>
      </c>
      <c r="F190" s="15" t="inlineStr">
        <is>
          <t>Plot / unit price</t>
        </is>
      </c>
      <c r="G190" s="15" t="inlineStr">
        <is>
          <t>Green City Phase 1 (Lantaba, Ketu-Epe)</t>
        </is>
      </c>
      <c r="H190" s="15" t="inlineStr">
        <is>
          <t>BP-C0054</t>
        </is>
      </c>
      <c r="I190" s="15" t="inlineStr">
        <is>
          <t>Mr Ademola Adeniyi</t>
        </is>
      </c>
      <c r="J190" s="17" t="n">
        <v>2000000</v>
      </c>
      <c r="K190" s="15" t="inlineStr">
        <is>
          <t>Single register</t>
        </is>
      </c>
      <c r="L190" s="15" t="inlineStr">
        <is>
          <t>Primary: monthly turnover register</t>
        </is>
      </c>
      <c r="M190" s="15" t="inlineStr">
        <is>
          <t>BAAY PROJECTS FINANCIALS 2024.xlsx</t>
        </is>
      </c>
      <c r="N190" s="15" t="inlineStr">
        <is>
          <t>APRIL TURNOVER</t>
        </is>
      </c>
      <c r="O190" s="15" t="n">
        <v>9</v>
      </c>
      <c r="P190" s="15" t="inlineStr">
        <is>
          <t>2024-02-04</t>
        </is>
      </c>
      <c r="Q190" s="15" t="inlineStr">
        <is>
          <t>MRS ABIMBOLA r50</t>
        </is>
      </c>
      <c r="R190" s="15" t="n"/>
    </row>
    <row r="191">
      <c r="A191" s="15" t="inlineStr">
        <is>
          <t>SL0187</t>
        </is>
      </c>
      <c r="B191" s="16" t="n">
        <v>45384</v>
      </c>
      <c r="C191" s="15" t="inlineStr">
        <is>
          <t>2024-04</t>
        </is>
      </c>
      <c r="D191" s="15" t="n">
        <v>2024</v>
      </c>
      <c r="E191" s="15" t="inlineStr">
        <is>
          <t>Land</t>
        </is>
      </c>
      <c r="F191" s="15" t="inlineStr">
        <is>
          <t>Plot / unit price</t>
        </is>
      </c>
      <c r="G191" s="15" t="inlineStr">
        <is>
          <t>Green City Phase 1 (Lantaba, Ketu-Epe)</t>
        </is>
      </c>
      <c r="H191" s="15" t="inlineStr">
        <is>
          <t>BP-C0044</t>
        </is>
      </c>
      <c r="I191" s="15" t="inlineStr">
        <is>
          <t>Mr Babajide Oluwase</t>
        </is>
      </c>
      <c r="J191" s="17" t="n">
        <v>585000</v>
      </c>
      <c r="K191" s="15" t="inlineStr">
        <is>
          <t>Single register</t>
        </is>
      </c>
      <c r="L191" s="15" t="inlineStr">
        <is>
          <t>Primary: monthly turnover register</t>
        </is>
      </c>
      <c r="M191" s="15" t="inlineStr">
        <is>
          <t>BAAY PROJECTS FINANCIALS 2024.xlsx</t>
        </is>
      </c>
      <c r="N191" s="15" t="inlineStr">
        <is>
          <t>APRIL TURNOVER</t>
        </is>
      </c>
      <c r="O191" s="15" t="n">
        <v>10</v>
      </c>
      <c r="P191" s="15" t="inlineStr">
        <is>
          <t>2024-02-04</t>
        </is>
      </c>
      <c r="Q191" s="15" t="inlineStr">
        <is>
          <t>MD r28</t>
        </is>
      </c>
      <c r="R191" s="15" t="n"/>
    </row>
    <row r="192">
      <c r="A192" s="15" t="inlineStr">
        <is>
          <t>SL0188</t>
        </is>
      </c>
      <c r="B192" s="16" t="n">
        <v>45385</v>
      </c>
      <c r="C192" s="15" t="inlineStr">
        <is>
          <t>2024-04</t>
        </is>
      </c>
      <c r="D192" s="15" t="n">
        <v>2024</v>
      </c>
      <c r="E192" s="15" t="inlineStr">
        <is>
          <t>Land</t>
        </is>
      </c>
      <c r="F192" s="15" t="inlineStr">
        <is>
          <t>Plot / unit price</t>
        </is>
      </c>
      <c r="G192" s="15" t="inlineStr">
        <is>
          <t>Green City Phase 2 (Ketu-Epe)</t>
        </is>
      </c>
      <c r="H192" s="15" t="inlineStr">
        <is>
          <t>BP-C0087</t>
        </is>
      </c>
      <c r="I192" s="15" t="inlineStr">
        <is>
          <t>Mr Okeme Danjuma</t>
        </is>
      </c>
      <c r="J192" s="17" t="n">
        <v>1000000</v>
      </c>
      <c r="K192" s="15" t="inlineStr">
        <is>
          <t>Single register</t>
        </is>
      </c>
      <c r="L192" s="15" t="inlineStr">
        <is>
          <t>Primary: monthly turnover register</t>
        </is>
      </c>
      <c r="M192" s="15" t="inlineStr">
        <is>
          <t>BAAY PROJECTS FINANCIALS 2024.xlsx</t>
        </is>
      </c>
      <c r="N192" s="15" t="inlineStr">
        <is>
          <t>APRIL TURNOVER</t>
        </is>
      </c>
      <c r="O192" s="15" t="n">
        <v>13</v>
      </c>
      <c r="P192" s="15" t="inlineStr">
        <is>
          <t>2024-03-04</t>
        </is>
      </c>
      <c r="Q192" s="15" t="inlineStr">
        <is>
          <t>TURNOVER SCHEDULE r344, FESTUS r2</t>
        </is>
      </c>
      <c r="R192" s="15" t="n"/>
    </row>
    <row r="193">
      <c r="A193" s="15" t="inlineStr">
        <is>
          <t>SL0189</t>
        </is>
      </c>
      <c r="B193" s="16" t="n">
        <v>45385</v>
      </c>
      <c r="C193" s="15" t="inlineStr">
        <is>
          <t>2024-04</t>
        </is>
      </c>
      <c r="D193" s="15" t="n">
        <v>2024</v>
      </c>
      <c r="E193" s="15" t="inlineStr">
        <is>
          <t>Land</t>
        </is>
      </c>
      <c r="F193" s="15" t="inlineStr">
        <is>
          <t>Plot / unit price</t>
        </is>
      </c>
      <c r="G193" s="15" t="inlineStr">
        <is>
          <t>Green City Phase 1 (Lantaba, Ketu-Epe)</t>
        </is>
      </c>
      <c r="H193" s="15" t="inlineStr">
        <is>
          <t>BP-C0078</t>
        </is>
      </c>
      <c r="I193" s="15" t="inlineStr">
        <is>
          <t>Ms Bingham Kendra</t>
        </is>
      </c>
      <c r="J193" s="17" t="n">
        <v>2000000</v>
      </c>
      <c r="K193" s="15" t="inlineStr">
        <is>
          <t>Single register</t>
        </is>
      </c>
      <c r="L193" s="15" t="inlineStr">
        <is>
          <t>Primary: monthly turnover register</t>
        </is>
      </c>
      <c r="M193" s="15" t="inlineStr">
        <is>
          <t>BAAY PROJECTS FINANCIALS 2024.xlsx</t>
        </is>
      </c>
      <c r="N193" s="15" t="inlineStr">
        <is>
          <t>APRIL TURNOVER</t>
        </is>
      </c>
      <c r="O193" s="15" t="n">
        <v>11</v>
      </c>
      <c r="P193" s="15" t="inlineStr">
        <is>
          <t>2024-03-04</t>
        </is>
      </c>
      <c r="Q193" s="15" t="inlineStr">
        <is>
          <t>TURNOVER SCHEDULE r241, MRS ABIMBOLA r51</t>
        </is>
      </c>
      <c r="R193" s="15" t="n"/>
    </row>
    <row r="194">
      <c r="A194" s="15" t="inlineStr">
        <is>
          <t>SL0190</t>
        </is>
      </c>
      <c r="B194" s="16" t="n">
        <v>45385</v>
      </c>
      <c r="C194" s="15" t="inlineStr">
        <is>
          <t>2024-04</t>
        </is>
      </c>
      <c r="D194" s="15" t="n">
        <v>2024</v>
      </c>
      <c r="E194" s="15" t="inlineStr">
        <is>
          <t>Land</t>
        </is>
      </c>
      <c r="F194" s="15" t="inlineStr">
        <is>
          <t>Plot / unit price</t>
        </is>
      </c>
      <c r="G194" s="15" t="inlineStr">
        <is>
          <t>Green City Phase 2 (Ketu-Epe)</t>
        </is>
      </c>
      <c r="H194" s="15" t="inlineStr">
        <is>
          <t>BP-C0078</t>
        </is>
      </c>
      <c r="I194" s="15" t="inlineStr">
        <is>
          <t>Ms Bingham Kendra</t>
        </is>
      </c>
      <c r="J194" s="17" t="n">
        <v>2000000</v>
      </c>
      <c r="K194" s="15" t="inlineStr">
        <is>
          <t>Single register</t>
        </is>
      </c>
      <c r="L194" s="15" t="inlineStr">
        <is>
          <t>Primary: monthly turnover register</t>
        </is>
      </c>
      <c r="M194" s="15" t="inlineStr">
        <is>
          <t>BAAY PROJECTS FINANCIALS 2024.xlsx</t>
        </is>
      </c>
      <c r="N194" s="15" t="inlineStr">
        <is>
          <t>APRIL TURNOVER</t>
        </is>
      </c>
      <c r="O194" s="15" t="n">
        <v>12</v>
      </c>
      <c r="P194" s="15" t="inlineStr">
        <is>
          <t>2024-03-04</t>
        </is>
      </c>
      <c r="Q194" s="15" t="inlineStr">
        <is>
          <t>TURNOVER SCHEDULE r246</t>
        </is>
      </c>
      <c r="R194" s="15" t="n"/>
    </row>
    <row r="195">
      <c r="A195" s="15" t="inlineStr">
        <is>
          <t>SL0191</t>
        </is>
      </c>
      <c r="B195" s="16" t="n">
        <v>45386</v>
      </c>
      <c r="C195" s="15" t="inlineStr">
        <is>
          <t>2024-04</t>
        </is>
      </c>
      <c r="D195" s="15" t="n">
        <v>2024</v>
      </c>
      <c r="E195" s="15" t="inlineStr">
        <is>
          <t>Land</t>
        </is>
      </c>
      <c r="F195" s="15" t="inlineStr">
        <is>
          <t>Plot / unit price</t>
        </is>
      </c>
      <c r="G195" s="15" t="inlineStr">
        <is>
          <t>Green City Phase 2 (Ketu-Epe)</t>
        </is>
      </c>
      <c r="H195" s="15" t="inlineStr">
        <is>
          <t>BP-C0081</t>
        </is>
      </c>
      <c r="I195" s="15" t="inlineStr">
        <is>
          <t>Mr Ukachi Godfrey</t>
        </is>
      </c>
      <c r="J195" s="17" t="n">
        <v>500000</v>
      </c>
      <c r="K195" s="15" t="inlineStr">
        <is>
          <t>Single register</t>
        </is>
      </c>
      <c r="L195" s="15" t="inlineStr">
        <is>
          <t>Primary: monthly turnover register</t>
        </is>
      </c>
      <c r="M195" s="15" t="inlineStr">
        <is>
          <t>BAAY PROJECTS FINANCIALS 2024.xlsx</t>
        </is>
      </c>
      <c r="N195" s="15" t="inlineStr">
        <is>
          <t>APRIL TURNOVER</t>
        </is>
      </c>
      <c r="O195" s="15" t="n">
        <v>14</v>
      </c>
      <c r="P195" s="15" t="inlineStr">
        <is>
          <t>2024-04-04</t>
        </is>
      </c>
      <c r="Q195" s="15" t="inlineStr">
        <is>
          <t>TURNOVER SCHEDULE r277, MS FEYI r4</t>
        </is>
      </c>
      <c r="R195" s="15" t="n"/>
    </row>
    <row r="196">
      <c r="A196" s="15" t="inlineStr">
        <is>
          <t>SL0192</t>
        </is>
      </c>
      <c r="B196" s="16" t="n">
        <v>45391</v>
      </c>
      <c r="C196" s="15" t="inlineStr">
        <is>
          <t>2024-04</t>
        </is>
      </c>
      <c r="D196" s="15" t="n">
        <v>2024</v>
      </c>
      <c r="E196" s="15" t="inlineStr">
        <is>
          <t>Land</t>
        </is>
      </c>
      <c r="F196" s="15" t="inlineStr">
        <is>
          <t>Plot / unit price</t>
        </is>
      </c>
      <c r="G196" s="15" t="inlineStr">
        <is>
          <t>Green City Phase 1 (Lantaba, Ketu-Epe)</t>
        </is>
      </c>
      <c r="H196" s="15" t="inlineStr">
        <is>
          <t>BP-C0086</t>
        </is>
      </c>
      <c r="I196" s="15" t="inlineStr">
        <is>
          <t>Miss Nwobodo Miriam Chioma</t>
        </is>
      </c>
      <c r="J196" s="17" t="n">
        <v>500000</v>
      </c>
      <c r="K196" s="15" t="inlineStr">
        <is>
          <t>Single register</t>
        </is>
      </c>
      <c r="L196" s="15" t="inlineStr">
        <is>
          <t>Primary: monthly turnover register</t>
        </is>
      </c>
      <c r="M196" s="15" t="inlineStr">
        <is>
          <t>BAAY PROJECTS FINANCIALS 2024.xlsx</t>
        </is>
      </c>
      <c r="N196" s="15" t="inlineStr">
        <is>
          <t>APRIL TURNOVER</t>
        </is>
      </c>
      <c r="O196" s="15" t="n">
        <v>15</v>
      </c>
      <c r="P196" s="15" t="inlineStr">
        <is>
          <t>2024-09-04</t>
        </is>
      </c>
      <c r="Q196" s="15" t="inlineStr">
        <is>
          <t>TURNOVER SCHEDULE r315, MD r18</t>
        </is>
      </c>
      <c r="R196" s="15" t="n"/>
    </row>
    <row r="197">
      <c r="A197" s="15" t="inlineStr">
        <is>
          <t>SL0193</t>
        </is>
      </c>
      <c r="B197" s="16" t="n">
        <v>45391</v>
      </c>
      <c r="C197" s="15" t="inlineStr">
        <is>
          <t>2024-04</t>
        </is>
      </c>
      <c r="D197" s="15" t="n">
        <v>2024</v>
      </c>
      <c r="E197" s="15" t="inlineStr">
        <is>
          <t>Land</t>
        </is>
      </c>
      <c r="F197" s="15" t="inlineStr">
        <is>
          <t>Plot / unit price</t>
        </is>
      </c>
      <c r="G197" s="15" t="inlineStr">
        <is>
          <t>Green City Phase 2 (Ketu-Epe)</t>
        </is>
      </c>
      <c r="H197" s="15" t="inlineStr">
        <is>
          <t>BP-C0009</t>
        </is>
      </c>
      <c r="I197" s="15" t="inlineStr">
        <is>
          <t>Miss Oji Blessing Mary</t>
        </is>
      </c>
      <c r="J197" s="17" t="n">
        <v>1000000</v>
      </c>
      <c r="K197" s="15" t="inlineStr">
        <is>
          <t>Single register</t>
        </is>
      </c>
      <c r="L197" s="15" t="inlineStr">
        <is>
          <t>Primary: monthly turnover register</t>
        </is>
      </c>
      <c r="M197" s="15" t="inlineStr">
        <is>
          <t>BAAY PROJECTS FINANCIALS 2024.xlsx</t>
        </is>
      </c>
      <c r="N197" s="15" t="inlineStr">
        <is>
          <t>APRIL TURNOVER</t>
        </is>
      </c>
      <c r="O197" s="15" t="n">
        <v>18</v>
      </c>
      <c r="P197" s="15" t="inlineStr">
        <is>
          <t>2024-09-04</t>
        </is>
      </c>
      <c r="Q197" s="15" t="inlineStr">
        <is>
          <t>TURNOVER SCHEDULE r114</t>
        </is>
      </c>
      <c r="R197" s="15" t="n"/>
    </row>
    <row r="198">
      <c r="A198" s="15" t="inlineStr">
        <is>
          <t>SL0194</t>
        </is>
      </c>
      <c r="B198" s="16" t="n">
        <v>45391</v>
      </c>
      <c r="C198" s="15" t="inlineStr">
        <is>
          <t>2024-04</t>
        </is>
      </c>
      <c r="D198" s="15" t="n">
        <v>2024</v>
      </c>
      <c r="E198" s="15" t="inlineStr">
        <is>
          <t>Land</t>
        </is>
      </c>
      <c r="F198" s="15" t="inlineStr">
        <is>
          <t>Plot / unit price</t>
        </is>
      </c>
      <c r="G198" s="15" t="inlineStr">
        <is>
          <t>Green City Phase 1 (Lantaba, Ketu-Epe)</t>
        </is>
      </c>
      <c r="H198" s="15" t="inlineStr">
        <is>
          <t>BP-C0052</t>
        </is>
      </c>
      <c r="I198" s="15" t="inlineStr">
        <is>
          <t>Miss Okorejior Ojoma Lilian</t>
        </is>
      </c>
      <c r="J198" s="17" t="n">
        <v>1640000</v>
      </c>
      <c r="K198" s="15" t="inlineStr">
        <is>
          <t>Single register</t>
        </is>
      </c>
      <c r="L198" s="15" t="inlineStr">
        <is>
          <t>Primary: monthly turnover register</t>
        </is>
      </c>
      <c r="M198" s="15" t="inlineStr">
        <is>
          <t>BAAY PROJECTS FINANCIALS 2024.xlsx</t>
        </is>
      </c>
      <c r="N198" s="15" t="inlineStr">
        <is>
          <t>APRIL TURNOVER</t>
        </is>
      </c>
      <c r="O198" s="15" t="n">
        <v>16</v>
      </c>
      <c r="P198" s="15" t="inlineStr">
        <is>
          <t>2024-09-04</t>
        </is>
      </c>
      <c r="Q198" s="15" t="inlineStr">
        <is>
          <t>TURNOVER SCHEDULE r74, MS IMMACULATE r32</t>
        </is>
      </c>
      <c r="R198" s="15" t="n"/>
    </row>
    <row r="199">
      <c r="A199" s="15" t="inlineStr">
        <is>
          <t>SL0195</t>
        </is>
      </c>
      <c r="B199" s="16" t="n">
        <v>45391</v>
      </c>
      <c r="C199" s="15" t="inlineStr">
        <is>
          <t>2024-04</t>
        </is>
      </c>
      <c r="D199" s="15" t="n">
        <v>2024</v>
      </c>
      <c r="E199" s="15" t="inlineStr">
        <is>
          <t>Land</t>
        </is>
      </c>
      <c r="F199" s="15" t="inlineStr">
        <is>
          <t>Plot / unit price</t>
        </is>
      </c>
      <c r="G199" s="15" t="inlineStr">
        <is>
          <t>Green City Phase 1 (Lantaba, Ketu-Epe)</t>
        </is>
      </c>
      <c r="H199" s="15" t="inlineStr">
        <is>
          <t>BP-C0050</t>
        </is>
      </c>
      <c r="I199" s="15" t="inlineStr">
        <is>
          <t>Mr Atuanya Patrick Jideovo</t>
        </is>
      </c>
      <c r="J199" s="17" t="n">
        <v>760000</v>
      </c>
      <c r="K199" s="15" t="inlineStr">
        <is>
          <t>Single register</t>
        </is>
      </c>
      <c r="L199" s="15" t="inlineStr">
        <is>
          <t>Primary: monthly turnover register</t>
        </is>
      </c>
      <c r="M199" s="15" t="inlineStr">
        <is>
          <t>BAAY PROJECTS FINANCIALS 2024.xlsx</t>
        </is>
      </c>
      <c r="N199" s="15" t="inlineStr">
        <is>
          <t>APRIL TURNOVER</t>
        </is>
      </c>
      <c r="O199" s="15" t="n">
        <v>17</v>
      </c>
      <c r="P199" s="15" t="inlineStr">
        <is>
          <t>2024-09-04</t>
        </is>
      </c>
      <c r="Q199" s="15" t="inlineStr">
        <is>
          <t>TURNOVER SCHEDULE r148, MS YETUNDE ABISOYE r38</t>
        </is>
      </c>
      <c r="R199" s="15" t="n"/>
    </row>
    <row r="200">
      <c r="A200" s="15" t="inlineStr">
        <is>
          <t>SL0196</t>
        </is>
      </c>
      <c r="B200" s="16" t="n">
        <v>45391</v>
      </c>
      <c r="C200" s="15" t="inlineStr">
        <is>
          <t>2024-04</t>
        </is>
      </c>
      <c r="D200" s="15" t="n">
        <v>2024</v>
      </c>
      <c r="E200" s="15" t="inlineStr">
        <is>
          <t>Land</t>
        </is>
      </c>
      <c r="F200" s="15" t="inlineStr">
        <is>
          <t>Plot / unit price</t>
        </is>
      </c>
      <c r="G200" s="15" t="inlineStr">
        <is>
          <t>Green City Phase 2 (Ketu-Epe)</t>
        </is>
      </c>
      <c r="H200" s="15" t="inlineStr">
        <is>
          <t>BP-C0088</t>
        </is>
      </c>
      <c r="I200" s="15" t="inlineStr">
        <is>
          <t>Mr Komolafe Oluwashola Leonard</t>
        </is>
      </c>
      <c r="J200" s="17" t="n">
        <v>1000000</v>
      </c>
      <c r="K200" s="15" t="inlineStr">
        <is>
          <t>Single register</t>
        </is>
      </c>
      <c r="L200" s="15" t="inlineStr">
        <is>
          <t>Primary: monthly turnover register</t>
        </is>
      </c>
      <c r="M200" s="15" t="inlineStr">
        <is>
          <t>BAAY PROJECTS FINANCIALS 2024.xlsx</t>
        </is>
      </c>
      <c r="N200" s="15" t="inlineStr">
        <is>
          <t>APRIL TURNOVER</t>
        </is>
      </c>
      <c r="O200" s="15" t="n">
        <v>19</v>
      </c>
      <c r="P200" s="15" t="inlineStr">
        <is>
          <t>2024-09-04</t>
        </is>
      </c>
      <c r="Q200" s="15" t="inlineStr">
        <is>
          <t>TURNOVER SCHEDULE r325, MS BOLANLE r45</t>
        </is>
      </c>
      <c r="R200" s="15" t="n"/>
    </row>
    <row r="201">
      <c r="A201" s="15" t="inlineStr">
        <is>
          <t>SL0197</t>
        </is>
      </c>
      <c r="B201" s="16" t="n">
        <v>45393</v>
      </c>
      <c r="C201" s="15" t="inlineStr">
        <is>
          <t>2024-04</t>
        </is>
      </c>
      <c r="D201" s="15" t="n">
        <v>2024</v>
      </c>
      <c r="E201" s="15" t="inlineStr">
        <is>
          <t>Land</t>
        </is>
      </c>
      <c r="F201" s="15" t="inlineStr">
        <is>
          <t>Plot / unit price</t>
        </is>
      </c>
      <c r="G201" s="15" t="inlineStr">
        <is>
          <t>Green City Phase 2 (Ketu-Epe)</t>
        </is>
      </c>
      <c r="H201" s="15" t="inlineStr">
        <is>
          <t>BP-C0088</t>
        </is>
      </c>
      <c r="I201" s="15" t="inlineStr">
        <is>
          <t>Mr Komolafe Oluwashola Leonard</t>
        </is>
      </c>
      <c r="J201" s="17" t="n">
        <v>3200000</v>
      </c>
      <c r="K201" s="15" t="inlineStr">
        <is>
          <t>Single register</t>
        </is>
      </c>
      <c r="L201" s="15" t="inlineStr">
        <is>
          <t>Primary: monthly turnover register</t>
        </is>
      </c>
      <c r="M201" s="15" t="inlineStr">
        <is>
          <t>BAAY PROJECTS FINANCIALS 2024.xlsx</t>
        </is>
      </c>
      <c r="N201" s="15" t="inlineStr">
        <is>
          <t>APRIL TURNOVER</t>
        </is>
      </c>
      <c r="O201" s="15" t="n">
        <v>20</v>
      </c>
      <c r="P201" s="15" t="inlineStr">
        <is>
          <t>2024-11-04</t>
        </is>
      </c>
      <c r="Q201" s="15" t="inlineStr">
        <is>
          <t>TURNOVER SCHEDULE r326, MS BOLANLE r46</t>
        </is>
      </c>
      <c r="R201" s="15" t="n"/>
    </row>
    <row r="202">
      <c r="A202" s="15" t="inlineStr">
        <is>
          <t>SL0198</t>
        </is>
      </c>
      <c r="B202" s="16" t="n">
        <v>45397</v>
      </c>
      <c r="C202" s="15" t="inlineStr">
        <is>
          <t>2024-04</t>
        </is>
      </c>
      <c r="D202" s="15" t="n">
        <v>2024</v>
      </c>
      <c r="E202" s="15" t="inlineStr">
        <is>
          <t>Land</t>
        </is>
      </c>
      <c r="F202" s="15" t="inlineStr">
        <is>
          <t>Plot / unit price</t>
        </is>
      </c>
      <c r="G202" s="15" t="inlineStr">
        <is>
          <t>Green City Phase 2 (Ketu-Epe)</t>
        </is>
      </c>
      <c r="H202" s="15" t="inlineStr">
        <is>
          <t>BP-C0079</t>
        </is>
      </c>
      <c r="I202" s="15" t="inlineStr">
        <is>
          <t>Miss Ukachi Florence</t>
        </is>
      </c>
      <c r="J202" s="17" t="n">
        <v>1500000</v>
      </c>
      <c r="K202" s="15" t="inlineStr">
        <is>
          <t>Single register</t>
        </is>
      </c>
      <c r="L202" s="15" t="inlineStr">
        <is>
          <t>Primary: monthly turnover register</t>
        </is>
      </c>
      <c r="M202" s="15" t="inlineStr">
        <is>
          <t>BAAY PROJECTS FINANCIALS 2024.xlsx</t>
        </is>
      </c>
      <c r="N202" s="15" t="inlineStr">
        <is>
          <t>APRIL TURNOVER</t>
        </is>
      </c>
      <c r="O202" s="15" t="n">
        <v>21</v>
      </c>
      <c r="P202" s="15" t="inlineStr">
        <is>
          <t>15/04/2024</t>
        </is>
      </c>
      <c r="Q202" s="15" t="inlineStr">
        <is>
          <t>TURNOVER SCHEDULE r251, MS FEYI r5</t>
        </is>
      </c>
      <c r="R202" s="15" t="n"/>
    </row>
    <row r="203">
      <c r="A203" s="15" t="inlineStr">
        <is>
          <t>SL0199</t>
        </is>
      </c>
      <c r="B203" s="16" t="n">
        <v>45398</v>
      </c>
      <c r="C203" s="15" t="inlineStr">
        <is>
          <t>2024-04</t>
        </is>
      </c>
      <c r="D203" s="15" t="n">
        <v>2024</v>
      </c>
      <c r="E203" s="15" t="inlineStr">
        <is>
          <t>Land</t>
        </is>
      </c>
      <c r="F203" s="15" t="inlineStr">
        <is>
          <t>Plot / unit price</t>
        </is>
      </c>
      <c r="G203" s="15" t="inlineStr">
        <is>
          <t>Green City Phase 2 (Ketu-Epe)</t>
        </is>
      </c>
      <c r="H203" s="15" t="inlineStr">
        <is>
          <t>BP-C0080</t>
        </is>
      </c>
      <c r="I203" s="15" t="inlineStr">
        <is>
          <t>Dr Ayansola Jeremiah Funso</t>
        </is>
      </c>
      <c r="J203" s="17" t="n">
        <v>1000000</v>
      </c>
      <c r="K203" s="15" t="inlineStr">
        <is>
          <t>Single register</t>
        </is>
      </c>
      <c r="L203" s="15" t="inlineStr">
        <is>
          <t>Primary: monthly turnover register</t>
        </is>
      </c>
      <c r="M203" s="15" t="inlineStr">
        <is>
          <t>BAAY PROJECTS FINANCIALS 2024.xlsx</t>
        </is>
      </c>
      <c r="N203" s="15" t="inlineStr">
        <is>
          <t>APRIL TURNOVER</t>
        </is>
      </c>
      <c r="O203" s="15" t="n">
        <v>24</v>
      </c>
      <c r="P203" s="15" t="inlineStr">
        <is>
          <t>16/04/2024</t>
        </is>
      </c>
      <c r="Q203" s="15" t="inlineStr">
        <is>
          <t>TURNOVER SCHEDULE r299, MR JUWON r17</t>
        </is>
      </c>
      <c r="R203" s="15" t="n"/>
    </row>
    <row r="204">
      <c r="A204" s="15" t="inlineStr">
        <is>
          <t>SL0200</t>
        </is>
      </c>
      <c r="B204" s="16" t="n">
        <v>45398</v>
      </c>
      <c r="C204" s="15" t="inlineStr">
        <is>
          <t>2024-04</t>
        </is>
      </c>
      <c r="D204" s="15" t="n">
        <v>2024</v>
      </c>
      <c r="E204" s="15" t="inlineStr">
        <is>
          <t>Land</t>
        </is>
      </c>
      <c r="F204" s="15" t="inlineStr">
        <is>
          <t>Plot / unit price</t>
        </is>
      </c>
      <c r="G204" s="15" t="inlineStr">
        <is>
          <t>Green City Phase 2 (Ketu-Epe)</t>
        </is>
      </c>
      <c r="H204" s="15" t="inlineStr">
        <is>
          <t>BP-C0089</t>
        </is>
      </c>
      <c r="I204" s="15" t="inlineStr">
        <is>
          <t>Mr Lawson Oladele Valentino</t>
        </is>
      </c>
      <c r="J204" s="17" t="n">
        <v>4000000</v>
      </c>
      <c r="K204" s="15" t="inlineStr">
        <is>
          <t>Single register</t>
        </is>
      </c>
      <c r="L204" s="15" t="inlineStr">
        <is>
          <t>Primary: monthly turnover register</t>
        </is>
      </c>
      <c r="M204" s="15" t="inlineStr">
        <is>
          <t>BAAY PROJECTS FINANCIALS 2024.xlsx</t>
        </is>
      </c>
      <c r="N204" s="15" t="inlineStr">
        <is>
          <t>APRIL TURNOVER</t>
        </is>
      </c>
      <c r="O204" s="15" t="n">
        <v>23</v>
      </c>
      <c r="P204" s="15" t="inlineStr">
        <is>
          <t>16/04/2024</t>
        </is>
      </c>
      <c r="Q204" s="15" t="inlineStr">
        <is>
          <t>TURNOVER SCHEDULE r335, MR AYOMIDE r15</t>
        </is>
      </c>
      <c r="R204" s="15" t="n"/>
    </row>
    <row r="205">
      <c r="A205" s="15" t="inlineStr">
        <is>
          <t>SL0201</t>
        </is>
      </c>
      <c r="B205" s="16" t="n">
        <v>45398</v>
      </c>
      <c r="C205" s="15" t="inlineStr">
        <is>
          <t>2024-04</t>
        </is>
      </c>
      <c r="D205" s="15" t="n">
        <v>2024</v>
      </c>
      <c r="E205" s="15" t="inlineStr">
        <is>
          <t>Land</t>
        </is>
      </c>
      <c r="F205" s="15" t="inlineStr">
        <is>
          <t>Plot / unit price</t>
        </is>
      </c>
      <c r="G205" s="15" t="inlineStr">
        <is>
          <t>Green City Phase 2 (Ketu-Epe)</t>
        </is>
      </c>
      <c r="H205" s="15" t="inlineStr">
        <is>
          <t>BP-C0051</t>
        </is>
      </c>
      <c r="I205" s="15" t="inlineStr">
        <is>
          <t>Mr Ogunleye Olumide Victor</t>
        </is>
      </c>
      <c r="J205" s="17" t="n">
        <v>400000</v>
      </c>
      <c r="K205" s="15" t="inlineStr">
        <is>
          <t>Single register</t>
        </is>
      </c>
      <c r="L205" s="15" t="inlineStr">
        <is>
          <t>Primary: monthly turnover register</t>
        </is>
      </c>
      <c r="M205" s="15" t="inlineStr">
        <is>
          <t>BAAY PROJECTS FINANCIALS 2024.xlsx</t>
        </is>
      </c>
      <c r="N205" s="15" t="inlineStr">
        <is>
          <t>APRIL TURNOVER</t>
        </is>
      </c>
      <c r="O205" s="15" t="n">
        <v>22</v>
      </c>
      <c r="P205" s="15" t="inlineStr">
        <is>
          <t>16/04/2024</t>
        </is>
      </c>
      <c r="Q205" s="15" t="inlineStr">
        <is>
          <t>TURNOVER SCHEDULE r46</t>
        </is>
      </c>
      <c r="R205" s="15" t="n"/>
    </row>
    <row r="206">
      <c r="A206" s="15" t="inlineStr">
        <is>
          <t>SL0202</t>
        </is>
      </c>
      <c r="B206" s="16" t="n">
        <v>45399</v>
      </c>
      <c r="C206" s="15" t="inlineStr">
        <is>
          <t>2024-04</t>
        </is>
      </c>
      <c r="D206" s="15" t="n">
        <v>2024</v>
      </c>
      <c r="E206" s="15" t="inlineStr">
        <is>
          <t>Land</t>
        </is>
      </c>
      <c r="F206" s="15" t="inlineStr">
        <is>
          <t>Plot / unit price</t>
        </is>
      </c>
      <c r="G206" s="15" t="inlineStr">
        <is>
          <t>Green City Phase 1 (Lantaba, Ketu-Epe)</t>
        </is>
      </c>
      <c r="H206" s="15" t="inlineStr">
        <is>
          <t>BP-C0050</t>
        </is>
      </c>
      <c r="I206" s="15" t="inlineStr">
        <is>
          <t>Mr Atuanya Patrick Jideovo</t>
        </is>
      </c>
      <c r="J206" s="17" t="n">
        <v>420000</v>
      </c>
      <c r="K206" s="15" t="inlineStr">
        <is>
          <t>Single register</t>
        </is>
      </c>
      <c r="L206" s="15" t="inlineStr">
        <is>
          <t>Primary: monthly turnover register</t>
        </is>
      </c>
      <c r="M206" s="15" t="inlineStr">
        <is>
          <t>BAAY PROJECTS FINANCIALS 2024.xlsx</t>
        </is>
      </c>
      <c r="N206" s="15" t="inlineStr">
        <is>
          <t>APRIL TURNOVER</t>
        </is>
      </c>
      <c r="O206" s="15" t="n">
        <v>25</v>
      </c>
      <c r="P206" s="15" t="inlineStr">
        <is>
          <t>17/04/2024</t>
        </is>
      </c>
      <c r="Q206" s="15" t="inlineStr">
        <is>
          <t>TURNOVER SCHEDULE r149, MS YETUNDE ABISOYE r45</t>
        </is>
      </c>
      <c r="R206" s="15" t="n"/>
    </row>
    <row r="207">
      <c r="A207" s="15" t="inlineStr">
        <is>
          <t>SL0203</t>
        </is>
      </c>
      <c r="B207" s="16" t="n">
        <v>45399</v>
      </c>
      <c r="C207" s="15" t="inlineStr">
        <is>
          <t>2024-04</t>
        </is>
      </c>
      <c r="D207" s="15" t="n">
        <v>2024</v>
      </c>
      <c r="E207" s="15" t="inlineStr">
        <is>
          <t>Land</t>
        </is>
      </c>
      <c r="F207" s="15" t="inlineStr">
        <is>
          <t>Plot / unit price</t>
        </is>
      </c>
      <c r="G207" s="15" t="inlineStr">
        <is>
          <t>Green City Phase 2 (Ketu-Epe)</t>
        </is>
      </c>
      <c r="H207" s="15" t="inlineStr">
        <is>
          <t>BP-C0060</t>
        </is>
      </c>
      <c r="I207" s="15" t="inlineStr">
        <is>
          <t>Ms Mitchell Jennifer</t>
        </is>
      </c>
      <c r="J207" s="17" t="n">
        <v>188600</v>
      </c>
      <c r="K207" s="15" t="inlineStr">
        <is>
          <t>Single register</t>
        </is>
      </c>
      <c r="L207" s="15" t="inlineStr">
        <is>
          <t>Primary: monthly turnover register</t>
        </is>
      </c>
      <c r="M207" s="15" t="inlineStr">
        <is>
          <t>BAAY PROJECTS FINANCIALS 2024.xlsx</t>
        </is>
      </c>
      <c r="N207" s="15" t="inlineStr">
        <is>
          <t>APRIL TURNOVER</t>
        </is>
      </c>
      <c r="O207" s="15" t="n">
        <v>26</v>
      </c>
      <c r="P207" s="15" t="inlineStr">
        <is>
          <t>17/04/2024</t>
        </is>
      </c>
      <c r="Q207" s="15" t="inlineStr">
        <is>
          <t>TURNOVER SCHEDULE r58</t>
        </is>
      </c>
      <c r="R207" s="15" t="n"/>
    </row>
    <row r="208">
      <c r="A208" s="15" t="inlineStr">
        <is>
          <t>SL0204</t>
        </is>
      </c>
      <c r="B208" s="16" t="n">
        <v>45400</v>
      </c>
      <c r="C208" s="15" t="inlineStr">
        <is>
          <t>2024-04</t>
        </is>
      </c>
      <c r="D208" s="15" t="n">
        <v>2024</v>
      </c>
      <c r="E208" s="15" t="inlineStr">
        <is>
          <t>Land</t>
        </is>
      </c>
      <c r="F208" s="15" t="inlineStr">
        <is>
          <t>Plot / unit price</t>
        </is>
      </c>
      <c r="G208" s="15" t="inlineStr">
        <is>
          <t>Green City Phase 1 (Lantaba, Ketu-Epe)</t>
        </is>
      </c>
      <c r="H208" s="15" t="inlineStr">
        <is>
          <t>BP-C0053</t>
        </is>
      </c>
      <c r="I208" s="15" t="inlineStr">
        <is>
          <t>Mr Adegbembo Stephen Oluwagbemiga</t>
        </is>
      </c>
      <c r="J208" s="17" t="n">
        <v>500000</v>
      </c>
      <c r="K208" s="15" t="inlineStr">
        <is>
          <t>Single register</t>
        </is>
      </c>
      <c r="L208" s="15" t="inlineStr">
        <is>
          <t>Primary: monthly turnover register</t>
        </is>
      </c>
      <c r="M208" s="15" t="inlineStr">
        <is>
          <t>BAAY PROJECTS FINANCIALS 2024.xlsx</t>
        </is>
      </c>
      <c r="N208" s="15" t="inlineStr">
        <is>
          <t>APRIL TURNOVER</t>
        </is>
      </c>
      <c r="O208" s="15" t="n">
        <v>29</v>
      </c>
      <c r="P208" s="15" t="inlineStr">
        <is>
          <t>18/04/2024</t>
        </is>
      </c>
      <c r="Q208" s="15" t="inlineStr">
        <is>
          <t>TURNOVER SCHEDULE r86</t>
        </is>
      </c>
      <c r="R208" s="15" t="n"/>
    </row>
    <row r="209">
      <c r="A209" s="15" t="inlineStr">
        <is>
          <t>SL0205</t>
        </is>
      </c>
      <c r="B209" s="16" t="n">
        <v>45400</v>
      </c>
      <c r="C209" s="15" t="inlineStr">
        <is>
          <t>2024-04</t>
        </is>
      </c>
      <c r="D209" s="15" t="n">
        <v>2024</v>
      </c>
      <c r="E209" s="15" t="inlineStr">
        <is>
          <t>Land</t>
        </is>
      </c>
      <c r="F209" s="15" t="inlineStr">
        <is>
          <t>Plot / unit price</t>
        </is>
      </c>
      <c r="G209" s="15" t="inlineStr">
        <is>
          <t>Green City Phase 2 (Ketu-Epe)</t>
        </is>
      </c>
      <c r="H209" s="15" t="inlineStr">
        <is>
          <t>BP-C0078</t>
        </is>
      </c>
      <c r="I209" s="15" t="inlineStr">
        <is>
          <t>Ms Bingham Kendra</t>
        </is>
      </c>
      <c r="J209" s="17" t="n">
        <v>500000</v>
      </c>
      <c r="K209" s="15" t="inlineStr">
        <is>
          <t>Single register</t>
        </is>
      </c>
      <c r="L209" s="15" t="inlineStr">
        <is>
          <t>Primary: monthly turnover register</t>
        </is>
      </c>
      <c r="M209" s="15" t="inlineStr">
        <is>
          <t>BAAY PROJECTS FINANCIALS 2024.xlsx</t>
        </is>
      </c>
      <c r="N209" s="15" t="inlineStr">
        <is>
          <t>APRIL TURNOVER</t>
        </is>
      </c>
      <c r="O209" s="15" t="n">
        <v>27</v>
      </c>
      <c r="P209" s="15" t="inlineStr">
        <is>
          <t>18/04/2024</t>
        </is>
      </c>
      <c r="Q209" s="15" t="inlineStr">
        <is>
          <t>TURNOVER SCHEDULE r247, MRS ABIMBOLA r54</t>
        </is>
      </c>
      <c r="R209" s="15" t="n"/>
    </row>
    <row r="210">
      <c r="A210" s="15" t="inlineStr">
        <is>
          <t>SL0206</t>
        </is>
      </c>
      <c r="B210" s="16" t="n">
        <v>45400</v>
      </c>
      <c r="C210" s="15" t="inlineStr">
        <is>
          <t>2024-04</t>
        </is>
      </c>
      <c r="D210" s="15" t="n">
        <v>2024</v>
      </c>
      <c r="E210" s="15" t="inlineStr">
        <is>
          <t>Land</t>
        </is>
      </c>
      <c r="F210" s="15" t="inlineStr">
        <is>
          <t>Plot / unit price</t>
        </is>
      </c>
      <c r="G210" s="15" t="inlineStr">
        <is>
          <t>Green City Phase 1 (Lantaba, Ketu-Epe)</t>
        </is>
      </c>
      <c r="H210" s="15" t="inlineStr">
        <is>
          <t>BP-C0078</t>
        </is>
      </c>
      <c r="I210" s="15" t="inlineStr">
        <is>
          <t>Ms Bingham Kendra</t>
        </is>
      </c>
      <c r="J210" s="17" t="n">
        <v>3600000</v>
      </c>
      <c r="K210" s="15" t="inlineStr">
        <is>
          <t>Single register</t>
        </is>
      </c>
      <c r="L210" s="15" t="inlineStr">
        <is>
          <t>Primary: monthly turnover register</t>
        </is>
      </c>
      <c r="M210" s="15" t="inlineStr">
        <is>
          <t>BAAY PROJECTS FINANCIALS 2024.xlsx</t>
        </is>
      </c>
      <c r="N210" s="15" t="inlineStr">
        <is>
          <t>APRIL TURNOVER</t>
        </is>
      </c>
      <c r="O210" s="15" t="n">
        <v>28</v>
      </c>
      <c r="P210" s="15" t="inlineStr">
        <is>
          <t>18/04/2024</t>
        </is>
      </c>
      <c r="Q210" s="15" t="inlineStr">
        <is>
          <t>TURNOVER SCHEDULE r242, MRS ABIMBOLA r53</t>
        </is>
      </c>
      <c r="R210" s="15" t="n"/>
    </row>
    <row r="211">
      <c r="A211" s="15" t="inlineStr">
        <is>
          <t>SL0207</t>
        </is>
      </c>
      <c r="B211" s="16" t="n">
        <v>45404</v>
      </c>
      <c r="C211" s="15" t="inlineStr">
        <is>
          <t>2024-04</t>
        </is>
      </c>
      <c r="D211" s="15" t="n">
        <v>2024</v>
      </c>
      <c r="E211" s="15" t="inlineStr">
        <is>
          <t>Land</t>
        </is>
      </c>
      <c r="F211" s="15" t="inlineStr">
        <is>
          <t>Plot / unit price</t>
        </is>
      </c>
      <c r="G211" s="15" t="inlineStr">
        <is>
          <t>Green City Phase 1 (Lantaba, Ketu-Epe)</t>
        </is>
      </c>
      <c r="H211" s="15" t="inlineStr">
        <is>
          <t>BP-C0033</t>
        </is>
      </c>
      <c r="I211" s="15" t="inlineStr">
        <is>
          <t>Mr Olumoko Oladapo</t>
        </is>
      </c>
      <c r="J211" s="17" t="n">
        <v>2800000</v>
      </c>
      <c r="K211" s="15" t="inlineStr">
        <is>
          <t>Single register</t>
        </is>
      </c>
      <c r="L211" s="15" t="inlineStr">
        <is>
          <t>Primary: monthly turnover register</t>
        </is>
      </c>
      <c r="M211" s="15" t="inlineStr">
        <is>
          <t>BAAY PROJECTS FINANCIALS 2024.xlsx</t>
        </is>
      </c>
      <c r="N211" s="15" t="inlineStr">
        <is>
          <t>APRIL TURNOVER</t>
        </is>
      </c>
      <c r="O211" s="15" t="n">
        <v>30</v>
      </c>
      <c r="P211" s="15" t="inlineStr">
        <is>
          <t>22/04/2024</t>
        </is>
      </c>
      <c r="Q211" s="15" t="inlineStr">
        <is>
          <t>TURNOVER SCHEDULE r160, MS BOLANLE r52</t>
        </is>
      </c>
      <c r="R211" s="15" t="n"/>
    </row>
    <row r="212">
      <c r="A212" s="15" t="inlineStr">
        <is>
          <t>SL0208</t>
        </is>
      </c>
      <c r="B212" s="16" t="n">
        <v>45404</v>
      </c>
      <c r="C212" s="15" t="inlineStr">
        <is>
          <t>2024-04</t>
        </is>
      </c>
      <c r="D212" s="15" t="n">
        <v>2024</v>
      </c>
      <c r="E212" s="15" t="inlineStr">
        <is>
          <t>Land</t>
        </is>
      </c>
      <c r="F212" s="15" t="inlineStr">
        <is>
          <t>Plot / unit price</t>
        </is>
      </c>
      <c r="G212" s="15" t="inlineStr">
        <is>
          <t>Green City Phase 1 (Lantaba, Ketu-Epe)</t>
        </is>
      </c>
      <c r="H212" s="15" t="inlineStr">
        <is>
          <t>BP-C0010</t>
        </is>
      </c>
      <c r="I212" s="15" t="inlineStr">
        <is>
          <t>Mrs Yohanna Paulina</t>
        </is>
      </c>
      <c r="J212" s="17" t="n">
        <v>3000000</v>
      </c>
      <c r="K212" s="15" t="inlineStr">
        <is>
          <t>Single register</t>
        </is>
      </c>
      <c r="L212" s="15" t="inlineStr">
        <is>
          <t>Primary: monthly turnover register</t>
        </is>
      </c>
      <c r="M212" s="15" t="inlineStr">
        <is>
          <t>BAAY PROJECTS FINANCIALS 2024.xlsx</t>
        </is>
      </c>
      <c r="N212" s="15" t="inlineStr">
        <is>
          <t>APRIL TURNOVER</t>
        </is>
      </c>
      <c r="O212" s="15" t="n">
        <v>31</v>
      </c>
      <c r="P212" s="15" t="inlineStr">
        <is>
          <t>22/04/2024</t>
        </is>
      </c>
      <c r="Q212" s="15" t="inlineStr">
        <is>
          <t>TURNOVER SCHEDULE r292, MR CHARLES r12</t>
        </is>
      </c>
      <c r="R212" s="15" t="n"/>
    </row>
    <row r="213">
      <c r="A213" s="15" t="inlineStr">
        <is>
          <t>SL0209</t>
        </is>
      </c>
      <c r="B213" s="16" t="n">
        <v>45405</v>
      </c>
      <c r="C213" s="15" t="inlineStr">
        <is>
          <t>2024-04</t>
        </is>
      </c>
      <c r="D213" s="15" t="n">
        <v>2024</v>
      </c>
      <c r="E213" s="15" t="inlineStr">
        <is>
          <t>Land</t>
        </is>
      </c>
      <c r="F213" s="15" t="inlineStr">
        <is>
          <t>Plot / unit price</t>
        </is>
      </c>
      <c r="G213" s="15" t="inlineStr">
        <is>
          <t>Green City Phase 1 (Lantaba, Ketu-Epe)</t>
        </is>
      </c>
      <c r="H213" s="15" t="inlineStr">
        <is>
          <t>BP-C0046</t>
        </is>
      </c>
      <c r="I213" s="15" t="inlineStr">
        <is>
          <t>Mr Adesida Raphael Abiodun</t>
        </is>
      </c>
      <c r="J213" s="17" t="n">
        <v>100000</v>
      </c>
      <c r="K213" s="15" t="inlineStr">
        <is>
          <t>Single register</t>
        </is>
      </c>
      <c r="L213" s="15" t="inlineStr">
        <is>
          <t>Primary: monthly turnover register</t>
        </is>
      </c>
      <c r="M213" s="15" t="inlineStr">
        <is>
          <t>BAAY PROJECTS FINANCIALS 2024.xlsx</t>
        </is>
      </c>
      <c r="N213" s="15" t="inlineStr">
        <is>
          <t>APRIL TURNOVER</t>
        </is>
      </c>
      <c r="O213" s="15" t="n">
        <v>32</v>
      </c>
      <c r="P213" s="15" t="inlineStr">
        <is>
          <t>23/04/2024</t>
        </is>
      </c>
      <c r="Q213" s="15" t="inlineStr">
        <is>
          <t>TURNOVER SCHEDULE r176, MD r33</t>
        </is>
      </c>
      <c r="R213" s="15" t="n"/>
    </row>
    <row r="214">
      <c r="A214" s="15" t="inlineStr">
        <is>
          <t>SL0210</t>
        </is>
      </c>
      <c r="B214" s="16" t="n">
        <v>45406</v>
      </c>
      <c r="C214" s="15" t="inlineStr">
        <is>
          <t>2024-04</t>
        </is>
      </c>
      <c r="D214" s="15" t="n">
        <v>2024</v>
      </c>
      <c r="E214" s="15" t="inlineStr">
        <is>
          <t>Land</t>
        </is>
      </c>
      <c r="F214" s="15" t="inlineStr">
        <is>
          <t>Plot / unit price</t>
        </is>
      </c>
      <c r="G214" s="15" t="inlineStr">
        <is>
          <t>Green City Phase 1 (Lantaba, Ketu-Epe)</t>
        </is>
      </c>
      <c r="H214" s="15" t="inlineStr">
        <is>
          <t>BP-C0046</t>
        </is>
      </c>
      <c r="I214" s="15" t="inlineStr">
        <is>
          <t>Mr Adesida Raphael Abiodun</t>
        </is>
      </c>
      <c r="J214" s="17" t="n">
        <v>100000</v>
      </c>
      <c r="K214" s="15" t="inlineStr">
        <is>
          <t>Single register</t>
        </is>
      </c>
      <c r="L214" s="15" t="inlineStr">
        <is>
          <t>Primary: monthly turnover register</t>
        </is>
      </c>
      <c r="M214" s="15" t="inlineStr">
        <is>
          <t>BAAY PROJECTS FINANCIALS 2024.xlsx</t>
        </is>
      </c>
      <c r="N214" s="15" t="inlineStr">
        <is>
          <t>APRIL TURNOVER</t>
        </is>
      </c>
      <c r="O214" s="15" t="n">
        <v>33</v>
      </c>
      <c r="P214" s="15" t="inlineStr">
        <is>
          <t>24/04/2024</t>
        </is>
      </c>
      <c r="Q214" s="15" t="inlineStr">
        <is>
          <t>TURNOVER SCHEDULE r177, MD r34</t>
        </is>
      </c>
      <c r="R214" s="15" t="n"/>
    </row>
    <row r="215">
      <c r="A215" s="15" t="inlineStr">
        <is>
          <t>SL0211</t>
        </is>
      </c>
      <c r="B215" s="16" t="n">
        <v>45408</v>
      </c>
      <c r="C215" s="15" t="inlineStr">
        <is>
          <t>2024-04</t>
        </is>
      </c>
      <c r="D215" s="15" t="n">
        <v>2024</v>
      </c>
      <c r="E215" s="15" t="inlineStr">
        <is>
          <t>Land</t>
        </is>
      </c>
      <c r="F215" s="15" t="inlineStr">
        <is>
          <t>Plot / unit price</t>
        </is>
      </c>
      <c r="G215" s="15" t="inlineStr">
        <is>
          <t>Green City Phase 2 (Ketu-Epe)</t>
        </is>
      </c>
      <c r="H215" s="15" t="inlineStr">
        <is>
          <t>BP-C0082</t>
        </is>
      </c>
      <c r="I215" s="15" t="inlineStr">
        <is>
          <t>Mrs Olarewaju Remilekun Mary</t>
        </is>
      </c>
      <c r="J215" s="17" t="n">
        <v>1000000</v>
      </c>
      <c r="K215" s="15" t="inlineStr">
        <is>
          <t>Single register</t>
        </is>
      </c>
      <c r="L215" s="15" t="inlineStr">
        <is>
          <t>Primary: monthly turnover register</t>
        </is>
      </c>
      <c r="M215" s="15" t="inlineStr">
        <is>
          <t>BAAY PROJECTS FINANCIALS 2024.xlsx</t>
        </is>
      </c>
      <c r="N215" s="15" t="inlineStr">
        <is>
          <t>APRIL TURNOVER</t>
        </is>
      </c>
      <c r="O215" s="15" t="n">
        <v>34</v>
      </c>
      <c r="P215" s="15" t="inlineStr">
        <is>
          <t>26/04/2024</t>
        </is>
      </c>
      <c r="Q215" s="15" t="inlineStr">
        <is>
          <t>TURNOVER SCHEDULE r321, MR JUWON r18</t>
        </is>
      </c>
      <c r="R215" s="15" t="n"/>
    </row>
    <row r="216">
      <c r="A216" s="15" t="inlineStr">
        <is>
          <t>SL0212</t>
        </is>
      </c>
      <c r="B216" s="16" t="n">
        <v>45408</v>
      </c>
      <c r="C216" s="15" t="inlineStr">
        <is>
          <t>2024-04</t>
        </is>
      </c>
      <c r="D216" s="15" t="n">
        <v>2024</v>
      </c>
      <c r="E216" s="15" t="inlineStr">
        <is>
          <t>Land</t>
        </is>
      </c>
      <c r="F216" s="15" t="inlineStr">
        <is>
          <t>Plot / unit price</t>
        </is>
      </c>
      <c r="G216" s="15" t="inlineStr">
        <is>
          <t>Green City Phase 2 (Ketu-Epe)</t>
        </is>
      </c>
      <c r="H216" s="15" t="inlineStr">
        <is>
          <t>BP-C0068</t>
        </is>
      </c>
      <c r="I216" s="15" t="inlineStr">
        <is>
          <t>Ms Aisosa Sharon Ebhotah</t>
        </is>
      </c>
      <c r="J216" s="17" t="n">
        <v>500000</v>
      </c>
      <c r="K216" s="15" t="inlineStr">
        <is>
          <t>Single register</t>
        </is>
      </c>
      <c r="L216" s="15" t="inlineStr">
        <is>
          <t>Primary: monthly turnover register</t>
        </is>
      </c>
      <c r="M216" s="15" t="inlineStr">
        <is>
          <t>BAAY PROJECTS FINANCIALS 2024.xlsx</t>
        </is>
      </c>
      <c r="N216" s="15" t="inlineStr">
        <is>
          <t>APRIL TURNOVER</t>
        </is>
      </c>
      <c r="O216" s="15" t="n">
        <v>35</v>
      </c>
      <c r="P216" s="15" t="inlineStr">
        <is>
          <t>26/04/2024</t>
        </is>
      </c>
      <c r="Q216" s="15" t="inlineStr">
        <is>
          <t>TURNOVER SCHEDULE r260</t>
        </is>
      </c>
      <c r="R216" s="15" t="n"/>
    </row>
    <row r="217">
      <c r="A217" s="15" t="inlineStr">
        <is>
          <t>SL0213</t>
        </is>
      </c>
      <c r="B217" s="16" t="n">
        <v>45409</v>
      </c>
      <c r="C217" s="15" t="inlineStr">
        <is>
          <t>2024-04</t>
        </is>
      </c>
      <c r="D217" s="15" t="n">
        <v>2024</v>
      </c>
      <c r="E217" s="15" t="inlineStr">
        <is>
          <t>Land</t>
        </is>
      </c>
      <c r="F217" s="15" t="inlineStr">
        <is>
          <t>Plot / unit price</t>
        </is>
      </c>
      <c r="G217" s="15" t="inlineStr">
        <is>
          <t>Green City Phase 2 (Ketu-Epe)</t>
        </is>
      </c>
      <c r="H217" s="15" t="inlineStr">
        <is>
          <t>BP-C0090</t>
        </is>
      </c>
      <c r="I217" s="15" t="inlineStr">
        <is>
          <t>Mr Ajiva Lubem Barnabas</t>
        </is>
      </c>
      <c r="J217" s="17" t="n">
        <v>500000</v>
      </c>
      <c r="K217" s="15" t="inlineStr">
        <is>
          <t>Single register</t>
        </is>
      </c>
      <c r="L217" s="15" t="inlineStr">
        <is>
          <t>Primary: monthly turnover register</t>
        </is>
      </c>
      <c r="M217" s="15" t="inlineStr">
        <is>
          <t>BAAY PROJECTS FINANCIALS 2024.xlsx</t>
        </is>
      </c>
      <c r="N217" s="15" t="inlineStr">
        <is>
          <t>APRIL TURNOVER</t>
        </is>
      </c>
      <c r="O217" s="15" t="n">
        <v>37</v>
      </c>
      <c r="P217" s="15" t="inlineStr">
        <is>
          <t>27/04/2024</t>
        </is>
      </c>
      <c r="Q217" s="15" t="inlineStr">
        <is>
          <t>TURNOVER SCHEDULE r359, FASUYI OLAYINKA r11</t>
        </is>
      </c>
      <c r="R217" s="15" t="n"/>
    </row>
    <row r="218">
      <c r="A218" s="15" t="inlineStr">
        <is>
          <t>SL0214</t>
        </is>
      </c>
      <c r="B218" s="16" t="n">
        <v>45409</v>
      </c>
      <c r="C218" s="15" t="inlineStr">
        <is>
          <t>2024-04</t>
        </is>
      </c>
      <c r="D218" s="15" t="n">
        <v>2024</v>
      </c>
      <c r="E218" s="15" t="inlineStr">
        <is>
          <t>Land</t>
        </is>
      </c>
      <c r="F218" s="15" t="inlineStr">
        <is>
          <t>Plot / unit price</t>
        </is>
      </c>
      <c r="G218" s="15" t="inlineStr">
        <is>
          <t>Green City Phase 2 (Ketu-Epe)</t>
        </is>
      </c>
      <c r="H218" s="15" t="inlineStr">
        <is>
          <t>BP-C0077</t>
        </is>
      </c>
      <c r="I218" s="15" t="inlineStr">
        <is>
          <t>Mr Uebari Sorbari</t>
        </is>
      </c>
      <c r="J218" s="17" t="n">
        <v>200000</v>
      </c>
      <c r="K218" s="15" t="inlineStr">
        <is>
          <t>Single register</t>
        </is>
      </c>
      <c r="L218" s="15" t="inlineStr">
        <is>
          <t>Primary: monthly turnover register</t>
        </is>
      </c>
      <c r="M218" s="15" t="inlineStr">
        <is>
          <t>BAAY PROJECTS FINANCIALS 2024.xlsx</t>
        </is>
      </c>
      <c r="N218" s="15" t="inlineStr">
        <is>
          <t>APRIL TURNOVER</t>
        </is>
      </c>
      <c r="O218" s="15" t="n">
        <v>36</v>
      </c>
      <c r="P218" s="15" t="inlineStr">
        <is>
          <t>27/04/2024</t>
        </is>
      </c>
      <c r="Q218" s="15" t="inlineStr">
        <is>
          <t>TURNOVER SCHEDULE r305</t>
        </is>
      </c>
      <c r="R218" s="15" t="n"/>
    </row>
    <row r="219">
      <c r="A219" s="15" t="inlineStr">
        <is>
          <t>SL0215</t>
        </is>
      </c>
      <c r="B219" s="16" t="n">
        <v>45411</v>
      </c>
      <c r="C219" s="15" t="inlineStr">
        <is>
          <t>2024-04</t>
        </is>
      </c>
      <c r="D219" s="15" t="n">
        <v>2024</v>
      </c>
      <c r="E219" s="15" t="inlineStr">
        <is>
          <t>Land</t>
        </is>
      </c>
      <c r="F219" s="15" t="inlineStr">
        <is>
          <t>Plot / unit price</t>
        </is>
      </c>
      <c r="G219" s="15" t="inlineStr">
        <is>
          <t>Green City Phase 1 (Lantaba, Ketu-Epe)</t>
        </is>
      </c>
      <c r="H219" s="15" t="inlineStr">
        <is>
          <t>BP-C0027</t>
        </is>
      </c>
      <c r="I219" s="15" t="inlineStr">
        <is>
          <t>Mr Edun Ayobami Simeon</t>
        </is>
      </c>
      <c r="J219" s="17" t="n">
        <v>810000</v>
      </c>
      <c r="K219" s="15" t="inlineStr">
        <is>
          <t>Single register</t>
        </is>
      </c>
      <c r="L219" s="15" t="inlineStr">
        <is>
          <t>Primary: monthly turnover register</t>
        </is>
      </c>
      <c r="M219" s="15" t="inlineStr">
        <is>
          <t>BAAY PROJECTS FINANCIALS 2024.xlsx</t>
        </is>
      </c>
      <c r="N219" s="15" t="inlineStr">
        <is>
          <t>APRIL TURNOVER</t>
        </is>
      </c>
      <c r="O219" s="15" t="n">
        <v>38</v>
      </c>
      <c r="P219" s="15" t="inlineStr">
        <is>
          <t>29/04/2024</t>
        </is>
      </c>
      <c r="Q219" s="15" t="inlineStr">
        <is>
          <t>TURNOVER SCHEDULE r132, MRS ABIMBOLA r82</t>
        </is>
      </c>
      <c r="R219" s="15" t="n"/>
    </row>
    <row r="220">
      <c r="A220" s="15" t="inlineStr">
        <is>
          <t>SL0216</t>
        </is>
      </c>
      <c r="B220" s="16" t="n">
        <v>45412</v>
      </c>
      <c r="C220" s="15" t="inlineStr">
        <is>
          <t>2024-04</t>
        </is>
      </c>
      <c r="D220" s="15" t="n">
        <v>2024</v>
      </c>
      <c r="E220" s="15" t="inlineStr">
        <is>
          <t>Land</t>
        </is>
      </c>
      <c r="F220" s="15" t="inlineStr">
        <is>
          <t>Plot / unit price</t>
        </is>
      </c>
      <c r="G220" s="15" t="inlineStr">
        <is>
          <t>Green City Phase 2 (Ketu-Epe)</t>
        </is>
      </c>
      <c r="H220" s="15" t="inlineStr">
        <is>
          <t>BP-C0030</t>
        </is>
      </c>
      <c r="I220" s="15" t="inlineStr">
        <is>
          <t>Mr Adese Akorede</t>
        </is>
      </c>
      <c r="J220" s="17" t="n">
        <v>200000</v>
      </c>
      <c r="K220" s="15" t="inlineStr">
        <is>
          <t>Single register</t>
        </is>
      </c>
      <c r="L220" s="15" t="inlineStr">
        <is>
          <t>Primary: monthly turnover register</t>
        </is>
      </c>
      <c r="M220" s="15" t="inlineStr">
        <is>
          <t>BAAY PROJECTS FINANCIALS 2024.xlsx</t>
        </is>
      </c>
      <c r="N220" s="15" t="inlineStr">
        <is>
          <t>APRIL TURNOVER</t>
        </is>
      </c>
      <c r="O220" s="15" t="n">
        <v>42</v>
      </c>
      <c r="P220" s="15" t="inlineStr">
        <is>
          <t>30/04/2024</t>
        </is>
      </c>
      <c r="Q220" s="15" t="inlineStr">
        <is>
          <t>TURNOVER SCHEDULE r287</t>
        </is>
      </c>
      <c r="R220" s="15" t="n"/>
    </row>
    <row r="221">
      <c r="A221" s="15" t="inlineStr">
        <is>
          <t>SL0217</t>
        </is>
      </c>
      <c r="B221" s="16" t="n">
        <v>45412</v>
      </c>
      <c r="C221" s="15" t="inlineStr">
        <is>
          <t>2024-04</t>
        </is>
      </c>
      <c r="D221" s="15" t="n">
        <v>2024</v>
      </c>
      <c r="E221" s="15" t="inlineStr">
        <is>
          <t>Land</t>
        </is>
      </c>
      <c r="F221" s="15" t="inlineStr">
        <is>
          <t>Plot / unit price</t>
        </is>
      </c>
      <c r="G221" s="15" t="inlineStr">
        <is>
          <t>Green City Phase 1 (Lantaba, Ketu-Epe)</t>
        </is>
      </c>
      <c r="H221" s="15" t="inlineStr">
        <is>
          <t>BP-C0050</t>
        </is>
      </c>
      <c r="I221" s="15" t="inlineStr">
        <is>
          <t>Mr Atuanya Patrick Jideovo</t>
        </is>
      </c>
      <c r="J221" s="17" t="n">
        <v>270000</v>
      </c>
      <c r="K221" s="15" t="inlineStr">
        <is>
          <t>Single register</t>
        </is>
      </c>
      <c r="L221" s="15" t="inlineStr">
        <is>
          <t>Primary: monthly turnover register</t>
        </is>
      </c>
      <c r="M221" s="15" t="inlineStr">
        <is>
          <t>BAAY PROJECTS FINANCIALS 2024.xlsx</t>
        </is>
      </c>
      <c r="N221" s="15" t="inlineStr">
        <is>
          <t>APRIL TURNOVER</t>
        </is>
      </c>
      <c r="O221" s="15" t="n">
        <v>40</v>
      </c>
      <c r="P221" s="15" t="inlineStr">
        <is>
          <t>30/04/2024</t>
        </is>
      </c>
      <c r="Q221" s="15" t="inlineStr">
        <is>
          <t>TURNOVER SCHEDULE r150, MS YETUNDE ABISOYE r53</t>
        </is>
      </c>
      <c r="R221" s="15" t="n"/>
    </row>
    <row r="222">
      <c r="A222" s="15" t="inlineStr">
        <is>
          <t>SL0218</t>
        </is>
      </c>
      <c r="B222" s="16" t="n">
        <v>45412</v>
      </c>
      <c r="C222" s="15" t="inlineStr">
        <is>
          <t>2024-04</t>
        </is>
      </c>
      <c r="D222" s="15" t="n">
        <v>2024</v>
      </c>
      <c r="E222" s="15" t="inlineStr">
        <is>
          <t>Land</t>
        </is>
      </c>
      <c r="F222" s="15" t="inlineStr">
        <is>
          <t>Plot / unit price</t>
        </is>
      </c>
      <c r="G222" s="15" t="inlineStr">
        <is>
          <t>Green City Phase 1 (Lantaba, Ketu-Epe)</t>
        </is>
      </c>
      <c r="H222" s="15" t="inlineStr">
        <is>
          <t>BP-C0045</t>
        </is>
      </c>
      <c r="I222" s="15" t="inlineStr">
        <is>
          <t>Mr Bolarinwa Iyanuoluwa Simon &amp; Dr Bolarinwa Abisola Christianah</t>
        </is>
      </c>
      <c r="J222" s="17" t="n">
        <v>500000</v>
      </c>
      <c r="K222" s="15" t="inlineStr">
        <is>
          <t>Single register</t>
        </is>
      </c>
      <c r="L222" s="15" t="inlineStr">
        <is>
          <t>Primary: monthly turnover register</t>
        </is>
      </c>
      <c r="M222" s="15" t="inlineStr">
        <is>
          <t>BAAY PROJECTS FINANCIALS 2024.xlsx</t>
        </is>
      </c>
      <c r="N222" s="15" t="inlineStr">
        <is>
          <t>APRIL TURNOVER</t>
        </is>
      </c>
      <c r="O222" s="15" t="n">
        <v>41</v>
      </c>
      <c r="P222" s="15" t="inlineStr">
        <is>
          <t>30/04/2024</t>
        </is>
      </c>
      <c r="Q222" s="15" t="inlineStr">
        <is>
          <t>TURNOVER SCHEDULE r366, MD r22</t>
        </is>
      </c>
      <c r="R222" s="15" t="n"/>
    </row>
    <row r="223">
      <c r="A223" s="15" t="inlineStr">
        <is>
          <t>SL0219</t>
        </is>
      </c>
      <c r="B223" s="16" t="n">
        <v>45412</v>
      </c>
      <c r="C223" s="15" t="inlineStr">
        <is>
          <t>2024-04</t>
        </is>
      </c>
      <c r="D223" s="15" t="n">
        <v>2024</v>
      </c>
      <c r="E223" s="15" t="inlineStr">
        <is>
          <t>Land</t>
        </is>
      </c>
      <c r="F223" s="15" t="inlineStr">
        <is>
          <t>Plot / unit price</t>
        </is>
      </c>
      <c r="G223" s="15" t="inlineStr">
        <is>
          <t>Green City Phase 2 (Ketu-Epe)</t>
        </is>
      </c>
      <c r="H223" s="15" t="inlineStr">
        <is>
          <t>BP-C0051</t>
        </is>
      </c>
      <c r="I223" s="15" t="inlineStr">
        <is>
          <t>Mr Ogunleye Olumide Victor</t>
        </is>
      </c>
      <c r="J223" s="17" t="n">
        <v>450000</v>
      </c>
      <c r="K223" s="15" t="inlineStr">
        <is>
          <t>Single register</t>
        </is>
      </c>
      <c r="L223" s="15" t="inlineStr">
        <is>
          <t>Primary: monthly turnover register</t>
        </is>
      </c>
      <c r="M223" s="15" t="inlineStr">
        <is>
          <t>BAAY PROJECTS FINANCIALS 2024.xlsx</t>
        </is>
      </c>
      <c r="N223" s="15" t="inlineStr">
        <is>
          <t>APRIL TURNOVER</t>
        </is>
      </c>
      <c r="O223" s="15" t="n">
        <v>39</v>
      </c>
      <c r="P223" s="15" t="inlineStr">
        <is>
          <t>30/04/2024</t>
        </is>
      </c>
      <c r="Q223" s="15" t="inlineStr">
        <is>
          <t>TURNOVER SCHEDULE r47</t>
        </is>
      </c>
      <c r="R223" s="15" t="n"/>
    </row>
    <row r="224">
      <c r="A224" s="15" t="inlineStr">
        <is>
          <t>SL0220</t>
        </is>
      </c>
      <c r="B224" s="16" t="n">
        <v>45412</v>
      </c>
      <c r="C224" s="15" t="inlineStr">
        <is>
          <t>2024-04</t>
        </is>
      </c>
      <c r="D224" s="15" t="n">
        <v>2024</v>
      </c>
      <c r="E224" s="15" t="inlineStr">
        <is>
          <t>Land</t>
        </is>
      </c>
      <c r="F224" s="15" t="inlineStr">
        <is>
          <t>Plot / unit price</t>
        </is>
      </c>
      <c r="G224" s="15" t="inlineStr">
        <is>
          <t>Green City Phase 1 (Lantaba, Ketu-Epe)</t>
        </is>
      </c>
      <c r="H224" s="15" t="inlineStr">
        <is>
          <t>BP-C0029</t>
        </is>
      </c>
      <c r="I224" s="15" t="inlineStr">
        <is>
          <t>Mr Ohanehi Anthony Patrick</t>
        </is>
      </c>
      <c r="J224" s="17" t="n">
        <v>1000000</v>
      </c>
      <c r="K224" s="15" t="inlineStr">
        <is>
          <t>Single register</t>
        </is>
      </c>
      <c r="L224" s="15" t="inlineStr">
        <is>
          <t>Primary: monthly turnover register</t>
        </is>
      </c>
      <c r="M224" s="15" t="inlineStr">
        <is>
          <t>BAAY PROJECTS FINANCIALS 2024.xlsx</t>
        </is>
      </c>
      <c r="N224" s="15" t="inlineStr">
        <is>
          <t>APRIL TURNOVER</t>
        </is>
      </c>
      <c r="O224" s="15" t="n">
        <v>44</v>
      </c>
      <c r="P224" s="15" t="inlineStr">
        <is>
          <t>30/04/2024</t>
        </is>
      </c>
      <c r="Q224" s="15" t="n"/>
      <c r="R224" s="15" t="n"/>
    </row>
    <row r="225">
      <c r="A225" s="15" t="inlineStr">
        <is>
          <t>SL0221</t>
        </is>
      </c>
      <c r="B225" s="16" t="n">
        <v>45412</v>
      </c>
      <c r="C225" s="15" t="inlineStr">
        <is>
          <t>2024-04</t>
        </is>
      </c>
      <c r="D225" s="15" t="n">
        <v>2024</v>
      </c>
      <c r="E225" s="15" t="inlineStr">
        <is>
          <t>Land</t>
        </is>
      </c>
      <c r="F225" s="15" t="inlineStr">
        <is>
          <t>Plot / unit price</t>
        </is>
      </c>
      <c r="G225" s="15" t="inlineStr">
        <is>
          <t>Green City Phase 2 (Ketu-Epe)</t>
        </is>
      </c>
      <c r="H225" s="15" t="inlineStr">
        <is>
          <t>BP-C0075</t>
        </is>
      </c>
      <c r="I225" s="15" t="inlineStr">
        <is>
          <t>Ms Ogidan Funmilayo</t>
        </is>
      </c>
      <c r="J225" s="17" t="n">
        <v>300000</v>
      </c>
      <c r="K225" s="15" t="inlineStr">
        <is>
          <t>Single register</t>
        </is>
      </c>
      <c r="L225" s="15" t="inlineStr">
        <is>
          <t>Primary: monthly turnover register</t>
        </is>
      </c>
      <c r="M225" s="15" t="inlineStr">
        <is>
          <t>BAAY PROJECTS FINANCIALS 2024.xlsx</t>
        </is>
      </c>
      <c r="N225" s="15" t="inlineStr">
        <is>
          <t>APRIL TURNOVER</t>
        </is>
      </c>
      <c r="O225" s="15" t="n">
        <v>43</v>
      </c>
      <c r="P225" s="15" t="inlineStr">
        <is>
          <t>30/04/2024</t>
        </is>
      </c>
      <c r="Q225" s="15" t="inlineStr">
        <is>
          <t>TURNOVER SCHEDULE r271, OGIDAN r10</t>
        </is>
      </c>
      <c r="R225" s="15" t="n"/>
    </row>
    <row r="226">
      <c r="A226" s="15" t="inlineStr">
        <is>
          <t>SL0222</t>
        </is>
      </c>
      <c r="B226" s="16" t="n">
        <v>45413</v>
      </c>
      <c r="C226" s="15" t="inlineStr">
        <is>
          <t>2024-05</t>
        </is>
      </c>
      <c r="D226" s="15" t="n">
        <v>2024</v>
      </c>
      <c r="E226" s="15" t="inlineStr">
        <is>
          <t>Land</t>
        </is>
      </c>
      <c r="F226" s="15" t="inlineStr">
        <is>
          <t>Plot / unit price</t>
        </is>
      </c>
      <c r="G226" s="15" t="inlineStr">
        <is>
          <t>Green City Phase 1 (Lantaba, Ketu-Epe)</t>
        </is>
      </c>
      <c r="H226" s="15" t="inlineStr">
        <is>
          <t>BP-C0029</t>
        </is>
      </c>
      <c r="I226" s="15" t="inlineStr">
        <is>
          <t>Mr Ohanehi Anthony Chukwunonso</t>
        </is>
      </c>
      <c r="J226" s="17" t="n">
        <v>973000</v>
      </c>
      <c r="K226" s="15" t="inlineStr">
        <is>
          <t>Single register</t>
        </is>
      </c>
      <c r="L226" s="15" t="inlineStr">
        <is>
          <t>Primary: monthly turnover register</t>
        </is>
      </c>
      <c r="M226" s="15" t="inlineStr">
        <is>
          <t>BAAY PROJECTS FINANCIALS 2024.xlsx</t>
        </is>
      </c>
      <c r="N226" s="15" t="inlineStr">
        <is>
          <t>MAY TURNOVER</t>
        </is>
      </c>
      <c r="O226" s="15" t="n">
        <v>7</v>
      </c>
      <c r="P226" s="15" t="inlineStr">
        <is>
          <t>2024-01-05</t>
        </is>
      </c>
      <c r="Q226" s="15" t="inlineStr">
        <is>
          <t>TURNOVER SCHEDULE r339, IDAH MARYDAVID r4</t>
        </is>
      </c>
      <c r="R226" s="15" t="n"/>
    </row>
    <row r="227">
      <c r="A227" s="15" t="inlineStr">
        <is>
          <t>SL0223</t>
        </is>
      </c>
      <c r="B227" s="16" t="n">
        <v>45413</v>
      </c>
      <c r="C227" s="15" t="inlineStr">
        <is>
          <t>2024-05</t>
        </is>
      </c>
      <c r="D227" s="15" t="n">
        <v>2024</v>
      </c>
      <c r="E227" s="15" t="inlineStr">
        <is>
          <t>Land</t>
        </is>
      </c>
      <c r="F227" s="15" t="inlineStr">
        <is>
          <t>Plot / unit price</t>
        </is>
      </c>
      <c r="G227" s="15" t="inlineStr">
        <is>
          <t>Green City Phase 1 (Lantaba, Ketu-Epe)</t>
        </is>
      </c>
      <c r="H227" s="15" t="inlineStr">
        <is>
          <t>BP-C0044</t>
        </is>
      </c>
      <c r="I227" s="15" t="inlineStr">
        <is>
          <t>Mr Oluwase Babajide Victor</t>
        </is>
      </c>
      <c r="J227" s="17" t="n">
        <v>1000000</v>
      </c>
      <c r="K227" s="15" t="inlineStr">
        <is>
          <t>Single register</t>
        </is>
      </c>
      <c r="L227" s="15" t="inlineStr">
        <is>
          <t>Primary: monthly turnover register</t>
        </is>
      </c>
      <c r="M227" s="15" t="inlineStr">
        <is>
          <t>BAAY PROJECTS FINANCIALS 2024.xlsx</t>
        </is>
      </c>
      <c r="N227" s="15" t="inlineStr">
        <is>
          <t>MAY TURNOVER</t>
        </is>
      </c>
      <c r="O227" s="15" t="n">
        <v>6</v>
      </c>
      <c r="P227" s="15" t="inlineStr">
        <is>
          <t>2024-01-05</t>
        </is>
      </c>
      <c r="Q227" s="15" t="inlineStr">
        <is>
          <t>TURNOVER SCHEDULE r192, MD r29</t>
        </is>
      </c>
      <c r="R227" s="15" t="n"/>
    </row>
    <row r="228">
      <c r="A228" s="15" t="inlineStr">
        <is>
          <t>SL0224</t>
        </is>
      </c>
      <c r="B228" s="16" t="n">
        <v>45414</v>
      </c>
      <c r="C228" s="15" t="inlineStr">
        <is>
          <t>2024-05</t>
        </is>
      </c>
      <c r="D228" s="15" t="n">
        <v>2024</v>
      </c>
      <c r="E228" s="15" t="inlineStr">
        <is>
          <t>Land</t>
        </is>
      </c>
      <c r="F228" s="15" t="inlineStr">
        <is>
          <t>Plot / unit price</t>
        </is>
      </c>
      <c r="G228" s="15" t="inlineStr">
        <is>
          <t>Green City Phase 2 (Ketu-Epe)</t>
        </is>
      </c>
      <c r="H228" s="15" t="inlineStr">
        <is>
          <t>BP-C0012</t>
        </is>
      </c>
      <c r="I228" s="15" t="inlineStr">
        <is>
          <t>Mr Apiafi Imiebam</t>
        </is>
      </c>
      <c r="J228" s="17" t="n">
        <v>700000</v>
      </c>
      <c r="K228" s="15" t="inlineStr">
        <is>
          <t>Single register</t>
        </is>
      </c>
      <c r="L228" s="15" t="inlineStr">
        <is>
          <t>Primary: monthly turnover register</t>
        </is>
      </c>
      <c r="M228" s="15" t="inlineStr">
        <is>
          <t>BAAY PROJECTS FINANCIALS 2024.xlsx</t>
        </is>
      </c>
      <c r="N228" s="15" t="inlineStr">
        <is>
          <t>MAY TURNOVER</t>
        </is>
      </c>
      <c r="O228" s="15" t="n">
        <v>8</v>
      </c>
      <c r="P228" s="15" t="inlineStr">
        <is>
          <t>2024-02-05</t>
        </is>
      </c>
      <c r="Q228" s="15" t="inlineStr">
        <is>
          <t>TURNOVER SCHEDULE r309, MS BLESSING r35</t>
        </is>
      </c>
      <c r="R228" s="15" t="n"/>
    </row>
    <row r="229">
      <c r="A229" s="15" t="inlineStr">
        <is>
          <t>SL0225</t>
        </is>
      </c>
      <c r="B229" s="16" t="n">
        <v>45415</v>
      </c>
      <c r="C229" s="15" t="inlineStr">
        <is>
          <t>2024-05</t>
        </is>
      </c>
      <c r="D229" s="15" t="n">
        <v>2024</v>
      </c>
      <c r="E229" s="15" t="inlineStr">
        <is>
          <t>Land</t>
        </is>
      </c>
      <c r="F229" s="15" t="inlineStr">
        <is>
          <t>Plot / unit price</t>
        </is>
      </c>
      <c r="G229" s="15" t="inlineStr">
        <is>
          <t>Green City Phase 1 (Lantaba, Ketu-Epe)</t>
        </is>
      </c>
      <c r="H229" s="15" t="inlineStr">
        <is>
          <t>BP-C0029</t>
        </is>
      </c>
      <c r="I229" s="15" t="inlineStr">
        <is>
          <t>Mr Ohanehi Anthony Chukwunonso</t>
        </is>
      </c>
      <c r="J229" s="17" t="n">
        <v>1334750</v>
      </c>
      <c r="K229" s="15" t="inlineStr">
        <is>
          <t>Single register</t>
        </is>
      </c>
      <c r="L229" s="15" t="inlineStr">
        <is>
          <t>Primary: monthly turnover register</t>
        </is>
      </c>
      <c r="M229" s="15" t="inlineStr">
        <is>
          <t>BAAY PROJECTS FINANCIALS 2024.xlsx</t>
        </is>
      </c>
      <c r="N229" s="15" t="inlineStr">
        <is>
          <t>MAY TURNOVER</t>
        </is>
      </c>
      <c r="O229" s="15" t="n">
        <v>9</v>
      </c>
      <c r="P229" s="15" t="inlineStr">
        <is>
          <t>2024-03-05</t>
        </is>
      </c>
      <c r="Q229" s="15" t="inlineStr">
        <is>
          <t>TURNOVER SCHEDULE r340, IDAH MARYDAVID r5</t>
        </is>
      </c>
      <c r="R229" s="15" t="n"/>
    </row>
    <row r="230">
      <c r="A230" s="15" t="inlineStr">
        <is>
          <t>SL0226</t>
        </is>
      </c>
      <c r="B230" s="16" t="n">
        <v>45415</v>
      </c>
      <c r="C230" s="15" t="inlineStr">
        <is>
          <t>2024-05</t>
        </is>
      </c>
      <c r="D230" s="15" t="n">
        <v>2024</v>
      </c>
      <c r="E230" s="15" t="inlineStr">
        <is>
          <t>Land</t>
        </is>
      </c>
      <c r="F230" s="15" t="inlineStr">
        <is>
          <t>Plot / unit price</t>
        </is>
      </c>
      <c r="G230" s="15" t="inlineStr">
        <is>
          <t>Green City Phase 2 (Ketu-Epe)</t>
        </is>
      </c>
      <c r="H230" s="15" t="inlineStr">
        <is>
          <t>BP-C0087</t>
        </is>
      </c>
      <c r="I230" s="15" t="inlineStr">
        <is>
          <t>Mr Okeme Danjuma</t>
        </is>
      </c>
      <c r="J230" s="17" t="n">
        <v>1600000</v>
      </c>
      <c r="K230" s="15" t="inlineStr">
        <is>
          <t>Single register</t>
        </is>
      </c>
      <c r="L230" s="15" t="inlineStr">
        <is>
          <t>Primary: monthly turnover register</t>
        </is>
      </c>
      <c r="M230" s="15" t="inlineStr">
        <is>
          <t>BAAY PROJECTS FINANCIALS 2024.xlsx</t>
        </is>
      </c>
      <c r="N230" s="15" t="inlineStr">
        <is>
          <t>MAY TURNOVER</t>
        </is>
      </c>
      <c r="O230" s="15" t="n">
        <v>10</v>
      </c>
      <c r="P230" s="15" t="inlineStr">
        <is>
          <t>2024-03-05</t>
        </is>
      </c>
      <c r="Q230" s="15" t="inlineStr">
        <is>
          <t>TURNOVER SCHEDULE r345, FESTUS r10</t>
        </is>
      </c>
      <c r="R230" s="15" t="n"/>
    </row>
    <row r="231">
      <c r="A231" s="15" t="inlineStr">
        <is>
          <t>SL0227</t>
        </is>
      </c>
      <c r="B231" s="16" t="n">
        <v>45418</v>
      </c>
      <c r="C231" s="15" t="inlineStr">
        <is>
          <t>2024-05</t>
        </is>
      </c>
      <c r="D231" s="15" t="n">
        <v>2024</v>
      </c>
      <c r="E231" s="15" t="inlineStr">
        <is>
          <t>Land</t>
        </is>
      </c>
      <c r="F231" s="15" t="inlineStr">
        <is>
          <t>Plot / unit price</t>
        </is>
      </c>
      <c r="G231" s="15" t="inlineStr">
        <is>
          <t>Green City Phase 2 (Ketu-Epe)</t>
        </is>
      </c>
      <c r="H231" s="15" t="inlineStr">
        <is>
          <t>BP-C0029</t>
        </is>
      </c>
      <c r="I231" s="15" t="inlineStr">
        <is>
          <t>Mr Ohanehi Anthony Chukwunonso</t>
        </is>
      </c>
      <c r="J231" s="17" t="n">
        <v>148000</v>
      </c>
      <c r="K231" s="15" t="inlineStr">
        <is>
          <t>Single register</t>
        </is>
      </c>
      <c r="L231" s="15" t="inlineStr">
        <is>
          <t>Primary: monthly turnover register</t>
        </is>
      </c>
      <c r="M231" s="15" t="inlineStr">
        <is>
          <t>BAAY PROJECTS FINANCIALS 2024.xlsx</t>
        </is>
      </c>
      <c r="N231" s="15" t="inlineStr">
        <is>
          <t>MAY TURNOVER</t>
        </is>
      </c>
      <c r="O231" s="15" t="n">
        <v>11</v>
      </c>
      <c r="P231" s="15" t="inlineStr">
        <is>
          <t>2024-06-05</t>
        </is>
      </c>
      <c r="Q231" s="15" t="inlineStr">
        <is>
          <t>TURNOVER SCHEDULE r341, IDAH MARYDAVID r6</t>
        </is>
      </c>
      <c r="R231" s="15" t="n"/>
    </row>
    <row r="232">
      <c r="A232" s="15" t="inlineStr">
        <is>
          <t>SL0228</t>
        </is>
      </c>
      <c r="B232" s="16" t="n">
        <v>45420</v>
      </c>
      <c r="C232" s="15" t="inlineStr">
        <is>
          <t>2024-05</t>
        </is>
      </c>
      <c r="D232" s="15" t="n">
        <v>2024</v>
      </c>
      <c r="E232" s="15" t="inlineStr">
        <is>
          <t>Land</t>
        </is>
      </c>
      <c r="F232" s="15" t="inlineStr">
        <is>
          <t>Plot / unit price</t>
        </is>
      </c>
      <c r="G232" s="15" t="inlineStr">
        <is>
          <t>Green City Phase 2 (Ketu-Epe)</t>
        </is>
      </c>
      <c r="H232" s="15" t="inlineStr">
        <is>
          <t>BP-C0090</t>
        </is>
      </c>
      <c r="I232" s="15" t="inlineStr">
        <is>
          <t>Mr Ajiva Lubem Barnabas</t>
        </is>
      </c>
      <c r="J232" s="17" t="n">
        <v>50000</v>
      </c>
      <c r="K232" s="15" t="inlineStr">
        <is>
          <t>Single register</t>
        </is>
      </c>
      <c r="L232" s="15" t="inlineStr">
        <is>
          <t>Primary: monthly turnover register</t>
        </is>
      </c>
      <c r="M232" s="15" t="inlineStr">
        <is>
          <t>BAAY PROJECTS FINANCIALS 2024.xlsx</t>
        </is>
      </c>
      <c r="N232" s="15" t="inlineStr">
        <is>
          <t>MAY TURNOVER</t>
        </is>
      </c>
      <c r="O232" s="15" t="n">
        <v>12</v>
      </c>
      <c r="P232" s="15" t="inlineStr">
        <is>
          <t>2024-08-05</t>
        </is>
      </c>
      <c r="Q232" s="15" t="inlineStr">
        <is>
          <t>TURNOVER SCHEDULE r360, FASUYI OLAYINKA r17</t>
        </is>
      </c>
      <c r="R232" s="15" t="n"/>
    </row>
    <row r="233">
      <c r="A233" s="15" t="inlineStr">
        <is>
          <t>SL0229</t>
        </is>
      </c>
      <c r="B233" s="16" t="n">
        <v>45421</v>
      </c>
      <c r="C233" s="15" t="inlineStr">
        <is>
          <t>2024-05</t>
        </is>
      </c>
      <c r="D233" s="15" t="n">
        <v>2024</v>
      </c>
      <c r="E233" s="15" t="inlineStr">
        <is>
          <t>Land</t>
        </is>
      </c>
      <c r="F233" s="15" t="inlineStr">
        <is>
          <t>Plot / unit price</t>
        </is>
      </c>
      <c r="G233" s="15" t="inlineStr">
        <is>
          <t>Green City Phase 1 (Lantaba, Ketu-Epe)</t>
        </is>
      </c>
      <c r="H233" s="15" t="inlineStr">
        <is>
          <t>BP-C0027</t>
        </is>
      </c>
      <c r="I233" s="15" t="inlineStr">
        <is>
          <t>Mr Edun Ayobami</t>
        </is>
      </c>
      <c r="J233" s="17" t="n">
        <v>720000</v>
      </c>
      <c r="K233" s="15" t="inlineStr">
        <is>
          <t>Single register</t>
        </is>
      </c>
      <c r="L233" s="15" t="inlineStr">
        <is>
          <t>Primary: monthly turnover register</t>
        </is>
      </c>
      <c r="M233" s="15" t="inlineStr">
        <is>
          <t>BAAY PROJECTS FINANCIALS 2024.xlsx</t>
        </is>
      </c>
      <c r="N233" s="15" t="inlineStr">
        <is>
          <t>MAY TURNOVER</t>
        </is>
      </c>
      <c r="O233" s="15" t="n">
        <v>14</v>
      </c>
      <c r="P233" s="15" t="inlineStr">
        <is>
          <t>2024-09-05</t>
        </is>
      </c>
      <c r="Q233" s="15" t="inlineStr">
        <is>
          <t>TURNOVER SCHEDULE r133, MRS ABIMBOLA r83</t>
        </is>
      </c>
      <c r="R233" s="15" t="n"/>
    </row>
    <row r="234">
      <c r="A234" s="15" t="inlineStr">
        <is>
          <t>SL0230</t>
        </is>
      </c>
      <c r="B234" s="16" t="n">
        <v>45421</v>
      </c>
      <c r="C234" s="15" t="inlineStr">
        <is>
          <t>2024-05</t>
        </is>
      </c>
      <c r="D234" s="15" t="n">
        <v>2024</v>
      </c>
      <c r="E234" s="15" t="inlineStr">
        <is>
          <t>Land</t>
        </is>
      </c>
      <c r="F234" s="15" t="inlineStr">
        <is>
          <t>Plot / unit price</t>
        </is>
      </c>
      <c r="G234" s="15" t="inlineStr">
        <is>
          <t>Green City Phase 1 (Lantaba, Ketu-Epe)</t>
        </is>
      </c>
      <c r="H234" s="15" t="inlineStr">
        <is>
          <t>BP-C0006</t>
        </is>
      </c>
      <c r="I234" s="15" t="inlineStr">
        <is>
          <t>Mr Olasupo Oladimeji</t>
        </is>
      </c>
      <c r="J234" s="17" t="n">
        <v>1000000</v>
      </c>
      <c r="K234" s="15" t="inlineStr">
        <is>
          <t>Single register</t>
        </is>
      </c>
      <c r="L234" s="15" t="inlineStr">
        <is>
          <t>Primary: monthly turnover register</t>
        </is>
      </c>
      <c r="M234" s="15" t="inlineStr">
        <is>
          <t>BAAY PROJECTS FINANCIALS 2024.xlsx</t>
        </is>
      </c>
      <c r="N234" s="15" t="inlineStr">
        <is>
          <t>MAY TURNOVER</t>
        </is>
      </c>
      <c r="O234" s="15" t="n">
        <v>13</v>
      </c>
      <c r="P234" s="15" t="inlineStr">
        <is>
          <t>2024-09-05</t>
        </is>
      </c>
      <c r="Q234" s="15" t="n"/>
      <c r="R234" s="15" t="n"/>
    </row>
    <row r="235">
      <c r="A235" s="15" t="inlineStr">
        <is>
          <t>SL0231</t>
        </is>
      </c>
      <c r="B235" s="16" t="n">
        <v>45422</v>
      </c>
      <c r="C235" s="15" t="inlineStr">
        <is>
          <t>2024-05</t>
        </is>
      </c>
      <c r="D235" s="15" t="n">
        <v>2024</v>
      </c>
      <c r="E235" s="15" t="inlineStr">
        <is>
          <t>Land</t>
        </is>
      </c>
      <c r="F235" s="15" t="inlineStr">
        <is>
          <t>Plot / unit price</t>
        </is>
      </c>
      <c r="G235" s="15" t="inlineStr">
        <is>
          <t>Green City Phase 2 (Ketu-Epe)</t>
        </is>
      </c>
      <c r="H235" s="15" t="inlineStr">
        <is>
          <t>BP-C0090</t>
        </is>
      </c>
      <c r="I235" s="15" t="inlineStr">
        <is>
          <t>Mr Ajiva Lubem Barnabas</t>
        </is>
      </c>
      <c r="J235" s="17" t="n">
        <v>50000</v>
      </c>
      <c r="K235" s="15" t="inlineStr">
        <is>
          <t>Single register</t>
        </is>
      </c>
      <c r="L235" s="15" t="inlineStr">
        <is>
          <t>Primary: monthly turnover register</t>
        </is>
      </c>
      <c r="M235" s="15" t="inlineStr">
        <is>
          <t>BAAY PROJECTS FINANCIALS 2024.xlsx</t>
        </is>
      </c>
      <c r="N235" s="15" t="inlineStr">
        <is>
          <t>MAY TURNOVER</t>
        </is>
      </c>
      <c r="O235" s="15" t="n">
        <v>15</v>
      </c>
      <c r="P235" s="15" t="inlineStr">
        <is>
          <t>2024-10-05</t>
        </is>
      </c>
      <c r="Q235" s="15" t="inlineStr">
        <is>
          <t>TURNOVER SCHEDULE r361, FASUYI OLAYINKA r18</t>
        </is>
      </c>
      <c r="R235" s="15" t="n"/>
    </row>
    <row r="236">
      <c r="A236" s="15" t="inlineStr">
        <is>
          <t>SL0232</t>
        </is>
      </c>
      <c r="B236" s="16" t="n">
        <v>45424</v>
      </c>
      <c r="C236" s="15" t="inlineStr">
        <is>
          <t>2024-05</t>
        </is>
      </c>
      <c r="D236" s="15" t="n">
        <v>2024</v>
      </c>
      <c r="E236" s="15" t="inlineStr">
        <is>
          <t>Land</t>
        </is>
      </c>
      <c r="F236" s="15" t="inlineStr">
        <is>
          <t>Plot / unit price</t>
        </is>
      </c>
      <c r="G236" s="15" t="inlineStr">
        <is>
          <t>Green City Phase 2 (Ketu-Epe)</t>
        </is>
      </c>
      <c r="H236" s="15" t="inlineStr">
        <is>
          <t>BP-C0066</t>
        </is>
      </c>
      <c r="I236" s="15" t="inlineStr">
        <is>
          <t>Miss Omosanya Dotun Akeju</t>
        </is>
      </c>
      <c r="J236" s="17" t="n">
        <v>1200000</v>
      </c>
      <c r="K236" s="15" t="inlineStr">
        <is>
          <t>Single register</t>
        </is>
      </c>
      <c r="L236" s="15" t="inlineStr">
        <is>
          <t>Primary: monthly turnover register</t>
        </is>
      </c>
      <c r="M236" s="15" t="inlineStr">
        <is>
          <t>BAAY PROJECTS FINANCIALS 2024.xlsx</t>
        </is>
      </c>
      <c r="N236" s="15" t="inlineStr">
        <is>
          <t>MAY TURNOVER</t>
        </is>
      </c>
      <c r="O236" s="15" t="n">
        <v>17</v>
      </c>
      <c r="P236" s="15" t="inlineStr">
        <is>
          <t>2024-12-05</t>
        </is>
      </c>
      <c r="Q236" s="15" t="inlineStr">
        <is>
          <t>TURNOVER SCHEDULE r350, MS BOLANLE r60, MS BLESSING OJI r16</t>
        </is>
      </c>
      <c r="R236" s="15" t="n"/>
    </row>
    <row r="237">
      <c r="A237" s="15" t="inlineStr">
        <is>
          <t>SL0233</t>
        </is>
      </c>
      <c r="B237" s="16" t="n">
        <v>45424</v>
      </c>
      <c r="C237" s="15" t="inlineStr">
        <is>
          <t>2024-05</t>
        </is>
      </c>
      <c r="D237" s="15" t="n">
        <v>2024</v>
      </c>
      <c r="E237" s="15" t="inlineStr">
        <is>
          <t>Land</t>
        </is>
      </c>
      <c r="F237" s="15" t="inlineStr">
        <is>
          <t>Plot / unit price</t>
        </is>
      </c>
      <c r="G237" s="15" t="inlineStr">
        <is>
          <t>Green City Phase 2 (Ketu-Epe)</t>
        </is>
      </c>
      <c r="H237" s="15" t="inlineStr">
        <is>
          <t>BP-C0091</t>
        </is>
      </c>
      <c r="I237" s="15" t="inlineStr">
        <is>
          <t>Mr Ojo Olugbenga Daniel &amp; Mrs Ojo Omolola Oyewunmi</t>
        </is>
      </c>
      <c r="J237" s="17" t="n">
        <v>1500000</v>
      </c>
      <c r="K237" s="15" t="inlineStr">
        <is>
          <t>Single register</t>
        </is>
      </c>
      <c r="L237" s="15" t="inlineStr">
        <is>
          <t>Primary: monthly turnover register</t>
        </is>
      </c>
      <c r="M237" s="15" t="inlineStr">
        <is>
          <t>BAAY PROJECTS FINANCIALS 2024.xlsx</t>
        </is>
      </c>
      <c r="N237" s="15" t="inlineStr">
        <is>
          <t>MAY TURNOVER</t>
        </is>
      </c>
      <c r="O237" s="15" t="n">
        <v>16</v>
      </c>
      <c r="P237" s="15" t="inlineStr">
        <is>
          <t>2024-12-05</t>
        </is>
      </c>
      <c r="Q237" s="15" t="inlineStr">
        <is>
          <t>TURNOVER SCHEDULE r354, MRS ABIMBOLA r77</t>
        </is>
      </c>
      <c r="R237" s="15" t="n"/>
    </row>
    <row r="238">
      <c r="A238" s="15" t="inlineStr">
        <is>
          <t>SL0234</t>
        </is>
      </c>
      <c r="B238" s="16" t="n">
        <v>45425</v>
      </c>
      <c r="C238" s="15" t="inlineStr">
        <is>
          <t>2024-05</t>
        </is>
      </c>
      <c r="D238" s="15" t="n">
        <v>2024</v>
      </c>
      <c r="E238" s="15" t="inlineStr">
        <is>
          <t>Land</t>
        </is>
      </c>
      <c r="F238" s="15" t="inlineStr">
        <is>
          <t>Plot / unit price</t>
        </is>
      </c>
      <c r="G238" s="15" t="inlineStr">
        <is>
          <t>Green City Phase 2 (Ketu-Epe)</t>
        </is>
      </c>
      <c r="H238" s="15" t="inlineStr">
        <is>
          <t>BP-C0090</t>
        </is>
      </c>
      <c r="I238" s="15" t="inlineStr">
        <is>
          <t>Mr Ajiva Lubem Barnabas</t>
        </is>
      </c>
      <c r="J238" s="17" t="n">
        <v>50000</v>
      </c>
      <c r="K238" s="15" t="inlineStr">
        <is>
          <t>Single register</t>
        </is>
      </c>
      <c r="L238" s="15" t="inlineStr">
        <is>
          <t>Primary: monthly turnover register</t>
        </is>
      </c>
      <c r="M238" s="15" t="inlineStr">
        <is>
          <t>BAAY PROJECTS FINANCIALS 2024.xlsx</t>
        </is>
      </c>
      <c r="N238" s="15" t="inlineStr">
        <is>
          <t>MAY TURNOVER</t>
        </is>
      </c>
      <c r="O238" s="15" t="n">
        <v>18</v>
      </c>
      <c r="P238" s="15" t="inlineStr">
        <is>
          <t>13/05/2024</t>
        </is>
      </c>
      <c r="Q238" s="15" t="inlineStr">
        <is>
          <t>TURNOVER SCHEDULE r362</t>
        </is>
      </c>
      <c r="R238" s="15" t="n"/>
    </row>
    <row r="239">
      <c r="A239" s="15" t="inlineStr">
        <is>
          <t>SL0235</t>
        </is>
      </c>
      <c r="B239" s="16" t="n">
        <v>45425</v>
      </c>
      <c r="C239" s="15" t="inlineStr">
        <is>
          <t>2024-05</t>
        </is>
      </c>
      <c r="D239" s="15" t="n">
        <v>2024</v>
      </c>
      <c r="E239" s="15" t="inlineStr">
        <is>
          <t>Land</t>
        </is>
      </c>
      <c r="F239" s="15" t="inlineStr">
        <is>
          <t>Plot / unit price</t>
        </is>
      </c>
      <c r="G239" s="15" t="inlineStr">
        <is>
          <t>Green City Phase 1 (Lantaba, Ketu-Epe)</t>
        </is>
      </c>
      <c r="H239" s="15" t="inlineStr">
        <is>
          <t>BP-C0010</t>
        </is>
      </c>
      <c r="I239" s="15" t="inlineStr">
        <is>
          <t>Mrs Yohanna Paulina</t>
        </is>
      </c>
      <c r="J239" s="17" t="n">
        <v>2300000</v>
      </c>
      <c r="K239" s="15" t="inlineStr">
        <is>
          <t>Single register</t>
        </is>
      </c>
      <c r="L239" s="15" t="inlineStr">
        <is>
          <t>Primary: monthly turnover register</t>
        </is>
      </c>
      <c r="M239" s="15" t="inlineStr">
        <is>
          <t>BAAY PROJECTS FINANCIALS 2024.xlsx</t>
        </is>
      </c>
      <c r="N239" s="15" t="inlineStr">
        <is>
          <t>MAY TURNOVER</t>
        </is>
      </c>
      <c r="O239" s="15" t="n">
        <v>19</v>
      </c>
      <c r="P239" s="15" t="inlineStr">
        <is>
          <t>13/05/2024</t>
        </is>
      </c>
      <c r="Q239" s="15" t="inlineStr">
        <is>
          <t>TURNOVER SCHEDULE r294</t>
        </is>
      </c>
      <c r="R239" s="15" t="n"/>
    </row>
    <row r="240">
      <c r="A240" s="15" t="inlineStr">
        <is>
          <t>SL0236</t>
        </is>
      </c>
      <c r="B240" s="16" t="n">
        <v>45427</v>
      </c>
      <c r="C240" s="15" t="inlineStr">
        <is>
          <t>2024-05</t>
        </is>
      </c>
      <c r="D240" s="15" t="n">
        <v>2024</v>
      </c>
      <c r="E240" s="15" t="inlineStr">
        <is>
          <t>Land</t>
        </is>
      </c>
      <c r="F240" s="15" t="inlineStr">
        <is>
          <t>Plot / unit price</t>
        </is>
      </c>
      <c r="G240" s="15" t="inlineStr">
        <is>
          <t>Green City Phase 2 (Ketu-Epe)</t>
        </is>
      </c>
      <c r="H240" s="15" t="inlineStr">
        <is>
          <t>BP-C0080</t>
        </is>
      </c>
      <c r="I240" s="15" t="inlineStr">
        <is>
          <t>Dr Ayansola Jeremiah Funso</t>
        </is>
      </c>
      <c r="J240" s="17" t="n">
        <v>500000</v>
      </c>
      <c r="K240" s="15" t="inlineStr">
        <is>
          <t>Single register</t>
        </is>
      </c>
      <c r="L240" s="15" t="inlineStr">
        <is>
          <t>Primary: monthly turnover register</t>
        </is>
      </c>
      <c r="M240" s="15" t="inlineStr">
        <is>
          <t>BAAY PROJECTS FINANCIALS 2024.xlsx</t>
        </is>
      </c>
      <c r="N240" s="15" t="inlineStr">
        <is>
          <t>MAY TURNOVER</t>
        </is>
      </c>
      <c r="O240" s="15" t="n">
        <v>21</v>
      </c>
      <c r="P240" s="15" t="inlineStr">
        <is>
          <t>15/05/2024</t>
        </is>
      </c>
      <c r="Q240" s="15" t="inlineStr">
        <is>
          <t>TURNOVER SCHEDULE r300, MR JUWON r24</t>
        </is>
      </c>
      <c r="R240" s="15" t="n"/>
    </row>
    <row r="241">
      <c r="A241" s="15" t="inlineStr">
        <is>
          <t>SL0237</t>
        </is>
      </c>
      <c r="B241" s="16" t="n">
        <v>45427</v>
      </c>
      <c r="C241" s="15" t="inlineStr">
        <is>
          <t>2024-05</t>
        </is>
      </c>
      <c r="D241" s="15" t="n">
        <v>2024</v>
      </c>
      <c r="E241" s="15" t="inlineStr">
        <is>
          <t>Land</t>
        </is>
      </c>
      <c r="F241" s="15" t="inlineStr">
        <is>
          <t>Plot / unit price</t>
        </is>
      </c>
      <c r="G241" s="15" t="inlineStr">
        <is>
          <t>Green City Phase 2 (Ketu-Epe)</t>
        </is>
      </c>
      <c r="H241" s="15" t="inlineStr">
        <is>
          <t>BP-C0079</t>
        </is>
      </c>
      <c r="I241" s="15" t="inlineStr">
        <is>
          <t>Miss Ukachi Florence Oluchi</t>
        </is>
      </c>
      <c r="J241" s="17" t="n">
        <v>1000000</v>
      </c>
      <c r="K241" s="15" t="inlineStr">
        <is>
          <t>Single register</t>
        </is>
      </c>
      <c r="L241" s="15" t="inlineStr">
        <is>
          <t>Primary: monthly turnover register</t>
        </is>
      </c>
      <c r="M241" s="15" t="inlineStr">
        <is>
          <t>BAAY PROJECTS FINANCIALS 2024.xlsx</t>
        </is>
      </c>
      <c r="N241" s="15" t="inlineStr">
        <is>
          <t>MAY TURNOVER</t>
        </is>
      </c>
      <c r="O241" s="15" t="n">
        <v>22</v>
      </c>
      <c r="P241" s="15" t="inlineStr">
        <is>
          <t>15/05/2024</t>
        </is>
      </c>
      <c r="Q241" s="15" t="inlineStr">
        <is>
          <t>TURNOVER SCHEDULE r252, MS FEYI r6</t>
        </is>
      </c>
      <c r="R241" s="15" t="n"/>
    </row>
    <row r="242">
      <c r="A242" s="15" t="inlineStr">
        <is>
          <t>SL0238</t>
        </is>
      </c>
      <c r="B242" s="16" t="n">
        <v>45427</v>
      </c>
      <c r="C242" s="15" t="inlineStr">
        <is>
          <t>2024-05</t>
        </is>
      </c>
      <c r="D242" s="15" t="n">
        <v>2024</v>
      </c>
      <c r="E242" s="15" t="inlineStr">
        <is>
          <t>Land</t>
        </is>
      </c>
      <c r="F242" s="15" t="inlineStr">
        <is>
          <t>Plot / unit price</t>
        </is>
      </c>
      <c r="G242" s="15" t="inlineStr">
        <is>
          <t>Green City Phase 2 (Ketu-Epe)</t>
        </is>
      </c>
      <c r="H242" s="15" t="inlineStr">
        <is>
          <t>BP-C0051</t>
        </is>
      </c>
      <c r="I242" s="15" t="inlineStr">
        <is>
          <t>Mr Ogunleye Olumide</t>
        </is>
      </c>
      <c r="J242" s="17" t="n">
        <v>400000</v>
      </c>
      <c r="K242" s="15" t="inlineStr">
        <is>
          <t>Single register</t>
        </is>
      </c>
      <c r="L242" s="15" t="inlineStr">
        <is>
          <t>Primary: monthly turnover register</t>
        </is>
      </c>
      <c r="M242" s="15" t="inlineStr">
        <is>
          <t>BAAY PROJECTS FINANCIALS 2024.xlsx</t>
        </is>
      </c>
      <c r="N242" s="15" t="inlineStr">
        <is>
          <t>MAY TURNOVER</t>
        </is>
      </c>
      <c r="O242" s="15" t="n">
        <v>20</v>
      </c>
      <c r="P242" s="15" t="inlineStr">
        <is>
          <t>15/05/2024</t>
        </is>
      </c>
      <c r="Q242" s="15" t="inlineStr">
        <is>
          <t>TURNOVER SCHEDULE r48</t>
        </is>
      </c>
      <c r="R242" s="15" t="n"/>
    </row>
    <row r="243">
      <c r="A243" s="15" t="inlineStr">
        <is>
          <t>SL0239</t>
        </is>
      </c>
      <c r="B243" s="16" t="n">
        <v>45428</v>
      </c>
      <c r="C243" s="15" t="inlineStr">
        <is>
          <t>2024-05</t>
        </is>
      </c>
      <c r="D243" s="15" t="n">
        <v>2024</v>
      </c>
      <c r="E243" s="15" t="inlineStr">
        <is>
          <t>Land</t>
        </is>
      </c>
      <c r="F243" s="15" t="inlineStr">
        <is>
          <t>Plot / unit price</t>
        </is>
      </c>
      <c r="G243" s="15" t="inlineStr">
        <is>
          <t>Green City Phase 1 (Lantaba, Ketu-Epe)</t>
        </is>
      </c>
      <c r="H243" s="15" t="inlineStr">
        <is>
          <t>BP-C0006</t>
        </is>
      </c>
      <c r="I243" s="15" t="inlineStr">
        <is>
          <t>Mr Olasupo Oladimeji</t>
        </is>
      </c>
      <c r="J243" s="17" t="n">
        <v>1000000</v>
      </c>
      <c r="K243" s="15" t="inlineStr">
        <is>
          <t>Single register</t>
        </is>
      </c>
      <c r="L243" s="15" t="inlineStr">
        <is>
          <t>Primary: monthly turnover register</t>
        </is>
      </c>
      <c r="M243" s="15" t="inlineStr">
        <is>
          <t>BAAY PROJECTS FINANCIALS 2024.xlsx</t>
        </is>
      </c>
      <c r="N243" s="15" t="inlineStr">
        <is>
          <t>MAY TURNOVER</t>
        </is>
      </c>
      <c r="O243" s="15" t="n">
        <v>23</v>
      </c>
      <c r="P243" s="15" t="inlineStr">
        <is>
          <t>16/05/2024</t>
        </is>
      </c>
      <c r="Q243" s="15" t="inlineStr">
        <is>
          <t>MRS ABIMBOLA r78</t>
        </is>
      </c>
      <c r="R243" s="15" t="n"/>
    </row>
    <row r="244">
      <c r="A244" s="15" t="inlineStr">
        <is>
          <t>SL0240</t>
        </is>
      </c>
      <c r="B244" s="16" t="n">
        <v>45429</v>
      </c>
      <c r="C244" s="15" t="inlineStr">
        <is>
          <t>2024-05</t>
        </is>
      </c>
      <c r="D244" s="15" t="n">
        <v>2024</v>
      </c>
      <c r="E244" s="15" t="inlineStr">
        <is>
          <t>Land</t>
        </is>
      </c>
      <c r="F244" s="15" t="inlineStr">
        <is>
          <t>Plot / unit price</t>
        </is>
      </c>
      <c r="G244" s="15" t="inlineStr">
        <is>
          <t>Green City Phase 1 (Lantaba, Ketu-Epe)</t>
        </is>
      </c>
      <c r="H244" s="15" t="inlineStr">
        <is>
          <t>BP-C0053</t>
        </is>
      </c>
      <c r="I244" s="15" t="inlineStr">
        <is>
          <t>Mr Adegbembo Stephen</t>
        </is>
      </c>
      <c r="J244" s="17" t="n">
        <v>1000000</v>
      </c>
      <c r="K244" s="15" t="inlineStr">
        <is>
          <t>Single register</t>
        </is>
      </c>
      <c r="L244" s="15" t="inlineStr">
        <is>
          <t>Primary: monthly turnover register</t>
        </is>
      </c>
      <c r="M244" s="15" t="inlineStr">
        <is>
          <t>BAAY PROJECTS FINANCIALS 2024.xlsx</t>
        </is>
      </c>
      <c r="N244" s="15" t="inlineStr">
        <is>
          <t>MAY TURNOVER</t>
        </is>
      </c>
      <c r="O244" s="15" t="n">
        <v>25</v>
      </c>
      <c r="P244" s="15" t="inlineStr">
        <is>
          <t>17/05/2024</t>
        </is>
      </c>
      <c r="Q244" s="15" t="n"/>
      <c r="R244" s="15" t="n"/>
    </row>
    <row r="245">
      <c r="A245" s="15" t="inlineStr">
        <is>
          <t>SL0241</t>
        </is>
      </c>
      <c r="B245" s="16" t="n">
        <v>45429</v>
      </c>
      <c r="C245" s="15" t="inlineStr">
        <is>
          <t>2024-05</t>
        </is>
      </c>
      <c r="D245" s="15" t="n">
        <v>2024</v>
      </c>
      <c r="E245" s="15" t="inlineStr">
        <is>
          <t>Land</t>
        </is>
      </c>
      <c r="F245" s="15" t="inlineStr">
        <is>
          <t>Plot / unit price</t>
        </is>
      </c>
      <c r="G245" s="15" t="inlineStr">
        <is>
          <t>Green City Phase 2 (Ketu-Epe)</t>
        </is>
      </c>
      <c r="H245" s="15" t="inlineStr">
        <is>
          <t>BP-C0012</t>
        </is>
      </c>
      <c r="I245" s="15" t="inlineStr">
        <is>
          <t>Mr Apiafi Imiebam</t>
        </is>
      </c>
      <c r="J245" s="17" t="n">
        <v>1000000</v>
      </c>
      <c r="K245" s="15" t="inlineStr">
        <is>
          <t>Single register</t>
        </is>
      </c>
      <c r="L245" s="15" t="inlineStr">
        <is>
          <t>Primary: monthly turnover register</t>
        </is>
      </c>
      <c r="M245" s="15" t="inlineStr">
        <is>
          <t>BAAY PROJECTS FINANCIALS 2024.xlsx</t>
        </is>
      </c>
      <c r="N245" s="15" t="inlineStr">
        <is>
          <t>MAY TURNOVER</t>
        </is>
      </c>
      <c r="O245" s="15" t="n">
        <v>27</v>
      </c>
      <c r="P245" s="15" t="inlineStr">
        <is>
          <t>17/05/2024</t>
        </is>
      </c>
      <c r="Q245" s="15" t="inlineStr">
        <is>
          <t>MS BLESSING r44</t>
        </is>
      </c>
      <c r="R245" s="15" t="n"/>
    </row>
    <row r="246">
      <c r="A246" s="15" t="inlineStr">
        <is>
          <t>SL0242</t>
        </is>
      </c>
      <c r="B246" s="16" t="n">
        <v>45429</v>
      </c>
      <c r="C246" s="15" t="inlineStr">
        <is>
          <t>2024-05</t>
        </is>
      </c>
      <c r="D246" s="15" t="n">
        <v>2024</v>
      </c>
      <c r="E246" s="15" t="inlineStr">
        <is>
          <t>Land</t>
        </is>
      </c>
      <c r="F246" s="15" t="inlineStr">
        <is>
          <t>Plot / unit price</t>
        </is>
      </c>
      <c r="G246" s="15" t="inlineStr">
        <is>
          <t>Green City Phase 1 (Lantaba, Ketu-Epe)</t>
        </is>
      </c>
      <c r="H246" s="15" t="inlineStr">
        <is>
          <t>BP-C0006</t>
        </is>
      </c>
      <c r="I246" s="15" t="inlineStr">
        <is>
          <t>Mr Olasupo Oladimeji</t>
        </is>
      </c>
      <c r="J246" s="17" t="n">
        <v>97550</v>
      </c>
      <c r="K246" s="15" t="inlineStr">
        <is>
          <t>Single register</t>
        </is>
      </c>
      <c r="L246" s="15" t="inlineStr">
        <is>
          <t>Primary: monthly turnover register</t>
        </is>
      </c>
      <c r="M246" s="15" t="inlineStr">
        <is>
          <t>BAAY PROJECTS FINANCIALS 2024.xlsx</t>
        </is>
      </c>
      <c r="N246" s="15" t="inlineStr">
        <is>
          <t>MAY TURNOVER</t>
        </is>
      </c>
      <c r="O246" s="15" t="n">
        <v>24</v>
      </c>
      <c r="P246" s="15" t="inlineStr">
        <is>
          <t>17/05/2024</t>
        </is>
      </c>
      <c r="Q246" s="15" t="inlineStr">
        <is>
          <t>MRS ABIMBOLA r79</t>
        </is>
      </c>
      <c r="R246" s="15" t="n"/>
    </row>
    <row r="247">
      <c r="A247" s="15" t="inlineStr">
        <is>
          <t>SL0243</t>
        </is>
      </c>
      <c r="B247" s="16" t="n">
        <v>45429</v>
      </c>
      <c r="C247" s="15" t="inlineStr">
        <is>
          <t>2024-05</t>
        </is>
      </c>
      <c r="D247" s="15" t="n">
        <v>2024</v>
      </c>
      <c r="E247" s="15" t="inlineStr">
        <is>
          <t>Land</t>
        </is>
      </c>
      <c r="F247" s="15" t="inlineStr">
        <is>
          <t>Plot / unit price</t>
        </is>
      </c>
      <c r="G247" s="15" t="inlineStr">
        <is>
          <t>Green City Phase 2 (Ketu-Epe)</t>
        </is>
      </c>
      <c r="H247" s="15" t="inlineStr">
        <is>
          <t>BP-C0092</t>
        </is>
      </c>
      <c r="I247" s="15" t="inlineStr">
        <is>
          <t>Mr Oriakhi Osemudiamen Peter</t>
        </is>
      </c>
      <c r="J247" s="17" t="n">
        <v>1500000</v>
      </c>
      <c r="K247" s="15" t="inlineStr">
        <is>
          <t>Single register</t>
        </is>
      </c>
      <c r="L247" s="15" t="inlineStr">
        <is>
          <t>Primary: monthly turnover register</t>
        </is>
      </c>
      <c r="M247" s="15" t="inlineStr">
        <is>
          <t>BAAY PROJECTS FINANCIALS 2024.xlsx</t>
        </is>
      </c>
      <c r="N247" s="15" t="inlineStr">
        <is>
          <t>MAY TURNOVER</t>
        </is>
      </c>
      <c r="O247" s="15" t="n">
        <v>26</v>
      </c>
      <c r="P247" s="15" t="inlineStr">
        <is>
          <t>17/05/2024</t>
        </is>
      </c>
      <c r="Q247" s="15" t="inlineStr">
        <is>
          <t>TURNOVER SCHEDULE r357, MS BLESSING r43</t>
        </is>
      </c>
      <c r="R247" s="15" t="n"/>
    </row>
    <row r="248">
      <c r="A248" s="15" t="inlineStr">
        <is>
          <t>SL0244</t>
        </is>
      </c>
      <c r="B248" s="16" t="n">
        <v>45429</v>
      </c>
      <c r="C248" s="15" t="inlineStr">
        <is>
          <t>2024-05</t>
        </is>
      </c>
      <c r="D248" s="15" t="n">
        <v>2024</v>
      </c>
      <c r="E248" s="15" t="inlineStr">
        <is>
          <t>Land</t>
        </is>
      </c>
      <c r="F248" s="15" t="inlineStr">
        <is>
          <t>Plot / unit price</t>
        </is>
      </c>
      <c r="G248" s="15" t="inlineStr">
        <is>
          <t>Green City Phase 2 (Ketu-Epe)</t>
        </is>
      </c>
      <c r="H248" s="15" t="inlineStr">
        <is>
          <t>BP-C0081</t>
        </is>
      </c>
      <c r="I248" s="15" t="inlineStr">
        <is>
          <t>Mr Ukachi Godfrey</t>
        </is>
      </c>
      <c r="J248" s="17" t="n">
        <v>500000</v>
      </c>
      <c r="K248" s="15" t="inlineStr">
        <is>
          <t>Single register</t>
        </is>
      </c>
      <c r="L248" s="15" t="inlineStr">
        <is>
          <t>Primary: monthly turnover register</t>
        </is>
      </c>
      <c r="M248" s="15" t="inlineStr">
        <is>
          <t>BAAY PROJECTS FINANCIALS 2024.xlsx</t>
        </is>
      </c>
      <c r="N248" s="15" t="inlineStr">
        <is>
          <t>MAY TURNOVER</t>
        </is>
      </c>
      <c r="O248" s="15" t="n">
        <v>28</v>
      </c>
      <c r="P248" s="15" t="inlineStr">
        <is>
          <t>17/05/2024</t>
        </is>
      </c>
      <c r="Q248" s="15" t="inlineStr">
        <is>
          <t>TURNOVER SCHEDULE r276, MS FEYI r7</t>
        </is>
      </c>
      <c r="R248" s="15" t="n"/>
    </row>
    <row r="249">
      <c r="A249" s="15" t="inlineStr">
        <is>
          <t>SL0245</t>
        </is>
      </c>
      <c r="B249" s="16" t="n">
        <v>45431</v>
      </c>
      <c r="C249" s="15" t="inlineStr">
        <is>
          <t>2024-05</t>
        </is>
      </c>
      <c r="D249" s="15" t="n">
        <v>2024</v>
      </c>
      <c r="E249" s="15" t="inlineStr">
        <is>
          <t>Land</t>
        </is>
      </c>
      <c r="F249" s="15" t="inlineStr">
        <is>
          <t>Plot / unit price</t>
        </is>
      </c>
      <c r="G249" s="15" t="inlineStr">
        <is>
          <t>Green City Phase 1 (Lantaba, Ketu-Epe)</t>
        </is>
      </c>
      <c r="H249" s="15" t="inlineStr">
        <is>
          <t>BP-C0086</t>
        </is>
      </c>
      <c r="I249" s="15" t="inlineStr">
        <is>
          <t>Miss Nwobodo Miriam</t>
        </is>
      </c>
      <c r="J249" s="17" t="n">
        <v>500000</v>
      </c>
      <c r="K249" s="15" t="inlineStr">
        <is>
          <t>Single register</t>
        </is>
      </c>
      <c r="L249" s="15" t="inlineStr">
        <is>
          <t>Primary: monthly turnover register</t>
        </is>
      </c>
      <c r="M249" s="15" t="inlineStr">
        <is>
          <t>BAAY PROJECTS FINANCIALS 2024.xlsx</t>
        </is>
      </c>
      <c r="N249" s="15" t="inlineStr">
        <is>
          <t>MAY TURNOVER</t>
        </is>
      </c>
      <c r="O249" s="15" t="n">
        <v>29</v>
      </c>
      <c r="P249" s="15" t="inlineStr">
        <is>
          <t>19/05/2024</t>
        </is>
      </c>
      <c r="Q249" s="15" t="inlineStr">
        <is>
          <t>TURNOVER SCHEDULE r316, MD r23</t>
        </is>
      </c>
      <c r="R249" s="15" t="n"/>
    </row>
    <row r="250">
      <c r="A250" s="15" t="inlineStr">
        <is>
          <t>SL0246</t>
        </is>
      </c>
      <c r="B250" s="16" t="n">
        <v>45431</v>
      </c>
      <c r="C250" s="15" t="inlineStr">
        <is>
          <t>2024-05</t>
        </is>
      </c>
      <c r="D250" s="15" t="n">
        <v>2024</v>
      </c>
      <c r="E250" s="15" t="inlineStr">
        <is>
          <t>Land</t>
        </is>
      </c>
      <c r="F250" s="15" t="inlineStr">
        <is>
          <t>Plot / unit price</t>
        </is>
      </c>
      <c r="G250" s="15" t="inlineStr">
        <is>
          <t>Green City Phase 2 (Ketu-Epe)</t>
        </is>
      </c>
      <c r="H250" s="15" t="inlineStr">
        <is>
          <t>BP-C0051</t>
        </is>
      </c>
      <c r="I250" s="15" t="inlineStr">
        <is>
          <t>Mr Ogunleye Olumide</t>
        </is>
      </c>
      <c r="J250" s="17" t="n">
        <v>135000</v>
      </c>
      <c r="K250" s="15" t="inlineStr">
        <is>
          <t>Single register</t>
        </is>
      </c>
      <c r="L250" s="15" t="inlineStr">
        <is>
          <t>Primary: monthly turnover register</t>
        </is>
      </c>
      <c r="M250" s="15" t="inlineStr">
        <is>
          <t>BAAY PROJECTS FINANCIALS 2024.xlsx</t>
        </is>
      </c>
      <c r="N250" s="15" t="inlineStr">
        <is>
          <t>MAY TURNOVER</t>
        </is>
      </c>
      <c r="O250" s="15" t="n">
        <v>30</v>
      </c>
      <c r="P250" s="15" t="inlineStr">
        <is>
          <t>19/05/2024</t>
        </is>
      </c>
      <c r="Q250" s="15" t="n"/>
      <c r="R250" s="15" t="n"/>
    </row>
    <row r="251">
      <c r="A251" s="15" t="inlineStr">
        <is>
          <t>SL0247</t>
        </is>
      </c>
      <c r="B251" s="16" t="n">
        <v>45433</v>
      </c>
      <c r="C251" s="15" t="inlineStr">
        <is>
          <t>2024-05</t>
        </is>
      </c>
      <c r="D251" s="15" t="n">
        <v>2024</v>
      </c>
      <c r="E251" s="15" t="inlineStr">
        <is>
          <t>Land</t>
        </is>
      </c>
      <c r="F251" s="15" t="inlineStr">
        <is>
          <t>Plot / unit price</t>
        </is>
      </c>
      <c r="G251" s="15" t="inlineStr">
        <is>
          <t>Green City Phase 2 (Ketu-Epe)</t>
        </is>
      </c>
      <c r="H251" s="15" t="inlineStr">
        <is>
          <t>BP-C0093</t>
        </is>
      </c>
      <c r="I251" s="15" t="inlineStr">
        <is>
          <t>Mr Okuneye Oluwakayode Oluwaseyi</t>
        </is>
      </c>
      <c r="J251" s="17" t="n">
        <v>500000</v>
      </c>
      <c r="K251" s="15" t="inlineStr">
        <is>
          <t>Single register</t>
        </is>
      </c>
      <c r="L251" s="15" t="inlineStr">
        <is>
          <t>Primary: monthly turnover register</t>
        </is>
      </c>
      <c r="M251" s="15" t="inlineStr">
        <is>
          <t>BAAY PROJECTS FINANCIALS 2024.xlsx</t>
        </is>
      </c>
      <c r="N251" s="15" t="inlineStr">
        <is>
          <t>MAY TURNOVER</t>
        </is>
      </c>
      <c r="O251" s="15" t="n">
        <v>31</v>
      </c>
      <c r="P251" s="15" t="inlineStr">
        <is>
          <t>21/05/2024</t>
        </is>
      </c>
      <c r="Q251" s="15" t="inlineStr">
        <is>
          <t>MS BOLANLE r61</t>
        </is>
      </c>
      <c r="R251" s="15" t="n"/>
    </row>
    <row r="252">
      <c r="A252" s="15" t="inlineStr">
        <is>
          <t>SL0248</t>
        </is>
      </c>
      <c r="B252" s="16" t="n">
        <v>45434</v>
      </c>
      <c r="C252" s="15" t="inlineStr">
        <is>
          <t>2024-05</t>
        </is>
      </c>
      <c r="D252" s="15" t="n">
        <v>2024</v>
      </c>
      <c r="E252" s="15" t="inlineStr">
        <is>
          <t>Land</t>
        </is>
      </c>
      <c r="F252" s="15" t="inlineStr">
        <is>
          <t>Plot / unit price</t>
        </is>
      </c>
      <c r="G252" s="15" t="inlineStr">
        <is>
          <t>Green City Phase 2 (Ketu-Epe)</t>
        </is>
      </c>
      <c r="H252" s="15" t="inlineStr">
        <is>
          <t>BP-C0060</t>
        </is>
      </c>
      <c r="I252" s="15" t="inlineStr">
        <is>
          <t>Miss Mitchell Jennifer</t>
        </is>
      </c>
      <c r="J252" s="17" t="n">
        <v>192000</v>
      </c>
      <c r="K252" s="15" t="inlineStr">
        <is>
          <t>Single register</t>
        </is>
      </c>
      <c r="L252" s="15" t="inlineStr">
        <is>
          <t>Primary: monthly turnover register</t>
        </is>
      </c>
      <c r="M252" s="15" t="inlineStr">
        <is>
          <t>BAAY PROJECTS FINANCIALS 2024.xlsx</t>
        </is>
      </c>
      <c r="N252" s="15" t="inlineStr">
        <is>
          <t>MAY TURNOVER</t>
        </is>
      </c>
      <c r="O252" s="15" t="n">
        <v>34</v>
      </c>
      <c r="P252" s="15" t="inlineStr">
        <is>
          <t>22/05/2024</t>
        </is>
      </c>
      <c r="Q252" s="15" t="n"/>
      <c r="R252" s="15" t="n"/>
    </row>
    <row r="253">
      <c r="A253" s="15" t="inlineStr">
        <is>
          <t>SL0249</t>
        </is>
      </c>
      <c r="B253" s="16" t="n">
        <v>45434</v>
      </c>
      <c r="C253" s="15" t="inlineStr">
        <is>
          <t>2024-05</t>
        </is>
      </c>
      <c r="D253" s="15" t="n">
        <v>2024</v>
      </c>
      <c r="E253" s="15" t="inlineStr">
        <is>
          <t>Land</t>
        </is>
      </c>
      <c r="F253" s="15" t="inlineStr">
        <is>
          <t>Plot / unit price</t>
        </is>
      </c>
      <c r="G253" s="15" t="inlineStr">
        <is>
          <t>Green City Phase 2 (Ketu-Epe)</t>
        </is>
      </c>
      <c r="H253" s="15" t="inlineStr">
        <is>
          <t>BP-C0084</t>
        </is>
      </c>
      <c r="I253" s="15" t="inlineStr">
        <is>
          <t>Mr Adegbayemu Ariyo Dennis</t>
        </is>
      </c>
      <c r="J253" s="17" t="n">
        <v>2885000</v>
      </c>
      <c r="K253" s="15" t="inlineStr">
        <is>
          <t>Single register</t>
        </is>
      </c>
      <c r="L253" s="15" t="inlineStr">
        <is>
          <t>Primary: monthly turnover register</t>
        </is>
      </c>
      <c r="M253" s="15" t="inlineStr">
        <is>
          <t>BAAY PROJECTS FINANCIALS 2024.xlsx</t>
        </is>
      </c>
      <c r="N253" s="15" t="inlineStr">
        <is>
          <t>MAY TURNOVER</t>
        </is>
      </c>
      <c r="O253" s="15" t="n">
        <v>32</v>
      </c>
      <c r="P253" s="15" t="inlineStr">
        <is>
          <t>22/05/2024</t>
        </is>
      </c>
      <c r="Q253" s="15" t="inlineStr">
        <is>
          <t>TURNOVER SCHEDULE r331, FASUYI OLAYINKA r22, BARRISTER AYO r6</t>
        </is>
      </c>
      <c r="R253" s="15" t="n"/>
    </row>
    <row r="254">
      <c r="A254" s="15" t="inlineStr">
        <is>
          <t>SL0250</t>
        </is>
      </c>
      <c r="B254" s="16" t="n">
        <v>45434</v>
      </c>
      <c r="C254" s="15" t="inlineStr">
        <is>
          <t>2024-05</t>
        </is>
      </c>
      <c r="D254" s="15" t="n">
        <v>2024</v>
      </c>
      <c r="E254" s="15" t="inlineStr">
        <is>
          <t>Land</t>
        </is>
      </c>
      <c r="F254" s="15" t="inlineStr">
        <is>
          <t>Plot / unit price</t>
        </is>
      </c>
      <c r="G254" s="15" t="inlineStr">
        <is>
          <t>Green City Phase 2 (Ketu-Epe)</t>
        </is>
      </c>
      <c r="H254" s="15" t="inlineStr">
        <is>
          <t>BP-C0094</t>
        </is>
      </c>
      <c r="I254" s="15" t="inlineStr">
        <is>
          <t>Mr Ajayi Oluwadunsin Babatunde</t>
        </is>
      </c>
      <c r="J254" s="17" t="n">
        <v>1000000</v>
      </c>
      <c r="K254" s="15" t="inlineStr">
        <is>
          <t>Single register</t>
        </is>
      </c>
      <c r="L254" s="15" t="inlineStr">
        <is>
          <t>Primary: monthly turnover register</t>
        </is>
      </c>
      <c r="M254" s="15" t="inlineStr">
        <is>
          <t>BAAY PROJECTS FINANCIALS 2024.xlsx</t>
        </is>
      </c>
      <c r="N254" s="15" t="inlineStr">
        <is>
          <t>MAY TURNOVER</t>
        </is>
      </c>
      <c r="O254" s="15" t="n">
        <v>33</v>
      </c>
      <c r="P254" s="15" t="inlineStr">
        <is>
          <t>22/05/2024</t>
        </is>
      </c>
      <c r="Q254" s="15" t="n"/>
      <c r="R254" s="15" t="n"/>
    </row>
    <row r="255">
      <c r="A255" s="15" t="inlineStr">
        <is>
          <t>SL0251</t>
        </is>
      </c>
      <c r="B255" s="16" t="n">
        <v>45436</v>
      </c>
      <c r="C255" s="15" t="inlineStr">
        <is>
          <t>2024-05</t>
        </is>
      </c>
      <c r="D255" s="15" t="n">
        <v>2024</v>
      </c>
      <c r="E255" s="15" t="inlineStr">
        <is>
          <t>Land</t>
        </is>
      </c>
      <c r="F255" s="15" t="inlineStr">
        <is>
          <t>Plot / unit price</t>
        </is>
      </c>
      <c r="G255" s="15" t="inlineStr">
        <is>
          <t>Green City Phase 2 (Ketu-Epe)</t>
        </is>
      </c>
      <c r="H255" s="15" t="inlineStr">
        <is>
          <t>BP-C0090</t>
        </is>
      </c>
      <c r="I255" s="15" t="inlineStr">
        <is>
          <t>Mr Ajiva Lubem Barnabas</t>
        </is>
      </c>
      <c r="J255" s="17" t="n">
        <v>500000</v>
      </c>
      <c r="K255" s="15" t="inlineStr">
        <is>
          <t>Single register</t>
        </is>
      </c>
      <c r="L255" s="15" t="inlineStr">
        <is>
          <t>Primary: monthly turnover register</t>
        </is>
      </c>
      <c r="M255" s="15" t="inlineStr">
        <is>
          <t>BAAY PROJECTS FINANCIALS 2024.xlsx</t>
        </is>
      </c>
      <c r="N255" s="15" t="inlineStr">
        <is>
          <t>MAY TURNOVER</t>
        </is>
      </c>
      <c r="O255" s="15" t="n">
        <v>35</v>
      </c>
      <c r="P255" s="15" t="inlineStr">
        <is>
          <t>24/05/2024</t>
        </is>
      </c>
      <c r="Q255" s="15" t="inlineStr">
        <is>
          <t>TURNOVER SCHEDULE r363, FASUYI OLAYINKA r23</t>
        </is>
      </c>
      <c r="R255" s="15" t="n"/>
    </row>
    <row r="256">
      <c r="A256" s="15" t="inlineStr">
        <is>
          <t>SL0252</t>
        </is>
      </c>
      <c r="B256" s="16" t="n">
        <v>45437</v>
      </c>
      <c r="C256" s="15" t="inlineStr">
        <is>
          <t>2024-06</t>
        </is>
      </c>
      <c r="D256" s="15" t="n">
        <v>2024</v>
      </c>
      <c r="E256" s="15" t="inlineStr">
        <is>
          <t>Land</t>
        </is>
      </c>
      <c r="F256" s="15" t="inlineStr">
        <is>
          <t>Plot / unit price</t>
        </is>
      </c>
      <c r="G256" s="15" t="inlineStr">
        <is>
          <t>Green City Phase 1 (Lantaba, Ketu-Epe)</t>
        </is>
      </c>
      <c r="H256" s="15" t="inlineStr">
        <is>
          <t>BP-C0027</t>
        </is>
      </c>
      <c r="I256" s="15" t="inlineStr">
        <is>
          <t>Mr Edun Ayobami</t>
        </is>
      </c>
      <c r="J256" s="17" t="n">
        <v>1208000</v>
      </c>
      <c r="K256" s="15" t="inlineStr">
        <is>
          <t>Allen Branch</t>
        </is>
      </c>
      <c r="L256" s="15" t="inlineStr">
        <is>
          <t>Primary: monthly turnover register</t>
        </is>
      </c>
      <c r="M256" s="15" t="inlineStr">
        <is>
          <t>BAAY PROJECTS FINANCIALS 2024.xlsx</t>
        </is>
      </c>
      <c r="N256" s="15" t="inlineStr">
        <is>
          <t>JUNE TURNOVER</t>
        </is>
      </c>
      <c r="O256" s="15" t="n">
        <v>37</v>
      </c>
      <c r="P256" s="15" t="inlineStr">
        <is>
          <t>25/05/2024</t>
        </is>
      </c>
      <c r="Q256" s="15" t="inlineStr">
        <is>
          <t>MRS ABIMBOLA r95</t>
        </is>
      </c>
      <c r="R256" s="15" t="inlineStr">
        <is>
          <t>Date in source (25/05/2024) outside the sheet month; reported under 2024-06 per source sheet</t>
        </is>
      </c>
    </row>
    <row r="257">
      <c r="A257" s="15" t="inlineStr">
        <is>
          <t>SL0253</t>
        </is>
      </c>
      <c r="B257" s="16" t="n">
        <v>45438</v>
      </c>
      <c r="C257" s="15" t="inlineStr">
        <is>
          <t>2024-05</t>
        </is>
      </c>
      <c r="D257" s="15" t="n">
        <v>2024</v>
      </c>
      <c r="E257" s="15" t="inlineStr">
        <is>
          <t>Land</t>
        </is>
      </c>
      <c r="F257" s="15" t="inlineStr">
        <is>
          <t>Plot / unit price</t>
        </is>
      </c>
      <c r="G257" s="15" t="inlineStr">
        <is>
          <t>Green City Phase 1 (Lantaba, Ketu-Epe)</t>
        </is>
      </c>
      <c r="H257" s="15" t="inlineStr">
        <is>
          <t>BP-C0006</t>
        </is>
      </c>
      <c r="I257" s="15" t="inlineStr">
        <is>
          <t>Mr Olasupo Oladimeji</t>
        </is>
      </c>
      <c r="J257" s="17" t="n">
        <v>285000</v>
      </c>
      <c r="K257" s="15" t="inlineStr">
        <is>
          <t>Single register</t>
        </is>
      </c>
      <c r="L257" s="15" t="inlineStr">
        <is>
          <t>Primary: monthly turnover register</t>
        </is>
      </c>
      <c r="M257" s="15" t="inlineStr">
        <is>
          <t>BAAY PROJECTS FINANCIALS 2024.xlsx</t>
        </is>
      </c>
      <c r="N257" s="15" t="inlineStr">
        <is>
          <t>MAY TURNOVER</t>
        </is>
      </c>
      <c r="O257" s="15" t="n">
        <v>36</v>
      </c>
      <c r="P257" s="15" t="inlineStr">
        <is>
          <t>26/05/2024</t>
        </is>
      </c>
      <c r="Q257" s="15" t="n"/>
      <c r="R257" s="15" t="n"/>
    </row>
    <row r="258">
      <c r="A258" s="15" t="inlineStr">
        <is>
          <t>SL0254</t>
        </is>
      </c>
      <c r="B258" s="16" t="n">
        <v>45439</v>
      </c>
      <c r="C258" s="15" t="inlineStr">
        <is>
          <t>2024-05</t>
        </is>
      </c>
      <c r="D258" s="15" t="n">
        <v>2024</v>
      </c>
      <c r="E258" s="15" t="inlineStr">
        <is>
          <t>Land</t>
        </is>
      </c>
      <c r="F258" s="15" t="inlineStr">
        <is>
          <t>Plot / unit price</t>
        </is>
      </c>
      <c r="G258" s="15" t="inlineStr">
        <is>
          <t>Green City Phase 2 (Ketu-Epe)</t>
        </is>
      </c>
      <c r="H258" s="15" t="inlineStr">
        <is>
          <t>BP-C0030</t>
        </is>
      </c>
      <c r="I258" s="15" t="inlineStr">
        <is>
          <t>Mr Adese Akorede John</t>
        </is>
      </c>
      <c r="J258" s="17" t="n">
        <v>200000</v>
      </c>
      <c r="K258" s="15" t="inlineStr">
        <is>
          <t>Single register</t>
        </is>
      </c>
      <c r="L258" s="15" t="inlineStr">
        <is>
          <t>Primary: monthly turnover register</t>
        </is>
      </c>
      <c r="M258" s="15" t="inlineStr">
        <is>
          <t>BAAY PROJECTS FINANCIALS 2024.xlsx</t>
        </is>
      </c>
      <c r="N258" s="15" t="inlineStr">
        <is>
          <t>MAY TURNOVER</t>
        </is>
      </c>
      <c r="O258" s="15" t="n">
        <v>37</v>
      </c>
      <c r="P258" s="15" t="inlineStr">
        <is>
          <t>27/05/2024</t>
        </is>
      </c>
      <c r="Q258" s="15" t="n"/>
      <c r="R258" s="15" t="n"/>
    </row>
    <row r="259">
      <c r="A259" s="15" t="inlineStr">
        <is>
          <t>SL0255</t>
        </is>
      </c>
      <c r="B259" s="16" t="n">
        <v>45439</v>
      </c>
      <c r="C259" s="15" t="inlineStr">
        <is>
          <t>2024-05</t>
        </is>
      </c>
      <c r="D259" s="15" t="n">
        <v>2024</v>
      </c>
      <c r="E259" s="15" t="inlineStr">
        <is>
          <t>Land</t>
        </is>
      </c>
      <c r="F259" s="15" t="inlineStr">
        <is>
          <t>Plot / unit price</t>
        </is>
      </c>
      <c r="G259" s="15" t="inlineStr">
        <is>
          <t>Green City Phase 2 (Ketu-Epe)</t>
        </is>
      </c>
      <c r="H259" s="15" t="inlineStr">
        <is>
          <t>BP-C0030</t>
        </is>
      </c>
      <c r="I259" s="15" t="inlineStr">
        <is>
          <t>Mr Adese Akorede John</t>
        </is>
      </c>
      <c r="J259" s="17" t="n">
        <v>50000</v>
      </c>
      <c r="K259" s="15" t="inlineStr">
        <is>
          <t>Single register</t>
        </is>
      </c>
      <c r="L259" s="15" t="inlineStr">
        <is>
          <t>Primary: monthly turnover register</t>
        </is>
      </c>
      <c r="M259" s="15" t="inlineStr">
        <is>
          <t>BAAY PROJECTS FINANCIALS 2024.xlsx</t>
        </is>
      </c>
      <c r="N259" s="15" t="inlineStr">
        <is>
          <t>MAY TURNOVER</t>
        </is>
      </c>
      <c r="O259" s="15" t="n">
        <v>38</v>
      </c>
      <c r="P259" s="15" t="inlineStr">
        <is>
          <t>27/05/2024</t>
        </is>
      </c>
      <c r="Q259" s="15" t="n"/>
      <c r="R259" s="15" t="n"/>
    </row>
    <row r="260">
      <c r="A260" s="15" t="inlineStr">
        <is>
          <t>SL0256</t>
        </is>
      </c>
      <c r="B260" s="16" t="n">
        <v>45440</v>
      </c>
      <c r="C260" s="15" t="inlineStr">
        <is>
          <t>2024-05</t>
        </is>
      </c>
      <c r="D260" s="15" t="n">
        <v>2024</v>
      </c>
      <c r="E260" s="15" t="inlineStr">
        <is>
          <t>Land</t>
        </is>
      </c>
      <c r="F260" s="15" t="inlineStr">
        <is>
          <t>Plot / unit price</t>
        </is>
      </c>
      <c r="G260" s="15" t="inlineStr">
        <is>
          <t>Green City Phase 2 (Ketu-Epe)</t>
        </is>
      </c>
      <c r="H260" s="15" t="inlineStr">
        <is>
          <t>BP-C0095</t>
        </is>
      </c>
      <c r="I260" s="15" t="inlineStr">
        <is>
          <t>Miss Ebhotan Sharon Aisosa</t>
        </is>
      </c>
      <c r="J260" s="17" t="n">
        <v>295000</v>
      </c>
      <c r="K260" s="15" t="inlineStr">
        <is>
          <t>Single register</t>
        </is>
      </c>
      <c r="L260" s="15" t="inlineStr">
        <is>
          <t>Primary: monthly turnover register</t>
        </is>
      </c>
      <c r="M260" s="15" t="inlineStr">
        <is>
          <t>BAAY PROJECTS FINANCIALS 2024.xlsx</t>
        </is>
      </c>
      <c r="N260" s="15" t="inlineStr">
        <is>
          <t>MAY TURNOVER</t>
        </is>
      </c>
      <c r="O260" s="15" t="n">
        <v>41</v>
      </c>
      <c r="P260" s="15" t="inlineStr">
        <is>
          <t>28/05/2024</t>
        </is>
      </c>
      <c r="Q260" s="15" t="n"/>
      <c r="R260" s="15" t="n"/>
    </row>
    <row r="261">
      <c r="A261" s="15" t="inlineStr">
        <is>
          <t>SL0257</t>
        </is>
      </c>
      <c r="B261" s="16" t="n">
        <v>45440</v>
      </c>
      <c r="C261" s="15" t="inlineStr">
        <is>
          <t>2024-05</t>
        </is>
      </c>
      <c r="D261" s="15" t="n">
        <v>2024</v>
      </c>
      <c r="E261" s="15" t="inlineStr">
        <is>
          <t>Land</t>
        </is>
      </c>
      <c r="F261" s="15" t="inlineStr">
        <is>
          <t>Plot / unit price</t>
        </is>
      </c>
      <c r="G261" s="15" t="inlineStr">
        <is>
          <t>Green City Phase 1 (Lantaba, Ketu-Epe)</t>
        </is>
      </c>
      <c r="H261" s="15" t="inlineStr">
        <is>
          <t>BP-C0046</t>
        </is>
      </c>
      <c r="I261" s="15" t="inlineStr">
        <is>
          <t>Mr Adesida Raphael Abiodun</t>
        </is>
      </c>
      <c r="J261" s="17" t="n">
        <v>100000</v>
      </c>
      <c r="K261" s="15" t="inlineStr">
        <is>
          <t>Single register</t>
        </is>
      </c>
      <c r="L261" s="15" t="inlineStr">
        <is>
          <t>Primary: monthly turnover register</t>
        </is>
      </c>
      <c r="M261" s="15" t="inlineStr">
        <is>
          <t>BAAY PROJECTS FINANCIALS 2024.xlsx</t>
        </is>
      </c>
      <c r="N261" s="15" t="inlineStr">
        <is>
          <t>MAY TURNOVER</t>
        </is>
      </c>
      <c r="O261" s="15" t="n">
        <v>40</v>
      </c>
      <c r="P261" s="15" t="inlineStr">
        <is>
          <t>28/05/2024</t>
        </is>
      </c>
      <c r="Q261" s="15" t="inlineStr">
        <is>
          <t>TURNOVER SCHEDULE r178, MD r35</t>
        </is>
      </c>
      <c r="R261" s="15" t="n"/>
    </row>
    <row r="262">
      <c r="A262" s="15" t="inlineStr">
        <is>
          <t>SL0258</t>
        </is>
      </c>
      <c r="B262" s="16" t="n">
        <v>45440</v>
      </c>
      <c r="C262" s="15" t="inlineStr">
        <is>
          <t>2024-05</t>
        </is>
      </c>
      <c r="D262" s="15" t="n">
        <v>2024</v>
      </c>
      <c r="E262" s="15" t="inlineStr">
        <is>
          <t>Land</t>
        </is>
      </c>
      <c r="F262" s="15" t="inlineStr">
        <is>
          <t>Plot / unit price</t>
        </is>
      </c>
      <c r="G262" s="15" t="inlineStr">
        <is>
          <t>Green City Phase 1 (Lantaba, Ketu-Epe)</t>
        </is>
      </c>
      <c r="H262" s="15" t="inlineStr">
        <is>
          <t>BP-C0045</t>
        </is>
      </c>
      <c r="I262" s="15" t="inlineStr">
        <is>
          <t>Mr Bolarinwa Iyanuoluwa Simon &amp; Dr Bolarinwa Abisola Christianah</t>
        </is>
      </c>
      <c r="J262" s="17" t="n">
        <v>500000</v>
      </c>
      <c r="K262" s="15" t="inlineStr">
        <is>
          <t>Single register</t>
        </is>
      </c>
      <c r="L262" s="15" t="inlineStr">
        <is>
          <t>Primary: monthly turnover register</t>
        </is>
      </c>
      <c r="M262" s="15" t="inlineStr">
        <is>
          <t>BAAY PROJECTS FINANCIALS 2024.xlsx</t>
        </is>
      </c>
      <c r="N262" s="15" t="inlineStr">
        <is>
          <t>MAY TURNOVER</t>
        </is>
      </c>
      <c r="O262" s="15" t="n">
        <v>39</v>
      </c>
      <c r="P262" s="15" t="inlineStr">
        <is>
          <t>28/05/2024</t>
        </is>
      </c>
      <c r="Q262" s="15" t="inlineStr">
        <is>
          <t>TURNOVER SCHEDULE r367, MD r24</t>
        </is>
      </c>
      <c r="R262" s="15" t="n"/>
    </row>
    <row r="263">
      <c r="A263" s="15" t="inlineStr">
        <is>
          <t>SL0259</t>
        </is>
      </c>
      <c r="B263" s="16" t="n">
        <v>45441</v>
      </c>
      <c r="C263" s="15" t="inlineStr">
        <is>
          <t>2024-05</t>
        </is>
      </c>
      <c r="D263" s="15" t="n">
        <v>2024</v>
      </c>
      <c r="E263" s="15" t="inlineStr">
        <is>
          <t>Land</t>
        </is>
      </c>
      <c r="F263" s="15" t="inlineStr">
        <is>
          <t>Plot / unit price</t>
        </is>
      </c>
      <c r="G263" s="15" t="inlineStr">
        <is>
          <t>Green City Phase 1 (Lantaba, Ketu-Epe)</t>
        </is>
      </c>
      <c r="H263" s="15" t="inlineStr">
        <is>
          <t>BP-C0046</t>
        </is>
      </c>
      <c r="I263" s="15" t="inlineStr">
        <is>
          <t>Mr Adesida Raphael Abiodun</t>
        </is>
      </c>
      <c r="J263" s="17" t="n">
        <v>100000</v>
      </c>
      <c r="K263" s="15" t="inlineStr">
        <is>
          <t>Single register</t>
        </is>
      </c>
      <c r="L263" s="15" t="inlineStr">
        <is>
          <t>Primary: monthly turnover register</t>
        </is>
      </c>
      <c r="M263" s="15" t="inlineStr">
        <is>
          <t>BAAY PROJECTS FINANCIALS 2024.xlsx</t>
        </is>
      </c>
      <c r="N263" s="15" t="inlineStr">
        <is>
          <t>MAY TURNOVER</t>
        </is>
      </c>
      <c r="O263" s="15" t="n">
        <v>43</v>
      </c>
      <c r="P263" s="15" t="inlineStr">
        <is>
          <t>29/05/2024</t>
        </is>
      </c>
      <c r="Q263" s="15" t="inlineStr">
        <is>
          <t>TURNOVER SCHEDULE r179, MD r36</t>
        </is>
      </c>
      <c r="R263" s="15" t="n"/>
    </row>
    <row r="264">
      <c r="A264" s="15" t="inlineStr">
        <is>
          <t>SL0260</t>
        </is>
      </c>
      <c r="B264" s="16" t="n">
        <v>45441</v>
      </c>
      <c r="C264" s="15" t="inlineStr">
        <is>
          <t>2024-05</t>
        </is>
      </c>
      <c r="D264" s="15" t="n">
        <v>2024</v>
      </c>
      <c r="E264" s="15" t="inlineStr">
        <is>
          <t>Land</t>
        </is>
      </c>
      <c r="F264" s="15" t="inlineStr">
        <is>
          <t>Plot / unit price</t>
        </is>
      </c>
      <c r="G264" s="15" t="inlineStr">
        <is>
          <t>Green City Phase 1 (Lantaba, Ketu-Epe)</t>
        </is>
      </c>
      <c r="H264" s="15" t="inlineStr">
        <is>
          <t>BP-C0050</t>
        </is>
      </c>
      <c r="I264" s="15" t="inlineStr">
        <is>
          <t>Mr Atuanya Patrick Jideovo</t>
        </is>
      </c>
      <c r="J264" s="17" t="n">
        <v>150000</v>
      </c>
      <c r="K264" s="15" t="inlineStr">
        <is>
          <t>Single register</t>
        </is>
      </c>
      <c r="L264" s="15" t="inlineStr">
        <is>
          <t>Primary: monthly turnover register</t>
        </is>
      </c>
      <c r="M264" s="15" t="inlineStr">
        <is>
          <t>BAAY PROJECTS FINANCIALS 2024.xlsx</t>
        </is>
      </c>
      <c r="N264" s="15" t="inlineStr">
        <is>
          <t>MAY TURNOVER</t>
        </is>
      </c>
      <c r="O264" s="15" t="n">
        <v>42</v>
      </c>
      <c r="P264" s="15" t="inlineStr">
        <is>
          <t>29/05/2024</t>
        </is>
      </c>
      <c r="Q264" s="15" t="inlineStr">
        <is>
          <t>TURNOVER SCHEDULE r151, MS YETUNDE ABISOYE r61</t>
        </is>
      </c>
      <c r="R264" s="15" t="n"/>
    </row>
    <row r="265">
      <c r="A265" s="15" t="inlineStr">
        <is>
          <t>SL0261</t>
        </is>
      </c>
      <c r="B265" s="16" t="n">
        <v>45442</v>
      </c>
      <c r="C265" s="15" t="inlineStr">
        <is>
          <t>2024-05</t>
        </is>
      </c>
      <c r="D265" s="15" t="n">
        <v>2024</v>
      </c>
      <c r="E265" s="15" t="inlineStr">
        <is>
          <t>Land</t>
        </is>
      </c>
      <c r="F265" s="15" t="inlineStr">
        <is>
          <t>Plot / unit price</t>
        </is>
      </c>
      <c r="G265" s="15" t="inlineStr">
        <is>
          <t>Green City Phase 1 (Lantaba, Ketu-Epe)</t>
        </is>
      </c>
      <c r="H265" s="15" t="inlineStr">
        <is>
          <t>BP-C0044</t>
        </is>
      </c>
      <c r="I265" s="15" t="inlineStr">
        <is>
          <t>Mr Oluwase Babajide Victor</t>
        </is>
      </c>
      <c r="J265" s="17" t="n">
        <v>890000</v>
      </c>
      <c r="K265" s="15" t="inlineStr">
        <is>
          <t>Single register</t>
        </is>
      </c>
      <c r="L265" s="15" t="inlineStr">
        <is>
          <t>Primary: monthly turnover register</t>
        </is>
      </c>
      <c r="M265" s="15" t="inlineStr">
        <is>
          <t>BAAY PROJECTS FINANCIALS 2024.xlsx</t>
        </is>
      </c>
      <c r="N265" s="15" t="inlineStr">
        <is>
          <t>MAY TURNOVER</t>
        </is>
      </c>
      <c r="O265" s="15" t="n">
        <v>44</v>
      </c>
      <c r="P265" s="15" t="inlineStr">
        <is>
          <t>30/05/2024</t>
        </is>
      </c>
      <c r="Q265" s="15" t="inlineStr">
        <is>
          <t>MD r30</t>
        </is>
      </c>
      <c r="R265" s="15" t="n"/>
    </row>
    <row r="266">
      <c r="A266" s="15" t="inlineStr">
        <is>
          <t>SL0262</t>
        </is>
      </c>
      <c r="B266" s="16" t="n">
        <v>45443</v>
      </c>
      <c r="C266" s="15" t="inlineStr">
        <is>
          <t>2024-05</t>
        </is>
      </c>
      <c r="D266" s="15" t="n">
        <v>2024</v>
      </c>
      <c r="E266" s="15" t="inlineStr">
        <is>
          <t>Land</t>
        </is>
      </c>
      <c r="F266" s="15" t="inlineStr">
        <is>
          <t>Plot / unit price</t>
        </is>
      </c>
      <c r="G266" s="15" t="inlineStr">
        <is>
          <t>Green City Phase 1 (Lantaba, Ketu-Epe)</t>
        </is>
      </c>
      <c r="H266" s="15" t="inlineStr">
        <is>
          <t>BP-C0054</t>
        </is>
      </c>
      <c r="I266" s="15" t="inlineStr">
        <is>
          <t>Mr Ademola Adeniyi</t>
        </is>
      </c>
      <c r="J266" s="17" t="n">
        <v>135000</v>
      </c>
      <c r="K266" s="15" t="inlineStr">
        <is>
          <t>Single register</t>
        </is>
      </c>
      <c r="L266" s="15" t="inlineStr">
        <is>
          <t>Primary: monthly turnover register</t>
        </is>
      </c>
      <c r="M266" s="15" t="inlineStr">
        <is>
          <t>BAAY PROJECTS FINANCIALS 2024.xlsx</t>
        </is>
      </c>
      <c r="N266" s="15" t="inlineStr">
        <is>
          <t>MAY TURNOVER</t>
        </is>
      </c>
      <c r="O266" s="15" t="n">
        <v>45</v>
      </c>
      <c r="P266" s="15" t="inlineStr">
        <is>
          <t>31/05/2024</t>
        </is>
      </c>
      <c r="Q266" s="15" t="n"/>
      <c r="R266" s="15" t="n"/>
    </row>
    <row r="267">
      <c r="A267" s="15" t="inlineStr">
        <is>
          <t>SL0263</t>
        </is>
      </c>
      <c r="B267" s="16" t="n">
        <v>45443</v>
      </c>
      <c r="C267" s="15" t="inlineStr">
        <is>
          <t>2024-05</t>
        </is>
      </c>
      <c r="D267" s="15" t="n">
        <v>2024</v>
      </c>
      <c r="E267" s="15" t="inlineStr">
        <is>
          <t>Land</t>
        </is>
      </c>
      <c r="F267" s="15" t="inlineStr">
        <is>
          <t>Plot / unit price</t>
        </is>
      </c>
      <c r="G267" s="15" t="inlineStr">
        <is>
          <t>Green City Phase 2 (Ketu-Epe)</t>
        </is>
      </c>
      <c r="H267" s="15" t="inlineStr">
        <is>
          <t>BP-C0087</t>
        </is>
      </c>
      <c r="I267" s="15" t="inlineStr">
        <is>
          <t>Mr Okeme Danjuma</t>
        </is>
      </c>
      <c r="J267" s="17" t="n">
        <v>1600000</v>
      </c>
      <c r="K267" s="15" t="inlineStr">
        <is>
          <t>Single register</t>
        </is>
      </c>
      <c r="L267" s="15" t="inlineStr">
        <is>
          <t>Primary: monthly turnover register</t>
        </is>
      </c>
      <c r="M267" s="15" t="inlineStr">
        <is>
          <t>BAAY PROJECTS FINANCIALS 2024.xlsx</t>
        </is>
      </c>
      <c r="N267" s="15" t="inlineStr">
        <is>
          <t>MAY TURNOVER</t>
        </is>
      </c>
      <c r="O267" s="15" t="n">
        <v>47</v>
      </c>
      <c r="P267" s="15" t="inlineStr">
        <is>
          <t>31/05/2024</t>
        </is>
      </c>
      <c r="Q267" s="15" t="inlineStr">
        <is>
          <t>TURNOVER SCHEDULE r346, FESTUS r11</t>
        </is>
      </c>
      <c r="R267" s="15" t="n"/>
    </row>
    <row r="268">
      <c r="A268" s="15" t="inlineStr">
        <is>
          <t>SL0264</t>
        </is>
      </c>
      <c r="B268" s="16" t="n">
        <v>45443</v>
      </c>
      <c r="C268" s="15" t="inlineStr">
        <is>
          <t>2024-05</t>
        </is>
      </c>
      <c r="D268" s="15" t="n">
        <v>2024</v>
      </c>
      <c r="E268" s="15" t="inlineStr">
        <is>
          <t>Land</t>
        </is>
      </c>
      <c r="F268" s="15" t="inlineStr">
        <is>
          <t>Plot / unit price</t>
        </is>
      </c>
      <c r="G268" s="15" t="inlineStr">
        <is>
          <t>Green City Phase 2 (Ketu-Epe)</t>
        </is>
      </c>
      <c r="H268" s="15" t="inlineStr">
        <is>
          <t>BP-C0082</t>
        </is>
      </c>
      <c r="I268" s="15" t="inlineStr">
        <is>
          <t>Mrs Olarewaju Remilekun</t>
        </is>
      </c>
      <c r="J268" s="17" t="n">
        <v>1500000</v>
      </c>
      <c r="K268" s="15" t="inlineStr">
        <is>
          <t>Single register</t>
        </is>
      </c>
      <c r="L268" s="15" t="inlineStr">
        <is>
          <t>Primary: monthly turnover register</t>
        </is>
      </c>
      <c r="M268" s="15" t="inlineStr">
        <is>
          <t>BAAY PROJECTS FINANCIALS 2024.xlsx</t>
        </is>
      </c>
      <c r="N268" s="15" t="inlineStr">
        <is>
          <t>MAY TURNOVER</t>
        </is>
      </c>
      <c r="O268" s="15" t="n">
        <v>46</v>
      </c>
      <c r="P268" s="15" t="inlineStr">
        <is>
          <t>31/05/2024</t>
        </is>
      </c>
      <c r="Q268" s="15" t="inlineStr">
        <is>
          <t>TURNOVER SCHEDULE r322, MR JUWON r25</t>
        </is>
      </c>
      <c r="R268" s="15" t="n"/>
    </row>
    <row r="269">
      <c r="A269" s="15" t="inlineStr">
        <is>
          <t>SL0265</t>
        </is>
      </c>
      <c r="B269" s="16" t="n">
        <v>45447</v>
      </c>
      <c r="C269" s="15" t="inlineStr">
        <is>
          <t>2024-06</t>
        </is>
      </c>
      <c r="D269" s="15" t="n">
        <v>2024</v>
      </c>
      <c r="E269" s="15" t="inlineStr">
        <is>
          <t>Land</t>
        </is>
      </c>
      <c r="F269" s="15" t="inlineStr">
        <is>
          <t>Plot / unit price</t>
        </is>
      </c>
      <c r="G269" s="15" t="inlineStr">
        <is>
          <t>Green City Phase 2 (Ketu-Epe)</t>
        </is>
      </c>
      <c r="H269" s="15" t="inlineStr">
        <is>
          <t>BP-C0066</t>
        </is>
      </c>
      <c r="I269" s="15" t="inlineStr">
        <is>
          <t>Miss Omosanya Dotun Akeju</t>
        </is>
      </c>
      <c r="J269" s="17" t="n">
        <v>1000000</v>
      </c>
      <c r="K269" s="15" t="inlineStr">
        <is>
          <t>Allen Branch</t>
        </is>
      </c>
      <c r="L269" s="15" t="inlineStr">
        <is>
          <t>Primary: monthly turnover register</t>
        </is>
      </c>
      <c r="M269" s="15" t="inlineStr">
        <is>
          <t>BAAY PROJECTS FINANCIALS 2024.xlsx</t>
        </is>
      </c>
      <c r="N269" s="15" t="inlineStr">
        <is>
          <t>JUNE TURNOVER</t>
        </is>
      </c>
      <c r="O269" s="15" t="n">
        <v>10</v>
      </c>
      <c r="P269" s="15" t="inlineStr">
        <is>
          <t>2024-04-06</t>
        </is>
      </c>
      <c r="Q269" s="15" t="inlineStr">
        <is>
          <t>TURNOVER SCHEDULE r351, MS BOLANLE r68, MS BLESSING OJI r23</t>
        </is>
      </c>
      <c r="R269" s="15" t="n"/>
    </row>
    <row r="270">
      <c r="A270" s="15" t="inlineStr">
        <is>
          <t>SL0266</t>
        </is>
      </c>
      <c r="B270" s="16" t="n">
        <v>45447</v>
      </c>
      <c r="C270" s="15" t="inlineStr">
        <is>
          <t>2024-06</t>
        </is>
      </c>
      <c r="D270" s="15" t="n">
        <v>2024</v>
      </c>
      <c r="E270" s="15" t="inlineStr">
        <is>
          <t>Land</t>
        </is>
      </c>
      <c r="F270" s="15" t="inlineStr">
        <is>
          <t>Plot / unit price</t>
        </is>
      </c>
      <c r="G270" s="15" t="inlineStr">
        <is>
          <t>Green City Phase 1 (Lantaba, Ketu-Epe)</t>
        </is>
      </c>
      <c r="H270" s="15" t="inlineStr">
        <is>
          <t>BP-C0050</t>
        </is>
      </c>
      <c r="I270" s="15" t="inlineStr">
        <is>
          <t>Mr Atuanya Patrick</t>
        </is>
      </c>
      <c r="J270" s="17" t="n">
        <v>60000</v>
      </c>
      <c r="K270" s="15" t="inlineStr">
        <is>
          <t>Allen Branch</t>
        </is>
      </c>
      <c r="L270" s="15" t="inlineStr">
        <is>
          <t>Primary: monthly turnover register</t>
        </is>
      </c>
      <c r="M270" s="15" t="inlineStr">
        <is>
          <t>BAAY PROJECTS FINANCIALS 2024.xlsx</t>
        </is>
      </c>
      <c r="N270" s="15" t="inlineStr">
        <is>
          <t>JUNE TURNOVER</t>
        </is>
      </c>
      <c r="O270" s="15" t="n">
        <v>8</v>
      </c>
      <c r="P270" s="15" t="inlineStr">
        <is>
          <t>2024-04-06</t>
        </is>
      </c>
      <c r="Q270" s="15" t="inlineStr">
        <is>
          <t>TURNOVER SCHEDULE r152, MS YETUNDE ABISOYE r62</t>
        </is>
      </c>
      <c r="R270" s="15" t="n"/>
    </row>
    <row r="271">
      <c r="A271" s="15" t="inlineStr">
        <is>
          <t>SL0267</t>
        </is>
      </c>
      <c r="B271" s="16" t="n">
        <v>45447</v>
      </c>
      <c r="C271" s="15" t="inlineStr">
        <is>
          <t>2024-06</t>
        </is>
      </c>
      <c r="D271" s="15" t="n">
        <v>2024</v>
      </c>
      <c r="E271" s="15" t="inlineStr">
        <is>
          <t>Land</t>
        </is>
      </c>
      <c r="F271" s="15" t="inlineStr">
        <is>
          <t>Plot / unit price</t>
        </is>
      </c>
      <c r="G271" s="15" t="inlineStr">
        <is>
          <t>Green City Phase 2 (Ketu-Epe)</t>
        </is>
      </c>
      <c r="H271" s="15" t="inlineStr">
        <is>
          <t>BP-C0091</t>
        </is>
      </c>
      <c r="I271" s="15" t="inlineStr">
        <is>
          <t>Mr Ojo Olugbenga Daniel &amp; Mrs Ojo Omolola Oyewunmi</t>
        </is>
      </c>
      <c r="J271" s="17" t="n">
        <v>900000</v>
      </c>
      <c r="K271" s="15" t="inlineStr">
        <is>
          <t>Allen Branch</t>
        </is>
      </c>
      <c r="L271" s="15" t="inlineStr">
        <is>
          <t>Primary: monthly turnover register</t>
        </is>
      </c>
      <c r="M271" s="15" t="inlineStr">
        <is>
          <t>BAAY PROJECTS FINANCIALS 2024.xlsx</t>
        </is>
      </c>
      <c r="N271" s="15" t="inlineStr">
        <is>
          <t>JUNE TURNOVER</t>
        </is>
      </c>
      <c r="O271" s="15" t="n">
        <v>7</v>
      </c>
      <c r="P271" s="15" t="inlineStr">
        <is>
          <t>2024-04-06</t>
        </is>
      </c>
      <c r="Q271" s="15" t="inlineStr">
        <is>
          <t>MRS ABIMBOLA r92</t>
        </is>
      </c>
      <c r="R271" s="15" t="n"/>
    </row>
    <row r="272">
      <c r="A272" s="15" t="inlineStr">
        <is>
          <t>SL0268</t>
        </is>
      </c>
      <c r="B272" s="16" t="n">
        <v>45449</v>
      </c>
      <c r="C272" s="15" t="inlineStr">
        <is>
          <t>2024-06</t>
        </is>
      </c>
      <c r="D272" s="15" t="n">
        <v>2024</v>
      </c>
      <c r="E272" s="15" t="inlineStr">
        <is>
          <t>Land</t>
        </is>
      </c>
      <c r="F272" s="15" t="inlineStr">
        <is>
          <t>Plot / unit price</t>
        </is>
      </c>
      <c r="G272" s="15" t="inlineStr">
        <is>
          <t>Green City Phase 2 (Ketu-Epe)</t>
        </is>
      </c>
      <c r="H272" s="15" t="inlineStr">
        <is>
          <t>BP-C0075</t>
        </is>
      </c>
      <c r="I272" s="15" t="inlineStr">
        <is>
          <t>Miss Ogidan Funmilayo Jumoke</t>
        </is>
      </c>
      <c r="J272" s="17" t="n">
        <v>500000</v>
      </c>
      <c r="K272" s="15" t="inlineStr">
        <is>
          <t>Allen Branch</t>
        </is>
      </c>
      <c r="L272" s="15" t="inlineStr">
        <is>
          <t>Primary: monthly turnover register</t>
        </is>
      </c>
      <c r="M272" s="15" t="inlineStr">
        <is>
          <t>BAAY PROJECTS FINANCIALS 2024.xlsx</t>
        </is>
      </c>
      <c r="N272" s="15" t="inlineStr">
        <is>
          <t>JUNE TURNOVER</t>
        </is>
      </c>
      <c r="O272" s="15" t="n">
        <v>11</v>
      </c>
      <c r="P272" s="15" t="inlineStr">
        <is>
          <t>2024-06-06</t>
        </is>
      </c>
      <c r="Q272" s="15" t="inlineStr">
        <is>
          <t>TURNOVER SCHEDULE r272, OGIDAN r16</t>
        </is>
      </c>
      <c r="R272" s="15" t="n"/>
    </row>
    <row r="273">
      <c r="A273" s="15" t="inlineStr">
        <is>
          <t>SL0269</t>
        </is>
      </c>
      <c r="B273" s="16" t="n">
        <v>45449</v>
      </c>
      <c r="C273" s="15" t="inlineStr">
        <is>
          <t>2024-06</t>
        </is>
      </c>
      <c r="D273" s="15" t="n">
        <v>2024</v>
      </c>
      <c r="E273" s="15" t="inlineStr">
        <is>
          <t>Land</t>
        </is>
      </c>
      <c r="F273" s="15" t="inlineStr">
        <is>
          <t>Ancillary charge</t>
        </is>
      </c>
      <c r="G273" s="15" t="inlineStr">
        <is>
          <t>Land: corner piece premium</t>
        </is>
      </c>
      <c r="H273" s="15" t="inlineStr">
        <is>
          <t>BP-C0075</t>
        </is>
      </c>
      <c r="I273" s="15" t="inlineStr">
        <is>
          <t>Miss Ogidan Funmilayo Jumoke</t>
        </is>
      </c>
      <c r="J273" s="17" t="n">
        <v>135000</v>
      </c>
      <c r="K273" s="15" t="inlineStr">
        <is>
          <t>Allen Branch</t>
        </is>
      </c>
      <c r="L273" s="15" t="inlineStr">
        <is>
          <t>Primary: monthly turnover register</t>
        </is>
      </c>
      <c r="M273" s="15" t="inlineStr">
        <is>
          <t>BAAY PROJECTS FINANCIALS 2024.xlsx</t>
        </is>
      </c>
      <c r="N273" s="15" t="inlineStr">
        <is>
          <t>JUNE TURNOVER</t>
        </is>
      </c>
      <c r="O273" s="15" t="n">
        <v>12</v>
      </c>
      <c r="P273" s="15" t="inlineStr">
        <is>
          <t>2024-06-06</t>
        </is>
      </c>
      <c r="Q273" s="15" t="n"/>
      <c r="R273" s="15" t="n"/>
    </row>
    <row r="274">
      <c r="A274" s="15" t="inlineStr">
        <is>
          <t>SL0270</t>
        </is>
      </c>
      <c r="B274" s="16" t="n">
        <v>45449</v>
      </c>
      <c r="C274" s="15" t="inlineStr">
        <is>
          <t>2024-06</t>
        </is>
      </c>
      <c r="D274" s="15" t="n">
        <v>2024</v>
      </c>
      <c r="E274" s="15" t="inlineStr">
        <is>
          <t>Land</t>
        </is>
      </c>
      <c r="F274" s="15" t="inlineStr">
        <is>
          <t>Ancillary charge</t>
        </is>
      </c>
      <c r="G274" s="15" t="inlineStr">
        <is>
          <t>Land: development fee</t>
        </is>
      </c>
      <c r="H274" s="15" t="inlineStr">
        <is>
          <t>BP-C0030</t>
        </is>
      </c>
      <c r="I274" s="15" t="inlineStr">
        <is>
          <t>Mr Adese Akorede  John</t>
        </is>
      </c>
      <c r="J274" s="17" t="n">
        <v>50000</v>
      </c>
      <c r="K274" s="15" t="inlineStr">
        <is>
          <t>Allen Branch</t>
        </is>
      </c>
      <c r="L274" s="15" t="inlineStr">
        <is>
          <t>Primary: monthly turnover register</t>
        </is>
      </c>
      <c r="M274" s="15" t="inlineStr">
        <is>
          <t>BAAY PROJECTS FINANCIALS 2024.xlsx</t>
        </is>
      </c>
      <c r="N274" s="15" t="inlineStr">
        <is>
          <t>JUNE TURNOVER</t>
        </is>
      </c>
      <c r="O274" s="15" t="n">
        <v>13</v>
      </c>
      <c r="P274" s="15" t="inlineStr">
        <is>
          <t>2024-06-06</t>
        </is>
      </c>
      <c r="Q274" s="15" t="n"/>
      <c r="R274" s="15" t="n"/>
    </row>
    <row r="275">
      <c r="A275" s="15" t="inlineStr">
        <is>
          <t>SL0271</t>
        </is>
      </c>
      <c r="B275" s="16" t="n">
        <v>45449</v>
      </c>
      <c r="C275" s="15" t="inlineStr">
        <is>
          <t>2024-06</t>
        </is>
      </c>
      <c r="D275" s="15" t="n">
        <v>2024</v>
      </c>
      <c r="E275" s="15" t="inlineStr">
        <is>
          <t>Land</t>
        </is>
      </c>
      <c r="F275" s="15" t="inlineStr">
        <is>
          <t>Plot / unit price</t>
        </is>
      </c>
      <c r="G275" s="15" t="inlineStr">
        <is>
          <t>Green City Phase 2 (Ketu-Epe)</t>
        </is>
      </c>
      <c r="H275" s="15" t="inlineStr">
        <is>
          <t>BP-C0030</t>
        </is>
      </c>
      <c r="I275" s="15" t="inlineStr">
        <is>
          <t>Mr Adese Akorede  John</t>
        </is>
      </c>
      <c r="J275" s="17" t="n">
        <v>200000</v>
      </c>
      <c r="K275" s="15" t="inlineStr">
        <is>
          <t>Allen Branch</t>
        </is>
      </c>
      <c r="L275" s="15" t="inlineStr">
        <is>
          <t>Primary: monthly turnover register</t>
        </is>
      </c>
      <c r="M275" s="15" t="inlineStr">
        <is>
          <t>BAAY PROJECTS FINANCIALS 2024.xlsx</t>
        </is>
      </c>
      <c r="N275" s="15" t="inlineStr">
        <is>
          <t>JUNE TURNOVER</t>
        </is>
      </c>
      <c r="O275" s="15" t="n">
        <v>14</v>
      </c>
      <c r="P275" s="15" t="inlineStr">
        <is>
          <t>2024-06-06</t>
        </is>
      </c>
      <c r="Q275" s="15" t="inlineStr">
        <is>
          <t>TURNOVER SCHEDULE r288, MD r25</t>
        </is>
      </c>
      <c r="R275" s="15" t="n"/>
    </row>
    <row r="276">
      <c r="A276" s="15" t="inlineStr">
        <is>
          <t>SL0272</t>
        </is>
      </c>
      <c r="B276" s="16" t="n">
        <v>45452</v>
      </c>
      <c r="C276" s="15" t="inlineStr">
        <is>
          <t>2024-06</t>
        </is>
      </c>
      <c r="D276" s="15" t="n">
        <v>2024</v>
      </c>
      <c r="E276" s="15" t="inlineStr">
        <is>
          <t>Land</t>
        </is>
      </c>
      <c r="F276" s="15" t="inlineStr">
        <is>
          <t>Plot / unit price</t>
        </is>
      </c>
      <c r="G276" s="15" t="inlineStr">
        <is>
          <t>Green City Phase 2 (Ketu-Epe)</t>
        </is>
      </c>
      <c r="H276" s="15" t="inlineStr">
        <is>
          <t>BP-C0096</t>
        </is>
      </c>
      <c r="I276" s="15" t="inlineStr">
        <is>
          <t>Mrs Lawani Opemipo Oluwatobi Lasode</t>
        </is>
      </c>
      <c r="J276" s="17" t="n">
        <v>500000</v>
      </c>
      <c r="K276" s="15" t="inlineStr">
        <is>
          <t>Allen Branch</t>
        </is>
      </c>
      <c r="L276" s="15" t="inlineStr">
        <is>
          <t>Primary: monthly turnover register</t>
        </is>
      </c>
      <c r="M276" s="15" t="inlineStr">
        <is>
          <t>BAAY PROJECTS FINANCIALS 2024.xlsx</t>
        </is>
      </c>
      <c r="N276" s="15" t="inlineStr">
        <is>
          <t>JUNE TURNOVER</t>
        </is>
      </c>
      <c r="O276" s="15" t="n">
        <v>15</v>
      </c>
      <c r="P276" s="15" t="inlineStr">
        <is>
          <t>2024-09-06</t>
        </is>
      </c>
      <c r="Q276" s="15" t="inlineStr">
        <is>
          <t>MS FISAYO r2</t>
        </is>
      </c>
      <c r="R276" s="15" t="n"/>
    </row>
    <row r="277">
      <c r="A277" s="15" t="inlineStr">
        <is>
          <t>SL0273</t>
        </is>
      </c>
      <c r="B277" s="16" t="n">
        <v>45453</v>
      </c>
      <c r="C277" s="15" t="inlineStr">
        <is>
          <t>2024-06</t>
        </is>
      </c>
      <c r="D277" s="15" t="n">
        <v>2024</v>
      </c>
      <c r="E277" s="15" t="inlineStr">
        <is>
          <t>Land</t>
        </is>
      </c>
      <c r="F277" s="15" t="inlineStr">
        <is>
          <t>Plot / unit price</t>
        </is>
      </c>
      <c r="G277" s="15" t="inlineStr">
        <is>
          <t>Green City Phase 2 (Ketu-Epe)</t>
        </is>
      </c>
      <c r="H277" s="15" t="inlineStr">
        <is>
          <t>BP-C0036</t>
        </is>
      </c>
      <c r="I277" s="15" t="inlineStr">
        <is>
          <t>Mr Ohumende paul Osaze</t>
        </is>
      </c>
      <c r="J277" s="17" t="n">
        <v>2100000</v>
      </c>
      <c r="K277" s="15" t="inlineStr">
        <is>
          <t>Allen Branch</t>
        </is>
      </c>
      <c r="L277" s="15" t="inlineStr">
        <is>
          <t>Primary: monthly turnover register</t>
        </is>
      </c>
      <c r="M277" s="15" t="inlineStr">
        <is>
          <t>BAAY PROJECTS FINANCIALS 2024.xlsx</t>
        </is>
      </c>
      <c r="N277" s="15" t="inlineStr">
        <is>
          <t>JUNE TURNOVER</t>
        </is>
      </c>
      <c r="O277" s="15" t="n">
        <v>16</v>
      </c>
      <c r="P277" s="15" t="inlineStr">
        <is>
          <t>2024-10-06</t>
        </is>
      </c>
      <c r="Q277" s="15" t="inlineStr">
        <is>
          <t>MD r26</t>
        </is>
      </c>
      <c r="R277" s="15" t="n"/>
    </row>
    <row r="278">
      <c r="A278" s="15" t="inlineStr">
        <is>
          <t>SL0274</t>
        </is>
      </c>
      <c r="B278" s="16" t="n">
        <v>45454</v>
      </c>
      <c r="C278" s="15" t="inlineStr">
        <is>
          <t>2024-06</t>
        </is>
      </c>
      <c r="D278" s="15" t="n">
        <v>2024</v>
      </c>
      <c r="E278" s="15" t="inlineStr">
        <is>
          <t>Land</t>
        </is>
      </c>
      <c r="F278" s="15" t="inlineStr">
        <is>
          <t>Plot / unit price</t>
        </is>
      </c>
      <c r="G278" s="15" t="inlineStr">
        <is>
          <t>Green City Phase 2 (Ketu-Epe)</t>
        </is>
      </c>
      <c r="H278" s="15" t="inlineStr">
        <is>
          <t>BP-C0097</t>
        </is>
      </c>
      <c r="I278" s="15" t="inlineStr">
        <is>
          <t>Engr. Fagbulu Taiwo Olubunmi</t>
        </is>
      </c>
      <c r="J278" s="17" t="n">
        <v>2100000</v>
      </c>
      <c r="K278" s="15" t="inlineStr">
        <is>
          <t>Magodo Branch</t>
        </is>
      </c>
      <c r="L278" s="15" t="inlineStr">
        <is>
          <t>Primary: monthly turnover register</t>
        </is>
      </c>
      <c r="M278" s="15" t="inlineStr">
        <is>
          <t>BAAY PROJECTS FINANCIALS 2024.xlsx</t>
        </is>
      </c>
      <c r="N278" s="15" t="inlineStr">
        <is>
          <t>JUNE TURNOVER</t>
        </is>
      </c>
      <c r="O278" s="15" t="n">
        <v>7</v>
      </c>
      <c r="P278" s="15" t="inlineStr">
        <is>
          <t>2024-11-06</t>
        </is>
      </c>
      <c r="Q278" s="15" t="inlineStr">
        <is>
          <t>MR HENRY r2</t>
        </is>
      </c>
      <c r="R278" s="15" t="n"/>
    </row>
    <row r="279">
      <c r="A279" s="15" t="inlineStr">
        <is>
          <t>SL0275</t>
        </is>
      </c>
      <c r="B279" s="16" t="n">
        <v>45454</v>
      </c>
      <c r="C279" s="15" t="inlineStr">
        <is>
          <t>2024-06</t>
        </is>
      </c>
      <c r="D279" s="15" t="n">
        <v>2024</v>
      </c>
      <c r="E279" s="15" t="inlineStr">
        <is>
          <t>Land</t>
        </is>
      </c>
      <c r="F279" s="15" t="inlineStr">
        <is>
          <t>Ancillary charge</t>
        </is>
      </c>
      <c r="G279" s="15" t="inlineStr">
        <is>
          <t>Land: corner piece premium</t>
        </is>
      </c>
      <c r="H279" s="15" t="inlineStr">
        <is>
          <t>BP-C0078</t>
        </is>
      </c>
      <c r="I279" s="15" t="inlineStr">
        <is>
          <t>Miss Bingham Kendra</t>
        </is>
      </c>
      <c r="J279" s="17" t="n">
        <v>250000</v>
      </c>
      <c r="K279" s="15" t="inlineStr">
        <is>
          <t>Allen Branch</t>
        </is>
      </c>
      <c r="L279" s="15" t="inlineStr">
        <is>
          <t>Primary: monthly turnover register</t>
        </is>
      </c>
      <c r="M279" s="15" t="inlineStr">
        <is>
          <t>BAAY PROJECTS FINANCIALS 2024.xlsx</t>
        </is>
      </c>
      <c r="N279" s="15" t="inlineStr">
        <is>
          <t>JUNE TURNOVER</t>
        </is>
      </c>
      <c r="O279" s="15" t="n">
        <v>19</v>
      </c>
      <c r="P279" s="15" t="inlineStr">
        <is>
          <t>2024-11-06</t>
        </is>
      </c>
      <c r="Q279" s="15" t="n"/>
      <c r="R279" s="15" t="n"/>
    </row>
    <row r="280">
      <c r="A280" s="15" t="inlineStr">
        <is>
          <t>SL0276</t>
        </is>
      </c>
      <c r="B280" s="16" t="n">
        <v>45454</v>
      </c>
      <c r="C280" s="15" t="inlineStr">
        <is>
          <t>2024-06</t>
        </is>
      </c>
      <c r="D280" s="15" t="n">
        <v>2024</v>
      </c>
      <c r="E280" s="15" t="inlineStr">
        <is>
          <t>Land</t>
        </is>
      </c>
      <c r="F280" s="15" t="inlineStr">
        <is>
          <t>Ancillary charge</t>
        </is>
      </c>
      <c r="G280" s="15" t="inlineStr">
        <is>
          <t>Land: corner piece premium</t>
        </is>
      </c>
      <c r="H280" s="15" t="inlineStr">
        <is>
          <t>BP-C0056</t>
        </is>
      </c>
      <c r="I280" s="15" t="inlineStr">
        <is>
          <t>Mr Adeuti Olanrewaju Babatunde</t>
        </is>
      </c>
      <c r="J280" s="17" t="n">
        <v>135000</v>
      </c>
      <c r="K280" s="15" t="inlineStr">
        <is>
          <t>Allen Branch</t>
        </is>
      </c>
      <c r="L280" s="15" t="inlineStr">
        <is>
          <t>Primary: monthly turnover register</t>
        </is>
      </c>
      <c r="M280" s="15" t="inlineStr">
        <is>
          <t>BAAY PROJECTS FINANCIALS 2024.xlsx</t>
        </is>
      </c>
      <c r="N280" s="15" t="inlineStr">
        <is>
          <t>JUNE TURNOVER</t>
        </is>
      </c>
      <c r="O280" s="15" t="n">
        <v>17</v>
      </c>
      <c r="P280" s="15" t="inlineStr">
        <is>
          <t>2024-11-06</t>
        </is>
      </c>
      <c r="Q280" s="15" t="n"/>
      <c r="R280" s="15" t="n"/>
    </row>
    <row r="281">
      <c r="A281" s="15" t="inlineStr">
        <is>
          <t>SL0277</t>
        </is>
      </c>
      <c r="B281" s="16" t="n">
        <v>45454</v>
      </c>
      <c r="C281" s="15" t="inlineStr">
        <is>
          <t>2024-06</t>
        </is>
      </c>
      <c r="D281" s="15" t="n">
        <v>2024</v>
      </c>
      <c r="E281" s="15" t="inlineStr">
        <is>
          <t>Land</t>
        </is>
      </c>
      <c r="F281" s="15" t="inlineStr">
        <is>
          <t>Ancillary charge</t>
        </is>
      </c>
      <c r="G281" s="15" t="inlineStr">
        <is>
          <t>Land: corner piece premium</t>
        </is>
      </c>
      <c r="H281" s="15" t="inlineStr">
        <is>
          <t>BP-C0098</t>
        </is>
      </c>
      <c r="I281" s="15" t="inlineStr">
        <is>
          <t>Mr Alli Ifesinachi Innocent</t>
        </is>
      </c>
      <c r="J281" s="17" t="n">
        <v>135000</v>
      </c>
      <c r="K281" s="15" t="inlineStr">
        <is>
          <t>Allen Branch</t>
        </is>
      </c>
      <c r="L281" s="15" t="inlineStr">
        <is>
          <t>Primary: monthly turnover register</t>
        </is>
      </c>
      <c r="M281" s="15" t="inlineStr">
        <is>
          <t>BAAY PROJECTS FINANCIALS 2024.xlsx</t>
        </is>
      </c>
      <c r="N281" s="15" t="inlineStr">
        <is>
          <t>JUNE TURNOVER</t>
        </is>
      </c>
      <c r="O281" s="15" t="n">
        <v>20</v>
      </c>
      <c r="P281" s="15" t="inlineStr">
        <is>
          <t>2024-11-06</t>
        </is>
      </c>
      <c r="Q281" s="15" t="n"/>
      <c r="R281" s="15" t="n"/>
    </row>
    <row r="282">
      <c r="A282" s="15" t="inlineStr">
        <is>
          <t>SL0278</t>
        </is>
      </c>
      <c r="B282" s="16" t="n">
        <v>45454</v>
      </c>
      <c r="C282" s="15" t="inlineStr">
        <is>
          <t>2024-06</t>
        </is>
      </c>
      <c r="D282" s="15" t="n">
        <v>2024</v>
      </c>
      <c r="E282" s="15" t="inlineStr">
        <is>
          <t>Land</t>
        </is>
      </c>
      <c r="F282" s="15" t="inlineStr">
        <is>
          <t>Plot / unit price</t>
        </is>
      </c>
      <c r="G282" s="15" t="inlineStr">
        <is>
          <t>Green City Phase 2 (Ketu-Epe)</t>
        </is>
      </c>
      <c r="H282" s="15" t="inlineStr">
        <is>
          <t>BP-C0093</t>
        </is>
      </c>
      <c r="I282" s="15" t="inlineStr">
        <is>
          <t>Mr Okuneye Oluwakayode Oluwaseyi</t>
        </is>
      </c>
      <c r="J282" s="17" t="n">
        <v>1100000</v>
      </c>
      <c r="K282" s="15" t="inlineStr">
        <is>
          <t>Allen Branch</t>
        </is>
      </c>
      <c r="L282" s="15" t="inlineStr">
        <is>
          <t>Primary: monthly turnover register</t>
        </is>
      </c>
      <c r="M282" s="15" t="inlineStr">
        <is>
          <t>BAAY PROJECTS FINANCIALS 2024.xlsx</t>
        </is>
      </c>
      <c r="N282" s="15" t="inlineStr">
        <is>
          <t>JUNE TURNOVER</t>
        </is>
      </c>
      <c r="O282" s="15" t="n">
        <v>18</v>
      </c>
      <c r="P282" s="15" t="inlineStr">
        <is>
          <t>2024-11-06</t>
        </is>
      </c>
      <c r="Q282" s="15" t="inlineStr">
        <is>
          <t>MS BOLANLE r69</t>
        </is>
      </c>
      <c r="R282" s="15" t="n"/>
    </row>
    <row r="283">
      <c r="A283" s="15" t="inlineStr">
        <is>
          <t>SL0279</t>
        </is>
      </c>
      <c r="B283" s="16" t="n">
        <v>45454</v>
      </c>
      <c r="C283" s="15" t="inlineStr">
        <is>
          <t>2024-06</t>
        </is>
      </c>
      <c r="D283" s="15" t="n">
        <v>2024</v>
      </c>
      <c r="E283" s="15" t="inlineStr">
        <is>
          <t>Land</t>
        </is>
      </c>
      <c r="F283" s="15" t="inlineStr">
        <is>
          <t>Plot / unit price</t>
        </is>
      </c>
      <c r="G283" s="15" t="inlineStr">
        <is>
          <t>Green City Phase 1 (Lantaba, Ketu-Epe)</t>
        </is>
      </c>
      <c r="H283" s="15" t="inlineStr">
        <is>
          <t>BP-C0099</t>
        </is>
      </c>
      <c r="I283" s="15" t="inlineStr">
        <is>
          <t>Mr Olatunde  Adesua Samuel</t>
        </is>
      </c>
      <c r="J283" s="17" t="n">
        <v>500000</v>
      </c>
      <c r="K283" s="15" t="inlineStr">
        <is>
          <t>Allen Branch</t>
        </is>
      </c>
      <c r="L283" s="15" t="inlineStr">
        <is>
          <t>Primary: monthly turnover register</t>
        </is>
      </c>
      <c r="M283" s="15" t="inlineStr">
        <is>
          <t>BAAY PROJECTS FINANCIALS 2024.xlsx</t>
        </is>
      </c>
      <c r="N283" s="15" t="inlineStr">
        <is>
          <t>JUNE TURNOVER</t>
        </is>
      </c>
      <c r="O283" s="15" t="n">
        <v>21</v>
      </c>
      <c r="P283" s="15" t="inlineStr">
        <is>
          <t>2024-11-06</t>
        </is>
      </c>
      <c r="Q283" s="15" t="inlineStr">
        <is>
          <t>MS ADENIKE r2</t>
        </is>
      </c>
      <c r="R283" s="15" t="n"/>
    </row>
    <row r="284">
      <c r="A284" s="15" t="inlineStr">
        <is>
          <t>SL0280</t>
        </is>
      </c>
      <c r="B284" s="16" t="n">
        <v>45456</v>
      </c>
      <c r="C284" s="15" t="inlineStr">
        <is>
          <t>2024-06</t>
        </is>
      </c>
      <c r="D284" s="15" t="n">
        <v>2024</v>
      </c>
      <c r="E284" s="15" t="inlineStr">
        <is>
          <t>Land</t>
        </is>
      </c>
      <c r="F284" s="15" t="inlineStr">
        <is>
          <t>Plot / unit price</t>
        </is>
      </c>
      <c r="G284" s="15" t="inlineStr">
        <is>
          <t>Green City Phase 1 (Lantaba, Ketu-Epe)</t>
        </is>
      </c>
      <c r="H284" s="15" t="inlineStr">
        <is>
          <t>BP-C0046</t>
        </is>
      </c>
      <c r="I284" s="15" t="inlineStr">
        <is>
          <t>Mr Adesida Raphael abiodun</t>
        </is>
      </c>
      <c r="J284" s="17" t="n">
        <v>100000</v>
      </c>
      <c r="K284" s="15" t="inlineStr">
        <is>
          <t>Allen Branch</t>
        </is>
      </c>
      <c r="L284" s="15" t="inlineStr">
        <is>
          <t>Primary: monthly turnover register</t>
        </is>
      </c>
      <c r="M284" s="15" t="inlineStr">
        <is>
          <t>BAAY PROJECTS FINANCIALS 2024.xlsx</t>
        </is>
      </c>
      <c r="N284" s="15" t="inlineStr">
        <is>
          <t>JUNE TURNOVER</t>
        </is>
      </c>
      <c r="O284" s="15" t="n">
        <v>23</v>
      </c>
      <c r="P284" s="15" t="inlineStr">
        <is>
          <t>13/06/2024</t>
        </is>
      </c>
      <c r="Q284" s="15" t="n"/>
      <c r="R284" s="15" t="n"/>
    </row>
    <row r="285">
      <c r="A285" s="15" t="inlineStr">
        <is>
          <t>SL0281</t>
        </is>
      </c>
      <c r="B285" s="16" t="n">
        <v>45457</v>
      </c>
      <c r="C285" s="15" t="inlineStr">
        <is>
          <t>2024-06</t>
        </is>
      </c>
      <c r="D285" s="15" t="n">
        <v>2024</v>
      </c>
      <c r="E285" s="15" t="inlineStr">
        <is>
          <t>Land</t>
        </is>
      </c>
      <c r="F285" s="15" t="inlineStr">
        <is>
          <t>Plot / unit price</t>
        </is>
      </c>
      <c r="G285" s="15" t="inlineStr">
        <is>
          <t>Green City Phase 1 (Lantaba, Ketu-Epe)</t>
        </is>
      </c>
      <c r="H285" s="15" t="inlineStr">
        <is>
          <t>BP-C0099</t>
        </is>
      </c>
      <c r="I285" s="15" t="inlineStr">
        <is>
          <t>Mr Olatunde  Adesua Samuel</t>
        </is>
      </c>
      <c r="J285" s="17" t="n">
        <v>500000</v>
      </c>
      <c r="K285" s="15" t="inlineStr">
        <is>
          <t>Allen Branch</t>
        </is>
      </c>
      <c r="L285" s="15" t="inlineStr">
        <is>
          <t>Primary: monthly turnover register</t>
        </is>
      </c>
      <c r="M285" s="15" t="inlineStr">
        <is>
          <t>BAAY PROJECTS FINANCIALS 2024.xlsx</t>
        </is>
      </c>
      <c r="N285" s="15" t="inlineStr">
        <is>
          <t>JUNE TURNOVER</t>
        </is>
      </c>
      <c r="O285" s="15" t="n">
        <v>24</v>
      </c>
      <c r="P285" s="15" t="inlineStr">
        <is>
          <t>14/06/2024</t>
        </is>
      </c>
      <c r="Q285" s="15" t="inlineStr">
        <is>
          <t>MS ADENIKE r3</t>
        </is>
      </c>
      <c r="R285" s="15" t="n"/>
    </row>
    <row r="286">
      <c r="A286" s="15" t="inlineStr">
        <is>
          <t>SL0282</t>
        </is>
      </c>
      <c r="B286" s="16" t="n">
        <v>45457</v>
      </c>
      <c r="C286" s="15" t="inlineStr">
        <is>
          <t>2024-06</t>
        </is>
      </c>
      <c r="D286" s="15" t="n">
        <v>2024</v>
      </c>
      <c r="E286" s="15" t="inlineStr">
        <is>
          <t>Land</t>
        </is>
      </c>
      <c r="F286" s="15" t="inlineStr">
        <is>
          <t>Ancillary charge</t>
        </is>
      </c>
      <c r="G286" s="15" t="inlineStr">
        <is>
          <t>Land: corner piece premium</t>
        </is>
      </c>
      <c r="H286" s="15" t="inlineStr">
        <is>
          <t>BP-C0058</t>
        </is>
      </c>
      <c r="I286" s="15" t="inlineStr">
        <is>
          <t>Mr Oniyide Olaoluwa Blessing</t>
        </is>
      </c>
      <c r="J286" s="17" t="n">
        <v>135000</v>
      </c>
      <c r="K286" s="15" t="inlineStr">
        <is>
          <t>Allen Branch</t>
        </is>
      </c>
      <c r="L286" s="15" t="inlineStr">
        <is>
          <t>Primary: monthly turnover register</t>
        </is>
      </c>
      <c r="M286" s="15" t="inlineStr">
        <is>
          <t>BAAY PROJECTS FINANCIALS 2024.xlsx</t>
        </is>
      </c>
      <c r="N286" s="15" t="inlineStr">
        <is>
          <t>JUNE TURNOVER</t>
        </is>
      </c>
      <c r="O286" s="15" t="n">
        <v>25</v>
      </c>
      <c r="P286" s="15" t="inlineStr">
        <is>
          <t>14/06/2024</t>
        </is>
      </c>
      <c r="Q286" s="15" t="n"/>
      <c r="R286" s="15" t="n"/>
    </row>
    <row r="287">
      <c r="A287" s="15" t="inlineStr">
        <is>
          <t>SL0283</t>
        </is>
      </c>
      <c r="B287" s="16" t="n">
        <v>45458</v>
      </c>
      <c r="C287" s="15" t="inlineStr">
        <is>
          <t>2024-06</t>
        </is>
      </c>
      <c r="D287" s="15" t="n">
        <v>2024</v>
      </c>
      <c r="E287" s="15" t="inlineStr">
        <is>
          <t>Land</t>
        </is>
      </c>
      <c r="F287" s="15" t="inlineStr">
        <is>
          <t>Plot / unit price</t>
        </is>
      </c>
      <c r="G287" s="15" t="inlineStr">
        <is>
          <t>Green City Phase 2 (Ketu-Epe)</t>
        </is>
      </c>
      <c r="H287" s="15" t="inlineStr">
        <is>
          <t>BP-C0100</t>
        </is>
      </c>
      <c r="I287" s="15" t="inlineStr">
        <is>
          <t>Mr Braimoh Ayomide Favour</t>
        </is>
      </c>
      <c r="J287" s="17" t="n">
        <v>250000</v>
      </c>
      <c r="K287" s="15" t="inlineStr">
        <is>
          <t>Magodo Branch</t>
        </is>
      </c>
      <c r="L287" s="15" t="inlineStr">
        <is>
          <t>Primary: monthly turnover register</t>
        </is>
      </c>
      <c r="M287" s="15" t="inlineStr">
        <is>
          <t>BAAY PROJECTS FINANCIALS 2024.xlsx</t>
        </is>
      </c>
      <c r="N287" s="15" t="inlineStr">
        <is>
          <t>JUNE TURNOVER</t>
        </is>
      </c>
      <c r="O287" s="15" t="n">
        <v>9</v>
      </c>
      <c r="P287" s="15" t="inlineStr">
        <is>
          <t>15/06/2024</t>
        </is>
      </c>
      <c r="Q287" s="15" t="inlineStr">
        <is>
          <t>MS MAYOWA BRAIMOH r2</t>
        </is>
      </c>
      <c r="R287" s="15" t="n"/>
    </row>
    <row r="288">
      <c r="A288" s="15" t="inlineStr">
        <is>
          <t>SL0284</t>
        </is>
      </c>
      <c r="B288" s="16" t="n">
        <v>45458</v>
      </c>
      <c r="C288" s="15" t="inlineStr">
        <is>
          <t>2024-06</t>
        </is>
      </c>
      <c r="D288" s="15" t="n">
        <v>2024</v>
      </c>
      <c r="E288" s="15" t="inlineStr">
        <is>
          <t>Land</t>
        </is>
      </c>
      <c r="F288" s="15" t="inlineStr">
        <is>
          <t>Plot / unit price</t>
        </is>
      </c>
      <c r="G288" s="15" t="inlineStr">
        <is>
          <t>Green City Phase 2 (Ketu-Epe)</t>
        </is>
      </c>
      <c r="H288" s="15" t="inlineStr">
        <is>
          <t>BP-C0079</t>
        </is>
      </c>
      <c r="I288" s="15" t="inlineStr">
        <is>
          <t>Ukachi Florence Oluchi</t>
        </is>
      </c>
      <c r="J288" s="17" t="n">
        <v>500000</v>
      </c>
      <c r="K288" s="15" t="inlineStr">
        <is>
          <t>Magodo Branch</t>
        </is>
      </c>
      <c r="L288" s="15" t="inlineStr">
        <is>
          <t>Primary: monthly turnover register</t>
        </is>
      </c>
      <c r="M288" s="15" t="inlineStr">
        <is>
          <t>BAAY PROJECTS FINANCIALS 2024.xlsx</t>
        </is>
      </c>
      <c r="N288" s="15" t="inlineStr">
        <is>
          <t>JUNE TURNOVER</t>
        </is>
      </c>
      <c r="O288" s="15" t="n">
        <v>8</v>
      </c>
      <c r="P288" s="15" t="inlineStr">
        <is>
          <t>15/06/2024</t>
        </is>
      </c>
      <c r="Q288" s="15" t="inlineStr">
        <is>
          <t>MS FEYI r8</t>
        </is>
      </c>
      <c r="R288" s="15" t="n"/>
    </row>
    <row r="289">
      <c r="A289" s="15" t="inlineStr">
        <is>
          <t>SL0285</t>
        </is>
      </c>
      <c r="B289" s="16" t="n">
        <v>45460</v>
      </c>
      <c r="C289" s="15" t="inlineStr">
        <is>
          <t>2024-06</t>
        </is>
      </c>
      <c r="D289" s="15" t="n">
        <v>2024</v>
      </c>
      <c r="E289" s="15" t="inlineStr">
        <is>
          <t>Land</t>
        </is>
      </c>
      <c r="F289" s="15" t="inlineStr">
        <is>
          <t>Plot / unit price</t>
        </is>
      </c>
      <c r="G289" s="15" t="inlineStr">
        <is>
          <t>Green City Phase 2 (Ketu-Epe)</t>
        </is>
      </c>
      <c r="H289" s="15" t="inlineStr">
        <is>
          <t>BP-C0066</t>
        </is>
      </c>
      <c r="I289" s="15" t="inlineStr">
        <is>
          <t>Miss Omosanya Dotun Akeju</t>
        </is>
      </c>
      <c r="J289" s="17" t="n">
        <v>1000000</v>
      </c>
      <c r="K289" s="15" t="inlineStr">
        <is>
          <t>Allen Branch</t>
        </is>
      </c>
      <c r="L289" s="15" t="inlineStr">
        <is>
          <t>Primary: monthly turnover register</t>
        </is>
      </c>
      <c r="M289" s="15" t="inlineStr">
        <is>
          <t>BAAY PROJECTS FINANCIALS 2024.xlsx</t>
        </is>
      </c>
      <c r="N289" s="15" t="inlineStr">
        <is>
          <t>JUNE TURNOVER</t>
        </is>
      </c>
      <c r="O289" s="15" t="n">
        <v>27</v>
      </c>
      <c r="P289" s="15" t="inlineStr">
        <is>
          <t>17/06/2024</t>
        </is>
      </c>
      <c r="Q289" s="15" t="inlineStr">
        <is>
          <t>MS BOLANLE r70, MS BLESSING OJI r24</t>
        </is>
      </c>
      <c r="R289" s="15" t="n"/>
    </row>
    <row r="290">
      <c r="A290" s="15" t="inlineStr">
        <is>
          <t>SL0286</t>
        </is>
      </c>
      <c r="B290" s="16" t="n">
        <v>45460</v>
      </c>
      <c r="C290" s="15" t="inlineStr">
        <is>
          <t>2024-06</t>
        </is>
      </c>
      <c r="D290" s="15" t="n">
        <v>2024</v>
      </c>
      <c r="E290" s="15" t="inlineStr">
        <is>
          <t>Land</t>
        </is>
      </c>
      <c r="F290" s="15" t="inlineStr">
        <is>
          <t>Ancillary charge</t>
        </is>
      </c>
      <c r="G290" s="15" t="inlineStr">
        <is>
          <t>Land: corner piece premium</t>
        </is>
      </c>
      <c r="H290" s="15" t="inlineStr">
        <is>
          <t>BP-C0076</t>
        </is>
      </c>
      <c r="I290" s="15" t="inlineStr">
        <is>
          <t>Mr Ojo Ayomide Babatunde</t>
        </is>
      </c>
      <c r="J290" s="17" t="n">
        <v>135000</v>
      </c>
      <c r="K290" s="15" t="inlineStr">
        <is>
          <t>Allen Branch</t>
        </is>
      </c>
      <c r="L290" s="15" t="inlineStr">
        <is>
          <t>Primary: monthly turnover register</t>
        </is>
      </c>
      <c r="M290" s="15" t="inlineStr">
        <is>
          <t>BAAY PROJECTS FINANCIALS 2024.xlsx</t>
        </is>
      </c>
      <c r="N290" s="15" t="inlineStr">
        <is>
          <t>JUNE TURNOVER</t>
        </is>
      </c>
      <c r="O290" s="15" t="n">
        <v>26</v>
      </c>
      <c r="P290" s="15" t="inlineStr">
        <is>
          <t>17/06/2024</t>
        </is>
      </c>
      <c r="Q290" s="15" t="n"/>
      <c r="R290" s="15" t="n"/>
    </row>
    <row r="291">
      <c r="A291" s="15" t="inlineStr">
        <is>
          <t>SL0287</t>
        </is>
      </c>
      <c r="B291" s="16" t="n">
        <v>45460</v>
      </c>
      <c r="C291" s="15" t="inlineStr">
        <is>
          <t>2024-06</t>
        </is>
      </c>
      <c r="D291" s="15" t="n">
        <v>2024</v>
      </c>
      <c r="E291" s="15" t="inlineStr">
        <is>
          <t>Land</t>
        </is>
      </c>
      <c r="F291" s="15" t="inlineStr">
        <is>
          <t>Ancillary charge</t>
        </is>
      </c>
      <c r="G291" s="15" t="inlineStr">
        <is>
          <t>Land: corner piece premium</t>
        </is>
      </c>
      <c r="H291" s="15" t="inlineStr">
        <is>
          <t>BP-C0092</t>
        </is>
      </c>
      <c r="I291" s="15" t="inlineStr">
        <is>
          <t>Mr Oriakhi Osemudiamen Peter</t>
        </is>
      </c>
      <c r="J291" s="17" t="n">
        <v>135000</v>
      </c>
      <c r="K291" s="15" t="inlineStr">
        <is>
          <t>Magodo Branch</t>
        </is>
      </c>
      <c r="L291" s="15" t="inlineStr">
        <is>
          <t>Primary: monthly turnover register</t>
        </is>
      </c>
      <c r="M291" s="15" t="inlineStr">
        <is>
          <t>BAAY PROJECTS FINANCIALS 2024.xlsx</t>
        </is>
      </c>
      <c r="N291" s="15" t="inlineStr">
        <is>
          <t>JUNE TURNOVER</t>
        </is>
      </c>
      <c r="O291" s="15" t="n">
        <v>10</v>
      </c>
      <c r="P291" s="15" t="inlineStr">
        <is>
          <t>17/06/2024</t>
        </is>
      </c>
      <c r="Q291" s="15" t="n"/>
      <c r="R291" s="15" t="n"/>
    </row>
    <row r="292">
      <c r="A292" s="15" t="inlineStr">
        <is>
          <t>SL0288</t>
        </is>
      </c>
      <c r="B292" s="16" t="n">
        <v>45461</v>
      </c>
      <c r="C292" s="15" t="inlineStr">
        <is>
          <t>2024-06</t>
        </is>
      </c>
      <c r="D292" s="15" t="n">
        <v>2024</v>
      </c>
      <c r="E292" s="15" t="inlineStr">
        <is>
          <t>Land</t>
        </is>
      </c>
      <c r="F292" s="15" t="inlineStr">
        <is>
          <t>Plot / unit price</t>
        </is>
      </c>
      <c r="G292" s="15" t="inlineStr">
        <is>
          <t>Green City Phase 2 (Ketu-Epe)</t>
        </is>
      </c>
      <c r="H292" s="15" t="inlineStr">
        <is>
          <t>BP-C0081</t>
        </is>
      </c>
      <c r="I292" s="15" t="inlineStr">
        <is>
          <t>Mr Ukachi Godfrey Ndukaku</t>
        </is>
      </c>
      <c r="J292" s="17" t="n">
        <v>300000</v>
      </c>
      <c r="K292" s="15" t="inlineStr">
        <is>
          <t>Magodo Branch</t>
        </is>
      </c>
      <c r="L292" s="15" t="inlineStr">
        <is>
          <t>Primary: monthly turnover register</t>
        </is>
      </c>
      <c r="M292" s="15" t="inlineStr">
        <is>
          <t>BAAY PROJECTS FINANCIALS 2024.xlsx</t>
        </is>
      </c>
      <c r="N292" s="15" t="inlineStr">
        <is>
          <t>JUNE TURNOVER</t>
        </is>
      </c>
      <c r="O292" s="15" t="n">
        <v>11</v>
      </c>
      <c r="P292" s="15" t="inlineStr">
        <is>
          <t>18/06/2024</t>
        </is>
      </c>
      <c r="Q292" s="15" t="inlineStr">
        <is>
          <t>MS FEYI r9</t>
        </is>
      </c>
      <c r="R292" s="15" t="n"/>
    </row>
    <row r="293">
      <c r="A293" s="15" t="inlineStr">
        <is>
          <t>SL0289</t>
        </is>
      </c>
      <c r="B293" s="16" t="n">
        <v>45463</v>
      </c>
      <c r="C293" s="15" t="inlineStr">
        <is>
          <t>2024-06</t>
        </is>
      </c>
      <c r="D293" s="15" t="n">
        <v>2024</v>
      </c>
      <c r="E293" s="15" t="inlineStr">
        <is>
          <t>Land</t>
        </is>
      </c>
      <c r="F293" s="15" t="inlineStr">
        <is>
          <t>Ancillary charge</t>
        </is>
      </c>
      <c r="G293" s="15" t="inlineStr">
        <is>
          <t>Land: corner piece premium</t>
        </is>
      </c>
      <c r="H293" s="15" t="inlineStr">
        <is>
          <t>BP-C0097</t>
        </is>
      </c>
      <c r="I293" s="15" t="inlineStr">
        <is>
          <t>Engr. Fagbulu Taiwo Olubunmi</t>
        </is>
      </c>
      <c r="J293" s="17" t="n">
        <v>135000</v>
      </c>
      <c r="K293" s="15" t="inlineStr">
        <is>
          <t>Magodo Branch</t>
        </is>
      </c>
      <c r="L293" s="15" t="inlineStr">
        <is>
          <t>Primary: monthly turnover register</t>
        </is>
      </c>
      <c r="M293" s="15" t="inlineStr">
        <is>
          <t>BAAY PROJECTS FINANCIALS 2024.xlsx</t>
        </is>
      </c>
      <c r="N293" s="15" t="inlineStr">
        <is>
          <t>JUNE TURNOVER</t>
        </is>
      </c>
      <c r="O293" s="15" t="n">
        <v>12</v>
      </c>
      <c r="P293" s="15" t="inlineStr">
        <is>
          <t>20/06/2024</t>
        </is>
      </c>
      <c r="Q293" s="15" t="n"/>
      <c r="R293" s="15" t="n"/>
    </row>
    <row r="294">
      <c r="A294" s="15" t="inlineStr">
        <is>
          <t>SL0290</t>
        </is>
      </c>
      <c r="B294" s="16" t="n">
        <v>45463</v>
      </c>
      <c r="C294" s="15" t="inlineStr">
        <is>
          <t>2024-06</t>
        </is>
      </c>
      <c r="D294" s="15" t="n">
        <v>2024</v>
      </c>
      <c r="E294" s="15" t="inlineStr">
        <is>
          <t>Land</t>
        </is>
      </c>
      <c r="F294" s="15" t="inlineStr">
        <is>
          <t>Ancillary charge</t>
        </is>
      </c>
      <c r="G294" s="15" t="inlineStr">
        <is>
          <t>Land: corner piece premium</t>
        </is>
      </c>
      <c r="H294" s="15" t="inlineStr">
        <is>
          <t>BP-C0101</t>
        </is>
      </c>
      <c r="I294" s="15" t="inlineStr">
        <is>
          <t>Miss Ojochegbe Success Danjuma</t>
        </is>
      </c>
      <c r="J294" s="17" t="n">
        <v>135000</v>
      </c>
      <c r="K294" s="15" t="inlineStr">
        <is>
          <t>Allen Branch</t>
        </is>
      </c>
      <c r="L294" s="15" t="inlineStr">
        <is>
          <t>Primary: monthly turnover register</t>
        </is>
      </c>
      <c r="M294" s="15" t="inlineStr">
        <is>
          <t>BAAY PROJECTS FINANCIALS 2024.xlsx</t>
        </is>
      </c>
      <c r="N294" s="15" t="inlineStr">
        <is>
          <t>JUNE TURNOVER</t>
        </is>
      </c>
      <c r="O294" s="15" t="n">
        <v>28</v>
      </c>
      <c r="P294" s="15" t="inlineStr">
        <is>
          <t>20/06/2024</t>
        </is>
      </c>
      <c r="Q294" s="15" t="n"/>
      <c r="R294" s="15" t="n"/>
    </row>
    <row r="295">
      <c r="A295" s="15" t="inlineStr">
        <is>
          <t>SL0291</t>
        </is>
      </c>
      <c r="B295" s="16" t="n">
        <v>45464</v>
      </c>
      <c r="C295" s="15" t="inlineStr">
        <is>
          <t>2024-06</t>
        </is>
      </c>
      <c r="D295" s="15" t="n">
        <v>2024</v>
      </c>
      <c r="E295" s="15" t="inlineStr">
        <is>
          <t>Land</t>
        </is>
      </c>
      <c r="F295" s="15" t="inlineStr">
        <is>
          <t>Plot / unit price</t>
        </is>
      </c>
      <c r="G295" s="15" t="inlineStr">
        <is>
          <t>Green City Phase 2 (Ketu-Epe)</t>
        </is>
      </c>
      <c r="H295" s="15" t="inlineStr">
        <is>
          <t>BP-C0102</t>
        </is>
      </c>
      <c r="I295" s="15" t="inlineStr">
        <is>
          <t>Miss Odeyemi Testimony Patricia</t>
        </is>
      </c>
      <c r="J295" s="17" t="n">
        <v>1000000</v>
      </c>
      <c r="K295" s="15" t="inlineStr">
        <is>
          <t>Allen Branch</t>
        </is>
      </c>
      <c r="L295" s="15" t="inlineStr">
        <is>
          <t>Primary: monthly turnover register</t>
        </is>
      </c>
      <c r="M295" s="15" t="inlineStr">
        <is>
          <t>BAAY PROJECTS FINANCIALS 2024.xlsx</t>
        </is>
      </c>
      <c r="N295" s="15" t="inlineStr">
        <is>
          <t>JUNE TURNOVER</t>
        </is>
      </c>
      <c r="O295" s="15" t="n">
        <v>30</v>
      </c>
      <c r="P295" s="15" t="inlineStr">
        <is>
          <t>21/06/2024</t>
        </is>
      </c>
      <c r="Q295" s="15" t="inlineStr">
        <is>
          <t>MRS ABIMBOLA r94</t>
        </is>
      </c>
      <c r="R295" s="15" t="n"/>
    </row>
    <row r="296">
      <c r="A296" s="15" t="inlineStr">
        <is>
          <t>SL0292</t>
        </is>
      </c>
      <c r="B296" s="16" t="n">
        <v>45464</v>
      </c>
      <c r="C296" s="15" t="inlineStr">
        <is>
          <t>2024-06</t>
        </is>
      </c>
      <c r="D296" s="15" t="n">
        <v>2024</v>
      </c>
      <c r="E296" s="15" t="inlineStr">
        <is>
          <t>Land</t>
        </is>
      </c>
      <c r="F296" s="15" t="inlineStr">
        <is>
          <t>Ancillary charge</t>
        </is>
      </c>
      <c r="G296" s="15" t="inlineStr">
        <is>
          <t>Land: corner piece premium</t>
        </is>
      </c>
      <c r="H296" s="15" t="inlineStr">
        <is>
          <t>BP-C0009</t>
        </is>
      </c>
      <c r="I296" s="15" t="inlineStr">
        <is>
          <t>Miss Oji Blessing Mary</t>
        </is>
      </c>
      <c r="J296" s="17" t="n">
        <v>135000</v>
      </c>
      <c r="K296" s="15" t="inlineStr">
        <is>
          <t>Allen Branch</t>
        </is>
      </c>
      <c r="L296" s="15" t="inlineStr">
        <is>
          <t>Primary: monthly turnover register</t>
        </is>
      </c>
      <c r="M296" s="15" t="inlineStr">
        <is>
          <t>BAAY PROJECTS FINANCIALS 2024.xlsx</t>
        </is>
      </c>
      <c r="N296" s="15" t="inlineStr">
        <is>
          <t>JUNE TURNOVER</t>
        </is>
      </c>
      <c r="O296" s="15" t="n">
        <v>31</v>
      </c>
      <c r="P296" s="15" t="inlineStr">
        <is>
          <t>21/06/2024</t>
        </is>
      </c>
      <c r="Q296" s="15" t="n"/>
      <c r="R296" s="15" t="n"/>
    </row>
    <row r="297">
      <c r="A297" s="15" t="inlineStr">
        <is>
          <t>SL0293</t>
        </is>
      </c>
      <c r="B297" s="16" t="n">
        <v>45464</v>
      </c>
      <c r="C297" s="15" t="inlineStr">
        <is>
          <t>2024-06</t>
        </is>
      </c>
      <c r="D297" s="15" t="n">
        <v>2024</v>
      </c>
      <c r="E297" s="15" t="inlineStr">
        <is>
          <t>Land</t>
        </is>
      </c>
      <c r="F297" s="15" t="inlineStr">
        <is>
          <t>Ancillary charge</t>
        </is>
      </c>
      <c r="G297" s="15" t="inlineStr">
        <is>
          <t>Land: corner piece premium</t>
        </is>
      </c>
      <c r="H297" s="15" t="inlineStr">
        <is>
          <t>BP-C0066</t>
        </is>
      </c>
      <c r="I297" s="15" t="inlineStr">
        <is>
          <t>Miss Omosanya Dotun Akeju</t>
        </is>
      </c>
      <c r="J297" s="17" t="n">
        <v>135000</v>
      </c>
      <c r="K297" s="15" t="inlineStr">
        <is>
          <t>Allen Branch</t>
        </is>
      </c>
      <c r="L297" s="15" t="inlineStr">
        <is>
          <t>Primary: monthly turnover register</t>
        </is>
      </c>
      <c r="M297" s="15" t="inlineStr">
        <is>
          <t>BAAY PROJECTS FINANCIALS 2024.xlsx</t>
        </is>
      </c>
      <c r="N297" s="15" t="inlineStr">
        <is>
          <t>JUNE TURNOVER</t>
        </is>
      </c>
      <c r="O297" s="15" t="n">
        <v>32</v>
      </c>
      <c r="P297" s="15" t="inlineStr">
        <is>
          <t>21/06/2024</t>
        </is>
      </c>
      <c r="Q297" s="15" t="n"/>
      <c r="R297" s="15" t="n"/>
    </row>
    <row r="298">
      <c r="A298" s="15" t="inlineStr">
        <is>
          <t>SL0294</t>
        </is>
      </c>
      <c r="B298" s="16" t="n">
        <v>45464</v>
      </c>
      <c r="C298" s="15" t="inlineStr">
        <is>
          <t>2024-06</t>
        </is>
      </c>
      <c r="D298" s="15" t="n">
        <v>2024</v>
      </c>
      <c r="E298" s="15" t="inlineStr">
        <is>
          <t>Land</t>
        </is>
      </c>
      <c r="F298" s="15" t="inlineStr">
        <is>
          <t>Plot / unit price</t>
        </is>
      </c>
      <c r="G298" s="15" t="inlineStr">
        <is>
          <t>Green City Phase 2 (Ketu-Epe)</t>
        </is>
      </c>
      <c r="H298" s="15" t="inlineStr">
        <is>
          <t>BP-C0054</t>
        </is>
      </c>
      <c r="I298" s="15" t="inlineStr">
        <is>
          <t>Mr Adeniyi Ademola</t>
        </is>
      </c>
      <c r="J298" s="17" t="n">
        <v>2000000</v>
      </c>
      <c r="K298" s="15" t="inlineStr">
        <is>
          <t>Allen Branch</t>
        </is>
      </c>
      <c r="L298" s="15" t="inlineStr">
        <is>
          <t>Primary: monthly turnover register</t>
        </is>
      </c>
      <c r="M298" s="15" t="inlineStr">
        <is>
          <t>BAAY PROJECTS FINANCIALS 2024.xlsx</t>
        </is>
      </c>
      <c r="N298" s="15" t="inlineStr">
        <is>
          <t>JUNE TURNOVER</t>
        </is>
      </c>
      <c r="O298" s="15" t="n">
        <v>29</v>
      </c>
      <c r="P298" s="15" t="inlineStr">
        <is>
          <t>21/06/2024</t>
        </is>
      </c>
      <c r="Q298" s="15" t="inlineStr">
        <is>
          <t>MRS ABIMBOLA r93</t>
        </is>
      </c>
      <c r="R298" s="15" t="n"/>
    </row>
    <row r="299">
      <c r="A299" s="15" t="inlineStr">
        <is>
          <t>SL0295</t>
        </is>
      </c>
      <c r="B299" s="16" t="n">
        <v>45464</v>
      </c>
      <c r="C299" s="15" t="inlineStr">
        <is>
          <t>2024-06</t>
        </is>
      </c>
      <c r="D299" s="15" t="n">
        <v>2024</v>
      </c>
      <c r="E299" s="15" t="inlineStr">
        <is>
          <t>Land</t>
        </is>
      </c>
      <c r="F299" s="15" t="inlineStr">
        <is>
          <t>Ancillary charge</t>
        </is>
      </c>
      <c r="G299" s="15" t="inlineStr">
        <is>
          <t>Land: corner piece premium</t>
        </is>
      </c>
      <c r="H299" s="15" t="inlineStr">
        <is>
          <t>BP-C0089</t>
        </is>
      </c>
      <c r="I299" s="15" t="inlineStr">
        <is>
          <t>Mr Lawson Oladele Valentino</t>
        </is>
      </c>
      <c r="J299" s="17" t="n">
        <v>135000</v>
      </c>
      <c r="K299" s="15" t="inlineStr">
        <is>
          <t>Magodo Branch</t>
        </is>
      </c>
      <c r="L299" s="15" t="inlineStr">
        <is>
          <t>Primary: monthly turnover register</t>
        </is>
      </c>
      <c r="M299" s="15" t="inlineStr">
        <is>
          <t>BAAY PROJECTS FINANCIALS 2024.xlsx</t>
        </is>
      </c>
      <c r="N299" s="15" t="inlineStr">
        <is>
          <t>JUNE TURNOVER</t>
        </is>
      </c>
      <c r="O299" s="15" t="n">
        <v>13</v>
      </c>
      <c r="P299" s="15" t="inlineStr">
        <is>
          <t>21/06/2024</t>
        </is>
      </c>
      <c r="Q299" s="15" t="n"/>
      <c r="R299" s="15" t="n"/>
    </row>
    <row r="300">
      <c r="A300" s="15" t="inlineStr">
        <is>
          <t>SL0296</t>
        </is>
      </c>
      <c r="B300" s="16" t="n">
        <v>45464</v>
      </c>
      <c r="C300" s="15" t="inlineStr">
        <is>
          <t>2024-06</t>
        </is>
      </c>
      <c r="D300" s="15" t="n">
        <v>2024</v>
      </c>
      <c r="E300" s="15" t="inlineStr">
        <is>
          <t>Land</t>
        </is>
      </c>
      <c r="F300" s="15" t="inlineStr">
        <is>
          <t>Ancillary charge</t>
        </is>
      </c>
      <c r="G300" s="15" t="inlineStr">
        <is>
          <t>Land: corner piece premium</t>
        </is>
      </c>
      <c r="H300" s="15" t="inlineStr">
        <is>
          <t>BP-C0072</t>
        </is>
      </c>
      <c r="I300" s="15" t="inlineStr">
        <is>
          <t>Oyebola Ajibola</t>
        </is>
      </c>
      <c r="J300" s="17" t="n">
        <v>135000</v>
      </c>
      <c r="K300" s="15" t="inlineStr">
        <is>
          <t>Magodo Branch</t>
        </is>
      </c>
      <c r="L300" s="15" t="inlineStr">
        <is>
          <t>Primary: monthly turnover register</t>
        </is>
      </c>
      <c r="M300" s="15" t="inlineStr">
        <is>
          <t>BAAY PROJECTS FINANCIALS 2024.xlsx</t>
        </is>
      </c>
      <c r="N300" s="15" t="inlineStr">
        <is>
          <t>JUNE TURNOVER</t>
        </is>
      </c>
      <c r="O300" s="15" t="n">
        <v>14</v>
      </c>
      <c r="P300" s="15" t="inlineStr">
        <is>
          <t>21/06/2024</t>
        </is>
      </c>
      <c r="Q300" s="15" t="n"/>
      <c r="R300" s="15" t="n"/>
    </row>
    <row r="301">
      <c r="A301" s="15" t="inlineStr">
        <is>
          <t>SL0297</t>
        </is>
      </c>
      <c r="B301" s="16" t="n">
        <v>45465</v>
      </c>
      <c r="C301" s="15" t="inlineStr">
        <is>
          <t>2024-06</t>
        </is>
      </c>
      <c r="D301" s="15" t="n">
        <v>2024</v>
      </c>
      <c r="E301" s="15" t="inlineStr">
        <is>
          <t>Land</t>
        </is>
      </c>
      <c r="F301" s="15" t="inlineStr">
        <is>
          <t>Plot / unit price</t>
        </is>
      </c>
      <c r="G301" s="15" t="inlineStr">
        <is>
          <t>Green City Phase 2 (Ketu-Epe)</t>
        </is>
      </c>
      <c r="H301" s="15" t="inlineStr">
        <is>
          <t>BP-C0103</t>
        </is>
      </c>
      <c r="I301" s="15" t="inlineStr">
        <is>
          <t>Faith Ojotule Danjuma</t>
        </is>
      </c>
      <c r="J301" s="17" t="n">
        <v>500000</v>
      </c>
      <c r="K301" s="15" t="inlineStr">
        <is>
          <t>Allen Branch</t>
        </is>
      </c>
      <c r="L301" s="15" t="inlineStr">
        <is>
          <t>Primary: monthly turnover register</t>
        </is>
      </c>
      <c r="M301" s="15" t="inlineStr">
        <is>
          <t>BAAY PROJECTS FINANCIALS 2024.xlsx</t>
        </is>
      </c>
      <c r="N301" s="15" t="inlineStr">
        <is>
          <t>JUNE TURNOVER</t>
        </is>
      </c>
      <c r="O301" s="15" t="n">
        <v>34</v>
      </c>
      <c r="P301" s="15" t="inlineStr">
        <is>
          <t>22/06/2024</t>
        </is>
      </c>
      <c r="Q301" s="15" t="inlineStr">
        <is>
          <t>FESTUS r17</t>
        </is>
      </c>
      <c r="R301" s="15" t="n"/>
    </row>
    <row r="302">
      <c r="A302" s="15" t="inlineStr">
        <is>
          <t>SL0298</t>
        </is>
      </c>
      <c r="B302" s="16" t="n">
        <v>45465</v>
      </c>
      <c r="C302" s="15" t="inlineStr">
        <is>
          <t>2024-06</t>
        </is>
      </c>
      <c r="D302" s="15" t="n">
        <v>2024</v>
      </c>
      <c r="E302" s="15" t="inlineStr">
        <is>
          <t>Land</t>
        </is>
      </c>
      <c r="F302" s="15" t="inlineStr">
        <is>
          <t>Plot / unit price</t>
        </is>
      </c>
      <c r="G302" s="15" t="inlineStr">
        <is>
          <t>Green City Phase 1 (Lantaba, Ketu-Epe)</t>
        </is>
      </c>
      <c r="H302" s="15" t="inlineStr">
        <is>
          <t>BP-C0086</t>
        </is>
      </c>
      <c r="I302" s="15" t="inlineStr">
        <is>
          <t>Miss Nwobodo Miriam Chioma</t>
        </is>
      </c>
      <c r="J302" s="17" t="n">
        <v>500000</v>
      </c>
      <c r="K302" s="15" t="inlineStr">
        <is>
          <t>Allen Branch</t>
        </is>
      </c>
      <c r="L302" s="15" t="inlineStr">
        <is>
          <t>Primary: monthly turnover register</t>
        </is>
      </c>
      <c r="M302" s="15" t="inlineStr">
        <is>
          <t>BAAY PROJECTS FINANCIALS 2024.xlsx</t>
        </is>
      </c>
      <c r="N302" s="15" t="inlineStr">
        <is>
          <t>JUNE TURNOVER</t>
        </is>
      </c>
      <c r="O302" s="15" t="n">
        <v>33</v>
      </c>
      <c r="P302" s="15" t="inlineStr">
        <is>
          <t>22/06/2024</t>
        </is>
      </c>
      <c r="Q302" s="15" t="inlineStr">
        <is>
          <t>MD r38</t>
        </is>
      </c>
      <c r="R302" s="15" t="n"/>
    </row>
    <row r="303">
      <c r="A303" s="15" t="inlineStr">
        <is>
          <t>SL0299</t>
        </is>
      </c>
      <c r="B303" s="16" t="n">
        <v>45468</v>
      </c>
      <c r="C303" s="15" t="inlineStr">
        <is>
          <t>2024-06</t>
        </is>
      </c>
      <c r="D303" s="15" t="n">
        <v>2024</v>
      </c>
      <c r="E303" s="15" t="inlineStr">
        <is>
          <t>Land</t>
        </is>
      </c>
      <c r="F303" s="15" t="inlineStr">
        <is>
          <t>Plot / unit price</t>
        </is>
      </c>
      <c r="G303" s="15" t="inlineStr">
        <is>
          <t>Green City Phase 2 (Ketu-Epe)</t>
        </is>
      </c>
      <c r="H303" s="15" t="inlineStr">
        <is>
          <t>BP-C0104</t>
        </is>
      </c>
      <c r="I303" s="15" t="inlineStr">
        <is>
          <t>Mr Abiodun Olasunkanmi Enoch</t>
        </is>
      </c>
      <c r="J303" s="17" t="n">
        <v>1000000</v>
      </c>
      <c r="K303" s="15" t="inlineStr">
        <is>
          <t>Allen Branch</t>
        </is>
      </c>
      <c r="L303" s="15" t="inlineStr">
        <is>
          <t>Primary: monthly turnover register</t>
        </is>
      </c>
      <c r="M303" s="15" t="inlineStr">
        <is>
          <t>BAAY PROJECTS FINANCIALS 2024.xlsx</t>
        </is>
      </c>
      <c r="N303" s="15" t="inlineStr">
        <is>
          <t>JUNE TURNOVER</t>
        </is>
      </c>
      <c r="O303" s="15" t="n">
        <v>38</v>
      </c>
      <c r="P303" s="15" t="inlineStr">
        <is>
          <t>25/06/2024</t>
        </is>
      </c>
      <c r="Q303" s="15" t="inlineStr">
        <is>
          <t>MRS ABIMBOLA r96</t>
        </is>
      </c>
      <c r="R303" s="15" t="n"/>
    </row>
    <row r="304">
      <c r="A304" s="15" t="inlineStr">
        <is>
          <t>SL0300</t>
        </is>
      </c>
      <c r="B304" s="16" t="n">
        <v>45468</v>
      </c>
      <c r="C304" s="15" t="inlineStr">
        <is>
          <t>2024-06</t>
        </is>
      </c>
      <c r="D304" s="15" t="n">
        <v>2024</v>
      </c>
      <c r="E304" s="15" t="inlineStr">
        <is>
          <t>Land</t>
        </is>
      </c>
      <c r="F304" s="15" t="inlineStr">
        <is>
          <t>Plot / unit price</t>
        </is>
      </c>
      <c r="G304" s="15" t="inlineStr">
        <is>
          <t>Green City Phase 1 (Lantaba, Ketu-Epe)</t>
        </is>
      </c>
      <c r="H304" s="15" t="inlineStr">
        <is>
          <t>BP-C0050</t>
        </is>
      </c>
      <c r="I304" s="15" t="inlineStr">
        <is>
          <t>Mr Atuanya Patrick</t>
        </is>
      </c>
      <c r="J304" s="17" t="n">
        <v>480000</v>
      </c>
      <c r="K304" s="15" t="inlineStr">
        <is>
          <t>Allen Branch</t>
        </is>
      </c>
      <c r="L304" s="15" t="inlineStr">
        <is>
          <t>Primary: monthly turnover register</t>
        </is>
      </c>
      <c r="M304" s="15" t="inlineStr">
        <is>
          <t>BAAY PROJECTS FINANCIALS 2024.xlsx</t>
        </is>
      </c>
      <c r="N304" s="15" t="inlineStr">
        <is>
          <t>JUNE TURNOVER</t>
        </is>
      </c>
      <c r="O304" s="15" t="n">
        <v>36</v>
      </c>
      <c r="P304" s="15" t="inlineStr">
        <is>
          <t>25/06/2024</t>
        </is>
      </c>
      <c r="Q304" s="15" t="inlineStr">
        <is>
          <t>MS YETUNDE ABISOYE r63</t>
        </is>
      </c>
      <c r="R304" s="15" t="n"/>
    </row>
    <row r="305">
      <c r="A305" s="15" t="inlineStr">
        <is>
          <t>SL0301</t>
        </is>
      </c>
      <c r="B305" s="16" t="n">
        <v>45470</v>
      </c>
      <c r="C305" s="15" t="inlineStr">
        <is>
          <t>2024-06</t>
        </is>
      </c>
      <c r="D305" s="15" t="n">
        <v>2024</v>
      </c>
      <c r="E305" s="15" t="inlineStr">
        <is>
          <t>Land</t>
        </is>
      </c>
      <c r="F305" s="15" t="inlineStr">
        <is>
          <t>Plot / unit price</t>
        </is>
      </c>
      <c r="G305" s="15" t="inlineStr">
        <is>
          <t>Land (estate not stated in source)</t>
        </is>
      </c>
      <c r="H305" s="15" t="inlineStr">
        <is>
          <t>BP-C0100</t>
        </is>
      </c>
      <c r="I305" s="15" t="inlineStr">
        <is>
          <t>Mr Braimoh Ayomide Favour</t>
        </is>
      </c>
      <c r="J305" s="17" t="n">
        <v>250000</v>
      </c>
      <c r="K305" s="15" t="inlineStr">
        <is>
          <t>Magodo Branch</t>
        </is>
      </c>
      <c r="L305" s="15" t="inlineStr">
        <is>
          <t>Primary: monthly turnover register</t>
        </is>
      </c>
      <c r="M305" s="15" t="inlineStr">
        <is>
          <t>BAAY PROJECTS FINANCIALS 2024.xlsx</t>
        </is>
      </c>
      <c r="N305" s="15" t="inlineStr">
        <is>
          <t>JUNE TURNOVER</t>
        </is>
      </c>
      <c r="O305" s="15" t="n">
        <v>15</v>
      </c>
      <c r="P305" s="15" t="inlineStr">
        <is>
          <t>27/06/2024</t>
        </is>
      </c>
      <c r="Q305" s="15" t="inlineStr">
        <is>
          <t>MS MAYOWA BRAIMOH r3</t>
        </is>
      </c>
      <c r="R305" s="15" t="n"/>
    </row>
    <row r="306">
      <c r="A306" s="15" t="inlineStr">
        <is>
          <t>SL0302</t>
        </is>
      </c>
      <c r="B306" s="16" t="n">
        <v>45471</v>
      </c>
      <c r="C306" s="15" t="inlineStr">
        <is>
          <t>2024-06</t>
        </is>
      </c>
      <c r="D306" s="15" t="n">
        <v>2024</v>
      </c>
      <c r="E306" s="15" t="inlineStr">
        <is>
          <t>Land</t>
        </is>
      </c>
      <c r="F306" s="15" t="inlineStr">
        <is>
          <t>Plot / unit price</t>
        </is>
      </c>
      <c r="G306" s="15" t="inlineStr">
        <is>
          <t>Green City Phase 2 (Ketu-Epe)</t>
        </is>
      </c>
      <c r="H306" s="15" t="inlineStr">
        <is>
          <t>BP-C0068</t>
        </is>
      </c>
      <c r="I306" s="15" t="inlineStr">
        <is>
          <t>Miss Ebhotah Sharon Aisosa</t>
        </is>
      </c>
      <c r="J306" s="17" t="n">
        <v>295000</v>
      </c>
      <c r="K306" s="15" t="inlineStr">
        <is>
          <t>Magodo Branch</t>
        </is>
      </c>
      <c r="L306" s="15" t="inlineStr">
        <is>
          <t>Primary: monthly turnover register</t>
        </is>
      </c>
      <c r="M306" s="15" t="inlineStr">
        <is>
          <t>BAAY PROJECTS FINANCIALS 2024.xlsx</t>
        </is>
      </c>
      <c r="N306" s="15" t="inlineStr">
        <is>
          <t>JUNE TURNOVER</t>
        </is>
      </c>
      <c r="O306" s="15" t="n">
        <v>16</v>
      </c>
      <c r="P306" s="15" t="inlineStr">
        <is>
          <t>28/06/2024</t>
        </is>
      </c>
      <c r="Q306" s="15" t="inlineStr">
        <is>
          <t>TURNOVER SCHEDULE r262</t>
        </is>
      </c>
      <c r="R306" s="15" t="n"/>
    </row>
    <row r="307">
      <c r="A307" s="15" t="inlineStr">
        <is>
          <t>SL0303</t>
        </is>
      </c>
      <c r="B307" s="16" t="n">
        <v>45471</v>
      </c>
      <c r="C307" s="15" t="inlineStr">
        <is>
          <t>2024-06</t>
        </is>
      </c>
      <c r="D307" s="15" t="n">
        <v>2024</v>
      </c>
      <c r="E307" s="15" t="inlineStr">
        <is>
          <t>Land</t>
        </is>
      </c>
      <c r="F307" s="15" t="inlineStr">
        <is>
          <t>Ancillary charge</t>
        </is>
      </c>
      <c r="G307" s="15" t="inlineStr">
        <is>
          <t>Land: corner piece premium</t>
        </is>
      </c>
      <c r="H307" s="15" t="inlineStr">
        <is>
          <t>BP-C0074</t>
        </is>
      </c>
      <c r="I307" s="15" t="inlineStr">
        <is>
          <t>Mrs Oloniluyi Victoria Iyabode Adetutu</t>
        </is>
      </c>
      <c r="J307" s="17" t="n">
        <v>135000</v>
      </c>
      <c r="K307" s="15" t="inlineStr">
        <is>
          <t>Allen Branch</t>
        </is>
      </c>
      <c r="L307" s="15" t="inlineStr">
        <is>
          <t>Primary: monthly turnover register</t>
        </is>
      </c>
      <c r="M307" s="15" t="inlineStr">
        <is>
          <t>BAAY PROJECTS FINANCIALS 2024.xlsx</t>
        </is>
      </c>
      <c r="N307" s="15" t="inlineStr">
        <is>
          <t>JUNE TURNOVER</t>
        </is>
      </c>
      <c r="O307" s="15" t="n">
        <v>41</v>
      </c>
      <c r="P307" s="15" t="inlineStr">
        <is>
          <t>28/06/2024</t>
        </is>
      </c>
      <c r="Q307" s="15" t="n"/>
      <c r="R307" s="15" t="n"/>
    </row>
    <row r="308">
      <c r="A308" s="15" t="inlineStr">
        <is>
          <t>SL0304</t>
        </is>
      </c>
      <c r="B308" s="16" t="n">
        <v>45473</v>
      </c>
      <c r="C308" s="15" t="inlineStr">
        <is>
          <t>2024-06</t>
        </is>
      </c>
      <c r="D308" s="15" t="n">
        <v>2024</v>
      </c>
      <c r="E308" s="15" t="inlineStr">
        <is>
          <t>Land</t>
        </is>
      </c>
      <c r="F308" s="15" t="inlineStr">
        <is>
          <t>Ancillary charge</t>
        </is>
      </c>
      <c r="G308" s="15" t="inlineStr">
        <is>
          <t>Land: corner piece premium</t>
        </is>
      </c>
      <c r="H308" s="15" t="inlineStr">
        <is>
          <t>BP-C0105</t>
        </is>
      </c>
      <c r="I308" s="15" t="inlineStr">
        <is>
          <t>Mr Omodara Addewale</t>
        </is>
      </c>
      <c r="J308" s="17" t="n">
        <v>135000</v>
      </c>
      <c r="K308" s="15" t="inlineStr">
        <is>
          <t>Magodo Branch</t>
        </is>
      </c>
      <c r="L308" s="15" t="inlineStr">
        <is>
          <t>Primary: monthly turnover register</t>
        </is>
      </c>
      <c r="M308" s="15" t="inlineStr">
        <is>
          <t>BAAY PROJECTS FINANCIALS 2024.xlsx</t>
        </is>
      </c>
      <c r="N308" s="15" t="inlineStr">
        <is>
          <t>JUNE TURNOVER</t>
        </is>
      </c>
      <c r="O308" s="15" t="n">
        <v>17</v>
      </c>
      <c r="P308" s="15" t="inlineStr">
        <is>
          <t>30/06/2024</t>
        </is>
      </c>
      <c r="Q308" s="15" t="n"/>
      <c r="R308" s="15" t="n"/>
    </row>
    <row r="309">
      <c r="A309" s="15" t="inlineStr">
        <is>
          <t>SL0305</t>
        </is>
      </c>
      <c r="B309" s="16" t="n">
        <v>45474</v>
      </c>
      <c r="C309" s="15" t="inlineStr">
        <is>
          <t>2024-07</t>
        </is>
      </c>
      <c r="D309" s="15" t="n">
        <v>2024</v>
      </c>
      <c r="E309" s="15" t="inlineStr">
        <is>
          <t>Land</t>
        </is>
      </c>
      <c r="F309" s="15" t="inlineStr">
        <is>
          <t>Plot / unit price</t>
        </is>
      </c>
      <c r="G309" s="15" t="inlineStr">
        <is>
          <t>Green City Phase 2 (Idobi, Ketu-Epe)</t>
        </is>
      </c>
      <c r="H309" s="15" t="inlineStr">
        <is>
          <t>BP-C0103</t>
        </is>
      </c>
      <c r="I309" s="15" t="inlineStr">
        <is>
          <t>Miss Ojotule Faith Danjuma</t>
        </is>
      </c>
      <c r="J309" s="17" t="n">
        <v>500000</v>
      </c>
      <c r="K309" s="15" t="inlineStr">
        <is>
          <t>Allen Branch</t>
        </is>
      </c>
      <c r="L309" s="15" t="inlineStr">
        <is>
          <t>Primary: monthly turnover register</t>
        </is>
      </c>
      <c r="M309" s="15" t="inlineStr">
        <is>
          <t>BAAY PROJECTS FINANCIALS 2024.xlsx</t>
        </is>
      </c>
      <c r="N309" s="15" t="inlineStr">
        <is>
          <t>JULY TURNOVER</t>
        </is>
      </c>
      <c r="O309" s="15" t="n">
        <v>7</v>
      </c>
      <c r="P309" s="15" t="inlineStr">
        <is>
          <t>2024-01-07</t>
        </is>
      </c>
      <c r="Q309" s="15" t="inlineStr">
        <is>
          <t>FESTUS r23</t>
        </is>
      </c>
      <c r="R309" s="15" t="n"/>
    </row>
    <row r="310">
      <c r="A310" s="15" t="inlineStr">
        <is>
          <t>SL0306</t>
        </is>
      </c>
      <c r="B310" s="16" t="n">
        <v>45475</v>
      </c>
      <c r="C310" s="15" t="inlineStr">
        <is>
          <t>2024-07</t>
        </is>
      </c>
      <c r="D310" s="15" t="n">
        <v>2024</v>
      </c>
      <c r="E310" s="15" t="inlineStr">
        <is>
          <t>Land</t>
        </is>
      </c>
      <c r="F310" s="15" t="inlineStr">
        <is>
          <t>Plot / unit price</t>
        </is>
      </c>
      <c r="G310" s="15" t="inlineStr">
        <is>
          <t>Green City Phase 1 (Lantaba, Ketu-Epe)</t>
        </is>
      </c>
      <c r="H310" s="15" t="inlineStr">
        <is>
          <t>BP-C0086</t>
        </is>
      </c>
      <c r="I310" s="15" t="inlineStr">
        <is>
          <t>Miss Nwobodo Miriam Chioma</t>
        </is>
      </c>
      <c r="J310" s="17" t="n">
        <v>500000</v>
      </c>
      <c r="K310" s="15" t="inlineStr">
        <is>
          <t>Allen Branch</t>
        </is>
      </c>
      <c r="L310" s="15" t="inlineStr">
        <is>
          <t>Primary: monthly turnover register</t>
        </is>
      </c>
      <c r="M310" s="15" t="inlineStr">
        <is>
          <t>BAAY PROJECTS FINANCIALS 2024.xlsx</t>
        </is>
      </c>
      <c r="N310" s="15" t="inlineStr">
        <is>
          <t>JULY TURNOVER</t>
        </is>
      </c>
      <c r="O310" s="15" t="n">
        <v>8</v>
      </c>
      <c r="P310" s="15" t="inlineStr">
        <is>
          <t>2024-02-07</t>
        </is>
      </c>
      <c r="Q310" s="15" t="inlineStr">
        <is>
          <t>MD r42</t>
        </is>
      </c>
      <c r="R310" s="15" t="n"/>
    </row>
    <row r="311">
      <c r="A311" s="15" t="inlineStr">
        <is>
          <t>SL0307</t>
        </is>
      </c>
      <c r="B311" s="16" t="n">
        <v>45475</v>
      </c>
      <c r="C311" s="15" t="inlineStr">
        <is>
          <t>2024-07</t>
        </is>
      </c>
      <c r="D311" s="15" t="n">
        <v>2024</v>
      </c>
      <c r="E311" s="15" t="inlineStr">
        <is>
          <t>Land</t>
        </is>
      </c>
      <c r="F311" s="15" t="inlineStr">
        <is>
          <t>Plot / unit price</t>
        </is>
      </c>
      <c r="G311" s="15" t="inlineStr">
        <is>
          <t>Green City Phase 1 (Lantaba, Ketu-Epe)</t>
        </is>
      </c>
      <c r="H311" s="15" t="inlineStr">
        <is>
          <t>BP-C0027</t>
        </is>
      </c>
      <c r="I311" s="15" t="inlineStr">
        <is>
          <t>Mr Edun Ayobami Simeon</t>
        </is>
      </c>
      <c r="J311" s="17" t="n">
        <v>62000</v>
      </c>
      <c r="K311" s="15" t="inlineStr">
        <is>
          <t>Allen Branch</t>
        </is>
      </c>
      <c r="L311" s="15" t="inlineStr">
        <is>
          <t>Primary: monthly turnover register</t>
        </is>
      </c>
      <c r="M311" s="15" t="inlineStr">
        <is>
          <t>BAAY PROJECTS FINANCIALS 2024.xlsx</t>
        </is>
      </c>
      <c r="N311" s="15" t="inlineStr">
        <is>
          <t>JULY TURNOVER</t>
        </is>
      </c>
      <c r="O311" s="15" t="n">
        <v>9</v>
      </c>
      <c r="P311" s="15" t="inlineStr">
        <is>
          <t>2024-02-07</t>
        </is>
      </c>
      <c r="Q311" s="15" t="n"/>
      <c r="R311" s="15" t="n"/>
    </row>
    <row r="312">
      <c r="A312" s="15" t="inlineStr">
        <is>
          <t>SL0308</t>
        </is>
      </c>
      <c r="B312" s="16" t="n">
        <v>45475</v>
      </c>
      <c r="C312" s="15" t="inlineStr">
        <is>
          <t>2024-07</t>
        </is>
      </c>
      <c r="D312" s="15" t="n">
        <v>2024</v>
      </c>
      <c r="E312" s="15" t="inlineStr">
        <is>
          <t>Land</t>
        </is>
      </c>
      <c r="F312" s="15" t="inlineStr">
        <is>
          <t>Ancillary charge</t>
        </is>
      </c>
      <c r="G312" s="15" t="inlineStr">
        <is>
          <t>Land: corner piece premium</t>
        </is>
      </c>
      <c r="H312" s="15" t="inlineStr">
        <is>
          <t>BP-C0027</t>
        </is>
      </c>
      <c r="I312" s="15" t="inlineStr">
        <is>
          <t>Mr Edun Ayobami Simeon</t>
        </is>
      </c>
      <c r="J312" s="17" t="n">
        <v>135000</v>
      </c>
      <c r="K312" s="15" t="inlineStr">
        <is>
          <t>Allen Branch</t>
        </is>
      </c>
      <c r="L312" s="15" t="inlineStr">
        <is>
          <t>Primary: monthly turnover register</t>
        </is>
      </c>
      <c r="M312" s="15" t="inlineStr">
        <is>
          <t>BAAY PROJECTS FINANCIALS 2024.xlsx</t>
        </is>
      </c>
      <c r="N312" s="15" t="inlineStr">
        <is>
          <t>JULY TURNOVER</t>
        </is>
      </c>
      <c r="O312" s="15" t="n">
        <v>10</v>
      </c>
      <c r="P312" s="15" t="inlineStr">
        <is>
          <t>2024-02-07</t>
        </is>
      </c>
      <c r="Q312" s="15" t="n"/>
      <c r="R312" s="15" t="n"/>
    </row>
    <row r="313">
      <c r="A313" s="15" t="inlineStr">
        <is>
          <t>SL0309</t>
        </is>
      </c>
      <c r="B313" s="16" t="n">
        <v>45476</v>
      </c>
      <c r="C313" s="15" t="inlineStr">
        <is>
          <t>2024-07</t>
        </is>
      </c>
      <c r="D313" s="15" t="n">
        <v>2024</v>
      </c>
      <c r="E313" s="15" t="inlineStr">
        <is>
          <t>Land</t>
        </is>
      </c>
      <c r="F313" s="15" t="inlineStr">
        <is>
          <t>Plot / unit price</t>
        </is>
      </c>
      <c r="G313" s="15" t="inlineStr">
        <is>
          <t>Green City Phase 2 (Idobi, Ketu-Epe)</t>
        </is>
      </c>
      <c r="H313" s="15" t="inlineStr">
        <is>
          <t>BP-C0091</t>
        </is>
      </c>
      <c r="I313" s="15" t="inlineStr">
        <is>
          <t>Mr Ojo Olugbenga Daniel &amp; Mrs Ojo Omolola Oyewunmi</t>
        </is>
      </c>
      <c r="J313" s="17" t="n">
        <v>900000</v>
      </c>
      <c r="K313" s="15" t="inlineStr">
        <is>
          <t>Allen Branch</t>
        </is>
      </c>
      <c r="L313" s="15" t="inlineStr">
        <is>
          <t>Primary: monthly turnover register</t>
        </is>
      </c>
      <c r="M313" s="15" t="inlineStr">
        <is>
          <t>BAAY PROJECTS FINANCIALS 2024.xlsx</t>
        </is>
      </c>
      <c r="N313" s="15" t="inlineStr">
        <is>
          <t>JULY TURNOVER</t>
        </is>
      </c>
      <c r="O313" s="15" t="n">
        <v>11</v>
      </c>
      <c r="P313" s="15" t="inlineStr">
        <is>
          <t>2024-03-07</t>
        </is>
      </c>
      <c r="Q313" s="15" t="inlineStr">
        <is>
          <t>MRS ABIMBOLA r109</t>
        </is>
      </c>
      <c r="R313" s="15" t="n"/>
    </row>
    <row r="314">
      <c r="A314" s="15" t="inlineStr">
        <is>
          <t>SL0310</t>
        </is>
      </c>
      <c r="B314" s="16" t="n">
        <v>45476</v>
      </c>
      <c r="C314" s="15" t="inlineStr">
        <is>
          <t>2024-07</t>
        </is>
      </c>
      <c r="D314" s="15" t="n">
        <v>2024</v>
      </c>
      <c r="E314" s="15" t="inlineStr">
        <is>
          <t>Land</t>
        </is>
      </c>
      <c r="F314" s="15" t="inlineStr">
        <is>
          <t>Ancillary charge</t>
        </is>
      </c>
      <c r="G314" s="15" t="inlineStr">
        <is>
          <t>Land: corner piece premium</t>
        </is>
      </c>
      <c r="H314" s="15" t="inlineStr">
        <is>
          <t>BP-C0015</t>
        </is>
      </c>
      <c r="I314" s="15" t="inlineStr">
        <is>
          <t>Mr Ositade Damilare</t>
        </is>
      </c>
      <c r="J314" s="17" t="n">
        <v>135000</v>
      </c>
      <c r="K314" s="15" t="inlineStr">
        <is>
          <t>Allen Branch</t>
        </is>
      </c>
      <c r="L314" s="15" t="inlineStr">
        <is>
          <t>Primary: monthly turnover register</t>
        </is>
      </c>
      <c r="M314" s="15" t="inlineStr">
        <is>
          <t>BAAY PROJECTS FINANCIALS 2024.xlsx</t>
        </is>
      </c>
      <c r="N314" s="15" t="inlineStr">
        <is>
          <t>JULY TURNOVER</t>
        </is>
      </c>
      <c r="O314" s="15" t="n">
        <v>12</v>
      </c>
      <c r="P314" s="15" t="inlineStr">
        <is>
          <t>2024-03-07</t>
        </is>
      </c>
      <c r="Q314" s="15" t="n"/>
      <c r="R314" s="15" t="n"/>
    </row>
    <row r="315">
      <c r="A315" s="15" t="inlineStr">
        <is>
          <t>SL0311</t>
        </is>
      </c>
      <c r="B315" s="16" t="n">
        <v>45477</v>
      </c>
      <c r="C315" s="15" t="inlineStr">
        <is>
          <t>2024-07</t>
        </is>
      </c>
      <c r="D315" s="15" t="n">
        <v>2024</v>
      </c>
      <c r="E315" s="15" t="inlineStr">
        <is>
          <t>Land</t>
        </is>
      </c>
      <c r="F315" s="15" t="inlineStr">
        <is>
          <t>Ancillary charge</t>
        </is>
      </c>
      <c r="G315" s="15" t="inlineStr">
        <is>
          <t>Land: corner piece premium</t>
        </is>
      </c>
      <c r="H315" s="15" t="inlineStr">
        <is>
          <t>BP-C0106</t>
        </is>
      </c>
      <c r="I315" s="15" t="inlineStr">
        <is>
          <t>Mr Adebowale Pelumi Joseph</t>
        </is>
      </c>
      <c r="J315" s="17" t="n">
        <v>135000</v>
      </c>
      <c r="K315" s="15" t="inlineStr">
        <is>
          <t>Allen Branch</t>
        </is>
      </c>
      <c r="L315" s="15" t="inlineStr">
        <is>
          <t>Primary: monthly turnover register</t>
        </is>
      </c>
      <c r="M315" s="15" t="inlineStr">
        <is>
          <t>BAAY PROJECTS FINANCIALS 2024.xlsx</t>
        </is>
      </c>
      <c r="N315" s="15" t="inlineStr">
        <is>
          <t>JULY TURNOVER</t>
        </is>
      </c>
      <c r="O315" s="15" t="n">
        <v>15</v>
      </c>
      <c r="P315" s="15" t="inlineStr">
        <is>
          <t>2024-04-07</t>
        </is>
      </c>
      <c r="Q315" s="15" t="n"/>
      <c r="R315" s="15" t="n"/>
    </row>
    <row r="316">
      <c r="A316" s="15" t="inlineStr">
        <is>
          <t>SL0312</t>
        </is>
      </c>
      <c r="B316" s="16" t="n">
        <v>45477</v>
      </c>
      <c r="C316" s="15" t="inlineStr">
        <is>
          <t>2024-07</t>
        </is>
      </c>
      <c r="D316" s="15" t="n">
        <v>2024</v>
      </c>
      <c r="E316" s="15" t="inlineStr">
        <is>
          <t>Land</t>
        </is>
      </c>
      <c r="F316" s="15" t="inlineStr">
        <is>
          <t>Ancillary charge</t>
        </is>
      </c>
      <c r="G316" s="15" t="inlineStr">
        <is>
          <t>Land: corner piece premium</t>
        </is>
      </c>
      <c r="H316" s="15" t="inlineStr">
        <is>
          <t>BP-C0050</t>
        </is>
      </c>
      <c r="I316" s="15" t="inlineStr">
        <is>
          <t>Mr Atuanya Patrick Jideovo</t>
        </is>
      </c>
      <c r="J316" s="17" t="n">
        <v>135000</v>
      </c>
      <c r="K316" s="15" t="inlineStr">
        <is>
          <t>Allen Branch</t>
        </is>
      </c>
      <c r="L316" s="15" t="inlineStr">
        <is>
          <t>Primary: monthly turnover register</t>
        </is>
      </c>
      <c r="M316" s="15" t="inlineStr">
        <is>
          <t>BAAY PROJECTS FINANCIALS 2024.xlsx</t>
        </is>
      </c>
      <c r="N316" s="15" t="inlineStr">
        <is>
          <t>JULY TURNOVER</t>
        </is>
      </c>
      <c r="O316" s="15" t="n">
        <v>13</v>
      </c>
      <c r="P316" s="15" t="inlineStr">
        <is>
          <t>2024-04-07</t>
        </is>
      </c>
      <c r="Q316" s="15" t="n"/>
      <c r="R316" s="15" t="n"/>
    </row>
    <row r="317">
      <c r="A317" s="15" t="inlineStr">
        <is>
          <t>SL0313</t>
        </is>
      </c>
      <c r="B317" s="16" t="n">
        <v>45477</v>
      </c>
      <c r="C317" s="15" t="inlineStr">
        <is>
          <t>2024-07</t>
        </is>
      </c>
      <c r="D317" s="15" t="n">
        <v>2024</v>
      </c>
      <c r="E317" s="15" t="inlineStr">
        <is>
          <t>Land</t>
        </is>
      </c>
      <c r="F317" s="15" t="inlineStr">
        <is>
          <t>Ancillary charge</t>
        </is>
      </c>
      <c r="G317" s="15" t="inlineStr">
        <is>
          <t>Land: corner piece premium</t>
        </is>
      </c>
      <c r="H317" s="15" t="inlineStr">
        <is>
          <t>BP-C0036</t>
        </is>
      </c>
      <c r="I317" s="15" t="inlineStr">
        <is>
          <t>Mr Ohumende Paul Osaze</t>
        </is>
      </c>
      <c r="J317" s="17" t="n">
        <v>270000</v>
      </c>
      <c r="K317" s="15" t="inlineStr">
        <is>
          <t>Allen Branch</t>
        </is>
      </c>
      <c r="L317" s="15" t="inlineStr">
        <is>
          <t>Primary: monthly turnover register</t>
        </is>
      </c>
      <c r="M317" s="15" t="inlineStr">
        <is>
          <t>BAAY PROJECTS FINANCIALS 2024.xlsx</t>
        </is>
      </c>
      <c r="N317" s="15" t="inlineStr">
        <is>
          <t>JULY TURNOVER</t>
        </is>
      </c>
      <c r="O317" s="15" t="n">
        <v>14</v>
      </c>
      <c r="P317" s="15" t="inlineStr">
        <is>
          <t>2024-04-07</t>
        </is>
      </c>
      <c r="Q317" s="15" t="n"/>
      <c r="R317" s="15" t="n"/>
    </row>
    <row r="318">
      <c r="A318" s="15" t="inlineStr">
        <is>
          <t>SL0314</t>
        </is>
      </c>
      <c r="B318" s="16" t="n">
        <v>45478</v>
      </c>
      <c r="C318" s="15" t="inlineStr">
        <is>
          <t>2024-07</t>
        </is>
      </c>
      <c r="D318" s="15" t="n">
        <v>2024</v>
      </c>
      <c r="E318" s="15" t="inlineStr">
        <is>
          <t>Land</t>
        </is>
      </c>
      <c r="F318" s="15" t="inlineStr">
        <is>
          <t>Plot / unit price</t>
        </is>
      </c>
      <c r="G318" s="15" t="inlineStr">
        <is>
          <t>Green City Phase 2 (Idobi, Ketu-Epe)</t>
        </is>
      </c>
      <c r="H318" s="15" t="inlineStr">
        <is>
          <t>BP-C0030</t>
        </is>
      </c>
      <c r="I318" s="15" t="inlineStr">
        <is>
          <t>Mr Adese Akorede John</t>
        </is>
      </c>
      <c r="J318" s="17" t="n">
        <v>200000</v>
      </c>
      <c r="K318" s="15" t="inlineStr">
        <is>
          <t>Allen Branch</t>
        </is>
      </c>
      <c r="L318" s="15" t="inlineStr">
        <is>
          <t>Primary: monthly turnover register</t>
        </is>
      </c>
      <c r="M318" s="15" t="inlineStr">
        <is>
          <t>BAAY PROJECTS FINANCIALS 2024.xlsx</t>
        </is>
      </c>
      <c r="N318" s="15" t="inlineStr">
        <is>
          <t>JULY TURNOVER</t>
        </is>
      </c>
      <c r="O318" s="15" t="n">
        <v>16</v>
      </c>
      <c r="P318" s="15" t="inlineStr">
        <is>
          <t>2024-05-07</t>
        </is>
      </c>
      <c r="Q318" s="15" t="inlineStr">
        <is>
          <t>MD r43</t>
        </is>
      </c>
      <c r="R318" s="15" t="n"/>
    </row>
    <row r="319">
      <c r="A319" s="15" t="inlineStr">
        <is>
          <t>SL0315</t>
        </is>
      </c>
      <c r="B319" s="16" t="n">
        <v>45478</v>
      </c>
      <c r="C319" s="15" t="inlineStr">
        <is>
          <t>2024-07</t>
        </is>
      </c>
      <c r="D319" s="15" t="n">
        <v>2024</v>
      </c>
      <c r="E319" s="15" t="inlineStr">
        <is>
          <t>Land</t>
        </is>
      </c>
      <c r="F319" s="15" t="inlineStr">
        <is>
          <t>Ancillary charge</t>
        </is>
      </c>
      <c r="G319" s="15" t="inlineStr">
        <is>
          <t>Land: development fee</t>
        </is>
      </c>
      <c r="H319" s="15" t="inlineStr">
        <is>
          <t>BP-C0030</t>
        </is>
      </c>
      <c r="I319" s="15" t="inlineStr">
        <is>
          <t>Mr Adese Akorede John</t>
        </is>
      </c>
      <c r="J319" s="17" t="n">
        <v>50000</v>
      </c>
      <c r="K319" s="15" t="inlineStr">
        <is>
          <t>Allen Branch</t>
        </is>
      </c>
      <c r="L319" s="15" t="inlineStr">
        <is>
          <t>Primary: monthly turnover register</t>
        </is>
      </c>
      <c r="M319" s="15" t="inlineStr">
        <is>
          <t>BAAY PROJECTS FINANCIALS 2024.xlsx</t>
        </is>
      </c>
      <c r="N319" s="15" t="inlineStr">
        <is>
          <t>JULY TURNOVER</t>
        </is>
      </c>
      <c r="O319" s="15" t="n">
        <v>17</v>
      </c>
      <c r="P319" s="15" t="inlineStr">
        <is>
          <t>2024-05-07</t>
        </is>
      </c>
      <c r="Q319" s="15" t="n"/>
      <c r="R319" s="15" t="n"/>
    </row>
    <row r="320">
      <c r="A320" s="15" t="inlineStr">
        <is>
          <t>SL0316</t>
        </is>
      </c>
      <c r="B320" s="16" t="n">
        <v>45482</v>
      </c>
      <c r="C320" s="15" t="inlineStr">
        <is>
          <t>2024-07</t>
        </is>
      </c>
      <c r="D320" s="15" t="n">
        <v>2024</v>
      </c>
      <c r="E320" s="15" t="inlineStr">
        <is>
          <t>Land</t>
        </is>
      </c>
      <c r="F320" s="15" t="inlineStr">
        <is>
          <t>Plot / unit price</t>
        </is>
      </c>
      <c r="G320" s="15" t="inlineStr">
        <is>
          <t>Green City Phase 2 (Idobi, Ketu-Epe)</t>
        </is>
      </c>
      <c r="H320" s="15" t="inlineStr">
        <is>
          <t>BP-C0092</t>
        </is>
      </c>
      <c r="I320" s="15" t="inlineStr">
        <is>
          <t>Mr Oriakhi Osemudiamen Peter</t>
        </is>
      </c>
      <c r="J320" s="17" t="n">
        <v>1000000</v>
      </c>
      <c r="K320" s="15" t="inlineStr">
        <is>
          <t>Magodo Branch</t>
        </is>
      </c>
      <c r="L320" s="15" t="inlineStr">
        <is>
          <t>Primary: monthly turnover register</t>
        </is>
      </c>
      <c r="M320" s="15" t="inlineStr">
        <is>
          <t>BAAY PROJECTS FINANCIALS 2024.xlsx</t>
        </is>
      </c>
      <c r="N320" s="15" t="inlineStr">
        <is>
          <t>JULY TURNOVER</t>
        </is>
      </c>
      <c r="O320" s="15" t="n">
        <v>7</v>
      </c>
      <c r="P320" s="15" t="inlineStr">
        <is>
          <t>2024-09-07</t>
        </is>
      </c>
      <c r="Q320" s="15" t="inlineStr">
        <is>
          <t>MS BLESSING r72</t>
        </is>
      </c>
      <c r="R320" s="15" t="n"/>
    </row>
    <row r="321">
      <c r="A321" s="15" t="inlineStr">
        <is>
          <t>SL0317</t>
        </is>
      </c>
      <c r="B321" s="16" t="n">
        <v>45482</v>
      </c>
      <c r="C321" s="15" t="inlineStr">
        <is>
          <t>2024-07</t>
        </is>
      </c>
      <c r="D321" s="15" t="n">
        <v>2024</v>
      </c>
      <c r="E321" s="15" t="inlineStr">
        <is>
          <t>Land</t>
        </is>
      </c>
      <c r="F321" s="15" t="inlineStr">
        <is>
          <t>Plot / unit price</t>
        </is>
      </c>
      <c r="G321" s="15" t="inlineStr">
        <is>
          <t>Heritage Garden</t>
        </is>
      </c>
      <c r="H321" s="15" t="inlineStr">
        <is>
          <t>BP-C0108</t>
        </is>
      </c>
      <c r="I321" s="15" t="inlineStr">
        <is>
          <t>Mr Salawudeen Baqi Boladele</t>
        </is>
      </c>
      <c r="J321" s="17" t="n">
        <v>200000</v>
      </c>
      <c r="K321" s="15" t="inlineStr">
        <is>
          <t>Allen Branch</t>
        </is>
      </c>
      <c r="L321" s="15" t="inlineStr">
        <is>
          <t>Primary: monthly turnover register</t>
        </is>
      </c>
      <c r="M321" s="15" t="inlineStr">
        <is>
          <t>BAAY PROJECTS FINANCIALS 2024.xlsx</t>
        </is>
      </c>
      <c r="N321" s="15" t="inlineStr">
        <is>
          <t>JULY TURNOVER</t>
        </is>
      </c>
      <c r="O321" s="15" t="n">
        <v>18</v>
      </c>
      <c r="P321" s="15" t="inlineStr">
        <is>
          <t>2024-09-07</t>
        </is>
      </c>
      <c r="Q321" s="15" t="n"/>
      <c r="R321" s="15" t="n"/>
    </row>
    <row r="322">
      <c r="A322" s="15" t="inlineStr">
        <is>
          <t>SL0318</t>
        </is>
      </c>
      <c r="B322" s="16" t="n">
        <v>45483</v>
      </c>
      <c r="C322" s="15" t="inlineStr">
        <is>
          <t>2024-07</t>
        </is>
      </c>
      <c r="D322" s="15" t="n">
        <v>2024</v>
      </c>
      <c r="E322" s="15" t="inlineStr">
        <is>
          <t>Land</t>
        </is>
      </c>
      <c r="F322" s="15" t="inlineStr">
        <is>
          <t>Ancillary charge</t>
        </is>
      </c>
      <c r="G322" s="15" t="inlineStr">
        <is>
          <t>Land: corner piece premium</t>
        </is>
      </c>
      <c r="H322" s="15" t="inlineStr">
        <is>
          <t>BP-C0061</t>
        </is>
      </c>
      <c r="I322" s="15" t="inlineStr">
        <is>
          <t>Mr Ogunkoya Emmanuel Olatunji</t>
        </is>
      </c>
      <c r="J322" s="17" t="n">
        <v>130000</v>
      </c>
      <c r="K322" s="15" t="inlineStr">
        <is>
          <t>Allen Branch</t>
        </is>
      </c>
      <c r="L322" s="15" t="inlineStr">
        <is>
          <t>Primary: monthly turnover register</t>
        </is>
      </c>
      <c r="M322" s="15" t="inlineStr">
        <is>
          <t>BAAY PROJECTS FINANCIALS 2024.xlsx</t>
        </is>
      </c>
      <c r="N322" s="15" t="inlineStr">
        <is>
          <t>JULY TURNOVER</t>
        </is>
      </c>
      <c r="O322" s="15" t="n">
        <v>19</v>
      </c>
      <c r="P322" s="15" t="inlineStr">
        <is>
          <t>2024-10-07</t>
        </is>
      </c>
      <c r="Q322" s="15" t="n"/>
      <c r="R322" s="15" t="n"/>
    </row>
    <row r="323">
      <c r="A323" s="15" t="inlineStr">
        <is>
          <t>SL0319</t>
        </is>
      </c>
      <c r="B323" s="16" t="n">
        <v>45484</v>
      </c>
      <c r="C323" s="15" t="inlineStr">
        <is>
          <t>2024-07</t>
        </is>
      </c>
      <c r="D323" s="15" t="n">
        <v>2024</v>
      </c>
      <c r="E323" s="15" t="inlineStr">
        <is>
          <t>Land</t>
        </is>
      </c>
      <c r="F323" s="15" t="inlineStr">
        <is>
          <t>Plot / unit price</t>
        </is>
      </c>
      <c r="G323" s="15" t="inlineStr">
        <is>
          <t>Green City Phase 2 (Idobi, Ketu-Epe)</t>
        </is>
      </c>
      <c r="H323" s="15" t="inlineStr">
        <is>
          <t>BP-C0097</t>
        </is>
      </c>
      <c r="I323" s="15" t="inlineStr">
        <is>
          <t>Engr Fagbulu Taiwo Olubunmi</t>
        </is>
      </c>
      <c r="J323" s="17" t="n">
        <v>400000</v>
      </c>
      <c r="K323" s="15" t="inlineStr">
        <is>
          <t>Magodo Branch</t>
        </is>
      </c>
      <c r="L323" s="15" t="inlineStr">
        <is>
          <t>Primary: monthly turnover register</t>
        </is>
      </c>
      <c r="M323" s="15" t="inlineStr">
        <is>
          <t>BAAY PROJECTS FINANCIALS 2024.xlsx</t>
        </is>
      </c>
      <c r="N323" s="15" t="inlineStr">
        <is>
          <t>JULY TURNOVER</t>
        </is>
      </c>
      <c r="O323" s="15" t="n">
        <v>8</v>
      </c>
      <c r="P323" s="15" t="inlineStr">
        <is>
          <t>2024-11-07</t>
        </is>
      </c>
      <c r="Q323" s="15" t="inlineStr">
        <is>
          <t>MR HENRY r10</t>
        </is>
      </c>
      <c r="R323" s="15" t="n"/>
    </row>
    <row r="324">
      <c r="A324" s="15" t="inlineStr">
        <is>
          <t>SL0320</t>
        </is>
      </c>
      <c r="B324" s="16" t="n">
        <v>45484</v>
      </c>
      <c r="C324" s="15" t="inlineStr">
        <is>
          <t>2024-07</t>
        </is>
      </c>
      <c r="D324" s="15" t="n">
        <v>2024</v>
      </c>
      <c r="E324" s="15" t="inlineStr">
        <is>
          <t>Land</t>
        </is>
      </c>
      <c r="F324" s="15" t="inlineStr">
        <is>
          <t>Plot / unit price</t>
        </is>
      </c>
      <c r="G324" s="15" t="inlineStr">
        <is>
          <t>Green City Phase 2 (Idobi, Ketu-Epe)</t>
        </is>
      </c>
      <c r="H324" s="15" t="inlineStr">
        <is>
          <t>BP-C0090</t>
        </is>
      </c>
      <c r="I324" s="15" t="inlineStr">
        <is>
          <t>Mr Ajiva Lubem Barnabas</t>
        </is>
      </c>
      <c r="J324" s="17" t="n">
        <v>50000</v>
      </c>
      <c r="K324" s="15" t="inlineStr">
        <is>
          <t>Allen Branch</t>
        </is>
      </c>
      <c r="L324" s="15" t="inlineStr">
        <is>
          <t>Primary: monthly turnover register</t>
        </is>
      </c>
      <c r="M324" s="15" t="inlineStr">
        <is>
          <t>BAAY PROJECTS FINANCIALS 2024.xlsx</t>
        </is>
      </c>
      <c r="N324" s="15" t="inlineStr">
        <is>
          <t>JULY TURNOVER</t>
        </is>
      </c>
      <c r="O324" s="15" t="n">
        <v>21</v>
      </c>
      <c r="P324" s="15" t="inlineStr">
        <is>
          <t>2024-11-07</t>
        </is>
      </c>
      <c r="Q324" s="15" t="inlineStr">
        <is>
          <t>FASUYI OLAYINKA r30</t>
        </is>
      </c>
      <c r="R324" s="15" t="n"/>
    </row>
    <row r="325">
      <c r="A325" s="15" t="inlineStr">
        <is>
          <t>SL0321</t>
        </is>
      </c>
      <c r="B325" s="16" t="n">
        <v>45484</v>
      </c>
      <c r="C325" s="15" t="inlineStr">
        <is>
          <t>2024-07</t>
        </is>
      </c>
      <c r="D325" s="15" t="n">
        <v>2024</v>
      </c>
      <c r="E325" s="15" t="inlineStr">
        <is>
          <t>Land</t>
        </is>
      </c>
      <c r="F325" s="15" t="inlineStr">
        <is>
          <t>Plot / unit price</t>
        </is>
      </c>
      <c r="G325" s="15" t="inlineStr">
        <is>
          <t>Green City Phase 2 (Idobi, Ketu-Epe)</t>
        </is>
      </c>
      <c r="H325" s="15" t="inlineStr">
        <is>
          <t>BP-C0096</t>
        </is>
      </c>
      <c r="I325" s="15" t="inlineStr">
        <is>
          <t>Mrs Lawani Opemipo</t>
        </is>
      </c>
      <c r="J325" s="17" t="n">
        <v>555000</v>
      </c>
      <c r="K325" s="15" t="inlineStr">
        <is>
          <t>Allen Branch</t>
        </is>
      </c>
      <c r="L325" s="15" t="inlineStr">
        <is>
          <t>Primary: monthly turnover register</t>
        </is>
      </c>
      <c r="M325" s="15" t="inlineStr">
        <is>
          <t>BAAY PROJECTS FINANCIALS 2024.xlsx</t>
        </is>
      </c>
      <c r="N325" s="15" t="inlineStr">
        <is>
          <t>JULY TURNOVER</t>
        </is>
      </c>
      <c r="O325" s="15" t="n">
        <v>20</v>
      </c>
      <c r="P325" s="15" t="inlineStr">
        <is>
          <t>2024-11-07</t>
        </is>
      </c>
      <c r="Q325" s="15" t="inlineStr">
        <is>
          <t>MS FISAYO r11</t>
        </is>
      </c>
      <c r="R325" s="15" t="n"/>
    </row>
    <row r="326">
      <c r="A326" s="15" t="inlineStr">
        <is>
          <t>SL0322</t>
        </is>
      </c>
      <c r="B326" s="16" t="n">
        <v>45486</v>
      </c>
      <c r="C326" s="15" t="inlineStr">
        <is>
          <t>2024-07</t>
        </is>
      </c>
      <c r="D326" s="15" t="n">
        <v>2024</v>
      </c>
      <c r="E326" s="15" t="inlineStr">
        <is>
          <t>Land</t>
        </is>
      </c>
      <c r="F326" s="15" t="inlineStr">
        <is>
          <t>Plot / unit price</t>
        </is>
      </c>
      <c r="G326" s="15" t="inlineStr">
        <is>
          <t>Green City Phase 2 (Idobi, Ketu-Epe)</t>
        </is>
      </c>
      <c r="H326" s="15" t="inlineStr">
        <is>
          <t>BP-C0093</t>
        </is>
      </c>
      <c r="I326" s="15" t="inlineStr">
        <is>
          <t>Mr Okuneye Oluwakayode Oluwaseyi</t>
        </is>
      </c>
      <c r="J326" s="17" t="n">
        <v>560000</v>
      </c>
      <c r="K326" s="15" t="inlineStr">
        <is>
          <t>Allen Branch</t>
        </is>
      </c>
      <c r="L326" s="15" t="inlineStr">
        <is>
          <t>Primary: monthly turnover register</t>
        </is>
      </c>
      <c r="M326" s="15" t="inlineStr">
        <is>
          <t>BAAY PROJECTS FINANCIALS 2024.xlsx</t>
        </is>
      </c>
      <c r="N326" s="15" t="inlineStr">
        <is>
          <t>JULY TURNOVER</t>
        </is>
      </c>
      <c r="O326" s="15" t="n">
        <v>22</v>
      </c>
      <c r="P326" s="15" t="inlineStr">
        <is>
          <t>13/07/2024</t>
        </is>
      </c>
      <c r="Q326" s="15" t="inlineStr">
        <is>
          <t>MS BOLANLE r78</t>
        </is>
      </c>
      <c r="R326" s="15" t="n"/>
    </row>
    <row r="327">
      <c r="A327" s="15" t="inlineStr">
        <is>
          <t>SL0323</t>
        </is>
      </c>
      <c r="B327" s="16" t="n">
        <v>45486</v>
      </c>
      <c r="C327" s="15" t="inlineStr">
        <is>
          <t>2024-07</t>
        </is>
      </c>
      <c r="D327" s="15" t="n">
        <v>2024</v>
      </c>
      <c r="E327" s="15" t="inlineStr">
        <is>
          <t>Land</t>
        </is>
      </c>
      <c r="F327" s="15" t="inlineStr">
        <is>
          <t>Ancillary charge</t>
        </is>
      </c>
      <c r="G327" s="15" t="inlineStr">
        <is>
          <t>Land: corner piece premium</t>
        </is>
      </c>
      <c r="H327" s="15" t="inlineStr">
        <is>
          <t>BP-C0093</t>
        </is>
      </c>
      <c r="I327" s="15" t="inlineStr">
        <is>
          <t>Mr Okuneye Oluwakayode Oluwaseyi</t>
        </is>
      </c>
      <c r="J327" s="17" t="n">
        <v>135000</v>
      </c>
      <c r="K327" s="15" t="inlineStr">
        <is>
          <t>Allen Branch</t>
        </is>
      </c>
      <c r="L327" s="15" t="inlineStr">
        <is>
          <t>Primary: monthly turnover register</t>
        </is>
      </c>
      <c r="M327" s="15" t="inlineStr">
        <is>
          <t>BAAY PROJECTS FINANCIALS 2024.xlsx</t>
        </is>
      </c>
      <c r="N327" s="15" t="inlineStr">
        <is>
          <t>JULY TURNOVER</t>
        </is>
      </c>
      <c r="O327" s="15" t="n">
        <v>23</v>
      </c>
      <c r="P327" s="15" t="inlineStr">
        <is>
          <t>13/07/2024</t>
        </is>
      </c>
      <c r="Q327" s="15" t="n"/>
      <c r="R327" s="15" t="n"/>
    </row>
    <row r="328">
      <c r="A328" s="15" t="inlineStr">
        <is>
          <t>SL0324</t>
        </is>
      </c>
      <c r="B328" s="16" t="n">
        <v>45488</v>
      </c>
      <c r="C328" s="15" t="inlineStr">
        <is>
          <t>2024-07</t>
        </is>
      </c>
      <c r="D328" s="15" t="n">
        <v>2024</v>
      </c>
      <c r="E328" s="15" t="inlineStr">
        <is>
          <t>Land</t>
        </is>
      </c>
      <c r="F328" s="15" t="inlineStr">
        <is>
          <t>Plot / unit price</t>
        </is>
      </c>
      <c r="G328" s="15" t="inlineStr">
        <is>
          <t>Green City Phase 2 (Idobi, Ketu-Epe)</t>
        </is>
      </c>
      <c r="H328" s="15" t="inlineStr">
        <is>
          <t>BP-C0097</t>
        </is>
      </c>
      <c r="I328" s="15" t="inlineStr">
        <is>
          <t>Engr Fagbulu Taiwo Olubunmi</t>
        </is>
      </c>
      <c r="J328" s="17" t="n">
        <v>300000</v>
      </c>
      <c r="K328" s="15" t="inlineStr">
        <is>
          <t>Magodo Branch</t>
        </is>
      </c>
      <c r="L328" s="15" t="inlineStr">
        <is>
          <t>Primary: monthly turnover register</t>
        </is>
      </c>
      <c r="M328" s="15" t="inlineStr">
        <is>
          <t>BAAY PROJECTS FINANCIALS 2024.xlsx</t>
        </is>
      </c>
      <c r="N328" s="15" t="inlineStr">
        <is>
          <t>JULY TURNOVER</t>
        </is>
      </c>
      <c r="O328" s="15" t="n">
        <v>9</v>
      </c>
      <c r="P328" s="15" t="inlineStr">
        <is>
          <t>15/07/2024</t>
        </is>
      </c>
      <c r="Q328" s="15" t="inlineStr">
        <is>
          <t>MR HENRY r11</t>
        </is>
      </c>
      <c r="R328" s="15" t="n"/>
    </row>
    <row r="329">
      <c r="A329" s="15" t="inlineStr">
        <is>
          <t>SL0325</t>
        </is>
      </c>
      <c r="B329" s="16" t="n">
        <v>45488</v>
      </c>
      <c r="C329" s="15" t="inlineStr">
        <is>
          <t>2024-07</t>
        </is>
      </c>
      <c r="D329" s="15" t="n">
        <v>2024</v>
      </c>
      <c r="E329" s="15" t="inlineStr">
        <is>
          <t>Land</t>
        </is>
      </c>
      <c r="F329" s="15" t="inlineStr">
        <is>
          <t>Plot / unit price</t>
        </is>
      </c>
      <c r="G329" s="15" t="inlineStr">
        <is>
          <t>Green City Phase 1 (Lantaba, Ketu-Epe)</t>
        </is>
      </c>
      <c r="H329" s="15" t="inlineStr">
        <is>
          <t>BP-C0099</t>
        </is>
      </c>
      <c r="I329" s="15" t="inlineStr">
        <is>
          <t>Mr Olatunde Adesua Samuel</t>
        </is>
      </c>
      <c r="J329" s="17" t="n">
        <v>1200000</v>
      </c>
      <c r="K329" s="15" t="inlineStr">
        <is>
          <t>Magodo Branch</t>
        </is>
      </c>
      <c r="L329" s="15" t="inlineStr">
        <is>
          <t>Primary: monthly turnover register</t>
        </is>
      </c>
      <c r="M329" s="15" t="inlineStr">
        <is>
          <t>BAAY PROJECTS FINANCIALS 2024.xlsx</t>
        </is>
      </c>
      <c r="N329" s="15" t="inlineStr">
        <is>
          <t>JULY TURNOVER</t>
        </is>
      </c>
      <c r="O329" s="15" t="n">
        <v>10</v>
      </c>
      <c r="P329" s="15" t="inlineStr">
        <is>
          <t>15/07/2024</t>
        </is>
      </c>
      <c r="Q329" s="15" t="inlineStr">
        <is>
          <t>MS ADENIKE r4</t>
        </is>
      </c>
      <c r="R329" s="15" t="n"/>
    </row>
    <row r="330">
      <c r="A330" s="15" t="inlineStr">
        <is>
          <t>SL0326</t>
        </is>
      </c>
      <c r="B330" s="16" t="n">
        <v>45491</v>
      </c>
      <c r="C330" s="15" t="inlineStr">
        <is>
          <t>2024-07</t>
        </is>
      </c>
      <c r="D330" s="15" t="n">
        <v>2024</v>
      </c>
      <c r="E330" s="15" t="inlineStr">
        <is>
          <t>Land</t>
        </is>
      </c>
      <c r="F330" s="15" t="inlineStr">
        <is>
          <t>Ancillary charge</t>
        </is>
      </c>
      <c r="G330" s="15" t="inlineStr">
        <is>
          <t>Land: documentation fee</t>
        </is>
      </c>
      <c r="H330" s="15" t="inlineStr">
        <is>
          <t>BP-C0011</t>
        </is>
      </c>
      <c r="I330" s="15" t="inlineStr">
        <is>
          <t>Mr Olaiya Temitope Sunday</t>
        </is>
      </c>
      <c r="J330" s="17" t="n">
        <v>475000</v>
      </c>
      <c r="K330" s="15" t="inlineStr">
        <is>
          <t>Allen Branch</t>
        </is>
      </c>
      <c r="L330" s="15" t="inlineStr">
        <is>
          <t>Primary: monthly turnover register</t>
        </is>
      </c>
      <c r="M330" s="15" t="inlineStr">
        <is>
          <t>BAAY PROJECTS FINANCIALS 2024.xlsx</t>
        </is>
      </c>
      <c r="N330" s="15" t="inlineStr">
        <is>
          <t>JULY TURNOVER</t>
        </is>
      </c>
      <c r="O330" s="15" t="n">
        <v>26</v>
      </c>
      <c r="P330" s="15" t="inlineStr">
        <is>
          <t>18/07/2024</t>
        </is>
      </c>
      <c r="Q330" s="15" t="n"/>
      <c r="R330" s="15" t="n"/>
    </row>
    <row r="331">
      <c r="A331" s="15" t="inlineStr">
        <is>
          <t>SL0327</t>
        </is>
      </c>
      <c r="B331" s="16" t="n">
        <v>45491</v>
      </c>
      <c r="C331" s="15" t="inlineStr">
        <is>
          <t>2024-07</t>
        </is>
      </c>
      <c r="D331" s="15" t="n">
        <v>2024</v>
      </c>
      <c r="E331" s="15" t="inlineStr">
        <is>
          <t>Land</t>
        </is>
      </c>
      <c r="F331" s="15" t="inlineStr">
        <is>
          <t>Plot / unit price</t>
        </is>
      </c>
      <c r="G331" s="15" t="inlineStr">
        <is>
          <t>Heritage Garden</t>
        </is>
      </c>
      <c r="H331" s="15" t="inlineStr">
        <is>
          <t>BP-C0108</t>
        </is>
      </c>
      <c r="I331" s="15" t="inlineStr">
        <is>
          <t>Mr Salawudeen Baqi Boladele</t>
        </is>
      </c>
      <c r="J331" s="17" t="n">
        <v>150000</v>
      </c>
      <c r="K331" s="15" t="inlineStr">
        <is>
          <t>Allen Branch</t>
        </is>
      </c>
      <c r="L331" s="15" t="inlineStr">
        <is>
          <t>Primary: monthly turnover register</t>
        </is>
      </c>
      <c r="M331" s="15" t="inlineStr">
        <is>
          <t>BAAY PROJECTS FINANCIALS 2024.xlsx</t>
        </is>
      </c>
      <c r="N331" s="15" t="inlineStr">
        <is>
          <t>JULY TURNOVER</t>
        </is>
      </c>
      <c r="O331" s="15" t="n">
        <v>25</v>
      </c>
      <c r="P331" s="15" t="inlineStr">
        <is>
          <t>18/07/2024</t>
        </is>
      </c>
      <c r="Q331" s="15" t="n"/>
      <c r="R331" s="15" t="n"/>
    </row>
    <row r="332">
      <c r="A332" s="15" t="inlineStr">
        <is>
          <t>SL0328</t>
        </is>
      </c>
      <c r="B332" s="16" t="n">
        <v>45491</v>
      </c>
      <c r="C332" s="15" t="inlineStr">
        <is>
          <t>2024-07</t>
        </is>
      </c>
      <c r="D332" s="15" t="n">
        <v>2024</v>
      </c>
      <c r="E332" s="15" t="inlineStr">
        <is>
          <t>Land</t>
        </is>
      </c>
      <c r="F332" s="15" t="inlineStr">
        <is>
          <t>Ancillary charge</t>
        </is>
      </c>
      <c r="G332" s="15" t="inlineStr">
        <is>
          <t>Land: documentation fee</t>
        </is>
      </c>
      <c r="H332" s="15" t="inlineStr">
        <is>
          <t>BP-C0078</t>
        </is>
      </c>
      <c r="I332" s="15" t="inlineStr">
        <is>
          <t>Ms Bingham Kendra</t>
        </is>
      </c>
      <c r="J332" s="17" t="n">
        <v>950000</v>
      </c>
      <c r="K332" s="15" t="inlineStr">
        <is>
          <t>Allen Branch</t>
        </is>
      </c>
      <c r="L332" s="15" t="inlineStr">
        <is>
          <t>Primary: monthly turnover register</t>
        </is>
      </c>
      <c r="M332" s="15" t="inlineStr">
        <is>
          <t>BAAY PROJECTS FINANCIALS 2024.xlsx</t>
        </is>
      </c>
      <c r="N332" s="15" t="inlineStr">
        <is>
          <t>JULY TURNOVER</t>
        </is>
      </c>
      <c r="O332" s="15" t="n">
        <v>27</v>
      </c>
      <c r="P332" s="15" t="inlineStr">
        <is>
          <t>18/07/2024</t>
        </is>
      </c>
      <c r="Q332" s="15" t="n"/>
      <c r="R332" s="15" t="n"/>
    </row>
    <row r="333">
      <c r="A333" s="15" t="inlineStr">
        <is>
          <t>SL0329</t>
        </is>
      </c>
      <c r="B333" s="16" t="n">
        <v>45492</v>
      </c>
      <c r="C333" s="15" t="inlineStr">
        <is>
          <t>2024-07</t>
        </is>
      </c>
      <c r="D333" s="15" t="n">
        <v>2024</v>
      </c>
      <c r="E333" s="15" t="inlineStr">
        <is>
          <t>Land</t>
        </is>
      </c>
      <c r="F333" s="15" t="inlineStr">
        <is>
          <t>Plot / unit price</t>
        </is>
      </c>
      <c r="G333" s="15" t="inlineStr">
        <is>
          <t>Green City Phase 3 (Omu-Epe)</t>
        </is>
      </c>
      <c r="H333" s="15" t="inlineStr">
        <is>
          <t>BP-C0109</t>
        </is>
      </c>
      <c r="I333" s="15" t="inlineStr">
        <is>
          <t>Dr Okeyedun Taiwo Akinbami</t>
        </is>
      </c>
      <c r="J333" s="17" t="n">
        <v>300000</v>
      </c>
      <c r="K333" s="15" t="inlineStr">
        <is>
          <t>Allen Branch</t>
        </is>
      </c>
      <c r="L333" s="15" t="inlineStr">
        <is>
          <t>Primary: monthly turnover register</t>
        </is>
      </c>
      <c r="M333" s="15" t="inlineStr">
        <is>
          <t>BAAY PROJECTS FINANCIALS 2024.xlsx</t>
        </is>
      </c>
      <c r="N333" s="15" t="inlineStr">
        <is>
          <t>JULY TURNOVER</t>
        </is>
      </c>
      <c r="O333" s="15" t="n">
        <v>28</v>
      </c>
      <c r="P333" s="15" t="inlineStr">
        <is>
          <t>19/07/2024</t>
        </is>
      </c>
      <c r="Q333" s="15" t="inlineStr">
        <is>
          <t>MD r45</t>
        </is>
      </c>
      <c r="R333" s="15" t="n"/>
    </row>
    <row r="334">
      <c r="A334" s="15" t="inlineStr">
        <is>
          <t>SL0330</t>
        </is>
      </c>
      <c r="B334" s="16" t="n">
        <v>45496</v>
      </c>
      <c r="C334" s="15" t="inlineStr">
        <is>
          <t>2024-07</t>
        </is>
      </c>
      <c r="D334" s="15" t="n">
        <v>2024</v>
      </c>
      <c r="E334" s="15" t="inlineStr">
        <is>
          <t>Land</t>
        </is>
      </c>
      <c r="F334" s="15" t="inlineStr">
        <is>
          <t>Plot / unit price</t>
        </is>
      </c>
      <c r="G334" s="15" t="inlineStr">
        <is>
          <t>Green City Phase 3 (Omu-Epe)</t>
        </is>
      </c>
      <c r="H334" s="15" t="inlineStr">
        <is>
          <t>BP-C0110</t>
        </is>
      </c>
      <c r="I334" s="15" t="inlineStr">
        <is>
          <t>Mr Adeyemi Kayode</t>
        </is>
      </c>
      <c r="J334" s="17" t="n">
        <v>500000</v>
      </c>
      <c r="K334" s="15" t="inlineStr">
        <is>
          <t>Allen Branch</t>
        </is>
      </c>
      <c r="L334" s="15" t="inlineStr">
        <is>
          <t>Primary: monthly turnover register</t>
        </is>
      </c>
      <c r="M334" s="15" t="inlineStr">
        <is>
          <t>BAAY PROJECTS FINANCIALS 2024.xlsx</t>
        </is>
      </c>
      <c r="N334" s="15" t="inlineStr">
        <is>
          <t>JULY TURNOVER</t>
        </is>
      </c>
      <c r="O334" s="15" t="n">
        <v>29</v>
      </c>
      <c r="P334" s="15" t="inlineStr">
        <is>
          <t>23/07/2024</t>
        </is>
      </c>
      <c r="Q334" s="15" t="inlineStr">
        <is>
          <t>MS BOLANLE r79</t>
        </is>
      </c>
      <c r="R334" s="15" t="n"/>
    </row>
    <row r="335">
      <c r="A335" s="15" t="inlineStr">
        <is>
          <t>SL0331</t>
        </is>
      </c>
      <c r="B335" s="16" t="n">
        <v>45497</v>
      </c>
      <c r="C335" s="15" t="inlineStr">
        <is>
          <t>2024-07</t>
        </is>
      </c>
      <c r="D335" s="15" t="n">
        <v>2024</v>
      </c>
      <c r="E335" s="15" t="inlineStr">
        <is>
          <t>Land</t>
        </is>
      </c>
      <c r="F335" s="15" t="inlineStr">
        <is>
          <t>Plot / unit price</t>
        </is>
      </c>
      <c r="G335" s="15" t="inlineStr">
        <is>
          <t>Green City Phase 2 (Idobi, Ketu-Epe)</t>
        </is>
      </c>
      <c r="H335" s="15" t="inlineStr">
        <is>
          <t>BP-C0054</t>
        </is>
      </c>
      <c r="I335" s="15" t="inlineStr">
        <is>
          <t>Mr Adeniyi Ademola</t>
        </is>
      </c>
      <c r="J335" s="17" t="n">
        <v>2400000</v>
      </c>
      <c r="K335" s="15" t="inlineStr">
        <is>
          <t>Allen Branch</t>
        </is>
      </c>
      <c r="L335" s="15" t="inlineStr">
        <is>
          <t>Primary: monthly turnover register</t>
        </is>
      </c>
      <c r="M335" s="15" t="inlineStr">
        <is>
          <t>BAAY PROJECTS FINANCIALS 2024.xlsx</t>
        </is>
      </c>
      <c r="N335" s="15" t="inlineStr">
        <is>
          <t>JULY TURNOVER</t>
        </is>
      </c>
      <c r="O335" s="15" t="n">
        <v>30</v>
      </c>
      <c r="P335" s="15" t="inlineStr">
        <is>
          <t>24/07/2024</t>
        </is>
      </c>
      <c r="Q335" s="15" t="inlineStr">
        <is>
          <t>MRS ABIMBOLA r110</t>
        </is>
      </c>
      <c r="R335" s="15" t="n"/>
    </row>
    <row r="336">
      <c r="A336" s="15" t="inlineStr">
        <is>
          <t>SL0332</t>
        </is>
      </c>
      <c r="B336" s="16" t="n">
        <v>45498</v>
      </c>
      <c r="C336" s="15" t="inlineStr">
        <is>
          <t>2024-07</t>
        </is>
      </c>
      <c r="D336" s="15" t="n">
        <v>2024</v>
      </c>
      <c r="E336" s="15" t="inlineStr">
        <is>
          <t>Land</t>
        </is>
      </c>
      <c r="F336" s="15" t="inlineStr">
        <is>
          <t>Ancillary charge</t>
        </is>
      </c>
      <c r="G336" s="15" t="inlineStr">
        <is>
          <t>Land: corner piece premium</t>
        </is>
      </c>
      <c r="H336" s="15" t="inlineStr">
        <is>
          <t>BP-C0070</t>
        </is>
      </c>
      <c r="I336" s="15" t="inlineStr">
        <is>
          <t>Mr Daniel Ayodeji Adeogun</t>
        </is>
      </c>
      <c r="J336" s="17" t="n">
        <v>135000</v>
      </c>
      <c r="K336" s="15" t="inlineStr">
        <is>
          <t>Magodo Branch</t>
        </is>
      </c>
      <c r="L336" s="15" t="inlineStr">
        <is>
          <t>Primary: monthly turnover register</t>
        </is>
      </c>
      <c r="M336" s="15" t="inlineStr">
        <is>
          <t>BAAY PROJECTS FINANCIALS 2024.xlsx</t>
        </is>
      </c>
      <c r="N336" s="15" t="inlineStr">
        <is>
          <t>JULY TURNOVER</t>
        </is>
      </c>
      <c r="O336" s="15" t="n">
        <v>12</v>
      </c>
      <c r="P336" s="15" t="inlineStr">
        <is>
          <t>25/07/2024</t>
        </is>
      </c>
      <c r="Q336" s="15" t="n"/>
      <c r="R336" s="15" t="n"/>
    </row>
    <row r="337">
      <c r="A337" s="15" t="inlineStr">
        <is>
          <t>SL0333</t>
        </is>
      </c>
      <c r="B337" s="16" t="n">
        <v>45500</v>
      </c>
      <c r="C337" s="15" t="inlineStr">
        <is>
          <t>2024-07</t>
        </is>
      </c>
      <c r="D337" s="15" t="n">
        <v>2024</v>
      </c>
      <c r="E337" s="15" t="inlineStr">
        <is>
          <t>Land</t>
        </is>
      </c>
      <c r="F337" s="15" t="inlineStr">
        <is>
          <t>Plot / unit price</t>
        </is>
      </c>
      <c r="G337" s="15" t="inlineStr">
        <is>
          <t>Green City Phase 2 (Idobi, Ketu-Epe)</t>
        </is>
      </c>
      <c r="H337" s="15" t="inlineStr">
        <is>
          <t>BP-C0068</t>
        </is>
      </c>
      <c r="I337" s="15" t="inlineStr">
        <is>
          <t>Miss Ebhotah Sharon Aisosa</t>
        </is>
      </c>
      <c r="J337" s="17" t="n">
        <v>300000</v>
      </c>
      <c r="K337" s="15" t="inlineStr">
        <is>
          <t>Magodo Branch</t>
        </is>
      </c>
      <c r="L337" s="15" t="inlineStr">
        <is>
          <t>Primary: monthly turnover register</t>
        </is>
      </c>
      <c r="M337" s="15" t="inlineStr">
        <is>
          <t>BAAY PROJECTS FINANCIALS 2024.xlsx</t>
        </is>
      </c>
      <c r="N337" s="15" t="inlineStr">
        <is>
          <t>JULY TURNOVER</t>
        </is>
      </c>
      <c r="O337" s="15" t="n">
        <v>13</v>
      </c>
      <c r="P337" s="15" t="inlineStr">
        <is>
          <t>27/07/2024</t>
        </is>
      </c>
      <c r="Q337" s="15" t="n"/>
      <c r="R337" s="15" t="n"/>
    </row>
    <row r="338">
      <c r="A338" s="15" t="inlineStr">
        <is>
          <t>SL0334</t>
        </is>
      </c>
      <c r="B338" s="16" t="n">
        <v>45500</v>
      </c>
      <c r="C338" s="15" t="inlineStr">
        <is>
          <t>2024-07</t>
        </is>
      </c>
      <c r="D338" s="15" t="n">
        <v>2024</v>
      </c>
      <c r="E338" s="15" t="inlineStr">
        <is>
          <t>Land</t>
        </is>
      </c>
      <c r="F338" s="15" t="inlineStr">
        <is>
          <t>Plot / unit price</t>
        </is>
      </c>
      <c r="G338" s="15" t="inlineStr">
        <is>
          <t>Green City Phase 2 (Idobi, Ketu-Epe)</t>
        </is>
      </c>
      <c r="H338" s="15" t="inlineStr">
        <is>
          <t>BP-C0100</t>
        </is>
      </c>
      <c r="I338" s="15" t="inlineStr">
        <is>
          <t>Mr Braimoh Ayomide</t>
        </is>
      </c>
      <c r="J338" s="17" t="n">
        <v>1235000</v>
      </c>
      <c r="K338" s="15" t="inlineStr">
        <is>
          <t>Magodo Branch</t>
        </is>
      </c>
      <c r="L338" s="15" t="inlineStr">
        <is>
          <t>Primary: monthly turnover register</t>
        </is>
      </c>
      <c r="M338" s="15" t="inlineStr">
        <is>
          <t>BAAY PROJECTS FINANCIALS 2024.xlsx</t>
        </is>
      </c>
      <c r="N338" s="15" t="inlineStr">
        <is>
          <t>JULY TURNOVER</t>
        </is>
      </c>
      <c r="O338" s="15" t="n">
        <v>14</v>
      </c>
      <c r="P338" s="15" t="inlineStr">
        <is>
          <t>27/07/2024</t>
        </is>
      </c>
      <c r="Q338" s="15" t="inlineStr">
        <is>
          <t>MS MAYOWA BRAIMOH r10</t>
        </is>
      </c>
      <c r="R338" s="15" t="n"/>
    </row>
    <row r="339">
      <c r="A339" s="15" t="inlineStr">
        <is>
          <t>SL0335</t>
        </is>
      </c>
      <c r="B339" s="16" t="n">
        <v>45502</v>
      </c>
      <c r="C339" s="15" t="inlineStr">
        <is>
          <t>2024-07</t>
        </is>
      </c>
      <c r="D339" s="15" t="n">
        <v>2024</v>
      </c>
      <c r="E339" s="15" t="inlineStr">
        <is>
          <t>Land</t>
        </is>
      </c>
      <c r="F339" s="15" t="inlineStr">
        <is>
          <t>Ancillary charge</t>
        </is>
      </c>
      <c r="G339" s="15" t="inlineStr">
        <is>
          <t>Land: corner piece premium</t>
        </is>
      </c>
      <c r="H339" s="15" t="inlineStr">
        <is>
          <t>BP-C0080</t>
        </is>
      </c>
      <c r="I339" s="15" t="inlineStr">
        <is>
          <t>Dr Ayansola Jeremiah Funso</t>
        </is>
      </c>
      <c r="J339" s="17" t="n">
        <v>135000</v>
      </c>
      <c r="K339" s="15" t="inlineStr">
        <is>
          <t>Magodo Branch</t>
        </is>
      </c>
      <c r="L339" s="15" t="inlineStr">
        <is>
          <t>Primary: monthly turnover register</t>
        </is>
      </c>
      <c r="M339" s="15" t="inlineStr">
        <is>
          <t>BAAY PROJECTS FINANCIALS 2024.xlsx</t>
        </is>
      </c>
      <c r="N339" s="15" t="inlineStr">
        <is>
          <t>JULY TURNOVER</t>
        </is>
      </c>
      <c r="O339" s="15" t="n">
        <v>15</v>
      </c>
      <c r="P339" s="15" t="inlineStr">
        <is>
          <t>29/07/2024</t>
        </is>
      </c>
      <c r="Q339" s="15" t="n"/>
      <c r="R339" s="15" t="n"/>
    </row>
    <row r="340">
      <c r="A340" s="15" t="inlineStr">
        <is>
          <t>SL0336</t>
        </is>
      </c>
      <c r="B340" s="16" t="n">
        <v>45502</v>
      </c>
      <c r="C340" s="15" t="inlineStr">
        <is>
          <t>2024-07</t>
        </is>
      </c>
      <c r="D340" s="15" t="n">
        <v>2024</v>
      </c>
      <c r="E340" s="15" t="inlineStr">
        <is>
          <t>Land</t>
        </is>
      </c>
      <c r="F340" s="15" t="inlineStr">
        <is>
          <t>Plot / unit price</t>
        </is>
      </c>
      <c r="G340" s="15" t="inlineStr">
        <is>
          <t>Green City Phase 2 (Idobi, Ketu-Epe)</t>
        </is>
      </c>
      <c r="H340" s="15" t="inlineStr">
        <is>
          <t>BP-C0090</t>
        </is>
      </c>
      <c r="I340" s="15" t="inlineStr">
        <is>
          <t>Mr Ajiva Lubem Barnabas</t>
        </is>
      </c>
      <c r="J340" s="17" t="n">
        <v>300000</v>
      </c>
      <c r="K340" s="15" t="inlineStr">
        <is>
          <t>Allen Branch</t>
        </is>
      </c>
      <c r="L340" s="15" t="inlineStr">
        <is>
          <t>Primary: monthly turnover register</t>
        </is>
      </c>
      <c r="M340" s="15" t="inlineStr">
        <is>
          <t>BAAY PROJECTS FINANCIALS 2024.xlsx</t>
        </is>
      </c>
      <c r="N340" s="15" t="inlineStr">
        <is>
          <t>JULY TURNOVER</t>
        </is>
      </c>
      <c r="O340" s="15" t="n">
        <v>33</v>
      </c>
      <c r="P340" s="15" t="inlineStr">
        <is>
          <t>29/07/2024</t>
        </is>
      </c>
      <c r="Q340" s="15" t="inlineStr">
        <is>
          <t>FASUYI OLAYINKA r31</t>
        </is>
      </c>
      <c r="R340" s="15" t="n"/>
    </row>
    <row r="341">
      <c r="A341" s="15" t="inlineStr">
        <is>
          <t>SL0337</t>
        </is>
      </c>
      <c r="B341" s="16" t="n">
        <v>45504</v>
      </c>
      <c r="C341" s="15" t="inlineStr">
        <is>
          <t>2024-07</t>
        </is>
      </c>
      <c r="D341" s="15" t="n">
        <v>2024</v>
      </c>
      <c r="E341" s="15" t="inlineStr">
        <is>
          <t>Land</t>
        </is>
      </c>
      <c r="F341" s="15" t="inlineStr">
        <is>
          <t>Plot / unit price</t>
        </is>
      </c>
      <c r="G341" s="15" t="inlineStr">
        <is>
          <t>Green City Phase 3 (Omu-Epe)</t>
        </is>
      </c>
      <c r="H341" s="15" t="inlineStr">
        <is>
          <t>BP-C0110</t>
        </is>
      </c>
      <c r="I341" s="15" t="inlineStr">
        <is>
          <t>Mr Adeyemi Kayode</t>
        </is>
      </c>
      <c r="J341" s="17" t="n">
        <v>2500000</v>
      </c>
      <c r="K341" s="15" t="inlineStr">
        <is>
          <t>Allen Branch</t>
        </is>
      </c>
      <c r="L341" s="15" t="inlineStr">
        <is>
          <t>Primary: monthly turnover register</t>
        </is>
      </c>
      <c r="M341" s="15" t="inlineStr">
        <is>
          <t>BAAY PROJECTS FINANCIALS 2024.xlsx</t>
        </is>
      </c>
      <c r="N341" s="15" t="inlineStr">
        <is>
          <t>JULY TURNOVER</t>
        </is>
      </c>
      <c r="O341" s="15" t="n">
        <v>35</v>
      </c>
      <c r="P341" s="15" t="inlineStr">
        <is>
          <t>31/07/2024</t>
        </is>
      </c>
      <c r="Q341" s="15" t="n"/>
      <c r="R341" s="15" t="n"/>
    </row>
    <row r="342">
      <c r="A342" s="15" t="inlineStr">
        <is>
          <t>SL0338</t>
        </is>
      </c>
      <c r="B342" s="16" t="n">
        <v>45504</v>
      </c>
      <c r="C342" s="15" t="inlineStr">
        <is>
          <t>2024-07</t>
        </is>
      </c>
      <c r="D342" s="15" t="n">
        <v>2024</v>
      </c>
      <c r="E342" s="15" t="inlineStr">
        <is>
          <t>Land</t>
        </is>
      </c>
      <c r="F342" s="15" t="inlineStr">
        <is>
          <t>Plot / unit price</t>
        </is>
      </c>
      <c r="G342" s="15" t="inlineStr">
        <is>
          <t>Green City Phase 1 (Lantaba, Ketu-Epe)</t>
        </is>
      </c>
      <c r="H342" s="15" t="inlineStr">
        <is>
          <t>BP-C0051</t>
        </is>
      </c>
      <c r="I342" s="15" t="inlineStr">
        <is>
          <t>Mr Ogunleye Olumide</t>
        </is>
      </c>
      <c r="J342" s="17" t="n">
        <v>100000</v>
      </c>
      <c r="K342" s="15" t="inlineStr">
        <is>
          <t>Allen Branch</t>
        </is>
      </c>
      <c r="L342" s="15" t="inlineStr">
        <is>
          <t>Primary: monthly turnover register</t>
        </is>
      </c>
      <c r="M342" s="15" t="inlineStr">
        <is>
          <t>BAAY PROJECTS FINANCIALS 2024.xlsx</t>
        </is>
      </c>
      <c r="N342" s="15" t="inlineStr">
        <is>
          <t>JULY TURNOVER</t>
        </is>
      </c>
      <c r="O342" s="15" t="n">
        <v>36</v>
      </c>
      <c r="P342" s="15" t="inlineStr">
        <is>
          <t>31/07/2024</t>
        </is>
      </c>
      <c r="Q342" s="15" t="n"/>
      <c r="R342" s="15" t="n"/>
    </row>
    <row r="343">
      <c r="A343" s="15" t="inlineStr">
        <is>
          <t>SL0339</t>
        </is>
      </c>
      <c r="B343" s="16" t="n">
        <v>45504</v>
      </c>
      <c r="C343" s="15" t="inlineStr">
        <is>
          <t>2024-07</t>
        </is>
      </c>
      <c r="D343" s="15" t="n">
        <v>2024</v>
      </c>
      <c r="E343" s="15" t="inlineStr">
        <is>
          <t>Land</t>
        </is>
      </c>
      <c r="F343" s="15" t="inlineStr">
        <is>
          <t>Plot / unit price</t>
        </is>
      </c>
      <c r="G343" s="15" t="inlineStr">
        <is>
          <t>Green City Phase 2 (Idobi, Ketu-Epe)</t>
        </is>
      </c>
      <c r="H343" s="15" t="inlineStr">
        <is>
          <t>BP-C0091</t>
        </is>
      </c>
      <c r="I343" s="15" t="inlineStr">
        <is>
          <t>Mr Ojo Olugbenga Daniel &amp; Mrs Ojo Omolola Oyewunmi</t>
        </is>
      </c>
      <c r="J343" s="17" t="n">
        <v>900000</v>
      </c>
      <c r="K343" s="15" t="inlineStr">
        <is>
          <t>Allen Branch</t>
        </is>
      </c>
      <c r="L343" s="15" t="inlineStr">
        <is>
          <t>Primary: monthly turnover register</t>
        </is>
      </c>
      <c r="M343" s="15" t="inlineStr">
        <is>
          <t>BAAY PROJECTS FINANCIALS 2024.xlsx</t>
        </is>
      </c>
      <c r="N343" s="15" t="inlineStr">
        <is>
          <t>JULY TURNOVER</t>
        </is>
      </c>
      <c r="O343" s="15" t="n">
        <v>34</v>
      </c>
      <c r="P343" s="15" t="inlineStr">
        <is>
          <t>31/07/2024</t>
        </is>
      </c>
      <c r="Q343" s="15" t="inlineStr">
        <is>
          <t>MRS ABIMBOLA r111</t>
        </is>
      </c>
      <c r="R343" s="15" t="n"/>
    </row>
    <row r="344">
      <c r="A344" s="15" t="inlineStr">
        <is>
          <t>SL0340</t>
        </is>
      </c>
      <c r="B344" s="16" t="n">
        <v>45505</v>
      </c>
      <c r="C344" s="15" t="inlineStr">
        <is>
          <t>2024-08</t>
        </is>
      </c>
      <c r="D344" s="15" t="n">
        <v>2024</v>
      </c>
      <c r="E344" s="15" t="inlineStr">
        <is>
          <t>Land</t>
        </is>
      </c>
      <c r="F344" s="15" t="inlineStr">
        <is>
          <t>Plot / unit price</t>
        </is>
      </c>
      <c r="G344" s="15" t="inlineStr">
        <is>
          <t>Green City Phase 2 (Idobi, Ketu-Epe)</t>
        </is>
      </c>
      <c r="H344" s="15" t="inlineStr">
        <is>
          <t>BP-C0090</t>
        </is>
      </c>
      <c r="I344" s="15" t="inlineStr">
        <is>
          <t>Mr Ajiva Lubem Barnabas</t>
        </is>
      </c>
      <c r="J344" s="17" t="n">
        <v>200000</v>
      </c>
      <c r="K344" s="15" t="inlineStr">
        <is>
          <t>Allen Branch</t>
        </is>
      </c>
      <c r="L344" s="15" t="inlineStr">
        <is>
          <t>Primary: monthly turnover register</t>
        </is>
      </c>
      <c r="M344" s="15" t="inlineStr">
        <is>
          <t>BAAY PROJECTS FINANCIALS 2024.xlsx</t>
        </is>
      </c>
      <c r="N344" s="15" t="inlineStr">
        <is>
          <t>AUGUST TURNOVER</t>
        </is>
      </c>
      <c r="O344" s="15" t="n">
        <v>7</v>
      </c>
      <c r="P344" s="15" t="inlineStr">
        <is>
          <t>2024-01-08</t>
        </is>
      </c>
      <c r="Q344" s="15" t="n"/>
      <c r="R344" s="15" t="n"/>
    </row>
    <row r="345">
      <c r="A345" s="15" t="inlineStr">
        <is>
          <t>SL0341</t>
        </is>
      </c>
      <c r="B345" s="16" t="n">
        <v>45506</v>
      </c>
      <c r="C345" s="15" t="inlineStr">
        <is>
          <t>2024-08</t>
        </is>
      </c>
      <c r="D345" s="15" t="n">
        <v>2024</v>
      </c>
      <c r="E345" s="15" t="inlineStr">
        <is>
          <t>Land</t>
        </is>
      </c>
      <c r="F345" s="15" t="inlineStr">
        <is>
          <t>Plot / unit price</t>
        </is>
      </c>
      <c r="G345" s="15" t="inlineStr">
        <is>
          <t>Green City Phase 3 (Omu-Epe)</t>
        </is>
      </c>
      <c r="H345" s="15" t="inlineStr">
        <is>
          <t>BP-C0026</t>
        </is>
      </c>
      <c r="I345" s="15" t="inlineStr">
        <is>
          <t>Mr &amp; Mrs Adebayo Dada</t>
        </is>
      </c>
      <c r="J345" s="17" t="n">
        <v>500000</v>
      </c>
      <c r="K345" s="15" t="inlineStr">
        <is>
          <t>Allen Branch</t>
        </is>
      </c>
      <c r="L345" s="15" t="inlineStr">
        <is>
          <t>Primary: monthly turnover register</t>
        </is>
      </c>
      <c r="M345" s="15" t="inlineStr">
        <is>
          <t>BAAY PROJECTS FINANCIALS 2024.xlsx</t>
        </is>
      </c>
      <c r="N345" s="15" t="inlineStr">
        <is>
          <t>AUGUST TURNOVER</t>
        </is>
      </c>
      <c r="O345" s="15" t="n">
        <v>8</v>
      </c>
      <c r="P345" s="15" t="inlineStr">
        <is>
          <t>2024-02-08</t>
        </is>
      </c>
      <c r="Q345" s="15" t="inlineStr">
        <is>
          <t>MRS ABIMBOLA r117</t>
        </is>
      </c>
      <c r="R345" s="15" t="n"/>
    </row>
    <row r="346">
      <c r="A346" s="15" t="inlineStr">
        <is>
          <t>SL0342</t>
        </is>
      </c>
      <c r="B346" s="16" t="n">
        <v>45506</v>
      </c>
      <c r="C346" s="15" t="inlineStr">
        <is>
          <t>2024-08</t>
        </is>
      </c>
      <c r="D346" s="15" t="n">
        <v>2024</v>
      </c>
      <c r="E346" s="15" t="inlineStr">
        <is>
          <t>Land</t>
        </is>
      </c>
      <c r="F346" s="15" t="inlineStr">
        <is>
          <t>Plot / unit price</t>
        </is>
      </c>
      <c r="G346" s="15" t="inlineStr">
        <is>
          <t>Green City Phase 3 (Omu-Epe)</t>
        </is>
      </c>
      <c r="H346" s="15" t="inlineStr">
        <is>
          <t>BP-C0111</t>
        </is>
      </c>
      <c r="I346" s="15" t="inlineStr">
        <is>
          <t>Mr Adenuga Lukman Ebenezer</t>
        </is>
      </c>
      <c r="J346" s="17" t="n">
        <v>500000</v>
      </c>
      <c r="K346" s="15" t="inlineStr">
        <is>
          <t>Magodo Branch</t>
        </is>
      </c>
      <c r="L346" s="15" t="inlineStr">
        <is>
          <t>Primary: monthly turnover register</t>
        </is>
      </c>
      <c r="M346" s="15" t="inlineStr">
        <is>
          <t>BAAY PROJECTS FINANCIALS 2024.xlsx</t>
        </is>
      </c>
      <c r="N346" s="15" t="inlineStr">
        <is>
          <t>AUGUST TURNOVER</t>
        </is>
      </c>
      <c r="O346" s="15" t="n">
        <v>7</v>
      </c>
      <c r="P346" s="15" t="inlineStr">
        <is>
          <t>2024-02-08</t>
        </is>
      </c>
      <c r="Q346" s="15" t="inlineStr">
        <is>
          <t>MS ADENIKE r5</t>
        </is>
      </c>
      <c r="R346" s="15" t="n"/>
    </row>
    <row r="347">
      <c r="A347" s="15" t="inlineStr">
        <is>
          <t>SL0343</t>
        </is>
      </c>
      <c r="B347" s="16" t="n">
        <v>45508</v>
      </c>
      <c r="C347" s="15" t="inlineStr">
        <is>
          <t>2024-08</t>
        </is>
      </c>
      <c r="D347" s="15" t="n">
        <v>2024</v>
      </c>
      <c r="E347" s="15" t="inlineStr">
        <is>
          <t>Land</t>
        </is>
      </c>
      <c r="F347" s="15" t="inlineStr">
        <is>
          <t>Plot / unit price</t>
        </is>
      </c>
      <c r="G347" s="15" t="inlineStr">
        <is>
          <t>Green City Phase 3 (Omu-Epe)</t>
        </is>
      </c>
      <c r="H347" s="15" t="inlineStr">
        <is>
          <t>BP-C0037</t>
        </is>
      </c>
      <c r="I347" s="15" t="inlineStr">
        <is>
          <t>Miss Okezie Mandy Ifeoma</t>
        </is>
      </c>
      <c r="J347" s="17" t="n">
        <v>1000000</v>
      </c>
      <c r="K347" s="15" t="inlineStr">
        <is>
          <t>Magodo Branch</t>
        </is>
      </c>
      <c r="L347" s="15" t="inlineStr">
        <is>
          <t>Primary: monthly turnover register</t>
        </is>
      </c>
      <c r="M347" s="15" t="inlineStr">
        <is>
          <t>BAAY PROJECTS FINANCIALS 2024.xlsx</t>
        </is>
      </c>
      <c r="N347" s="15" t="inlineStr">
        <is>
          <t>AUGUST TURNOVER</t>
        </is>
      </c>
      <c r="O347" s="15" t="n">
        <v>9</v>
      </c>
      <c r="P347" s="15" t="inlineStr">
        <is>
          <t>2024-04-08</t>
        </is>
      </c>
      <c r="Q347" s="15" t="inlineStr">
        <is>
          <t>MS CELINA r23</t>
        </is>
      </c>
      <c r="R347" s="15" t="n"/>
    </row>
    <row r="348">
      <c r="A348" s="15" t="inlineStr">
        <is>
          <t>SL0344</t>
        </is>
      </c>
      <c r="B348" s="16" t="n">
        <v>45508</v>
      </c>
      <c r="C348" s="15" t="inlineStr">
        <is>
          <t>2024-08</t>
        </is>
      </c>
      <c r="D348" s="15" t="n">
        <v>2024</v>
      </c>
      <c r="E348" s="15" t="inlineStr">
        <is>
          <t>Land</t>
        </is>
      </c>
      <c r="F348" s="15" t="inlineStr">
        <is>
          <t>Plot / unit price</t>
        </is>
      </c>
      <c r="G348" s="15" t="inlineStr">
        <is>
          <t>Green City Phase 3 (Omu-Epe)</t>
        </is>
      </c>
      <c r="H348" s="15" t="inlineStr">
        <is>
          <t>BP-C0111</t>
        </is>
      </c>
      <c r="I348" s="15" t="inlineStr">
        <is>
          <t>Mr Adenuga Lukman Ebenezer</t>
        </is>
      </c>
      <c r="J348" s="17" t="n">
        <v>1360000</v>
      </c>
      <c r="K348" s="15" t="inlineStr">
        <is>
          <t>Magodo Branch</t>
        </is>
      </c>
      <c r="L348" s="15" t="inlineStr">
        <is>
          <t>Primary: monthly turnover register</t>
        </is>
      </c>
      <c r="M348" s="15" t="inlineStr">
        <is>
          <t>BAAY PROJECTS FINANCIALS 2024.xlsx</t>
        </is>
      </c>
      <c r="N348" s="15" t="inlineStr">
        <is>
          <t>AUGUST TURNOVER</t>
        </is>
      </c>
      <c r="O348" s="15" t="n">
        <v>8</v>
      </c>
      <c r="P348" s="15" t="inlineStr">
        <is>
          <t>2024-04-08</t>
        </is>
      </c>
      <c r="Q348" s="15" t="inlineStr">
        <is>
          <t>MS ADENIKE r6</t>
        </is>
      </c>
      <c r="R348" s="15" t="n"/>
    </row>
    <row r="349">
      <c r="A349" s="15" t="inlineStr">
        <is>
          <t>SL0345</t>
        </is>
      </c>
      <c r="B349" s="16" t="n">
        <v>45509</v>
      </c>
      <c r="C349" s="15" t="inlineStr">
        <is>
          <t>2024-08</t>
        </is>
      </c>
      <c r="D349" s="15" t="n">
        <v>2024</v>
      </c>
      <c r="E349" s="15" t="inlineStr">
        <is>
          <t>Land</t>
        </is>
      </c>
      <c r="F349" s="15" t="inlineStr">
        <is>
          <t>Plot / unit price</t>
        </is>
      </c>
      <c r="G349" s="15" t="inlineStr">
        <is>
          <t>Green City Phase 1 (Lantaba, Ketu-Epe)</t>
        </is>
      </c>
      <c r="H349" s="15" t="inlineStr">
        <is>
          <t>BP-C0086</t>
        </is>
      </c>
      <c r="I349" s="15" t="inlineStr">
        <is>
          <t>Miss Nwobodo Miriam</t>
        </is>
      </c>
      <c r="J349" s="17" t="n">
        <v>400000</v>
      </c>
      <c r="K349" s="15" t="inlineStr">
        <is>
          <t>Allen Branch</t>
        </is>
      </c>
      <c r="L349" s="15" t="inlineStr">
        <is>
          <t>Primary: monthly turnover register</t>
        </is>
      </c>
      <c r="M349" s="15" t="inlineStr">
        <is>
          <t>BAAY PROJECTS FINANCIALS 2024.xlsx</t>
        </is>
      </c>
      <c r="N349" s="15" t="inlineStr">
        <is>
          <t>AUGUST TURNOVER</t>
        </is>
      </c>
      <c r="O349" s="15" t="n">
        <v>14</v>
      </c>
      <c r="P349" s="15" t="inlineStr">
        <is>
          <t>2024-05-08</t>
        </is>
      </c>
      <c r="Q349" s="15" t="inlineStr">
        <is>
          <t>MD r50</t>
        </is>
      </c>
      <c r="R349" s="15" t="n"/>
    </row>
    <row r="350">
      <c r="A350" s="15" t="inlineStr">
        <is>
          <t>SL0346</t>
        </is>
      </c>
      <c r="B350" s="16" t="n">
        <v>45509</v>
      </c>
      <c r="C350" s="15" t="inlineStr">
        <is>
          <t>2024-08</t>
        </is>
      </c>
      <c r="D350" s="15" t="n">
        <v>2024</v>
      </c>
      <c r="E350" s="15" t="inlineStr">
        <is>
          <t>Land</t>
        </is>
      </c>
      <c r="F350" s="15" t="inlineStr">
        <is>
          <t>Plot / unit price</t>
        </is>
      </c>
      <c r="G350" s="15" t="inlineStr">
        <is>
          <t>Green City Phase 3 (Omu-Epe)</t>
        </is>
      </c>
      <c r="H350" s="15" t="inlineStr">
        <is>
          <t>BP-C0037</t>
        </is>
      </c>
      <c r="I350" s="15" t="inlineStr">
        <is>
          <t>Miss Okezie Mandy Ifeoma</t>
        </is>
      </c>
      <c r="J350" s="17" t="n">
        <v>860000</v>
      </c>
      <c r="K350" s="15" t="inlineStr">
        <is>
          <t>Magodo Branch</t>
        </is>
      </c>
      <c r="L350" s="15" t="inlineStr">
        <is>
          <t>Primary: monthly turnover register</t>
        </is>
      </c>
      <c r="M350" s="15" t="inlineStr">
        <is>
          <t>BAAY PROJECTS FINANCIALS 2024.xlsx</t>
        </is>
      </c>
      <c r="N350" s="15" t="inlineStr">
        <is>
          <t>AUGUST TURNOVER</t>
        </is>
      </c>
      <c r="O350" s="15" t="n">
        <v>10</v>
      </c>
      <c r="P350" s="15" t="inlineStr">
        <is>
          <t>2024-05-08</t>
        </is>
      </c>
      <c r="Q350" s="15" t="inlineStr">
        <is>
          <t>MS CELINA r24</t>
        </is>
      </c>
      <c r="R350" s="15" t="n"/>
    </row>
    <row r="351">
      <c r="A351" s="15" t="inlineStr">
        <is>
          <t>SL0347</t>
        </is>
      </c>
      <c r="B351" s="16" t="n">
        <v>45509</v>
      </c>
      <c r="C351" s="15" t="inlineStr">
        <is>
          <t>2024-08</t>
        </is>
      </c>
      <c r="D351" s="15" t="n">
        <v>2024</v>
      </c>
      <c r="E351" s="15" t="inlineStr">
        <is>
          <t>Land</t>
        </is>
      </c>
      <c r="F351" s="15" t="inlineStr">
        <is>
          <t>Plot / unit price</t>
        </is>
      </c>
      <c r="G351" s="15" t="inlineStr">
        <is>
          <t>Green City Phase 3 (Omu-Epe)</t>
        </is>
      </c>
      <c r="H351" s="15" t="inlineStr">
        <is>
          <t>BP-C0066</t>
        </is>
      </c>
      <c r="I351" s="15" t="inlineStr">
        <is>
          <t>Miss Omosanya Dotun Akeju</t>
        </is>
      </c>
      <c r="J351" s="17" t="n">
        <v>500000</v>
      </c>
      <c r="K351" s="15" t="inlineStr">
        <is>
          <t>Allen Branch</t>
        </is>
      </c>
      <c r="L351" s="15" t="inlineStr">
        <is>
          <t>Primary: monthly turnover register</t>
        </is>
      </c>
      <c r="M351" s="15" t="inlineStr">
        <is>
          <t>BAAY PROJECTS FINANCIALS 2024.xlsx</t>
        </is>
      </c>
      <c r="N351" s="15" t="inlineStr">
        <is>
          <t>AUGUST TURNOVER</t>
        </is>
      </c>
      <c r="O351" s="15" t="n">
        <v>15</v>
      </c>
      <c r="P351" s="15" t="inlineStr">
        <is>
          <t>2024-05-08</t>
        </is>
      </c>
      <c r="Q351" s="15" t="inlineStr">
        <is>
          <t>MS BOLANLE r89, MS BLESSING OJI r33</t>
        </is>
      </c>
      <c r="R351" s="15" t="n"/>
    </row>
    <row r="352">
      <c r="A352" s="15" t="inlineStr">
        <is>
          <t>SL0348</t>
        </is>
      </c>
      <c r="B352" s="16" t="n">
        <v>45509</v>
      </c>
      <c r="C352" s="15" t="inlineStr">
        <is>
          <t>2024-08</t>
        </is>
      </c>
      <c r="D352" s="15" t="n">
        <v>2024</v>
      </c>
      <c r="E352" s="15" t="inlineStr">
        <is>
          <t>Land</t>
        </is>
      </c>
      <c r="F352" s="15" t="inlineStr">
        <is>
          <t>Plot / unit price</t>
        </is>
      </c>
      <c r="G352" s="15" t="inlineStr">
        <is>
          <t>Green City Phase 2 (Idobi, Ketu-Epe)</t>
        </is>
      </c>
      <c r="H352" s="15" t="inlineStr">
        <is>
          <t>BP-C0030</t>
        </is>
      </c>
      <c r="I352" s="15" t="inlineStr">
        <is>
          <t>Mr Adese Akorede John</t>
        </is>
      </c>
      <c r="J352" s="17" t="n">
        <v>200000</v>
      </c>
      <c r="K352" s="15" t="inlineStr">
        <is>
          <t>Allen Branch</t>
        </is>
      </c>
      <c r="L352" s="15" t="inlineStr">
        <is>
          <t>Primary: monthly turnover register</t>
        </is>
      </c>
      <c r="M352" s="15" t="inlineStr">
        <is>
          <t>BAAY PROJECTS FINANCIALS 2024.xlsx</t>
        </is>
      </c>
      <c r="N352" s="15" t="inlineStr">
        <is>
          <t>AUGUST TURNOVER</t>
        </is>
      </c>
      <c r="O352" s="15" t="n">
        <v>9</v>
      </c>
      <c r="P352" s="15" t="inlineStr">
        <is>
          <t>2024-05-08</t>
        </is>
      </c>
      <c r="Q352" s="15" t="inlineStr">
        <is>
          <t>MD r51</t>
        </is>
      </c>
      <c r="R352" s="15" t="n"/>
    </row>
    <row r="353">
      <c r="A353" s="15" t="inlineStr">
        <is>
          <t>SL0349</t>
        </is>
      </c>
      <c r="B353" s="16" t="n">
        <v>45509</v>
      </c>
      <c r="C353" s="15" t="inlineStr">
        <is>
          <t>2024-08</t>
        </is>
      </c>
      <c r="D353" s="15" t="n">
        <v>2024</v>
      </c>
      <c r="E353" s="15" t="inlineStr">
        <is>
          <t>Land</t>
        </is>
      </c>
      <c r="F353" s="15" t="inlineStr">
        <is>
          <t>Ancillary charge</t>
        </is>
      </c>
      <c r="G353" s="15" t="inlineStr">
        <is>
          <t>Land: development fee</t>
        </is>
      </c>
      <c r="H353" s="15" t="inlineStr">
        <is>
          <t>BP-C0030</t>
        </is>
      </c>
      <c r="I353" s="15" t="inlineStr">
        <is>
          <t>Mr Adese Akorede John</t>
        </is>
      </c>
      <c r="J353" s="17" t="n">
        <v>50000</v>
      </c>
      <c r="K353" s="15" t="inlineStr">
        <is>
          <t>Allen Branch</t>
        </is>
      </c>
      <c r="L353" s="15" t="inlineStr">
        <is>
          <t>Primary: monthly turnover register</t>
        </is>
      </c>
      <c r="M353" s="15" t="inlineStr">
        <is>
          <t>BAAY PROJECTS FINANCIALS 2024.xlsx</t>
        </is>
      </c>
      <c r="N353" s="15" t="inlineStr">
        <is>
          <t>AUGUST TURNOVER</t>
        </is>
      </c>
      <c r="O353" s="15" t="n">
        <v>10</v>
      </c>
      <c r="P353" s="15" t="inlineStr">
        <is>
          <t>2024-05-08</t>
        </is>
      </c>
      <c r="Q353" s="15" t="n"/>
      <c r="R353" s="15" t="n"/>
    </row>
    <row r="354">
      <c r="A354" s="15" t="inlineStr">
        <is>
          <t>SL0350</t>
        </is>
      </c>
      <c r="B354" s="16" t="n">
        <v>45509</v>
      </c>
      <c r="C354" s="15" t="inlineStr">
        <is>
          <t>2024-08</t>
        </is>
      </c>
      <c r="D354" s="15" t="n">
        <v>2024</v>
      </c>
      <c r="E354" s="15" t="inlineStr">
        <is>
          <t>Land</t>
        </is>
      </c>
      <c r="F354" s="15" t="inlineStr">
        <is>
          <t>Plot / unit price</t>
        </is>
      </c>
      <c r="G354" s="15" t="inlineStr">
        <is>
          <t>Green City Phase 3 (Omu-Epe)</t>
        </is>
      </c>
      <c r="H354" s="15" t="inlineStr">
        <is>
          <t>BP-C0110</t>
        </is>
      </c>
      <c r="I354" s="15" t="inlineStr">
        <is>
          <t>Mr Adeyemi Kayode</t>
        </is>
      </c>
      <c r="J354" s="17" t="n">
        <v>500000</v>
      </c>
      <c r="K354" s="15" t="inlineStr">
        <is>
          <t>Allen Branch</t>
        </is>
      </c>
      <c r="L354" s="15" t="inlineStr">
        <is>
          <t>Primary: monthly turnover register</t>
        </is>
      </c>
      <c r="M354" s="15" t="inlineStr">
        <is>
          <t>BAAY PROJECTS FINANCIALS 2024.xlsx</t>
        </is>
      </c>
      <c r="N354" s="15" t="inlineStr">
        <is>
          <t>AUGUST TURNOVER</t>
        </is>
      </c>
      <c r="O354" s="15" t="n">
        <v>13</v>
      </c>
      <c r="P354" s="15" t="inlineStr">
        <is>
          <t>2024-05-08</t>
        </is>
      </c>
      <c r="Q354" s="15" t="inlineStr">
        <is>
          <t>MS BOLANLE r87</t>
        </is>
      </c>
      <c r="R354" s="15" t="n"/>
    </row>
    <row r="355">
      <c r="A355" s="15" t="inlineStr">
        <is>
          <t>SL0351</t>
        </is>
      </c>
      <c r="B355" s="16" t="n">
        <v>45509</v>
      </c>
      <c r="C355" s="15" t="inlineStr">
        <is>
          <t>2024-08</t>
        </is>
      </c>
      <c r="D355" s="15" t="n">
        <v>2024</v>
      </c>
      <c r="E355" s="15" t="inlineStr">
        <is>
          <t>Land</t>
        </is>
      </c>
      <c r="F355" s="15" t="inlineStr">
        <is>
          <t>Plot / unit price</t>
        </is>
      </c>
      <c r="G355" s="15" t="inlineStr">
        <is>
          <t>Green City Phase 2 (Idobi, Ketu-Epe)</t>
        </is>
      </c>
      <c r="H355" s="15" t="inlineStr">
        <is>
          <t>BP-C0090</t>
        </is>
      </c>
      <c r="I355" s="15" t="inlineStr">
        <is>
          <t>Mr Ajiva Lubem Barnabas</t>
        </is>
      </c>
      <c r="J355" s="17" t="n">
        <v>460000</v>
      </c>
      <c r="K355" s="15" t="inlineStr">
        <is>
          <t>Allen Branch</t>
        </is>
      </c>
      <c r="L355" s="15" t="inlineStr">
        <is>
          <t>Primary: monthly turnover register</t>
        </is>
      </c>
      <c r="M355" s="15" t="inlineStr">
        <is>
          <t>BAAY PROJECTS FINANCIALS 2024.xlsx</t>
        </is>
      </c>
      <c r="N355" s="15" t="inlineStr">
        <is>
          <t>AUGUST TURNOVER</t>
        </is>
      </c>
      <c r="O355" s="15" t="n">
        <v>11</v>
      </c>
      <c r="P355" s="15" t="inlineStr">
        <is>
          <t>2024-05-08</t>
        </is>
      </c>
      <c r="Q355" s="15" t="inlineStr">
        <is>
          <t>FASUYI OLAYINKA r39</t>
        </is>
      </c>
      <c r="R355" s="15" t="n"/>
    </row>
    <row r="356">
      <c r="A356" s="15" t="inlineStr">
        <is>
          <t>SL0352</t>
        </is>
      </c>
      <c r="B356" s="16" t="n">
        <v>45512</v>
      </c>
      <c r="C356" s="15" t="inlineStr">
        <is>
          <t>2024-08</t>
        </is>
      </c>
      <c r="D356" s="15" t="n">
        <v>2024</v>
      </c>
      <c r="E356" s="15" t="inlineStr">
        <is>
          <t>Housing</t>
        </is>
      </c>
      <c r="F356" s="15" t="inlineStr">
        <is>
          <t>Plot / unit price</t>
        </is>
      </c>
      <c r="G356" s="15" t="inlineStr">
        <is>
          <t>Housing unit (project not stated in source)</t>
        </is>
      </c>
      <c r="H356" s="15" t="inlineStr">
        <is>
          <t>BP-C0112</t>
        </is>
      </c>
      <c r="I356" s="15" t="inlineStr">
        <is>
          <t>Mr Lawson Albert Olumide</t>
        </is>
      </c>
      <c r="J356" s="17" t="n">
        <v>20000000</v>
      </c>
      <c r="K356" s="15" t="inlineStr">
        <is>
          <t>Magodo Branch</t>
        </is>
      </c>
      <c r="L356" s="15" t="inlineStr">
        <is>
          <t>Primary: monthly turnover register</t>
        </is>
      </c>
      <c r="M356" s="15" t="inlineStr">
        <is>
          <t>BAAY PROJECTS FINANCIALS 2024.xlsx</t>
        </is>
      </c>
      <c r="N356" s="15" t="inlineStr">
        <is>
          <t>AUGUST TURNOVER</t>
        </is>
      </c>
      <c r="O356" s="15" t="n">
        <v>11</v>
      </c>
      <c r="P356" s="15" t="inlineStr">
        <is>
          <t>2024-08-08</t>
        </is>
      </c>
      <c r="Q356" s="15" t="inlineStr">
        <is>
          <t>MR AYOMIDE r23</t>
        </is>
      </c>
      <c r="R356" s="15" t="n"/>
    </row>
    <row r="357">
      <c r="A357" s="15" t="inlineStr">
        <is>
          <t>SL0353</t>
        </is>
      </c>
      <c r="B357" s="16" t="n">
        <v>45512</v>
      </c>
      <c r="C357" s="15" t="inlineStr">
        <is>
          <t>2024-08</t>
        </is>
      </c>
      <c r="D357" s="15" t="n">
        <v>2024</v>
      </c>
      <c r="E357" s="15" t="inlineStr">
        <is>
          <t>Land</t>
        </is>
      </c>
      <c r="F357" s="15" t="inlineStr">
        <is>
          <t>Plot / unit price</t>
        </is>
      </c>
      <c r="G357" s="15" t="inlineStr">
        <is>
          <t>Green City Phase 2 (Idobi, Ketu-Epe)</t>
        </is>
      </c>
      <c r="H357" s="15" t="inlineStr">
        <is>
          <t>BP-C0092</t>
        </is>
      </c>
      <c r="I357" s="15" t="inlineStr">
        <is>
          <t>Mr Oriakhi Osemudiamen Peter</t>
        </is>
      </c>
      <c r="J357" s="17" t="n">
        <v>1000000</v>
      </c>
      <c r="K357" s="15" t="inlineStr">
        <is>
          <t>Magodo Branch</t>
        </is>
      </c>
      <c r="L357" s="15" t="inlineStr">
        <is>
          <t>Primary: monthly turnover register</t>
        </is>
      </c>
      <c r="M357" s="15" t="inlineStr">
        <is>
          <t>BAAY PROJECTS FINANCIALS 2024.xlsx</t>
        </is>
      </c>
      <c r="N357" s="15" t="inlineStr">
        <is>
          <t>AUGUST TURNOVER</t>
        </is>
      </c>
      <c r="O357" s="15" t="n">
        <v>12</v>
      </c>
      <c r="P357" s="15" t="inlineStr">
        <is>
          <t>2024-08-08</t>
        </is>
      </c>
      <c r="Q357" s="15" t="inlineStr">
        <is>
          <t>MS BLESSING r86</t>
        </is>
      </c>
      <c r="R357" s="15" t="n"/>
    </row>
    <row r="358">
      <c r="A358" s="15" t="inlineStr">
        <is>
          <t>SL0354</t>
        </is>
      </c>
      <c r="B358" s="16" t="n">
        <v>45513</v>
      </c>
      <c r="C358" s="15" t="inlineStr">
        <is>
          <t>2024-08</t>
        </is>
      </c>
      <c r="D358" s="15" t="n">
        <v>2024</v>
      </c>
      <c r="E358" s="15" t="inlineStr">
        <is>
          <t>Land</t>
        </is>
      </c>
      <c r="F358" s="15" t="inlineStr">
        <is>
          <t>Plot / unit price</t>
        </is>
      </c>
      <c r="G358" s="15" t="inlineStr">
        <is>
          <t>Green City Phase 3 (Omu-Epe)</t>
        </is>
      </c>
      <c r="H358" s="15" t="inlineStr">
        <is>
          <t>BP-C0110</t>
        </is>
      </c>
      <c r="I358" s="15" t="inlineStr">
        <is>
          <t>Mr Adeyemi Kayode</t>
        </is>
      </c>
      <c r="J358" s="17" t="n">
        <v>800000</v>
      </c>
      <c r="K358" s="15" t="inlineStr">
        <is>
          <t>Allen Branch</t>
        </is>
      </c>
      <c r="L358" s="15" t="inlineStr">
        <is>
          <t>Primary: monthly turnover register</t>
        </is>
      </c>
      <c r="M358" s="15" t="inlineStr">
        <is>
          <t>BAAY PROJECTS FINANCIALS 2024.xlsx</t>
        </is>
      </c>
      <c r="N358" s="15" t="inlineStr">
        <is>
          <t>AUGUST TURNOVER</t>
        </is>
      </c>
      <c r="O358" s="15" t="n">
        <v>17</v>
      </c>
      <c r="P358" s="15" t="inlineStr">
        <is>
          <t>2024-09-08</t>
        </is>
      </c>
      <c r="Q358" s="15" t="inlineStr">
        <is>
          <t>MS BOLANLE r88</t>
        </is>
      </c>
      <c r="R358" s="15" t="n"/>
    </row>
    <row r="359">
      <c r="A359" s="15" t="inlineStr">
        <is>
          <t>SL0355</t>
        </is>
      </c>
      <c r="B359" s="16" t="n">
        <v>45513</v>
      </c>
      <c r="C359" s="15" t="inlineStr">
        <is>
          <t>2024-08</t>
        </is>
      </c>
      <c r="D359" s="15" t="n">
        <v>2024</v>
      </c>
      <c r="E359" s="15" t="inlineStr">
        <is>
          <t>Housing</t>
        </is>
      </c>
      <c r="F359" s="15" t="inlineStr">
        <is>
          <t>Plot / unit price</t>
        </is>
      </c>
      <c r="G359" s="15" t="inlineStr">
        <is>
          <t>Housing unit (project not stated in source)</t>
        </is>
      </c>
      <c r="H359" s="15" t="inlineStr">
        <is>
          <t>BP-C0112</t>
        </is>
      </c>
      <c r="I359" s="15" t="inlineStr">
        <is>
          <t>Mr Lawson Albert Olumide</t>
        </is>
      </c>
      <c r="J359" s="17" t="n">
        <v>30000000</v>
      </c>
      <c r="K359" s="15" t="inlineStr">
        <is>
          <t>Magodo Branch</t>
        </is>
      </c>
      <c r="L359" s="15" t="inlineStr">
        <is>
          <t>Primary: monthly turnover register</t>
        </is>
      </c>
      <c r="M359" s="15" t="inlineStr">
        <is>
          <t>BAAY PROJECTS FINANCIALS 2024.xlsx</t>
        </is>
      </c>
      <c r="N359" s="15" t="inlineStr">
        <is>
          <t>AUGUST TURNOVER</t>
        </is>
      </c>
      <c r="O359" s="15" t="n">
        <v>13</v>
      </c>
      <c r="P359" s="15" t="inlineStr">
        <is>
          <t>2024-09-08</t>
        </is>
      </c>
      <c r="Q359" s="15" t="inlineStr">
        <is>
          <t>MR AYOMIDE r24</t>
        </is>
      </c>
      <c r="R359" s="15" t="n"/>
    </row>
    <row r="360">
      <c r="A360" s="15" t="inlineStr">
        <is>
          <t>SL0356</t>
        </is>
      </c>
      <c r="B360" s="16" t="n">
        <v>45513</v>
      </c>
      <c r="C360" s="15" t="inlineStr">
        <is>
          <t>2024-08</t>
        </is>
      </c>
      <c r="D360" s="15" t="n">
        <v>2024</v>
      </c>
      <c r="E360" s="15" t="inlineStr">
        <is>
          <t>Land</t>
        </is>
      </c>
      <c r="F360" s="15" t="inlineStr">
        <is>
          <t>Plot / unit price</t>
        </is>
      </c>
      <c r="G360" s="15" t="inlineStr">
        <is>
          <t>Green City Phase 1 (Lantaba, Ketu-Epe)</t>
        </is>
      </c>
      <c r="H360" s="15" t="inlineStr">
        <is>
          <t>BP-C0099</t>
        </is>
      </c>
      <c r="I360" s="15" t="inlineStr">
        <is>
          <t>Mr Olatunde Adesua Samuel</t>
        </is>
      </c>
      <c r="J360" s="17" t="n">
        <v>1200000</v>
      </c>
      <c r="K360" s="15" t="inlineStr">
        <is>
          <t>Magodo Branch</t>
        </is>
      </c>
      <c r="L360" s="15" t="inlineStr">
        <is>
          <t>Primary: monthly turnover register</t>
        </is>
      </c>
      <c r="M360" s="15" t="inlineStr">
        <is>
          <t>BAAY PROJECTS FINANCIALS 2024.xlsx</t>
        </is>
      </c>
      <c r="N360" s="15" t="inlineStr">
        <is>
          <t>AUGUST TURNOVER</t>
        </is>
      </c>
      <c r="O360" s="15" t="n">
        <v>14</v>
      </c>
      <c r="P360" s="15" t="inlineStr">
        <is>
          <t>2024-09-08</t>
        </is>
      </c>
      <c r="Q360" s="15" t="inlineStr">
        <is>
          <t>MS ADENIKE r7</t>
        </is>
      </c>
      <c r="R360" s="15" t="n"/>
    </row>
    <row r="361">
      <c r="A361" s="15" t="inlineStr">
        <is>
          <t>SL0357</t>
        </is>
      </c>
      <c r="B361" s="16" t="n">
        <v>45516</v>
      </c>
      <c r="C361" s="15" t="inlineStr">
        <is>
          <t>2024-08</t>
        </is>
      </c>
      <c r="D361" s="15" t="n">
        <v>2024</v>
      </c>
      <c r="E361" s="15" t="inlineStr">
        <is>
          <t>Land</t>
        </is>
      </c>
      <c r="F361" s="15" t="inlineStr">
        <is>
          <t>Plot / unit price</t>
        </is>
      </c>
      <c r="G361" s="15" t="inlineStr">
        <is>
          <t>Green City Phase 3 (Omu-Epe)</t>
        </is>
      </c>
      <c r="H361" s="15" t="inlineStr">
        <is>
          <t>BP-C0019</t>
        </is>
      </c>
      <c r="I361" s="15" t="inlineStr">
        <is>
          <t>Mr Ogbu Pius Ejaka</t>
        </is>
      </c>
      <c r="J361" s="17" t="n">
        <v>3150000</v>
      </c>
      <c r="K361" s="15" t="inlineStr">
        <is>
          <t>Magodo Branch</t>
        </is>
      </c>
      <c r="L361" s="15" t="inlineStr">
        <is>
          <t>Primary: monthly turnover register</t>
        </is>
      </c>
      <c r="M361" s="15" t="inlineStr">
        <is>
          <t>BAAY PROJECTS FINANCIALS 2024.xlsx</t>
        </is>
      </c>
      <c r="N361" s="15" t="inlineStr">
        <is>
          <t>AUGUST TURNOVER</t>
        </is>
      </c>
      <c r="O361" s="15" t="n">
        <v>15</v>
      </c>
      <c r="P361" s="15" t="inlineStr">
        <is>
          <t>2024-12-08</t>
        </is>
      </c>
      <c r="Q361" s="15" t="n"/>
      <c r="R361" s="15" t="n"/>
    </row>
    <row r="362">
      <c r="A362" s="15" t="inlineStr">
        <is>
          <t>SL0358</t>
        </is>
      </c>
      <c r="B362" s="16" t="n">
        <v>45516</v>
      </c>
      <c r="C362" s="15" t="inlineStr">
        <is>
          <t>2024-08</t>
        </is>
      </c>
      <c r="D362" s="15" t="n">
        <v>2024</v>
      </c>
      <c r="E362" s="15" t="inlineStr">
        <is>
          <t>Land</t>
        </is>
      </c>
      <c r="F362" s="15" t="inlineStr">
        <is>
          <t>Plot / unit price</t>
        </is>
      </c>
      <c r="G362" s="15" t="inlineStr">
        <is>
          <t>Green City Phase 3 (Omu-Epe)</t>
        </is>
      </c>
      <c r="H362" s="15" t="inlineStr">
        <is>
          <t>BP-C0113</t>
        </is>
      </c>
      <c r="I362" s="15" t="inlineStr">
        <is>
          <t>Mr Udoezi Paul</t>
        </is>
      </c>
      <c r="J362" s="17" t="n">
        <v>100000</v>
      </c>
      <c r="K362" s="15" t="inlineStr">
        <is>
          <t>Magodo Branch</t>
        </is>
      </c>
      <c r="L362" s="15" t="inlineStr">
        <is>
          <t>Primary: monthly turnover register</t>
        </is>
      </c>
      <c r="M362" s="15" t="inlineStr">
        <is>
          <t>BAAY PROJECTS FINANCIALS 2024.xlsx</t>
        </is>
      </c>
      <c r="N362" s="15" t="inlineStr">
        <is>
          <t>AUGUST TURNOVER</t>
        </is>
      </c>
      <c r="O362" s="15" t="n">
        <v>16</v>
      </c>
      <c r="P362" s="15" t="inlineStr">
        <is>
          <t>2024-12-08</t>
        </is>
      </c>
      <c r="Q362" s="15" t="inlineStr">
        <is>
          <t>MS BLESSING r87</t>
        </is>
      </c>
      <c r="R362" s="15" t="n"/>
    </row>
    <row r="363">
      <c r="A363" s="15" t="inlineStr">
        <is>
          <t>SL0359</t>
        </is>
      </c>
      <c r="B363" s="16" t="n">
        <v>45516</v>
      </c>
      <c r="C363" s="15" t="inlineStr">
        <is>
          <t>2024-08</t>
        </is>
      </c>
      <c r="D363" s="15" t="n">
        <v>2024</v>
      </c>
      <c r="E363" s="15" t="inlineStr">
        <is>
          <t>Land</t>
        </is>
      </c>
      <c r="F363" s="15" t="inlineStr">
        <is>
          <t>Plot / unit price</t>
        </is>
      </c>
      <c r="G363" s="15" t="inlineStr">
        <is>
          <t>Green City Phase 2 (Idobi, Ketu-Epe)</t>
        </is>
      </c>
      <c r="H363" s="15" t="inlineStr">
        <is>
          <t>BP-C0096</t>
        </is>
      </c>
      <c r="I363" s="15" t="inlineStr">
        <is>
          <t>Mrs Lawani Opemipo Olasode</t>
        </is>
      </c>
      <c r="J363" s="17" t="n">
        <v>550000</v>
      </c>
      <c r="K363" s="15" t="inlineStr">
        <is>
          <t>Allen Branch</t>
        </is>
      </c>
      <c r="L363" s="15" t="inlineStr">
        <is>
          <t>Primary: monthly turnover register</t>
        </is>
      </c>
      <c r="M363" s="15" t="inlineStr">
        <is>
          <t>BAAY PROJECTS FINANCIALS 2024.xlsx</t>
        </is>
      </c>
      <c r="N363" s="15" t="inlineStr">
        <is>
          <t>AUGUST TURNOVER</t>
        </is>
      </c>
      <c r="O363" s="15" t="n">
        <v>18</v>
      </c>
      <c r="P363" s="15" t="inlineStr">
        <is>
          <t>2024-12-08</t>
        </is>
      </c>
      <c r="Q363" s="15" t="inlineStr">
        <is>
          <t>MS FISAYO r20</t>
        </is>
      </c>
      <c r="R363" s="15" t="n"/>
    </row>
    <row r="364">
      <c r="A364" s="15" t="inlineStr">
        <is>
          <t>SL0360</t>
        </is>
      </c>
      <c r="B364" s="16" t="n">
        <v>45518</v>
      </c>
      <c r="C364" s="15" t="inlineStr">
        <is>
          <t>2024-08</t>
        </is>
      </c>
      <c r="D364" s="15" t="n">
        <v>2024</v>
      </c>
      <c r="E364" s="15" t="inlineStr">
        <is>
          <t>Land</t>
        </is>
      </c>
      <c r="F364" s="15" t="inlineStr">
        <is>
          <t>Plot / unit price</t>
        </is>
      </c>
      <c r="G364" s="15" t="inlineStr">
        <is>
          <t>Green City Phase 3 (Omu-Epe)</t>
        </is>
      </c>
      <c r="H364" s="15" t="inlineStr">
        <is>
          <t>BP-C0019</t>
        </is>
      </c>
      <c r="I364" s="15" t="inlineStr">
        <is>
          <t>Mr Ogbu Pius Ejaka</t>
        </is>
      </c>
      <c r="J364" s="17" t="n">
        <v>1500000</v>
      </c>
      <c r="K364" s="15" t="inlineStr">
        <is>
          <t>Magodo Branch</t>
        </is>
      </c>
      <c r="L364" s="15" t="inlineStr">
        <is>
          <t>Primary: monthly turnover register</t>
        </is>
      </c>
      <c r="M364" s="15" t="inlineStr">
        <is>
          <t>BAAY PROJECTS FINANCIALS 2024.xlsx</t>
        </is>
      </c>
      <c r="N364" s="15" t="inlineStr">
        <is>
          <t>AUGUST TURNOVER</t>
        </is>
      </c>
      <c r="O364" s="15" t="n">
        <v>17</v>
      </c>
      <c r="P364" s="15" t="inlineStr">
        <is>
          <t>14/08/2024</t>
        </is>
      </c>
      <c r="Q364" s="15" t="n"/>
      <c r="R364" s="15" t="n"/>
    </row>
    <row r="365">
      <c r="A365" s="15" t="inlineStr">
        <is>
          <t>SL0361</t>
        </is>
      </c>
      <c r="B365" s="16" t="n">
        <v>45519</v>
      </c>
      <c r="C365" s="15" t="inlineStr">
        <is>
          <t>2024-08</t>
        </is>
      </c>
      <c r="D365" s="15" t="n">
        <v>2024</v>
      </c>
      <c r="E365" s="15" t="inlineStr">
        <is>
          <t>Land</t>
        </is>
      </c>
      <c r="F365" s="15" t="inlineStr">
        <is>
          <t>Ancillary charge</t>
        </is>
      </c>
      <c r="G365" s="15" t="inlineStr">
        <is>
          <t>Land: corner piece premium</t>
        </is>
      </c>
      <c r="H365" s="15" t="inlineStr">
        <is>
          <t>BP-C0025</t>
        </is>
      </c>
      <c r="I365" s="15" t="inlineStr">
        <is>
          <t>Mrs Obadara Dorcas Adebisi</t>
        </is>
      </c>
      <c r="J365" s="17" t="n">
        <v>135000</v>
      </c>
      <c r="K365" s="15" t="inlineStr">
        <is>
          <t>Magodo Branch</t>
        </is>
      </c>
      <c r="L365" s="15" t="inlineStr">
        <is>
          <t>Primary: monthly turnover register</t>
        </is>
      </c>
      <c r="M365" s="15" t="inlineStr">
        <is>
          <t>BAAY PROJECTS FINANCIALS 2024.xlsx</t>
        </is>
      </c>
      <c r="N365" s="15" t="inlineStr">
        <is>
          <t>AUGUST TURNOVER</t>
        </is>
      </c>
      <c r="O365" s="15" t="n">
        <v>18</v>
      </c>
      <c r="P365" s="15" t="inlineStr">
        <is>
          <t>15/08/2024</t>
        </is>
      </c>
      <c r="Q365" s="15" t="n"/>
      <c r="R365" s="15" t="n"/>
    </row>
    <row r="366">
      <c r="A366" s="15" t="inlineStr">
        <is>
          <t>SL0362</t>
        </is>
      </c>
      <c r="B366" s="16" t="n">
        <v>45520</v>
      </c>
      <c r="C366" s="15" t="inlineStr">
        <is>
          <t>2024-08</t>
        </is>
      </c>
      <c r="D366" s="15" t="n">
        <v>2024</v>
      </c>
      <c r="E366" s="15" t="inlineStr">
        <is>
          <t>Land</t>
        </is>
      </c>
      <c r="F366" s="15" t="inlineStr">
        <is>
          <t>Plot / unit price</t>
        </is>
      </c>
      <c r="G366" s="15" t="inlineStr">
        <is>
          <t>Green City Phase 3 (Omu-Epe)</t>
        </is>
      </c>
      <c r="H366" s="15" t="inlineStr">
        <is>
          <t>BP-C0114</t>
        </is>
      </c>
      <c r="I366" s="15" t="inlineStr">
        <is>
          <t>Miss Ohaego Ijeoma Goodness</t>
        </is>
      </c>
      <c r="J366" s="17" t="n">
        <v>1000000</v>
      </c>
      <c r="K366" s="15" t="inlineStr">
        <is>
          <t>Allen Branch</t>
        </is>
      </c>
      <c r="L366" s="15" t="inlineStr">
        <is>
          <t>Primary: monthly turnover register</t>
        </is>
      </c>
      <c r="M366" s="15" t="inlineStr">
        <is>
          <t>BAAY PROJECTS FINANCIALS 2024.xlsx</t>
        </is>
      </c>
      <c r="N366" s="15" t="inlineStr">
        <is>
          <t>AUGUST TURNOVER</t>
        </is>
      </c>
      <c r="O366" s="15" t="n">
        <v>20</v>
      </c>
      <c r="P366" s="15" t="inlineStr">
        <is>
          <t>16/08/2024</t>
        </is>
      </c>
      <c r="Q366" s="15" t="inlineStr">
        <is>
          <t>MS BOLANLE r90, MS BLESSING OJI r34</t>
        </is>
      </c>
      <c r="R366" s="15" t="n"/>
    </row>
    <row r="367">
      <c r="A367" s="15" t="inlineStr">
        <is>
          <t>SL0363</t>
        </is>
      </c>
      <c r="B367" s="16" t="n">
        <v>45521</v>
      </c>
      <c r="C367" s="15" t="inlineStr">
        <is>
          <t>2024-08</t>
        </is>
      </c>
      <c r="D367" s="15" t="n">
        <v>2024</v>
      </c>
      <c r="E367" s="15" t="inlineStr">
        <is>
          <t>Land</t>
        </is>
      </c>
      <c r="F367" s="15" t="inlineStr">
        <is>
          <t>Plot / unit price</t>
        </is>
      </c>
      <c r="G367" s="15" t="inlineStr">
        <is>
          <t>Green City Phase 3 (Omu-Epe)</t>
        </is>
      </c>
      <c r="H367" s="15" t="inlineStr">
        <is>
          <t>BP-C0115</t>
        </is>
      </c>
      <c r="I367" s="15" t="inlineStr">
        <is>
          <t>Mrs King Lavonda</t>
        </is>
      </c>
      <c r="J367" s="17" t="n">
        <v>500000</v>
      </c>
      <c r="K367" s="15" t="inlineStr">
        <is>
          <t>Allen Branch</t>
        </is>
      </c>
      <c r="L367" s="15" t="inlineStr">
        <is>
          <t>Primary: monthly turnover register</t>
        </is>
      </c>
      <c r="M367" s="15" t="inlineStr">
        <is>
          <t>BAAY PROJECTS FINANCIALS 2024.xlsx</t>
        </is>
      </c>
      <c r="N367" s="15" t="inlineStr">
        <is>
          <t>AUGUST TURNOVER</t>
        </is>
      </c>
      <c r="O367" s="15" t="n">
        <v>21</v>
      </c>
      <c r="P367" s="15" t="inlineStr">
        <is>
          <t>17/08/2024</t>
        </is>
      </c>
      <c r="Q367" s="15" t="inlineStr">
        <is>
          <t>MRS ABIMBOLA r119</t>
        </is>
      </c>
      <c r="R367" s="15" t="n"/>
    </row>
    <row r="368">
      <c r="A368" s="15" t="inlineStr">
        <is>
          <t>SL0364</t>
        </is>
      </c>
      <c r="B368" s="16" t="n">
        <v>45522</v>
      </c>
      <c r="C368" s="15" t="inlineStr">
        <is>
          <t>2024-08</t>
        </is>
      </c>
      <c r="D368" s="15" t="n">
        <v>2024</v>
      </c>
      <c r="E368" s="15" t="inlineStr">
        <is>
          <t>Land</t>
        </is>
      </c>
      <c r="F368" s="15" t="inlineStr">
        <is>
          <t>Plot / unit price</t>
        </is>
      </c>
      <c r="G368" s="15" t="inlineStr">
        <is>
          <t>Green City Phase 3 (Omu-Epe)</t>
        </is>
      </c>
      <c r="H368" s="15" t="inlineStr">
        <is>
          <t>BP-C0116</t>
        </is>
      </c>
      <c r="I368" s="15" t="inlineStr">
        <is>
          <t>Miss Okorie Rachael Mmesomachi</t>
        </is>
      </c>
      <c r="J368" s="17" t="n">
        <v>256000</v>
      </c>
      <c r="K368" s="15" t="inlineStr">
        <is>
          <t>Allen Branch</t>
        </is>
      </c>
      <c r="L368" s="15" t="inlineStr">
        <is>
          <t>Primary: monthly turnover register</t>
        </is>
      </c>
      <c r="M368" s="15" t="inlineStr">
        <is>
          <t>BAAY PROJECTS FINANCIALS 2024.xlsx</t>
        </is>
      </c>
      <c r="N368" s="15" t="inlineStr">
        <is>
          <t>AUGUST TURNOVER</t>
        </is>
      </c>
      <c r="O368" s="15" t="n">
        <v>22</v>
      </c>
      <c r="P368" s="15" t="inlineStr">
        <is>
          <t>18/08/2024</t>
        </is>
      </c>
      <c r="Q368" s="15" t="n"/>
      <c r="R368" s="15" t="n"/>
    </row>
    <row r="369">
      <c r="A369" s="15" t="inlineStr">
        <is>
          <t>SL0365</t>
        </is>
      </c>
      <c r="B369" s="16" t="n">
        <v>45523</v>
      </c>
      <c r="C369" s="15" t="inlineStr">
        <is>
          <t>2024-08</t>
        </is>
      </c>
      <c r="D369" s="15" t="n">
        <v>2024</v>
      </c>
      <c r="E369" s="15" t="inlineStr">
        <is>
          <t>Land</t>
        </is>
      </c>
      <c r="F369" s="15" t="inlineStr">
        <is>
          <t>Plot / unit price</t>
        </is>
      </c>
      <c r="G369" s="15" t="inlineStr">
        <is>
          <t>Green City Phase 3 (Omu-Epe)</t>
        </is>
      </c>
      <c r="H369" s="15" t="inlineStr">
        <is>
          <t>BP-C0113</t>
        </is>
      </c>
      <c r="I369" s="15" t="inlineStr">
        <is>
          <t>Mr Udoezi Paul</t>
        </is>
      </c>
      <c r="J369" s="17" t="n">
        <v>400000</v>
      </c>
      <c r="K369" s="15" t="inlineStr">
        <is>
          <t>Magodo Branch</t>
        </is>
      </c>
      <c r="L369" s="15" t="inlineStr">
        <is>
          <t>Primary: monthly turnover register</t>
        </is>
      </c>
      <c r="M369" s="15" t="inlineStr">
        <is>
          <t>BAAY PROJECTS FINANCIALS 2024.xlsx</t>
        </is>
      </c>
      <c r="N369" s="15" t="inlineStr">
        <is>
          <t>AUGUST TURNOVER</t>
        </is>
      </c>
      <c r="O369" s="15" t="n">
        <v>19</v>
      </c>
      <c r="P369" s="15" t="inlineStr">
        <is>
          <t>19/08/2024</t>
        </is>
      </c>
      <c r="Q369" s="15" t="inlineStr">
        <is>
          <t>MS BLESSING r88</t>
        </is>
      </c>
      <c r="R369" s="15" t="n"/>
    </row>
    <row r="370">
      <c r="A370" s="15" t="inlineStr">
        <is>
          <t>SL0366</t>
        </is>
      </c>
      <c r="B370" s="16" t="n">
        <v>45524</v>
      </c>
      <c r="C370" s="15" t="inlineStr">
        <is>
          <t>2024-08</t>
        </is>
      </c>
      <c r="D370" s="15" t="n">
        <v>2024</v>
      </c>
      <c r="E370" s="15" t="inlineStr">
        <is>
          <t>Land</t>
        </is>
      </c>
      <c r="F370" s="15" t="inlineStr">
        <is>
          <t>Plot / unit price</t>
        </is>
      </c>
      <c r="G370" s="15" t="inlineStr">
        <is>
          <t>Green City Phase 3 (Omu-Epe)</t>
        </is>
      </c>
      <c r="H370" s="15" t="inlineStr">
        <is>
          <t>BP-C0116</t>
        </is>
      </c>
      <c r="I370" s="15" t="inlineStr">
        <is>
          <t>Miss Okorie Rachael Mmesomachi</t>
        </is>
      </c>
      <c r="J370" s="17" t="n">
        <v>244000</v>
      </c>
      <c r="K370" s="15" t="inlineStr">
        <is>
          <t>Allen Branch</t>
        </is>
      </c>
      <c r="L370" s="15" t="inlineStr">
        <is>
          <t>Primary: monthly turnover register</t>
        </is>
      </c>
      <c r="M370" s="15" t="inlineStr">
        <is>
          <t>BAAY PROJECTS FINANCIALS 2024.xlsx</t>
        </is>
      </c>
      <c r="N370" s="15" t="inlineStr">
        <is>
          <t>AUGUST TURNOVER</t>
        </is>
      </c>
      <c r="O370" s="15" t="n">
        <v>23</v>
      </c>
      <c r="P370" s="15" t="inlineStr">
        <is>
          <t>20/08/2024</t>
        </is>
      </c>
      <c r="Q370" s="15" t="n"/>
      <c r="R370" s="15" t="n"/>
    </row>
    <row r="371">
      <c r="A371" s="15" t="inlineStr">
        <is>
          <t>SL0367</t>
        </is>
      </c>
      <c r="B371" s="16" t="n">
        <v>45525</v>
      </c>
      <c r="C371" s="15" t="inlineStr">
        <is>
          <t>2024-08</t>
        </is>
      </c>
      <c r="D371" s="15" t="n">
        <v>2024</v>
      </c>
      <c r="E371" s="15" t="inlineStr">
        <is>
          <t>Land</t>
        </is>
      </c>
      <c r="F371" s="15" t="inlineStr">
        <is>
          <t>Plot / unit price</t>
        </is>
      </c>
      <c r="G371" s="15" t="inlineStr">
        <is>
          <t>Green City Phase 3 (Omu-Epe)</t>
        </is>
      </c>
      <c r="H371" s="15" t="inlineStr">
        <is>
          <t>BP-C0019</t>
        </is>
      </c>
      <c r="I371" s="15" t="inlineStr">
        <is>
          <t>Mr Ogbu Pius Ejaka</t>
        </is>
      </c>
      <c r="J371" s="17" t="n">
        <v>1500000</v>
      </c>
      <c r="K371" s="15" t="inlineStr">
        <is>
          <t>Magodo Branch</t>
        </is>
      </c>
      <c r="L371" s="15" t="inlineStr">
        <is>
          <t>Primary: monthly turnover register</t>
        </is>
      </c>
      <c r="M371" s="15" t="inlineStr">
        <is>
          <t>BAAY PROJECTS FINANCIALS 2024.xlsx</t>
        </is>
      </c>
      <c r="N371" s="15" t="inlineStr">
        <is>
          <t>AUGUST TURNOVER</t>
        </is>
      </c>
      <c r="O371" s="15" t="n">
        <v>20</v>
      </c>
      <c r="P371" s="15" t="inlineStr">
        <is>
          <t>21/08/2024</t>
        </is>
      </c>
      <c r="Q371" s="15" t="inlineStr">
        <is>
          <t>MS BLESSING r91, MS MAYOWA BRAIMOH r20</t>
        </is>
      </c>
      <c r="R371" s="15" t="n"/>
    </row>
    <row r="372">
      <c r="A372" s="15" t="inlineStr">
        <is>
          <t>SL0368</t>
        </is>
      </c>
      <c r="B372" s="16" t="n">
        <v>45526</v>
      </c>
      <c r="C372" s="15" t="inlineStr">
        <is>
          <t>2024-08</t>
        </is>
      </c>
      <c r="D372" s="15" t="n">
        <v>2024</v>
      </c>
      <c r="E372" s="15" t="inlineStr">
        <is>
          <t>Land</t>
        </is>
      </c>
      <c r="F372" s="15" t="inlineStr">
        <is>
          <t>Plot / unit price</t>
        </is>
      </c>
      <c r="G372" s="15" t="inlineStr">
        <is>
          <t>Green City Phase 2 (Idobi, Ketu-Epe)</t>
        </is>
      </c>
      <c r="H372" s="15" t="inlineStr">
        <is>
          <t>BP-C0103</t>
        </is>
      </c>
      <c r="I372" s="15" t="inlineStr">
        <is>
          <t>Miss Danjuma Ojotule Faith</t>
        </is>
      </c>
      <c r="J372" s="17" t="n">
        <v>2000000</v>
      </c>
      <c r="K372" s="15" t="inlineStr">
        <is>
          <t>Allen Branch</t>
        </is>
      </c>
      <c r="L372" s="15" t="inlineStr">
        <is>
          <t>Primary: monthly turnover register</t>
        </is>
      </c>
      <c r="M372" s="15" t="inlineStr">
        <is>
          <t>BAAY PROJECTS FINANCIALS 2024.xlsx</t>
        </is>
      </c>
      <c r="N372" s="15" t="inlineStr">
        <is>
          <t>AUGUST TURNOVER</t>
        </is>
      </c>
      <c r="O372" s="15" t="n">
        <v>24</v>
      </c>
      <c r="P372" s="15" t="inlineStr">
        <is>
          <t>22/08/2024</t>
        </is>
      </c>
      <c r="Q372" s="15" t="n"/>
      <c r="R372" s="15" t="n"/>
    </row>
    <row r="373">
      <c r="A373" s="15" t="inlineStr">
        <is>
          <t>SL0369</t>
        </is>
      </c>
      <c r="B373" s="16" t="n">
        <v>45527</v>
      </c>
      <c r="C373" s="15" t="inlineStr">
        <is>
          <t>2024-08</t>
        </is>
      </c>
      <c r="D373" s="15" t="n">
        <v>2024</v>
      </c>
      <c r="E373" s="15" t="inlineStr">
        <is>
          <t>Land</t>
        </is>
      </c>
      <c r="F373" s="15" t="inlineStr">
        <is>
          <t>Plot / unit price</t>
        </is>
      </c>
      <c r="G373" s="15" t="inlineStr">
        <is>
          <t>Green City Phase 1 (Lantaba, Ketu-Epe)</t>
        </is>
      </c>
      <c r="H373" s="15" t="inlineStr">
        <is>
          <t>BP-C0046</t>
        </is>
      </c>
      <c r="I373" s="15" t="inlineStr">
        <is>
          <t>Mr Adesida Raphael</t>
        </is>
      </c>
      <c r="J373" s="17" t="n">
        <v>80000</v>
      </c>
      <c r="K373" s="15" t="inlineStr">
        <is>
          <t>Allen Branch</t>
        </is>
      </c>
      <c r="L373" s="15" t="inlineStr">
        <is>
          <t>Primary: monthly turnover register</t>
        </is>
      </c>
      <c r="M373" s="15" t="inlineStr">
        <is>
          <t>BAAY PROJECTS FINANCIALS 2024.xlsx</t>
        </is>
      </c>
      <c r="N373" s="15" t="inlineStr">
        <is>
          <t>AUGUST TURNOVER</t>
        </is>
      </c>
      <c r="O373" s="15" t="n">
        <v>25</v>
      </c>
      <c r="P373" s="15" t="inlineStr">
        <is>
          <t>23/08/2024</t>
        </is>
      </c>
      <c r="Q373" s="15" t="n"/>
      <c r="R373" s="15" t="n"/>
    </row>
    <row r="374">
      <c r="A374" s="15" t="inlineStr">
        <is>
          <t>SL0370</t>
        </is>
      </c>
      <c r="B374" s="16" t="n">
        <v>45527</v>
      </c>
      <c r="C374" s="15" t="inlineStr">
        <is>
          <t>2024-08</t>
        </is>
      </c>
      <c r="D374" s="15" t="n">
        <v>2024</v>
      </c>
      <c r="E374" s="15" t="inlineStr">
        <is>
          <t>Land</t>
        </is>
      </c>
      <c r="F374" s="15" t="inlineStr">
        <is>
          <t>Plot / unit price</t>
        </is>
      </c>
      <c r="G374" s="15" t="inlineStr">
        <is>
          <t>Green City Phase 3 (Omu-Epe)</t>
        </is>
      </c>
      <c r="H374" s="15" t="inlineStr">
        <is>
          <t>BP-C0117</t>
        </is>
      </c>
      <c r="I374" s="15" t="inlineStr">
        <is>
          <t>Mr Ikechukwu Jeremiah Kingsley</t>
        </is>
      </c>
      <c r="J374" s="17" t="n">
        <v>2000000</v>
      </c>
      <c r="K374" s="15" t="inlineStr">
        <is>
          <t>Magodo Branch</t>
        </is>
      </c>
      <c r="L374" s="15" t="inlineStr">
        <is>
          <t>Primary: monthly turnover register</t>
        </is>
      </c>
      <c r="M374" s="15" t="inlineStr">
        <is>
          <t>BAAY PROJECTS FINANCIALS 2024.xlsx</t>
        </is>
      </c>
      <c r="N374" s="15" t="inlineStr">
        <is>
          <t>AUGUST TURNOVER</t>
        </is>
      </c>
      <c r="O374" s="15" t="n">
        <v>21</v>
      </c>
      <c r="P374" s="15" t="inlineStr">
        <is>
          <t>23/08/2024</t>
        </is>
      </c>
      <c r="Q374" s="15" t="n"/>
      <c r="R374" s="15" t="n"/>
    </row>
    <row r="375">
      <c r="A375" s="15" t="inlineStr">
        <is>
          <t>SL0371</t>
        </is>
      </c>
      <c r="B375" s="16" t="n">
        <v>45528</v>
      </c>
      <c r="C375" s="15" t="inlineStr">
        <is>
          <t>2024-08</t>
        </is>
      </c>
      <c r="D375" s="15" t="n">
        <v>2024</v>
      </c>
      <c r="E375" s="15" t="inlineStr">
        <is>
          <t>Housing</t>
        </is>
      </c>
      <c r="F375" s="15" t="inlineStr">
        <is>
          <t>Plot / unit price</t>
        </is>
      </c>
      <c r="G375" s="15" t="inlineStr">
        <is>
          <t>Housing unit (project not stated in source)</t>
        </is>
      </c>
      <c r="H375" s="15" t="inlineStr">
        <is>
          <t>BP-C0112</t>
        </is>
      </c>
      <c r="I375" s="15" t="inlineStr">
        <is>
          <t>Mr Lawson Albert Olumide</t>
        </is>
      </c>
      <c r="J375" s="17" t="n">
        <v>5000000</v>
      </c>
      <c r="K375" s="15" t="inlineStr">
        <is>
          <t>Magodo Branch</t>
        </is>
      </c>
      <c r="L375" s="15" t="inlineStr">
        <is>
          <t>Primary: monthly turnover register</t>
        </is>
      </c>
      <c r="M375" s="15" t="inlineStr">
        <is>
          <t>BAAY PROJECTS FINANCIALS 2024.xlsx</t>
        </is>
      </c>
      <c r="N375" s="15" t="inlineStr">
        <is>
          <t>AUGUST TURNOVER</t>
        </is>
      </c>
      <c r="O375" s="15" t="n">
        <v>22</v>
      </c>
      <c r="P375" s="15" t="inlineStr">
        <is>
          <t>24/08/2024</t>
        </is>
      </c>
      <c r="Q375" s="15" t="n"/>
      <c r="R375" s="15" t="n"/>
    </row>
    <row r="376">
      <c r="A376" s="15" t="inlineStr">
        <is>
          <t>SL0372</t>
        </is>
      </c>
      <c r="B376" s="16" t="n">
        <v>45529</v>
      </c>
      <c r="C376" s="15" t="inlineStr">
        <is>
          <t>2024-08</t>
        </is>
      </c>
      <c r="D376" s="15" t="n">
        <v>2024</v>
      </c>
      <c r="E376" s="15" t="inlineStr">
        <is>
          <t>Land</t>
        </is>
      </c>
      <c r="F376" s="15" t="inlineStr">
        <is>
          <t>Plot / unit price</t>
        </is>
      </c>
      <c r="G376" s="15" t="inlineStr">
        <is>
          <t>Green City Phase 2 (Idobi, Ketu-Epe)</t>
        </is>
      </c>
      <c r="H376" s="15" t="inlineStr">
        <is>
          <t>BP-C0100</t>
        </is>
      </c>
      <c r="I376" s="15" t="inlineStr">
        <is>
          <t>Mr Braimoh Ayomide Favour</t>
        </is>
      </c>
      <c r="J376" s="17" t="n">
        <v>1235000</v>
      </c>
      <c r="K376" s="15" t="inlineStr">
        <is>
          <t>Magodo Branch</t>
        </is>
      </c>
      <c r="L376" s="15" t="inlineStr">
        <is>
          <t>Primary: monthly turnover register</t>
        </is>
      </c>
      <c r="M376" s="15" t="inlineStr">
        <is>
          <t>BAAY PROJECTS FINANCIALS 2024.xlsx</t>
        </is>
      </c>
      <c r="N376" s="15" t="inlineStr">
        <is>
          <t>AUGUST TURNOVER</t>
        </is>
      </c>
      <c r="O376" s="15" t="n">
        <v>23</v>
      </c>
      <c r="P376" s="15" t="inlineStr">
        <is>
          <t>25/08/2024</t>
        </is>
      </c>
      <c r="Q376" s="15" t="inlineStr">
        <is>
          <t>MS MAYOWA BRAIMOH r21</t>
        </is>
      </c>
      <c r="R376" s="15" t="n"/>
    </row>
    <row r="377">
      <c r="A377" s="15" t="inlineStr">
        <is>
          <t>SL0373</t>
        </is>
      </c>
      <c r="B377" s="16" t="n">
        <v>45531</v>
      </c>
      <c r="C377" s="15" t="inlineStr">
        <is>
          <t>2024-08</t>
        </is>
      </c>
      <c r="D377" s="15" t="n">
        <v>2024</v>
      </c>
      <c r="E377" s="15" t="inlineStr">
        <is>
          <t>Land</t>
        </is>
      </c>
      <c r="F377" s="15" t="inlineStr">
        <is>
          <t>Plot / unit price</t>
        </is>
      </c>
      <c r="G377" s="15" t="inlineStr">
        <is>
          <t>Green City Phase 1 (Lantaba, Ketu-Epe)</t>
        </is>
      </c>
      <c r="H377" s="15" t="inlineStr">
        <is>
          <t>BP-C0046</t>
        </is>
      </c>
      <c r="I377" s="15" t="inlineStr">
        <is>
          <t>Mr Adesida Raphael</t>
        </is>
      </c>
      <c r="J377" s="17" t="n">
        <v>100000</v>
      </c>
      <c r="K377" s="15" t="inlineStr">
        <is>
          <t>Allen Branch</t>
        </is>
      </c>
      <c r="L377" s="15" t="inlineStr">
        <is>
          <t>Primary: monthly turnover register</t>
        </is>
      </c>
      <c r="M377" s="15" t="inlineStr">
        <is>
          <t>BAAY PROJECTS FINANCIALS 2024.xlsx</t>
        </is>
      </c>
      <c r="N377" s="15" t="inlineStr">
        <is>
          <t>AUGUST TURNOVER</t>
        </is>
      </c>
      <c r="O377" s="15" t="n">
        <v>26</v>
      </c>
      <c r="P377" s="15" t="inlineStr">
        <is>
          <t>27/08/2024</t>
        </is>
      </c>
      <c r="Q377" s="15" t="n"/>
      <c r="R377" s="15" t="n"/>
    </row>
    <row r="378">
      <c r="A378" s="15" t="inlineStr">
        <is>
          <t>SL0374</t>
        </is>
      </c>
      <c r="B378" s="16" t="n">
        <v>45532</v>
      </c>
      <c r="C378" s="15" t="inlineStr">
        <is>
          <t>2024-08</t>
        </is>
      </c>
      <c r="D378" s="15" t="n">
        <v>2024</v>
      </c>
      <c r="E378" s="15" t="inlineStr">
        <is>
          <t>Land</t>
        </is>
      </c>
      <c r="F378" s="15" t="inlineStr">
        <is>
          <t>Plot / unit price</t>
        </is>
      </c>
      <c r="G378" s="15" t="inlineStr">
        <is>
          <t>Green City Phase 2 (Idobi, Ketu-Epe)</t>
        </is>
      </c>
      <c r="H378" s="15" t="inlineStr">
        <is>
          <t>BP-C0068</t>
        </is>
      </c>
      <c r="I378" s="15" t="inlineStr">
        <is>
          <t>Miss Ebhotah Sharon Aisosa</t>
        </is>
      </c>
      <c r="J378" s="17" t="n">
        <v>300000</v>
      </c>
      <c r="K378" s="15" t="inlineStr">
        <is>
          <t>Magodo Branch</t>
        </is>
      </c>
      <c r="L378" s="15" t="inlineStr">
        <is>
          <t>Primary: monthly turnover register</t>
        </is>
      </c>
      <c r="M378" s="15" t="inlineStr">
        <is>
          <t>BAAY PROJECTS FINANCIALS 2024.xlsx</t>
        </is>
      </c>
      <c r="N378" s="15" t="inlineStr">
        <is>
          <t>AUGUST TURNOVER</t>
        </is>
      </c>
      <c r="O378" s="15" t="n">
        <v>24</v>
      </c>
      <c r="P378" s="15" t="inlineStr">
        <is>
          <t>28/08/2024</t>
        </is>
      </c>
      <c r="Q378" s="15" t="inlineStr">
        <is>
          <t>MS BLESSING r105</t>
        </is>
      </c>
      <c r="R378" s="15" t="n"/>
    </row>
    <row r="379">
      <c r="A379" s="15" t="inlineStr">
        <is>
          <t>SL0375</t>
        </is>
      </c>
      <c r="B379" s="16" t="n">
        <v>45532</v>
      </c>
      <c r="C379" s="15" t="inlineStr">
        <is>
          <t>2024-08</t>
        </is>
      </c>
      <c r="D379" s="15" t="n">
        <v>2024</v>
      </c>
      <c r="E379" s="15" t="inlineStr">
        <is>
          <t>Land</t>
        </is>
      </c>
      <c r="F379" s="15" t="inlineStr">
        <is>
          <t>Plot / unit price</t>
        </is>
      </c>
      <c r="G379" s="15" t="inlineStr">
        <is>
          <t>Green City Phase 3 (Omu-Epe)</t>
        </is>
      </c>
      <c r="H379" s="15" t="inlineStr">
        <is>
          <t>BP-C0116</t>
        </is>
      </c>
      <c r="I379" s="15" t="inlineStr">
        <is>
          <t>Miss Okorie Rachael Mmesomachi</t>
        </is>
      </c>
      <c r="J379" s="17" t="n">
        <v>2000000</v>
      </c>
      <c r="K379" s="15" t="inlineStr">
        <is>
          <t>Allen Branch</t>
        </is>
      </c>
      <c r="L379" s="15" t="inlineStr">
        <is>
          <t>Primary: monthly turnover register</t>
        </is>
      </c>
      <c r="M379" s="15" t="inlineStr">
        <is>
          <t>BAAY PROJECTS FINANCIALS 2024.xlsx</t>
        </is>
      </c>
      <c r="N379" s="15" t="inlineStr">
        <is>
          <t>AUGUST TURNOVER</t>
        </is>
      </c>
      <c r="O379" s="15" t="n">
        <v>27</v>
      </c>
      <c r="P379" s="15" t="inlineStr">
        <is>
          <t>28/08/2024</t>
        </is>
      </c>
      <c r="Q379" s="15" t="n"/>
      <c r="R379" s="15" t="n"/>
    </row>
    <row r="380">
      <c r="A380" s="15" t="inlineStr">
        <is>
          <t>SL0376</t>
        </is>
      </c>
      <c r="B380" s="16" t="n">
        <v>45532</v>
      </c>
      <c r="C380" s="15" t="inlineStr">
        <is>
          <t>2024-08</t>
        </is>
      </c>
      <c r="D380" s="15" t="n">
        <v>2024</v>
      </c>
      <c r="E380" s="15" t="inlineStr">
        <is>
          <t>Land</t>
        </is>
      </c>
      <c r="F380" s="15" t="inlineStr">
        <is>
          <t>Plot / unit price</t>
        </is>
      </c>
      <c r="G380" s="15" t="inlineStr">
        <is>
          <t>Green City Phase 3 (Omu-Epe)</t>
        </is>
      </c>
      <c r="H380" s="15" t="inlineStr">
        <is>
          <t>BP-C0119</t>
        </is>
      </c>
      <c r="I380" s="15" t="inlineStr">
        <is>
          <t>Mr Adedapo Adekunle Solomon</t>
        </is>
      </c>
      <c r="J380" s="17" t="n">
        <v>500000</v>
      </c>
      <c r="K380" s="15" t="inlineStr">
        <is>
          <t>Magodo Branch</t>
        </is>
      </c>
      <c r="L380" s="15" t="inlineStr">
        <is>
          <t>Primary: monthly turnover register</t>
        </is>
      </c>
      <c r="M380" s="15" t="inlineStr">
        <is>
          <t>BAAY PROJECTS FINANCIALS 2024.xlsx</t>
        </is>
      </c>
      <c r="N380" s="15" t="inlineStr">
        <is>
          <t>AUGUST TURNOVER</t>
        </is>
      </c>
      <c r="O380" s="15" t="n">
        <v>25</v>
      </c>
      <c r="P380" s="15" t="inlineStr">
        <is>
          <t>28/08/2024</t>
        </is>
      </c>
      <c r="Q380" s="15" t="inlineStr">
        <is>
          <t>MS TAIWO r32, MS TOBI AJAYI r11</t>
        </is>
      </c>
      <c r="R380" s="15" t="n"/>
    </row>
    <row r="381">
      <c r="A381" s="15" t="inlineStr">
        <is>
          <t>SL0377</t>
        </is>
      </c>
      <c r="B381" s="16" t="n">
        <v>45533</v>
      </c>
      <c r="C381" s="15" t="inlineStr">
        <is>
          <t>2024-08</t>
        </is>
      </c>
      <c r="D381" s="15" t="n">
        <v>2024</v>
      </c>
      <c r="E381" s="15" t="inlineStr">
        <is>
          <t>Land</t>
        </is>
      </c>
      <c r="F381" s="15" t="inlineStr">
        <is>
          <t>Plot / unit price</t>
        </is>
      </c>
      <c r="G381" s="15" t="inlineStr">
        <is>
          <t>Green City Phase 3 (Omu-Epe)</t>
        </is>
      </c>
      <c r="H381" s="15" t="inlineStr">
        <is>
          <t>BP-C0110</t>
        </is>
      </c>
      <c r="I381" s="15" t="inlineStr">
        <is>
          <t>Mr Adeyemi Kayode</t>
        </is>
      </c>
      <c r="J381" s="17" t="n">
        <v>1000000</v>
      </c>
      <c r="K381" s="15" t="inlineStr">
        <is>
          <t>Allen Branch</t>
        </is>
      </c>
      <c r="L381" s="15" t="inlineStr">
        <is>
          <t>Primary: monthly turnover register</t>
        </is>
      </c>
      <c r="M381" s="15" t="inlineStr">
        <is>
          <t>BAAY PROJECTS FINANCIALS 2024.xlsx</t>
        </is>
      </c>
      <c r="N381" s="15" t="inlineStr">
        <is>
          <t>AUGUST TURNOVER</t>
        </is>
      </c>
      <c r="O381" s="15" t="n">
        <v>28</v>
      </c>
      <c r="P381" s="15" t="inlineStr">
        <is>
          <t>29/08/2024</t>
        </is>
      </c>
      <c r="Q381" s="15" t="inlineStr">
        <is>
          <t>MS BOLANLE r91</t>
        </is>
      </c>
      <c r="R381" s="15" t="n"/>
    </row>
    <row r="382">
      <c r="A382" s="15" t="inlineStr">
        <is>
          <t>SL0378</t>
        </is>
      </c>
      <c r="B382" s="16" t="n">
        <v>45534</v>
      </c>
      <c r="C382" s="15" t="inlineStr">
        <is>
          <t>2024-08</t>
        </is>
      </c>
      <c r="D382" s="15" t="n">
        <v>2024</v>
      </c>
      <c r="E382" s="15" t="inlineStr">
        <is>
          <t>Land</t>
        </is>
      </c>
      <c r="F382" s="15" t="inlineStr">
        <is>
          <t>Plot / unit price</t>
        </is>
      </c>
      <c r="G382" s="15" t="inlineStr">
        <is>
          <t>Green City Phase 3 (Omu-Epe)</t>
        </is>
      </c>
      <c r="H382" s="15" t="inlineStr">
        <is>
          <t>BP-C0119</t>
        </is>
      </c>
      <c r="I382" s="15" t="inlineStr">
        <is>
          <t>Mr Adedapo Adekunle Solomon</t>
        </is>
      </c>
      <c r="J382" s="17" t="n">
        <v>1000000</v>
      </c>
      <c r="K382" s="15" t="inlineStr">
        <is>
          <t>Magodo Branch</t>
        </is>
      </c>
      <c r="L382" s="15" t="inlineStr">
        <is>
          <t>Primary: monthly turnover register</t>
        </is>
      </c>
      <c r="M382" s="15" t="inlineStr">
        <is>
          <t>BAAY PROJECTS FINANCIALS 2024.xlsx</t>
        </is>
      </c>
      <c r="N382" s="15" t="inlineStr">
        <is>
          <t>AUGUST TURNOVER</t>
        </is>
      </c>
      <c r="O382" s="15" t="n">
        <v>27</v>
      </c>
      <c r="P382" s="15" t="inlineStr">
        <is>
          <t>30/08/2024</t>
        </is>
      </c>
      <c r="Q382" s="15" t="inlineStr">
        <is>
          <t>MS TAIWO r34, MS TOBI AJAYI r13</t>
        </is>
      </c>
      <c r="R382" s="15" t="n"/>
    </row>
    <row r="383">
      <c r="A383" s="15" t="inlineStr">
        <is>
          <t>SL0379</t>
        </is>
      </c>
      <c r="B383" s="16" t="n">
        <v>45534</v>
      </c>
      <c r="C383" s="15" t="inlineStr">
        <is>
          <t>2024-08</t>
        </is>
      </c>
      <c r="D383" s="15" t="n">
        <v>2024</v>
      </c>
      <c r="E383" s="15" t="inlineStr">
        <is>
          <t>Land</t>
        </is>
      </c>
      <c r="F383" s="15" t="inlineStr">
        <is>
          <t>Plot / unit price</t>
        </is>
      </c>
      <c r="G383" s="15" t="inlineStr">
        <is>
          <t>Green City Phase 1 (Lantaba, Ketu-Epe)</t>
        </is>
      </c>
      <c r="H383" s="15" t="inlineStr">
        <is>
          <t>BP-C0046</t>
        </is>
      </c>
      <c r="I383" s="15" t="inlineStr">
        <is>
          <t>Mr Adesida Raphael</t>
        </is>
      </c>
      <c r="J383" s="17" t="n">
        <v>61000</v>
      </c>
      <c r="K383" s="15" t="inlineStr">
        <is>
          <t>Allen Branch</t>
        </is>
      </c>
      <c r="L383" s="15" t="inlineStr">
        <is>
          <t>Primary: monthly turnover register</t>
        </is>
      </c>
      <c r="M383" s="15" t="inlineStr">
        <is>
          <t>BAAY PROJECTS FINANCIALS 2024.xlsx</t>
        </is>
      </c>
      <c r="N383" s="15" t="inlineStr">
        <is>
          <t>AUGUST TURNOVER</t>
        </is>
      </c>
      <c r="O383" s="15" t="n">
        <v>29</v>
      </c>
      <c r="P383" s="15" t="inlineStr">
        <is>
          <t>30/08/2024</t>
        </is>
      </c>
      <c r="Q383" s="15" t="n"/>
      <c r="R383" s="15" t="n"/>
    </row>
    <row r="384">
      <c r="A384" s="15" t="inlineStr">
        <is>
          <t>SL0380</t>
        </is>
      </c>
      <c r="B384" s="16" t="n">
        <v>45534</v>
      </c>
      <c r="C384" s="15" t="inlineStr">
        <is>
          <t>2024-08</t>
        </is>
      </c>
      <c r="D384" s="15" t="n">
        <v>2024</v>
      </c>
      <c r="E384" s="15" t="inlineStr">
        <is>
          <t>Land</t>
        </is>
      </c>
      <c r="F384" s="15" t="inlineStr">
        <is>
          <t>Plot / unit price</t>
        </is>
      </c>
      <c r="G384" s="15" t="inlineStr">
        <is>
          <t>Green City Phase 2 (Idobi, Ketu-Epe)</t>
        </is>
      </c>
      <c r="H384" s="15" t="inlineStr">
        <is>
          <t>BP-C0029</t>
        </is>
      </c>
      <c r="I384" s="15" t="inlineStr">
        <is>
          <t>Mr Ohanehi Anthony Chukwunonso</t>
        </is>
      </c>
      <c r="J384" s="17" t="n">
        <v>1000000</v>
      </c>
      <c r="K384" s="15" t="inlineStr">
        <is>
          <t>Allen Branch</t>
        </is>
      </c>
      <c r="L384" s="15" t="inlineStr">
        <is>
          <t>Primary: monthly turnover register</t>
        </is>
      </c>
      <c r="M384" s="15" t="inlineStr">
        <is>
          <t>BAAY PROJECTS FINANCIALS 2024.xlsx</t>
        </is>
      </c>
      <c r="N384" s="15" t="inlineStr">
        <is>
          <t>AUGUST TURNOVER</t>
        </is>
      </c>
      <c r="O384" s="15" t="n">
        <v>30</v>
      </c>
      <c r="P384" s="15" t="inlineStr">
        <is>
          <t>30/08/2024</t>
        </is>
      </c>
      <c r="Q384" s="15" t="inlineStr">
        <is>
          <t>IDAH MARYDAVID r16</t>
        </is>
      </c>
      <c r="R384" s="15" t="n"/>
    </row>
    <row r="385">
      <c r="A385" s="15" t="inlineStr">
        <is>
          <t>SL0381</t>
        </is>
      </c>
      <c r="B385" s="16" t="n">
        <v>45535</v>
      </c>
      <c r="C385" s="15" t="inlineStr">
        <is>
          <t>2024-08</t>
        </is>
      </c>
      <c r="D385" s="15" t="n">
        <v>2024</v>
      </c>
      <c r="E385" s="15" t="inlineStr">
        <is>
          <t>Land</t>
        </is>
      </c>
      <c r="F385" s="15" t="inlineStr">
        <is>
          <t>Plot / unit price</t>
        </is>
      </c>
      <c r="G385" s="15" t="inlineStr">
        <is>
          <t>Green City Phase 3 (Omu-Epe)</t>
        </is>
      </c>
      <c r="H385" s="15" t="inlineStr">
        <is>
          <t>BP-C0119</t>
        </is>
      </c>
      <c r="I385" s="15" t="inlineStr">
        <is>
          <t>Mr Adedapo Adekunle Solomon</t>
        </is>
      </c>
      <c r="J385" s="17" t="n">
        <v>1000000</v>
      </c>
      <c r="K385" s="15" t="inlineStr">
        <is>
          <t>Magodo Branch</t>
        </is>
      </c>
      <c r="L385" s="15" t="inlineStr">
        <is>
          <t>Primary: monthly turnover register</t>
        </is>
      </c>
      <c r="M385" s="15" t="inlineStr">
        <is>
          <t>BAAY PROJECTS FINANCIALS 2024.xlsx</t>
        </is>
      </c>
      <c r="N385" s="15" t="inlineStr">
        <is>
          <t>AUGUST TURNOVER</t>
        </is>
      </c>
      <c r="O385" s="15" t="n">
        <v>28</v>
      </c>
      <c r="P385" s="15" t="inlineStr">
        <is>
          <t>31/08/2024</t>
        </is>
      </c>
      <c r="Q385" s="15" t="inlineStr">
        <is>
          <t>MS TAIWO r35, MS TOBI AJAYI r14</t>
        </is>
      </c>
      <c r="R385" s="15" t="n"/>
    </row>
    <row r="386">
      <c r="A386" s="15" t="inlineStr">
        <is>
          <t>SL0382</t>
        </is>
      </c>
      <c r="B386" s="16" t="n">
        <v>45535</v>
      </c>
      <c r="C386" s="15" t="inlineStr">
        <is>
          <t>2024-08</t>
        </is>
      </c>
      <c r="D386" s="15" t="n">
        <v>2024</v>
      </c>
      <c r="E386" s="15" t="inlineStr">
        <is>
          <t>Land</t>
        </is>
      </c>
      <c r="F386" s="15" t="inlineStr">
        <is>
          <t>Ancillary charge</t>
        </is>
      </c>
      <c r="G386" s="15" t="inlineStr">
        <is>
          <t>Land: corner piece premium</t>
        </is>
      </c>
      <c r="H386" s="15" t="inlineStr">
        <is>
          <t>BP-C0091</t>
        </is>
      </c>
      <c r="I386" s="15" t="inlineStr">
        <is>
          <t>Mr Ojo Olugbenga Daniel &amp; Mrs Ojo Omolola Oyewunmi</t>
        </is>
      </c>
      <c r="J386" s="17" t="n">
        <v>135000</v>
      </c>
      <c r="K386" s="15" t="inlineStr">
        <is>
          <t>Allen Branch</t>
        </is>
      </c>
      <c r="L386" s="15" t="inlineStr">
        <is>
          <t>Primary: monthly turnover register</t>
        </is>
      </c>
      <c r="M386" s="15" t="inlineStr">
        <is>
          <t>BAAY PROJECTS FINANCIALS 2024.xlsx</t>
        </is>
      </c>
      <c r="N386" s="15" t="inlineStr">
        <is>
          <t>AUGUST TURNOVER</t>
        </is>
      </c>
      <c r="O386" s="15" t="n">
        <v>31</v>
      </c>
      <c r="P386" s="15" t="inlineStr">
        <is>
          <t>31/08/2024</t>
        </is>
      </c>
      <c r="Q386" s="15" t="n"/>
      <c r="R386" s="15" t="n"/>
    </row>
    <row r="387">
      <c r="A387" s="15" t="inlineStr">
        <is>
          <t>SL0383</t>
        </is>
      </c>
      <c r="B387" s="16" t="n">
        <v>45536</v>
      </c>
      <c r="C387" s="15" t="inlineStr">
        <is>
          <t>2024-09</t>
        </is>
      </c>
      <c r="D387" s="15" t="n">
        <v>2024</v>
      </c>
      <c r="E387" s="15" t="inlineStr">
        <is>
          <t>Land</t>
        </is>
      </c>
      <c r="F387" s="15" t="inlineStr">
        <is>
          <t>Plot / unit price</t>
        </is>
      </c>
      <c r="G387" s="15" t="inlineStr">
        <is>
          <t>Green City Phase 3 (Omu-Epe)</t>
        </is>
      </c>
      <c r="H387" s="15" t="inlineStr">
        <is>
          <t>BP-C0119</t>
        </is>
      </c>
      <c r="I387" s="15" t="inlineStr">
        <is>
          <t>Mr Adedapo Adekunle Solomon</t>
        </is>
      </c>
      <c r="J387" s="17" t="n">
        <v>1000000</v>
      </c>
      <c r="K387" s="15" t="inlineStr">
        <is>
          <t>Magodo Branch</t>
        </is>
      </c>
      <c r="L387" s="15" t="inlineStr">
        <is>
          <t>Primary: monthly turnover register</t>
        </is>
      </c>
      <c r="M387" s="15" t="inlineStr">
        <is>
          <t>BAAY PROJECTS FINANCIALS 2024.xlsx</t>
        </is>
      </c>
      <c r="N387" s="15" t="inlineStr">
        <is>
          <t>SEPTEMBER TURNOVER</t>
        </is>
      </c>
      <c r="O387" s="15" t="n">
        <v>7</v>
      </c>
      <c r="P387" s="15" t="inlineStr">
        <is>
          <t>2024-01-09</t>
        </is>
      </c>
      <c r="Q387" s="15" t="inlineStr">
        <is>
          <t>MS TAIWO r42, MS TOBI AJAYI r21</t>
        </is>
      </c>
      <c r="R387" s="15" t="n"/>
    </row>
    <row r="388">
      <c r="A388" s="15" t="inlineStr">
        <is>
          <t>SL0384</t>
        </is>
      </c>
      <c r="B388" s="16" t="n">
        <v>45537</v>
      </c>
      <c r="C388" s="15" t="inlineStr">
        <is>
          <t>2024-09</t>
        </is>
      </c>
      <c r="D388" s="15" t="n">
        <v>2024</v>
      </c>
      <c r="E388" s="15" t="inlineStr">
        <is>
          <t>Land</t>
        </is>
      </c>
      <c r="F388" s="15" t="inlineStr">
        <is>
          <t>Plot / unit price</t>
        </is>
      </c>
      <c r="G388" s="15" t="inlineStr">
        <is>
          <t>Green City Phase 3 (Omu-Epe)</t>
        </is>
      </c>
      <c r="H388" s="15" t="inlineStr">
        <is>
          <t>BP-C0026</t>
        </is>
      </c>
      <c r="I388" s="15" t="inlineStr">
        <is>
          <t>Mr &amp; Mrs Adebayo Dada</t>
        </is>
      </c>
      <c r="J388" s="17" t="n">
        <v>500000</v>
      </c>
      <c r="K388" s="15" t="inlineStr">
        <is>
          <t>Allen Branch</t>
        </is>
      </c>
      <c r="L388" s="15" t="inlineStr">
        <is>
          <t>Primary: monthly turnover register</t>
        </is>
      </c>
      <c r="M388" s="15" t="inlineStr">
        <is>
          <t>BAAY PROJECTS FINANCIALS 2024.xlsx</t>
        </is>
      </c>
      <c r="N388" s="15" t="inlineStr">
        <is>
          <t>SEPTEMBER TURNOVER</t>
        </is>
      </c>
      <c r="O388" s="15" t="n">
        <v>7</v>
      </c>
      <c r="P388" s="15" t="inlineStr">
        <is>
          <t>2024-02-09</t>
        </is>
      </c>
      <c r="Q388" s="15" t="inlineStr">
        <is>
          <t>MRS ABIMBOLA r144</t>
        </is>
      </c>
      <c r="R388" s="15" t="n"/>
    </row>
    <row r="389">
      <c r="A389" s="15" t="inlineStr">
        <is>
          <t>SL0385</t>
        </is>
      </c>
      <c r="B389" s="16" t="n">
        <v>45538</v>
      </c>
      <c r="C389" s="15" t="inlineStr">
        <is>
          <t>2024-09</t>
        </is>
      </c>
      <c r="D389" s="15" t="n">
        <v>2024</v>
      </c>
      <c r="E389" s="15" t="inlineStr">
        <is>
          <t>Land</t>
        </is>
      </c>
      <c r="F389" s="15" t="inlineStr">
        <is>
          <t>Plot / unit price</t>
        </is>
      </c>
      <c r="G389" s="15" t="inlineStr">
        <is>
          <t>Green City Phase 3 (Omu-Epe)</t>
        </is>
      </c>
      <c r="H389" s="15" t="inlineStr">
        <is>
          <t>BP-C0120</t>
        </is>
      </c>
      <c r="I389" s="15" t="inlineStr">
        <is>
          <t>Mr Olusegun Dare Michael</t>
        </is>
      </c>
      <c r="J389" s="17" t="n">
        <v>1000000</v>
      </c>
      <c r="K389" s="15" t="inlineStr">
        <is>
          <t>Allen Branch</t>
        </is>
      </c>
      <c r="L389" s="15" t="inlineStr">
        <is>
          <t>Primary: monthly turnover register</t>
        </is>
      </c>
      <c r="M389" s="15" t="inlineStr">
        <is>
          <t>BAAY PROJECTS FINANCIALS 2024.xlsx</t>
        </is>
      </c>
      <c r="N389" s="15" t="inlineStr">
        <is>
          <t>SEPTEMBER TURNOVER</t>
        </is>
      </c>
      <c r="O389" s="15" t="n">
        <v>8</v>
      </c>
      <c r="P389" s="15" t="inlineStr">
        <is>
          <t>2024-03-09</t>
        </is>
      </c>
      <c r="Q389" s="15" t="inlineStr">
        <is>
          <t>MS BOLANLE r97</t>
        </is>
      </c>
      <c r="R389" s="15" t="n"/>
    </row>
    <row r="390">
      <c r="A390" s="15" t="inlineStr">
        <is>
          <t>SL0386</t>
        </is>
      </c>
      <c r="B390" s="16" t="n">
        <v>45539</v>
      </c>
      <c r="C390" s="15" t="inlineStr">
        <is>
          <t>2024-09</t>
        </is>
      </c>
      <c r="D390" s="15" t="n">
        <v>2024</v>
      </c>
      <c r="E390" s="15" t="inlineStr">
        <is>
          <t>Land</t>
        </is>
      </c>
      <c r="F390" s="15" t="inlineStr">
        <is>
          <t>Plot / unit price</t>
        </is>
      </c>
      <c r="G390" s="15" t="inlineStr">
        <is>
          <t>Green City Phase 2 (Idobi, Ketu-Epe)</t>
        </is>
      </c>
      <c r="H390" s="15" t="inlineStr">
        <is>
          <t>BP-C0054</t>
        </is>
      </c>
      <c r="I390" s="15" t="inlineStr">
        <is>
          <t>Mr Adeniyi Ademola</t>
        </is>
      </c>
      <c r="J390" s="17" t="n">
        <v>2000000</v>
      </c>
      <c r="K390" s="15" t="inlineStr">
        <is>
          <t>Allen Branch</t>
        </is>
      </c>
      <c r="L390" s="15" t="inlineStr">
        <is>
          <t>Primary: monthly turnover register</t>
        </is>
      </c>
      <c r="M390" s="15" t="inlineStr">
        <is>
          <t>BAAY PROJECTS FINANCIALS 2024.xlsx</t>
        </is>
      </c>
      <c r="N390" s="15" t="inlineStr">
        <is>
          <t>SEPTEMBER TURNOVER</t>
        </is>
      </c>
      <c r="O390" s="15" t="n">
        <v>9</v>
      </c>
      <c r="P390" s="15" t="inlineStr">
        <is>
          <t>2024-04-09</t>
        </is>
      </c>
      <c r="Q390" s="15" t="inlineStr">
        <is>
          <t>MRS ABIMBOLA r145</t>
        </is>
      </c>
      <c r="R390" s="15" t="n"/>
    </row>
    <row r="391">
      <c r="A391" s="15" t="inlineStr">
        <is>
          <t>SL0387</t>
        </is>
      </c>
      <c r="B391" s="16" t="n">
        <v>45540</v>
      </c>
      <c r="C391" s="15" t="inlineStr">
        <is>
          <t>2024-09</t>
        </is>
      </c>
      <c r="D391" s="15" t="n">
        <v>2024</v>
      </c>
      <c r="E391" s="15" t="inlineStr">
        <is>
          <t>Land</t>
        </is>
      </c>
      <c r="F391" s="15" t="inlineStr">
        <is>
          <t>Plot / unit price</t>
        </is>
      </c>
      <c r="G391" s="15" t="inlineStr">
        <is>
          <t>Green City Phase 3 (Omu-Epe)</t>
        </is>
      </c>
      <c r="H391" s="15" t="inlineStr">
        <is>
          <t>BP-C0119</t>
        </is>
      </c>
      <c r="I391" s="15" t="inlineStr">
        <is>
          <t>Mr Adedapo Adekunle Solomon</t>
        </is>
      </c>
      <c r="J391" s="17" t="n">
        <v>1000000</v>
      </c>
      <c r="K391" s="15" t="inlineStr">
        <is>
          <t>Magodo Branch</t>
        </is>
      </c>
      <c r="L391" s="15" t="inlineStr">
        <is>
          <t>Primary: monthly turnover register</t>
        </is>
      </c>
      <c r="M391" s="15" t="inlineStr">
        <is>
          <t>BAAY PROJECTS FINANCIALS 2024.xlsx</t>
        </is>
      </c>
      <c r="N391" s="15" t="inlineStr">
        <is>
          <t>SEPTEMBER TURNOVER</t>
        </is>
      </c>
      <c r="O391" s="15" t="n">
        <v>8</v>
      </c>
      <c r="P391" s="15" t="inlineStr">
        <is>
          <t>2024-05-09</t>
        </is>
      </c>
      <c r="Q391" s="15" t="inlineStr">
        <is>
          <t>MS TAIWO r43, MS TOBI AJAYI r22</t>
        </is>
      </c>
      <c r="R391" s="15" t="n"/>
    </row>
    <row r="392">
      <c r="A392" s="15" t="inlineStr">
        <is>
          <t>SL0388</t>
        </is>
      </c>
      <c r="B392" s="16" t="n">
        <v>45540</v>
      </c>
      <c r="C392" s="15" t="inlineStr">
        <is>
          <t>2024-09</t>
        </is>
      </c>
      <c r="D392" s="15" t="n">
        <v>2024</v>
      </c>
      <c r="E392" s="15" t="inlineStr">
        <is>
          <t>Land</t>
        </is>
      </c>
      <c r="F392" s="15" t="inlineStr">
        <is>
          <t>Ancillary charge</t>
        </is>
      </c>
      <c r="G392" s="15" t="inlineStr">
        <is>
          <t>Land: corner piece premium</t>
        </is>
      </c>
      <c r="H392" s="15" t="inlineStr">
        <is>
          <t>BP-C0053</t>
        </is>
      </c>
      <c r="I392" s="15" t="inlineStr">
        <is>
          <t>Mr Adegbembo Stephen</t>
        </is>
      </c>
      <c r="J392" s="17" t="n">
        <v>135000</v>
      </c>
      <c r="K392" s="15" t="inlineStr">
        <is>
          <t>Allen Branch</t>
        </is>
      </c>
      <c r="L392" s="15" t="inlineStr">
        <is>
          <t>Primary: monthly turnover register</t>
        </is>
      </c>
      <c r="M392" s="15" t="inlineStr">
        <is>
          <t>BAAY PROJECTS FINANCIALS 2024.xlsx</t>
        </is>
      </c>
      <c r="N392" s="15" t="inlineStr">
        <is>
          <t>SEPTEMBER TURNOVER</t>
        </is>
      </c>
      <c r="O392" s="15" t="n">
        <v>10</v>
      </c>
      <c r="P392" s="15" t="inlineStr">
        <is>
          <t>2024-05-09</t>
        </is>
      </c>
      <c r="Q392" s="15" t="n"/>
      <c r="R392" s="15" t="n"/>
    </row>
    <row r="393">
      <c r="A393" s="15" t="inlineStr">
        <is>
          <t>SL0389</t>
        </is>
      </c>
      <c r="B393" s="16" t="n">
        <v>45540</v>
      </c>
      <c r="C393" s="15" t="inlineStr">
        <is>
          <t>2024-09</t>
        </is>
      </c>
      <c r="D393" s="15" t="n">
        <v>2024</v>
      </c>
      <c r="E393" s="15" t="inlineStr">
        <is>
          <t>Land</t>
        </is>
      </c>
      <c r="F393" s="15" t="inlineStr">
        <is>
          <t>Plot / unit price</t>
        </is>
      </c>
      <c r="G393" s="15" t="inlineStr">
        <is>
          <t>Green City Phase 2 (Idobi, Ketu-Epe)</t>
        </is>
      </c>
      <c r="H393" s="15" t="inlineStr">
        <is>
          <t>BP-C0030</t>
        </is>
      </c>
      <c r="I393" s="15" t="inlineStr">
        <is>
          <t>Mr Akorede Adese</t>
        </is>
      </c>
      <c r="J393" s="17" t="n">
        <v>200000</v>
      </c>
      <c r="K393" s="15" t="inlineStr">
        <is>
          <t>Allen Branch</t>
        </is>
      </c>
      <c r="L393" s="15" t="inlineStr">
        <is>
          <t>Primary: monthly turnover register</t>
        </is>
      </c>
      <c r="M393" s="15" t="inlineStr">
        <is>
          <t>BAAY PROJECTS FINANCIALS 2024.xlsx</t>
        </is>
      </c>
      <c r="N393" s="15" t="inlineStr">
        <is>
          <t>SEPTEMBER TURNOVER</t>
        </is>
      </c>
      <c r="O393" s="15" t="n">
        <v>11</v>
      </c>
      <c r="P393" s="15" t="inlineStr">
        <is>
          <t>2024-05-09</t>
        </is>
      </c>
      <c r="Q393" s="15" t="inlineStr">
        <is>
          <t>MD r56</t>
        </is>
      </c>
      <c r="R393" s="15" t="n"/>
    </row>
    <row r="394">
      <c r="A394" s="15" t="inlineStr">
        <is>
          <t>SL0390</t>
        </is>
      </c>
      <c r="B394" s="16" t="n">
        <v>45540</v>
      </c>
      <c r="C394" s="15" t="inlineStr">
        <is>
          <t>2024-09</t>
        </is>
      </c>
      <c r="D394" s="15" t="n">
        <v>2024</v>
      </c>
      <c r="E394" s="15" t="inlineStr">
        <is>
          <t>Land</t>
        </is>
      </c>
      <c r="F394" s="15" t="inlineStr">
        <is>
          <t>Ancillary charge</t>
        </is>
      </c>
      <c r="G394" s="15" t="inlineStr">
        <is>
          <t>Land: development fee</t>
        </is>
      </c>
      <c r="H394" s="15" t="inlineStr">
        <is>
          <t>BP-C0030</t>
        </is>
      </c>
      <c r="I394" s="15" t="inlineStr">
        <is>
          <t>Mr Akorede Adese</t>
        </is>
      </c>
      <c r="J394" s="17" t="n">
        <v>50000</v>
      </c>
      <c r="K394" s="15" t="inlineStr">
        <is>
          <t>Allen Branch</t>
        </is>
      </c>
      <c r="L394" s="15" t="inlineStr">
        <is>
          <t>Primary: monthly turnover register</t>
        </is>
      </c>
      <c r="M394" s="15" t="inlineStr">
        <is>
          <t>BAAY PROJECTS FINANCIALS 2024.xlsx</t>
        </is>
      </c>
      <c r="N394" s="15" t="inlineStr">
        <is>
          <t>SEPTEMBER TURNOVER</t>
        </is>
      </c>
      <c r="O394" s="15" t="n">
        <v>12</v>
      </c>
      <c r="P394" s="15" t="inlineStr">
        <is>
          <t>2024-05-09</t>
        </is>
      </c>
      <c r="Q394" s="15" t="n"/>
      <c r="R394" s="15" t="n"/>
    </row>
    <row r="395">
      <c r="A395" s="15" t="inlineStr">
        <is>
          <t>SL0391</t>
        </is>
      </c>
      <c r="B395" s="16" t="n">
        <v>45540</v>
      </c>
      <c r="C395" s="15" t="inlineStr">
        <is>
          <t>2024-09</t>
        </is>
      </c>
      <c r="D395" s="15" t="n">
        <v>2024</v>
      </c>
      <c r="E395" s="15" t="inlineStr">
        <is>
          <t>Land</t>
        </is>
      </c>
      <c r="F395" s="15" t="inlineStr">
        <is>
          <t>Plot / unit price</t>
        </is>
      </c>
      <c r="G395" s="15" t="inlineStr">
        <is>
          <t>Green City Phase 1 (Lantaba, Ketu-Epe)</t>
        </is>
      </c>
      <c r="H395" s="15" t="inlineStr">
        <is>
          <t>BP-C0099</t>
        </is>
      </c>
      <c r="I395" s="15" t="inlineStr">
        <is>
          <t>Mr Olatunde Adesua Samuel</t>
        </is>
      </c>
      <c r="J395" s="17" t="n">
        <v>1220000</v>
      </c>
      <c r="K395" s="15" t="inlineStr">
        <is>
          <t>Magodo Branch</t>
        </is>
      </c>
      <c r="L395" s="15" t="inlineStr">
        <is>
          <t>Primary: monthly turnover register</t>
        </is>
      </c>
      <c r="M395" s="15" t="inlineStr">
        <is>
          <t>BAAY PROJECTS FINANCIALS 2024.xlsx</t>
        </is>
      </c>
      <c r="N395" s="15" t="inlineStr">
        <is>
          <t>SEPTEMBER TURNOVER</t>
        </is>
      </c>
      <c r="O395" s="15" t="n">
        <v>9</v>
      </c>
      <c r="P395" s="15" t="inlineStr">
        <is>
          <t>2024-05-09</t>
        </is>
      </c>
      <c r="Q395" s="15" t="inlineStr">
        <is>
          <t>MS ADENIKE r16</t>
        </is>
      </c>
      <c r="R395" s="15" t="n"/>
    </row>
    <row r="396">
      <c r="A396" s="15" t="inlineStr">
        <is>
          <t>SL0392</t>
        </is>
      </c>
      <c r="B396" s="16" t="n">
        <v>45541</v>
      </c>
      <c r="C396" s="15" t="inlineStr">
        <is>
          <t>2024-09</t>
        </is>
      </c>
      <c r="D396" s="15" t="n">
        <v>2024</v>
      </c>
      <c r="E396" s="15" t="inlineStr">
        <is>
          <t>Land</t>
        </is>
      </c>
      <c r="F396" s="15" t="inlineStr">
        <is>
          <t>Plot / unit price</t>
        </is>
      </c>
      <c r="G396" s="15" t="inlineStr">
        <is>
          <t>Green City Phase 3 (Omu-Epe)</t>
        </is>
      </c>
      <c r="H396" s="15" t="inlineStr">
        <is>
          <t>BP-C0110</t>
        </is>
      </c>
      <c r="I396" s="15" t="inlineStr">
        <is>
          <t>Mr Adeyemi Kayode</t>
        </is>
      </c>
      <c r="J396" s="17" t="n">
        <v>1000000</v>
      </c>
      <c r="K396" s="15" t="inlineStr">
        <is>
          <t>Allen Branch</t>
        </is>
      </c>
      <c r="L396" s="15" t="inlineStr">
        <is>
          <t>Primary: monthly turnover register</t>
        </is>
      </c>
      <c r="M396" s="15" t="inlineStr">
        <is>
          <t>BAAY PROJECTS FINANCIALS 2024.xlsx</t>
        </is>
      </c>
      <c r="N396" s="15" t="inlineStr">
        <is>
          <t>SEPTEMBER TURNOVER</t>
        </is>
      </c>
      <c r="O396" s="15" t="n">
        <v>13</v>
      </c>
      <c r="P396" s="15" t="inlineStr">
        <is>
          <t>2024-06-09</t>
        </is>
      </c>
      <c r="Q396" s="15" t="inlineStr">
        <is>
          <t>MS BOLANLE r98</t>
        </is>
      </c>
      <c r="R396" s="15" t="n"/>
    </row>
    <row r="397">
      <c r="A397" s="15" t="inlineStr">
        <is>
          <t>SL0393</t>
        </is>
      </c>
      <c r="B397" s="16" t="n">
        <v>45543</v>
      </c>
      <c r="C397" s="15" t="inlineStr">
        <is>
          <t>2024-09</t>
        </is>
      </c>
      <c r="D397" s="15" t="n">
        <v>2024</v>
      </c>
      <c r="E397" s="15" t="inlineStr">
        <is>
          <t>Land</t>
        </is>
      </c>
      <c r="F397" s="15" t="inlineStr">
        <is>
          <t>Plot / unit price</t>
        </is>
      </c>
      <c r="G397" s="15" t="inlineStr">
        <is>
          <t>Green City Phase 3 (Omu-Epe)</t>
        </is>
      </c>
      <c r="H397" s="15" t="inlineStr">
        <is>
          <t>BP-C0121</t>
        </is>
      </c>
      <c r="I397" s="15" t="inlineStr">
        <is>
          <t>Mr Nweze Valentine Oluebube</t>
        </is>
      </c>
      <c r="J397" s="17" t="n">
        <v>1000000</v>
      </c>
      <c r="K397" s="15" t="inlineStr">
        <is>
          <t>Allen Branch</t>
        </is>
      </c>
      <c r="L397" s="15" t="inlineStr">
        <is>
          <t>Primary: monthly turnover register</t>
        </is>
      </c>
      <c r="M397" s="15" t="inlineStr">
        <is>
          <t>BAAY PROJECTS FINANCIALS 2024.xlsx</t>
        </is>
      </c>
      <c r="N397" s="15" t="inlineStr">
        <is>
          <t>SEPTEMBER TURNOVER</t>
        </is>
      </c>
      <c r="O397" s="15" t="n">
        <v>15</v>
      </c>
      <c r="P397" s="15" t="inlineStr">
        <is>
          <t>2024-08-09</t>
        </is>
      </c>
      <c r="Q397" s="15" t="inlineStr">
        <is>
          <t>MS BOLANLE r99</t>
        </is>
      </c>
      <c r="R397" s="15" t="n"/>
    </row>
    <row r="398">
      <c r="A398" s="15" t="inlineStr">
        <is>
          <t>SL0394</t>
        </is>
      </c>
      <c r="B398" s="16" t="n">
        <v>45544</v>
      </c>
      <c r="C398" s="15" t="inlineStr">
        <is>
          <t>2024-09</t>
        </is>
      </c>
      <c r="D398" s="15" t="n">
        <v>2024</v>
      </c>
      <c r="E398" s="15" t="inlineStr">
        <is>
          <t>Land</t>
        </is>
      </c>
      <c r="F398" s="15" t="inlineStr">
        <is>
          <t>Plot / unit price</t>
        </is>
      </c>
      <c r="G398" s="15" t="inlineStr">
        <is>
          <t>Green City Phase 3 (Omu-Epe)</t>
        </is>
      </c>
      <c r="H398" s="15" t="inlineStr">
        <is>
          <t>BP-C0121</t>
        </is>
      </c>
      <c r="I398" s="15" t="inlineStr">
        <is>
          <t>Mr Nweze Valentine Oluebube</t>
        </is>
      </c>
      <c r="J398" s="17" t="n">
        <v>1000000</v>
      </c>
      <c r="K398" s="15" t="inlineStr">
        <is>
          <t>Allen Branch</t>
        </is>
      </c>
      <c r="L398" s="15" t="inlineStr">
        <is>
          <t>Primary: monthly turnover register</t>
        </is>
      </c>
      <c r="M398" s="15" t="inlineStr">
        <is>
          <t>BAAY PROJECTS FINANCIALS 2024.xlsx</t>
        </is>
      </c>
      <c r="N398" s="15" t="inlineStr">
        <is>
          <t>SEPTEMBER TURNOVER</t>
        </is>
      </c>
      <c r="O398" s="15" t="n">
        <v>18</v>
      </c>
      <c r="P398" s="15" t="inlineStr">
        <is>
          <t>2024-09-09</t>
        </is>
      </c>
      <c r="Q398" s="15" t="inlineStr">
        <is>
          <t>MS BOLANLE r101</t>
        </is>
      </c>
      <c r="R398" s="15" t="n"/>
    </row>
    <row r="399">
      <c r="A399" s="15" t="inlineStr">
        <is>
          <t>SL0395</t>
        </is>
      </c>
      <c r="B399" s="16" t="n">
        <v>45544</v>
      </c>
      <c r="C399" s="15" t="inlineStr">
        <is>
          <t>2024-09</t>
        </is>
      </c>
      <c r="D399" s="15" t="n">
        <v>2024</v>
      </c>
      <c r="E399" s="15" t="inlineStr">
        <is>
          <t>Land</t>
        </is>
      </c>
      <c r="F399" s="15" t="inlineStr">
        <is>
          <t>Plot / unit price</t>
        </is>
      </c>
      <c r="G399" s="15" t="inlineStr">
        <is>
          <t>Green City Phase 3 (Omu-Epe)</t>
        </is>
      </c>
      <c r="H399" s="15" t="inlineStr">
        <is>
          <t>BP-C0120</t>
        </is>
      </c>
      <c r="I399" s="15" t="inlineStr">
        <is>
          <t>Mr Olusegun Dare Michael</t>
        </is>
      </c>
      <c r="J399" s="17" t="n">
        <v>3500000</v>
      </c>
      <c r="K399" s="15" t="inlineStr">
        <is>
          <t>Allen Branch</t>
        </is>
      </c>
      <c r="L399" s="15" t="inlineStr">
        <is>
          <t>Primary: monthly turnover register</t>
        </is>
      </c>
      <c r="M399" s="15" t="inlineStr">
        <is>
          <t>BAAY PROJECTS FINANCIALS 2024.xlsx</t>
        </is>
      </c>
      <c r="N399" s="15" t="inlineStr">
        <is>
          <t>SEPTEMBER TURNOVER</t>
        </is>
      </c>
      <c r="O399" s="15" t="n">
        <v>16</v>
      </c>
      <c r="P399" s="15" t="inlineStr">
        <is>
          <t>2024-09-09</t>
        </is>
      </c>
      <c r="Q399" s="15" t="inlineStr">
        <is>
          <t>MS BOLANLE r100</t>
        </is>
      </c>
      <c r="R399" s="15" t="n"/>
    </row>
    <row r="400">
      <c r="A400" s="15" t="inlineStr">
        <is>
          <t>SL0396</t>
        </is>
      </c>
      <c r="B400" s="16" t="n">
        <v>45544</v>
      </c>
      <c r="C400" s="15" t="inlineStr">
        <is>
          <t>2024-09</t>
        </is>
      </c>
      <c r="D400" s="15" t="n">
        <v>2024</v>
      </c>
      <c r="E400" s="15" t="inlineStr">
        <is>
          <t>Land</t>
        </is>
      </c>
      <c r="F400" s="15" t="inlineStr">
        <is>
          <t>Plot / unit price</t>
        </is>
      </c>
      <c r="G400" s="15" t="inlineStr">
        <is>
          <t>Green City Phase 2 (Idobi, Ketu-Epe)</t>
        </is>
      </c>
      <c r="H400" s="15" t="inlineStr">
        <is>
          <t>BP-C0096</t>
        </is>
      </c>
      <c r="I400" s="15" t="inlineStr">
        <is>
          <t>Mrs Lawani Opemipo Lasode</t>
        </is>
      </c>
      <c r="J400" s="17" t="n">
        <v>550000</v>
      </c>
      <c r="K400" s="15" t="inlineStr">
        <is>
          <t>Allen Branch</t>
        </is>
      </c>
      <c r="L400" s="15" t="inlineStr">
        <is>
          <t>Primary: monthly turnover register</t>
        </is>
      </c>
      <c r="M400" s="15" t="inlineStr">
        <is>
          <t>BAAY PROJECTS FINANCIALS 2024.xlsx</t>
        </is>
      </c>
      <c r="N400" s="15" t="inlineStr">
        <is>
          <t>SEPTEMBER TURNOVER</t>
        </is>
      </c>
      <c r="O400" s="15" t="n">
        <v>17</v>
      </c>
      <c r="P400" s="15" t="inlineStr">
        <is>
          <t>2024-09-09</t>
        </is>
      </c>
      <c r="Q400" s="15" t="n"/>
      <c r="R400" s="15" t="n"/>
    </row>
    <row r="401">
      <c r="A401" s="15" t="inlineStr">
        <is>
          <t>SL0397</t>
        </is>
      </c>
      <c r="B401" s="16" t="n">
        <v>45545</v>
      </c>
      <c r="C401" s="15" t="inlineStr">
        <is>
          <t>2024-09</t>
        </is>
      </c>
      <c r="D401" s="15" t="n">
        <v>2024</v>
      </c>
      <c r="E401" s="15" t="inlineStr">
        <is>
          <t>Land</t>
        </is>
      </c>
      <c r="F401" s="15" t="inlineStr">
        <is>
          <t>Plot / unit price</t>
        </is>
      </c>
      <c r="G401" s="15" t="inlineStr">
        <is>
          <t>Green City Phase 3 (Omu-Epe)</t>
        </is>
      </c>
      <c r="H401" s="15" t="inlineStr">
        <is>
          <t>BP-C0116</t>
        </is>
      </c>
      <c r="I401" s="15" t="inlineStr">
        <is>
          <t>Miss Okorie Rachael Mmesomachi</t>
        </is>
      </c>
      <c r="J401" s="17" t="n">
        <v>1300000</v>
      </c>
      <c r="K401" s="15" t="inlineStr">
        <is>
          <t>Allen Branch</t>
        </is>
      </c>
      <c r="L401" s="15" t="inlineStr">
        <is>
          <t>Primary: monthly turnover register</t>
        </is>
      </c>
      <c r="M401" s="15" t="inlineStr">
        <is>
          <t>BAAY PROJECTS FINANCIALS 2024.xlsx</t>
        </is>
      </c>
      <c r="N401" s="15" t="inlineStr">
        <is>
          <t>SEPTEMBER TURNOVER</t>
        </is>
      </c>
      <c r="O401" s="15" t="n">
        <v>19</v>
      </c>
      <c r="P401" s="15" t="inlineStr">
        <is>
          <t>2024-10-09</t>
        </is>
      </c>
      <c r="Q401" s="15" t="n"/>
      <c r="R401" s="15" t="n"/>
    </row>
    <row r="402">
      <c r="A402" s="15" t="inlineStr">
        <is>
          <t>SL0398</t>
        </is>
      </c>
      <c r="B402" s="16" t="n">
        <v>45548</v>
      </c>
      <c r="C402" s="15" t="inlineStr">
        <is>
          <t>2024-09</t>
        </is>
      </c>
      <c r="D402" s="15" t="n">
        <v>2024</v>
      </c>
      <c r="E402" s="15" t="inlineStr">
        <is>
          <t>Land</t>
        </is>
      </c>
      <c r="F402" s="15" t="inlineStr">
        <is>
          <t>Plot / unit price</t>
        </is>
      </c>
      <c r="G402" s="15" t="inlineStr">
        <is>
          <t>Green City Phase 3 (Omu-Epe)</t>
        </is>
      </c>
      <c r="H402" s="15" t="inlineStr">
        <is>
          <t>BP-C0123</t>
        </is>
      </c>
      <c r="I402" s="15" t="inlineStr">
        <is>
          <t>Mr Olaogun Samuel Oriyomi</t>
        </is>
      </c>
      <c r="J402" s="17" t="n">
        <v>2600000</v>
      </c>
      <c r="K402" s="15" t="inlineStr">
        <is>
          <t>Allen Branch</t>
        </is>
      </c>
      <c r="L402" s="15" t="inlineStr">
        <is>
          <t>Primary: monthly turnover register</t>
        </is>
      </c>
      <c r="M402" s="15" t="inlineStr">
        <is>
          <t>BAAY PROJECTS FINANCIALS 2024.xlsx</t>
        </is>
      </c>
      <c r="N402" s="15" t="inlineStr">
        <is>
          <t>SEPTEMBER TURNOVER</t>
        </is>
      </c>
      <c r="O402" s="15" t="n">
        <v>20</v>
      </c>
      <c r="P402" s="15" t="inlineStr">
        <is>
          <t>13/09/2024</t>
        </is>
      </c>
      <c r="Q402" s="15" t="inlineStr">
        <is>
          <t>MR RAPHAEL ADESIDA r2</t>
        </is>
      </c>
      <c r="R402" s="15" t="n"/>
    </row>
    <row r="403">
      <c r="A403" s="15" t="inlineStr">
        <is>
          <t>SL0399</t>
        </is>
      </c>
      <c r="B403" s="16" t="n">
        <v>45548</v>
      </c>
      <c r="C403" s="15" t="inlineStr">
        <is>
          <t>2024-09</t>
        </is>
      </c>
      <c r="D403" s="15" t="n">
        <v>2024</v>
      </c>
      <c r="E403" s="15" t="inlineStr">
        <is>
          <t>Land</t>
        </is>
      </c>
      <c r="F403" s="15" t="inlineStr">
        <is>
          <t>Ancillary charge</t>
        </is>
      </c>
      <c r="G403" s="15" t="inlineStr">
        <is>
          <t>Land: corner piece premium</t>
        </is>
      </c>
      <c r="H403" s="15" t="inlineStr">
        <is>
          <t>BP-C0099</t>
        </is>
      </c>
      <c r="I403" s="15" t="inlineStr">
        <is>
          <t>Mr Olatunde Adesua Samuel</t>
        </is>
      </c>
      <c r="J403" s="17" t="n">
        <v>135000</v>
      </c>
      <c r="K403" s="15" t="inlineStr">
        <is>
          <t>Magodo Branch</t>
        </is>
      </c>
      <c r="L403" s="15" t="inlineStr">
        <is>
          <t>Primary: monthly turnover register</t>
        </is>
      </c>
      <c r="M403" s="15" t="inlineStr">
        <is>
          <t>BAAY PROJECTS FINANCIALS 2024.xlsx</t>
        </is>
      </c>
      <c r="N403" s="15" t="inlineStr">
        <is>
          <t>SEPTEMBER TURNOVER</t>
        </is>
      </c>
      <c r="O403" s="15" t="n">
        <v>11</v>
      </c>
      <c r="P403" s="15" t="inlineStr">
        <is>
          <t>13/09/2024</t>
        </is>
      </c>
      <c r="Q403" s="15" t="n"/>
      <c r="R403" s="15" t="n"/>
    </row>
    <row r="404">
      <c r="A404" s="15" t="inlineStr">
        <is>
          <t>SL0400</t>
        </is>
      </c>
      <c r="B404" s="16" t="n">
        <v>45551</v>
      </c>
      <c r="C404" s="15" t="inlineStr">
        <is>
          <t>2024-09</t>
        </is>
      </c>
      <c r="D404" s="15" t="n">
        <v>2024</v>
      </c>
      <c r="E404" s="15" t="inlineStr">
        <is>
          <t>Land</t>
        </is>
      </c>
      <c r="F404" s="15" t="inlineStr">
        <is>
          <t>Ancillary charge</t>
        </is>
      </c>
      <c r="G404" s="15" t="inlineStr">
        <is>
          <t>Land: corner piece premium</t>
        </is>
      </c>
      <c r="H404" s="15" t="inlineStr">
        <is>
          <t>BP-C0100</t>
        </is>
      </c>
      <c r="I404" s="15" t="inlineStr">
        <is>
          <t>Mr Braimoh Ayomide Favour</t>
        </is>
      </c>
      <c r="J404" s="17" t="n">
        <v>135000</v>
      </c>
      <c r="K404" s="15" t="inlineStr">
        <is>
          <t>Allen Branch</t>
        </is>
      </c>
      <c r="L404" s="15" t="inlineStr">
        <is>
          <t>Primary: monthly turnover register</t>
        </is>
      </c>
      <c r="M404" s="15" t="inlineStr">
        <is>
          <t>BAAY PROJECTS FINANCIALS 2024.xlsx</t>
        </is>
      </c>
      <c r="N404" s="15" t="inlineStr">
        <is>
          <t>SEPTEMBER TURNOVER</t>
        </is>
      </c>
      <c r="O404" s="15" t="n">
        <v>21</v>
      </c>
      <c r="P404" s="15" t="inlineStr">
        <is>
          <t>16/09/2024</t>
        </is>
      </c>
      <c r="Q404" s="15" t="n"/>
      <c r="R404" s="15" t="n"/>
    </row>
    <row r="405">
      <c r="A405" s="15" t="inlineStr">
        <is>
          <t>SL0401</t>
        </is>
      </c>
      <c r="B405" s="16" t="n">
        <v>45551</v>
      </c>
      <c r="C405" s="15" t="inlineStr">
        <is>
          <t>2024-09</t>
        </is>
      </c>
      <c r="D405" s="15" t="n">
        <v>2024</v>
      </c>
      <c r="E405" s="15" t="inlineStr">
        <is>
          <t>Land</t>
        </is>
      </c>
      <c r="F405" s="15" t="inlineStr">
        <is>
          <t>Plot / unit price</t>
        </is>
      </c>
      <c r="G405" s="15" t="inlineStr">
        <is>
          <t>Green City Phase 3 (Omu-Epe)</t>
        </is>
      </c>
      <c r="H405" s="15" t="inlineStr">
        <is>
          <t>BP-C0115</t>
        </is>
      </c>
      <c r="I405" s="15" t="inlineStr">
        <is>
          <t>Mrs King Lavonda</t>
        </is>
      </c>
      <c r="J405" s="17" t="n">
        <v>1100000</v>
      </c>
      <c r="K405" s="15" t="inlineStr">
        <is>
          <t>Allen Branch</t>
        </is>
      </c>
      <c r="L405" s="15" t="inlineStr">
        <is>
          <t>Primary: monthly turnover register</t>
        </is>
      </c>
      <c r="M405" s="15" t="inlineStr">
        <is>
          <t>BAAY PROJECTS FINANCIALS 2024.xlsx</t>
        </is>
      </c>
      <c r="N405" s="15" t="inlineStr">
        <is>
          <t>SEPTEMBER TURNOVER</t>
        </is>
      </c>
      <c r="O405" s="15" t="n">
        <v>22</v>
      </c>
      <c r="P405" s="15" t="inlineStr">
        <is>
          <t>16/09/2024</t>
        </is>
      </c>
      <c r="Q405" s="15" t="inlineStr">
        <is>
          <t>MRS ABIMBOLA r135</t>
        </is>
      </c>
      <c r="R405" s="15" t="n"/>
    </row>
    <row r="406">
      <c r="A406" s="15" t="inlineStr">
        <is>
          <t>SL0402</t>
        </is>
      </c>
      <c r="B406" s="16" t="n">
        <v>45552</v>
      </c>
      <c r="C406" s="15" t="inlineStr">
        <is>
          <t>2024-09</t>
        </is>
      </c>
      <c r="D406" s="15" t="n">
        <v>2024</v>
      </c>
      <c r="E406" s="15" t="inlineStr">
        <is>
          <t>Land</t>
        </is>
      </c>
      <c r="F406" s="15" t="inlineStr">
        <is>
          <t>Plot / unit price</t>
        </is>
      </c>
      <c r="G406" s="15" t="inlineStr">
        <is>
          <t>Green City Phase 3 (Omu-Epe)</t>
        </is>
      </c>
      <c r="H406" s="15" t="inlineStr">
        <is>
          <t>BP-C0124</t>
        </is>
      </c>
      <c r="I406" s="15" t="inlineStr">
        <is>
          <t>Miss Thomas Oluwabukola Comfort</t>
        </is>
      </c>
      <c r="J406" s="17" t="n">
        <v>200000</v>
      </c>
      <c r="K406" s="15" t="inlineStr">
        <is>
          <t>Allen Branch</t>
        </is>
      </c>
      <c r="L406" s="15" t="inlineStr">
        <is>
          <t>Primary: monthly turnover register</t>
        </is>
      </c>
      <c r="M406" s="15" t="inlineStr">
        <is>
          <t>BAAY PROJECTS FINANCIALS 2024.xlsx</t>
        </is>
      </c>
      <c r="N406" s="15" t="inlineStr">
        <is>
          <t>SEPTEMBER TURNOVER</t>
        </is>
      </c>
      <c r="O406" s="15" t="n">
        <v>23</v>
      </c>
      <c r="P406" s="15" t="inlineStr">
        <is>
          <t>17/09/2024</t>
        </is>
      </c>
      <c r="Q406" s="15" t="inlineStr">
        <is>
          <t>MR PELUMI r18</t>
        </is>
      </c>
      <c r="R406" s="15" t="n"/>
    </row>
    <row r="407">
      <c r="A407" s="15" t="inlineStr">
        <is>
          <t>SL0403</t>
        </is>
      </c>
      <c r="B407" s="16" t="n">
        <v>45552</v>
      </c>
      <c r="C407" s="15" t="inlineStr">
        <is>
          <t>2024-09</t>
        </is>
      </c>
      <c r="D407" s="15" t="n">
        <v>2024</v>
      </c>
      <c r="E407" s="15" t="inlineStr">
        <is>
          <t>Land</t>
        </is>
      </c>
      <c r="F407" s="15" t="inlineStr">
        <is>
          <t>Plot / unit price</t>
        </is>
      </c>
      <c r="G407" s="15" t="inlineStr">
        <is>
          <t>Green City Phase 2 (Idobi, Ketu-Epe)</t>
        </is>
      </c>
      <c r="H407" s="15" t="inlineStr">
        <is>
          <t>BP-C0125</t>
        </is>
      </c>
      <c r="I407" s="15" t="inlineStr">
        <is>
          <t>Mrs Adelaja-Idowu Mosebolatan Tomilayo</t>
        </is>
      </c>
      <c r="J407" s="17" t="n">
        <v>12800000</v>
      </c>
      <c r="K407" s="15" t="inlineStr">
        <is>
          <t>Allen Branch</t>
        </is>
      </c>
      <c r="L407" s="15" t="inlineStr">
        <is>
          <t>Primary: monthly turnover register</t>
        </is>
      </c>
      <c r="M407" s="15" t="inlineStr">
        <is>
          <t>BAAY PROJECTS FINANCIALS 2024.xlsx</t>
        </is>
      </c>
      <c r="N407" s="15" t="inlineStr">
        <is>
          <t>SEPTEMBER TURNOVER</t>
        </is>
      </c>
      <c r="O407" s="15" t="n">
        <v>24</v>
      </c>
      <c r="P407" s="15" t="inlineStr">
        <is>
          <t>17/09/2024</t>
        </is>
      </c>
      <c r="Q407" s="15" t="n"/>
      <c r="R407" s="15" t="n"/>
    </row>
    <row r="408">
      <c r="A408" s="15" t="inlineStr">
        <is>
          <t>SL0404</t>
        </is>
      </c>
      <c r="B408" s="16" t="n">
        <v>45553</v>
      </c>
      <c r="C408" s="15" t="inlineStr">
        <is>
          <t>2024-09</t>
        </is>
      </c>
      <c r="D408" s="15" t="n">
        <v>2024</v>
      </c>
      <c r="E408" s="15" t="inlineStr">
        <is>
          <t>Land</t>
        </is>
      </c>
      <c r="F408" s="15" t="inlineStr">
        <is>
          <t>Ancillary charge</t>
        </is>
      </c>
      <c r="G408" s="15" t="inlineStr">
        <is>
          <t>Land: corner piece premium</t>
        </is>
      </c>
      <c r="H408" s="15" t="inlineStr">
        <is>
          <t>BP-C0096</t>
        </is>
      </c>
      <c r="I408" s="15" t="inlineStr">
        <is>
          <t>Mrs Lawani Opemipo Lasode</t>
        </is>
      </c>
      <c r="J408" s="17" t="n">
        <v>135000</v>
      </c>
      <c r="K408" s="15" t="inlineStr">
        <is>
          <t>Allen Branch</t>
        </is>
      </c>
      <c r="L408" s="15" t="inlineStr">
        <is>
          <t>Primary: monthly turnover register</t>
        </is>
      </c>
      <c r="M408" s="15" t="inlineStr">
        <is>
          <t>BAAY PROJECTS FINANCIALS 2024.xlsx</t>
        </is>
      </c>
      <c r="N408" s="15" t="inlineStr">
        <is>
          <t>SEPTEMBER TURNOVER</t>
        </is>
      </c>
      <c r="O408" s="15" t="n">
        <v>25</v>
      </c>
      <c r="P408" s="15" t="inlineStr">
        <is>
          <t>18/09/2024</t>
        </is>
      </c>
      <c r="Q408" s="15" t="n"/>
      <c r="R408" s="15" t="n"/>
    </row>
    <row r="409">
      <c r="A409" s="15" t="inlineStr">
        <is>
          <t>SL0405</t>
        </is>
      </c>
      <c r="B409" s="16" t="n">
        <v>45554</v>
      </c>
      <c r="C409" s="15" t="inlineStr">
        <is>
          <t>2024-09</t>
        </is>
      </c>
      <c r="D409" s="15" t="n">
        <v>2024</v>
      </c>
      <c r="E409" s="15" t="inlineStr">
        <is>
          <t>Land</t>
        </is>
      </c>
      <c r="F409" s="15" t="inlineStr">
        <is>
          <t>Ancillary charge</t>
        </is>
      </c>
      <c r="G409" s="15" t="inlineStr">
        <is>
          <t>Land: corner piece premium</t>
        </is>
      </c>
      <c r="H409" s="15" t="inlineStr">
        <is>
          <t>BP-C0079</t>
        </is>
      </c>
      <c r="I409" s="15" t="inlineStr">
        <is>
          <t>Miss Ukachi Oluchi Florence</t>
        </is>
      </c>
      <c r="J409" s="17" t="n">
        <v>135000</v>
      </c>
      <c r="K409" s="15" t="inlineStr">
        <is>
          <t>Magodo Branch</t>
        </is>
      </c>
      <c r="L409" s="15" t="inlineStr">
        <is>
          <t>Primary: monthly turnover register</t>
        </is>
      </c>
      <c r="M409" s="15" t="inlineStr">
        <is>
          <t>BAAY PROJECTS FINANCIALS 2024.xlsx</t>
        </is>
      </c>
      <c r="N409" s="15" t="inlineStr">
        <is>
          <t>SEPTEMBER TURNOVER</t>
        </is>
      </c>
      <c r="O409" s="15" t="n">
        <v>13</v>
      </c>
      <c r="P409" s="15" t="inlineStr">
        <is>
          <t>19/09/2024</t>
        </is>
      </c>
      <c r="Q409" s="15" t="n"/>
      <c r="R409" s="15" t="n"/>
    </row>
    <row r="410">
      <c r="A410" s="15" t="inlineStr">
        <is>
          <t>SL0406</t>
        </is>
      </c>
      <c r="B410" s="16" t="n">
        <v>45554</v>
      </c>
      <c r="C410" s="15" t="inlineStr">
        <is>
          <t>2024-09</t>
        </is>
      </c>
      <c r="D410" s="15" t="n">
        <v>2024</v>
      </c>
      <c r="E410" s="15" t="inlineStr">
        <is>
          <t>Land</t>
        </is>
      </c>
      <c r="F410" s="15" t="inlineStr">
        <is>
          <t>Ancillary charge</t>
        </is>
      </c>
      <c r="G410" s="15" t="inlineStr">
        <is>
          <t>Land: corner piece premium</t>
        </is>
      </c>
      <c r="H410" s="15" t="inlineStr">
        <is>
          <t>BP-C0088</t>
        </is>
      </c>
      <c r="I410" s="15" t="inlineStr">
        <is>
          <t>Mr Komolafe Leonard Oluwashola</t>
        </is>
      </c>
      <c r="J410" s="17" t="n">
        <v>135000</v>
      </c>
      <c r="K410" s="15" t="inlineStr">
        <is>
          <t>Allen Branch</t>
        </is>
      </c>
      <c r="L410" s="15" t="inlineStr">
        <is>
          <t>Primary: monthly turnover register</t>
        </is>
      </c>
      <c r="M410" s="15" t="inlineStr">
        <is>
          <t>BAAY PROJECTS FINANCIALS 2024.xlsx</t>
        </is>
      </c>
      <c r="N410" s="15" t="inlineStr">
        <is>
          <t>SEPTEMBER TURNOVER</t>
        </is>
      </c>
      <c r="O410" s="15" t="n">
        <v>26</v>
      </c>
      <c r="P410" s="15" t="inlineStr">
        <is>
          <t>19/09/2024</t>
        </is>
      </c>
      <c r="Q410" s="15" t="n"/>
      <c r="R410" s="15" t="n"/>
    </row>
    <row r="411">
      <c r="A411" s="15" t="inlineStr">
        <is>
          <t>SL0407</t>
        </is>
      </c>
      <c r="B411" s="16" t="n">
        <v>45554</v>
      </c>
      <c r="C411" s="15" t="inlineStr">
        <is>
          <t>2024-09</t>
        </is>
      </c>
      <c r="D411" s="15" t="n">
        <v>2024</v>
      </c>
      <c r="E411" s="15" t="inlineStr">
        <is>
          <t>Land</t>
        </is>
      </c>
      <c r="F411" s="15" t="inlineStr">
        <is>
          <t>Ancillary charge</t>
        </is>
      </c>
      <c r="G411" s="15" t="inlineStr">
        <is>
          <t>Land: corner piece premium</t>
        </is>
      </c>
      <c r="H411" s="15" t="inlineStr">
        <is>
          <t>BP-C0081</t>
        </is>
      </c>
      <c r="I411" s="15" t="inlineStr">
        <is>
          <t>Mr Ukachi Godfrey Ndukaku</t>
        </is>
      </c>
      <c r="J411" s="17" t="n">
        <v>135000</v>
      </c>
      <c r="K411" s="15" t="inlineStr">
        <is>
          <t>Magodo Branch</t>
        </is>
      </c>
      <c r="L411" s="15" t="inlineStr">
        <is>
          <t>Primary: monthly turnover register</t>
        </is>
      </c>
      <c r="M411" s="15" t="inlineStr">
        <is>
          <t>BAAY PROJECTS FINANCIALS 2024.xlsx</t>
        </is>
      </c>
      <c r="N411" s="15" t="inlineStr">
        <is>
          <t>SEPTEMBER TURNOVER</t>
        </is>
      </c>
      <c r="O411" s="15" t="n">
        <v>12</v>
      </c>
      <c r="P411" s="15" t="inlineStr">
        <is>
          <t>19/09/2024</t>
        </is>
      </c>
      <c r="Q411" s="15" t="n"/>
      <c r="R411" s="15" t="n"/>
    </row>
    <row r="412">
      <c r="A412" s="15" t="inlineStr">
        <is>
          <t>SL0408</t>
        </is>
      </c>
      <c r="B412" s="16" t="n">
        <v>45555</v>
      </c>
      <c r="C412" s="15" t="inlineStr">
        <is>
          <t>2024-09</t>
        </is>
      </c>
      <c r="D412" s="15" t="n">
        <v>2024</v>
      </c>
      <c r="E412" s="15" t="inlineStr">
        <is>
          <t>Land</t>
        </is>
      </c>
      <c r="F412" s="15" t="inlineStr">
        <is>
          <t>Plot / unit price</t>
        </is>
      </c>
      <c r="G412" s="15" t="inlineStr">
        <is>
          <t>Green City Phase 3 (Omu-Epe)</t>
        </is>
      </c>
      <c r="H412" s="15" t="inlineStr">
        <is>
          <t>BP-C0121</t>
        </is>
      </c>
      <c r="I412" s="15" t="inlineStr">
        <is>
          <t>Mr Nweze Valentine Oluebube</t>
        </is>
      </c>
      <c r="J412" s="17" t="n">
        <v>3000000</v>
      </c>
      <c r="K412" s="15" t="inlineStr">
        <is>
          <t>Allen Branch</t>
        </is>
      </c>
      <c r="L412" s="15" t="inlineStr">
        <is>
          <t>Primary: monthly turnover register</t>
        </is>
      </c>
      <c r="M412" s="15" t="inlineStr">
        <is>
          <t>BAAY PROJECTS FINANCIALS 2024.xlsx</t>
        </is>
      </c>
      <c r="N412" s="15" t="inlineStr">
        <is>
          <t>SEPTEMBER TURNOVER</t>
        </is>
      </c>
      <c r="O412" s="15" t="n">
        <v>27</v>
      </c>
      <c r="P412" s="15" t="inlineStr">
        <is>
          <t>20/09/2024</t>
        </is>
      </c>
      <c r="Q412" s="15" t="inlineStr">
        <is>
          <t>MS BOLANLE r102</t>
        </is>
      </c>
      <c r="R412" s="15" t="n"/>
    </row>
    <row r="413">
      <c r="A413" s="15" t="inlineStr">
        <is>
          <t>SL0409</t>
        </is>
      </c>
      <c r="B413" s="16" t="n">
        <v>45560</v>
      </c>
      <c r="C413" s="15" t="inlineStr">
        <is>
          <t>2024-09</t>
        </is>
      </c>
      <c r="D413" s="15" t="n">
        <v>2024</v>
      </c>
      <c r="E413" s="15" t="inlineStr">
        <is>
          <t>Land</t>
        </is>
      </c>
      <c r="F413" s="15" t="inlineStr">
        <is>
          <t>Plot / unit price</t>
        </is>
      </c>
      <c r="G413" s="15" t="inlineStr">
        <is>
          <t>Green City Phase 3 (Omu-Epe)</t>
        </is>
      </c>
      <c r="H413" s="15" t="inlineStr">
        <is>
          <t>BP-C0118</t>
        </is>
      </c>
      <c r="I413" s="15" t="inlineStr">
        <is>
          <t>Pastor Kingsley Ikechukwu &amp; Deaconess Rose Uju Ikechukwu</t>
        </is>
      </c>
      <c r="J413" s="17" t="n">
        <v>1000000</v>
      </c>
      <c r="K413" s="15" t="inlineStr">
        <is>
          <t>Magodo Branch</t>
        </is>
      </c>
      <c r="L413" s="15" t="inlineStr">
        <is>
          <t>Primary: monthly turnover register</t>
        </is>
      </c>
      <c r="M413" s="15" t="inlineStr">
        <is>
          <t>BAAY PROJECTS FINANCIALS 2024.xlsx</t>
        </is>
      </c>
      <c r="N413" s="15" t="inlineStr">
        <is>
          <t>SEPTEMBER TURNOVER</t>
        </is>
      </c>
      <c r="O413" s="15" t="n">
        <v>14</v>
      </c>
      <c r="P413" s="15" t="inlineStr">
        <is>
          <t>25/09/2024</t>
        </is>
      </c>
      <c r="Q413" s="15" t="inlineStr">
        <is>
          <t>MS ADENIKE r17</t>
        </is>
      </c>
      <c r="R413" s="15" t="n"/>
    </row>
    <row r="414">
      <c r="A414" s="15" t="inlineStr">
        <is>
          <t>SL0410</t>
        </is>
      </c>
      <c r="B414" s="16" t="n">
        <v>45561</v>
      </c>
      <c r="C414" s="15" t="inlineStr">
        <is>
          <t>2024-09</t>
        </is>
      </c>
      <c r="D414" s="15" t="n">
        <v>2024</v>
      </c>
      <c r="E414" s="15" t="inlineStr">
        <is>
          <t>Land</t>
        </is>
      </c>
      <c r="F414" s="15" t="inlineStr">
        <is>
          <t>Plot / unit price</t>
        </is>
      </c>
      <c r="G414" s="15" t="inlineStr">
        <is>
          <t>Green City Phase 2 (Idobi, Ketu-Epe)</t>
        </is>
      </c>
      <c r="H414" s="15" t="inlineStr">
        <is>
          <t>BP-C0126</t>
        </is>
      </c>
      <c r="I414" s="15" t="inlineStr">
        <is>
          <t>Miss Ogundipe Motunrayo Fransisca</t>
        </is>
      </c>
      <c r="J414" s="17" t="n">
        <v>1000000</v>
      </c>
      <c r="K414" s="15" t="inlineStr">
        <is>
          <t>Allen Branch</t>
        </is>
      </c>
      <c r="L414" s="15" t="inlineStr">
        <is>
          <t>Primary: monthly turnover register</t>
        </is>
      </c>
      <c r="M414" s="15" t="inlineStr">
        <is>
          <t>BAAY PROJECTS FINANCIALS 2024.xlsx</t>
        </is>
      </c>
      <c r="N414" s="15" t="inlineStr">
        <is>
          <t>SEPTEMBER TURNOVER</t>
        </is>
      </c>
      <c r="O414" s="15" t="n">
        <v>28</v>
      </c>
      <c r="P414" s="15" t="inlineStr">
        <is>
          <t>26/09/2024</t>
        </is>
      </c>
      <c r="Q414" s="15" t="inlineStr">
        <is>
          <t>MD r57</t>
        </is>
      </c>
      <c r="R414" s="15" t="n"/>
    </row>
    <row r="415">
      <c r="A415" s="15" t="inlineStr">
        <is>
          <t>SL0411</t>
        </is>
      </c>
      <c r="B415" s="16" t="n">
        <v>45561</v>
      </c>
      <c r="C415" s="15" t="inlineStr">
        <is>
          <t>2024-09</t>
        </is>
      </c>
      <c r="D415" s="15" t="n">
        <v>2024</v>
      </c>
      <c r="E415" s="15" t="inlineStr">
        <is>
          <t>Land</t>
        </is>
      </c>
      <c r="F415" s="15" t="inlineStr">
        <is>
          <t>Plot / unit price</t>
        </is>
      </c>
      <c r="G415" s="15" t="inlineStr">
        <is>
          <t>Green City Phase 2 (Idobi, Ketu-Epe)</t>
        </is>
      </c>
      <c r="H415" s="15" t="inlineStr">
        <is>
          <t>BP-C0100</t>
        </is>
      </c>
      <c r="I415" s="15" t="inlineStr">
        <is>
          <t>Mr Braimoh Ayomide Favour</t>
        </is>
      </c>
      <c r="J415" s="17" t="n">
        <v>617500</v>
      </c>
      <c r="K415" s="15" t="inlineStr">
        <is>
          <t>Allen Branch</t>
        </is>
      </c>
      <c r="L415" s="15" t="inlineStr">
        <is>
          <t>Primary: monthly turnover register</t>
        </is>
      </c>
      <c r="M415" s="15" t="inlineStr">
        <is>
          <t>BAAY PROJECTS FINANCIALS 2024.xlsx</t>
        </is>
      </c>
      <c r="N415" s="15" t="inlineStr">
        <is>
          <t>SEPTEMBER TURNOVER</t>
        </is>
      </c>
      <c r="O415" s="15" t="n">
        <v>29</v>
      </c>
      <c r="P415" s="15" t="inlineStr">
        <is>
          <t>26/09/2024</t>
        </is>
      </c>
      <c r="Q415" s="15" t="inlineStr">
        <is>
          <t>MS MAYOWA BRAIMOH r29</t>
        </is>
      </c>
      <c r="R415" s="15" t="n"/>
    </row>
    <row r="416">
      <c r="A416" s="15" t="inlineStr">
        <is>
          <t>SL0412</t>
        </is>
      </c>
      <c r="B416" s="16" t="n">
        <v>45561</v>
      </c>
      <c r="C416" s="15" t="inlineStr">
        <is>
          <t>2024-09</t>
        </is>
      </c>
      <c r="D416" s="15" t="n">
        <v>2024</v>
      </c>
      <c r="E416" s="15" t="inlineStr">
        <is>
          <t>Land</t>
        </is>
      </c>
      <c r="F416" s="15" t="inlineStr">
        <is>
          <t>Plot / unit price</t>
        </is>
      </c>
      <c r="G416" s="15" t="inlineStr">
        <is>
          <t>Green City Phase 3 (Omu-Epe)</t>
        </is>
      </c>
      <c r="H416" s="15" t="inlineStr">
        <is>
          <t>BP-C0118</t>
        </is>
      </c>
      <c r="I416" s="15" t="inlineStr">
        <is>
          <t>Pastor Kingsley Ikechukwu &amp; Deaconess Rose Uju Ikechukwu</t>
        </is>
      </c>
      <c r="J416" s="17" t="n">
        <v>800000</v>
      </c>
      <c r="K416" s="15" t="inlineStr">
        <is>
          <t>Magodo Branch</t>
        </is>
      </c>
      <c r="L416" s="15" t="inlineStr">
        <is>
          <t>Primary: monthly turnover register</t>
        </is>
      </c>
      <c r="M416" s="15" t="inlineStr">
        <is>
          <t>BAAY PROJECTS FINANCIALS 2024.xlsx</t>
        </is>
      </c>
      <c r="N416" s="15" t="inlineStr">
        <is>
          <t>SEPTEMBER TURNOVER</t>
        </is>
      </c>
      <c r="O416" s="15" t="n">
        <v>15</v>
      </c>
      <c r="P416" s="15" t="inlineStr">
        <is>
          <t>26/09/2024</t>
        </is>
      </c>
      <c r="Q416" s="15" t="inlineStr">
        <is>
          <t>MS ADENIKE r18</t>
        </is>
      </c>
      <c r="R416" s="15" t="n"/>
    </row>
    <row r="417">
      <c r="A417" s="15" t="inlineStr">
        <is>
          <t>SL0413</t>
        </is>
      </c>
      <c r="B417" s="16" t="n">
        <v>45562</v>
      </c>
      <c r="C417" s="15" t="inlineStr">
        <is>
          <t>2024-09</t>
        </is>
      </c>
      <c r="D417" s="15" t="n">
        <v>2024</v>
      </c>
      <c r="E417" s="15" t="inlineStr">
        <is>
          <t>Land</t>
        </is>
      </c>
      <c r="F417" s="15" t="inlineStr">
        <is>
          <t>Plot / unit price</t>
        </is>
      </c>
      <c r="G417" s="15" t="inlineStr">
        <is>
          <t>Green City Phase 2 (Idobi, Ketu-Epe)</t>
        </is>
      </c>
      <c r="H417" s="15" t="inlineStr">
        <is>
          <t>BP-C0068</t>
        </is>
      </c>
      <c r="I417" s="15" t="inlineStr">
        <is>
          <t>Miss Ebhotah sharon Aisosa</t>
        </is>
      </c>
      <c r="J417" s="17" t="n">
        <v>500000</v>
      </c>
      <c r="K417" s="15" t="inlineStr">
        <is>
          <t>Magodo Branch</t>
        </is>
      </c>
      <c r="L417" s="15" t="inlineStr">
        <is>
          <t>Primary: monthly turnover register</t>
        </is>
      </c>
      <c r="M417" s="15" t="inlineStr">
        <is>
          <t>BAAY PROJECTS FINANCIALS 2024.xlsx</t>
        </is>
      </c>
      <c r="N417" s="15" t="inlineStr">
        <is>
          <t>SEPTEMBER TURNOVER</t>
        </is>
      </c>
      <c r="O417" s="15" t="n">
        <v>16</v>
      </c>
      <c r="P417" s="15" t="inlineStr">
        <is>
          <t>27/09/2024</t>
        </is>
      </c>
      <c r="Q417" s="15" t="inlineStr">
        <is>
          <t>MS BLESSING r106</t>
        </is>
      </c>
      <c r="R417" s="15" t="n"/>
    </row>
    <row r="418">
      <c r="A418" s="15" t="inlineStr">
        <is>
          <t>SL0414</t>
        </is>
      </c>
      <c r="B418" s="16" t="n">
        <v>45562</v>
      </c>
      <c r="C418" s="15" t="inlineStr">
        <is>
          <t>2024-09</t>
        </is>
      </c>
      <c r="D418" s="15" t="n">
        <v>2024</v>
      </c>
      <c r="E418" s="15" t="inlineStr">
        <is>
          <t>Land</t>
        </is>
      </c>
      <c r="F418" s="15" t="inlineStr">
        <is>
          <t>Plot / unit price</t>
        </is>
      </c>
      <c r="G418" s="15" t="inlineStr">
        <is>
          <t>Green City Phase 3 (Omu-Epe)</t>
        </is>
      </c>
      <c r="H418" s="15" t="inlineStr">
        <is>
          <t>BP-C0127</t>
        </is>
      </c>
      <c r="I418" s="15" t="inlineStr">
        <is>
          <t>Mr Adigun Muyiwa &amp; Mrs Adigun Folashade Oluwaseun</t>
        </is>
      </c>
      <c r="J418" s="17" t="n">
        <v>500000</v>
      </c>
      <c r="K418" s="15" t="inlineStr">
        <is>
          <t>Allen Branch</t>
        </is>
      </c>
      <c r="L418" s="15" t="inlineStr">
        <is>
          <t>Primary: monthly turnover register</t>
        </is>
      </c>
      <c r="M418" s="15" t="inlineStr">
        <is>
          <t>BAAY PROJECTS FINANCIALS 2024.xlsx</t>
        </is>
      </c>
      <c r="N418" s="15" t="inlineStr">
        <is>
          <t>SEPTEMBER TURNOVER</t>
        </is>
      </c>
      <c r="O418" s="15" t="n">
        <v>33</v>
      </c>
      <c r="P418" s="15" t="inlineStr">
        <is>
          <t>27/09/2024</t>
        </is>
      </c>
      <c r="Q418" s="15" t="inlineStr">
        <is>
          <t>MR AYENI MAYOWA r2</t>
        </is>
      </c>
      <c r="R418" s="15" t="n"/>
    </row>
    <row r="419">
      <c r="A419" s="15" t="inlineStr">
        <is>
          <t>SL0415</t>
        </is>
      </c>
      <c r="B419" s="16" t="n">
        <v>45562</v>
      </c>
      <c r="C419" s="15" t="inlineStr">
        <is>
          <t>2024-09</t>
        </is>
      </c>
      <c r="D419" s="15" t="n">
        <v>2024</v>
      </c>
      <c r="E419" s="15" t="inlineStr">
        <is>
          <t>Land</t>
        </is>
      </c>
      <c r="F419" s="15" t="inlineStr">
        <is>
          <t>Plot / unit price</t>
        </is>
      </c>
      <c r="G419" s="15" t="inlineStr">
        <is>
          <t>Green City Phase 2 (Idobi, Ketu-Epe)</t>
        </is>
      </c>
      <c r="H419" s="15" t="inlineStr">
        <is>
          <t>BP-C0128</t>
        </is>
      </c>
      <c r="I419" s="15" t="inlineStr">
        <is>
          <t>Mr Afolabi Samuel safe &amp; Mrs Afolabi Temitope Iyanuoluwa</t>
        </is>
      </c>
      <c r="J419" s="17" t="n">
        <v>5850000</v>
      </c>
      <c r="K419" s="15" t="inlineStr">
        <is>
          <t>Allen Branch</t>
        </is>
      </c>
      <c r="L419" s="15" t="inlineStr">
        <is>
          <t>Primary: monthly turnover register</t>
        </is>
      </c>
      <c r="M419" s="15" t="inlineStr">
        <is>
          <t>BAAY PROJECTS FINANCIALS 2024.xlsx</t>
        </is>
      </c>
      <c r="N419" s="15" t="inlineStr">
        <is>
          <t>SEPTEMBER TURNOVER</t>
        </is>
      </c>
      <c r="O419" s="15" t="n">
        <v>31</v>
      </c>
      <c r="P419" s="15" t="inlineStr">
        <is>
          <t>27/09/2024</t>
        </is>
      </c>
      <c r="Q419" s="15" t="inlineStr">
        <is>
          <t>MRS ABIMBOLA r147, OLAIYA r26</t>
        </is>
      </c>
      <c r="R419" s="15" t="n"/>
    </row>
    <row r="420">
      <c r="A420" s="15" t="inlineStr">
        <is>
          <t>SL0416</t>
        </is>
      </c>
      <c r="B420" s="16" t="n">
        <v>45562</v>
      </c>
      <c r="C420" s="15" t="inlineStr">
        <is>
          <t>2024-09</t>
        </is>
      </c>
      <c r="D420" s="15" t="n">
        <v>2024</v>
      </c>
      <c r="E420" s="15" t="inlineStr">
        <is>
          <t>Land</t>
        </is>
      </c>
      <c r="F420" s="15" t="inlineStr">
        <is>
          <t>Plot / unit price</t>
        </is>
      </c>
      <c r="G420" s="15" t="inlineStr">
        <is>
          <t>Heritage Garden</t>
        </is>
      </c>
      <c r="H420" s="15" t="inlineStr">
        <is>
          <t>BP-C0129</t>
        </is>
      </c>
      <c r="I420" s="15" t="inlineStr">
        <is>
          <t>Mr Tedunjaye Michael Ilerioluwa</t>
        </is>
      </c>
      <c r="J420" s="17" t="n">
        <v>250000</v>
      </c>
      <c r="K420" s="15" t="inlineStr">
        <is>
          <t>Allen Branch</t>
        </is>
      </c>
      <c r="L420" s="15" t="inlineStr">
        <is>
          <t>Primary: monthly turnover register</t>
        </is>
      </c>
      <c r="M420" s="15" t="inlineStr">
        <is>
          <t>BAAY PROJECTS FINANCIALS 2024.xlsx</t>
        </is>
      </c>
      <c r="N420" s="15" t="inlineStr">
        <is>
          <t>SEPTEMBER TURNOVER</t>
        </is>
      </c>
      <c r="O420" s="15" t="n">
        <v>32</v>
      </c>
      <c r="P420" s="15" t="inlineStr">
        <is>
          <t>27/09/2024</t>
        </is>
      </c>
      <c r="Q420" s="15" t="inlineStr">
        <is>
          <t>MS TOBI AJAYI r23</t>
        </is>
      </c>
      <c r="R420" s="15" t="n"/>
    </row>
    <row r="421">
      <c r="A421" s="15" t="inlineStr">
        <is>
          <t>SL0417</t>
        </is>
      </c>
      <c r="B421" s="16" t="n">
        <v>45562</v>
      </c>
      <c r="C421" s="15" t="inlineStr">
        <is>
          <t>2024-09</t>
        </is>
      </c>
      <c r="D421" s="15" t="n">
        <v>2024</v>
      </c>
      <c r="E421" s="15" t="inlineStr">
        <is>
          <t>Land</t>
        </is>
      </c>
      <c r="F421" s="15" t="inlineStr">
        <is>
          <t>Plot / unit price</t>
        </is>
      </c>
      <c r="G421" s="15" t="inlineStr">
        <is>
          <t>Heritage Garden</t>
        </is>
      </c>
      <c r="H421" s="15" t="inlineStr">
        <is>
          <t>BP-C0130</t>
        </is>
      </c>
      <c r="I421" s="15" t="inlineStr">
        <is>
          <t>Mrs Akindele Felicia Oluwatoyin</t>
        </is>
      </c>
      <c r="J421" s="17" t="n">
        <v>150000</v>
      </c>
      <c r="K421" s="15" t="inlineStr">
        <is>
          <t>Allen Branch</t>
        </is>
      </c>
      <c r="L421" s="15" t="inlineStr">
        <is>
          <t>Primary: monthly turnover register</t>
        </is>
      </c>
      <c r="M421" s="15" t="inlineStr">
        <is>
          <t>BAAY PROJECTS FINANCIALS 2024.xlsx</t>
        </is>
      </c>
      <c r="N421" s="15" t="inlineStr">
        <is>
          <t>SEPTEMBER TURNOVER</t>
        </is>
      </c>
      <c r="O421" s="15" t="n">
        <v>30</v>
      </c>
      <c r="P421" s="15" t="inlineStr">
        <is>
          <t>27/09/2024</t>
        </is>
      </c>
      <c r="Q421" s="15" t="inlineStr">
        <is>
          <t>MS FISAYO r38</t>
        </is>
      </c>
      <c r="R421" s="15" t="n"/>
    </row>
    <row r="422">
      <c r="A422" s="15" t="inlineStr">
        <is>
          <t>SL0418</t>
        </is>
      </c>
      <c r="B422" s="16" t="n">
        <v>45562</v>
      </c>
      <c r="C422" s="15" t="inlineStr">
        <is>
          <t>2024-09</t>
        </is>
      </c>
      <c r="D422" s="15" t="n">
        <v>2024</v>
      </c>
      <c r="E422" s="15" t="inlineStr">
        <is>
          <t>Land</t>
        </is>
      </c>
      <c r="F422" s="15" t="inlineStr">
        <is>
          <t>Plot / unit price</t>
        </is>
      </c>
      <c r="G422" s="15" t="inlineStr">
        <is>
          <t>Green City Phase 3 (Omu-Epe)</t>
        </is>
      </c>
      <c r="H422" s="15" t="inlineStr">
        <is>
          <t>BP-C0131</t>
        </is>
      </c>
      <c r="I422" s="15" t="inlineStr">
        <is>
          <t>Scrapays Technologies Ltd</t>
        </is>
      </c>
      <c r="J422" s="17" t="n">
        <v>30000000</v>
      </c>
      <c r="K422" s="15" t="inlineStr">
        <is>
          <t>Allen Branch</t>
        </is>
      </c>
      <c r="L422" s="15" t="inlineStr">
        <is>
          <t>Primary: monthly turnover register</t>
        </is>
      </c>
      <c r="M422" s="15" t="inlineStr">
        <is>
          <t>BAAY PROJECTS FINANCIALS 2024.xlsx</t>
        </is>
      </c>
      <c r="N422" s="15" t="inlineStr">
        <is>
          <t>SEPTEMBER TURNOVER</t>
        </is>
      </c>
      <c r="O422" s="15" t="n">
        <v>34</v>
      </c>
      <c r="P422" s="15" t="inlineStr">
        <is>
          <t>27/09/2024</t>
        </is>
      </c>
      <c r="Q422" s="15" t="inlineStr">
        <is>
          <t>MD r58</t>
        </is>
      </c>
      <c r="R422" s="15" t="n"/>
    </row>
    <row r="423">
      <c r="A423" s="15" t="inlineStr">
        <is>
          <t>SL0419</t>
        </is>
      </c>
      <c r="B423" s="16" t="n">
        <v>45563</v>
      </c>
      <c r="C423" s="15" t="inlineStr">
        <is>
          <t>2024-08</t>
        </is>
      </c>
      <c r="D423" s="15" t="n">
        <v>2024</v>
      </c>
      <c r="E423" s="15" t="inlineStr">
        <is>
          <t>Land</t>
        </is>
      </c>
      <c r="F423" s="15" t="inlineStr">
        <is>
          <t>Plot / unit price</t>
        </is>
      </c>
      <c r="G423" s="15" t="inlineStr">
        <is>
          <t>Green City Phase 3 (Omu-Epe)</t>
        </is>
      </c>
      <c r="H423" s="15" t="inlineStr">
        <is>
          <t>BP-C0119</t>
        </is>
      </c>
      <c r="I423" s="15" t="inlineStr">
        <is>
          <t>Mr Adedapo Adekunle Solomon</t>
        </is>
      </c>
      <c r="J423" s="17" t="n">
        <v>500000</v>
      </c>
      <c r="K423" s="15" t="inlineStr">
        <is>
          <t>Magodo Branch</t>
        </is>
      </c>
      <c r="L423" s="15" t="inlineStr">
        <is>
          <t>Primary: monthly turnover register</t>
        </is>
      </c>
      <c r="M423" s="15" t="inlineStr">
        <is>
          <t>BAAY PROJECTS FINANCIALS 2024.xlsx</t>
        </is>
      </c>
      <c r="N423" s="15" t="inlineStr">
        <is>
          <t>AUGUST TURNOVER</t>
        </is>
      </c>
      <c r="O423" s="15" t="n">
        <v>26</v>
      </c>
      <c r="P423" s="15" t="inlineStr">
        <is>
          <t>28/09/2024</t>
        </is>
      </c>
      <c r="Q423" s="15" t="inlineStr">
        <is>
          <t>MS TAIWO r33, MS TOBI AJAYI r12</t>
        </is>
      </c>
      <c r="R423" s="15" t="inlineStr">
        <is>
          <t>Date in source (28/09/2024) outside the sheet month; reported under 2024-08 per source sheet</t>
        </is>
      </c>
    </row>
    <row r="424">
      <c r="A424" s="15" t="inlineStr">
        <is>
          <t>SL0420</t>
        </is>
      </c>
      <c r="B424" s="16" t="n">
        <v>45564</v>
      </c>
      <c r="C424" s="15" t="inlineStr">
        <is>
          <t>2024-09</t>
        </is>
      </c>
      <c r="D424" s="15" t="n">
        <v>2024</v>
      </c>
      <c r="E424" s="15" t="inlineStr">
        <is>
          <t>Land</t>
        </is>
      </c>
      <c r="F424" s="15" t="inlineStr">
        <is>
          <t>Plot / unit price</t>
        </is>
      </c>
      <c r="G424" s="15" t="inlineStr">
        <is>
          <t>Green City Phase 1 (Lantaba, Ketu-Epe)</t>
        </is>
      </c>
      <c r="H424" s="15" t="inlineStr">
        <is>
          <t>BP-C0086</t>
        </is>
      </c>
      <c r="I424" s="15" t="inlineStr">
        <is>
          <t>Miss Nwobodo Miriam Chioma</t>
        </is>
      </c>
      <c r="J424" s="17" t="n">
        <v>400000</v>
      </c>
      <c r="K424" s="15" t="inlineStr">
        <is>
          <t>Allen Branch</t>
        </is>
      </c>
      <c r="L424" s="15" t="inlineStr">
        <is>
          <t>Primary: monthly turnover register</t>
        </is>
      </c>
      <c r="M424" s="15" t="inlineStr">
        <is>
          <t>BAAY PROJECTS FINANCIALS 2024.xlsx</t>
        </is>
      </c>
      <c r="N424" s="15" t="inlineStr">
        <is>
          <t>SEPTEMBER TURNOVER</t>
        </is>
      </c>
      <c r="O424" s="15" t="n">
        <v>36</v>
      </c>
      <c r="P424" s="15" t="inlineStr">
        <is>
          <t>29/09/2024</t>
        </is>
      </c>
      <c r="Q424" s="15" t="inlineStr">
        <is>
          <t>MD r59</t>
        </is>
      </c>
      <c r="R424" s="15" t="n"/>
    </row>
    <row r="425">
      <c r="A425" s="15" t="inlineStr">
        <is>
          <t>SL0421</t>
        </is>
      </c>
      <c r="B425" s="16" t="n">
        <v>45565</v>
      </c>
      <c r="C425" s="15" t="inlineStr">
        <is>
          <t>2024-09</t>
        </is>
      </c>
      <c r="D425" s="15" t="n">
        <v>2024</v>
      </c>
      <c r="E425" s="15" t="inlineStr">
        <is>
          <t>Land</t>
        </is>
      </c>
      <c r="F425" s="15" t="inlineStr">
        <is>
          <t>Plot / unit price</t>
        </is>
      </c>
      <c r="G425" s="15" t="inlineStr">
        <is>
          <t>Green City Phase 3 (Omu-Epe)</t>
        </is>
      </c>
      <c r="H425" s="15" t="inlineStr">
        <is>
          <t>BP-C0132</t>
        </is>
      </c>
      <c r="I425" s="15" t="inlineStr">
        <is>
          <t>Mr Ajayi Adekunle Temitope</t>
        </is>
      </c>
      <c r="J425" s="17" t="n">
        <v>1000000</v>
      </c>
      <c r="K425" s="15" t="inlineStr">
        <is>
          <t>Magodo Branch</t>
        </is>
      </c>
      <c r="L425" s="15" t="inlineStr">
        <is>
          <t>Primary: monthly turnover register</t>
        </is>
      </c>
      <c r="M425" s="15" t="inlineStr">
        <is>
          <t>BAAY PROJECTS FINANCIALS 2024.xlsx</t>
        </is>
      </c>
      <c r="N425" s="15" t="inlineStr">
        <is>
          <t>SEPTEMBER TURNOVER</t>
        </is>
      </c>
      <c r="O425" s="15" t="n">
        <v>17</v>
      </c>
      <c r="P425" s="15" t="inlineStr">
        <is>
          <t>30/09/2024</t>
        </is>
      </c>
      <c r="Q425" s="15" t="inlineStr">
        <is>
          <t>MS OPEYEMI ADEGOKE r2</t>
        </is>
      </c>
      <c r="R425" s="15" t="n"/>
    </row>
    <row r="426">
      <c r="A426" s="15" t="inlineStr">
        <is>
          <t>SL0422</t>
        </is>
      </c>
      <c r="B426" s="16" t="n">
        <v>45565</v>
      </c>
      <c r="C426" s="15" t="inlineStr">
        <is>
          <t>2024-09</t>
        </is>
      </c>
      <c r="D426" s="15" t="n">
        <v>2024</v>
      </c>
      <c r="E426" s="15" t="inlineStr">
        <is>
          <t>Land</t>
        </is>
      </c>
      <c r="F426" s="15" t="inlineStr">
        <is>
          <t>Plot / unit price</t>
        </is>
      </c>
      <c r="G426" s="15" t="inlineStr">
        <is>
          <t>Green City Phase 3 (Omu-Epe)</t>
        </is>
      </c>
      <c r="H426" s="15" t="inlineStr">
        <is>
          <t>BP-C0133</t>
        </is>
      </c>
      <c r="I426" s="15" t="inlineStr">
        <is>
          <t>Mr Olagbende Oluwashina Oluwaseun</t>
        </is>
      </c>
      <c r="J426" s="17" t="n">
        <v>500000</v>
      </c>
      <c r="K426" s="15" t="inlineStr">
        <is>
          <t>Magodo Branch</t>
        </is>
      </c>
      <c r="L426" s="15" t="inlineStr">
        <is>
          <t>Primary: monthly turnover register</t>
        </is>
      </c>
      <c r="M426" s="15" t="inlineStr">
        <is>
          <t>BAAY PROJECTS FINANCIALS 2024.xlsx</t>
        </is>
      </c>
      <c r="N426" s="15" t="inlineStr">
        <is>
          <t>SEPTEMBER TURNOVER</t>
        </is>
      </c>
      <c r="O426" s="15" t="n">
        <v>18</v>
      </c>
      <c r="P426" s="15" t="inlineStr">
        <is>
          <t>30/09/2024</t>
        </is>
      </c>
      <c r="Q426" s="15" t="inlineStr">
        <is>
          <t>MS AWONORIN MAYOWA r2</t>
        </is>
      </c>
      <c r="R426" s="15" t="n"/>
    </row>
    <row r="427">
      <c r="A427" s="15" t="inlineStr">
        <is>
          <t>SL0423</t>
        </is>
      </c>
      <c r="B427" s="16" t="n">
        <v>45567</v>
      </c>
      <c r="C427" s="15" t="inlineStr">
        <is>
          <t>2024-10</t>
        </is>
      </c>
      <c r="D427" s="15" t="n">
        <v>2024</v>
      </c>
      <c r="E427" s="15" t="inlineStr">
        <is>
          <t>Land</t>
        </is>
      </c>
      <c r="F427" s="15" t="inlineStr">
        <is>
          <t>Plot / unit price</t>
        </is>
      </c>
      <c r="G427" s="15" t="inlineStr">
        <is>
          <t>Green City Phase 3 (Omu-Epe)</t>
        </is>
      </c>
      <c r="H427" s="15" t="inlineStr">
        <is>
          <t>BP-C0068</t>
        </is>
      </c>
      <c r="I427" s="15" t="inlineStr">
        <is>
          <t>Miss Ebhotah Sharon Aisosa</t>
        </is>
      </c>
      <c r="J427" s="17" t="n">
        <v>1000000</v>
      </c>
      <c r="K427" s="15" t="inlineStr">
        <is>
          <t>Magodo Branch</t>
        </is>
      </c>
      <c r="L427" s="15" t="inlineStr">
        <is>
          <t>Primary: monthly turnover register</t>
        </is>
      </c>
      <c r="M427" s="15" t="inlineStr">
        <is>
          <t>BAAY PROJECTS FINANCIALS 2024.xlsx</t>
        </is>
      </c>
      <c r="N427" s="15" t="inlineStr">
        <is>
          <t>OCTOBER TURNOVER</t>
        </is>
      </c>
      <c r="O427" s="15" t="n">
        <v>7</v>
      </c>
      <c r="P427" s="15" t="inlineStr">
        <is>
          <t>2024-02-10</t>
        </is>
      </c>
      <c r="Q427" s="15" t="inlineStr">
        <is>
          <t>MS BLESSING r113</t>
        </is>
      </c>
      <c r="R427" s="15" t="n"/>
    </row>
    <row r="428">
      <c r="A428" s="15" t="inlineStr">
        <is>
          <t>SL0424</t>
        </is>
      </c>
      <c r="B428" s="16" t="n">
        <v>45567</v>
      </c>
      <c r="C428" s="15" t="inlineStr">
        <is>
          <t>2024-10</t>
        </is>
      </c>
      <c r="D428" s="15" t="n">
        <v>2024</v>
      </c>
      <c r="E428" s="15" t="inlineStr">
        <is>
          <t>Land</t>
        </is>
      </c>
      <c r="F428" s="15" t="inlineStr">
        <is>
          <t>Plot / unit price</t>
        </is>
      </c>
      <c r="G428" s="15" t="inlineStr">
        <is>
          <t>Green City Phase 3 (Omu-Epe)</t>
        </is>
      </c>
      <c r="H428" s="15" t="inlineStr">
        <is>
          <t>BP-C0026</t>
        </is>
      </c>
      <c r="I428" s="15" t="inlineStr">
        <is>
          <t>Mr &amp; Mrs Dada Adebayo</t>
        </is>
      </c>
      <c r="J428" s="17" t="n">
        <v>500000</v>
      </c>
      <c r="K428" s="15" t="inlineStr">
        <is>
          <t>Allen Branch</t>
        </is>
      </c>
      <c r="L428" s="15" t="inlineStr">
        <is>
          <t>Primary: monthly turnover register</t>
        </is>
      </c>
      <c r="M428" s="15" t="inlineStr">
        <is>
          <t>BAAY PROJECTS FINANCIALS 2024.xlsx</t>
        </is>
      </c>
      <c r="N428" s="15" t="inlineStr">
        <is>
          <t>OCTOBER TURNOVER</t>
        </is>
      </c>
      <c r="O428" s="15" t="n">
        <v>7</v>
      </c>
      <c r="P428" s="15" t="inlineStr">
        <is>
          <t>2024-02-10</t>
        </is>
      </c>
      <c r="Q428" s="15" t="inlineStr">
        <is>
          <t>MRS ABIMBOLA r154</t>
        </is>
      </c>
      <c r="R428" s="15" t="n"/>
    </row>
    <row r="429">
      <c r="A429" s="15" t="inlineStr">
        <is>
          <t>SL0425</t>
        </is>
      </c>
      <c r="B429" s="16" t="n">
        <v>45568</v>
      </c>
      <c r="C429" s="15" t="inlineStr">
        <is>
          <t>2024-10</t>
        </is>
      </c>
      <c r="D429" s="15" t="n">
        <v>2024</v>
      </c>
      <c r="E429" s="15" t="inlineStr">
        <is>
          <t>Land</t>
        </is>
      </c>
      <c r="F429" s="15" t="inlineStr">
        <is>
          <t>Plot / unit price</t>
        </is>
      </c>
      <c r="G429" s="15" t="inlineStr">
        <is>
          <t>Green City Phase 3 (Omu-Epe)</t>
        </is>
      </c>
      <c r="H429" s="15" t="inlineStr">
        <is>
          <t>BP-C0066</t>
        </is>
      </c>
      <c r="I429" s="15" t="inlineStr">
        <is>
          <t>Miss Omosanya Dotun Akeju</t>
        </is>
      </c>
      <c r="J429" s="17" t="n">
        <v>1900000</v>
      </c>
      <c r="K429" s="15" t="inlineStr">
        <is>
          <t>Allen Branch</t>
        </is>
      </c>
      <c r="L429" s="15" t="inlineStr">
        <is>
          <t>Primary: monthly turnover register</t>
        </is>
      </c>
      <c r="M429" s="15" t="inlineStr">
        <is>
          <t>BAAY PROJECTS FINANCIALS 2024.xlsx</t>
        </is>
      </c>
      <c r="N429" s="15" t="inlineStr">
        <is>
          <t>OCTOBER TURNOVER</t>
        </is>
      </c>
      <c r="O429" s="15" t="n">
        <v>8</v>
      </c>
      <c r="P429" s="15" t="inlineStr">
        <is>
          <t>2024-03-10</t>
        </is>
      </c>
      <c r="Q429" s="15" t="inlineStr">
        <is>
          <t>MS BOLANLE r110, MS BLESSING OJI r50</t>
        </is>
      </c>
      <c r="R429" s="15" t="n"/>
    </row>
    <row r="430">
      <c r="A430" s="15" t="inlineStr">
        <is>
          <t>SL0426</t>
        </is>
      </c>
      <c r="B430" s="16" t="n">
        <v>45568</v>
      </c>
      <c r="C430" s="15" t="inlineStr">
        <is>
          <t>2024-10</t>
        </is>
      </c>
      <c r="D430" s="15" t="n">
        <v>2024</v>
      </c>
      <c r="E430" s="15" t="inlineStr">
        <is>
          <t>Land</t>
        </is>
      </c>
      <c r="F430" s="15" t="inlineStr">
        <is>
          <t>Plot / unit price</t>
        </is>
      </c>
      <c r="G430" s="15" t="inlineStr">
        <is>
          <t>Green City Ibadan (Akinyele-Moniya)</t>
        </is>
      </c>
      <c r="H430" s="15" t="inlineStr">
        <is>
          <t>BP-C0030</t>
        </is>
      </c>
      <c r="I430" s="15" t="inlineStr">
        <is>
          <t>Mr Adese Akorede John</t>
        </is>
      </c>
      <c r="J430" s="17" t="n">
        <v>500000</v>
      </c>
      <c r="K430" s="15" t="inlineStr">
        <is>
          <t>Magodo Branch</t>
        </is>
      </c>
      <c r="L430" s="15" t="inlineStr">
        <is>
          <t>Primary: monthly turnover register</t>
        </is>
      </c>
      <c r="M430" s="15" t="inlineStr">
        <is>
          <t>BAAY PROJECTS FINANCIALS 2024.xlsx</t>
        </is>
      </c>
      <c r="N430" s="15" t="inlineStr">
        <is>
          <t>OCTOBER TURNOVER</t>
        </is>
      </c>
      <c r="O430" s="15" t="n">
        <v>9</v>
      </c>
      <c r="P430" s="15" t="inlineStr">
        <is>
          <t>2024-03-10</t>
        </is>
      </c>
      <c r="Q430" s="15" t="inlineStr">
        <is>
          <t>MD r67</t>
        </is>
      </c>
      <c r="R430" s="15" t="n"/>
    </row>
    <row r="431">
      <c r="A431" s="15" t="inlineStr">
        <is>
          <t>SL0427</t>
        </is>
      </c>
      <c r="B431" s="16" t="n">
        <v>45568</v>
      </c>
      <c r="C431" s="15" t="inlineStr">
        <is>
          <t>2024-10</t>
        </is>
      </c>
      <c r="D431" s="15" t="n">
        <v>2024</v>
      </c>
      <c r="E431" s="15" t="inlineStr">
        <is>
          <t>Land</t>
        </is>
      </c>
      <c r="F431" s="15" t="inlineStr">
        <is>
          <t>Plot / unit price</t>
        </is>
      </c>
      <c r="G431" s="15" t="inlineStr">
        <is>
          <t>Green City Phase 3 (Omu-Epe)</t>
        </is>
      </c>
      <c r="H431" s="15" t="inlineStr">
        <is>
          <t>BP-C0110</t>
        </is>
      </c>
      <c r="I431" s="15" t="inlineStr">
        <is>
          <t>Mr Adeyemi Kayode</t>
        </is>
      </c>
      <c r="J431" s="17" t="n">
        <v>1300000</v>
      </c>
      <c r="K431" s="15" t="inlineStr">
        <is>
          <t>Allen Branch</t>
        </is>
      </c>
      <c r="L431" s="15" t="inlineStr">
        <is>
          <t>Primary: monthly turnover register</t>
        </is>
      </c>
      <c r="M431" s="15" t="inlineStr">
        <is>
          <t>BAAY PROJECTS FINANCIALS 2024.xlsx</t>
        </is>
      </c>
      <c r="N431" s="15" t="inlineStr">
        <is>
          <t>OCTOBER TURNOVER</t>
        </is>
      </c>
      <c r="O431" s="15" t="n">
        <v>9</v>
      </c>
      <c r="P431" s="15" t="inlineStr">
        <is>
          <t>2024-03-10</t>
        </is>
      </c>
      <c r="Q431" s="15" t="inlineStr">
        <is>
          <t>MS BOLANLE r109</t>
        </is>
      </c>
      <c r="R431" s="15" t="n"/>
    </row>
    <row r="432">
      <c r="A432" s="15" t="inlineStr">
        <is>
          <t>SL0428</t>
        </is>
      </c>
      <c r="B432" s="16" t="n">
        <v>45569</v>
      </c>
      <c r="C432" s="15" t="inlineStr">
        <is>
          <t>2024-10</t>
        </is>
      </c>
      <c r="D432" s="15" t="n">
        <v>2024</v>
      </c>
      <c r="E432" s="15" t="inlineStr">
        <is>
          <t>Land</t>
        </is>
      </c>
      <c r="F432" s="15" t="inlineStr">
        <is>
          <t>Plot / unit price</t>
        </is>
      </c>
      <c r="G432" s="15" t="inlineStr">
        <is>
          <t>Green City Phase 2 (Ketu-Epe)</t>
        </is>
      </c>
      <c r="H432" s="15" t="inlineStr">
        <is>
          <t>BP-C0030</t>
        </is>
      </c>
      <c r="I432" s="15" t="inlineStr">
        <is>
          <t>Mr Adese Akorede John</t>
        </is>
      </c>
      <c r="J432" s="17" t="n">
        <v>200000</v>
      </c>
      <c r="K432" s="15" t="inlineStr">
        <is>
          <t>Magodo Branch</t>
        </is>
      </c>
      <c r="L432" s="15" t="inlineStr">
        <is>
          <t>Primary: monthly turnover register</t>
        </is>
      </c>
      <c r="M432" s="15" t="inlineStr">
        <is>
          <t>BAAY PROJECTS FINANCIALS 2024.xlsx</t>
        </is>
      </c>
      <c r="N432" s="15" t="inlineStr">
        <is>
          <t>OCTOBER TURNOVER</t>
        </is>
      </c>
      <c r="O432" s="15" t="n">
        <v>10</v>
      </c>
      <c r="P432" s="15" t="inlineStr">
        <is>
          <t>2024-04-10</t>
        </is>
      </c>
      <c r="Q432" s="15" t="inlineStr">
        <is>
          <t>MD r66</t>
        </is>
      </c>
      <c r="R432" s="15" t="n"/>
    </row>
    <row r="433">
      <c r="A433" s="15" t="inlineStr">
        <is>
          <t>SL0429</t>
        </is>
      </c>
      <c r="B433" s="16" t="n">
        <v>45569</v>
      </c>
      <c r="C433" s="15" t="inlineStr">
        <is>
          <t>2024-10</t>
        </is>
      </c>
      <c r="D433" s="15" t="n">
        <v>2024</v>
      </c>
      <c r="E433" s="15" t="inlineStr">
        <is>
          <t>Land</t>
        </is>
      </c>
      <c r="F433" s="15" t="inlineStr">
        <is>
          <t>Ancillary charge</t>
        </is>
      </c>
      <c r="G433" s="15" t="inlineStr">
        <is>
          <t>Land: development fee</t>
        </is>
      </c>
      <c r="H433" s="15" t="inlineStr">
        <is>
          <t>BP-C0030</t>
        </is>
      </c>
      <c r="I433" s="15" t="inlineStr">
        <is>
          <t>Mr Adese Akorede John</t>
        </is>
      </c>
      <c r="J433" s="17" t="n">
        <v>50000</v>
      </c>
      <c r="K433" s="15" t="inlineStr">
        <is>
          <t>Magodo Branch</t>
        </is>
      </c>
      <c r="L433" s="15" t="inlineStr">
        <is>
          <t>Primary: monthly turnover register</t>
        </is>
      </c>
      <c r="M433" s="15" t="inlineStr">
        <is>
          <t>BAAY PROJECTS FINANCIALS 2024.xlsx</t>
        </is>
      </c>
      <c r="N433" s="15" t="inlineStr">
        <is>
          <t>OCTOBER TURNOVER</t>
        </is>
      </c>
      <c r="O433" s="15" t="n">
        <v>11</v>
      </c>
      <c r="P433" s="15" t="inlineStr">
        <is>
          <t>2024-04-10</t>
        </is>
      </c>
      <c r="Q433" s="15" t="n"/>
      <c r="R433" s="15" t="n"/>
    </row>
    <row r="434">
      <c r="A434" s="15" t="inlineStr">
        <is>
          <t>SL0430</t>
        </is>
      </c>
      <c r="B434" s="16" t="n">
        <v>45569</v>
      </c>
      <c r="C434" s="15" t="inlineStr">
        <is>
          <t>2024-10</t>
        </is>
      </c>
      <c r="D434" s="15" t="n">
        <v>2024</v>
      </c>
      <c r="E434" s="15" t="inlineStr">
        <is>
          <t>Land</t>
        </is>
      </c>
      <c r="F434" s="15" t="inlineStr">
        <is>
          <t>Plot / unit price</t>
        </is>
      </c>
      <c r="G434" s="15" t="inlineStr">
        <is>
          <t>Heritage Garden</t>
        </is>
      </c>
      <c r="H434" s="15" t="inlineStr">
        <is>
          <t>BP-C0134</t>
        </is>
      </c>
      <c r="I434" s="15" t="inlineStr">
        <is>
          <t>Mr Salawudeen Bakkey</t>
        </is>
      </c>
      <c r="J434" s="17" t="n">
        <v>145000</v>
      </c>
      <c r="K434" s="15" t="inlineStr">
        <is>
          <t>Allen Branch</t>
        </is>
      </c>
      <c r="L434" s="15" t="inlineStr">
        <is>
          <t>Primary: monthly turnover register</t>
        </is>
      </c>
      <c r="M434" s="15" t="inlineStr">
        <is>
          <t>BAAY PROJECTS FINANCIALS 2024.xlsx</t>
        </is>
      </c>
      <c r="N434" s="15" t="inlineStr">
        <is>
          <t>OCTOBER TURNOVER</t>
        </is>
      </c>
      <c r="O434" s="15" t="n">
        <v>10</v>
      </c>
      <c r="P434" s="15" t="inlineStr">
        <is>
          <t>2024-04-10</t>
        </is>
      </c>
      <c r="Q434" s="15" t="n"/>
      <c r="R434" s="15" t="n"/>
    </row>
    <row r="435">
      <c r="A435" s="15" t="inlineStr">
        <is>
          <t>SL0431</t>
        </is>
      </c>
      <c r="B435" s="16" t="n">
        <v>45573</v>
      </c>
      <c r="C435" s="15" t="inlineStr">
        <is>
          <t>2024-10</t>
        </is>
      </c>
      <c r="D435" s="15" t="n">
        <v>2024</v>
      </c>
      <c r="E435" s="15" t="inlineStr">
        <is>
          <t>Land</t>
        </is>
      </c>
      <c r="F435" s="15" t="inlineStr">
        <is>
          <t>Plot / unit price</t>
        </is>
      </c>
      <c r="G435" s="15" t="inlineStr">
        <is>
          <t>Green City Phase 3 (Omu-Epe)</t>
        </is>
      </c>
      <c r="H435" s="15" t="inlineStr">
        <is>
          <t>BP-C0135</t>
        </is>
      </c>
      <c r="I435" s="15" t="inlineStr">
        <is>
          <t>Mr Okanrende Kazeem Olamilekan</t>
        </is>
      </c>
      <c r="J435" s="17" t="n">
        <v>5000000</v>
      </c>
      <c r="K435" s="15" t="inlineStr">
        <is>
          <t>Allen Branch</t>
        </is>
      </c>
      <c r="L435" s="15" t="inlineStr">
        <is>
          <t>Primary: monthly turnover register</t>
        </is>
      </c>
      <c r="M435" s="15" t="inlineStr">
        <is>
          <t>BAAY PROJECTS FINANCIALS 2024.xlsx</t>
        </is>
      </c>
      <c r="N435" s="15" t="inlineStr">
        <is>
          <t>OCTOBER TURNOVER</t>
        </is>
      </c>
      <c r="O435" s="15" t="n">
        <v>11</v>
      </c>
      <c r="P435" s="15" t="inlineStr">
        <is>
          <t>2024-08-10</t>
        </is>
      </c>
      <c r="Q435" s="15" t="inlineStr">
        <is>
          <t>MS YETUNDE ABISOYE r70</t>
        </is>
      </c>
      <c r="R435" s="15" t="n"/>
    </row>
    <row r="436">
      <c r="A436" s="15" t="inlineStr">
        <is>
          <t>SL0432</t>
        </is>
      </c>
      <c r="B436" s="16" t="n">
        <v>45574</v>
      </c>
      <c r="C436" s="15" t="inlineStr">
        <is>
          <t>2024-10</t>
        </is>
      </c>
      <c r="D436" s="15" t="n">
        <v>2024</v>
      </c>
      <c r="E436" s="15" t="inlineStr">
        <is>
          <t>Land</t>
        </is>
      </c>
      <c r="F436" s="15" t="inlineStr">
        <is>
          <t>Ancillary charge</t>
        </is>
      </c>
      <c r="G436" s="15" t="inlineStr">
        <is>
          <t>Land: corner piece premium</t>
        </is>
      </c>
      <c r="H436" s="15" t="inlineStr">
        <is>
          <t>BP-C0046</t>
        </is>
      </c>
      <c r="I436" s="15" t="inlineStr">
        <is>
          <t>Mr Adesida Raphael</t>
        </is>
      </c>
      <c r="J436" s="17" t="n">
        <v>100000</v>
      </c>
      <c r="K436" s="15" t="inlineStr">
        <is>
          <t>Allen Branch</t>
        </is>
      </c>
      <c r="L436" s="15" t="inlineStr">
        <is>
          <t>Primary: monthly turnover register</t>
        </is>
      </c>
      <c r="M436" s="15" t="inlineStr">
        <is>
          <t>BAAY PROJECTS FINANCIALS 2024.xlsx</t>
        </is>
      </c>
      <c r="N436" s="15" t="inlineStr">
        <is>
          <t>OCTOBER TURNOVER</t>
        </is>
      </c>
      <c r="O436" s="15" t="n">
        <v>12</v>
      </c>
      <c r="P436" s="15" t="inlineStr">
        <is>
          <t>2024-09-10</t>
        </is>
      </c>
      <c r="Q436" s="15" t="n"/>
      <c r="R436" s="15" t="n"/>
    </row>
    <row r="437">
      <c r="A437" s="15" t="inlineStr">
        <is>
          <t>SL0433</t>
        </is>
      </c>
      <c r="B437" s="16" t="n">
        <v>45576</v>
      </c>
      <c r="C437" s="15" t="inlineStr">
        <is>
          <t>2024-10</t>
        </is>
      </c>
      <c r="D437" s="15" t="n">
        <v>2024</v>
      </c>
      <c r="E437" s="15" t="inlineStr">
        <is>
          <t>Land</t>
        </is>
      </c>
      <c r="F437" s="15" t="inlineStr">
        <is>
          <t>Plot / unit price</t>
        </is>
      </c>
      <c r="G437" s="15" t="inlineStr">
        <is>
          <t>Green City Phase 3 (Omu-Epe)</t>
        </is>
      </c>
      <c r="H437" s="15" t="inlineStr">
        <is>
          <t>BP-C0136</t>
        </is>
      </c>
      <c r="I437" s="15" t="inlineStr">
        <is>
          <t>Mr Isibor Godwin</t>
        </is>
      </c>
      <c r="J437" s="17" t="n">
        <v>500000</v>
      </c>
      <c r="K437" s="15" t="inlineStr">
        <is>
          <t>Allen Branch</t>
        </is>
      </c>
      <c r="L437" s="15" t="inlineStr">
        <is>
          <t>Primary: monthly turnover register</t>
        </is>
      </c>
      <c r="M437" s="15" t="inlineStr">
        <is>
          <t>BAAY PROJECTS FINANCIALS 2024.xlsx</t>
        </is>
      </c>
      <c r="N437" s="15" t="inlineStr">
        <is>
          <t>OCTOBER TURNOVER</t>
        </is>
      </c>
      <c r="O437" s="15" t="n">
        <v>13</v>
      </c>
      <c r="P437" s="15" t="inlineStr">
        <is>
          <t>2024-11-10</t>
        </is>
      </c>
      <c r="Q437" s="15" t="inlineStr">
        <is>
          <t>MS TOBI AJAYI r29</t>
        </is>
      </c>
      <c r="R437" s="15" t="n"/>
    </row>
    <row r="438">
      <c r="A438" s="15" t="inlineStr">
        <is>
          <t>SL0434</t>
        </is>
      </c>
      <c r="B438" s="16" t="n">
        <v>45577</v>
      </c>
      <c r="C438" s="15" t="inlineStr">
        <is>
          <t>2024-10</t>
        </is>
      </c>
      <c r="D438" s="15" t="n">
        <v>2024</v>
      </c>
      <c r="E438" s="15" t="inlineStr">
        <is>
          <t>Land</t>
        </is>
      </c>
      <c r="F438" s="15" t="inlineStr">
        <is>
          <t>Ancillary charge</t>
        </is>
      </c>
      <c r="G438" s="15" t="inlineStr">
        <is>
          <t>Land: corner piece premium</t>
        </is>
      </c>
      <c r="H438" s="15" t="inlineStr">
        <is>
          <t>BP-C0090</t>
        </is>
      </c>
      <c r="I438" s="15" t="inlineStr">
        <is>
          <t>Mr Ajiva Lubem Barnabas</t>
        </is>
      </c>
      <c r="J438" s="17" t="n">
        <v>130000</v>
      </c>
      <c r="K438" s="15" t="inlineStr">
        <is>
          <t>Allen Branch</t>
        </is>
      </c>
      <c r="L438" s="15" t="inlineStr">
        <is>
          <t>Primary: monthly turnover register</t>
        </is>
      </c>
      <c r="M438" s="15" t="inlineStr">
        <is>
          <t>BAAY PROJECTS FINANCIALS 2024.xlsx</t>
        </is>
      </c>
      <c r="N438" s="15" t="inlineStr">
        <is>
          <t>OCTOBER TURNOVER</t>
        </is>
      </c>
      <c r="O438" s="15" t="n">
        <v>14</v>
      </c>
      <c r="P438" s="15" t="inlineStr">
        <is>
          <t>2024-12-10</t>
        </is>
      </c>
      <c r="Q438" s="15" t="n"/>
      <c r="R438" s="15" t="n"/>
    </row>
    <row r="439">
      <c r="A439" s="15" t="inlineStr">
        <is>
          <t>SL0435</t>
        </is>
      </c>
      <c r="B439" s="16" t="n">
        <v>45579</v>
      </c>
      <c r="C439" s="15" t="inlineStr">
        <is>
          <t>2024-10</t>
        </is>
      </c>
      <c r="D439" s="15" t="n">
        <v>2024</v>
      </c>
      <c r="E439" s="15" t="inlineStr">
        <is>
          <t>Land</t>
        </is>
      </c>
      <c r="F439" s="15" t="inlineStr">
        <is>
          <t>Ancillary charge</t>
        </is>
      </c>
      <c r="G439" s="15" t="inlineStr">
        <is>
          <t>Land: corner piece premium</t>
        </is>
      </c>
      <c r="H439" s="15" t="inlineStr">
        <is>
          <t>BP-C0090</t>
        </is>
      </c>
      <c r="I439" s="15" t="inlineStr">
        <is>
          <t>Mr Ajiva Lubem Barnabas</t>
        </is>
      </c>
      <c r="J439" s="17" t="n">
        <v>5000</v>
      </c>
      <c r="K439" s="15" t="inlineStr">
        <is>
          <t>Allen Branch</t>
        </is>
      </c>
      <c r="L439" s="15" t="inlineStr">
        <is>
          <t>Primary: monthly turnover register</t>
        </is>
      </c>
      <c r="M439" s="15" t="inlineStr">
        <is>
          <t>BAAY PROJECTS FINANCIALS 2024.xlsx</t>
        </is>
      </c>
      <c r="N439" s="15" t="inlineStr">
        <is>
          <t>OCTOBER TURNOVER</t>
        </is>
      </c>
      <c r="O439" s="15" t="n">
        <v>15</v>
      </c>
      <c r="P439" s="15" t="inlineStr">
        <is>
          <t>14/10/2024</t>
        </is>
      </c>
      <c r="Q439" s="15" t="n"/>
      <c r="R439" s="15" t="n"/>
    </row>
    <row r="440">
      <c r="A440" s="15" t="inlineStr">
        <is>
          <t>SL0436</t>
        </is>
      </c>
      <c r="B440" s="16" t="n">
        <v>45582</v>
      </c>
      <c r="C440" s="15" t="inlineStr">
        <is>
          <t>2024-10</t>
        </is>
      </c>
      <c r="D440" s="15" t="n">
        <v>2024</v>
      </c>
      <c r="E440" s="15" t="inlineStr">
        <is>
          <t>Land</t>
        </is>
      </c>
      <c r="F440" s="15" t="inlineStr">
        <is>
          <t>Plot / unit price</t>
        </is>
      </c>
      <c r="G440" s="15" t="inlineStr">
        <is>
          <t>Green City Phase 3 (Omu-Epe)</t>
        </is>
      </c>
      <c r="H440" s="15" t="inlineStr">
        <is>
          <t>BP-C0115</t>
        </is>
      </c>
      <c r="I440" s="15" t="inlineStr">
        <is>
          <t>Mrs King Lavonda</t>
        </is>
      </c>
      <c r="J440" s="17" t="n">
        <v>1100000</v>
      </c>
      <c r="K440" s="15" t="inlineStr">
        <is>
          <t>Allen Branch</t>
        </is>
      </c>
      <c r="L440" s="15" t="inlineStr">
        <is>
          <t>Primary: monthly turnover register</t>
        </is>
      </c>
      <c r="M440" s="15" t="inlineStr">
        <is>
          <t>BAAY PROJECTS FINANCIALS 2024.xlsx</t>
        </is>
      </c>
      <c r="N440" s="15" t="inlineStr">
        <is>
          <t>OCTOBER TURNOVER</t>
        </is>
      </c>
      <c r="O440" s="15" t="n">
        <v>16</v>
      </c>
      <c r="P440" s="15" t="inlineStr">
        <is>
          <t>17/10/2024</t>
        </is>
      </c>
      <c r="Q440" s="15" t="inlineStr">
        <is>
          <t>MRS ABIMBOLA r136</t>
        </is>
      </c>
      <c r="R440" s="15" t="n"/>
    </row>
    <row r="441">
      <c r="A441" s="15" t="inlineStr">
        <is>
          <t>SL0437</t>
        </is>
      </c>
      <c r="B441" s="16" t="n">
        <v>45583</v>
      </c>
      <c r="C441" s="15" t="inlineStr">
        <is>
          <t>2024-10</t>
        </is>
      </c>
      <c r="D441" s="15" t="n">
        <v>2024</v>
      </c>
      <c r="E441" s="15" t="inlineStr">
        <is>
          <t>Land</t>
        </is>
      </c>
      <c r="F441" s="15" t="inlineStr">
        <is>
          <t>Plot / unit price</t>
        </is>
      </c>
      <c r="G441" s="15" t="inlineStr">
        <is>
          <t>Heritage Garden</t>
        </is>
      </c>
      <c r="H441" s="15" t="inlineStr">
        <is>
          <t>BP-C0137</t>
        </is>
      </c>
      <c r="I441" s="15" t="inlineStr">
        <is>
          <t>Mr Boyejo abiodun</t>
        </is>
      </c>
      <c r="J441" s="17" t="n">
        <v>250000</v>
      </c>
      <c r="K441" s="15" t="inlineStr">
        <is>
          <t>Allen Branch</t>
        </is>
      </c>
      <c r="L441" s="15" t="inlineStr">
        <is>
          <t>Primary: monthly turnover register</t>
        </is>
      </c>
      <c r="M441" s="15" t="inlineStr">
        <is>
          <t>BAAY PROJECTS FINANCIALS 2024.xlsx</t>
        </is>
      </c>
      <c r="N441" s="15" t="inlineStr">
        <is>
          <t>OCTOBER TURNOVER</t>
        </is>
      </c>
      <c r="O441" s="15" t="n">
        <v>20</v>
      </c>
      <c r="P441" s="15" t="inlineStr">
        <is>
          <t>18/10/2024</t>
        </is>
      </c>
      <c r="Q441" s="15" t="inlineStr">
        <is>
          <t>MS BOLANLE r111</t>
        </is>
      </c>
      <c r="R441" s="15" t="n"/>
    </row>
    <row r="442">
      <c r="A442" s="15" t="inlineStr">
        <is>
          <t>SL0438</t>
        </is>
      </c>
      <c r="B442" s="16" t="n">
        <v>45583</v>
      </c>
      <c r="C442" s="15" t="inlineStr">
        <is>
          <t>2024-10</t>
        </is>
      </c>
      <c r="D442" s="15" t="n">
        <v>2024</v>
      </c>
      <c r="E442" s="15" t="inlineStr">
        <is>
          <t>Land</t>
        </is>
      </c>
      <c r="F442" s="15" t="inlineStr">
        <is>
          <t>Plot / unit price</t>
        </is>
      </c>
      <c r="G442" s="15" t="inlineStr">
        <is>
          <t>Green City Ibadan (Akinyele-Moniya)</t>
        </is>
      </c>
      <c r="H442" s="15" t="inlineStr">
        <is>
          <t>BP-C0138</t>
        </is>
      </c>
      <c r="I442" s="15" t="inlineStr">
        <is>
          <t>Mr Olowodagba Olatunde Selim</t>
        </is>
      </c>
      <c r="J442" s="17" t="n">
        <v>2600000</v>
      </c>
      <c r="K442" s="15" t="inlineStr">
        <is>
          <t>Allen Branch</t>
        </is>
      </c>
      <c r="L442" s="15" t="inlineStr">
        <is>
          <t>Primary: monthly turnover register</t>
        </is>
      </c>
      <c r="M442" s="15" t="inlineStr">
        <is>
          <t>BAAY PROJECTS FINANCIALS 2024.xlsx</t>
        </is>
      </c>
      <c r="N442" s="15" t="inlineStr">
        <is>
          <t>OCTOBER TURNOVER</t>
        </is>
      </c>
      <c r="O442" s="15" t="n">
        <v>19</v>
      </c>
      <c r="P442" s="15" t="inlineStr">
        <is>
          <t>18/10/2024</t>
        </is>
      </c>
      <c r="Q442" s="15" t="inlineStr">
        <is>
          <t>OGIDAN r34, MS TOBI AJAYI r30</t>
        </is>
      </c>
      <c r="R442" s="15" t="n"/>
    </row>
    <row r="443">
      <c r="A443" s="15" t="inlineStr">
        <is>
          <t>SL0439</t>
        </is>
      </c>
      <c r="B443" s="16" t="n">
        <v>45583</v>
      </c>
      <c r="C443" s="15" t="inlineStr">
        <is>
          <t>2024-10</t>
        </is>
      </c>
      <c r="D443" s="15" t="n">
        <v>2024</v>
      </c>
      <c r="E443" s="15" t="inlineStr">
        <is>
          <t>Land</t>
        </is>
      </c>
      <c r="F443" s="15" t="inlineStr">
        <is>
          <t>Plot / unit price</t>
        </is>
      </c>
      <c r="G443" s="15" t="inlineStr">
        <is>
          <t>Green City Phase 3 (Omu-Epe)</t>
        </is>
      </c>
      <c r="H443" s="15" t="inlineStr">
        <is>
          <t>BP-C0131</t>
        </is>
      </c>
      <c r="I443" s="15" t="inlineStr">
        <is>
          <t>Scrapays Technologies</t>
        </is>
      </c>
      <c r="J443" s="17" t="n">
        <v>3000000</v>
      </c>
      <c r="K443" s="15" t="inlineStr">
        <is>
          <t>Allen Branch</t>
        </is>
      </c>
      <c r="L443" s="15" t="inlineStr">
        <is>
          <t>Primary: monthly turnover register</t>
        </is>
      </c>
      <c r="M443" s="15" t="inlineStr">
        <is>
          <t>BAAY PROJECTS FINANCIALS 2024.xlsx</t>
        </is>
      </c>
      <c r="N443" s="15" t="inlineStr">
        <is>
          <t>OCTOBER TURNOVER</t>
        </is>
      </c>
      <c r="O443" s="15" t="n">
        <v>17</v>
      </c>
      <c r="P443" s="15" t="inlineStr">
        <is>
          <t>18/10/2024</t>
        </is>
      </c>
      <c r="Q443" s="15" t="inlineStr">
        <is>
          <t>MD r68</t>
        </is>
      </c>
      <c r="R443" s="15" t="n"/>
    </row>
    <row r="444">
      <c r="A444" s="15" t="inlineStr">
        <is>
          <t>SL0440</t>
        </is>
      </c>
      <c r="B444" s="16" t="n">
        <v>45584</v>
      </c>
      <c r="C444" s="15" t="inlineStr">
        <is>
          <t>2024-10</t>
        </is>
      </c>
      <c r="D444" s="15" t="n">
        <v>2024</v>
      </c>
      <c r="E444" s="15" t="inlineStr">
        <is>
          <t>Land</t>
        </is>
      </c>
      <c r="F444" s="15" t="inlineStr">
        <is>
          <t>Plot / unit price</t>
        </is>
      </c>
      <c r="G444" s="15" t="inlineStr">
        <is>
          <t>Heritage Garden</t>
        </is>
      </c>
      <c r="H444" s="15" t="inlineStr">
        <is>
          <t>BP-C0129</t>
        </is>
      </c>
      <c r="I444" s="15" t="inlineStr">
        <is>
          <t>Mr Tedunjaye Michael Ilerioluwa</t>
        </is>
      </c>
      <c r="J444" s="17" t="n">
        <v>100000</v>
      </c>
      <c r="K444" s="15" t="inlineStr">
        <is>
          <t>Allen Branch</t>
        </is>
      </c>
      <c r="L444" s="15" t="inlineStr">
        <is>
          <t>Primary: monthly turnover register</t>
        </is>
      </c>
      <c r="M444" s="15" t="inlineStr">
        <is>
          <t>BAAY PROJECTS FINANCIALS 2024.xlsx</t>
        </is>
      </c>
      <c r="N444" s="15" t="inlineStr">
        <is>
          <t>OCTOBER TURNOVER</t>
        </is>
      </c>
      <c r="O444" s="15" t="n">
        <v>21</v>
      </c>
      <c r="P444" s="15" t="inlineStr">
        <is>
          <t>19/10/2024</t>
        </is>
      </c>
      <c r="Q444" s="15" t="n"/>
      <c r="R444" s="15" t="n"/>
    </row>
    <row r="445">
      <c r="A445" s="15" t="inlineStr">
        <is>
          <t>SL0441</t>
        </is>
      </c>
      <c r="B445" s="16" t="n">
        <v>45586</v>
      </c>
      <c r="C445" s="15" t="inlineStr">
        <is>
          <t>2024-10</t>
        </is>
      </c>
      <c r="D445" s="15" t="n">
        <v>2024</v>
      </c>
      <c r="E445" s="15" t="inlineStr">
        <is>
          <t>Land</t>
        </is>
      </c>
      <c r="F445" s="15" t="inlineStr">
        <is>
          <t>Plot / unit price</t>
        </is>
      </c>
      <c r="G445" s="15" t="inlineStr">
        <is>
          <t>Green City Phase 3 (Omu-Epe)</t>
        </is>
      </c>
      <c r="H445" s="15" t="inlineStr">
        <is>
          <t>BP-C0139</t>
        </is>
      </c>
      <c r="I445" s="15" t="inlineStr">
        <is>
          <t>Mr Felix Oluwatobi Adejumo</t>
        </is>
      </c>
      <c r="J445" s="17" t="n">
        <v>200000</v>
      </c>
      <c r="K445" s="15" t="inlineStr">
        <is>
          <t>Magodo Branch</t>
        </is>
      </c>
      <c r="L445" s="15" t="inlineStr">
        <is>
          <t>Primary: monthly turnover register</t>
        </is>
      </c>
      <c r="M445" s="15" t="inlineStr">
        <is>
          <t>BAAY PROJECTS FINANCIALS 2024.xlsx</t>
        </is>
      </c>
      <c r="N445" s="15" t="inlineStr">
        <is>
          <t>OCTOBER TURNOVER</t>
        </is>
      </c>
      <c r="O445" s="15" t="n">
        <v>12</v>
      </c>
      <c r="P445" s="15" t="inlineStr">
        <is>
          <t>21/10/2024</t>
        </is>
      </c>
      <c r="Q445" s="15" t="n"/>
      <c r="R445" s="15" t="n"/>
    </row>
    <row r="446">
      <c r="A446" s="15" t="inlineStr">
        <is>
          <t>SL0442</t>
        </is>
      </c>
      <c r="B446" s="16" t="n">
        <v>45586</v>
      </c>
      <c r="C446" s="15" t="inlineStr">
        <is>
          <t>2024-10</t>
        </is>
      </c>
      <c r="D446" s="15" t="n">
        <v>2024</v>
      </c>
      <c r="E446" s="15" t="inlineStr">
        <is>
          <t>Land</t>
        </is>
      </c>
      <c r="F446" s="15" t="inlineStr">
        <is>
          <t>Plot / unit price</t>
        </is>
      </c>
      <c r="G446" s="15" t="inlineStr">
        <is>
          <t>Green City Ibadan (Akinyele-Moniya)</t>
        </is>
      </c>
      <c r="H446" s="15" t="inlineStr">
        <is>
          <t>BP-C0138</t>
        </is>
      </c>
      <c r="I446" s="15" t="inlineStr">
        <is>
          <t>Mr Olowodagba Olatunde Selim</t>
        </is>
      </c>
      <c r="J446" s="17" t="n">
        <v>200000</v>
      </c>
      <c r="K446" s="15" t="inlineStr">
        <is>
          <t>Allen Branch</t>
        </is>
      </c>
      <c r="L446" s="15" t="inlineStr">
        <is>
          <t>Primary: monthly turnover register</t>
        </is>
      </c>
      <c r="M446" s="15" t="inlineStr">
        <is>
          <t>BAAY PROJECTS FINANCIALS 2024.xlsx</t>
        </is>
      </c>
      <c r="N446" s="15" t="inlineStr">
        <is>
          <t>OCTOBER TURNOVER</t>
        </is>
      </c>
      <c r="O446" s="15" t="n">
        <v>22</v>
      </c>
      <c r="P446" s="15" t="inlineStr">
        <is>
          <t>21/10/2024</t>
        </is>
      </c>
      <c r="Q446" s="15" t="inlineStr">
        <is>
          <t>OGIDAN r35, MS TOBI AJAYI r31</t>
        </is>
      </c>
      <c r="R446" s="15" t="n"/>
    </row>
    <row r="447">
      <c r="A447" s="15" t="inlineStr">
        <is>
          <t>SL0443</t>
        </is>
      </c>
      <c r="B447" s="16" t="n">
        <v>45587</v>
      </c>
      <c r="C447" s="15" t="inlineStr">
        <is>
          <t>2024-10</t>
        </is>
      </c>
      <c r="D447" s="15" t="n">
        <v>2024</v>
      </c>
      <c r="E447" s="15" t="inlineStr">
        <is>
          <t>Land</t>
        </is>
      </c>
      <c r="F447" s="15" t="inlineStr">
        <is>
          <t>Plot / unit price</t>
        </is>
      </c>
      <c r="G447" s="15" t="inlineStr">
        <is>
          <t>Green City Phase 1 (Lantaba, Ketu-Epe)</t>
        </is>
      </c>
      <c r="H447" s="15" t="inlineStr">
        <is>
          <t>BP-C0086</t>
        </is>
      </c>
      <c r="I447" s="15" t="inlineStr">
        <is>
          <t>Miss Nwobodo Miriam Chioma</t>
        </is>
      </c>
      <c r="J447" s="17" t="n">
        <v>400000</v>
      </c>
      <c r="K447" s="15" t="inlineStr">
        <is>
          <t>Allen Branch</t>
        </is>
      </c>
      <c r="L447" s="15" t="inlineStr">
        <is>
          <t>Primary: monthly turnover register</t>
        </is>
      </c>
      <c r="M447" s="15" t="inlineStr">
        <is>
          <t>BAAY PROJECTS FINANCIALS 2024.xlsx</t>
        </is>
      </c>
      <c r="N447" s="15" t="inlineStr">
        <is>
          <t>OCTOBER TURNOVER</t>
        </is>
      </c>
      <c r="O447" s="15" t="n">
        <v>24</v>
      </c>
      <c r="P447" s="15" t="inlineStr">
        <is>
          <t>22/10/2024</t>
        </is>
      </c>
      <c r="Q447" s="15" t="n"/>
      <c r="R447" s="15" t="n"/>
    </row>
    <row r="448">
      <c r="A448" s="15" t="inlineStr">
        <is>
          <t>SL0444</t>
        </is>
      </c>
      <c r="B448" s="16" t="n">
        <v>45587</v>
      </c>
      <c r="C448" s="15" t="inlineStr">
        <is>
          <t>2024-10</t>
        </is>
      </c>
      <c r="D448" s="15" t="n">
        <v>2024</v>
      </c>
      <c r="E448" s="15" t="inlineStr">
        <is>
          <t>Land</t>
        </is>
      </c>
      <c r="F448" s="15" t="inlineStr">
        <is>
          <t>Plot / unit price</t>
        </is>
      </c>
      <c r="G448" s="15" t="inlineStr">
        <is>
          <t>Green City Phase 2 (Ketu-Epe)</t>
        </is>
      </c>
      <c r="H448" s="15" t="inlineStr">
        <is>
          <t>BP-C0126</t>
        </is>
      </c>
      <c r="I448" s="15" t="inlineStr">
        <is>
          <t>Miss Ogundipe Motunrayo Fransisca</t>
        </is>
      </c>
      <c r="J448" s="17" t="n">
        <v>1335000</v>
      </c>
      <c r="K448" s="15" t="inlineStr">
        <is>
          <t>Allen Branch</t>
        </is>
      </c>
      <c r="L448" s="15" t="inlineStr">
        <is>
          <t>Primary: monthly turnover register</t>
        </is>
      </c>
      <c r="M448" s="15" t="inlineStr">
        <is>
          <t>BAAY PROJECTS FINANCIALS 2024.xlsx</t>
        </is>
      </c>
      <c r="N448" s="15" t="inlineStr">
        <is>
          <t>OCTOBER TURNOVER</t>
        </is>
      </c>
      <c r="O448" s="15" t="n">
        <v>23</v>
      </c>
      <c r="P448" s="15" t="inlineStr">
        <is>
          <t>22/10/2024</t>
        </is>
      </c>
      <c r="Q448" s="15" t="n"/>
      <c r="R448" s="15" t="n"/>
    </row>
    <row r="449">
      <c r="A449" s="15" t="inlineStr">
        <is>
          <t>SL0445</t>
        </is>
      </c>
      <c r="B449" s="16" t="n">
        <v>45587</v>
      </c>
      <c r="C449" s="15" t="inlineStr">
        <is>
          <t>2024-10</t>
        </is>
      </c>
      <c r="D449" s="15" t="n">
        <v>2024</v>
      </c>
      <c r="E449" s="15" t="inlineStr">
        <is>
          <t>Land</t>
        </is>
      </c>
      <c r="F449" s="15" t="inlineStr">
        <is>
          <t>Plot / unit price</t>
        </is>
      </c>
      <c r="G449" s="15" t="inlineStr">
        <is>
          <t>Green City Phase 3 (Omu-Epe)</t>
        </is>
      </c>
      <c r="H449" s="15" t="inlineStr">
        <is>
          <t>BP-C0132</t>
        </is>
      </c>
      <c r="I449" s="15" t="inlineStr">
        <is>
          <t>Mr Adekunle Ajayi Temitope</t>
        </is>
      </c>
      <c r="J449" s="17" t="n">
        <v>1335000</v>
      </c>
      <c r="K449" s="15" t="inlineStr">
        <is>
          <t>Magodo Branch</t>
        </is>
      </c>
      <c r="L449" s="15" t="inlineStr">
        <is>
          <t>Primary: monthly turnover register</t>
        </is>
      </c>
      <c r="M449" s="15" t="inlineStr">
        <is>
          <t>BAAY PROJECTS FINANCIALS 2024.xlsx</t>
        </is>
      </c>
      <c r="N449" s="15" t="inlineStr">
        <is>
          <t>OCTOBER TURNOVER</t>
        </is>
      </c>
      <c r="O449" s="15" t="n">
        <v>13</v>
      </c>
      <c r="P449" s="15" t="inlineStr">
        <is>
          <t>22/10/2024</t>
        </is>
      </c>
      <c r="Q449" s="15" t="inlineStr">
        <is>
          <t>MS OPEYEMI ADEGOKE r3</t>
        </is>
      </c>
      <c r="R449" s="15" t="n"/>
    </row>
    <row r="450">
      <c r="A450" s="15" t="inlineStr">
        <is>
          <t>SL0446</t>
        </is>
      </c>
      <c r="B450" s="16" t="n">
        <v>45588</v>
      </c>
      <c r="C450" s="15" t="inlineStr">
        <is>
          <t>2024-10</t>
        </is>
      </c>
      <c r="D450" s="15" t="n">
        <v>2024</v>
      </c>
      <c r="E450" s="15" t="inlineStr">
        <is>
          <t>Land</t>
        </is>
      </c>
      <c r="F450" s="15" t="inlineStr">
        <is>
          <t>Plot / unit price</t>
        </is>
      </c>
      <c r="G450" s="15" t="inlineStr">
        <is>
          <t>Green City Phase 3 (Omu-Epe)</t>
        </is>
      </c>
      <c r="H450" s="15" t="inlineStr">
        <is>
          <t>BP-C0140</t>
        </is>
      </c>
      <c r="I450" s="15" t="inlineStr">
        <is>
          <t>Mr Balogun Akeem Tokunbo</t>
        </is>
      </c>
      <c r="J450" s="17" t="n">
        <v>4000000</v>
      </c>
      <c r="K450" s="15" t="inlineStr">
        <is>
          <t>Magodo Branch</t>
        </is>
      </c>
      <c r="L450" s="15" t="inlineStr">
        <is>
          <t>Primary: monthly turnover register</t>
        </is>
      </c>
      <c r="M450" s="15" t="inlineStr">
        <is>
          <t>BAAY PROJECTS FINANCIALS 2024.xlsx</t>
        </is>
      </c>
      <c r="N450" s="15" t="inlineStr">
        <is>
          <t>OCTOBER TURNOVER</t>
        </is>
      </c>
      <c r="O450" s="15" t="n">
        <v>14</v>
      </c>
      <c r="P450" s="15" t="inlineStr">
        <is>
          <t>23/10/2024</t>
        </is>
      </c>
      <c r="Q450" s="15" t="inlineStr">
        <is>
          <t>MAMA ADEBIMPE r2</t>
        </is>
      </c>
      <c r="R450" s="15" t="n"/>
    </row>
    <row r="451">
      <c r="A451" s="15" t="inlineStr">
        <is>
          <t>SL0447</t>
        </is>
      </c>
      <c r="B451" s="16" t="n">
        <v>45588</v>
      </c>
      <c r="C451" s="15" t="inlineStr">
        <is>
          <t>2024-10</t>
        </is>
      </c>
      <c r="D451" s="15" t="n">
        <v>2024</v>
      </c>
      <c r="E451" s="15" t="inlineStr">
        <is>
          <t>Land</t>
        </is>
      </c>
      <c r="F451" s="15" t="inlineStr">
        <is>
          <t>Plot / unit price</t>
        </is>
      </c>
      <c r="G451" s="15" t="inlineStr">
        <is>
          <t>Green City Phase 3 (Omu-Epe)</t>
        </is>
      </c>
      <c r="H451" s="15" t="inlineStr">
        <is>
          <t>BP-C0115</t>
        </is>
      </c>
      <c r="I451" s="15" t="inlineStr">
        <is>
          <t>Mrs King Lavonda</t>
        </is>
      </c>
      <c r="J451" s="17" t="n">
        <v>1100000</v>
      </c>
      <c r="K451" s="15" t="inlineStr">
        <is>
          <t>Allen Branch</t>
        </is>
      </c>
      <c r="L451" s="15" t="inlineStr">
        <is>
          <t>Primary: monthly turnover register</t>
        </is>
      </c>
      <c r="M451" s="15" t="inlineStr">
        <is>
          <t>BAAY PROJECTS FINANCIALS 2024.xlsx</t>
        </is>
      </c>
      <c r="N451" s="15" t="inlineStr">
        <is>
          <t>OCTOBER TURNOVER</t>
        </is>
      </c>
      <c r="O451" s="15" t="n">
        <v>25</v>
      </c>
      <c r="P451" s="15" t="inlineStr">
        <is>
          <t>23/10/2024</t>
        </is>
      </c>
      <c r="Q451" s="15" t="inlineStr">
        <is>
          <t>MRS ABIMBOLA r137</t>
        </is>
      </c>
      <c r="R451" s="15" t="n"/>
    </row>
    <row r="452">
      <c r="A452" s="15" t="inlineStr">
        <is>
          <t>SL0448</t>
        </is>
      </c>
      <c r="B452" s="16" t="n">
        <v>45590</v>
      </c>
      <c r="C452" s="15" t="inlineStr">
        <is>
          <t>2024-10</t>
        </is>
      </c>
      <c r="D452" s="15" t="n">
        <v>2024</v>
      </c>
      <c r="E452" s="15" t="inlineStr">
        <is>
          <t>Land</t>
        </is>
      </c>
      <c r="F452" s="15" t="inlineStr">
        <is>
          <t>Plot / unit price</t>
        </is>
      </c>
      <c r="G452" s="15" t="inlineStr">
        <is>
          <t>Heritage Garden</t>
        </is>
      </c>
      <c r="H452" s="15" t="inlineStr">
        <is>
          <t>BP-C0130</t>
        </is>
      </c>
      <c r="I452" s="15" t="inlineStr">
        <is>
          <t>Miss Akindele Felicia Oluwatoyin</t>
        </is>
      </c>
      <c r="J452" s="17" t="n">
        <v>100000</v>
      </c>
      <c r="K452" s="15" t="inlineStr">
        <is>
          <t>Allen Branch</t>
        </is>
      </c>
      <c r="L452" s="15" t="inlineStr">
        <is>
          <t>Primary: monthly turnover register</t>
        </is>
      </c>
      <c r="M452" s="15" t="inlineStr">
        <is>
          <t>BAAY PROJECTS FINANCIALS 2024.xlsx</t>
        </is>
      </c>
      <c r="N452" s="15" t="inlineStr">
        <is>
          <t>OCTOBER TURNOVER</t>
        </is>
      </c>
      <c r="O452" s="15" t="n">
        <v>27</v>
      </c>
      <c r="P452" s="15" t="inlineStr">
        <is>
          <t>25/10/2024</t>
        </is>
      </c>
      <c r="Q452" s="15" t="inlineStr">
        <is>
          <t>MS FISAYO r46</t>
        </is>
      </c>
      <c r="R452" s="15" t="n"/>
    </row>
    <row r="453">
      <c r="A453" s="15" t="inlineStr">
        <is>
          <t>SL0449</t>
        </is>
      </c>
      <c r="B453" s="16" t="n">
        <v>45590</v>
      </c>
      <c r="C453" s="15" t="inlineStr">
        <is>
          <t>2024-10</t>
        </is>
      </c>
      <c r="D453" s="15" t="n">
        <v>2024</v>
      </c>
      <c r="E453" s="15" t="inlineStr">
        <is>
          <t>Land</t>
        </is>
      </c>
      <c r="F453" s="15" t="inlineStr">
        <is>
          <t>Plot / unit price</t>
        </is>
      </c>
      <c r="G453" s="15" t="inlineStr">
        <is>
          <t>Green City Phase 1 (Lantaba, Ketu-Epe)</t>
        </is>
      </c>
      <c r="H453" s="15" t="inlineStr">
        <is>
          <t>BP-C0086</t>
        </is>
      </c>
      <c r="I453" s="15" t="inlineStr">
        <is>
          <t>Miss Nwobodo Miriam Chioma</t>
        </is>
      </c>
      <c r="J453" s="17" t="n">
        <v>100000</v>
      </c>
      <c r="K453" s="15" t="inlineStr">
        <is>
          <t>Allen Branch</t>
        </is>
      </c>
      <c r="L453" s="15" t="inlineStr">
        <is>
          <t>Primary: monthly turnover register</t>
        </is>
      </c>
      <c r="M453" s="15" t="inlineStr">
        <is>
          <t>BAAY PROJECTS FINANCIALS 2024.xlsx</t>
        </is>
      </c>
      <c r="N453" s="15" t="inlineStr">
        <is>
          <t>OCTOBER TURNOVER</t>
        </is>
      </c>
      <c r="O453" s="15" t="n">
        <v>26</v>
      </c>
      <c r="P453" s="15" t="inlineStr">
        <is>
          <t>25/10/2024</t>
        </is>
      </c>
      <c r="Q453" s="15" t="inlineStr">
        <is>
          <t>MD r71</t>
        </is>
      </c>
      <c r="R453" s="15" t="n"/>
    </row>
    <row r="454">
      <c r="A454" s="15" t="inlineStr">
        <is>
          <t>SL0450</t>
        </is>
      </c>
      <c r="B454" s="16" t="n">
        <v>45590</v>
      </c>
      <c r="C454" s="15" t="inlineStr">
        <is>
          <t>2024-10</t>
        </is>
      </c>
      <c r="D454" s="15" t="n">
        <v>2024</v>
      </c>
      <c r="E454" s="15" t="inlineStr">
        <is>
          <t>Housing</t>
        </is>
      </c>
      <c r="F454" s="15" t="inlineStr">
        <is>
          <t>Plot / unit price</t>
        </is>
      </c>
      <c r="G454" s="15" t="inlineStr">
        <is>
          <t>Pacific Apartment</t>
        </is>
      </c>
      <c r="H454" s="15" t="inlineStr">
        <is>
          <t>BP-C0140</t>
        </is>
      </c>
      <c r="I454" s="15" t="inlineStr">
        <is>
          <t>Mr Balogun Akeem Tokunbo</t>
        </is>
      </c>
      <c r="J454" s="17" t="n">
        <v>10000000</v>
      </c>
      <c r="K454" s="15" t="inlineStr">
        <is>
          <t>Magodo Branch</t>
        </is>
      </c>
      <c r="L454" s="15" t="inlineStr">
        <is>
          <t>Primary: monthly turnover register</t>
        </is>
      </c>
      <c r="M454" s="15" t="inlineStr">
        <is>
          <t>BAAY PROJECTS FINANCIALS 2024.xlsx</t>
        </is>
      </c>
      <c r="N454" s="15" t="inlineStr">
        <is>
          <t>OCTOBER TURNOVER</t>
        </is>
      </c>
      <c r="O454" s="15" t="n">
        <v>15</v>
      </c>
      <c r="P454" s="15" t="inlineStr">
        <is>
          <t>25/10/2024</t>
        </is>
      </c>
      <c r="Q454" s="15" t="inlineStr">
        <is>
          <t>MAMA ADEBIMPE r3</t>
        </is>
      </c>
      <c r="R454" s="15" t="n"/>
    </row>
    <row r="455">
      <c r="A455" s="15" t="inlineStr">
        <is>
          <t>SL0451</t>
        </is>
      </c>
      <c r="B455" s="16" t="n">
        <v>45590</v>
      </c>
      <c r="C455" s="15" t="inlineStr">
        <is>
          <t>2024-10</t>
        </is>
      </c>
      <c r="D455" s="15" t="n">
        <v>2024</v>
      </c>
      <c r="E455" s="15" t="inlineStr">
        <is>
          <t>Land</t>
        </is>
      </c>
      <c r="F455" s="15" t="inlineStr">
        <is>
          <t>Plot / unit price</t>
        </is>
      </c>
      <c r="G455" s="15" t="inlineStr">
        <is>
          <t>Green City Phase 3 (Omu-Epe)</t>
        </is>
      </c>
      <c r="H455" s="15" t="inlineStr">
        <is>
          <t>BP-C0133</t>
        </is>
      </c>
      <c r="I455" s="15" t="inlineStr">
        <is>
          <t>Mr Olagbende Oluwashina</t>
        </is>
      </c>
      <c r="J455" s="17" t="n">
        <v>600000</v>
      </c>
      <c r="K455" s="15" t="inlineStr">
        <is>
          <t>Magodo Branch</t>
        </is>
      </c>
      <c r="L455" s="15" t="inlineStr">
        <is>
          <t>Primary: monthly turnover register</t>
        </is>
      </c>
      <c r="M455" s="15" t="inlineStr">
        <is>
          <t>BAAY PROJECTS FINANCIALS 2024.xlsx</t>
        </is>
      </c>
      <c r="N455" s="15" t="inlineStr">
        <is>
          <t>OCTOBER TURNOVER</t>
        </is>
      </c>
      <c r="O455" s="15" t="n">
        <v>17</v>
      </c>
      <c r="P455" s="15" t="inlineStr">
        <is>
          <t>25/10/2024</t>
        </is>
      </c>
      <c r="Q455" s="15" t="inlineStr">
        <is>
          <t>MS AWONORIN MAYOWA r9</t>
        </is>
      </c>
      <c r="R455" s="15" t="n"/>
    </row>
    <row r="456">
      <c r="A456" s="15" t="inlineStr">
        <is>
          <t>SL0452</t>
        </is>
      </c>
      <c r="B456" s="16" t="n">
        <v>45591</v>
      </c>
      <c r="C456" s="15" t="inlineStr">
        <is>
          <t>2024-10</t>
        </is>
      </c>
      <c r="D456" s="15" t="n">
        <v>2024</v>
      </c>
      <c r="E456" s="15" t="inlineStr">
        <is>
          <t>Land</t>
        </is>
      </c>
      <c r="F456" s="15" t="inlineStr">
        <is>
          <t>Plot / unit price</t>
        </is>
      </c>
      <c r="G456" s="15" t="inlineStr">
        <is>
          <t>Green City Phase 2 (Ketu-Epe)</t>
        </is>
      </c>
      <c r="H456" s="15" t="inlineStr">
        <is>
          <t>BP-C0097</t>
        </is>
      </c>
      <c r="I456" s="15" t="inlineStr">
        <is>
          <t>Engr Fagbulu Taiwo</t>
        </is>
      </c>
      <c r="J456" s="17" t="n">
        <v>700000</v>
      </c>
      <c r="K456" s="15" t="inlineStr">
        <is>
          <t>Magodo Branch</t>
        </is>
      </c>
      <c r="L456" s="15" t="inlineStr">
        <is>
          <t>Primary: monthly turnover register</t>
        </is>
      </c>
      <c r="M456" s="15" t="inlineStr">
        <is>
          <t>BAAY PROJECTS FINANCIALS 2024.xlsx</t>
        </is>
      </c>
      <c r="N456" s="15" t="inlineStr">
        <is>
          <t>OCTOBER TURNOVER</t>
        </is>
      </c>
      <c r="O456" s="15" t="n">
        <v>21</v>
      </c>
      <c r="P456" s="15" t="inlineStr">
        <is>
          <t>26/10/2024</t>
        </is>
      </c>
      <c r="Q456" s="15" t="n"/>
      <c r="R456" s="15" t="n"/>
    </row>
    <row r="457">
      <c r="A457" s="15" t="inlineStr">
        <is>
          <t>SL0453</t>
        </is>
      </c>
      <c r="B457" s="16" t="n">
        <v>45591</v>
      </c>
      <c r="C457" s="15" t="inlineStr">
        <is>
          <t>2024-10</t>
        </is>
      </c>
      <c r="D457" s="15" t="n">
        <v>2024</v>
      </c>
      <c r="E457" s="15" t="inlineStr">
        <is>
          <t>Land</t>
        </is>
      </c>
      <c r="F457" s="15" t="inlineStr">
        <is>
          <t>Plot / unit price</t>
        </is>
      </c>
      <c r="G457" s="15" t="inlineStr">
        <is>
          <t>Green City Phase 3 (Omu-Epe)</t>
        </is>
      </c>
      <c r="H457" s="15" t="inlineStr">
        <is>
          <t>BP-C0132</t>
        </is>
      </c>
      <c r="I457" s="15" t="inlineStr">
        <is>
          <t>Mr Adekunle Ajayi Temitope</t>
        </is>
      </c>
      <c r="J457" s="17" t="n">
        <v>1000000</v>
      </c>
      <c r="K457" s="15" t="inlineStr">
        <is>
          <t>Magodo Branch</t>
        </is>
      </c>
      <c r="L457" s="15" t="inlineStr">
        <is>
          <t>Primary: monthly turnover register</t>
        </is>
      </c>
      <c r="M457" s="15" t="inlineStr">
        <is>
          <t>BAAY PROJECTS FINANCIALS 2024.xlsx</t>
        </is>
      </c>
      <c r="N457" s="15" t="inlineStr">
        <is>
          <t>OCTOBER TURNOVER</t>
        </is>
      </c>
      <c r="O457" s="15" t="n">
        <v>20</v>
      </c>
      <c r="P457" s="15" t="inlineStr">
        <is>
          <t>26/10/2024</t>
        </is>
      </c>
      <c r="Q457" s="15" t="inlineStr">
        <is>
          <t>MS OPEYEMI ADEGOKE r4</t>
        </is>
      </c>
      <c r="R457" s="15" t="n"/>
    </row>
    <row r="458">
      <c r="A458" s="15" t="inlineStr">
        <is>
          <t>SL0454</t>
        </is>
      </c>
      <c r="B458" s="16" t="n">
        <v>45591</v>
      </c>
      <c r="C458" s="15" t="inlineStr">
        <is>
          <t>2024-10</t>
        </is>
      </c>
      <c r="D458" s="15" t="n">
        <v>2024</v>
      </c>
      <c r="E458" s="15" t="inlineStr">
        <is>
          <t>Land</t>
        </is>
      </c>
      <c r="F458" s="15" t="inlineStr">
        <is>
          <t>Plot / unit price</t>
        </is>
      </c>
      <c r="G458" s="15" t="inlineStr">
        <is>
          <t>Green City Phase 2 (Ketu-Epe)</t>
        </is>
      </c>
      <c r="H458" s="15" t="inlineStr">
        <is>
          <t>BP-C0100</t>
        </is>
      </c>
      <c r="I458" s="15" t="inlineStr">
        <is>
          <t>Mr Braimoh Ayomide</t>
        </is>
      </c>
      <c r="J458" s="17" t="n">
        <v>617500</v>
      </c>
      <c r="K458" s="15" t="inlineStr">
        <is>
          <t>Magodo Branch</t>
        </is>
      </c>
      <c r="L458" s="15" t="inlineStr">
        <is>
          <t>Primary: monthly turnover register</t>
        </is>
      </c>
      <c r="M458" s="15" t="inlineStr">
        <is>
          <t>BAAY PROJECTS FINANCIALS 2024.xlsx</t>
        </is>
      </c>
      <c r="N458" s="15" t="inlineStr">
        <is>
          <t>OCTOBER TURNOVER</t>
        </is>
      </c>
      <c r="O458" s="15" t="n">
        <v>18</v>
      </c>
      <c r="P458" s="15" t="inlineStr">
        <is>
          <t>26/10/2024</t>
        </is>
      </c>
      <c r="Q458" s="15" t="n"/>
      <c r="R458" s="15" t="n"/>
    </row>
    <row r="459">
      <c r="A459" s="15" t="inlineStr">
        <is>
          <t>SL0455</t>
        </is>
      </c>
      <c r="B459" s="16" t="n">
        <v>45593</v>
      </c>
      <c r="C459" s="15" t="inlineStr">
        <is>
          <t>2024-10</t>
        </is>
      </c>
      <c r="D459" s="15" t="n">
        <v>2024</v>
      </c>
      <c r="E459" s="15" t="inlineStr">
        <is>
          <t>Land</t>
        </is>
      </c>
      <c r="F459" s="15" t="inlineStr">
        <is>
          <t>Plot / unit price</t>
        </is>
      </c>
      <c r="G459" s="15" t="inlineStr">
        <is>
          <t>Green City Phase 2 (Ketu-Epe)</t>
        </is>
      </c>
      <c r="H459" s="15" t="inlineStr">
        <is>
          <t>BP-C0068</t>
        </is>
      </c>
      <c r="I459" s="15" t="inlineStr">
        <is>
          <t>Miss Ebhotah Sharon Aisosa</t>
        </is>
      </c>
      <c r="J459" s="17" t="n">
        <v>500000</v>
      </c>
      <c r="K459" s="15" t="inlineStr">
        <is>
          <t>Magodo Branch</t>
        </is>
      </c>
      <c r="L459" s="15" t="inlineStr">
        <is>
          <t>Primary: monthly turnover register</t>
        </is>
      </c>
      <c r="M459" s="15" t="inlineStr">
        <is>
          <t>BAAY PROJECTS FINANCIALS 2024.xlsx</t>
        </is>
      </c>
      <c r="N459" s="15" t="inlineStr">
        <is>
          <t>OCTOBER TURNOVER</t>
        </is>
      </c>
      <c r="O459" s="15" t="n">
        <v>22</v>
      </c>
      <c r="P459" s="15" t="inlineStr">
        <is>
          <t>28/10/2024</t>
        </is>
      </c>
      <c r="Q459" s="15" t="inlineStr">
        <is>
          <t>MS BLESSING r114</t>
        </is>
      </c>
      <c r="R459" s="15" t="n"/>
    </row>
    <row r="460">
      <c r="A460" s="15" t="inlineStr">
        <is>
          <t>SL0456</t>
        </is>
      </c>
      <c r="B460" s="16" t="n">
        <v>45593</v>
      </c>
      <c r="C460" s="15" t="inlineStr">
        <is>
          <t>2024-10</t>
        </is>
      </c>
      <c r="D460" s="15" t="n">
        <v>2024</v>
      </c>
      <c r="E460" s="15" t="inlineStr">
        <is>
          <t>Land</t>
        </is>
      </c>
      <c r="F460" s="15" t="inlineStr">
        <is>
          <t>Plot / unit price</t>
        </is>
      </c>
      <c r="G460" s="15" t="inlineStr">
        <is>
          <t>Green City Phase 3 (Omu-Epe)</t>
        </is>
      </c>
      <c r="H460" s="15" t="inlineStr">
        <is>
          <t>BP-C0127</t>
        </is>
      </c>
      <c r="I460" s="15" t="inlineStr">
        <is>
          <t>Mr Adigun Muyiwa &amp; Mrs Adigun Folashade</t>
        </is>
      </c>
      <c r="J460" s="17" t="n">
        <v>700000</v>
      </c>
      <c r="K460" s="15" t="inlineStr">
        <is>
          <t>Allen Branch</t>
        </is>
      </c>
      <c r="L460" s="15" t="inlineStr">
        <is>
          <t>Primary: monthly turnover register</t>
        </is>
      </c>
      <c r="M460" s="15" t="inlineStr">
        <is>
          <t>BAAY PROJECTS FINANCIALS 2024.xlsx</t>
        </is>
      </c>
      <c r="N460" s="15" t="inlineStr">
        <is>
          <t>OCTOBER TURNOVER</t>
        </is>
      </c>
      <c r="O460" s="15" t="n">
        <v>28</v>
      </c>
      <c r="P460" s="15" t="inlineStr">
        <is>
          <t>28/10/2024</t>
        </is>
      </c>
      <c r="Q460" s="15" t="inlineStr">
        <is>
          <t>MR AYENI MAYOWA r9</t>
        </is>
      </c>
      <c r="R460" s="15" t="n"/>
    </row>
    <row r="461">
      <c r="A461" s="15" t="inlineStr">
        <is>
          <t>SL0457</t>
        </is>
      </c>
      <c r="B461" s="16" t="n">
        <v>45593</v>
      </c>
      <c r="C461" s="15" t="inlineStr">
        <is>
          <t>2024-10</t>
        </is>
      </c>
      <c r="D461" s="15" t="n">
        <v>2024</v>
      </c>
      <c r="E461" s="15" t="inlineStr">
        <is>
          <t>Housing</t>
        </is>
      </c>
      <c r="F461" s="15" t="inlineStr">
        <is>
          <t>Plot / unit price</t>
        </is>
      </c>
      <c r="G461" s="15" t="inlineStr">
        <is>
          <t>Pacific Apartment</t>
        </is>
      </c>
      <c r="H461" s="15" t="inlineStr">
        <is>
          <t>BP-C0140</t>
        </is>
      </c>
      <c r="I461" s="15" t="inlineStr">
        <is>
          <t>Mr Balogun Akeem Tokunbo</t>
        </is>
      </c>
      <c r="J461" s="17" t="n">
        <v>10000000</v>
      </c>
      <c r="K461" s="15" t="inlineStr">
        <is>
          <t>Magodo Branch</t>
        </is>
      </c>
      <c r="L461" s="15" t="inlineStr">
        <is>
          <t>Primary: monthly turnover register</t>
        </is>
      </c>
      <c r="M461" s="15" t="inlineStr">
        <is>
          <t>BAAY PROJECTS FINANCIALS 2024.xlsx</t>
        </is>
      </c>
      <c r="N461" s="15" t="inlineStr">
        <is>
          <t>OCTOBER TURNOVER</t>
        </is>
      </c>
      <c r="O461" s="15" t="n">
        <v>23</v>
      </c>
      <c r="P461" s="15" t="inlineStr">
        <is>
          <t>28/10/2024</t>
        </is>
      </c>
      <c r="Q461" s="15" t="inlineStr">
        <is>
          <t>MAMA ADEBIMPE r4</t>
        </is>
      </c>
      <c r="R461" s="15" t="n"/>
    </row>
    <row r="462">
      <c r="A462" s="15" t="inlineStr">
        <is>
          <t>SL0458</t>
        </is>
      </c>
      <c r="B462" s="16" t="n">
        <v>45594</v>
      </c>
      <c r="C462" s="15" t="inlineStr">
        <is>
          <t>2024-10</t>
        </is>
      </c>
      <c r="D462" s="15" t="n">
        <v>2024</v>
      </c>
      <c r="E462" s="15" t="inlineStr">
        <is>
          <t>Land</t>
        </is>
      </c>
      <c r="F462" s="15" t="inlineStr">
        <is>
          <t>Plot / unit price</t>
        </is>
      </c>
      <c r="G462" s="15" t="inlineStr">
        <is>
          <t>Green City Phase 3 (Omu-Epe)</t>
        </is>
      </c>
      <c r="H462" s="15" t="inlineStr">
        <is>
          <t>BP-C0133</t>
        </is>
      </c>
      <c r="I462" s="15" t="inlineStr">
        <is>
          <t>Mr Olagbende Oluwashina</t>
        </is>
      </c>
      <c r="J462" s="17" t="n">
        <v>400000</v>
      </c>
      <c r="K462" s="15" t="inlineStr">
        <is>
          <t>Magodo Branch</t>
        </is>
      </c>
      <c r="L462" s="15" t="inlineStr">
        <is>
          <t>Primary: monthly turnover register</t>
        </is>
      </c>
      <c r="M462" s="15" t="inlineStr">
        <is>
          <t>BAAY PROJECTS FINANCIALS 2024.xlsx</t>
        </is>
      </c>
      <c r="N462" s="15" t="inlineStr">
        <is>
          <t>OCTOBER TURNOVER</t>
        </is>
      </c>
      <c r="O462" s="15" t="n">
        <v>24</v>
      </c>
      <c r="P462" s="15" t="inlineStr">
        <is>
          <t>29/10/2024</t>
        </is>
      </c>
      <c r="Q462" s="15" t="inlineStr">
        <is>
          <t>MS AWONORIN MAYOWA r10</t>
        </is>
      </c>
      <c r="R462" s="15" t="n"/>
    </row>
    <row r="463">
      <c r="A463" s="15" t="inlineStr">
        <is>
          <t>SL0459</t>
        </is>
      </c>
      <c r="B463" s="16" t="n">
        <v>45595</v>
      </c>
      <c r="C463" s="15" t="inlineStr">
        <is>
          <t>2024-10</t>
        </is>
      </c>
      <c r="D463" s="15" t="n">
        <v>2024</v>
      </c>
      <c r="E463" s="15" t="inlineStr">
        <is>
          <t>Land</t>
        </is>
      </c>
      <c r="F463" s="15" t="inlineStr">
        <is>
          <t>Plot / unit price</t>
        </is>
      </c>
      <c r="G463" s="15" t="inlineStr">
        <is>
          <t>Green City Phase 2 (Ketu-Epe)</t>
        </is>
      </c>
      <c r="H463" s="15" t="inlineStr">
        <is>
          <t>BP-C0097</t>
        </is>
      </c>
      <c r="I463" s="15" t="inlineStr">
        <is>
          <t>Engr Fagbulu Taiwo</t>
        </is>
      </c>
      <c r="J463" s="17" t="n">
        <v>700000</v>
      </c>
      <c r="K463" s="15" t="inlineStr">
        <is>
          <t>Magodo Branch</t>
        </is>
      </c>
      <c r="L463" s="15" t="inlineStr">
        <is>
          <t>Primary: monthly turnover register</t>
        </is>
      </c>
      <c r="M463" s="15" t="inlineStr">
        <is>
          <t>BAAY PROJECTS FINANCIALS 2024.xlsx</t>
        </is>
      </c>
      <c r="N463" s="15" t="inlineStr">
        <is>
          <t>OCTOBER TURNOVER</t>
        </is>
      </c>
      <c r="O463" s="15" t="n">
        <v>25</v>
      </c>
      <c r="P463" s="15" t="inlineStr">
        <is>
          <t>30/10/2024</t>
        </is>
      </c>
      <c r="Q463" s="15" t="inlineStr">
        <is>
          <t>MR HENRY r19</t>
        </is>
      </c>
      <c r="R463" s="15" t="n"/>
    </row>
    <row r="464">
      <c r="A464" s="15" t="inlineStr">
        <is>
          <t>SL0460</t>
        </is>
      </c>
      <c r="B464" s="16" t="n">
        <v>45595</v>
      </c>
      <c r="C464" s="15" t="inlineStr">
        <is>
          <t>2024-10</t>
        </is>
      </c>
      <c r="D464" s="15" t="n">
        <v>2024</v>
      </c>
      <c r="E464" s="15" t="inlineStr">
        <is>
          <t>Land</t>
        </is>
      </c>
      <c r="F464" s="15" t="inlineStr">
        <is>
          <t>Plot / unit price</t>
        </is>
      </c>
      <c r="G464" s="15" t="inlineStr">
        <is>
          <t>Green City Phase 2 (Ketu-Epe)</t>
        </is>
      </c>
      <c r="H464" s="15" t="inlineStr">
        <is>
          <t>BP-C0141</t>
        </is>
      </c>
      <c r="I464" s="15" t="inlineStr">
        <is>
          <t>Mr Aremu Kayode Sarafa</t>
        </is>
      </c>
      <c r="J464" s="17" t="n">
        <v>2000000</v>
      </c>
      <c r="K464" s="15" t="inlineStr">
        <is>
          <t>Allen Branch</t>
        </is>
      </c>
      <c r="L464" s="15" t="inlineStr">
        <is>
          <t>Primary: monthly turnover register</t>
        </is>
      </c>
      <c r="M464" s="15" t="inlineStr">
        <is>
          <t>BAAY PROJECTS FINANCIALS 2024.xlsx</t>
        </is>
      </c>
      <c r="N464" s="15" t="inlineStr">
        <is>
          <t>OCTOBER TURNOVER</t>
        </is>
      </c>
      <c r="O464" s="15" t="n">
        <v>29</v>
      </c>
      <c r="P464" s="15" t="inlineStr">
        <is>
          <t>30/10/2024</t>
        </is>
      </c>
      <c r="Q464" s="15" t="inlineStr">
        <is>
          <t>OGIDAN r36</t>
        </is>
      </c>
      <c r="R464" s="15" t="n"/>
    </row>
    <row r="465">
      <c r="A465" s="15" t="inlineStr">
        <is>
          <t>SL0461</t>
        </is>
      </c>
      <c r="B465" s="16" t="n">
        <v>45595</v>
      </c>
      <c r="C465" s="15" t="inlineStr">
        <is>
          <t>2024-10</t>
        </is>
      </c>
      <c r="D465" s="15" t="n">
        <v>2024</v>
      </c>
      <c r="E465" s="15" t="inlineStr">
        <is>
          <t>Housing</t>
        </is>
      </c>
      <c r="F465" s="15" t="inlineStr">
        <is>
          <t>Plot / unit price</t>
        </is>
      </c>
      <c r="G465" s="15" t="inlineStr">
        <is>
          <t>Pacific Apartment</t>
        </is>
      </c>
      <c r="H465" s="15" t="inlineStr">
        <is>
          <t>BP-C0140</t>
        </is>
      </c>
      <c r="I465" s="15" t="inlineStr">
        <is>
          <t>Mr Balogun Akeem Tokunbo</t>
        </is>
      </c>
      <c r="J465" s="17" t="n">
        <v>20000000</v>
      </c>
      <c r="K465" s="15" t="inlineStr">
        <is>
          <t>Magodo Branch</t>
        </is>
      </c>
      <c r="L465" s="15" t="inlineStr">
        <is>
          <t>Primary: monthly turnover register</t>
        </is>
      </c>
      <c r="M465" s="15" t="inlineStr">
        <is>
          <t>BAAY PROJECTS FINANCIALS 2024.xlsx</t>
        </is>
      </c>
      <c r="N465" s="15" t="inlineStr">
        <is>
          <t>OCTOBER TURNOVER</t>
        </is>
      </c>
      <c r="O465" s="15" t="n">
        <v>26</v>
      </c>
      <c r="P465" s="15" t="inlineStr">
        <is>
          <t>30/10/2024</t>
        </is>
      </c>
      <c r="Q465" s="15" t="n"/>
      <c r="R465" s="15" t="n"/>
    </row>
    <row r="466">
      <c r="A466" s="15" t="inlineStr">
        <is>
          <t>SL0462</t>
        </is>
      </c>
      <c r="B466" s="16" t="n">
        <v>45595</v>
      </c>
      <c r="C466" s="15" t="inlineStr">
        <is>
          <t>2024-10</t>
        </is>
      </c>
      <c r="D466" s="15" t="n">
        <v>2024</v>
      </c>
      <c r="E466" s="15" t="inlineStr">
        <is>
          <t>Land</t>
        </is>
      </c>
      <c r="F466" s="15" t="inlineStr">
        <is>
          <t>Plot / unit price</t>
        </is>
      </c>
      <c r="G466" s="15" t="inlineStr">
        <is>
          <t>Green City Phase 3 (Omu-Epe)</t>
        </is>
      </c>
      <c r="H466" s="15" t="inlineStr">
        <is>
          <t>BP-C0133</t>
        </is>
      </c>
      <c r="I466" s="15" t="inlineStr">
        <is>
          <t>Mr Olagbende Oluwashina</t>
        </is>
      </c>
      <c r="J466" s="17" t="n">
        <v>100000</v>
      </c>
      <c r="K466" s="15" t="inlineStr">
        <is>
          <t>Magodo Branch</t>
        </is>
      </c>
      <c r="L466" s="15" t="inlineStr">
        <is>
          <t>Primary: monthly turnover register</t>
        </is>
      </c>
      <c r="M466" s="15" t="inlineStr">
        <is>
          <t>BAAY PROJECTS FINANCIALS 2024.xlsx</t>
        </is>
      </c>
      <c r="N466" s="15" t="inlineStr">
        <is>
          <t>OCTOBER TURNOVER</t>
        </is>
      </c>
      <c r="O466" s="15" t="n">
        <v>28</v>
      </c>
      <c r="P466" s="15" t="inlineStr">
        <is>
          <t>30/10/2024</t>
        </is>
      </c>
      <c r="Q466" s="15" t="inlineStr">
        <is>
          <t>MS AWONORIN MAYOWA r11</t>
        </is>
      </c>
      <c r="R466" s="15" t="n"/>
    </row>
    <row r="467">
      <c r="A467" s="15" t="inlineStr">
        <is>
          <t>SL0463</t>
        </is>
      </c>
      <c r="B467" s="16" t="n">
        <v>45595</v>
      </c>
      <c r="C467" s="15" t="inlineStr">
        <is>
          <t>2024-10</t>
        </is>
      </c>
      <c r="D467" s="15" t="n">
        <v>2024</v>
      </c>
      <c r="E467" s="15" t="inlineStr">
        <is>
          <t>Housing</t>
        </is>
      </c>
      <c r="F467" s="15" t="inlineStr">
        <is>
          <t>Plot / unit price</t>
        </is>
      </c>
      <c r="G467" s="15" t="inlineStr">
        <is>
          <t>Pacific Apartment</t>
        </is>
      </c>
      <c r="H467" s="15" t="inlineStr">
        <is>
          <t>BP-C0142</t>
        </is>
      </c>
      <c r="I467" s="15" t="inlineStr">
        <is>
          <t>Mr Simien Samuel &amp; Mrs Simien Oyindamola Adekunle</t>
        </is>
      </c>
      <c r="J467" s="17" t="n">
        <v>10000000</v>
      </c>
      <c r="K467" s="15" t="inlineStr">
        <is>
          <t>Magodo Branch</t>
        </is>
      </c>
      <c r="L467" s="15" t="inlineStr">
        <is>
          <t>Primary: monthly turnover register</t>
        </is>
      </c>
      <c r="M467" s="15" t="inlineStr">
        <is>
          <t>BAAY PROJECTS FINANCIALS 2024.xlsx</t>
        </is>
      </c>
      <c r="N467" s="15" t="inlineStr">
        <is>
          <t>OCTOBER TURNOVER</t>
        </is>
      </c>
      <c r="O467" s="15" t="n">
        <v>27</v>
      </c>
      <c r="P467" s="15" t="inlineStr">
        <is>
          <t>30/10/2024</t>
        </is>
      </c>
      <c r="Q467" s="15" t="inlineStr">
        <is>
          <t>MAMA ADEBIMPE r36</t>
        </is>
      </c>
      <c r="R467" s="15" t="n"/>
    </row>
    <row r="468">
      <c r="A468" s="15" t="inlineStr">
        <is>
          <t>SL0464</t>
        </is>
      </c>
      <c r="B468" s="16" t="n">
        <v>45596</v>
      </c>
      <c r="C468" s="15" t="inlineStr">
        <is>
          <t>2024-10</t>
        </is>
      </c>
      <c r="D468" s="15" t="n">
        <v>2024</v>
      </c>
      <c r="E468" s="15" t="inlineStr">
        <is>
          <t>Land</t>
        </is>
      </c>
      <c r="F468" s="15" t="inlineStr">
        <is>
          <t>Plot / unit price</t>
        </is>
      </c>
      <c r="G468" s="15" t="inlineStr">
        <is>
          <t>Green City Phase 2 (Ketu-Epe)</t>
        </is>
      </c>
      <c r="H468" s="15" t="inlineStr">
        <is>
          <t>BP-C0097</t>
        </is>
      </c>
      <c r="I468" s="15" t="inlineStr">
        <is>
          <t>Engr Fagbulu Taiwo</t>
        </is>
      </c>
      <c r="J468" s="17" t="n">
        <v>175000</v>
      </c>
      <c r="K468" s="15" t="inlineStr">
        <is>
          <t>Magodo Branch</t>
        </is>
      </c>
      <c r="L468" s="15" t="inlineStr">
        <is>
          <t>Primary: monthly turnover register</t>
        </is>
      </c>
      <c r="M468" s="15" t="inlineStr">
        <is>
          <t>BAAY PROJECTS FINANCIALS 2024.xlsx</t>
        </is>
      </c>
      <c r="N468" s="15" t="inlineStr">
        <is>
          <t>OCTOBER TURNOVER</t>
        </is>
      </c>
      <c r="O468" s="15" t="n">
        <v>29</v>
      </c>
      <c r="P468" s="15" t="inlineStr">
        <is>
          <t>31/10/2024</t>
        </is>
      </c>
      <c r="Q468" s="15" t="inlineStr">
        <is>
          <t>MR HENRY r20</t>
        </is>
      </c>
      <c r="R468" s="15" t="n"/>
    </row>
    <row r="469">
      <c r="A469" s="15" t="inlineStr">
        <is>
          <t>SL0465</t>
        </is>
      </c>
      <c r="B469" s="16" t="n">
        <v>45596</v>
      </c>
      <c r="C469" s="15" t="inlineStr">
        <is>
          <t>2024-10</t>
        </is>
      </c>
      <c r="D469" s="15" t="n">
        <v>2024</v>
      </c>
      <c r="E469" s="15" t="inlineStr">
        <is>
          <t>Land</t>
        </is>
      </c>
      <c r="F469" s="15" t="inlineStr">
        <is>
          <t>Plot / unit price</t>
        </is>
      </c>
      <c r="G469" s="15" t="inlineStr">
        <is>
          <t>Green City Phase 3 (Omu-Epe)</t>
        </is>
      </c>
      <c r="H469" s="15" t="inlineStr">
        <is>
          <t>BP-C0066</t>
        </is>
      </c>
      <c r="I469" s="15" t="inlineStr">
        <is>
          <t>Miss Omosanya Dotun Akeju</t>
        </is>
      </c>
      <c r="J469" s="17" t="n">
        <v>1400000</v>
      </c>
      <c r="K469" s="15" t="inlineStr">
        <is>
          <t>Allen Branch</t>
        </is>
      </c>
      <c r="L469" s="15" t="inlineStr">
        <is>
          <t>Primary: monthly turnover register</t>
        </is>
      </c>
      <c r="M469" s="15" t="inlineStr">
        <is>
          <t>BAAY PROJECTS FINANCIALS 2024.xlsx</t>
        </is>
      </c>
      <c r="N469" s="15" t="inlineStr">
        <is>
          <t>OCTOBER TURNOVER</t>
        </is>
      </c>
      <c r="O469" s="15" t="n">
        <v>30</v>
      </c>
      <c r="P469" s="15" t="inlineStr">
        <is>
          <t>31/10/2024</t>
        </is>
      </c>
      <c r="Q469" s="15" t="inlineStr">
        <is>
          <t>MS BOLANLE r112, MS BLESSING OJI r52</t>
        </is>
      </c>
      <c r="R469" s="15" t="n"/>
    </row>
    <row r="470">
      <c r="A470" s="15" t="inlineStr">
        <is>
          <t>SL0466</t>
        </is>
      </c>
      <c r="B470" s="16" t="n">
        <v>45596</v>
      </c>
      <c r="C470" s="15" t="inlineStr">
        <is>
          <t>2024-10</t>
        </is>
      </c>
      <c r="D470" s="15" t="n">
        <v>2024</v>
      </c>
      <c r="E470" s="15" t="inlineStr">
        <is>
          <t>Land</t>
        </is>
      </c>
      <c r="F470" s="15" t="inlineStr">
        <is>
          <t>Plot / unit price</t>
        </is>
      </c>
      <c r="G470" s="15" t="inlineStr">
        <is>
          <t>Green City Phase 3 (Omu-Epe)</t>
        </is>
      </c>
      <c r="H470" s="15" t="inlineStr">
        <is>
          <t>BP-C0132</t>
        </is>
      </c>
      <c r="I470" s="15" t="inlineStr">
        <is>
          <t>Mr Adekunle Ajayi Temitope</t>
        </is>
      </c>
      <c r="J470" s="17" t="n">
        <v>1665000</v>
      </c>
      <c r="K470" s="15" t="inlineStr">
        <is>
          <t>Magodo Branch</t>
        </is>
      </c>
      <c r="L470" s="15" t="inlineStr">
        <is>
          <t>Primary: monthly turnover register</t>
        </is>
      </c>
      <c r="M470" s="15" t="inlineStr">
        <is>
          <t>BAAY PROJECTS FINANCIALS 2024.xlsx</t>
        </is>
      </c>
      <c r="N470" s="15" t="inlineStr">
        <is>
          <t>OCTOBER TURNOVER</t>
        </is>
      </c>
      <c r="O470" s="15" t="n">
        <v>30</v>
      </c>
      <c r="P470" s="15" t="inlineStr">
        <is>
          <t>31/10/2024</t>
        </is>
      </c>
      <c r="Q470" s="15" t="inlineStr">
        <is>
          <t>MS OPEYEMI ADEGOKE r5</t>
        </is>
      </c>
      <c r="R470" s="15" t="n"/>
    </row>
    <row r="471">
      <c r="A471" s="15" t="inlineStr">
        <is>
          <t>SL0467</t>
        </is>
      </c>
      <c r="B471" s="16" t="n">
        <v>45597</v>
      </c>
      <c r="C471" s="15" t="inlineStr">
        <is>
          <t>2024-11</t>
        </is>
      </c>
      <c r="D471" s="15" t="n">
        <v>2024</v>
      </c>
      <c r="E471" s="15" t="inlineStr">
        <is>
          <t>Land</t>
        </is>
      </c>
      <c r="F471" s="15" t="inlineStr">
        <is>
          <t>Plot / unit price</t>
        </is>
      </c>
      <c r="G471" s="15" t="inlineStr">
        <is>
          <t>Green City Phase 3 (Omu-Epe)</t>
        </is>
      </c>
      <c r="H471" s="15" t="inlineStr">
        <is>
          <t>BP-C0026</t>
        </is>
      </c>
      <c r="I471" s="15" t="inlineStr">
        <is>
          <t>Mr &amp; Mrs Adebayo Dada</t>
        </is>
      </c>
      <c r="J471" s="17" t="n">
        <v>500000</v>
      </c>
      <c r="K471" s="15" t="inlineStr">
        <is>
          <t>Allen Branch</t>
        </is>
      </c>
      <c r="L471" s="15" t="inlineStr">
        <is>
          <t>Primary: monthly turnover register</t>
        </is>
      </c>
      <c r="M471" s="15" t="inlineStr">
        <is>
          <t>BAAY PROJECTS FINANCIALS 2024.xlsx</t>
        </is>
      </c>
      <c r="N471" s="15" t="inlineStr">
        <is>
          <t>NOVEMBER TURNOVER</t>
        </is>
      </c>
      <c r="O471" s="15" t="n">
        <v>8</v>
      </c>
      <c r="P471" s="15" t="inlineStr">
        <is>
          <t>2024-01-11</t>
        </is>
      </c>
      <c r="Q471" s="15" t="inlineStr">
        <is>
          <t>MRS ABIMBOLA r162</t>
        </is>
      </c>
      <c r="R471" s="15" t="n"/>
    </row>
    <row r="472">
      <c r="A472" s="15" t="inlineStr">
        <is>
          <t>SL0468</t>
        </is>
      </c>
      <c r="B472" s="16" t="n">
        <v>45598</v>
      </c>
      <c r="C472" s="15" t="inlineStr">
        <is>
          <t>2024-11</t>
        </is>
      </c>
      <c r="D472" s="15" t="n">
        <v>2024</v>
      </c>
      <c r="E472" s="15" t="inlineStr">
        <is>
          <t>Land</t>
        </is>
      </c>
      <c r="F472" s="15" t="inlineStr">
        <is>
          <t>Plot / unit price</t>
        </is>
      </c>
      <c r="G472" s="15" t="inlineStr">
        <is>
          <t>Green City Phase 3 (Omu-Epe)</t>
        </is>
      </c>
      <c r="H472" s="15" t="inlineStr">
        <is>
          <t>BP-C0068</t>
        </is>
      </c>
      <c r="I472" s="15" t="inlineStr">
        <is>
          <t>Miss Ebhotah Sharon Aisosa</t>
        </is>
      </c>
      <c r="J472" s="17" t="n">
        <v>335000</v>
      </c>
      <c r="K472" s="15" t="inlineStr">
        <is>
          <t>Magodo Branch</t>
        </is>
      </c>
      <c r="L472" s="15" t="inlineStr">
        <is>
          <t>Primary: monthly turnover register</t>
        </is>
      </c>
      <c r="M472" s="15" t="inlineStr">
        <is>
          <t>BAAY PROJECTS FINANCIALS 2024.xlsx</t>
        </is>
      </c>
      <c r="N472" s="15" t="inlineStr">
        <is>
          <t>NOVEMBER TURNOVER</t>
        </is>
      </c>
      <c r="O472" s="15" t="n">
        <v>8</v>
      </c>
      <c r="P472" s="15" t="inlineStr">
        <is>
          <t>2024-02-11</t>
        </is>
      </c>
      <c r="Q472" s="15" t="inlineStr">
        <is>
          <t>MS BLESSING r121</t>
        </is>
      </c>
      <c r="R472" s="15" t="n"/>
    </row>
    <row r="473">
      <c r="A473" s="15" t="inlineStr">
        <is>
          <t>SL0469</t>
        </is>
      </c>
      <c r="B473" s="16" t="n">
        <v>45598</v>
      </c>
      <c r="C473" s="15" t="inlineStr">
        <is>
          <t>2024-11</t>
        </is>
      </c>
      <c r="D473" s="15" t="n">
        <v>2024</v>
      </c>
      <c r="E473" s="15" t="inlineStr">
        <is>
          <t>Land</t>
        </is>
      </c>
      <c r="F473" s="15" t="inlineStr">
        <is>
          <t>Plot / unit price</t>
        </is>
      </c>
      <c r="G473" s="15" t="inlineStr">
        <is>
          <t>Green City Phase 3 (Omu-Epe)</t>
        </is>
      </c>
      <c r="H473" s="15" t="inlineStr">
        <is>
          <t>BP-C0144</t>
        </is>
      </c>
      <c r="I473" s="15" t="inlineStr">
        <is>
          <t>Miss Thomas Bukola Comfort</t>
        </is>
      </c>
      <c r="J473" s="17" t="n">
        <v>300000</v>
      </c>
      <c r="K473" s="15" t="inlineStr">
        <is>
          <t>Allen Branch</t>
        </is>
      </c>
      <c r="L473" s="15" t="inlineStr">
        <is>
          <t>Primary: monthly turnover register</t>
        </is>
      </c>
      <c r="M473" s="15" t="inlineStr">
        <is>
          <t>BAAY PROJECTS FINANCIALS 2024.xlsx</t>
        </is>
      </c>
      <c r="N473" s="15" t="inlineStr">
        <is>
          <t>NOVEMBER TURNOVER</t>
        </is>
      </c>
      <c r="O473" s="15" t="n">
        <v>9</v>
      </c>
      <c r="P473" s="15" t="inlineStr">
        <is>
          <t>2024-02-11</t>
        </is>
      </c>
      <c r="Q473" s="15" t="n"/>
      <c r="R473" s="15" t="n"/>
    </row>
    <row r="474">
      <c r="A474" s="15" t="inlineStr">
        <is>
          <t>SL0470</t>
        </is>
      </c>
      <c r="B474" s="16" t="n">
        <v>45598</v>
      </c>
      <c r="C474" s="15" t="inlineStr">
        <is>
          <t>2024-11</t>
        </is>
      </c>
      <c r="D474" s="15" t="n">
        <v>2024</v>
      </c>
      <c r="E474" s="15" t="inlineStr">
        <is>
          <t>Land</t>
        </is>
      </c>
      <c r="F474" s="15" t="inlineStr">
        <is>
          <t>Ancillary charge</t>
        </is>
      </c>
      <c r="G474" s="15" t="inlineStr">
        <is>
          <t>Land: development fee</t>
        </is>
      </c>
      <c r="H474" s="15" t="inlineStr">
        <is>
          <t>BP-C0030</t>
        </is>
      </c>
      <c r="I474" s="15" t="inlineStr">
        <is>
          <t>Mr Adese Akorede John</t>
        </is>
      </c>
      <c r="J474" s="17" t="n">
        <v>50000</v>
      </c>
      <c r="K474" s="15" t="inlineStr">
        <is>
          <t>Allen Branch</t>
        </is>
      </c>
      <c r="L474" s="15" t="inlineStr">
        <is>
          <t>Primary: monthly turnover register</t>
        </is>
      </c>
      <c r="M474" s="15" t="inlineStr">
        <is>
          <t>BAAY PROJECTS FINANCIALS 2024.xlsx</t>
        </is>
      </c>
      <c r="N474" s="15" t="inlineStr">
        <is>
          <t>NOVEMBER TURNOVER</t>
        </is>
      </c>
      <c r="O474" s="15" t="n">
        <v>10</v>
      </c>
      <c r="P474" s="15" t="inlineStr">
        <is>
          <t>2024-02-11</t>
        </is>
      </c>
      <c r="Q474" s="15" t="n"/>
      <c r="R474" s="15" t="n"/>
    </row>
    <row r="475">
      <c r="A475" s="15" t="inlineStr">
        <is>
          <t>SL0471</t>
        </is>
      </c>
      <c r="B475" s="16" t="n">
        <v>45598</v>
      </c>
      <c r="C475" s="15" t="inlineStr">
        <is>
          <t>2024-11</t>
        </is>
      </c>
      <c r="D475" s="15" t="n">
        <v>2024</v>
      </c>
      <c r="E475" s="15" t="inlineStr">
        <is>
          <t>Land</t>
        </is>
      </c>
      <c r="F475" s="15" t="inlineStr">
        <is>
          <t>Plot / unit price</t>
        </is>
      </c>
      <c r="G475" s="15" t="inlineStr">
        <is>
          <t>Green City Phase 2 (Ketu-Epe)</t>
        </is>
      </c>
      <c r="H475" s="15" t="inlineStr">
        <is>
          <t>BP-C0030</t>
        </is>
      </c>
      <c r="I475" s="15" t="inlineStr">
        <is>
          <t>Mr Adese Akorede John</t>
        </is>
      </c>
      <c r="J475" s="17" t="n">
        <v>200000</v>
      </c>
      <c r="K475" s="15" t="inlineStr">
        <is>
          <t>Allen Branch</t>
        </is>
      </c>
      <c r="L475" s="15" t="inlineStr">
        <is>
          <t>Primary: monthly turnover register</t>
        </is>
      </c>
      <c r="M475" s="15" t="inlineStr">
        <is>
          <t>BAAY PROJECTS FINANCIALS 2024.xlsx</t>
        </is>
      </c>
      <c r="N475" s="15" t="inlineStr">
        <is>
          <t>NOVEMBER TURNOVER</t>
        </is>
      </c>
      <c r="O475" s="15" t="n">
        <v>11</v>
      </c>
      <c r="P475" s="15" t="inlineStr">
        <is>
          <t>2024-02-11</t>
        </is>
      </c>
      <c r="Q475" s="15" t="inlineStr">
        <is>
          <t>MD r77</t>
        </is>
      </c>
      <c r="R475" s="15" t="n"/>
    </row>
    <row r="476">
      <c r="A476" s="15" t="inlineStr">
        <is>
          <t>SL0472</t>
        </is>
      </c>
      <c r="B476" s="16" t="n">
        <v>45598</v>
      </c>
      <c r="C476" s="15" t="inlineStr">
        <is>
          <t>2024-11</t>
        </is>
      </c>
      <c r="D476" s="15" t="n">
        <v>2024</v>
      </c>
      <c r="E476" s="15" t="inlineStr">
        <is>
          <t>Land</t>
        </is>
      </c>
      <c r="F476" s="15" t="inlineStr">
        <is>
          <t>Plot / unit price</t>
        </is>
      </c>
      <c r="G476" s="15" t="inlineStr">
        <is>
          <t>Green City Ibadan (Akinyele-Moniya)</t>
        </is>
      </c>
      <c r="H476" s="15" t="inlineStr">
        <is>
          <t>BP-C0030</t>
        </is>
      </c>
      <c r="I476" s="15" t="inlineStr">
        <is>
          <t>Mr Adese Akorede John</t>
        </is>
      </c>
      <c r="J476" s="17" t="n">
        <v>500000</v>
      </c>
      <c r="K476" s="15" t="inlineStr">
        <is>
          <t>Allen Branch</t>
        </is>
      </c>
      <c r="L476" s="15" t="inlineStr">
        <is>
          <t>Primary: monthly turnover register</t>
        </is>
      </c>
      <c r="M476" s="15" t="inlineStr">
        <is>
          <t>BAAY PROJECTS FINANCIALS 2024.xlsx</t>
        </is>
      </c>
      <c r="N476" s="15" t="inlineStr">
        <is>
          <t>NOVEMBER TURNOVER</t>
        </is>
      </c>
      <c r="O476" s="15" t="n">
        <v>12</v>
      </c>
      <c r="P476" s="15" t="inlineStr">
        <is>
          <t>2024-02-11</t>
        </is>
      </c>
      <c r="Q476" s="15" t="inlineStr">
        <is>
          <t>MD r78</t>
        </is>
      </c>
      <c r="R476" s="15" t="n"/>
    </row>
    <row r="477">
      <c r="A477" s="15" t="inlineStr">
        <is>
          <t>SL0473</t>
        </is>
      </c>
      <c r="B477" s="16" t="n">
        <v>45600</v>
      </c>
      <c r="C477" s="15" t="inlineStr">
        <is>
          <t>2024-11</t>
        </is>
      </c>
      <c r="D477" s="15" t="n">
        <v>2024</v>
      </c>
      <c r="E477" s="15" t="inlineStr">
        <is>
          <t>Land</t>
        </is>
      </c>
      <c r="F477" s="15" t="inlineStr">
        <is>
          <t>Plot / unit price</t>
        </is>
      </c>
      <c r="G477" s="15" t="inlineStr">
        <is>
          <t>Green City Phase 3 (Omu-Epe)</t>
        </is>
      </c>
      <c r="H477" s="15" t="inlineStr">
        <is>
          <t>BP-C0068</t>
        </is>
      </c>
      <c r="I477" s="15" t="inlineStr">
        <is>
          <t>Miss Ebhotah Sharon Aisosa</t>
        </is>
      </c>
      <c r="J477" s="17" t="n">
        <v>1000000</v>
      </c>
      <c r="K477" s="15" t="inlineStr">
        <is>
          <t>Magodo Branch</t>
        </is>
      </c>
      <c r="L477" s="15" t="inlineStr">
        <is>
          <t>Primary: monthly turnover register</t>
        </is>
      </c>
      <c r="M477" s="15" t="inlineStr">
        <is>
          <t>BAAY PROJECTS FINANCIALS 2024.xlsx</t>
        </is>
      </c>
      <c r="N477" s="15" t="inlineStr">
        <is>
          <t>NOVEMBER TURNOVER</t>
        </is>
      </c>
      <c r="O477" s="15" t="n">
        <v>9</v>
      </c>
      <c r="P477" s="15" t="inlineStr">
        <is>
          <t>2024-04-11</t>
        </is>
      </c>
      <c r="Q477" s="15" t="inlineStr">
        <is>
          <t>MS BLESSING r122</t>
        </is>
      </c>
      <c r="R477" s="15" t="n"/>
    </row>
    <row r="478">
      <c r="A478" s="15" t="inlineStr">
        <is>
          <t>SL0474</t>
        </is>
      </c>
      <c r="B478" s="16" t="n">
        <v>45601</v>
      </c>
      <c r="C478" s="15" t="inlineStr">
        <is>
          <t>2024-11</t>
        </is>
      </c>
      <c r="D478" s="15" t="n">
        <v>2024</v>
      </c>
      <c r="E478" s="15" t="inlineStr">
        <is>
          <t>Land</t>
        </is>
      </c>
      <c r="F478" s="15" t="inlineStr">
        <is>
          <t>Ancillary charge</t>
        </is>
      </c>
      <c r="G478" s="15" t="inlineStr">
        <is>
          <t>Land: corner piece premium</t>
        </is>
      </c>
      <c r="H478" s="15" t="inlineStr">
        <is>
          <t>BP-C0066</t>
        </is>
      </c>
      <c r="I478" s="15" t="inlineStr">
        <is>
          <t>Miss Omosanya Dotun Akeju</t>
        </is>
      </c>
      <c r="J478" s="17" t="n">
        <v>130000</v>
      </c>
      <c r="K478" s="15" t="inlineStr">
        <is>
          <t>Allen Branch</t>
        </is>
      </c>
      <c r="L478" s="15" t="inlineStr">
        <is>
          <t>Primary: monthly turnover register</t>
        </is>
      </c>
      <c r="M478" s="15" t="inlineStr">
        <is>
          <t>BAAY PROJECTS FINANCIALS 2024.xlsx</t>
        </is>
      </c>
      <c r="N478" s="15" t="inlineStr">
        <is>
          <t>NOVEMBER TURNOVER</t>
        </is>
      </c>
      <c r="O478" s="15" t="n">
        <v>13</v>
      </c>
      <c r="P478" s="15" t="inlineStr">
        <is>
          <t>2024-05-11</t>
        </is>
      </c>
      <c r="Q478" s="15" t="n"/>
      <c r="R478" s="15" t="n"/>
    </row>
    <row r="479">
      <c r="A479" s="15" t="inlineStr">
        <is>
          <t>SL0475</t>
        </is>
      </c>
      <c r="B479" s="16" t="n">
        <v>45601</v>
      </c>
      <c r="C479" s="15" t="inlineStr">
        <is>
          <t>2024-11</t>
        </is>
      </c>
      <c r="D479" s="15" t="n">
        <v>2024</v>
      </c>
      <c r="E479" s="15" t="inlineStr">
        <is>
          <t>Land</t>
        </is>
      </c>
      <c r="F479" s="15" t="inlineStr">
        <is>
          <t>Plot / unit price</t>
        </is>
      </c>
      <c r="G479" s="15" t="inlineStr">
        <is>
          <t>Green City Phase 3 (Omu-Epe)</t>
        </is>
      </c>
      <c r="H479" s="15" t="inlineStr">
        <is>
          <t>BP-C0133</t>
        </is>
      </c>
      <c r="I479" s="15" t="inlineStr">
        <is>
          <t>Mr Olagbende Oluwashina</t>
        </is>
      </c>
      <c r="J479" s="17" t="n">
        <v>100000</v>
      </c>
      <c r="K479" s="15" t="inlineStr">
        <is>
          <t>Magodo Branch</t>
        </is>
      </c>
      <c r="L479" s="15" t="inlineStr">
        <is>
          <t>Primary: monthly turnover register</t>
        </is>
      </c>
      <c r="M479" s="15" t="inlineStr">
        <is>
          <t>BAAY PROJECTS FINANCIALS 2024.xlsx</t>
        </is>
      </c>
      <c r="N479" s="15" t="inlineStr">
        <is>
          <t>NOVEMBER TURNOVER</t>
        </is>
      </c>
      <c r="O479" s="15" t="n">
        <v>10</v>
      </c>
      <c r="P479" s="15" t="inlineStr">
        <is>
          <t>05/11/1014</t>
        </is>
      </c>
      <c r="Q479" s="15" t="n"/>
      <c r="R479" s="15" t="inlineStr">
        <is>
          <t>Year typed as 1014 in source (05/11/1014); corrected to 2024 from the sheet month</t>
        </is>
      </c>
    </row>
    <row r="480">
      <c r="A480" s="15" t="inlineStr">
        <is>
          <t>SL0476</t>
        </is>
      </c>
      <c r="B480" s="16" t="n">
        <v>45602</v>
      </c>
      <c r="C480" s="15" t="inlineStr">
        <is>
          <t>2024-11</t>
        </is>
      </c>
      <c r="D480" s="15" t="n">
        <v>2024</v>
      </c>
      <c r="E480" s="15" t="inlineStr">
        <is>
          <t>Land</t>
        </is>
      </c>
      <c r="F480" s="15" t="inlineStr">
        <is>
          <t>Plot / unit price</t>
        </is>
      </c>
      <c r="G480" s="15" t="inlineStr">
        <is>
          <t>Green City Phase 3 (Omu-Epe)</t>
        </is>
      </c>
      <c r="H480" s="15" t="inlineStr">
        <is>
          <t>BP-C0133</t>
        </is>
      </c>
      <c r="I480" s="15" t="inlineStr">
        <is>
          <t>Mr Olagbende Oluwashina</t>
        </is>
      </c>
      <c r="J480" s="17" t="n">
        <v>200000</v>
      </c>
      <c r="K480" s="15" t="inlineStr">
        <is>
          <t>Magodo Branch</t>
        </is>
      </c>
      <c r="L480" s="15" t="inlineStr">
        <is>
          <t>Primary: monthly turnover register</t>
        </is>
      </c>
      <c r="M480" s="15" t="inlineStr">
        <is>
          <t>BAAY PROJECTS FINANCIALS 2024.xlsx</t>
        </is>
      </c>
      <c r="N480" s="15" t="inlineStr">
        <is>
          <t>NOVEMBER TURNOVER</t>
        </is>
      </c>
      <c r="O480" s="15" t="n">
        <v>11</v>
      </c>
      <c r="P480" s="15" t="inlineStr">
        <is>
          <t>2024-06-11</t>
        </is>
      </c>
      <c r="Q480" s="15" t="inlineStr">
        <is>
          <t>MS AWONORIN MAYOWA r18</t>
        </is>
      </c>
      <c r="R480" s="15" t="n"/>
    </row>
    <row r="481">
      <c r="A481" s="15" t="inlineStr">
        <is>
          <t>SL0477</t>
        </is>
      </c>
      <c r="B481" s="16" t="n">
        <v>45602</v>
      </c>
      <c r="C481" s="15" t="inlineStr">
        <is>
          <t>2024-11</t>
        </is>
      </c>
      <c r="D481" s="15" t="n">
        <v>2024</v>
      </c>
      <c r="E481" s="15" t="inlineStr">
        <is>
          <t>Land</t>
        </is>
      </c>
      <c r="F481" s="15" t="inlineStr">
        <is>
          <t>Plot / unit price</t>
        </is>
      </c>
      <c r="G481" s="15" t="inlineStr">
        <is>
          <t>Heritage Garden</t>
        </is>
      </c>
      <c r="H481" s="15" t="inlineStr">
        <is>
          <t>BP-C0129</t>
        </is>
      </c>
      <c r="I481" s="15" t="inlineStr">
        <is>
          <t>Mr Tedunjaye Ilerioluwa Michael</t>
        </is>
      </c>
      <c r="J481" s="17" t="n">
        <v>145000</v>
      </c>
      <c r="K481" s="15" t="inlineStr">
        <is>
          <t>Allen Branch</t>
        </is>
      </c>
      <c r="L481" s="15" t="inlineStr">
        <is>
          <t>Primary: monthly turnover register</t>
        </is>
      </c>
      <c r="M481" s="15" t="inlineStr">
        <is>
          <t>BAAY PROJECTS FINANCIALS 2024.xlsx</t>
        </is>
      </c>
      <c r="N481" s="15" t="inlineStr">
        <is>
          <t>NOVEMBER TURNOVER</t>
        </is>
      </c>
      <c r="O481" s="15" t="n">
        <v>14</v>
      </c>
      <c r="P481" s="15" t="inlineStr">
        <is>
          <t>2024-06-11</t>
        </is>
      </c>
      <c r="Q481" s="15" t="n"/>
      <c r="R481" s="15" t="n"/>
    </row>
    <row r="482">
      <c r="A482" s="15" t="inlineStr">
        <is>
          <t>SL0478</t>
        </is>
      </c>
      <c r="B482" s="16" t="n">
        <v>45603</v>
      </c>
      <c r="C482" s="15" t="inlineStr">
        <is>
          <t>2024-11</t>
        </is>
      </c>
      <c r="D482" s="15" t="n">
        <v>2024</v>
      </c>
      <c r="E482" s="15" t="inlineStr">
        <is>
          <t>Land</t>
        </is>
      </c>
      <c r="F482" s="15" t="inlineStr">
        <is>
          <t>Plot / unit price</t>
        </is>
      </c>
      <c r="G482" s="15" t="inlineStr">
        <is>
          <t>Green City Phase 2 (Ketu-Epe)</t>
        </is>
      </c>
      <c r="H482" s="15" t="inlineStr">
        <is>
          <t>BP-C0126</t>
        </is>
      </c>
      <c r="I482" s="15" t="inlineStr">
        <is>
          <t>Miss Ogundipe Motunrayo Fransisca</t>
        </is>
      </c>
      <c r="J482" s="17" t="n">
        <v>3000000</v>
      </c>
      <c r="K482" s="15" t="inlineStr">
        <is>
          <t>Allen Branch</t>
        </is>
      </c>
      <c r="L482" s="15" t="inlineStr">
        <is>
          <t>Primary: monthly turnover register</t>
        </is>
      </c>
      <c r="M482" s="15" t="inlineStr">
        <is>
          <t>BAAY PROJECTS FINANCIALS 2024.xlsx</t>
        </is>
      </c>
      <c r="N482" s="15" t="inlineStr">
        <is>
          <t>NOVEMBER TURNOVER</t>
        </is>
      </c>
      <c r="O482" s="15" t="n">
        <v>16</v>
      </c>
      <c r="P482" s="15" t="inlineStr">
        <is>
          <t>2024-07-11</t>
        </is>
      </c>
      <c r="Q482" s="15" t="inlineStr">
        <is>
          <t>MD r80</t>
        </is>
      </c>
      <c r="R482" s="15" t="n"/>
    </row>
    <row r="483">
      <c r="A483" s="15" t="inlineStr">
        <is>
          <t>SL0479</t>
        </is>
      </c>
      <c r="B483" s="16" t="n">
        <v>45603</v>
      </c>
      <c r="C483" s="15" t="inlineStr">
        <is>
          <t>2024-11</t>
        </is>
      </c>
      <c r="D483" s="15" t="n">
        <v>2024</v>
      </c>
      <c r="E483" s="15" t="inlineStr">
        <is>
          <t>Land</t>
        </is>
      </c>
      <c r="F483" s="15" t="inlineStr">
        <is>
          <t>Ancillary charge</t>
        </is>
      </c>
      <c r="G483" s="15" t="inlineStr">
        <is>
          <t>Land: corner piece premium</t>
        </is>
      </c>
      <c r="H483" s="15" t="inlineStr">
        <is>
          <t>BP-C0110</t>
        </is>
      </c>
      <c r="I483" s="15" t="inlineStr">
        <is>
          <t>Mr Adeyemi Kayode</t>
        </is>
      </c>
      <c r="J483" s="17" t="n">
        <v>135000</v>
      </c>
      <c r="K483" s="15" t="inlineStr">
        <is>
          <t>Allen Branch</t>
        </is>
      </c>
      <c r="L483" s="15" t="inlineStr">
        <is>
          <t>Primary: monthly turnover register</t>
        </is>
      </c>
      <c r="M483" s="15" t="inlineStr">
        <is>
          <t>BAAY PROJECTS FINANCIALS 2024.xlsx</t>
        </is>
      </c>
      <c r="N483" s="15" t="inlineStr">
        <is>
          <t>NOVEMBER TURNOVER</t>
        </is>
      </c>
      <c r="O483" s="15" t="n">
        <v>15</v>
      </c>
      <c r="P483" s="15" t="inlineStr">
        <is>
          <t>2024-07-11</t>
        </is>
      </c>
      <c r="Q483" s="15" t="n"/>
      <c r="R483" s="15" t="n"/>
    </row>
    <row r="484">
      <c r="A484" s="15" t="inlineStr">
        <is>
          <t>SL0480</t>
        </is>
      </c>
      <c r="B484" s="16" t="n">
        <v>45604</v>
      </c>
      <c r="C484" s="15" t="inlineStr">
        <is>
          <t>2024-11</t>
        </is>
      </c>
      <c r="D484" s="15" t="n">
        <v>2024</v>
      </c>
      <c r="E484" s="15" t="inlineStr">
        <is>
          <t>Land</t>
        </is>
      </c>
      <c r="F484" s="15" t="inlineStr">
        <is>
          <t>Plot / unit price</t>
        </is>
      </c>
      <c r="G484" s="15" t="inlineStr">
        <is>
          <t>Green City Phase 3 (Omu-Epe)</t>
        </is>
      </c>
      <c r="H484" s="15" t="inlineStr">
        <is>
          <t>BP-C0135</t>
        </is>
      </c>
      <c r="I484" s="15" t="inlineStr">
        <is>
          <t>Mr Okanrende Kazeem Olamilekan</t>
        </is>
      </c>
      <c r="J484" s="17" t="n">
        <v>1000000</v>
      </c>
      <c r="K484" s="15" t="inlineStr">
        <is>
          <t>Allen Branch</t>
        </is>
      </c>
      <c r="L484" s="15" t="inlineStr">
        <is>
          <t>Primary: monthly turnover register</t>
        </is>
      </c>
      <c r="M484" s="15" t="inlineStr">
        <is>
          <t>BAAY PROJECTS FINANCIALS 2024.xlsx</t>
        </is>
      </c>
      <c r="N484" s="15" t="inlineStr">
        <is>
          <t>NOVEMBER TURNOVER</t>
        </is>
      </c>
      <c r="O484" s="15" t="n">
        <v>17</v>
      </c>
      <c r="P484" s="15" t="inlineStr">
        <is>
          <t>2024-08-11</t>
        </is>
      </c>
      <c r="Q484" s="15" t="inlineStr">
        <is>
          <t>MS YETUNDE ABISOYE r76</t>
        </is>
      </c>
      <c r="R484" s="15" t="n"/>
    </row>
    <row r="485">
      <c r="A485" s="15" t="inlineStr">
        <is>
          <t>SL0481</t>
        </is>
      </c>
      <c r="B485" s="16" t="n">
        <v>45605</v>
      </c>
      <c r="C485" s="15" t="inlineStr">
        <is>
          <t>2024-11</t>
        </is>
      </c>
      <c r="D485" s="15" t="n">
        <v>2024</v>
      </c>
      <c r="E485" s="15" t="inlineStr">
        <is>
          <t>Housing</t>
        </is>
      </c>
      <c r="F485" s="15" t="inlineStr">
        <is>
          <t>Plot / unit price</t>
        </is>
      </c>
      <c r="G485" s="15" t="inlineStr">
        <is>
          <t>Pacific Apartment</t>
        </is>
      </c>
      <c r="H485" s="15" t="inlineStr">
        <is>
          <t>BP-C0145</t>
        </is>
      </c>
      <c r="I485" s="15" t="inlineStr">
        <is>
          <t>Miss Keshinro Phebe Oluwatunmise</t>
        </is>
      </c>
      <c r="J485" s="17" t="n">
        <v>4000000</v>
      </c>
      <c r="K485" s="15" t="inlineStr">
        <is>
          <t>Magodo Branch</t>
        </is>
      </c>
      <c r="L485" s="15" t="inlineStr">
        <is>
          <t>Primary: monthly turnover register</t>
        </is>
      </c>
      <c r="M485" s="15" t="inlineStr">
        <is>
          <t>BAAY PROJECTS FINANCIALS 2024.xlsx</t>
        </is>
      </c>
      <c r="N485" s="15" t="inlineStr">
        <is>
          <t>NOVEMBER TURNOVER</t>
        </is>
      </c>
      <c r="O485" s="15" t="n">
        <v>12</v>
      </c>
      <c r="P485" s="15" t="inlineStr">
        <is>
          <t>2024-09-11</t>
        </is>
      </c>
      <c r="Q485" s="15" t="inlineStr">
        <is>
          <t>MR CHARLES r67</t>
        </is>
      </c>
      <c r="R485" s="15" t="n"/>
    </row>
    <row r="486">
      <c r="A486" s="15" t="inlineStr">
        <is>
          <t>SL0482</t>
        </is>
      </c>
      <c r="B486" s="16" t="n">
        <v>45605</v>
      </c>
      <c r="C486" s="15" t="inlineStr">
        <is>
          <t>2024-11</t>
        </is>
      </c>
      <c r="D486" s="15" t="n">
        <v>2024</v>
      </c>
      <c r="E486" s="15" t="inlineStr">
        <is>
          <t>Land</t>
        </is>
      </c>
      <c r="F486" s="15" t="inlineStr">
        <is>
          <t>Ancillary charge</t>
        </is>
      </c>
      <c r="G486" s="15" t="inlineStr">
        <is>
          <t>Land: corner piece premium</t>
        </is>
      </c>
      <c r="H486" s="15" t="inlineStr">
        <is>
          <t>BP-C0121</t>
        </is>
      </c>
      <c r="I486" s="15" t="inlineStr">
        <is>
          <t>Mr Nweze Oluebube Valentine</t>
        </is>
      </c>
      <c r="J486" s="17" t="n">
        <v>135000</v>
      </c>
      <c r="K486" s="15" t="inlineStr">
        <is>
          <t>Allen Branch</t>
        </is>
      </c>
      <c r="L486" s="15" t="inlineStr">
        <is>
          <t>Primary: monthly turnover register</t>
        </is>
      </c>
      <c r="M486" s="15" t="inlineStr">
        <is>
          <t>BAAY PROJECTS FINANCIALS 2024.xlsx</t>
        </is>
      </c>
      <c r="N486" s="15" t="inlineStr">
        <is>
          <t>NOVEMBER TURNOVER</t>
        </is>
      </c>
      <c r="O486" s="15" t="n">
        <v>18</v>
      </c>
      <c r="P486" s="15" t="inlineStr">
        <is>
          <t>2024-09-11</t>
        </is>
      </c>
      <c r="Q486" s="15" t="n"/>
      <c r="R486" s="15" t="n"/>
    </row>
    <row r="487">
      <c r="A487" s="15" t="inlineStr">
        <is>
          <t>SL0483</t>
        </is>
      </c>
      <c r="B487" s="16" t="n">
        <v>45607</v>
      </c>
      <c r="C487" s="15" t="inlineStr">
        <is>
          <t>2024-11</t>
        </is>
      </c>
      <c r="D487" s="15" t="n">
        <v>2024</v>
      </c>
      <c r="E487" s="15" t="inlineStr">
        <is>
          <t>Land</t>
        </is>
      </c>
      <c r="F487" s="15" t="inlineStr">
        <is>
          <t>Plot / unit price</t>
        </is>
      </c>
      <c r="G487" s="15" t="inlineStr">
        <is>
          <t>Green City Phase 3 (Omu-Epe)</t>
        </is>
      </c>
      <c r="H487" s="15" t="inlineStr">
        <is>
          <t>BP-C0009</t>
        </is>
      </c>
      <c r="I487" s="15" t="inlineStr">
        <is>
          <t>Miss Oji Blessing Mary</t>
        </is>
      </c>
      <c r="J487" s="17" t="n">
        <v>500000</v>
      </c>
      <c r="K487" s="15" t="inlineStr">
        <is>
          <t>Allen Branch</t>
        </is>
      </c>
      <c r="L487" s="15" t="inlineStr">
        <is>
          <t>Primary: monthly turnover register</t>
        </is>
      </c>
      <c r="M487" s="15" t="inlineStr">
        <is>
          <t>BAAY PROJECTS FINANCIALS 2024.xlsx</t>
        </is>
      </c>
      <c r="N487" s="15" t="inlineStr">
        <is>
          <t>NOVEMBER TURNOVER</t>
        </is>
      </c>
      <c r="O487" s="15" t="n">
        <v>20</v>
      </c>
      <c r="P487" s="15" t="inlineStr">
        <is>
          <t>2024-11-11</t>
        </is>
      </c>
      <c r="Q487" s="15" t="n"/>
      <c r="R487" s="15" t="n"/>
    </row>
    <row r="488">
      <c r="A488" s="15" t="inlineStr">
        <is>
          <t>SL0484</t>
        </is>
      </c>
      <c r="B488" s="16" t="n">
        <v>45607</v>
      </c>
      <c r="C488" s="15" t="inlineStr">
        <is>
          <t>2024-11</t>
        </is>
      </c>
      <c r="D488" s="15" t="n">
        <v>2024</v>
      </c>
      <c r="E488" s="15" t="inlineStr">
        <is>
          <t>Land</t>
        </is>
      </c>
      <c r="F488" s="15" t="inlineStr">
        <is>
          <t>Plot / unit price</t>
        </is>
      </c>
      <c r="G488" s="15" t="inlineStr">
        <is>
          <t>Green City Phase 1 (Lantaba, Ketu-Epe)</t>
        </is>
      </c>
      <c r="H488" s="15" t="inlineStr">
        <is>
          <t>BP-C0051</t>
        </is>
      </c>
      <c r="I488" s="15" t="inlineStr">
        <is>
          <t>Mr Ogunleye Olumide</t>
        </is>
      </c>
      <c r="J488" s="17" t="n">
        <v>500000</v>
      </c>
      <c r="K488" s="15" t="inlineStr">
        <is>
          <t>Allen Branch</t>
        </is>
      </c>
      <c r="L488" s="15" t="inlineStr">
        <is>
          <t>Primary: monthly turnover register</t>
        </is>
      </c>
      <c r="M488" s="15" t="inlineStr">
        <is>
          <t>BAAY PROJECTS FINANCIALS 2024.xlsx</t>
        </is>
      </c>
      <c r="N488" s="15" t="inlineStr">
        <is>
          <t>NOVEMBER TURNOVER</t>
        </is>
      </c>
      <c r="O488" s="15" t="n">
        <v>19</v>
      </c>
      <c r="P488" s="15" t="inlineStr">
        <is>
          <t>2024-11-11</t>
        </is>
      </c>
      <c r="Q488" s="15" t="n"/>
      <c r="R488" s="15" t="n"/>
    </row>
    <row r="489">
      <c r="A489" s="15" t="inlineStr">
        <is>
          <t>SL0485</t>
        </is>
      </c>
      <c r="B489" s="16" t="n">
        <v>45608</v>
      </c>
      <c r="C489" s="15" t="inlineStr">
        <is>
          <t>2024-11</t>
        </is>
      </c>
      <c r="D489" s="15" t="n">
        <v>2024</v>
      </c>
      <c r="E489" s="15" t="inlineStr">
        <is>
          <t>Land</t>
        </is>
      </c>
      <c r="F489" s="15" t="inlineStr">
        <is>
          <t>Ancillary charge</t>
        </is>
      </c>
      <c r="G489" s="15" t="inlineStr">
        <is>
          <t>Land: corner piece premium</t>
        </is>
      </c>
      <c r="H489" s="15" t="inlineStr">
        <is>
          <t>BP-C0115</t>
        </is>
      </c>
      <c r="I489" s="15" t="inlineStr">
        <is>
          <t>Lavonda King Family</t>
        </is>
      </c>
      <c r="J489" s="17" t="n">
        <v>135000</v>
      </c>
      <c r="K489" s="15" t="inlineStr">
        <is>
          <t>Allen Branch</t>
        </is>
      </c>
      <c r="L489" s="15" t="inlineStr">
        <is>
          <t>Primary: monthly turnover register</t>
        </is>
      </c>
      <c r="M489" s="15" t="inlineStr">
        <is>
          <t>BAAY PROJECTS FINANCIALS 2024.xlsx</t>
        </is>
      </c>
      <c r="N489" s="15" t="inlineStr">
        <is>
          <t>NOVEMBER TURNOVER</t>
        </is>
      </c>
      <c r="O489" s="15" t="n">
        <v>21</v>
      </c>
      <c r="P489" s="15" t="inlineStr">
        <is>
          <t>2024-12-11</t>
        </is>
      </c>
      <c r="Q489" s="15" t="n"/>
      <c r="R489" s="15" t="n"/>
    </row>
    <row r="490">
      <c r="A490" s="15" t="inlineStr">
        <is>
          <t>SL0486</t>
        </is>
      </c>
      <c r="B490" s="16" t="n">
        <v>45608</v>
      </c>
      <c r="C490" s="15" t="inlineStr">
        <is>
          <t>2024-11</t>
        </is>
      </c>
      <c r="D490" s="15" t="n">
        <v>2024</v>
      </c>
      <c r="E490" s="15" t="inlineStr">
        <is>
          <t>Land</t>
        </is>
      </c>
      <c r="F490" s="15" t="inlineStr">
        <is>
          <t>Ancillary charge</t>
        </is>
      </c>
      <c r="G490" s="15" t="inlineStr">
        <is>
          <t>Land: corner piece premium</t>
        </is>
      </c>
      <c r="H490" s="15" t="inlineStr">
        <is>
          <t>BP-C0132</t>
        </is>
      </c>
      <c r="I490" s="15" t="inlineStr">
        <is>
          <t>Mr Ajayi Adekunle Temitope</t>
        </is>
      </c>
      <c r="J490" s="17" t="n">
        <v>135000</v>
      </c>
      <c r="K490" s="15" t="inlineStr">
        <is>
          <t>Magodo Branch</t>
        </is>
      </c>
      <c r="L490" s="15" t="inlineStr">
        <is>
          <t>Primary: monthly turnover register</t>
        </is>
      </c>
      <c r="M490" s="15" t="inlineStr">
        <is>
          <t>BAAY PROJECTS FINANCIALS 2024.xlsx</t>
        </is>
      </c>
      <c r="N490" s="15" t="inlineStr">
        <is>
          <t>NOVEMBER TURNOVER</t>
        </is>
      </c>
      <c r="O490" s="15" t="n">
        <v>13</v>
      </c>
      <c r="P490" s="15" t="inlineStr">
        <is>
          <t>2024-12-11</t>
        </is>
      </c>
      <c r="Q490" s="15" t="n"/>
      <c r="R490" s="15" t="n"/>
    </row>
    <row r="491">
      <c r="A491" s="15" t="inlineStr">
        <is>
          <t>SL0487</t>
        </is>
      </c>
      <c r="B491" s="16" t="n">
        <v>45609</v>
      </c>
      <c r="C491" s="15" t="inlineStr">
        <is>
          <t>2024-11</t>
        </is>
      </c>
      <c r="D491" s="15" t="n">
        <v>2024</v>
      </c>
      <c r="E491" s="15" t="inlineStr">
        <is>
          <t>Land</t>
        </is>
      </c>
      <c r="F491" s="15" t="inlineStr">
        <is>
          <t>Plot / unit price</t>
        </is>
      </c>
      <c r="G491" s="15" t="inlineStr">
        <is>
          <t>Green City Phase 3 (Omu-Epe)</t>
        </is>
      </c>
      <c r="H491" s="15" t="inlineStr">
        <is>
          <t>BP-C0066</t>
        </is>
      </c>
      <c r="I491" s="15" t="inlineStr">
        <is>
          <t>Miss Omosanya Dotun Akeju</t>
        </is>
      </c>
      <c r="J491" s="17" t="n">
        <v>2000000</v>
      </c>
      <c r="K491" s="15" t="inlineStr">
        <is>
          <t>Allen Branch</t>
        </is>
      </c>
      <c r="L491" s="15" t="inlineStr">
        <is>
          <t>Primary: monthly turnover register</t>
        </is>
      </c>
      <c r="M491" s="15" t="inlineStr">
        <is>
          <t>BAAY PROJECTS FINANCIALS 2024.xlsx</t>
        </is>
      </c>
      <c r="N491" s="15" t="inlineStr">
        <is>
          <t>NOVEMBER TURNOVER</t>
        </is>
      </c>
      <c r="O491" s="15" t="n">
        <v>22</v>
      </c>
      <c r="P491" s="15" t="inlineStr">
        <is>
          <t>13/11/2024</t>
        </is>
      </c>
      <c r="Q491" s="15" t="inlineStr">
        <is>
          <t>MS BOLANLE r118</t>
        </is>
      </c>
      <c r="R491" s="15" t="n"/>
    </row>
    <row r="492">
      <c r="A492" s="15" t="inlineStr">
        <is>
          <t>SL0488</t>
        </is>
      </c>
      <c r="B492" s="16" t="n">
        <v>45609</v>
      </c>
      <c r="C492" s="15" t="inlineStr">
        <is>
          <t>2024-11</t>
        </is>
      </c>
      <c r="D492" s="15" t="n">
        <v>2024</v>
      </c>
      <c r="E492" s="15" t="inlineStr">
        <is>
          <t>Land</t>
        </is>
      </c>
      <c r="F492" s="15" t="inlineStr">
        <is>
          <t>Plot / unit price</t>
        </is>
      </c>
      <c r="G492" s="15" t="inlineStr">
        <is>
          <t>Green City Phase 3 (Omu-Epe)</t>
        </is>
      </c>
      <c r="H492" s="15" t="inlineStr">
        <is>
          <t>BP-C0133</t>
        </is>
      </c>
      <c r="I492" s="15" t="inlineStr">
        <is>
          <t>Mr Olagbende Oluwashina</t>
        </is>
      </c>
      <c r="J492" s="17" t="n">
        <v>700000</v>
      </c>
      <c r="K492" s="15" t="inlineStr">
        <is>
          <t>Magodo Branch</t>
        </is>
      </c>
      <c r="L492" s="15" t="inlineStr">
        <is>
          <t>Primary: monthly turnover register</t>
        </is>
      </c>
      <c r="M492" s="15" t="inlineStr">
        <is>
          <t>BAAY PROJECTS FINANCIALS 2024.xlsx</t>
        </is>
      </c>
      <c r="N492" s="15" t="inlineStr">
        <is>
          <t>NOVEMBER TURNOVER</t>
        </is>
      </c>
      <c r="O492" s="15" t="n">
        <v>14</v>
      </c>
      <c r="P492" s="15" t="inlineStr">
        <is>
          <t>13/11/2024</t>
        </is>
      </c>
      <c r="Q492" s="15" t="inlineStr">
        <is>
          <t>MS AWONORIN MAYOWA r19</t>
        </is>
      </c>
      <c r="R492" s="15" t="n"/>
    </row>
    <row r="493">
      <c r="A493" s="15" t="inlineStr">
        <is>
          <t>SL0489</t>
        </is>
      </c>
      <c r="B493" s="16" t="n">
        <v>45609</v>
      </c>
      <c r="C493" s="15" t="inlineStr">
        <is>
          <t>2024-11</t>
        </is>
      </c>
      <c r="D493" s="15" t="n">
        <v>2024</v>
      </c>
      <c r="E493" s="15" t="inlineStr">
        <is>
          <t>Land</t>
        </is>
      </c>
      <c r="F493" s="15" t="inlineStr">
        <is>
          <t>Ancillary charge</t>
        </is>
      </c>
      <c r="G493" s="15" t="inlineStr">
        <is>
          <t>Land: corner piece premium</t>
        </is>
      </c>
      <c r="H493" s="15" t="inlineStr">
        <is>
          <t>BP-C0133</t>
        </is>
      </c>
      <c r="I493" s="15" t="inlineStr">
        <is>
          <t>Mr Olagbende Oluwashina</t>
        </is>
      </c>
      <c r="J493" s="17" t="n">
        <v>135000</v>
      </c>
      <c r="K493" s="15" t="inlineStr">
        <is>
          <t>Magodo Branch</t>
        </is>
      </c>
      <c r="L493" s="15" t="inlineStr">
        <is>
          <t>Primary: monthly turnover register</t>
        </is>
      </c>
      <c r="M493" s="15" t="inlineStr">
        <is>
          <t>BAAY PROJECTS FINANCIALS 2024.xlsx</t>
        </is>
      </c>
      <c r="N493" s="15" t="inlineStr">
        <is>
          <t>NOVEMBER TURNOVER</t>
        </is>
      </c>
      <c r="O493" s="15" t="n">
        <v>15</v>
      </c>
      <c r="P493" s="15" t="inlineStr">
        <is>
          <t>13/11/2024</t>
        </is>
      </c>
      <c r="Q493" s="15" t="n"/>
      <c r="R493" s="15" t="n"/>
    </row>
    <row r="494">
      <c r="A494" s="15" t="inlineStr">
        <is>
          <t>SL0490</t>
        </is>
      </c>
      <c r="B494" s="16" t="n">
        <v>45610</v>
      </c>
      <c r="C494" s="15" t="inlineStr">
        <is>
          <t>2024-11</t>
        </is>
      </c>
      <c r="D494" s="15" t="n">
        <v>2024</v>
      </c>
      <c r="E494" s="15" t="inlineStr">
        <is>
          <t>Land</t>
        </is>
      </c>
      <c r="F494" s="15" t="inlineStr">
        <is>
          <t>Plot / unit price</t>
        </is>
      </c>
      <c r="G494" s="15" t="inlineStr">
        <is>
          <t>Green City Phase 3 (Omu-Epe)</t>
        </is>
      </c>
      <c r="H494" s="15" t="inlineStr">
        <is>
          <t>BP-C0019</t>
        </is>
      </c>
      <c r="I494" s="15" t="inlineStr">
        <is>
          <t>Mr Ogbu Pius Ejaka</t>
        </is>
      </c>
      <c r="J494" s="17" t="n">
        <v>800000</v>
      </c>
      <c r="K494" s="15" t="inlineStr">
        <is>
          <t>Magodo Branch</t>
        </is>
      </c>
      <c r="L494" s="15" t="inlineStr">
        <is>
          <t>Primary: monthly turnover register</t>
        </is>
      </c>
      <c r="M494" s="15" t="inlineStr">
        <is>
          <t>BAAY PROJECTS FINANCIALS 2024.xlsx</t>
        </is>
      </c>
      <c r="N494" s="15" t="inlineStr">
        <is>
          <t>NOVEMBER TURNOVER</t>
        </is>
      </c>
      <c r="O494" s="15" t="n">
        <v>17</v>
      </c>
      <c r="P494" s="15" t="inlineStr">
        <is>
          <t>14/11/2024</t>
        </is>
      </c>
      <c r="Q494" s="15" t="inlineStr">
        <is>
          <t>MS MAYOWA BRAIMOH r54</t>
        </is>
      </c>
      <c r="R494" s="15" t="n"/>
    </row>
    <row r="495">
      <c r="A495" s="15" t="inlineStr">
        <is>
          <t>SL0491</t>
        </is>
      </c>
      <c r="B495" s="16" t="n">
        <v>45610</v>
      </c>
      <c r="C495" s="15" t="inlineStr">
        <is>
          <t>2024-11</t>
        </is>
      </c>
      <c r="D495" s="15" t="n">
        <v>2024</v>
      </c>
      <c r="E495" s="15" t="inlineStr">
        <is>
          <t>Land</t>
        </is>
      </c>
      <c r="F495" s="15" t="inlineStr">
        <is>
          <t>Plot / unit price</t>
        </is>
      </c>
      <c r="G495" s="15" t="inlineStr">
        <is>
          <t>Green City Phase 3 (Omu-Epe)</t>
        </is>
      </c>
      <c r="H495" s="15" t="inlineStr">
        <is>
          <t>BP-C0146</t>
        </is>
      </c>
      <c r="I495" s="15" t="inlineStr">
        <is>
          <t>Mrs Tijani Tawa Motunrayo</t>
        </is>
      </c>
      <c r="J495" s="17" t="n">
        <v>800000</v>
      </c>
      <c r="K495" s="15" t="inlineStr">
        <is>
          <t>Magodo Branch</t>
        </is>
      </c>
      <c r="L495" s="15" t="inlineStr">
        <is>
          <t>Primary: monthly turnover register</t>
        </is>
      </c>
      <c r="M495" s="15" t="inlineStr">
        <is>
          <t>BAAY PROJECTS FINANCIALS 2024.xlsx</t>
        </is>
      </c>
      <c r="N495" s="15" t="inlineStr">
        <is>
          <t>NOVEMBER TURNOVER</t>
        </is>
      </c>
      <c r="O495" s="15" t="n">
        <v>16</v>
      </c>
      <c r="P495" s="15" t="inlineStr">
        <is>
          <t>14/11/2024</t>
        </is>
      </c>
      <c r="Q495" s="15" t="inlineStr">
        <is>
          <t>MS AWONORIN MAYOWA r20</t>
        </is>
      </c>
      <c r="R495" s="15" t="n"/>
    </row>
    <row r="496">
      <c r="A496" s="15" t="inlineStr">
        <is>
          <t>SL0492</t>
        </is>
      </c>
      <c r="B496" s="16" t="n">
        <v>45611</v>
      </c>
      <c r="C496" s="15" t="inlineStr">
        <is>
          <t>2024-11</t>
        </is>
      </c>
      <c r="D496" s="15" t="n">
        <v>2024</v>
      </c>
      <c r="E496" s="15" t="inlineStr">
        <is>
          <t>Land</t>
        </is>
      </c>
      <c r="F496" s="15" t="inlineStr">
        <is>
          <t>Plot / unit price</t>
        </is>
      </c>
      <c r="G496" s="15" t="inlineStr">
        <is>
          <t>Green City Phase 1 (Lantaba, Ketu-Epe)</t>
        </is>
      </c>
      <c r="H496" s="15" t="inlineStr">
        <is>
          <t>BP-C0086</t>
        </is>
      </c>
      <c r="I496" s="15" t="inlineStr">
        <is>
          <t>Miss Nwobodo Miriam Chioma</t>
        </is>
      </c>
      <c r="J496" s="17" t="n">
        <v>50000</v>
      </c>
      <c r="K496" s="15" t="inlineStr">
        <is>
          <t>Allen Branch</t>
        </is>
      </c>
      <c r="L496" s="15" t="inlineStr">
        <is>
          <t>Primary: monthly turnover register</t>
        </is>
      </c>
      <c r="M496" s="15" t="inlineStr">
        <is>
          <t>BAAY PROJECTS FINANCIALS 2024.xlsx</t>
        </is>
      </c>
      <c r="N496" s="15" t="inlineStr">
        <is>
          <t>NOVEMBER TURNOVER</t>
        </is>
      </c>
      <c r="O496" s="15" t="n">
        <v>25</v>
      </c>
      <c r="P496" s="15" t="inlineStr">
        <is>
          <t>15/11/2024</t>
        </is>
      </c>
      <c r="Q496" s="15" t="inlineStr">
        <is>
          <t>MD r79</t>
        </is>
      </c>
      <c r="R496" s="15" t="n"/>
    </row>
    <row r="497">
      <c r="A497" s="15" t="inlineStr">
        <is>
          <t>SL0493</t>
        </is>
      </c>
      <c r="B497" s="16" t="n">
        <v>45611</v>
      </c>
      <c r="C497" s="15" t="inlineStr">
        <is>
          <t>2024-11</t>
        </is>
      </c>
      <c r="D497" s="15" t="n">
        <v>2024</v>
      </c>
      <c r="E497" s="15" t="inlineStr">
        <is>
          <t>Land</t>
        </is>
      </c>
      <c r="F497" s="15" t="inlineStr">
        <is>
          <t>Plot / unit price</t>
        </is>
      </c>
      <c r="G497" s="15" t="inlineStr">
        <is>
          <t>Green City Phase 3 (Omu-Epe)</t>
        </is>
      </c>
      <c r="H497" s="15" t="inlineStr">
        <is>
          <t>BP-C0114</t>
        </is>
      </c>
      <c r="I497" s="15" t="inlineStr">
        <is>
          <t>Miss Ohaego Ijeoma Goodness</t>
        </is>
      </c>
      <c r="J497" s="17" t="n">
        <v>2000000</v>
      </c>
      <c r="K497" s="15" t="inlineStr">
        <is>
          <t>Allen Branch</t>
        </is>
      </c>
      <c r="L497" s="15" t="inlineStr">
        <is>
          <t>Primary: monthly turnover register</t>
        </is>
      </c>
      <c r="M497" s="15" t="inlineStr">
        <is>
          <t>BAAY PROJECTS FINANCIALS 2024.xlsx</t>
        </is>
      </c>
      <c r="N497" s="15" t="inlineStr">
        <is>
          <t>NOVEMBER TURNOVER</t>
        </is>
      </c>
      <c r="O497" s="15" t="n">
        <v>23</v>
      </c>
      <c r="P497" s="15" t="inlineStr">
        <is>
          <t>15/11/2024</t>
        </is>
      </c>
      <c r="Q497" s="15" t="n"/>
      <c r="R497" s="15" t="n"/>
    </row>
    <row r="498">
      <c r="A498" s="15" t="inlineStr">
        <is>
          <t>SL0494</t>
        </is>
      </c>
      <c r="B498" s="16" t="n">
        <v>45611</v>
      </c>
      <c r="C498" s="15" t="inlineStr">
        <is>
          <t>2024-11</t>
        </is>
      </c>
      <c r="D498" s="15" t="n">
        <v>2024</v>
      </c>
      <c r="E498" s="15" t="inlineStr">
        <is>
          <t>Land</t>
        </is>
      </c>
      <c r="F498" s="15" t="inlineStr">
        <is>
          <t>Plot / unit price</t>
        </is>
      </c>
      <c r="G498" s="15" t="inlineStr">
        <is>
          <t>Heritage Garden</t>
        </is>
      </c>
      <c r="H498" s="15" t="inlineStr">
        <is>
          <t>BP-C0137</t>
        </is>
      </c>
      <c r="I498" s="15" t="inlineStr">
        <is>
          <t>Mr Boyejo Abiodun</t>
        </is>
      </c>
      <c r="J498" s="17" t="n">
        <v>400000</v>
      </c>
      <c r="K498" s="15" t="inlineStr">
        <is>
          <t>Allen Branch</t>
        </is>
      </c>
      <c r="L498" s="15" t="inlineStr">
        <is>
          <t>Primary: monthly turnover register</t>
        </is>
      </c>
      <c r="M498" s="15" t="inlineStr">
        <is>
          <t>BAAY PROJECTS FINANCIALS 2024.xlsx</t>
        </is>
      </c>
      <c r="N498" s="15" t="inlineStr">
        <is>
          <t>NOVEMBER TURNOVER</t>
        </is>
      </c>
      <c r="O498" s="15" t="n">
        <v>24</v>
      </c>
      <c r="P498" s="15" t="inlineStr">
        <is>
          <t>15/11/2024</t>
        </is>
      </c>
      <c r="Q498" s="15" t="inlineStr">
        <is>
          <t>MS BOLANLE r119</t>
        </is>
      </c>
      <c r="R498" s="15" t="n"/>
    </row>
    <row r="499">
      <c r="A499" s="15" t="inlineStr">
        <is>
          <t>SL0495</t>
        </is>
      </c>
      <c r="B499" s="16" t="n">
        <v>45612</v>
      </c>
      <c r="C499" s="15" t="inlineStr">
        <is>
          <t>2024-11</t>
        </is>
      </c>
      <c r="D499" s="15" t="n">
        <v>2024</v>
      </c>
      <c r="E499" s="15" t="inlineStr">
        <is>
          <t>Land</t>
        </is>
      </c>
      <c r="F499" s="15" t="inlineStr">
        <is>
          <t>Ancillary charge</t>
        </is>
      </c>
      <c r="G499" s="15" t="inlineStr">
        <is>
          <t>Land: corner piece premium</t>
        </is>
      </c>
      <c r="H499" s="15" t="inlineStr">
        <is>
          <t>BP-C0111</t>
        </is>
      </c>
      <c r="I499" s="15" t="inlineStr">
        <is>
          <t>Mr Adenuga Lukman Ebenezer</t>
        </is>
      </c>
      <c r="J499" s="17" t="n">
        <v>135000</v>
      </c>
      <c r="K499" s="15" t="inlineStr">
        <is>
          <t>Magodo Branch</t>
        </is>
      </c>
      <c r="L499" s="15" t="inlineStr">
        <is>
          <t>Primary: monthly turnover register</t>
        </is>
      </c>
      <c r="M499" s="15" t="inlineStr">
        <is>
          <t>BAAY PROJECTS FINANCIALS 2024.xlsx</t>
        </is>
      </c>
      <c r="N499" s="15" t="inlineStr">
        <is>
          <t>NOVEMBER TURNOVER</t>
        </is>
      </c>
      <c r="O499" s="15" t="n">
        <v>18</v>
      </c>
      <c r="P499" s="15" t="inlineStr">
        <is>
          <t>16/11/2024</t>
        </is>
      </c>
      <c r="Q499" s="15" t="n"/>
      <c r="R499" s="15" t="n"/>
    </row>
    <row r="500">
      <c r="A500" s="15" t="inlineStr">
        <is>
          <t>SL0496</t>
        </is>
      </c>
      <c r="B500" s="16" t="n">
        <v>45614</v>
      </c>
      <c r="C500" s="15" t="inlineStr">
        <is>
          <t>2024-11</t>
        </is>
      </c>
      <c r="D500" s="15" t="n">
        <v>2024</v>
      </c>
      <c r="E500" s="15" t="inlineStr">
        <is>
          <t>Land</t>
        </is>
      </c>
      <c r="F500" s="15" t="inlineStr">
        <is>
          <t>Ancillary charge</t>
        </is>
      </c>
      <c r="G500" s="15" t="inlineStr">
        <is>
          <t>Land: corner piece premium</t>
        </is>
      </c>
      <c r="H500" s="15" t="inlineStr">
        <is>
          <t>BP-C0116</t>
        </is>
      </c>
      <c r="I500" s="15" t="inlineStr">
        <is>
          <t>Miss Okorie Rachael Mmesomachi</t>
        </is>
      </c>
      <c r="J500" s="17" t="n">
        <v>135000</v>
      </c>
      <c r="K500" s="15" t="inlineStr">
        <is>
          <t>Allen Branch</t>
        </is>
      </c>
      <c r="L500" s="15" t="inlineStr">
        <is>
          <t>Primary: monthly turnover register</t>
        </is>
      </c>
      <c r="M500" s="15" t="inlineStr">
        <is>
          <t>BAAY PROJECTS FINANCIALS 2024.xlsx</t>
        </is>
      </c>
      <c r="N500" s="15" t="inlineStr">
        <is>
          <t>NOVEMBER TURNOVER</t>
        </is>
      </c>
      <c r="O500" s="15" t="n">
        <v>26</v>
      </c>
      <c r="P500" s="15" t="inlineStr">
        <is>
          <t>18/11/2024</t>
        </is>
      </c>
      <c r="Q500" s="15" t="n"/>
      <c r="R500" s="15" t="n"/>
    </row>
    <row r="501">
      <c r="A501" s="15" t="inlineStr">
        <is>
          <t>SL0497</t>
        </is>
      </c>
      <c r="B501" s="16" t="n">
        <v>45614</v>
      </c>
      <c r="C501" s="15" t="inlineStr">
        <is>
          <t>2024-11</t>
        </is>
      </c>
      <c r="D501" s="15" t="n">
        <v>2024</v>
      </c>
      <c r="E501" s="15" t="inlineStr">
        <is>
          <t>Land</t>
        </is>
      </c>
      <c r="F501" s="15" t="inlineStr">
        <is>
          <t>Ancillary charge</t>
        </is>
      </c>
      <c r="G501" s="15" t="inlineStr">
        <is>
          <t>Land: corner piece premium</t>
        </is>
      </c>
      <c r="H501" s="15" t="inlineStr">
        <is>
          <t>BP-C0119</t>
        </is>
      </c>
      <c r="I501" s="15" t="inlineStr">
        <is>
          <t>Mr Adedapo Adekunle Solomon</t>
        </is>
      </c>
      <c r="J501" s="17" t="n">
        <v>135000</v>
      </c>
      <c r="K501" s="15" t="inlineStr">
        <is>
          <t>Magodo Branch</t>
        </is>
      </c>
      <c r="L501" s="15" t="inlineStr">
        <is>
          <t>Primary: monthly turnover register</t>
        </is>
      </c>
      <c r="M501" s="15" t="inlineStr">
        <is>
          <t>BAAY PROJECTS FINANCIALS 2024.xlsx</t>
        </is>
      </c>
      <c r="N501" s="15" t="inlineStr">
        <is>
          <t>NOVEMBER TURNOVER</t>
        </is>
      </c>
      <c r="O501" s="15" t="n">
        <v>19</v>
      </c>
      <c r="P501" s="15" t="inlineStr">
        <is>
          <t>18/11/2024</t>
        </is>
      </c>
      <c r="Q501" s="15" t="n"/>
      <c r="R501" s="15" t="n"/>
    </row>
    <row r="502">
      <c r="A502" s="15" t="inlineStr">
        <is>
          <t>SL0498</t>
        </is>
      </c>
      <c r="B502" s="16" t="n">
        <v>45615</v>
      </c>
      <c r="C502" s="15" t="inlineStr">
        <is>
          <t>2024-11</t>
        </is>
      </c>
      <c r="D502" s="15" t="n">
        <v>2024</v>
      </c>
      <c r="E502" s="15" t="inlineStr">
        <is>
          <t>Housing</t>
        </is>
      </c>
      <c r="F502" s="15" t="inlineStr">
        <is>
          <t>Plot / unit price</t>
        </is>
      </c>
      <c r="G502" s="15" t="inlineStr">
        <is>
          <t>Pacific Apartment</t>
        </is>
      </c>
      <c r="H502" s="15" t="inlineStr">
        <is>
          <t>BP-C0142</t>
        </is>
      </c>
      <c r="I502" s="15" t="inlineStr">
        <is>
          <t>Mr Simien Samuel &amp; Mrs Simien Oyindamola Adekunle</t>
        </is>
      </c>
      <c r="J502" s="17" t="n">
        <v>4750000</v>
      </c>
      <c r="K502" s="15" t="inlineStr">
        <is>
          <t>Magodo Branch</t>
        </is>
      </c>
      <c r="L502" s="15" t="inlineStr">
        <is>
          <t>Primary: monthly turnover register</t>
        </is>
      </c>
      <c r="M502" s="15" t="inlineStr">
        <is>
          <t>BAAY PROJECTS FINANCIALS 2024.xlsx</t>
        </is>
      </c>
      <c r="N502" s="15" t="inlineStr">
        <is>
          <t>NOVEMBER TURNOVER</t>
        </is>
      </c>
      <c r="O502" s="15" t="n">
        <v>20</v>
      </c>
      <c r="P502" s="15" t="inlineStr">
        <is>
          <t>19/11/2024</t>
        </is>
      </c>
      <c r="Q502" s="15" t="inlineStr">
        <is>
          <t>MAMA ADEBIMPE r52</t>
        </is>
      </c>
      <c r="R502" s="15" t="n"/>
    </row>
    <row r="503">
      <c r="A503" s="15" t="inlineStr">
        <is>
          <t>SL0499</t>
        </is>
      </c>
      <c r="B503" s="16" t="n">
        <v>45619</v>
      </c>
      <c r="C503" s="15" t="inlineStr">
        <is>
          <t>2024-11</t>
        </is>
      </c>
      <c r="D503" s="15" t="n">
        <v>2024</v>
      </c>
      <c r="E503" s="15" t="inlineStr">
        <is>
          <t>Land</t>
        </is>
      </c>
      <c r="F503" s="15" t="inlineStr">
        <is>
          <t>Plot / unit price</t>
        </is>
      </c>
      <c r="G503" s="15" t="inlineStr">
        <is>
          <t>Green City Phase 2 (Ketu-Epe)</t>
        </is>
      </c>
      <c r="H503" s="15" t="inlineStr">
        <is>
          <t>BP-C0068</t>
        </is>
      </c>
      <c r="I503" s="15" t="inlineStr">
        <is>
          <t>Miss Ebhotah Sharon Aisosa</t>
        </is>
      </c>
      <c r="J503" s="17" t="n">
        <v>310000</v>
      </c>
      <c r="K503" s="15" t="inlineStr">
        <is>
          <t>Magodo Branch</t>
        </is>
      </c>
      <c r="L503" s="15" t="inlineStr">
        <is>
          <t>Primary: monthly turnover register</t>
        </is>
      </c>
      <c r="M503" s="15" t="inlineStr">
        <is>
          <t>BAAY PROJECTS FINANCIALS 2024.xlsx</t>
        </is>
      </c>
      <c r="N503" s="15" t="inlineStr">
        <is>
          <t>NOVEMBER TURNOVER</t>
        </is>
      </c>
      <c r="O503" s="15" t="n">
        <v>21</v>
      </c>
      <c r="P503" s="15" t="inlineStr">
        <is>
          <t>23/11/2024</t>
        </is>
      </c>
      <c r="Q503" s="15" t="inlineStr">
        <is>
          <t>MS BLESSING r123</t>
        </is>
      </c>
      <c r="R503" s="15" t="n"/>
    </row>
    <row r="504">
      <c r="A504" s="15" t="inlineStr">
        <is>
          <t>SL0500</t>
        </is>
      </c>
      <c r="B504" s="16" t="n">
        <v>45619</v>
      </c>
      <c r="C504" s="15" t="inlineStr">
        <is>
          <t>2024-11</t>
        </is>
      </c>
      <c r="D504" s="15" t="n">
        <v>2024</v>
      </c>
      <c r="E504" s="15" t="inlineStr">
        <is>
          <t>Land</t>
        </is>
      </c>
      <c r="F504" s="15" t="inlineStr">
        <is>
          <t>Ancillary charge</t>
        </is>
      </c>
      <c r="G504" s="15" t="inlineStr">
        <is>
          <t>Land: corner piece premium</t>
        </is>
      </c>
      <c r="H504" s="15" t="inlineStr">
        <is>
          <t>BP-C0120</t>
        </is>
      </c>
      <c r="I504" s="15" t="inlineStr">
        <is>
          <t>Mr Olusegun Dare Michael</t>
        </is>
      </c>
      <c r="J504" s="17" t="n">
        <v>135000</v>
      </c>
      <c r="K504" s="15" t="inlineStr">
        <is>
          <t>Allen Branch</t>
        </is>
      </c>
      <c r="L504" s="15" t="inlineStr">
        <is>
          <t>Primary: monthly turnover register</t>
        </is>
      </c>
      <c r="M504" s="15" t="inlineStr">
        <is>
          <t>BAAY PROJECTS FINANCIALS 2024.xlsx</t>
        </is>
      </c>
      <c r="N504" s="15" t="inlineStr">
        <is>
          <t>NOVEMBER TURNOVER</t>
        </is>
      </c>
      <c r="O504" s="15" t="n">
        <v>27</v>
      </c>
      <c r="P504" s="15" t="inlineStr">
        <is>
          <t>23/11/2024</t>
        </is>
      </c>
      <c r="Q504" s="15" t="n"/>
      <c r="R504" s="15" t="n"/>
    </row>
    <row r="505">
      <c r="A505" s="15" t="inlineStr">
        <is>
          <t>SL0501</t>
        </is>
      </c>
      <c r="B505" s="16" t="n">
        <v>45620</v>
      </c>
      <c r="C505" s="15" t="inlineStr">
        <is>
          <t>2024-11</t>
        </is>
      </c>
      <c r="D505" s="15" t="n">
        <v>2024</v>
      </c>
      <c r="E505" s="15" t="inlineStr">
        <is>
          <t>Housing</t>
        </is>
      </c>
      <c r="F505" s="15" t="inlineStr">
        <is>
          <t>Plot / unit price</t>
        </is>
      </c>
      <c r="G505" s="15" t="inlineStr">
        <is>
          <t>Pacific Apartment</t>
        </is>
      </c>
      <c r="H505" s="15" t="inlineStr">
        <is>
          <t>BP-C0145</t>
        </is>
      </c>
      <c r="I505" s="15" t="inlineStr">
        <is>
          <t>Miss Keshinro Phebe Oluwatunmise</t>
        </is>
      </c>
      <c r="J505" s="17" t="n">
        <v>2000000</v>
      </c>
      <c r="K505" s="15" t="inlineStr">
        <is>
          <t>Magodo Branch</t>
        </is>
      </c>
      <c r="L505" s="15" t="inlineStr">
        <is>
          <t>Primary: monthly turnover register</t>
        </is>
      </c>
      <c r="M505" s="15" t="inlineStr">
        <is>
          <t>BAAY PROJECTS FINANCIALS 2024.xlsx</t>
        </is>
      </c>
      <c r="N505" s="15" t="inlineStr">
        <is>
          <t>NOVEMBER TURNOVER</t>
        </is>
      </c>
      <c r="O505" s="15" t="n">
        <v>22</v>
      </c>
      <c r="P505" s="15" t="inlineStr">
        <is>
          <t>24/11/2024</t>
        </is>
      </c>
      <c r="Q505" s="15" t="inlineStr">
        <is>
          <t>MR CHARLES r68</t>
        </is>
      </c>
      <c r="R505" s="15" t="n"/>
    </row>
    <row r="506">
      <c r="A506" s="15" t="inlineStr">
        <is>
          <t>SL0502</t>
        </is>
      </c>
      <c r="B506" s="16" t="n">
        <v>45620</v>
      </c>
      <c r="C506" s="15" t="inlineStr">
        <is>
          <t>2024-11</t>
        </is>
      </c>
      <c r="D506" s="15" t="n">
        <v>2024</v>
      </c>
      <c r="E506" s="15" t="inlineStr">
        <is>
          <t>Land</t>
        </is>
      </c>
      <c r="F506" s="15" t="inlineStr">
        <is>
          <t>Plot / unit price</t>
        </is>
      </c>
      <c r="G506" s="15" t="inlineStr">
        <is>
          <t>Green City Phase 3 (Omu-Epe)</t>
        </is>
      </c>
      <c r="H506" s="15" t="inlineStr">
        <is>
          <t>BP-C0136</t>
        </is>
      </c>
      <c r="I506" s="15" t="inlineStr">
        <is>
          <t>Mr Isibor Godwin</t>
        </is>
      </c>
      <c r="J506" s="17" t="n">
        <v>450000</v>
      </c>
      <c r="K506" s="15" t="inlineStr">
        <is>
          <t>Allen Branch</t>
        </is>
      </c>
      <c r="L506" s="15" t="inlineStr">
        <is>
          <t>Primary: monthly turnover register</t>
        </is>
      </c>
      <c r="M506" s="15" t="inlineStr">
        <is>
          <t>BAAY PROJECTS FINANCIALS 2024.xlsx</t>
        </is>
      </c>
      <c r="N506" s="15" t="inlineStr">
        <is>
          <t>NOVEMBER TURNOVER</t>
        </is>
      </c>
      <c r="O506" s="15" t="n">
        <v>28</v>
      </c>
      <c r="P506" s="15" t="inlineStr">
        <is>
          <t>24/11/2024</t>
        </is>
      </c>
      <c r="Q506" s="15" t="inlineStr">
        <is>
          <t>MS TOBI AJAYI r37</t>
        </is>
      </c>
      <c r="R506" s="15" t="n"/>
    </row>
    <row r="507">
      <c r="A507" s="15" t="inlineStr">
        <is>
          <t>SL0503</t>
        </is>
      </c>
      <c r="B507" s="16" t="n">
        <v>45622</v>
      </c>
      <c r="C507" s="15" t="inlineStr">
        <is>
          <t>2024-11</t>
        </is>
      </c>
      <c r="D507" s="15" t="n">
        <v>2024</v>
      </c>
      <c r="E507" s="15" t="inlineStr">
        <is>
          <t>Land</t>
        </is>
      </c>
      <c r="F507" s="15" t="inlineStr">
        <is>
          <t>Plot / unit price</t>
        </is>
      </c>
      <c r="G507" s="15" t="inlineStr">
        <is>
          <t>Heritage Garden</t>
        </is>
      </c>
      <c r="H507" s="15" t="inlineStr">
        <is>
          <t>BP-C0130</t>
        </is>
      </c>
      <c r="I507" s="15" t="inlineStr">
        <is>
          <t>Mrs Akindele Felicia Oluwatoyin</t>
        </is>
      </c>
      <c r="J507" s="17" t="n">
        <v>100000</v>
      </c>
      <c r="K507" s="15" t="inlineStr">
        <is>
          <t>Allen Branch</t>
        </is>
      </c>
      <c r="L507" s="15" t="inlineStr">
        <is>
          <t>Primary: monthly turnover register</t>
        </is>
      </c>
      <c r="M507" s="15" t="inlineStr">
        <is>
          <t>BAAY PROJECTS FINANCIALS 2024.xlsx</t>
        </is>
      </c>
      <c r="N507" s="15" t="inlineStr">
        <is>
          <t>NOVEMBER TURNOVER</t>
        </is>
      </c>
      <c r="O507" s="15" t="n">
        <v>29</v>
      </c>
      <c r="P507" s="15" t="inlineStr">
        <is>
          <t>26/11/2024</t>
        </is>
      </c>
      <c r="Q507" s="15" t="inlineStr">
        <is>
          <t>MS FISAYO r54</t>
        </is>
      </c>
      <c r="R507" s="15" t="n"/>
    </row>
    <row r="508">
      <c r="A508" s="15" t="inlineStr">
        <is>
          <t>SL0504</t>
        </is>
      </c>
      <c r="B508" s="16" t="n">
        <v>45622</v>
      </c>
      <c r="C508" s="15" t="inlineStr">
        <is>
          <t>2024-11</t>
        </is>
      </c>
      <c r="D508" s="15" t="n">
        <v>2024</v>
      </c>
      <c r="E508" s="15" t="inlineStr">
        <is>
          <t>Land</t>
        </is>
      </c>
      <c r="F508" s="15" t="inlineStr">
        <is>
          <t>Ancillary charge</t>
        </is>
      </c>
      <c r="G508" s="15" t="inlineStr">
        <is>
          <t>Land: corner piece premium</t>
        </is>
      </c>
      <c r="H508" s="15" t="inlineStr">
        <is>
          <t>BP-C0147</t>
        </is>
      </c>
      <c r="I508" s="15" t="inlineStr">
        <is>
          <t>Pastor Ikechukwu Jeremiah &amp; Deaconess Ikechukwu Rose Iju</t>
        </is>
      </c>
      <c r="J508" s="17" t="n">
        <v>135000</v>
      </c>
      <c r="K508" s="15" t="inlineStr">
        <is>
          <t>Magodo Branch</t>
        </is>
      </c>
      <c r="L508" s="15" t="inlineStr">
        <is>
          <t>Primary: monthly turnover register</t>
        </is>
      </c>
      <c r="M508" s="15" t="inlineStr">
        <is>
          <t>BAAY PROJECTS FINANCIALS 2024.xlsx</t>
        </is>
      </c>
      <c r="N508" s="15" t="inlineStr">
        <is>
          <t>NOVEMBER TURNOVER</t>
        </is>
      </c>
      <c r="O508" s="15" t="n">
        <v>23</v>
      </c>
      <c r="P508" s="15" t="inlineStr">
        <is>
          <t>26/11/2024</t>
        </is>
      </c>
      <c r="Q508" s="15" t="n"/>
      <c r="R508" s="15" t="n"/>
    </row>
    <row r="509">
      <c r="A509" s="15" t="inlineStr">
        <is>
          <t>SL0505</t>
        </is>
      </c>
      <c r="B509" s="16" t="n">
        <v>45623</v>
      </c>
      <c r="C509" s="15" t="inlineStr">
        <is>
          <t>2024-11</t>
        </is>
      </c>
      <c r="D509" s="15" t="n">
        <v>2024</v>
      </c>
      <c r="E509" s="15" t="inlineStr">
        <is>
          <t>Land</t>
        </is>
      </c>
      <c r="F509" s="15" t="inlineStr">
        <is>
          <t>Plot / unit price</t>
        </is>
      </c>
      <c r="G509" s="15" t="inlineStr">
        <is>
          <t>Green City Phase 3 (Omu-Epe)</t>
        </is>
      </c>
      <c r="H509" s="15" t="inlineStr">
        <is>
          <t>BP-C0114</t>
        </is>
      </c>
      <c r="I509" s="15" t="inlineStr">
        <is>
          <t>Miss Ohaego Ijeoma Goodness</t>
        </is>
      </c>
      <c r="J509" s="17" t="n">
        <v>1267000</v>
      </c>
      <c r="K509" s="15" t="inlineStr">
        <is>
          <t>Allen Branch</t>
        </is>
      </c>
      <c r="L509" s="15" t="inlineStr">
        <is>
          <t>Primary: monthly turnover register</t>
        </is>
      </c>
      <c r="M509" s="15" t="inlineStr">
        <is>
          <t>BAAY PROJECTS FINANCIALS 2024.xlsx</t>
        </is>
      </c>
      <c r="N509" s="15" t="inlineStr">
        <is>
          <t>NOVEMBER TURNOVER</t>
        </is>
      </c>
      <c r="O509" s="15" t="n">
        <v>33</v>
      </c>
      <c r="P509" s="15" t="inlineStr">
        <is>
          <t>27/11/2024</t>
        </is>
      </c>
      <c r="Q509" s="15" t="inlineStr">
        <is>
          <t>MS BOLANLE r126, MS BLESSING OJI r64</t>
        </is>
      </c>
      <c r="R509" s="15" t="n"/>
    </row>
    <row r="510">
      <c r="A510" s="15" t="inlineStr">
        <is>
          <t>SL0506</t>
        </is>
      </c>
      <c r="B510" s="16" t="n">
        <v>45623</v>
      </c>
      <c r="C510" s="15" t="inlineStr">
        <is>
          <t>2024-11</t>
        </is>
      </c>
      <c r="D510" s="15" t="n">
        <v>2024</v>
      </c>
      <c r="E510" s="15" t="inlineStr">
        <is>
          <t>Land</t>
        </is>
      </c>
      <c r="F510" s="15" t="inlineStr">
        <is>
          <t>Plot / unit price</t>
        </is>
      </c>
      <c r="G510" s="15" t="inlineStr">
        <is>
          <t>Green City Phase 2 (Ketu-Epe)</t>
        </is>
      </c>
      <c r="H510" s="15" t="inlineStr">
        <is>
          <t>BP-C0030</t>
        </is>
      </c>
      <c r="I510" s="15" t="inlineStr">
        <is>
          <t>Mr Adese Akorede John</t>
        </is>
      </c>
      <c r="J510" s="17" t="n">
        <v>200000</v>
      </c>
      <c r="K510" s="15" t="inlineStr">
        <is>
          <t>Allen Branch</t>
        </is>
      </c>
      <c r="L510" s="15" t="inlineStr">
        <is>
          <t>Primary: monthly turnover register</t>
        </is>
      </c>
      <c r="M510" s="15" t="inlineStr">
        <is>
          <t>BAAY PROJECTS FINANCIALS 2024.xlsx</t>
        </is>
      </c>
      <c r="N510" s="15" t="inlineStr">
        <is>
          <t>NOVEMBER TURNOVER</t>
        </is>
      </c>
      <c r="O510" s="15" t="n">
        <v>30</v>
      </c>
      <c r="P510" s="15" t="inlineStr">
        <is>
          <t>27/11/2024</t>
        </is>
      </c>
      <c r="Q510" s="15" t="inlineStr">
        <is>
          <t>MD r86</t>
        </is>
      </c>
      <c r="R510" s="15" t="n"/>
    </row>
    <row r="511">
      <c r="A511" s="15" t="inlineStr">
        <is>
          <t>SL0507</t>
        </is>
      </c>
      <c r="B511" s="16" t="n">
        <v>45623</v>
      </c>
      <c r="C511" s="15" t="inlineStr">
        <is>
          <t>2024-11</t>
        </is>
      </c>
      <c r="D511" s="15" t="n">
        <v>2024</v>
      </c>
      <c r="E511" s="15" t="inlineStr">
        <is>
          <t>Land</t>
        </is>
      </c>
      <c r="F511" s="15" t="inlineStr">
        <is>
          <t>Ancillary charge</t>
        </is>
      </c>
      <c r="G511" s="15" t="inlineStr">
        <is>
          <t>Land: development fee</t>
        </is>
      </c>
      <c r="H511" s="15" t="inlineStr">
        <is>
          <t>BP-C0030</t>
        </is>
      </c>
      <c r="I511" s="15" t="inlineStr">
        <is>
          <t>Mr Adese Akorede John</t>
        </is>
      </c>
      <c r="J511" s="17" t="n">
        <v>50000</v>
      </c>
      <c r="K511" s="15" t="inlineStr">
        <is>
          <t>Allen Branch</t>
        </is>
      </c>
      <c r="L511" s="15" t="inlineStr">
        <is>
          <t>Primary: monthly turnover register</t>
        </is>
      </c>
      <c r="M511" s="15" t="inlineStr">
        <is>
          <t>BAAY PROJECTS FINANCIALS 2024.xlsx</t>
        </is>
      </c>
      <c r="N511" s="15" t="inlineStr">
        <is>
          <t>NOVEMBER TURNOVER</t>
        </is>
      </c>
      <c r="O511" s="15" t="n">
        <v>31</v>
      </c>
      <c r="P511" s="15" t="inlineStr">
        <is>
          <t>27/11/2024</t>
        </is>
      </c>
      <c r="Q511" s="15" t="n"/>
      <c r="R511" s="15" t="n"/>
    </row>
    <row r="512">
      <c r="A512" s="15" t="inlineStr">
        <is>
          <t>SL0508</t>
        </is>
      </c>
      <c r="B512" s="16" t="n">
        <v>45623</v>
      </c>
      <c r="C512" s="15" t="inlineStr">
        <is>
          <t>2024-11</t>
        </is>
      </c>
      <c r="D512" s="15" t="n">
        <v>2024</v>
      </c>
      <c r="E512" s="15" t="inlineStr">
        <is>
          <t>Land</t>
        </is>
      </c>
      <c r="F512" s="15" t="inlineStr">
        <is>
          <t>Plot / unit price</t>
        </is>
      </c>
      <c r="G512" s="15" t="inlineStr">
        <is>
          <t>Green City Ibadan (Akinyele-Moniya)</t>
        </is>
      </c>
      <c r="H512" s="15" t="inlineStr">
        <is>
          <t>BP-C0030</t>
        </is>
      </c>
      <c r="I512" s="15" t="inlineStr">
        <is>
          <t>Mr Adese Akorede John</t>
        </is>
      </c>
      <c r="J512" s="17" t="n">
        <v>500000</v>
      </c>
      <c r="K512" s="15" t="inlineStr">
        <is>
          <t>Allen Branch</t>
        </is>
      </c>
      <c r="L512" s="15" t="inlineStr">
        <is>
          <t>Primary: monthly turnover register</t>
        </is>
      </c>
      <c r="M512" s="15" t="inlineStr">
        <is>
          <t>BAAY PROJECTS FINANCIALS 2024.xlsx</t>
        </is>
      </c>
      <c r="N512" s="15" t="inlineStr">
        <is>
          <t>NOVEMBER TURNOVER</t>
        </is>
      </c>
      <c r="O512" s="15" t="n">
        <v>32</v>
      </c>
      <c r="P512" s="15" t="inlineStr">
        <is>
          <t>27/11/2024</t>
        </is>
      </c>
      <c r="Q512" s="15" t="inlineStr">
        <is>
          <t>MD r87</t>
        </is>
      </c>
      <c r="R512" s="15" t="n"/>
    </row>
    <row r="513">
      <c r="A513" s="15" t="inlineStr">
        <is>
          <t>SL0509</t>
        </is>
      </c>
      <c r="B513" s="16" t="n">
        <v>45624</v>
      </c>
      <c r="C513" s="15" t="inlineStr">
        <is>
          <t>2024-11</t>
        </is>
      </c>
      <c r="D513" s="15" t="n">
        <v>2024</v>
      </c>
      <c r="E513" s="15" t="inlineStr">
        <is>
          <t>Land</t>
        </is>
      </c>
      <c r="F513" s="15" t="inlineStr">
        <is>
          <t>Plot / unit price</t>
        </is>
      </c>
      <c r="G513" s="15" t="inlineStr">
        <is>
          <t>Green City Phase 3 (Omu-Epe)</t>
        </is>
      </c>
      <c r="H513" s="15" t="inlineStr">
        <is>
          <t>BP-C0127</t>
        </is>
      </c>
      <c r="I513" s="15" t="inlineStr">
        <is>
          <t>Mr Adigun Muyiwa &amp; Mrs Adigun Folashade Oluwaseun</t>
        </is>
      </c>
      <c r="J513" s="17" t="n">
        <v>700000</v>
      </c>
      <c r="K513" s="15" t="inlineStr">
        <is>
          <t>Allen Branch</t>
        </is>
      </c>
      <c r="L513" s="15" t="inlineStr">
        <is>
          <t>Primary: monthly turnover register</t>
        </is>
      </c>
      <c r="M513" s="15" t="inlineStr">
        <is>
          <t>BAAY PROJECTS FINANCIALS 2024.xlsx</t>
        </is>
      </c>
      <c r="N513" s="15" t="inlineStr">
        <is>
          <t>NOVEMBER TURNOVER</t>
        </is>
      </c>
      <c r="O513" s="15" t="n">
        <v>34</v>
      </c>
      <c r="P513" s="15" t="inlineStr">
        <is>
          <t>28/11/2024</t>
        </is>
      </c>
      <c r="Q513" s="15" t="inlineStr">
        <is>
          <t>MR AYENI MAYOWA r15</t>
        </is>
      </c>
      <c r="R513" s="15" t="n"/>
    </row>
    <row r="514">
      <c r="A514" s="15" t="inlineStr">
        <is>
          <t>SL0510</t>
        </is>
      </c>
      <c r="B514" s="16" t="n">
        <v>45625</v>
      </c>
      <c r="C514" s="15" t="inlineStr">
        <is>
          <t>2024-11</t>
        </is>
      </c>
      <c r="D514" s="15" t="n">
        <v>2024</v>
      </c>
      <c r="E514" s="15" t="inlineStr">
        <is>
          <t>Land</t>
        </is>
      </c>
      <c r="F514" s="15" t="inlineStr">
        <is>
          <t>Ancillary charge</t>
        </is>
      </c>
      <c r="G514" s="15" t="inlineStr">
        <is>
          <t>Land: corner piece premium</t>
        </is>
      </c>
      <c r="H514" s="15" t="inlineStr">
        <is>
          <t>BP-C0068</t>
        </is>
      </c>
      <c r="I514" s="15" t="inlineStr">
        <is>
          <t>Miss Ebhotah Sharon Aisosa</t>
        </is>
      </c>
      <c r="J514" s="17" t="n">
        <v>135000</v>
      </c>
      <c r="K514" s="15" t="inlineStr">
        <is>
          <t>Magodo Branch</t>
        </is>
      </c>
      <c r="L514" s="15" t="inlineStr">
        <is>
          <t>Primary: monthly turnover register</t>
        </is>
      </c>
      <c r="M514" s="15" t="inlineStr">
        <is>
          <t>BAAY PROJECTS FINANCIALS 2024.xlsx</t>
        </is>
      </c>
      <c r="N514" s="15" t="inlineStr">
        <is>
          <t>NOVEMBER TURNOVER</t>
        </is>
      </c>
      <c r="O514" s="15" t="n">
        <v>24</v>
      </c>
      <c r="P514" s="15" t="inlineStr">
        <is>
          <t>29/11/2024</t>
        </is>
      </c>
      <c r="Q514" s="15" t="n"/>
      <c r="R514" s="15" t="n"/>
    </row>
    <row r="515">
      <c r="A515" s="15" t="inlineStr">
        <is>
          <t>SL0511</t>
        </is>
      </c>
      <c r="B515" s="16" t="n">
        <v>45625</v>
      </c>
      <c r="C515" s="15" t="inlineStr">
        <is>
          <t>2024-11</t>
        </is>
      </c>
      <c r="D515" s="15" t="n">
        <v>2024</v>
      </c>
      <c r="E515" s="15" t="inlineStr">
        <is>
          <t>Land</t>
        </is>
      </c>
      <c r="F515" s="15" t="inlineStr">
        <is>
          <t>Ancillary charge</t>
        </is>
      </c>
      <c r="G515" s="15" t="inlineStr">
        <is>
          <t>Land: corner piece premium</t>
        </is>
      </c>
      <c r="H515" s="15" t="inlineStr">
        <is>
          <t>BP-C0114</t>
        </is>
      </c>
      <c r="I515" s="15" t="inlineStr">
        <is>
          <t>Miss Ohaego Ijeoma Goodness</t>
        </is>
      </c>
      <c r="J515" s="17" t="n">
        <v>135000</v>
      </c>
      <c r="K515" s="15" t="inlineStr">
        <is>
          <t>Allen Branch</t>
        </is>
      </c>
      <c r="L515" s="15" t="inlineStr">
        <is>
          <t>Primary: monthly turnover register</t>
        </is>
      </c>
      <c r="M515" s="15" t="inlineStr">
        <is>
          <t>BAAY PROJECTS FINANCIALS 2024.xlsx</t>
        </is>
      </c>
      <c r="N515" s="15" t="inlineStr">
        <is>
          <t>NOVEMBER TURNOVER</t>
        </is>
      </c>
      <c r="O515" s="15" t="n">
        <v>37</v>
      </c>
      <c r="P515" s="15" t="inlineStr">
        <is>
          <t>29/11/2024</t>
        </is>
      </c>
      <c r="Q515" s="15" t="n"/>
      <c r="R515" s="15" t="n"/>
    </row>
    <row r="516">
      <c r="A516" s="15" t="inlineStr">
        <is>
          <t>SL0512</t>
        </is>
      </c>
      <c r="B516" s="16" t="n">
        <v>45625</v>
      </c>
      <c r="C516" s="15" t="inlineStr">
        <is>
          <t>2024-11</t>
        </is>
      </c>
      <c r="D516" s="15" t="n">
        <v>2024</v>
      </c>
      <c r="E516" s="15" t="inlineStr">
        <is>
          <t>Land</t>
        </is>
      </c>
      <c r="F516" s="15" t="inlineStr">
        <is>
          <t>Ancillary charge</t>
        </is>
      </c>
      <c r="G516" s="15" t="inlineStr">
        <is>
          <t>Land: corner piece premium</t>
        </is>
      </c>
      <c r="H516" s="15" t="inlineStr">
        <is>
          <t>BP-C0026</t>
        </is>
      </c>
      <c r="I516" s="15" t="inlineStr">
        <is>
          <t>Mr &amp; Mrs Adebayo Dada</t>
        </is>
      </c>
      <c r="J516" s="17" t="n">
        <v>135000</v>
      </c>
      <c r="K516" s="15" t="inlineStr">
        <is>
          <t>Allen Branch</t>
        </is>
      </c>
      <c r="L516" s="15" t="inlineStr">
        <is>
          <t>Primary: monthly turnover register</t>
        </is>
      </c>
      <c r="M516" s="15" t="inlineStr">
        <is>
          <t>BAAY PROJECTS FINANCIALS 2024.xlsx</t>
        </is>
      </c>
      <c r="N516" s="15" t="inlineStr">
        <is>
          <t>NOVEMBER TURNOVER</t>
        </is>
      </c>
      <c r="O516" s="15" t="n">
        <v>38</v>
      </c>
      <c r="P516" s="15" t="inlineStr">
        <is>
          <t>29/11/2024</t>
        </is>
      </c>
      <c r="Q516" s="15" t="n"/>
      <c r="R516" s="15" t="n"/>
    </row>
    <row r="517">
      <c r="A517" s="15" t="inlineStr">
        <is>
          <t>SL0513</t>
        </is>
      </c>
      <c r="B517" s="16" t="n">
        <v>45625</v>
      </c>
      <c r="C517" s="15" t="inlineStr">
        <is>
          <t>2024-11</t>
        </is>
      </c>
      <c r="D517" s="15" t="n">
        <v>2024</v>
      </c>
      <c r="E517" s="15" t="inlineStr">
        <is>
          <t>Land</t>
        </is>
      </c>
      <c r="F517" s="15" t="inlineStr">
        <is>
          <t>Plot / unit price</t>
        </is>
      </c>
      <c r="G517" s="15" t="inlineStr">
        <is>
          <t>Green City Phase 2 (Ketu-Epe)</t>
        </is>
      </c>
      <c r="H517" s="15" t="inlineStr">
        <is>
          <t>BP-C0148</t>
        </is>
      </c>
      <c r="I517" s="15" t="inlineStr">
        <is>
          <t>Mr Akinsete Michael Abayomi</t>
        </is>
      </c>
      <c r="J517" s="17" t="n">
        <v>500000</v>
      </c>
      <c r="K517" s="15" t="inlineStr">
        <is>
          <t>Allen Branch</t>
        </is>
      </c>
      <c r="L517" s="15" t="inlineStr">
        <is>
          <t>Primary: monthly turnover register</t>
        </is>
      </c>
      <c r="M517" s="15" t="inlineStr">
        <is>
          <t>BAAY PROJECTS FINANCIALS 2024.xlsx</t>
        </is>
      </c>
      <c r="N517" s="15" t="inlineStr">
        <is>
          <t>NOVEMBER TURNOVER</t>
        </is>
      </c>
      <c r="O517" s="15" t="n">
        <v>36</v>
      </c>
      <c r="P517" s="15" t="inlineStr">
        <is>
          <t>29/11/2024</t>
        </is>
      </c>
      <c r="Q517" s="15" t="inlineStr">
        <is>
          <t>MD r88</t>
        </is>
      </c>
      <c r="R517" s="15" t="n"/>
    </row>
    <row r="518">
      <c r="A518" s="15" t="inlineStr">
        <is>
          <t>SL0514</t>
        </is>
      </c>
      <c r="B518" s="16" t="n">
        <v>45625</v>
      </c>
      <c r="C518" s="15" t="inlineStr">
        <is>
          <t>2024-11</t>
        </is>
      </c>
      <c r="D518" s="15" t="n">
        <v>2024</v>
      </c>
      <c r="E518" s="15" t="inlineStr">
        <is>
          <t>Land</t>
        </is>
      </c>
      <c r="F518" s="15" t="inlineStr">
        <is>
          <t>Ancillary charge</t>
        </is>
      </c>
      <c r="G518" s="15" t="inlineStr">
        <is>
          <t>Land: corner piece premium</t>
        </is>
      </c>
      <c r="H518" s="15" t="inlineStr">
        <is>
          <t>BP-C0019</t>
        </is>
      </c>
      <c r="I518" s="15" t="inlineStr">
        <is>
          <t>Mr Ogbu Pius Ejaka</t>
        </is>
      </c>
      <c r="J518" s="17" t="n">
        <v>135000</v>
      </c>
      <c r="K518" s="15" t="inlineStr">
        <is>
          <t>Magodo Branch</t>
        </is>
      </c>
      <c r="L518" s="15" t="inlineStr">
        <is>
          <t>Primary: monthly turnover register</t>
        </is>
      </c>
      <c r="M518" s="15" t="inlineStr">
        <is>
          <t>BAAY PROJECTS FINANCIALS 2024.xlsx</t>
        </is>
      </c>
      <c r="N518" s="15" t="inlineStr">
        <is>
          <t>NOVEMBER TURNOVER</t>
        </is>
      </c>
      <c r="O518" s="15" t="n">
        <v>25</v>
      </c>
      <c r="P518" s="15" t="inlineStr">
        <is>
          <t>29/11/2024</t>
        </is>
      </c>
      <c r="Q518" s="15" t="n"/>
      <c r="R518" s="15" t="n"/>
    </row>
    <row r="519">
      <c r="A519" s="15" t="inlineStr">
        <is>
          <t>SL0515</t>
        </is>
      </c>
      <c r="B519" s="16" t="n">
        <v>45625</v>
      </c>
      <c r="C519" s="15" t="inlineStr">
        <is>
          <t>2024-11</t>
        </is>
      </c>
      <c r="D519" s="15" t="n">
        <v>2024</v>
      </c>
      <c r="E519" s="15" t="inlineStr">
        <is>
          <t>Land</t>
        </is>
      </c>
      <c r="F519" s="15" t="inlineStr">
        <is>
          <t>Plot / unit price</t>
        </is>
      </c>
      <c r="G519" s="15" t="inlineStr">
        <is>
          <t>Green City Phase 3 (Omu-Epe)</t>
        </is>
      </c>
      <c r="H519" s="15" t="inlineStr">
        <is>
          <t>BP-C0149</t>
        </is>
      </c>
      <c r="I519" s="15" t="inlineStr">
        <is>
          <t>Mr Uneze Grant Chetanna</t>
        </is>
      </c>
      <c r="J519" s="17" t="n">
        <v>500000</v>
      </c>
      <c r="K519" s="15" t="inlineStr">
        <is>
          <t>Allen Branch</t>
        </is>
      </c>
      <c r="L519" s="15" t="inlineStr">
        <is>
          <t>Primary: monthly turnover register</t>
        </is>
      </c>
      <c r="M519" s="15" t="inlineStr">
        <is>
          <t>BAAY PROJECTS FINANCIALS 2024.xlsx</t>
        </is>
      </c>
      <c r="N519" s="15" t="inlineStr">
        <is>
          <t>NOVEMBER TURNOVER</t>
        </is>
      </c>
      <c r="O519" s="15" t="n">
        <v>35</v>
      </c>
      <c r="P519" s="15" t="inlineStr">
        <is>
          <t>29/11/2024</t>
        </is>
      </c>
      <c r="Q519" s="15" t="n"/>
      <c r="R519" s="15" t="n"/>
    </row>
    <row r="520">
      <c r="A520" s="15" t="inlineStr">
        <is>
          <t>SL0516</t>
        </is>
      </c>
      <c r="B520" s="16" t="n">
        <v>45626</v>
      </c>
      <c r="C520" s="15" t="inlineStr">
        <is>
          <t>2024-11</t>
        </is>
      </c>
      <c r="D520" s="15" t="n">
        <v>2024</v>
      </c>
      <c r="E520" s="15" t="inlineStr">
        <is>
          <t>Land</t>
        </is>
      </c>
      <c r="F520" s="15" t="inlineStr">
        <is>
          <t>Plot / unit price</t>
        </is>
      </c>
      <c r="G520" s="15" t="inlineStr">
        <is>
          <t>Green City Phase 3 (Omu-Epe)</t>
        </is>
      </c>
      <c r="H520" s="15" t="inlineStr">
        <is>
          <t>BP-C0150</t>
        </is>
      </c>
      <c r="I520" s="15" t="inlineStr">
        <is>
          <t>Mr Ajiboso Damilare Moses</t>
        </is>
      </c>
      <c r="J520" s="17" t="n">
        <v>500000</v>
      </c>
      <c r="K520" s="15" t="inlineStr">
        <is>
          <t>Magodo Branch</t>
        </is>
      </c>
      <c r="L520" s="15" t="inlineStr">
        <is>
          <t>Primary: monthly turnover register</t>
        </is>
      </c>
      <c r="M520" s="15" t="inlineStr">
        <is>
          <t>BAAY PROJECTS FINANCIALS 2024.xlsx</t>
        </is>
      </c>
      <c r="N520" s="15" t="inlineStr">
        <is>
          <t>NOVEMBER TURNOVER</t>
        </is>
      </c>
      <c r="O520" s="15" t="n">
        <v>27</v>
      </c>
      <c r="P520" s="15" t="inlineStr">
        <is>
          <t>30/11/2024</t>
        </is>
      </c>
      <c r="Q520" s="15" t="inlineStr">
        <is>
          <t>MS ADENIKE r27</t>
        </is>
      </c>
      <c r="R520" s="15" t="n"/>
    </row>
    <row r="521">
      <c r="A521" s="15" t="inlineStr">
        <is>
          <t>SL0517</t>
        </is>
      </c>
      <c r="B521" s="16" t="n">
        <v>45626</v>
      </c>
      <c r="C521" s="15" t="inlineStr">
        <is>
          <t>2024-11</t>
        </is>
      </c>
      <c r="D521" s="15" t="n">
        <v>2024</v>
      </c>
      <c r="E521" s="15" t="inlineStr">
        <is>
          <t>Land</t>
        </is>
      </c>
      <c r="F521" s="15" t="inlineStr">
        <is>
          <t>Plot / unit price</t>
        </is>
      </c>
      <c r="G521" s="15" t="inlineStr">
        <is>
          <t>Green City Phase 3 (Omu-Epe)</t>
        </is>
      </c>
      <c r="H521" s="15" t="inlineStr">
        <is>
          <t>BP-C0151</t>
        </is>
      </c>
      <c r="I521" s="15" t="inlineStr">
        <is>
          <t>Mrs Shotonwa Olamide Abosede</t>
        </is>
      </c>
      <c r="J521" s="17" t="n">
        <v>500000</v>
      </c>
      <c r="K521" s="15" t="inlineStr">
        <is>
          <t>Magodo Branch</t>
        </is>
      </c>
      <c r="L521" s="15" t="inlineStr">
        <is>
          <t>Primary: monthly turnover register</t>
        </is>
      </c>
      <c r="M521" s="15" t="inlineStr">
        <is>
          <t>BAAY PROJECTS FINANCIALS 2024.xlsx</t>
        </is>
      </c>
      <c r="N521" s="15" t="inlineStr">
        <is>
          <t>NOVEMBER TURNOVER</t>
        </is>
      </c>
      <c r="O521" s="15" t="n">
        <v>26</v>
      </c>
      <c r="P521" s="15" t="inlineStr">
        <is>
          <t>30/11/2024</t>
        </is>
      </c>
      <c r="Q521" s="15" t="inlineStr">
        <is>
          <t>MS ADENIKE r26</t>
        </is>
      </c>
      <c r="R521" s="15" t="n"/>
    </row>
    <row r="522">
      <c r="A522" s="15" t="inlineStr">
        <is>
          <t>SL0518</t>
        </is>
      </c>
      <c r="B522" s="16" t="n">
        <v>45628</v>
      </c>
      <c r="C522" s="15" t="inlineStr">
        <is>
          <t>2024-12</t>
        </is>
      </c>
      <c r="D522" s="15" t="n">
        <v>2024</v>
      </c>
      <c r="E522" s="15" t="inlineStr">
        <is>
          <t>Land</t>
        </is>
      </c>
      <c r="F522" s="15" t="inlineStr">
        <is>
          <t>Plot / unit price</t>
        </is>
      </c>
      <c r="G522" s="15" t="inlineStr">
        <is>
          <t>Green City Phase 1 (Lantaba, Ketu-Epe)</t>
        </is>
      </c>
      <c r="H522" s="15" t="inlineStr">
        <is>
          <t>BP-C0051</t>
        </is>
      </c>
      <c r="I522" s="15" t="inlineStr">
        <is>
          <t>Mr Ogunleye Olumide</t>
        </is>
      </c>
      <c r="J522" s="17" t="n">
        <v>1700000</v>
      </c>
      <c r="K522" s="15" t="inlineStr">
        <is>
          <t>Allen Branch</t>
        </is>
      </c>
      <c r="L522" s="15" t="inlineStr">
        <is>
          <t>Primary: monthly turnover register</t>
        </is>
      </c>
      <c r="M522" s="15" t="inlineStr">
        <is>
          <t>BAAY PROJECTS FINANCIALS 2024.xlsx</t>
        </is>
      </c>
      <c r="N522" s="15" t="inlineStr">
        <is>
          <t>DECEMBER TURNOVER</t>
        </is>
      </c>
      <c r="O522" s="15" t="n">
        <v>7</v>
      </c>
      <c r="P522" s="15" t="inlineStr">
        <is>
          <t>2024-02-12</t>
        </is>
      </c>
      <c r="Q522" s="15" t="n"/>
      <c r="R522" s="15" t="n"/>
    </row>
    <row r="523">
      <c r="A523" s="15" t="inlineStr">
        <is>
          <t>SL0519</t>
        </is>
      </c>
      <c r="B523" s="16" t="n">
        <v>45629</v>
      </c>
      <c r="C523" s="15" t="inlineStr">
        <is>
          <t>2024-12</t>
        </is>
      </c>
      <c r="D523" s="15" t="n">
        <v>2024</v>
      </c>
      <c r="E523" s="15" t="inlineStr">
        <is>
          <t>Land</t>
        </is>
      </c>
      <c r="F523" s="15" t="inlineStr">
        <is>
          <t>Plot / unit price</t>
        </is>
      </c>
      <c r="G523" s="15" t="inlineStr">
        <is>
          <t>Green City Phase 3 (Omu-Epe)</t>
        </is>
      </c>
      <c r="H523" s="15" t="inlineStr">
        <is>
          <t>BP-C0068</t>
        </is>
      </c>
      <c r="I523" s="15" t="inlineStr">
        <is>
          <t>Miss Ebhotah Sharon Aisosa</t>
        </is>
      </c>
      <c r="J523" s="17" t="n">
        <v>1000000</v>
      </c>
      <c r="K523" s="15" t="inlineStr">
        <is>
          <t>Magodo Branch</t>
        </is>
      </c>
      <c r="L523" s="15" t="inlineStr">
        <is>
          <t>Primary: monthly turnover register</t>
        </is>
      </c>
      <c r="M523" s="15" t="inlineStr">
        <is>
          <t>BAAY PROJECTS FINANCIALS 2024.xlsx</t>
        </is>
      </c>
      <c r="N523" s="15" t="inlineStr">
        <is>
          <t>DECEMBER TURNOVER</t>
        </is>
      </c>
      <c r="O523" s="15" t="n">
        <v>7</v>
      </c>
      <c r="P523" s="15" t="inlineStr">
        <is>
          <t>2024-03-12</t>
        </is>
      </c>
      <c r="Q523" s="15" t="inlineStr">
        <is>
          <t>MS BLESSING r130</t>
        </is>
      </c>
      <c r="R523" s="15" t="n"/>
    </row>
    <row r="524">
      <c r="A524" s="15" t="inlineStr">
        <is>
          <t>SL0520</t>
        </is>
      </c>
      <c r="B524" s="16" t="n">
        <v>45629</v>
      </c>
      <c r="C524" s="15" t="inlineStr">
        <is>
          <t>2024-12</t>
        </is>
      </c>
      <c r="D524" s="15" t="n">
        <v>2024</v>
      </c>
      <c r="E524" s="15" t="inlineStr">
        <is>
          <t>Land</t>
        </is>
      </c>
      <c r="F524" s="15" t="inlineStr">
        <is>
          <t>Plot / unit price</t>
        </is>
      </c>
      <c r="G524" s="15" t="inlineStr">
        <is>
          <t>Green City Phase 3 (Omu-Epe)</t>
        </is>
      </c>
      <c r="H524" s="15" t="inlineStr">
        <is>
          <t>BP-C0019</t>
        </is>
      </c>
      <c r="I524" s="15" t="inlineStr">
        <is>
          <t>Mr Pius Ogbu Ejaka</t>
        </is>
      </c>
      <c r="J524" s="17" t="n">
        <v>3500000</v>
      </c>
      <c r="K524" s="15" t="inlineStr">
        <is>
          <t>Magodo Branch</t>
        </is>
      </c>
      <c r="L524" s="15" t="inlineStr">
        <is>
          <t>Primary: monthly turnover register</t>
        </is>
      </c>
      <c r="M524" s="15" t="inlineStr">
        <is>
          <t>BAAY PROJECTS FINANCIALS 2024.xlsx</t>
        </is>
      </c>
      <c r="N524" s="15" t="inlineStr">
        <is>
          <t>DECEMBER TURNOVER</t>
        </is>
      </c>
      <c r="O524" s="15" t="n">
        <v>8</v>
      </c>
      <c r="P524" s="15" t="inlineStr">
        <is>
          <t>2024-03-12</t>
        </is>
      </c>
      <c r="Q524" s="15" t="inlineStr">
        <is>
          <t>MS MAYOWA BRAIMOH r55</t>
        </is>
      </c>
      <c r="R524" s="15" t="n"/>
    </row>
    <row r="525">
      <c r="A525" s="15" t="inlineStr">
        <is>
          <t>SL0521</t>
        </is>
      </c>
      <c r="B525" s="16" t="n">
        <v>45630</v>
      </c>
      <c r="C525" s="15" t="inlineStr">
        <is>
          <t>2024-12</t>
        </is>
      </c>
      <c r="D525" s="15" t="n">
        <v>2024</v>
      </c>
      <c r="E525" s="15" t="inlineStr">
        <is>
          <t>Land</t>
        </is>
      </c>
      <c r="F525" s="15" t="inlineStr">
        <is>
          <t>Plot / unit price</t>
        </is>
      </c>
      <c r="G525" s="15" t="inlineStr">
        <is>
          <t>Green City Phase 3 (Omu-Epe)</t>
        </is>
      </c>
      <c r="H525" s="15" t="inlineStr">
        <is>
          <t>BP-C0068</t>
        </is>
      </c>
      <c r="I525" s="15" t="inlineStr">
        <is>
          <t>Miss Ebhotah Sharon Aisosa</t>
        </is>
      </c>
      <c r="J525" s="17" t="n">
        <v>335000</v>
      </c>
      <c r="K525" s="15" t="inlineStr">
        <is>
          <t>Magodo Branch</t>
        </is>
      </c>
      <c r="L525" s="15" t="inlineStr">
        <is>
          <t>Primary: monthly turnover register</t>
        </is>
      </c>
      <c r="M525" s="15" t="inlineStr">
        <is>
          <t>BAAY PROJECTS FINANCIALS 2024.xlsx</t>
        </is>
      </c>
      <c r="N525" s="15" t="inlineStr">
        <is>
          <t>DECEMBER TURNOVER</t>
        </is>
      </c>
      <c r="O525" s="15" t="n">
        <v>9</v>
      </c>
      <c r="P525" s="15" t="inlineStr">
        <is>
          <t>2024-04-12</t>
        </is>
      </c>
      <c r="Q525" s="15" t="inlineStr">
        <is>
          <t>MS BLESSING r131</t>
        </is>
      </c>
      <c r="R525" s="15" t="n"/>
    </row>
    <row r="526">
      <c r="A526" s="15" t="inlineStr">
        <is>
          <t>SL0522</t>
        </is>
      </c>
      <c r="B526" s="16" t="n">
        <v>45632</v>
      </c>
      <c r="C526" s="15" t="inlineStr">
        <is>
          <t>2024-12</t>
        </is>
      </c>
      <c r="D526" s="15" t="n">
        <v>2024</v>
      </c>
      <c r="E526" s="15" t="inlineStr">
        <is>
          <t>Land</t>
        </is>
      </c>
      <c r="F526" s="15" t="inlineStr">
        <is>
          <t>Plot / unit price</t>
        </is>
      </c>
      <c r="G526" s="15" t="inlineStr">
        <is>
          <t>Green City Phase 2 (Ketu-Epe)</t>
        </is>
      </c>
      <c r="H526" s="15" t="inlineStr">
        <is>
          <t>BP-C0054</t>
        </is>
      </c>
      <c r="I526" s="15" t="inlineStr">
        <is>
          <t>Mr Adeniyi Ademola</t>
        </is>
      </c>
      <c r="J526" s="17" t="n">
        <v>2000000</v>
      </c>
      <c r="K526" s="15" t="inlineStr">
        <is>
          <t>Allen Branch</t>
        </is>
      </c>
      <c r="L526" s="15" t="inlineStr">
        <is>
          <t>Primary: monthly turnover register</t>
        </is>
      </c>
      <c r="M526" s="15" t="inlineStr">
        <is>
          <t>BAAY PROJECTS FINANCIALS 2024.xlsx</t>
        </is>
      </c>
      <c r="N526" s="15" t="inlineStr">
        <is>
          <t>DECEMBER TURNOVER</t>
        </is>
      </c>
      <c r="O526" s="15" t="n">
        <v>9</v>
      </c>
      <c r="P526" s="15" t="inlineStr">
        <is>
          <t>2024-06-12</t>
        </is>
      </c>
      <c r="Q526" s="15" t="inlineStr">
        <is>
          <t>MRS ABIMBOLA r169</t>
        </is>
      </c>
      <c r="R526" s="15" t="n"/>
    </row>
    <row r="527">
      <c r="A527" s="15" t="inlineStr">
        <is>
          <t>SL0523</t>
        </is>
      </c>
      <c r="B527" s="16" t="n">
        <v>45632</v>
      </c>
      <c r="C527" s="15" t="inlineStr">
        <is>
          <t>2024-12</t>
        </is>
      </c>
      <c r="D527" s="15" t="n">
        <v>2024</v>
      </c>
      <c r="E527" s="15" t="inlineStr">
        <is>
          <t>Land</t>
        </is>
      </c>
      <c r="F527" s="15" t="inlineStr">
        <is>
          <t>Ancillary charge</t>
        </is>
      </c>
      <c r="G527" s="15" t="inlineStr">
        <is>
          <t>Land: corner piece premium</t>
        </is>
      </c>
      <c r="H527" s="15" t="inlineStr">
        <is>
          <t>BP-C0054</t>
        </is>
      </c>
      <c r="I527" s="15" t="inlineStr">
        <is>
          <t>Mr Adeniyi Ademola</t>
        </is>
      </c>
      <c r="J527" s="17" t="n">
        <v>135000</v>
      </c>
      <c r="K527" s="15" t="inlineStr">
        <is>
          <t>Allen Branch</t>
        </is>
      </c>
      <c r="L527" s="15" t="inlineStr">
        <is>
          <t>Primary: monthly turnover register</t>
        </is>
      </c>
      <c r="M527" s="15" t="inlineStr">
        <is>
          <t>BAAY PROJECTS FINANCIALS 2024.xlsx</t>
        </is>
      </c>
      <c r="N527" s="15" t="inlineStr">
        <is>
          <t>DECEMBER TURNOVER</t>
        </is>
      </c>
      <c r="O527" s="15" t="n">
        <v>10</v>
      </c>
      <c r="P527" s="15" t="inlineStr">
        <is>
          <t>2024-06-12</t>
        </is>
      </c>
      <c r="Q527" s="15" t="n"/>
      <c r="R527" s="15" t="n"/>
    </row>
    <row r="528">
      <c r="A528" s="15" t="inlineStr">
        <is>
          <t>SL0524</t>
        </is>
      </c>
      <c r="B528" s="16" t="n">
        <v>45632</v>
      </c>
      <c r="C528" s="15" t="inlineStr">
        <is>
          <t>2024-12</t>
        </is>
      </c>
      <c r="D528" s="15" t="n">
        <v>2024</v>
      </c>
      <c r="E528" s="15" t="inlineStr">
        <is>
          <t>Land</t>
        </is>
      </c>
      <c r="F528" s="15" t="inlineStr">
        <is>
          <t>Plot / unit price</t>
        </is>
      </c>
      <c r="G528" s="15" t="inlineStr">
        <is>
          <t>Green City Phase 3 (Omu-Epe)</t>
        </is>
      </c>
      <c r="H528" s="15" t="inlineStr">
        <is>
          <t>BP-C0150</t>
        </is>
      </c>
      <c r="I528" s="15" t="inlineStr">
        <is>
          <t>Mr Ajiboso Damilare Moses</t>
        </is>
      </c>
      <c r="J528" s="17" t="n">
        <v>500000</v>
      </c>
      <c r="K528" s="15" t="inlineStr">
        <is>
          <t>Magodo Branch</t>
        </is>
      </c>
      <c r="L528" s="15" t="inlineStr">
        <is>
          <t>Primary: monthly turnover register</t>
        </is>
      </c>
      <c r="M528" s="15" t="inlineStr">
        <is>
          <t>BAAY PROJECTS FINANCIALS 2024.xlsx</t>
        </is>
      </c>
      <c r="N528" s="15" t="inlineStr">
        <is>
          <t>DECEMBER TURNOVER</t>
        </is>
      </c>
      <c r="O528" s="15" t="n">
        <v>10</v>
      </c>
      <c r="P528" s="15" t="inlineStr">
        <is>
          <t>2024-06-12</t>
        </is>
      </c>
      <c r="Q528" s="15" t="inlineStr">
        <is>
          <t>MS ADENIKE r28</t>
        </is>
      </c>
      <c r="R528" s="15" t="n"/>
    </row>
    <row r="529">
      <c r="A529" s="15" t="inlineStr">
        <is>
          <t>SL0525</t>
        </is>
      </c>
      <c r="B529" s="16" t="n">
        <v>45633</v>
      </c>
      <c r="C529" s="15" t="inlineStr">
        <is>
          <t>2024-12</t>
        </is>
      </c>
      <c r="D529" s="15" t="n">
        <v>2024</v>
      </c>
      <c r="E529" s="15" t="inlineStr">
        <is>
          <t>Land</t>
        </is>
      </c>
      <c r="F529" s="15" t="inlineStr">
        <is>
          <t>Plot / unit price</t>
        </is>
      </c>
      <c r="G529" s="15" t="inlineStr">
        <is>
          <t>Heritage Garden</t>
        </is>
      </c>
      <c r="H529" s="15" t="inlineStr">
        <is>
          <t>BP-C0137</t>
        </is>
      </c>
      <c r="I529" s="15" t="inlineStr">
        <is>
          <t>Mr Boyejo Abiodun</t>
        </is>
      </c>
      <c r="J529" s="17" t="n">
        <v>450000</v>
      </c>
      <c r="K529" s="15" t="inlineStr">
        <is>
          <t>Allen Branch</t>
        </is>
      </c>
      <c r="L529" s="15" t="inlineStr">
        <is>
          <t>Primary: monthly turnover register</t>
        </is>
      </c>
      <c r="M529" s="15" t="inlineStr">
        <is>
          <t>BAAY PROJECTS FINANCIALS 2024.xlsx</t>
        </is>
      </c>
      <c r="N529" s="15" t="inlineStr">
        <is>
          <t>DECEMBER TURNOVER</t>
        </is>
      </c>
      <c r="O529" s="15" t="n">
        <v>11</v>
      </c>
      <c r="P529" s="15" t="inlineStr">
        <is>
          <t>2024-07-12</t>
        </is>
      </c>
      <c r="Q529" s="15" t="inlineStr">
        <is>
          <t>MS BOLANLE r127</t>
        </is>
      </c>
      <c r="R529" s="15" t="n"/>
    </row>
    <row r="530">
      <c r="A530" s="15" t="inlineStr">
        <is>
          <t>SL0526</t>
        </is>
      </c>
      <c r="B530" s="16" t="n">
        <v>45634</v>
      </c>
      <c r="C530" s="15" t="inlineStr">
        <is>
          <t>2024-12</t>
        </is>
      </c>
      <c r="D530" s="15" t="n">
        <v>2024</v>
      </c>
      <c r="E530" s="15" t="inlineStr">
        <is>
          <t>Land</t>
        </is>
      </c>
      <c r="F530" s="15" t="inlineStr">
        <is>
          <t>Plot / unit price</t>
        </is>
      </c>
      <c r="G530" s="15" t="inlineStr">
        <is>
          <t>Green City Phase 3 (Omu-Epe)</t>
        </is>
      </c>
      <c r="H530" s="15" t="inlineStr">
        <is>
          <t>BP-C0135</t>
        </is>
      </c>
      <c r="I530" s="15" t="inlineStr">
        <is>
          <t>Mr Okanrende Kazeem</t>
        </is>
      </c>
      <c r="J530" s="17" t="n">
        <v>1000000</v>
      </c>
      <c r="K530" s="15" t="inlineStr">
        <is>
          <t>Allen Branch</t>
        </is>
      </c>
      <c r="L530" s="15" t="inlineStr">
        <is>
          <t>Primary: monthly turnover register</t>
        </is>
      </c>
      <c r="M530" s="15" t="inlineStr">
        <is>
          <t>BAAY PROJECTS FINANCIALS 2024.xlsx</t>
        </is>
      </c>
      <c r="N530" s="15" t="inlineStr">
        <is>
          <t>DECEMBER TURNOVER</t>
        </is>
      </c>
      <c r="O530" s="15" t="n">
        <v>12</v>
      </c>
      <c r="P530" s="15" t="inlineStr">
        <is>
          <t>2024-08-12</t>
        </is>
      </c>
      <c r="Q530" s="15" t="inlineStr">
        <is>
          <t>MS YETUNDE ABISOYE r82</t>
        </is>
      </c>
      <c r="R530" s="15" t="n"/>
    </row>
    <row r="531">
      <c r="A531" s="15" t="inlineStr">
        <is>
          <t>SL0527</t>
        </is>
      </c>
      <c r="B531" s="16" t="n">
        <v>45635</v>
      </c>
      <c r="C531" s="15" t="inlineStr">
        <is>
          <t>2024-12</t>
        </is>
      </c>
      <c r="D531" s="15" t="n">
        <v>2024</v>
      </c>
      <c r="E531" s="15" t="inlineStr">
        <is>
          <t>Land</t>
        </is>
      </c>
      <c r="F531" s="15" t="inlineStr">
        <is>
          <t>Plot / unit price</t>
        </is>
      </c>
      <c r="G531" s="15" t="inlineStr">
        <is>
          <t>Green City Phase 2 (Ketu-Epe)</t>
        </is>
      </c>
      <c r="H531" s="15" t="inlineStr">
        <is>
          <t>BP-C0141</t>
        </is>
      </c>
      <c r="I531" s="15" t="inlineStr">
        <is>
          <t>Mr Aremu Kayode</t>
        </is>
      </c>
      <c r="J531" s="17" t="n">
        <v>1000000</v>
      </c>
      <c r="K531" s="15" t="inlineStr">
        <is>
          <t>Allen Branch</t>
        </is>
      </c>
      <c r="L531" s="15" t="inlineStr">
        <is>
          <t>Primary: monthly turnover register</t>
        </is>
      </c>
      <c r="M531" s="15" t="inlineStr">
        <is>
          <t>BAAY PROJECTS FINANCIALS 2024.xlsx</t>
        </is>
      </c>
      <c r="N531" s="15" t="inlineStr">
        <is>
          <t>DECEMBER TURNOVER</t>
        </is>
      </c>
      <c r="O531" s="15" t="n">
        <v>14</v>
      </c>
      <c r="P531" s="15" t="inlineStr">
        <is>
          <t>2024-09-12</t>
        </is>
      </c>
      <c r="Q531" s="15" t="inlineStr">
        <is>
          <t>OGIDAN r43</t>
        </is>
      </c>
      <c r="R531" s="15" t="n"/>
    </row>
    <row r="532">
      <c r="A532" s="15" t="inlineStr">
        <is>
          <t>SL0528</t>
        </is>
      </c>
      <c r="B532" s="16" t="n">
        <v>45635</v>
      </c>
      <c r="C532" s="15" t="inlineStr">
        <is>
          <t>2024-12</t>
        </is>
      </c>
      <c r="D532" s="15" t="n">
        <v>2024</v>
      </c>
      <c r="E532" s="15" t="inlineStr">
        <is>
          <t>Housing</t>
        </is>
      </c>
      <c r="F532" s="15" t="inlineStr">
        <is>
          <t>Plot / unit price</t>
        </is>
      </c>
      <c r="G532" s="15" t="inlineStr">
        <is>
          <t>Pacific Apartment</t>
        </is>
      </c>
      <c r="H532" s="15" t="inlineStr">
        <is>
          <t>BP-C0140</t>
        </is>
      </c>
      <c r="I532" s="15" t="inlineStr">
        <is>
          <t>Mr Balogun Akeem Tokunbo</t>
        </is>
      </c>
      <c r="J532" s="17" t="n">
        <v>10000000</v>
      </c>
      <c r="K532" s="15" t="inlineStr">
        <is>
          <t>Magodo Branch</t>
        </is>
      </c>
      <c r="L532" s="15" t="inlineStr">
        <is>
          <t>Primary: monthly turnover register</t>
        </is>
      </c>
      <c r="M532" s="15" t="inlineStr">
        <is>
          <t>BAAY PROJECTS FINANCIALS 2024.xlsx</t>
        </is>
      </c>
      <c r="N532" s="15" t="inlineStr">
        <is>
          <t>DECEMBER TURNOVER</t>
        </is>
      </c>
      <c r="O532" s="15" t="n">
        <v>11</v>
      </c>
      <c r="P532" s="15" t="inlineStr">
        <is>
          <t>2024-09-12</t>
        </is>
      </c>
      <c r="Q532" s="15" t="inlineStr">
        <is>
          <t>MAMA ADEBIMPE r5</t>
        </is>
      </c>
      <c r="R532" s="15" t="n"/>
    </row>
    <row r="533">
      <c r="A533" s="15" t="inlineStr">
        <is>
          <t>SL0529</t>
        </is>
      </c>
      <c r="B533" s="16" t="n">
        <v>45635</v>
      </c>
      <c r="C533" s="15" t="inlineStr">
        <is>
          <t>2024-12</t>
        </is>
      </c>
      <c r="D533" s="15" t="n">
        <v>2024</v>
      </c>
      <c r="E533" s="15" t="inlineStr">
        <is>
          <t>Land</t>
        </is>
      </c>
      <c r="F533" s="15" t="inlineStr">
        <is>
          <t>Plot / unit price</t>
        </is>
      </c>
      <c r="G533" s="15" t="inlineStr">
        <is>
          <t>Green City Phase 3 (Omu-Epe)</t>
        </is>
      </c>
      <c r="H533" s="15" t="inlineStr">
        <is>
          <t>BP-C0135</t>
        </is>
      </c>
      <c r="I533" s="15" t="inlineStr">
        <is>
          <t>Mr Okanrende Kazeem</t>
        </is>
      </c>
      <c r="J533" s="17" t="n">
        <v>1000000</v>
      </c>
      <c r="K533" s="15" t="inlineStr">
        <is>
          <t>Allen Branch</t>
        </is>
      </c>
      <c r="L533" s="15" t="inlineStr">
        <is>
          <t>Primary: monthly turnover register</t>
        </is>
      </c>
      <c r="M533" s="15" t="inlineStr">
        <is>
          <t>BAAY PROJECTS FINANCIALS 2024.xlsx</t>
        </is>
      </c>
      <c r="N533" s="15" t="inlineStr">
        <is>
          <t>DECEMBER TURNOVER</t>
        </is>
      </c>
      <c r="O533" s="15" t="n">
        <v>13</v>
      </c>
      <c r="P533" s="15" t="inlineStr">
        <is>
          <t>2024-09-12</t>
        </is>
      </c>
      <c r="Q533" s="15" t="inlineStr">
        <is>
          <t>MS YETUNDE ABISOYE r83</t>
        </is>
      </c>
      <c r="R533" s="15" t="n"/>
    </row>
    <row r="534">
      <c r="A534" s="15" t="inlineStr">
        <is>
          <t>SL0530</t>
        </is>
      </c>
      <c r="B534" s="16" t="n">
        <v>45637</v>
      </c>
      <c r="C534" s="15" t="inlineStr">
        <is>
          <t>2024-12</t>
        </is>
      </c>
      <c r="D534" s="15" t="n">
        <v>2024</v>
      </c>
      <c r="E534" s="15" t="inlineStr">
        <is>
          <t>Land</t>
        </is>
      </c>
      <c r="F534" s="15" t="inlineStr">
        <is>
          <t>Plot / unit price</t>
        </is>
      </c>
      <c r="G534" s="15" t="inlineStr">
        <is>
          <t>Green City Phase 3 (Omu-Epe)</t>
        </is>
      </c>
      <c r="H534" s="15" t="inlineStr">
        <is>
          <t>BP-C0140</t>
        </is>
      </c>
      <c r="I534" s="15" t="inlineStr">
        <is>
          <t>Mr Balogun Akeem Tokunbo</t>
        </is>
      </c>
      <c r="J534" s="17" t="n">
        <v>7000000</v>
      </c>
      <c r="K534" s="15" t="inlineStr">
        <is>
          <t>Magodo Branch</t>
        </is>
      </c>
      <c r="L534" s="15" t="inlineStr">
        <is>
          <t>Primary: monthly turnover register</t>
        </is>
      </c>
      <c r="M534" s="15" t="inlineStr">
        <is>
          <t>BAAY PROJECTS FINANCIALS 2024.xlsx</t>
        </is>
      </c>
      <c r="N534" s="15" t="inlineStr">
        <is>
          <t>DECEMBER TURNOVER</t>
        </is>
      </c>
      <c r="O534" s="15" t="n">
        <v>12</v>
      </c>
      <c r="P534" s="15" t="inlineStr">
        <is>
          <t>2024-11-12</t>
        </is>
      </c>
      <c r="Q534" s="15" t="inlineStr">
        <is>
          <t>MAMA ADEBIMPE r72</t>
        </is>
      </c>
      <c r="R534" s="15" t="n"/>
    </row>
    <row r="535">
      <c r="A535" s="15" t="inlineStr">
        <is>
          <t>SL0531</t>
        </is>
      </c>
      <c r="B535" s="16" t="n">
        <v>45640</v>
      </c>
      <c r="C535" s="15" t="inlineStr">
        <is>
          <t>2024-12</t>
        </is>
      </c>
      <c r="D535" s="15" t="n">
        <v>2024</v>
      </c>
      <c r="E535" s="15" t="inlineStr">
        <is>
          <t>Land</t>
        </is>
      </c>
      <c r="F535" s="15" t="inlineStr">
        <is>
          <t>Plot / unit price</t>
        </is>
      </c>
      <c r="G535" s="15" t="inlineStr">
        <is>
          <t>Green City Phase 2 (Ketu-Epe)</t>
        </is>
      </c>
      <c r="H535" s="15" t="inlineStr">
        <is>
          <t>BP-C0148</t>
        </is>
      </c>
      <c r="I535" s="15" t="inlineStr">
        <is>
          <t>Mr Akinsete Michael</t>
        </is>
      </c>
      <c r="J535" s="17" t="n">
        <v>500000</v>
      </c>
      <c r="K535" s="15" t="inlineStr">
        <is>
          <t>Allen Branch</t>
        </is>
      </c>
      <c r="L535" s="15" t="inlineStr">
        <is>
          <t>Primary: monthly turnover register</t>
        </is>
      </c>
      <c r="M535" s="15" t="inlineStr">
        <is>
          <t>BAAY PROJECTS FINANCIALS 2024.xlsx</t>
        </is>
      </c>
      <c r="N535" s="15" t="inlineStr">
        <is>
          <t>DECEMBER TURNOVER</t>
        </is>
      </c>
      <c r="O535" s="15" t="n">
        <v>15</v>
      </c>
      <c r="P535" s="15" t="inlineStr">
        <is>
          <t>14/12/2024</t>
        </is>
      </c>
      <c r="Q535" s="15" t="inlineStr">
        <is>
          <t>MD r89</t>
        </is>
      </c>
      <c r="R535" s="15" t="n"/>
    </row>
    <row r="536">
      <c r="A536" s="15" t="inlineStr">
        <is>
          <t>SL0532</t>
        </is>
      </c>
      <c r="B536" s="16" t="n">
        <v>45641</v>
      </c>
      <c r="C536" s="15" t="inlineStr">
        <is>
          <t>2024-12</t>
        </is>
      </c>
      <c r="D536" s="15" t="n">
        <v>2024</v>
      </c>
      <c r="E536" s="15" t="inlineStr">
        <is>
          <t>Land</t>
        </is>
      </c>
      <c r="F536" s="15" t="inlineStr">
        <is>
          <t>Plot / unit price</t>
        </is>
      </c>
      <c r="G536" s="15" t="inlineStr">
        <is>
          <t>Green City Ibadan (Akinyele-Moniya)</t>
        </is>
      </c>
      <c r="H536" s="15" t="inlineStr">
        <is>
          <t>BP-C0153</t>
        </is>
      </c>
      <c r="I536" s="15" t="inlineStr">
        <is>
          <t>Miss Ademakinwa Abosede Wuraola</t>
        </is>
      </c>
      <c r="J536" s="17" t="n">
        <v>500000</v>
      </c>
      <c r="K536" s="15" t="inlineStr">
        <is>
          <t>Magodo Branch</t>
        </is>
      </c>
      <c r="L536" s="15" t="inlineStr">
        <is>
          <t>Primary: monthly turnover register</t>
        </is>
      </c>
      <c r="M536" s="15" t="inlineStr">
        <is>
          <t>BAAY PROJECTS FINANCIALS 2024.xlsx</t>
        </is>
      </c>
      <c r="N536" s="15" t="inlineStr">
        <is>
          <t>DECEMBER TURNOVER</t>
        </is>
      </c>
      <c r="O536" s="15" t="n">
        <v>14</v>
      </c>
      <c r="P536" s="15" t="inlineStr">
        <is>
          <t>15/12/2024</t>
        </is>
      </c>
      <c r="Q536" s="15" t="inlineStr">
        <is>
          <t>MS TAIWO r74</t>
        </is>
      </c>
      <c r="R536" s="15" t="n"/>
    </row>
    <row r="537">
      <c r="A537" s="15" t="inlineStr">
        <is>
          <t>SL0533</t>
        </is>
      </c>
      <c r="B537" s="16" t="n">
        <v>45641</v>
      </c>
      <c r="C537" s="15" t="inlineStr">
        <is>
          <t>2024-12</t>
        </is>
      </c>
      <c r="D537" s="15" t="n">
        <v>2024</v>
      </c>
      <c r="E537" s="15" t="inlineStr">
        <is>
          <t>Land</t>
        </is>
      </c>
      <c r="F537" s="15" t="inlineStr">
        <is>
          <t>Plot / unit price</t>
        </is>
      </c>
      <c r="G537" s="15" t="inlineStr">
        <is>
          <t>Green City Ibadan (Akinyele-Moniya)</t>
        </is>
      </c>
      <c r="H537" s="15" t="inlineStr">
        <is>
          <t>BP-C0154</t>
        </is>
      </c>
      <c r="I537" s="15" t="inlineStr">
        <is>
          <t>Mr Adepoju Adewale Emmanuel</t>
        </is>
      </c>
      <c r="J537" s="17" t="n">
        <v>1000000</v>
      </c>
      <c r="K537" s="15" t="inlineStr">
        <is>
          <t>Magodo Branch</t>
        </is>
      </c>
      <c r="L537" s="15" t="inlineStr">
        <is>
          <t>Primary: monthly turnover register</t>
        </is>
      </c>
      <c r="M537" s="15" t="inlineStr">
        <is>
          <t>BAAY PROJECTS FINANCIALS 2024.xlsx</t>
        </is>
      </c>
      <c r="N537" s="15" t="inlineStr">
        <is>
          <t>DECEMBER TURNOVER</t>
        </is>
      </c>
      <c r="O537" s="15" t="n">
        <v>15</v>
      </c>
      <c r="P537" s="15" t="inlineStr">
        <is>
          <t>15/12/2024</t>
        </is>
      </c>
      <c r="Q537" s="15" t="n"/>
      <c r="R537" s="15" t="n"/>
    </row>
    <row r="538">
      <c r="A538" s="15" t="inlineStr">
        <is>
          <t>SL0534</t>
        </is>
      </c>
      <c r="B538" s="16" t="n">
        <v>45641</v>
      </c>
      <c r="C538" s="15" t="inlineStr">
        <is>
          <t>2024-12</t>
        </is>
      </c>
      <c r="D538" s="15" t="n">
        <v>2024</v>
      </c>
      <c r="E538" s="15" t="inlineStr">
        <is>
          <t>Land</t>
        </is>
      </c>
      <c r="F538" s="15" t="inlineStr">
        <is>
          <t>Plot / unit price</t>
        </is>
      </c>
      <c r="G538" s="15" t="inlineStr">
        <is>
          <t>Green City Ibadan (Akinyele-Moniya)</t>
        </is>
      </c>
      <c r="H538" s="15" t="inlineStr">
        <is>
          <t>BP-C0155</t>
        </is>
      </c>
      <c r="I538" s="15" t="inlineStr">
        <is>
          <t>Mr Adeyanju Adebayo Samson</t>
        </is>
      </c>
      <c r="J538" s="17" t="n">
        <v>500000</v>
      </c>
      <c r="K538" s="15" t="inlineStr">
        <is>
          <t>Magodo Branch</t>
        </is>
      </c>
      <c r="L538" s="15" t="inlineStr">
        <is>
          <t>Primary: monthly turnover register</t>
        </is>
      </c>
      <c r="M538" s="15" t="inlineStr">
        <is>
          <t>BAAY PROJECTS FINANCIALS 2024.xlsx</t>
        </is>
      </c>
      <c r="N538" s="15" t="inlineStr">
        <is>
          <t>DECEMBER TURNOVER</t>
        </is>
      </c>
      <c r="O538" s="15" t="n">
        <v>13</v>
      </c>
      <c r="P538" s="15" t="inlineStr">
        <is>
          <t>15/12/2024</t>
        </is>
      </c>
      <c r="Q538" s="15" t="n"/>
      <c r="R538" s="15" t="n"/>
    </row>
    <row r="539">
      <c r="A539" s="15" t="inlineStr">
        <is>
          <t>SL0535</t>
        </is>
      </c>
      <c r="B539" s="16" t="n">
        <v>45641</v>
      </c>
      <c r="C539" s="15" t="inlineStr">
        <is>
          <t>2024-12</t>
        </is>
      </c>
      <c r="D539" s="15" t="n">
        <v>2024</v>
      </c>
      <c r="E539" s="15" t="inlineStr">
        <is>
          <t>Housing</t>
        </is>
      </c>
      <c r="F539" s="15" t="inlineStr">
        <is>
          <t>Plot / unit price</t>
        </is>
      </c>
      <c r="G539" s="15" t="inlineStr">
        <is>
          <t>Pacific Apartment</t>
        </is>
      </c>
      <c r="H539" s="15" t="inlineStr">
        <is>
          <t>BP-C0156</t>
        </is>
      </c>
      <c r="I539" s="15" t="inlineStr">
        <is>
          <t>Mr Simien Sauel &amp; Mrs Simien Oyindamola Adekunle</t>
        </is>
      </c>
      <c r="J539" s="17" t="n">
        <v>4750000</v>
      </c>
      <c r="K539" s="15" t="inlineStr">
        <is>
          <t>Magodo Branch</t>
        </is>
      </c>
      <c r="L539" s="15" t="inlineStr">
        <is>
          <t>Primary: monthly turnover register</t>
        </is>
      </c>
      <c r="M539" s="15" t="inlineStr">
        <is>
          <t>BAAY PROJECTS FINANCIALS 2024.xlsx</t>
        </is>
      </c>
      <c r="N539" s="15" t="inlineStr">
        <is>
          <t>DECEMBER TURNOVER</t>
        </is>
      </c>
      <c r="O539" s="15" t="n">
        <v>17</v>
      </c>
      <c r="P539" s="15" t="inlineStr">
        <is>
          <t>15/12/2024</t>
        </is>
      </c>
      <c r="Q539" s="15" t="n"/>
      <c r="R539" s="15" t="n"/>
    </row>
    <row r="540">
      <c r="A540" s="15" t="inlineStr">
        <is>
          <t>SL0536</t>
        </is>
      </c>
      <c r="B540" s="16" t="n">
        <v>45641</v>
      </c>
      <c r="C540" s="15" t="inlineStr">
        <is>
          <t>2024-12</t>
        </is>
      </c>
      <c r="D540" s="15" t="n">
        <v>2024</v>
      </c>
      <c r="E540" s="15" t="inlineStr">
        <is>
          <t>Land</t>
        </is>
      </c>
      <c r="F540" s="15" t="inlineStr">
        <is>
          <t>Plot / unit price</t>
        </is>
      </c>
      <c r="G540" s="15" t="inlineStr">
        <is>
          <t>Green City Ibadan (Akinyele-Moniya)</t>
        </is>
      </c>
      <c r="H540" s="15" t="inlineStr">
        <is>
          <t>BP-C0157</t>
        </is>
      </c>
      <c r="I540" s="15" t="inlineStr">
        <is>
          <t>Mrs Adepoju Adebola Adeniran</t>
        </is>
      </c>
      <c r="J540" s="17" t="n">
        <v>1000000</v>
      </c>
      <c r="K540" s="15" t="inlineStr">
        <is>
          <t>Magodo Branch</t>
        </is>
      </c>
      <c r="L540" s="15" t="inlineStr">
        <is>
          <t>Primary: monthly turnover register</t>
        </is>
      </c>
      <c r="M540" s="15" t="inlineStr">
        <is>
          <t>BAAY PROJECTS FINANCIALS 2024.xlsx</t>
        </is>
      </c>
      <c r="N540" s="15" t="inlineStr">
        <is>
          <t>DECEMBER TURNOVER</t>
        </is>
      </c>
      <c r="O540" s="15" t="n">
        <v>16</v>
      </c>
      <c r="P540" s="15" t="inlineStr">
        <is>
          <t>15/12/2024</t>
        </is>
      </c>
      <c r="Q540" s="15" t="n"/>
      <c r="R540" s="15" t="n"/>
    </row>
    <row r="541">
      <c r="A541" s="15" t="inlineStr">
        <is>
          <t>SL0537</t>
        </is>
      </c>
      <c r="B541" s="16" t="n">
        <v>45642</v>
      </c>
      <c r="C541" s="15" t="inlineStr">
        <is>
          <t>2024-12</t>
        </is>
      </c>
      <c r="D541" s="15" t="n">
        <v>2024</v>
      </c>
      <c r="E541" s="15" t="inlineStr">
        <is>
          <t>Land</t>
        </is>
      </c>
      <c r="F541" s="15" t="inlineStr">
        <is>
          <t>Plot / unit price</t>
        </is>
      </c>
      <c r="G541" s="15" t="inlineStr">
        <is>
          <t>Green City Phase 3 (Omu-Epe)</t>
        </is>
      </c>
      <c r="H541" s="15" t="inlineStr">
        <is>
          <t>BP-C0066</t>
        </is>
      </c>
      <c r="I541" s="15" t="inlineStr">
        <is>
          <t>Miss Omosanya Dotun Akeju</t>
        </is>
      </c>
      <c r="J541" s="17" t="n">
        <v>2500000</v>
      </c>
      <c r="K541" s="15" t="inlineStr">
        <is>
          <t>Allen Branch</t>
        </is>
      </c>
      <c r="L541" s="15" t="inlineStr">
        <is>
          <t>Primary: monthly turnover register</t>
        </is>
      </c>
      <c r="M541" s="15" t="inlineStr">
        <is>
          <t>BAAY PROJECTS FINANCIALS 2024.xlsx</t>
        </is>
      </c>
      <c r="N541" s="15" t="inlineStr">
        <is>
          <t>DECEMBER TURNOVER</t>
        </is>
      </c>
      <c r="O541" s="15" t="n">
        <v>16</v>
      </c>
      <c r="P541" s="15" t="inlineStr">
        <is>
          <t>16/12/2024</t>
        </is>
      </c>
      <c r="Q541" s="15" t="n"/>
      <c r="R541" s="15" t="n"/>
    </row>
    <row r="542">
      <c r="A542" s="15" t="inlineStr">
        <is>
          <t>SL0538</t>
        </is>
      </c>
      <c r="B542" s="16" t="n">
        <v>45642</v>
      </c>
      <c r="C542" s="15" t="inlineStr">
        <is>
          <t>2024-12</t>
        </is>
      </c>
      <c r="D542" s="15" t="n">
        <v>2024</v>
      </c>
      <c r="E542" s="15" t="inlineStr">
        <is>
          <t>Land</t>
        </is>
      </c>
      <c r="F542" s="15" t="inlineStr">
        <is>
          <t>Plot / unit price</t>
        </is>
      </c>
      <c r="G542" s="15" t="inlineStr">
        <is>
          <t>Green City Phase 3 (Omu-Epe)</t>
        </is>
      </c>
      <c r="H542" s="15" t="inlineStr">
        <is>
          <t>BP-C0151</t>
        </is>
      </c>
      <c r="I542" s="15" t="inlineStr">
        <is>
          <t>Mrs Shotonwa Olamide Abosede</t>
        </is>
      </c>
      <c r="J542" s="17" t="n">
        <v>500000</v>
      </c>
      <c r="K542" s="15" t="inlineStr">
        <is>
          <t>Magodo Branch</t>
        </is>
      </c>
      <c r="L542" s="15" t="inlineStr">
        <is>
          <t>Primary: monthly turnover register</t>
        </is>
      </c>
      <c r="M542" s="15" t="inlineStr">
        <is>
          <t>BAAY PROJECTS FINANCIALS 2024.xlsx</t>
        </is>
      </c>
      <c r="N542" s="15" t="inlineStr">
        <is>
          <t>DECEMBER TURNOVER</t>
        </is>
      </c>
      <c r="O542" s="15" t="n">
        <v>18</v>
      </c>
      <c r="P542" s="15" t="inlineStr">
        <is>
          <t>16/12/2024</t>
        </is>
      </c>
      <c r="Q542" s="15" t="inlineStr">
        <is>
          <t>MS ADENIKE r29</t>
        </is>
      </c>
      <c r="R542" s="15" t="n"/>
    </row>
    <row r="543">
      <c r="A543" s="15" t="inlineStr">
        <is>
          <t>SL0539</t>
        </is>
      </c>
      <c r="B543" s="16" t="n">
        <v>45645</v>
      </c>
      <c r="C543" s="15" t="inlineStr">
        <is>
          <t>2024-12</t>
        </is>
      </c>
      <c r="D543" s="15" t="n">
        <v>2024</v>
      </c>
      <c r="E543" s="15" t="inlineStr">
        <is>
          <t>Land</t>
        </is>
      </c>
      <c r="F543" s="15" t="inlineStr">
        <is>
          <t>Plot / unit price</t>
        </is>
      </c>
      <c r="G543" s="15" t="inlineStr">
        <is>
          <t>Green City Ibadan (Akinyele-Moniya)</t>
        </is>
      </c>
      <c r="H543" s="15" t="inlineStr">
        <is>
          <t>BP-C0017</t>
        </is>
      </c>
      <c r="I543" s="15" t="inlineStr">
        <is>
          <t>Mr Taiwo John Adeleye</t>
        </is>
      </c>
      <c r="J543" s="17" t="n">
        <v>900000</v>
      </c>
      <c r="K543" s="15" t="inlineStr">
        <is>
          <t>Magodo Branch</t>
        </is>
      </c>
      <c r="L543" s="15" t="inlineStr">
        <is>
          <t>Primary: monthly turnover register</t>
        </is>
      </c>
      <c r="M543" s="15" t="inlineStr">
        <is>
          <t>BAAY PROJECTS FINANCIALS 2024.xlsx</t>
        </is>
      </c>
      <c r="N543" s="15" t="inlineStr">
        <is>
          <t>DECEMBER TURNOVER</t>
        </is>
      </c>
      <c r="O543" s="15" t="n">
        <v>19</v>
      </c>
      <c r="P543" s="15" t="inlineStr">
        <is>
          <t>19/12/2024</t>
        </is>
      </c>
      <c r="Q543" s="15" t="inlineStr">
        <is>
          <t>MS JOCHEBED r22</t>
        </is>
      </c>
      <c r="R543" s="15" t="n"/>
    </row>
    <row r="544">
      <c r="A544" s="15" t="inlineStr">
        <is>
          <t>SL0540</t>
        </is>
      </c>
      <c r="B544" s="16" t="n">
        <v>45646</v>
      </c>
      <c r="C544" s="15" t="inlineStr">
        <is>
          <t>2024-12</t>
        </is>
      </c>
      <c r="D544" s="15" t="n">
        <v>2024</v>
      </c>
      <c r="E544" s="15" t="inlineStr">
        <is>
          <t>Housing</t>
        </is>
      </c>
      <c r="F544" s="15" t="inlineStr">
        <is>
          <t>Plot / unit price</t>
        </is>
      </c>
      <c r="G544" s="15" t="inlineStr">
        <is>
          <t>Pacific Apartment</t>
        </is>
      </c>
      <c r="H544" s="15" t="inlineStr">
        <is>
          <t>BP-C0145</t>
        </is>
      </c>
      <c r="I544" s="15" t="inlineStr">
        <is>
          <t>Miss Keshinro Oluwatunmise Phebe</t>
        </is>
      </c>
      <c r="J544" s="17" t="n">
        <v>4000000</v>
      </c>
      <c r="K544" s="15" t="inlineStr">
        <is>
          <t>Magodo Branch</t>
        </is>
      </c>
      <c r="L544" s="15" t="inlineStr">
        <is>
          <t>Primary: monthly turnover register</t>
        </is>
      </c>
      <c r="M544" s="15" t="inlineStr">
        <is>
          <t>BAAY PROJECTS FINANCIALS 2024.xlsx</t>
        </is>
      </c>
      <c r="N544" s="15" t="inlineStr">
        <is>
          <t>DECEMBER TURNOVER</t>
        </is>
      </c>
      <c r="O544" s="15" t="n">
        <v>20</v>
      </c>
      <c r="P544" s="15" t="inlineStr">
        <is>
          <t>20/12/2024</t>
        </is>
      </c>
      <c r="Q544" s="15" t="inlineStr">
        <is>
          <t>MR CHARLES r76</t>
        </is>
      </c>
      <c r="R544" s="15" t="n"/>
    </row>
    <row r="545">
      <c r="A545" s="15" t="inlineStr">
        <is>
          <t>SL0541</t>
        </is>
      </c>
      <c r="B545" s="16" t="n">
        <v>45646</v>
      </c>
      <c r="C545" s="15" t="inlineStr">
        <is>
          <t>2024-12</t>
        </is>
      </c>
      <c r="D545" s="15" t="n">
        <v>2024</v>
      </c>
      <c r="E545" s="15" t="inlineStr">
        <is>
          <t>Land</t>
        </is>
      </c>
      <c r="F545" s="15" t="inlineStr">
        <is>
          <t>Plot / unit price</t>
        </is>
      </c>
      <c r="G545" s="15" t="inlineStr">
        <is>
          <t>Green City Phase 3 (Omu-Epe)</t>
        </is>
      </c>
      <c r="H545" s="15" t="inlineStr">
        <is>
          <t>BP-C0158</t>
        </is>
      </c>
      <c r="I545" s="15" t="inlineStr">
        <is>
          <t>Mr Shino Precious Vincent</t>
        </is>
      </c>
      <c r="J545" s="17" t="n">
        <v>300000</v>
      </c>
      <c r="K545" s="15" t="inlineStr">
        <is>
          <t>Allen Branch</t>
        </is>
      </c>
      <c r="L545" s="15" t="inlineStr">
        <is>
          <t>Primary: monthly turnover register</t>
        </is>
      </c>
      <c r="M545" s="15" t="inlineStr">
        <is>
          <t>BAAY PROJECTS FINANCIALS 2024.xlsx</t>
        </is>
      </c>
      <c r="N545" s="15" t="inlineStr">
        <is>
          <t>DECEMBER TURNOVER</t>
        </is>
      </c>
      <c r="O545" s="15" t="n">
        <v>17</v>
      </c>
      <c r="P545" s="15" t="inlineStr">
        <is>
          <t>20/12/2024</t>
        </is>
      </c>
      <c r="Q545" s="15" t="inlineStr">
        <is>
          <t>MR DANIEL r2</t>
        </is>
      </c>
      <c r="R545" s="15" t="n"/>
    </row>
    <row r="546">
      <c r="A546" s="15" t="inlineStr">
        <is>
          <t>SL0542</t>
        </is>
      </c>
      <c r="B546" s="16" t="n">
        <v>45650</v>
      </c>
      <c r="C546" s="15" t="inlineStr">
        <is>
          <t>2024-12</t>
        </is>
      </c>
      <c r="D546" s="15" t="n">
        <v>2024</v>
      </c>
      <c r="E546" s="15" t="inlineStr">
        <is>
          <t>Land</t>
        </is>
      </c>
      <c r="F546" s="15" t="inlineStr">
        <is>
          <t>Plot / unit price</t>
        </is>
      </c>
      <c r="G546" s="15" t="inlineStr">
        <is>
          <t>Heritage Garden</t>
        </is>
      </c>
      <c r="H546" s="15" t="inlineStr">
        <is>
          <t>BP-C0159</t>
        </is>
      </c>
      <c r="I546" s="15" t="inlineStr">
        <is>
          <t>Miss Etefe Ava Ogheneyorhe</t>
        </is>
      </c>
      <c r="J546" s="17" t="n">
        <v>500000</v>
      </c>
      <c r="K546" s="15" t="inlineStr">
        <is>
          <t>Allen Branch</t>
        </is>
      </c>
      <c r="L546" s="15" t="inlineStr">
        <is>
          <t>Primary: monthly turnover register</t>
        </is>
      </c>
      <c r="M546" s="15" t="inlineStr">
        <is>
          <t>BAAY PROJECTS FINANCIALS 2024.xlsx</t>
        </is>
      </c>
      <c r="N546" s="15" t="inlineStr">
        <is>
          <t>DECEMBER TURNOVER</t>
        </is>
      </c>
      <c r="O546" s="15" t="n">
        <v>20</v>
      </c>
      <c r="P546" s="15" t="inlineStr">
        <is>
          <t>24/12/2024</t>
        </is>
      </c>
      <c r="Q546" s="15" t="inlineStr">
        <is>
          <t>MS ELIZABETH r55</t>
        </is>
      </c>
      <c r="R546" s="15" t="n"/>
    </row>
    <row r="547">
      <c r="A547" s="15" t="inlineStr">
        <is>
          <t>SL0543</t>
        </is>
      </c>
      <c r="B547" s="16" t="n">
        <v>45650</v>
      </c>
      <c r="C547" s="15" t="inlineStr">
        <is>
          <t>2024-12</t>
        </is>
      </c>
      <c r="D547" s="15" t="n">
        <v>2024</v>
      </c>
      <c r="E547" s="15" t="inlineStr">
        <is>
          <t>Land</t>
        </is>
      </c>
      <c r="F547" s="15" t="inlineStr">
        <is>
          <t>Plot / unit price</t>
        </is>
      </c>
      <c r="G547" s="15" t="inlineStr">
        <is>
          <t>Green City Phase 3 (Omu-Epe)</t>
        </is>
      </c>
      <c r="H547" s="15" t="inlineStr">
        <is>
          <t>BP-C0149</t>
        </is>
      </c>
      <c r="I547" s="15" t="inlineStr">
        <is>
          <t>Mr Grant Chetanna</t>
        </is>
      </c>
      <c r="J547" s="17" t="n">
        <v>500000</v>
      </c>
      <c r="K547" s="15" t="inlineStr">
        <is>
          <t>Allen Branch</t>
        </is>
      </c>
      <c r="L547" s="15" t="inlineStr">
        <is>
          <t>Primary: monthly turnover register</t>
        </is>
      </c>
      <c r="M547" s="15" t="inlineStr">
        <is>
          <t>BAAY PROJECTS FINANCIALS 2024.xlsx</t>
        </is>
      </c>
      <c r="N547" s="15" t="inlineStr">
        <is>
          <t>DECEMBER TURNOVER</t>
        </is>
      </c>
      <c r="O547" s="15" t="n">
        <v>18</v>
      </c>
      <c r="P547" s="15" t="inlineStr">
        <is>
          <t>24/12/2024</t>
        </is>
      </c>
      <c r="Q547" s="15" t="n"/>
      <c r="R547" s="15" t="n"/>
    </row>
    <row r="548">
      <c r="A548" s="15" t="inlineStr">
        <is>
          <t>SL0544</t>
        </is>
      </c>
      <c r="B548" s="16" t="n">
        <v>45650</v>
      </c>
      <c r="C548" s="15" t="inlineStr">
        <is>
          <t>2024-12</t>
        </is>
      </c>
      <c r="D548" s="15" t="n">
        <v>2024</v>
      </c>
      <c r="E548" s="15" t="inlineStr">
        <is>
          <t>Land</t>
        </is>
      </c>
      <c r="F548" s="15" t="inlineStr">
        <is>
          <t>Plot / unit price</t>
        </is>
      </c>
      <c r="G548" s="15" t="inlineStr">
        <is>
          <t>Green City Phase 3 (Omu-Epe)</t>
        </is>
      </c>
      <c r="H548" s="15" t="inlineStr">
        <is>
          <t>BP-C0149</t>
        </is>
      </c>
      <c r="I548" s="15" t="inlineStr">
        <is>
          <t>Mr Grant Chetanna</t>
        </is>
      </c>
      <c r="J548" s="17" t="n">
        <v>500000</v>
      </c>
      <c r="K548" s="15" t="inlineStr">
        <is>
          <t>Allen Branch</t>
        </is>
      </c>
      <c r="L548" s="15" t="inlineStr">
        <is>
          <t>Primary: monthly turnover register</t>
        </is>
      </c>
      <c r="M548" s="15" t="inlineStr">
        <is>
          <t>BAAY PROJECTS FINANCIALS 2024.xlsx</t>
        </is>
      </c>
      <c r="N548" s="15" t="inlineStr">
        <is>
          <t>DECEMBER TURNOVER</t>
        </is>
      </c>
      <c r="O548" s="15" t="n">
        <v>19</v>
      </c>
      <c r="P548" s="15" t="inlineStr">
        <is>
          <t>24/12/2024</t>
        </is>
      </c>
      <c r="Q548" s="15" t="n"/>
      <c r="R548" s="15" t="n"/>
    </row>
    <row r="549">
      <c r="A549" s="15" t="inlineStr">
        <is>
          <t>SL0545</t>
        </is>
      </c>
      <c r="B549" s="16" t="n">
        <v>45651</v>
      </c>
      <c r="C549" s="15" t="inlineStr">
        <is>
          <t>2024-12</t>
        </is>
      </c>
      <c r="D549" s="15" t="n">
        <v>2024</v>
      </c>
      <c r="E549" s="15" t="inlineStr">
        <is>
          <t>Land</t>
        </is>
      </c>
      <c r="F549" s="15" t="inlineStr">
        <is>
          <t>Plot / unit price</t>
        </is>
      </c>
      <c r="G549" s="15" t="inlineStr">
        <is>
          <t>Green City Phase 2 (Ketu-Epe)</t>
        </is>
      </c>
      <c r="H549" s="15" t="inlineStr">
        <is>
          <t>BP-C0045</t>
        </is>
      </c>
      <c r="I549" s="15" t="inlineStr">
        <is>
          <t>Mr Bolarinwa Iyanuoluwa Simon &amp; Dr Bolarinwa Abisola Christianah</t>
        </is>
      </c>
      <c r="J549" s="17" t="n">
        <v>3830000</v>
      </c>
      <c r="K549" s="15" t="inlineStr">
        <is>
          <t>Allen Branch</t>
        </is>
      </c>
      <c r="L549" s="15" t="inlineStr">
        <is>
          <t>Primary: monthly turnover register</t>
        </is>
      </c>
      <c r="M549" s="15" t="inlineStr">
        <is>
          <t>BAAY PROJECTS FINANCIALS 2024.xlsx</t>
        </is>
      </c>
      <c r="N549" s="15" t="inlineStr">
        <is>
          <t>DECEMBER TURNOVER</t>
        </is>
      </c>
      <c r="O549" s="15" t="n">
        <v>22</v>
      </c>
      <c r="P549" s="15" t="inlineStr">
        <is>
          <t>25/12/2024</t>
        </is>
      </c>
      <c r="Q549" s="15" t="inlineStr">
        <is>
          <t>MD r91</t>
        </is>
      </c>
      <c r="R549" s="15" t="n"/>
    </row>
    <row r="550">
      <c r="A550" s="15" t="inlineStr">
        <is>
          <t>SL0546</t>
        </is>
      </c>
      <c r="B550" s="16" t="n">
        <v>45651</v>
      </c>
      <c r="C550" s="15" t="inlineStr">
        <is>
          <t>2024-12</t>
        </is>
      </c>
      <c r="D550" s="15" t="n">
        <v>2024</v>
      </c>
      <c r="E550" s="15" t="inlineStr">
        <is>
          <t>Land</t>
        </is>
      </c>
      <c r="F550" s="15" t="inlineStr">
        <is>
          <t>Plot / unit price</t>
        </is>
      </c>
      <c r="G550" s="15" t="inlineStr">
        <is>
          <t>Green City Phase 3 (Omu-Epe)</t>
        </is>
      </c>
      <c r="H550" s="15" t="inlineStr">
        <is>
          <t>BP-C0136</t>
        </is>
      </c>
      <c r="I550" s="15" t="inlineStr">
        <is>
          <t>Mr Isibor Godwin</t>
        </is>
      </c>
      <c r="J550" s="17" t="n">
        <v>450000</v>
      </c>
      <c r="K550" s="15" t="inlineStr">
        <is>
          <t>Allen Branch</t>
        </is>
      </c>
      <c r="L550" s="15" t="inlineStr">
        <is>
          <t>Primary: monthly turnover register</t>
        </is>
      </c>
      <c r="M550" s="15" t="inlineStr">
        <is>
          <t>BAAY PROJECTS FINANCIALS 2024.xlsx</t>
        </is>
      </c>
      <c r="N550" s="15" t="inlineStr">
        <is>
          <t>DECEMBER TURNOVER</t>
        </is>
      </c>
      <c r="O550" s="15" t="n">
        <v>21</v>
      </c>
      <c r="P550" s="15" t="inlineStr">
        <is>
          <t>25/12/2024</t>
        </is>
      </c>
      <c r="Q550" s="15" t="inlineStr">
        <is>
          <t>MS TOBI AJAYI r43</t>
        </is>
      </c>
      <c r="R550" s="15" t="n"/>
    </row>
    <row r="551">
      <c r="A551" s="15" t="inlineStr">
        <is>
          <t>SL0547</t>
        </is>
      </c>
      <c r="B551" s="16" t="n">
        <v>45653</v>
      </c>
      <c r="C551" s="15" t="inlineStr">
        <is>
          <t>2024-12</t>
        </is>
      </c>
      <c r="D551" s="15" t="n">
        <v>2024</v>
      </c>
      <c r="E551" s="15" t="inlineStr">
        <is>
          <t>Land</t>
        </is>
      </c>
      <c r="F551" s="15" t="inlineStr">
        <is>
          <t>Ancillary charge</t>
        </is>
      </c>
      <c r="G551" s="15" t="inlineStr">
        <is>
          <t>Land: development fee</t>
        </is>
      </c>
      <c r="H551" s="15" t="inlineStr">
        <is>
          <t>BP-C0030</t>
        </is>
      </c>
      <c r="I551" s="15" t="inlineStr">
        <is>
          <t>Mr Adese Akorede John</t>
        </is>
      </c>
      <c r="J551" s="17" t="n">
        <v>50000</v>
      </c>
      <c r="K551" s="15" t="inlineStr">
        <is>
          <t>Allen Branch</t>
        </is>
      </c>
      <c r="L551" s="15" t="inlineStr">
        <is>
          <t>Primary: monthly turnover register</t>
        </is>
      </c>
      <c r="M551" s="15" t="inlineStr">
        <is>
          <t>BAAY PROJECTS FINANCIALS 2024.xlsx</t>
        </is>
      </c>
      <c r="N551" s="15" t="inlineStr">
        <is>
          <t>DECEMBER TURNOVER</t>
        </is>
      </c>
      <c r="O551" s="15" t="n">
        <v>24</v>
      </c>
      <c r="P551" s="15" t="inlineStr">
        <is>
          <t>27/12/2024</t>
        </is>
      </c>
      <c r="Q551" s="15" t="n"/>
      <c r="R551" s="15" t="n"/>
    </row>
    <row r="552">
      <c r="A552" s="15" t="inlineStr">
        <is>
          <t>SL0548</t>
        </is>
      </c>
      <c r="B552" s="16" t="n">
        <v>45653</v>
      </c>
      <c r="C552" s="15" t="inlineStr">
        <is>
          <t>2024-12</t>
        </is>
      </c>
      <c r="D552" s="15" t="n">
        <v>2024</v>
      </c>
      <c r="E552" s="15" t="inlineStr">
        <is>
          <t>Land</t>
        </is>
      </c>
      <c r="F552" s="15" t="inlineStr">
        <is>
          <t>Plot / unit price</t>
        </is>
      </c>
      <c r="G552" s="15" t="inlineStr">
        <is>
          <t>Green City Ibadan (Akinyele-Moniya)</t>
        </is>
      </c>
      <c r="H552" s="15" t="inlineStr">
        <is>
          <t>BP-C0030</t>
        </is>
      </c>
      <c r="I552" s="15" t="inlineStr">
        <is>
          <t>Mr Adese Akorede John</t>
        </is>
      </c>
      <c r="J552" s="17" t="n">
        <v>500000</v>
      </c>
      <c r="K552" s="15" t="inlineStr">
        <is>
          <t>Allen Branch</t>
        </is>
      </c>
      <c r="L552" s="15" t="inlineStr">
        <is>
          <t>Primary: monthly turnover register</t>
        </is>
      </c>
      <c r="M552" s="15" t="inlineStr">
        <is>
          <t>BAAY PROJECTS FINANCIALS 2024.xlsx</t>
        </is>
      </c>
      <c r="N552" s="15" t="inlineStr">
        <is>
          <t>DECEMBER TURNOVER</t>
        </is>
      </c>
      <c r="O552" s="15" t="n">
        <v>25</v>
      </c>
      <c r="P552" s="15" t="inlineStr">
        <is>
          <t>27/12/2024</t>
        </is>
      </c>
      <c r="Q552" s="15" t="inlineStr">
        <is>
          <t>MD r98</t>
        </is>
      </c>
      <c r="R552" s="15" t="n"/>
    </row>
    <row r="553">
      <c r="A553" s="15" t="inlineStr">
        <is>
          <t>SL0549</t>
        </is>
      </c>
      <c r="B553" s="16" t="n">
        <v>45653</v>
      </c>
      <c r="C553" s="15" t="inlineStr">
        <is>
          <t>2024-12</t>
        </is>
      </c>
      <c r="D553" s="15" t="n">
        <v>2024</v>
      </c>
      <c r="E553" s="15" t="inlineStr">
        <is>
          <t>Land</t>
        </is>
      </c>
      <c r="F553" s="15" t="inlineStr">
        <is>
          <t>Plot / unit price</t>
        </is>
      </c>
      <c r="G553" s="15" t="inlineStr">
        <is>
          <t>Green City Phase 2 (Ketu-Epe)</t>
        </is>
      </c>
      <c r="H553" s="15" t="inlineStr">
        <is>
          <t>BP-C0030</t>
        </is>
      </c>
      <c r="I553" s="15" t="inlineStr">
        <is>
          <t>Mr Adese Akorede John</t>
        </is>
      </c>
      <c r="J553" s="17" t="n">
        <v>140000</v>
      </c>
      <c r="K553" s="15" t="inlineStr">
        <is>
          <t>Allen Branch</t>
        </is>
      </c>
      <c r="L553" s="15" t="inlineStr">
        <is>
          <t>Primary: monthly turnover register</t>
        </is>
      </c>
      <c r="M553" s="15" t="inlineStr">
        <is>
          <t>BAAY PROJECTS FINANCIALS 2024.xlsx</t>
        </is>
      </c>
      <c r="N553" s="15" t="inlineStr">
        <is>
          <t>DECEMBER TURNOVER</t>
        </is>
      </c>
      <c r="O553" s="15" t="n">
        <v>26</v>
      </c>
      <c r="P553" s="15" t="inlineStr">
        <is>
          <t>27/12/2024</t>
        </is>
      </c>
      <c r="Q553" s="15" t="inlineStr">
        <is>
          <t>MD r97</t>
        </is>
      </c>
      <c r="R553" s="15" t="n"/>
    </row>
    <row r="554">
      <c r="A554" s="15" t="inlineStr">
        <is>
          <t>SL0550</t>
        </is>
      </c>
      <c r="B554" s="16" t="n">
        <v>45653</v>
      </c>
      <c r="C554" s="15" t="inlineStr">
        <is>
          <t>2024-12</t>
        </is>
      </c>
      <c r="D554" s="15" t="n">
        <v>2024</v>
      </c>
      <c r="E554" s="15" t="inlineStr">
        <is>
          <t>Housing</t>
        </is>
      </c>
      <c r="F554" s="15" t="inlineStr">
        <is>
          <t>Plot / unit price</t>
        </is>
      </c>
      <c r="G554" s="15" t="inlineStr">
        <is>
          <t>Pacific Apartment</t>
        </is>
      </c>
      <c r="H554" s="15" t="inlineStr">
        <is>
          <t>BP-C0160</t>
        </is>
      </c>
      <c r="I554" s="15" t="inlineStr">
        <is>
          <t>Mr Okenla Olugboyega Gabriel</t>
        </is>
      </c>
      <c r="J554" s="17" t="n">
        <v>5000000</v>
      </c>
      <c r="K554" s="15" t="inlineStr">
        <is>
          <t>Magodo Branch</t>
        </is>
      </c>
      <c r="L554" s="15" t="inlineStr">
        <is>
          <t>Primary: monthly turnover register</t>
        </is>
      </c>
      <c r="M554" s="15" t="inlineStr">
        <is>
          <t>BAAY PROJECTS FINANCIALS 2024.xlsx</t>
        </is>
      </c>
      <c r="N554" s="15" t="inlineStr">
        <is>
          <t>DECEMBER TURNOVER</t>
        </is>
      </c>
      <c r="O554" s="15" t="n">
        <v>21</v>
      </c>
      <c r="P554" s="15" t="inlineStr">
        <is>
          <t>27/12/2024</t>
        </is>
      </c>
      <c r="Q554" s="15" t="inlineStr">
        <is>
          <t>MS MOFFAT r3, MRS ABIMBOLA r177</t>
        </is>
      </c>
      <c r="R554" s="15" t="n"/>
    </row>
    <row r="555">
      <c r="A555" s="15" t="inlineStr">
        <is>
          <t>SL0551</t>
        </is>
      </c>
      <c r="B555" s="16" t="n">
        <v>45653</v>
      </c>
      <c r="C555" s="15" t="inlineStr">
        <is>
          <t>2024-12</t>
        </is>
      </c>
      <c r="D555" s="15" t="n">
        <v>2024</v>
      </c>
      <c r="E555" s="15" t="inlineStr">
        <is>
          <t>Land</t>
        </is>
      </c>
      <c r="F555" s="15" t="inlineStr">
        <is>
          <t>Plot / unit price</t>
        </is>
      </c>
      <c r="G555" s="15" t="inlineStr">
        <is>
          <t>Green City Ibadan (Akinyele-Moniya)</t>
        </is>
      </c>
      <c r="H555" s="15" t="inlineStr">
        <is>
          <t>BP-C0017</t>
        </is>
      </c>
      <c r="I555" s="15" t="inlineStr">
        <is>
          <t>Mr Taiwo John Adeleye</t>
        </is>
      </c>
      <c r="J555" s="17" t="n">
        <v>555000</v>
      </c>
      <c r="K555" s="15" t="inlineStr">
        <is>
          <t>Magodo Branch</t>
        </is>
      </c>
      <c r="L555" s="15" t="inlineStr">
        <is>
          <t>Primary: monthly turnover register</t>
        </is>
      </c>
      <c r="M555" s="15" t="inlineStr">
        <is>
          <t>BAAY PROJECTS FINANCIALS 2024.xlsx</t>
        </is>
      </c>
      <c r="N555" s="15" t="inlineStr">
        <is>
          <t>DECEMBER TURNOVER</t>
        </is>
      </c>
      <c r="O555" s="15" t="n">
        <v>22</v>
      </c>
      <c r="P555" s="15" t="inlineStr">
        <is>
          <t>27/12/2024</t>
        </is>
      </c>
      <c r="Q555" s="15" t="inlineStr">
        <is>
          <t>MS JOCHEBED r29</t>
        </is>
      </c>
      <c r="R555" s="15" t="n"/>
    </row>
    <row r="556">
      <c r="A556" s="15" t="inlineStr">
        <is>
          <t>SL0552</t>
        </is>
      </c>
      <c r="B556" s="16" t="n">
        <v>45653</v>
      </c>
      <c r="C556" s="15" t="inlineStr">
        <is>
          <t>2024-12</t>
        </is>
      </c>
      <c r="D556" s="15" t="n">
        <v>2024</v>
      </c>
      <c r="E556" s="15" t="inlineStr">
        <is>
          <t>Land</t>
        </is>
      </c>
      <c r="F556" s="15" t="inlineStr">
        <is>
          <t>Plot / unit price</t>
        </is>
      </c>
      <c r="G556" s="15" t="inlineStr">
        <is>
          <t>Heritage Garden</t>
        </is>
      </c>
      <c r="H556" s="15" t="inlineStr">
        <is>
          <t>BP-C0130</t>
        </is>
      </c>
      <c r="I556" s="15" t="inlineStr">
        <is>
          <t>Mrs Akindele Felicia</t>
        </is>
      </c>
      <c r="J556" s="17" t="n">
        <v>100000</v>
      </c>
      <c r="K556" s="15" t="inlineStr">
        <is>
          <t>Allen Branch</t>
        </is>
      </c>
      <c r="L556" s="15" t="inlineStr">
        <is>
          <t>Primary: monthly turnover register</t>
        </is>
      </c>
      <c r="M556" s="15" t="inlineStr">
        <is>
          <t>BAAY PROJECTS FINANCIALS 2024.xlsx</t>
        </is>
      </c>
      <c r="N556" s="15" t="inlineStr">
        <is>
          <t>DECEMBER TURNOVER</t>
        </is>
      </c>
      <c r="O556" s="15" t="n">
        <v>23</v>
      </c>
      <c r="P556" s="15" t="inlineStr">
        <is>
          <t>27/12/2024</t>
        </is>
      </c>
      <c r="Q556" s="15" t="inlineStr">
        <is>
          <t>MS FISAYO r61</t>
        </is>
      </c>
      <c r="R556" s="15" t="n"/>
    </row>
    <row r="557">
      <c r="A557" s="15" t="inlineStr">
        <is>
          <t>SL0553</t>
        </is>
      </c>
      <c r="B557" s="16" t="n">
        <v>45656</v>
      </c>
      <c r="C557" s="15" t="inlineStr">
        <is>
          <t>2024-12</t>
        </is>
      </c>
      <c r="D557" s="15" t="n">
        <v>2024</v>
      </c>
      <c r="E557" s="15" t="inlineStr">
        <is>
          <t>Land</t>
        </is>
      </c>
      <c r="F557" s="15" t="inlineStr">
        <is>
          <t>Plot / unit price</t>
        </is>
      </c>
      <c r="G557" s="15" t="inlineStr">
        <is>
          <t>Green City Phase 3 Extension (Omu-Epe)</t>
        </is>
      </c>
      <c r="H557" s="15" t="inlineStr">
        <is>
          <t>BP-C0161</t>
        </is>
      </c>
      <c r="I557" s="15" t="inlineStr">
        <is>
          <t>Miss Uthman Alimot Modupe</t>
        </is>
      </c>
      <c r="J557" s="17" t="n">
        <v>300000</v>
      </c>
      <c r="K557" s="15" t="inlineStr">
        <is>
          <t>Allen Branch</t>
        </is>
      </c>
      <c r="L557" s="15" t="inlineStr">
        <is>
          <t>Primary: monthly turnover register</t>
        </is>
      </c>
      <c r="M557" s="15" t="inlineStr">
        <is>
          <t>BAAY PROJECTS FINANCIALS 2024.xlsx</t>
        </is>
      </c>
      <c r="N557" s="15" t="inlineStr">
        <is>
          <t>DECEMBER TURNOVER</t>
        </is>
      </c>
      <c r="O557" s="15" t="n">
        <v>27</v>
      </c>
      <c r="P557" s="15" t="inlineStr">
        <is>
          <t>30/12/2024</t>
        </is>
      </c>
      <c r="Q557" s="15" t="inlineStr">
        <is>
          <t>MS TOBI AJAYI r49</t>
        </is>
      </c>
      <c r="R557" s="15" t="n"/>
    </row>
    <row r="558">
      <c r="A558" s="15" t="inlineStr">
        <is>
          <t>SL0554</t>
        </is>
      </c>
      <c r="B558" s="16" t="n">
        <v>45656</v>
      </c>
      <c r="C558" s="15" t="inlineStr">
        <is>
          <t>2024-12</t>
        </is>
      </c>
      <c r="D558" s="15" t="n">
        <v>2024</v>
      </c>
      <c r="E558" s="15" t="inlineStr">
        <is>
          <t>Housing</t>
        </is>
      </c>
      <c r="F558" s="15" t="inlineStr">
        <is>
          <t>Plot / unit price</t>
        </is>
      </c>
      <c r="G558" s="15" t="inlineStr">
        <is>
          <t>Pacific Apartment</t>
        </is>
      </c>
      <c r="H558" s="15" t="inlineStr">
        <is>
          <t>BP-C0160</t>
        </is>
      </c>
      <c r="I558" s="15" t="inlineStr">
        <is>
          <t>Mr Okenla Olugboyega Gabriel</t>
        </is>
      </c>
      <c r="J558" s="17" t="n">
        <v>5000000</v>
      </c>
      <c r="K558" s="15" t="inlineStr">
        <is>
          <t>Magodo Branch</t>
        </is>
      </c>
      <c r="L558" s="15" t="inlineStr">
        <is>
          <t>Primary: monthly turnover register</t>
        </is>
      </c>
      <c r="M558" s="15" t="inlineStr">
        <is>
          <t>BAAY PROJECTS FINANCIALS 2024.xlsx</t>
        </is>
      </c>
      <c r="N558" s="15" t="inlineStr">
        <is>
          <t>DECEMBER TURNOVER</t>
        </is>
      </c>
      <c r="O558" s="15" t="n">
        <v>23</v>
      </c>
      <c r="P558" s="15" t="inlineStr">
        <is>
          <t>30/12/2024</t>
        </is>
      </c>
      <c r="Q558" s="15" t="inlineStr">
        <is>
          <t>MS MOFFAT r4, MRS ABIMBOLA r178</t>
        </is>
      </c>
      <c r="R558" s="15" t="n"/>
    </row>
    <row r="559">
      <c r="A559" s="15" t="inlineStr">
        <is>
          <t>SL0555</t>
        </is>
      </c>
      <c r="B559" s="16" t="n">
        <v>45657</v>
      </c>
      <c r="C559" s="15" t="inlineStr">
        <is>
          <t>2024-12</t>
        </is>
      </c>
      <c r="D559" s="15" t="n">
        <v>2024</v>
      </c>
      <c r="E559" s="15" t="inlineStr">
        <is>
          <t>Land</t>
        </is>
      </c>
      <c r="F559" s="15" t="inlineStr">
        <is>
          <t>Plot / unit price</t>
        </is>
      </c>
      <c r="G559" s="15" t="inlineStr">
        <is>
          <t>Heritage Garden</t>
        </is>
      </c>
      <c r="H559" s="15" t="inlineStr">
        <is>
          <t>BP-C0163</t>
        </is>
      </c>
      <c r="I559" s="15" t="inlineStr">
        <is>
          <t>Mr Ajagbe James Olatayo</t>
        </is>
      </c>
      <c r="J559" s="17" t="n">
        <v>550000</v>
      </c>
      <c r="K559" s="15" t="inlineStr">
        <is>
          <t>Allen Branch</t>
        </is>
      </c>
      <c r="L559" s="15" t="inlineStr">
        <is>
          <t>Primary: monthly turnover register</t>
        </is>
      </c>
      <c r="M559" s="15" t="inlineStr">
        <is>
          <t>BAAY PROJECTS FINANCIALS 2024.xlsx</t>
        </is>
      </c>
      <c r="N559" s="15" t="inlineStr">
        <is>
          <t>DECEMBER TURNOVER</t>
        </is>
      </c>
      <c r="O559" s="15" t="n">
        <v>28</v>
      </c>
      <c r="P559" s="15" t="inlineStr">
        <is>
          <t>31/12/2024</t>
        </is>
      </c>
      <c r="Q559" s="15" t="inlineStr">
        <is>
          <t>MR BAKI r22</t>
        </is>
      </c>
      <c r="R559" s="15" t="n"/>
    </row>
    <row r="560">
      <c r="A560" s="15" t="inlineStr">
        <is>
          <t>SL0556</t>
        </is>
      </c>
      <c r="B560" s="16" t="n">
        <v>45657</v>
      </c>
      <c r="C560" s="15" t="inlineStr">
        <is>
          <t>2024-12</t>
        </is>
      </c>
      <c r="D560" s="15" t="n">
        <v>2024</v>
      </c>
      <c r="E560" s="15" t="inlineStr">
        <is>
          <t>Land</t>
        </is>
      </c>
      <c r="F560" s="15" t="inlineStr">
        <is>
          <t>Ancillary charge</t>
        </is>
      </c>
      <c r="G560" s="15" t="inlineStr">
        <is>
          <t>Land: documentation fee</t>
        </is>
      </c>
      <c r="H560" s="15" t="inlineStr">
        <is>
          <t>BP-C0163</t>
        </is>
      </c>
      <c r="I560" s="15" t="inlineStr">
        <is>
          <t>Mr Ajagbe James Olatayo</t>
        </is>
      </c>
      <c r="J560" s="17" t="n">
        <v>50000</v>
      </c>
      <c r="K560" s="15" t="inlineStr">
        <is>
          <t>Allen Branch</t>
        </is>
      </c>
      <c r="L560" s="15" t="inlineStr">
        <is>
          <t>Primary: monthly turnover register</t>
        </is>
      </c>
      <c r="M560" s="15" t="inlineStr">
        <is>
          <t>BAAY PROJECTS FINANCIALS 2024.xlsx</t>
        </is>
      </c>
      <c r="N560" s="15" t="inlineStr">
        <is>
          <t>DECEMBER TURNOVER</t>
        </is>
      </c>
      <c r="O560" s="15" t="n">
        <v>29</v>
      </c>
      <c r="P560" s="15" t="inlineStr">
        <is>
          <t>31/12/2024</t>
        </is>
      </c>
      <c r="Q560" s="15" t="n"/>
      <c r="R560" s="15" t="n"/>
    </row>
    <row r="561">
      <c r="A561" s="15" t="inlineStr">
        <is>
          <t>SL0557</t>
        </is>
      </c>
      <c r="B561" s="16" t="n">
        <v>45658</v>
      </c>
      <c r="C561" s="15" t="inlineStr">
        <is>
          <t>2025-01</t>
        </is>
      </c>
      <c r="D561" s="15" t="n">
        <v>2025</v>
      </c>
      <c r="E561" s="15" t="inlineStr">
        <is>
          <t>Land</t>
        </is>
      </c>
      <c r="F561" s="15" t="inlineStr">
        <is>
          <t>Plot / unit price</t>
        </is>
      </c>
      <c r="G561" s="15" t="inlineStr">
        <is>
          <t>Land (estate not stated in source)</t>
        </is>
      </c>
      <c r="H561" s="15" t="inlineStr">
        <is>
          <t>BP-C0068</t>
        </is>
      </c>
      <c r="I561" s="15" t="inlineStr">
        <is>
          <t>Miss Ebhotah Sharon Aisosa</t>
        </is>
      </c>
      <c r="J561" s="17" t="n">
        <v>1000000</v>
      </c>
      <c r="K561" s="15" t="n"/>
      <c r="L561" s="15" t="inlineStr">
        <is>
          <t>Secondary: commission records; no monthly turnover register for this period</t>
        </is>
      </c>
      <c r="M561" s="15" t="inlineStr">
        <is>
          <t>BAAY PROJECTS SALES EXPENSES (COMMISSION) RECORDS (1)</t>
        </is>
      </c>
      <c r="N561" s="15" t="inlineStr">
        <is>
          <t>MS BLESSING</t>
        </is>
      </c>
      <c r="O561" s="15" t="n">
        <v>138</v>
      </c>
      <c r="P561" s="15" t="inlineStr">
        <is>
          <t>2025-01-01</t>
        </is>
      </c>
      <c r="Q561" s="15" t="n"/>
      <c r="R561" s="15" t="inlineStr">
        <is>
          <t>Commission-record amount: confirm to bank statement (records can aggregate several transfers)</t>
        </is>
      </c>
    </row>
    <row r="562">
      <c r="A562" s="15" t="inlineStr">
        <is>
          <t>SL0558</t>
        </is>
      </c>
      <c r="B562" s="16" t="n">
        <v>45659</v>
      </c>
      <c r="C562" s="15" t="inlineStr">
        <is>
          <t>2025-01</t>
        </is>
      </c>
      <c r="D562" s="15" t="n">
        <v>2025</v>
      </c>
      <c r="E562" s="15" t="inlineStr">
        <is>
          <t>Land</t>
        </is>
      </c>
      <c r="F562" s="15" t="inlineStr">
        <is>
          <t>Plot / unit price</t>
        </is>
      </c>
      <c r="G562" s="15" t="inlineStr">
        <is>
          <t>Heritage Garden</t>
        </is>
      </c>
      <c r="H562" s="15" t="inlineStr">
        <is>
          <t>BP-C0164</t>
        </is>
      </c>
      <c r="I562" s="15" t="inlineStr">
        <is>
          <t>Miss Arogundade Motunrayo Azeezat</t>
        </is>
      </c>
      <c r="J562" s="17" t="n">
        <v>1000000</v>
      </c>
      <c r="K562" s="15" t="n"/>
      <c r="L562" s="15" t="inlineStr">
        <is>
          <t>Secondary: commission records; no monthly turnover register for this period</t>
        </is>
      </c>
      <c r="M562" s="15" t="inlineStr">
        <is>
          <t>BAAY PROJECTS SALES EXPENSES (COMMISSION) RECORDS (1)</t>
        </is>
      </c>
      <c r="N562" s="15" t="inlineStr">
        <is>
          <t>MR IBUKUN</t>
        </is>
      </c>
      <c r="O562" s="15" t="n">
        <v>3</v>
      </c>
      <c r="P562" s="15" t="inlineStr">
        <is>
          <t>2025-02-01</t>
        </is>
      </c>
      <c r="Q562" s="15" t="n"/>
      <c r="R562" s="15" t="inlineStr">
        <is>
          <t>Commission-record amount: confirm to bank statement (records can aggregate several transfers)</t>
        </is>
      </c>
    </row>
    <row r="563">
      <c r="A563" s="15" t="inlineStr">
        <is>
          <t>SL0559</t>
        </is>
      </c>
      <c r="B563" s="16" t="n">
        <v>45665</v>
      </c>
      <c r="C563" s="15" t="inlineStr">
        <is>
          <t>2025-01</t>
        </is>
      </c>
      <c r="D563" s="15" t="n">
        <v>2025</v>
      </c>
      <c r="E563" s="15" t="inlineStr">
        <is>
          <t>Land</t>
        </is>
      </c>
      <c r="F563" s="15" t="inlineStr">
        <is>
          <t>Plot / unit price</t>
        </is>
      </c>
      <c r="G563" s="15" t="inlineStr">
        <is>
          <t>Land (estate not stated in source)</t>
        </is>
      </c>
      <c r="H563" s="15" t="inlineStr">
        <is>
          <t>BP-C0068</t>
        </is>
      </c>
      <c r="I563" s="15" t="inlineStr">
        <is>
          <t>Miss Ebhotah Sharon Aisosa</t>
        </is>
      </c>
      <c r="J563" s="17" t="n">
        <v>330000</v>
      </c>
      <c r="K563" s="15" t="n"/>
      <c r="L563" s="15" t="inlineStr">
        <is>
          <t>Secondary: commission records; no monthly turnover register for this period</t>
        </is>
      </c>
      <c r="M563" s="15" t="inlineStr">
        <is>
          <t>BAAY PROJECTS SALES EXPENSES (COMMISSION) RECORDS (1)</t>
        </is>
      </c>
      <c r="N563" s="15" t="inlineStr">
        <is>
          <t>MS BLESSING</t>
        </is>
      </c>
      <c r="O563" s="15" t="n">
        <v>139</v>
      </c>
      <c r="P563" s="15" t="inlineStr">
        <is>
          <t>2025-08-01</t>
        </is>
      </c>
      <c r="Q563" s="15" t="n"/>
      <c r="R563" s="15" t="inlineStr">
        <is>
          <t>Commission-record amount: confirm to bank statement (records can aggregate several transfers)</t>
        </is>
      </c>
    </row>
    <row r="564">
      <c r="A564" s="15" t="inlineStr">
        <is>
          <t>SL0560</t>
        </is>
      </c>
      <c r="B564" s="16" t="n">
        <v>45665</v>
      </c>
      <c r="C564" s="15" t="inlineStr">
        <is>
          <t>2025-01</t>
        </is>
      </c>
      <c r="D564" s="15" t="n">
        <v>2025</v>
      </c>
      <c r="E564" s="15" t="inlineStr">
        <is>
          <t>Land</t>
        </is>
      </c>
      <c r="F564" s="15" t="inlineStr">
        <is>
          <t>Plot / unit price</t>
        </is>
      </c>
      <c r="G564" s="15" t="inlineStr">
        <is>
          <t>Land (estate not stated in source)</t>
        </is>
      </c>
      <c r="H564" s="15" t="inlineStr">
        <is>
          <t>BP-C0146</t>
        </is>
      </c>
      <c r="I564" s="15" t="inlineStr">
        <is>
          <t>Miss Tijani Tawa Motunrayo</t>
        </is>
      </c>
      <c r="J564" s="17" t="n">
        <v>320000</v>
      </c>
      <c r="K564" s="15" t="n"/>
      <c r="L564" s="15" t="inlineStr">
        <is>
          <t>Secondary: commission records; no monthly turnover register for this period</t>
        </is>
      </c>
      <c r="M564" s="15" t="inlineStr">
        <is>
          <t>BAAY PROJECTS SALES EXPENSES (COMMISSION) RECORDS (1)</t>
        </is>
      </c>
      <c r="N564" s="15" t="inlineStr">
        <is>
          <t>MS AWONORIN MAYOWA</t>
        </is>
      </c>
      <c r="O564" s="15" t="n">
        <v>26</v>
      </c>
      <c r="P564" s="15" t="inlineStr">
        <is>
          <t>2025-08-01</t>
        </is>
      </c>
      <c r="Q564" s="15" t="n"/>
      <c r="R564" s="15" t="inlineStr">
        <is>
          <t>Commission-record amount: confirm to bank statement (records can aggregate several transfers)</t>
        </is>
      </c>
    </row>
    <row r="565">
      <c r="A565" s="15" t="inlineStr">
        <is>
          <t>SL0561</t>
        </is>
      </c>
      <c r="B565" s="16" t="n">
        <v>45665</v>
      </c>
      <c r="C565" s="15" t="inlineStr">
        <is>
          <t>2025-01</t>
        </is>
      </c>
      <c r="D565" s="15" t="n">
        <v>2025</v>
      </c>
      <c r="E565" s="15" t="inlineStr">
        <is>
          <t>Land</t>
        </is>
      </c>
      <c r="F565" s="15" t="inlineStr">
        <is>
          <t>Plot / unit price</t>
        </is>
      </c>
      <c r="G565" s="15" t="inlineStr">
        <is>
          <t>Land (estate not stated in source)</t>
        </is>
      </c>
      <c r="H565" s="15" t="inlineStr">
        <is>
          <t>BP-C0140</t>
        </is>
      </c>
      <c r="I565" s="15" t="inlineStr">
        <is>
          <t>Mr Balogun Akeem Tokunbo</t>
        </is>
      </c>
      <c r="J565" s="17" t="n">
        <v>3000000</v>
      </c>
      <c r="K565" s="15" t="n"/>
      <c r="L565" s="15" t="inlineStr">
        <is>
          <t>Secondary: commission records; no monthly turnover register for this period</t>
        </is>
      </c>
      <c r="M565" s="15" t="inlineStr">
        <is>
          <t>BAAY PROJECTS SALES EXPENSES (COMMISSION) RECORDS (1)</t>
        </is>
      </c>
      <c r="N565" s="15" t="inlineStr">
        <is>
          <t>MAMA ADEBIMPE</t>
        </is>
      </c>
      <c r="O565" s="15" t="n">
        <v>86</v>
      </c>
      <c r="P565" s="15" t="inlineStr">
        <is>
          <t>2025-08-01</t>
        </is>
      </c>
      <c r="Q565" s="15" t="n"/>
      <c r="R565" s="15" t="inlineStr">
        <is>
          <t>Commission-record amount: confirm to bank statement (records can aggregate several transfers)</t>
        </is>
      </c>
    </row>
    <row r="566">
      <c r="A566" s="15" t="inlineStr">
        <is>
          <t>SL0562</t>
        </is>
      </c>
      <c r="B566" s="16" t="n">
        <v>45667</v>
      </c>
      <c r="C566" s="15" t="inlineStr">
        <is>
          <t>2025-01</t>
        </is>
      </c>
      <c r="D566" s="15" t="n">
        <v>2025</v>
      </c>
      <c r="E566" s="15" t="inlineStr">
        <is>
          <t>Land</t>
        </is>
      </c>
      <c r="F566" s="15" t="inlineStr">
        <is>
          <t>Plot / unit price</t>
        </is>
      </c>
      <c r="G566" s="15" t="inlineStr">
        <is>
          <t>Land (estate not stated in source)</t>
        </is>
      </c>
      <c r="H566" s="15" t="inlineStr">
        <is>
          <t>BP-C0017</t>
        </is>
      </c>
      <c r="I566" s="15" t="inlineStr">
        <is>
          <t>Mr Taiwo John Adeleye</t>
        </is>
      </c>
      <c r="J566" s="17" t="n">
        <v>45000</v>
      </c>
      <c r="K566" s="15" t="n"/>
      <c r="L566" s="15" t="inlineStr">
        <is>
          <t>Secondary: commission records; no monthly turnover register for this period</t>
        </is>
      </c>
      <c r="M566" s="15" t="inlineStr">
        <is>
          <t>BAAY PROJECTS SALES EXPENSES (COMMISSION) RECORDS (1)</t>
        </is>
      </c>
      <c r="N566" s="15" t="inlineStr">
        <is>
          <t>MS JOCHEBED</t>
        </is>
      </c>
      <c r="O566" s="15" t="n">
        <v>30</v>
      </c>
      <c r="P566" s="15" t="inlineStr">
        <is>
          <t>2025-10-01</t>
        </is>
      </c>
      <c r="Q566" s="15" t="n"/>
      <c r="R566" s="15" t="inlineStr">
        <is>
          <t>Commission-record amount: confirm to bank statement (records can aggregate several transfers)</t>
        </is>
      </c>
    </row>
    <row r="567">
      <c r="A567" s="15" t="inlineStr">
        <is>
          <t>SL0563</t>
        </is>
      </c>
      <c r="B567" s="16" t="n">
        <v>45671</v>
      </c>
      <c r="C567" s="15" t="inlineStr">
        <is>
          <t>2025-01</t>
        </is>
      </c>
      <c r="D567" s="15" t="n">
        <v>2025</v>
      </c>
      <c r="E567" s="15" t="inlineStr">
        <is>
          <t>Land</t>
        </is>
      </c>
      <c r="F567" s="15" t="inlineStr">
        <is>
          <t>Plot / unit price</t>
        </is>
      </c>
      <c r="G567" s="15" t="inlineStr">
        <is>
          <t>Land (estate not stated in source)</t>
        </is>
      </c>
      <c r="H567" s="15" t="inlineStr">
        <is>
          <t>BP-C0130</t>
        </is>
      </c>
      <c r="I567" s="15" t="inlineStr">
        <is>
          <t>Mrs Akindele Felicia Oluwatoyin</t>
        </is>
      </c>
      <c r="J567" s="17" t="n">
        <v>50000</v>
      </c>
      <c r="K567" s="15" t="n"/>
      <c r="L567" s="15" t="inlineStr">
        <is>
          <t>Secondary: commission records; no monthly turnover register for this period</t>
        </is>
      </c>
      <c r="M567" s="15" t="inlineStr">
        <is>
          <t>BAAY PROJECTS SALES EXPENSES (COMMISSION) RECORDS (1)</t>
        </is>
      </c>
      <c r="N567" s="15" t="inlineStr">
        <is>
          <t>MS FISAYO</t>
        </is>
      </c>
      <c r="O567" s="15" t="n">
        <v>62</v>
      </c>
      <c r="P567" s="15" t="inlineStr">
        <is>
          <t>14/01/2025</t>
        </is>
      </c>
      <c r="Q567" s="15" t="n"/>
      <c r="R567" s="15" t="inlineStr">
        <is>
          <t>Commission-record amount: confirm to bank statement (records can aggregate several transfers)</t>
        </is>
      </c>
    </row>
    <row r="568">
      <c r="A568" s="15" t="inlineStr">
        <is>
          <t>SL0564</t>
        </is>
      </c>
      <c r="B568" s="16" t="n">
        <v>45677</v>
      </c>
      <c r="C568" s="15" t="inlineStr">
        <is>
          <t>2025-01</t>
        </is>
      </c>
      <c r="D568" s="15" t="n">
        <v>2025</v>
      </c>
      <c r="E568" s="15" t="inlineStr">
        <is>
          <t>Housing</t>
        </is>
      </c>
      <c r="F568" s="15" t="inlineStr">
        <is>
          <t>Plot / unit price</t>
        </is>
      </c>
      <c r="G568" s="15" t="inlineStr">
        <is>
          <t>Gorge View Court (GVC Gbagada)</t>
        </is>
      </c>
      <c r="H568" s="15" t="inlineStr">
        <is>
          <t>BP-C0165</t>
        </is>
      </c>
      <c r="I568" s="15" t="inlineStr">
        <is>
          <t>Mr Sunday Osabhue Ebosele</t>
        </is>
      </c>
      <c r="J568" s="17" t="n">
        <v>25000000</v>
      </c>
      <c r="K568" s="15" t="n"/>
      <c r="L568" s="15" t="inlineStr">
        <is>
          <t>Secondary: commission records; no monthly turnover register for this period</t>
        </is>
      </c>
      <c r="M568" s="15" t="inlineStr">
        <is>
          <t>BAAY PROJECTS SALES EXPENSES (COMMISSION) RECORDS (1)</t>
        </is>
      </c>
      <c r="N568" s="15" t="inlineStr">
        <is>
          <t>MD</t>
        </is>
      </c>
      <c r="O568" s="15" t="n">
        <v>106</v>
      </c>
      <c r="P568" s="15" t="inlineStr">
        <is>
          <t>20/01/2025</t>
        </is>
      </c>
      <c r="Q568" s="15" t="inlineStr">
        <is>
          <t>MS SHUBOMI r2</t>
        </is>
      </c>
      <c r="R568" s="15" t="inlineStr">
        <is>
          <t>Commission-record amount: confirm to bank statement (records can aggregate several transfers)</t>
        </is>
      </c>
    </row>
    <row r="569">
      <c r="A569" s="15" t="inlineStr">
        <is>
          <t>SL0565</t>
        </is>
      </c>
      <c r="B569" s="16" t="n">
        <v>45678</v>
      </c>
      <c r="C569" s="15" t="inlineStr">
        <is>
          <t>2025-01</t>
        </is>
      </c>
      <c r="D569" s="15" t="n">
        <v>2025</v>
      </c>
      <c r="E569" s="15" t="inlineStr">
        <is>
          <t>Land</t>
        </is>
      </c>
      <c r="F569" s="15" t="inlineStr">
        <is>
          <t>Plot / unit price</t>
        </is>
      </c>
      <c r="G569" s="15" t="inlineStr">
        <is>
          <t>Land (estate not stated in source)</t>
        </is>
      </c>
      <c r="H569" s="15" t="inlineStr">
        <is>
          <t>BP-C0019</t>
        </is>
      </c>
      <c r="I569" s="15" t="inlineStr">
        <is>
          <t>Mr Ogbu Pius Ejaka</t>
        </is>
      </c>
      <c r="J569" s="17" t="n">
        <v>4500000</v>
      </c>
      <c r="K569" s="15" t="n"/>
      <c r="L569" s="15" t="inlineStr">
        <is>
          <t>Secondary: commission records; no monthly turnover register for this period</t>
        </is>
      </c>
      <c r="M569" s="15" t="inlineStr">
        <is>
          <t>BAAY PROJECTS SALES EXPENSES (COMMISSION) RECORDS (1)</t>
        </is>
      </c>
      <c r="N569" s="15" t="inlineStr">
        <is>
          <t>MS MAYOWA BRAIMOH</t>
        </is>
      </c>
      <c r="O569" s="15" t="n">
        <v>61</v>
      </c>
      <c r="P569" s="15" t="inlineStr">
        <is>
          <t>21/01/2025</t>
        </is>
      </c>
      <c r="Q569" s="15" t="n"/>
      <c r="R569" s="15" t="inlineStr">
        <is>
          <t>Commission-record amount: confirm to bank statement (records can aggregate several transfers)</t>
        </is>
      </c>
    </row>
    <row r="570">
      <c r="A570" s="15" t="inlineStr">
        <is>
          <t>SL0566</t>
        </is>
      </c>
      <c r="B570" s="16" t="n">
        <v>45678</v>
      </c>
      <c r="C570" s="15" t="inlineStr">
        <is>
          <t>2025-01</t>
        </is>
      </c>
      <c r="D570" s="15" t="n">
        <v>2025</v>
      </c>
      <c r="E570" s="15" t="inlineStr">
        <is>
          <t>Housing</t>
        </is>
      </c>
      <c r="F570" s="15" t="inlineStr">
        <is>
          <t>Plot / unit price</t>
        </is>
      </c>
      <c r="G570" s="15" t="inlineStr">
        <is>
          <t>Gorge View Court (GVC Gbagada)</t>
        </is>
      </c>
      <c r="H570" s="15" t="inlineStr">
        <is>
          <t>BP-C0165</t>
        </is>
      </c>
      <c r="I570" s="15" t="inlineStr">
        <is>
          <t>Mr Sunday Osabhue Ebosele</t>
        </is>
      </c>
      <c r="J570" s="17" t="n">
        <v>25000000</v>
      </c>
      <c r="K570" s="15" t="n"/>
      <c r="L570" s="15" t="inlineStr">
        <is>
          <t>Secondary: commission records; no monthly turnover register for this period</t>
        </is>
      </c>
      <c r="M570" s="15" t="inlineStr">
        <is>
          <t>BAAY PROJECTS SALES EXPENSES (COMMISSION) RECORDS (1)</t>
        </is>
      </c>
      <c r="N570" s="15" t="inlineStr">
        <is>
          <t>MD</t>
        </is>
      </c>
      <c r="O570" s="15" t="n">
        <v>107</v>
      </c>
      <c r="P570" s="15" t="inlineStr">
        <is>
          <t>21/01/2025</t>
        </is>
      </c>
      <c r="Q570" s="15" t="inlineStr">
        <is>
          <t>MS SHUBOMI r3</t>
        </is>
      </c>
      <c r="R570" s="15" t="inlineStr">
        <is>
          <t>Commission-record amount: confirm to bank statement (records can aggregate several transfers)</t>
        </is>
      </c>
    </row>
    <row r="571">
      <c r="A571" s="15" t="inlineStr">
        <is>
          <t>SL0567</t>
        </is>
      </c>
      <c r="B571" s="16" t="n">
        <v>45679</v>
      </c>
      <c r="C571" s="15" t="inlineStr">
        <is>
          <t>2025-01</t>
        </is>
      </c>
      <c r="D571" s="15" t="n">
        <v>2025</v>
      </c>
      <c r="E571" s="15" t="inlineStr">
        <is>
          <t>Housing</t>
        </is>
      </c>
      <c r="F571" s="15" t="inlineStr">
        <is>
          <t>Plot / unit price</t>
        </is>
      </c>
      <c r="G571" s="15" t="inlineStr">
        <is>
          <t>Gorge View Court (GVC Gbagada)</t>
        </is>
      </c>
      <c r="H571" s="15" t="inlineStr">
        <is>
          <t>BP-C0165</t>
        </is>
      </c>
      <c r="I571" s="15" t="inlineStr">
        <is>
          <t>Mr Sunday Osabhue Ebosele</t>
        </is>
      </c>
      <c r="J571" s="17" t="n">
        <v>25000000</v>
      </c>
      <c r="K571" s="15" t="n"/>
      <c r="L571" s="15" t="inlineStr">
        <is>
          <t>Secondary: commission records; no monthly turnover register for this period</t>
        </is>
      </c>
      <c r="M571" s="15" t="inlineStr">
        <is>
          <t>BAAY PROJECTS SALES EXPENSES (COMMISSION) RECORDS (1)</t>
        </is>
      </c>
      <c r="N571" s="15" t="inlineStr">
        <is>
          <t>MD</t>
        </is>
      </c>
      <c r="O571" s="15" t="n">
        <v>108</v>
      </c>
      <c r="P571" s="15" t="inlineStr">
        <is>
          <t>22/01/2025</t>
        </is>
      </c>
      <c r="Q571" s="15" t="inlineStr">
        <is>
          <t>MS SHUBOMI r4</t>
        </is>
      </c>
      <c r="R571" s="15" t="inlineStr">
        <is>
          <t>Commission-record amount: confirm to bank statement (records can aggregate several transfers)</t>
        </is>
      </c>
    </row>
    <row r="572">
      <c r="A572" s="15" t="inlineStr">
        <is>
          <t>SL0568</t>
        </is>
      </c>
      <c r="B572" s="16" t="n">
        <v>45680</v>
      </c>
      <c r="C572" s="15" t="inlineStr">
        <is>
          <t>2025-01</t>
        </is>
      </c>
      <c r="D572" s="15" t="n">
        <v>2025</v>
      </c>
      <c r="E572" s="15" t="inlineStr">
        <is>
          <t>Land</t>
        </is>
      </c>
      <c r="F572" s="15" t="inlineStr">
        <is>
          <t>Plot / unit price</t>
        </is>
      </c>
      <c r="G572" s="15" t="inlineStr">
        <is>
          <t>Land (estate not stated in source)</t>
        </is>
      </c>
      <c r="H572" s="15" t="inlineStr">
        <is>
          <t>BP-C0166</t>
        </is>
      </c>
      <c r="I572" s="15" t="inlineStr">
        <is>
          <t>Mr Showande Lateef Olawale</t>
        </is>
      </c>
      <c r="J572" s="17" t="n">
        <v>800000</v>
      </c>
      <c r="K572" s="15" t="n"/>
      <c r="L572" s="15" t="inlineStr">
        <is>
          <t>Secondary: commission records; no monthly turnover register for this period</t>
        </is>
      </c>
      <c r="M572" s="15" t="inlineStr">
        <is>
          <t>BAAY PROJECTS SALES EXPENSES (COMMISSION) RECORDS (1)</t>
        </is>
      </c>
      <c r="N572" s="15" t="inlineStr">
        <is>
          <t>OGIDAN</t>
        </is>
      </c>
      <c r="O572" s="15" t="n">
        <v>50</v>
      </c>
      <c r="P572" s="15" t="inlineStr">
        <is>
          <t>23/01/2025</t>
        </is>
      </c>
      <c r="Q572" s="15" t="n"/>
      <c r="R572" s="15" t="inlineStr">
        <is>
          <t>Commission-record amount: confirm to bank statement (records can aggregate several transfers)</t>
        </is>
      </c>
    </row>
    <row r="573">
      <c r="A573" s="15" t="inlineStr">
        <is>
          <t>SL0569</t>
        </is>
      </c>
      <c r="B573" s="16" t="n">
        <v>45680</v>
      </c>
      <c r="C573" s="15" t="inlineStr">
        <is>
          <t>2025-01</t>
        </is>
      </c>
      <c r="D573" s="15" t="n">
        <v>2025</v>
      </c>
      <c r="E573" s="15" t="inlineStr">
        <is>
          <t>Housing</t>
        </is>
      </c>
      <c r="F573" s="15" t="inlineStr">
        <is>
          <t>Plot / unit price</t>
        </is>
      </c>
      <c r="G573" s="15" t="inlineStr">
        <is>
          <t>Gorge View Court (GVC Gbagada)</t>
        </is>
      </c>
      <c r="H573" s="15" t="inlineStr">
        <is>
          <t>BP-C0165</t>
        </is>
      </c>
      <c r="I573" s="15" t="inlineStr">
        <is>
          <t>Mr Sunday Osabhue Ebosele</t>
        </is>
      </c>
      <c r="J573" s="17" t="n">
        <v>25000000</v>
      </c>
      <c r="K573" s="15" t="n"/>
      <c r="L573" s="15" t="inlineStr">
        <is>
          <t>Secondary: commission records; no monthly turnover register for this period</t>
        </is>
      </c>
      <c r="M573" s="15" t="inlineStr">
        <is>
          <t>BAAY PROJECTS SALES EXPENSES (COMMISSION) RECORDS (1)</t>
        </is>
      </c>
      <c r="N573" s="15" t="inlineStr">
        <is>
          <t>MD</t>
        </is>
      </c>
      <c r="O573" s="15" t="n">
        <v>109</v>
      </c>
      <c r="P573" s="15" t="inlineStr">
        <is>
          <t>23/01/2025</t>
        </is>
      </c>
      <c r="Q573" s="15" t="inlineStr">
        <is>
          <t>MS SHUBOMI r5</t>
        </is>
      </c>
      <c r="R573" s="15" t="inlineStr">
        <is>
          <t>Commission-record amount: confirm to bank statement (records can aggregate several transfers)</t>
        </is>
      </c>
    </row>
    <row r="574">
      <c r="A574" s="15" t="inlineStr">
        <is>
          <t>SL0570</t>
        </is>
      </c>
      <c r="B574" s="16" t="n">
        <v>45681</v>
      </c>
      <c r="C574" s="15" t="inlineStr">
        <is>
          <t>2025-01</t>
        </is>
      </c>
      <c r="D574" s="15" t="n">
        <v>2025</v>
      </c>
      <c r="E574" s="15" t="inlineStr">
        <is>
          <t>Land</t>
        </is>
      </c>
      <c r="F574" s="15" t="inlineStr">
        <is>
          <t>Plot / unit price</t>
        </is>
      </c>
      <c r="G574" s="15" t="inlineStr">
        <is>
          <t>Land (estate not stated in source)</t>
        </is>
      </c>
      <c r="H574" s="15" t="inlineStr">
        <is>
          <t>BP-C0030</t>
        </is>
      </c>
      <c r="I574" s="15" t="inlineStr">
        <is>
          <t>Mr Adese Akorede John</t>
        </is>
      </c>
      <c r="J574" s="17" t="n">
        <v>500000</v>
      </c>
      <c r="K574" s="15" t="n"/>
      <c r="L574" s="15" t="inlineStr">
        <is>
          <t>Secondary: commission records; no monthly turnover register for this period</t>
        </is>
      </c>
      <c r="M574" s="15" t="inlineStr">
        <is>
          <t>BAAY PROJECTS SALES EXPENSES (COMMISSION) RECORDS (1)</t>
        </is>
      </c>
      <c r="N574" s="15" t="inlineStr">
        <is>
          <t>MD</t>
        </is>
      </c>
      <c r="O574" s="15" t="n">
        <v>111</v>
      </c>
      <c r="P574" s="15" t="inlineStr">
        <is>
          <t>24/01/2025</t>
        </is>
      </c>
      <c r="Q574" s="15" t="n"/>
      <c r="R574" s="15" t="inlineStr">
        <is>
          <t>Commission-record amount: confirm to bank statement (records can aggregate several transfers)</t>
        </is>
      </c>
    </row>
    <row r="575">
      <c r="A575" s="15" t="inlineStr">
        <is>
          <t>SL0571</t>
        </is>
      </c>
      <c r="B575" s="16" t="n">
        <v>45681</v>
      </c>
      <c r="C575" s="15" t="inlineStr">
        <is>
          <t>2025-01</t>
        </is>
      </c>
      <c r="D575" s="15" t="n">
        <v>2025</v>
      </c>
      <c r="E575" s="15" t="inlineStr">
        <is>
          <t>Housing</t>
        </is>
      </c>
      <c r="F575" s="15" t="inlineStr">
        <is>
          <t>Plot / unit price</t>
        </is>
      </c>
      <c r="G575" s="15" t="inlineStr">
        <is>
          <t>Gorge View Court (GVC Gbagada)</t>
        </is>
      </c>
      <c r="H575" s="15" t="inlineStr">
        <is>
          <t>BP-C0165</t>
        </is>
      </c>
      <c r="I575" s="15" t="inlineStr">
        <is>
          <t>Mr Sunday Osabhue Ebosele</t>
        </is>
      </c>
      <c r="J575" s="17" t="n">
        <v>25000000</v>
      </c>
      <c r="K575" s="15" t="n"/>
      <c r="L575" s="15" t="inlineStr">
        <is>
          <t>Secondary: commission records; no monthly turnover register for this period</t>
        </is>
      </c>
      <c r="M575" s="15" t="inlineStr">
        <is>
          <t>BAAY PROJECTS SALES EXPENSES (COMMISSION) RECORDS (1)</t>
        </is>
      </c>
      <c r="N575" s="15" t="inlineStr">
        <is>
          <t>MS SHUBOMI</t>
        </is>
      </c>
      <c r="O575" s="15" t="n">
        <v>6</v>
      </c>
      <c r="P575" s="15" t="inlineStr">
        <is>
          <t>24/01/2025</t>
        </is>
      </c>
      <c r="Q575" s="15" t="n"/>
      <c r="R575" s="15" t="inlineStr">
        <is>
          <t>Commission-record amount: confirm to bank statement (records can aggregate several transfers)</t>
        </is>
      </c>
    </row>
    <row r="576">
      <c r="A576" s="15" t="inlineStr">
        <is>
          <t>SL0572</t>
        </is>
      </c>
      <c r="B576" s="16" t="n">
        <v>45682</v>
      </c>
      <c r="C576" s="15" t="inlineStr">
        <is>
          <t>2025-01</t>
        </is>
      </c>
      <c r="D576" s="15" t="n">
        <v>2025</v>
      </c>
      <c r="E576" s="15" t="inlineStr">
        <is>
          <t>Land</t>
        </is>
      </c>
      <c r="F576" s="15" t="inlineStr">
        <is>
          <t>Plot / unit price</t>
        </is>
      </c>
      <c r="G576" s="15" t="inlineStr">
        <is>
          <t>Land (estate not stated in source)</t>
        </is>
      </c>
      <c r="H576" s="15" t="inlineStr">
        <is>
          <t>BP-C0136</t>
        </is>
      </c>
      <c r="I576" s="15" t="inlineStr">
        <is>
          <t>Mr Isibor Godwin</t>
        </is>
      </c>
      <c r="J576" s="17" t="n">
        <v>450000</v>
      </c>
      <c r="K576" s="15" t="n"/>
      <c r="L576" s="15" t="inlineStr">
        <is>
          <t>Secondary: commission records; no monthly turnover register for this period</t>
        </is>
      </c>
      <c r="M576" s="15" t="inlineStr">
        <is>
          <t>BAAY PROJECTS SALES EXPENSES (COMMISSION) RECORDS (1)</t>
        </is>
      </c>
      <c r="N576" s="15" t="inlineStr">
        <is>
          <t>MS TOBI AJAYI</t>
        </is>
      </c>
      <c r="O576" s="15" t="n">
        <v>51</v>
      </c>
      <c r="P576" s="15" t="inlineStr">
        <is>
          <t>25/01/2025</t>
        </is>
      </c>
      <c r="Q576" s="15" t="n"/>
      <c r="R576" s="15" t="inlineStr">
        <is>
          <t>Commission-record amount: confirm to bank statement (records can aggregate several transfers)</t>
        </is>
      </c>
    </row>
    <row r="577">
      <c r="A577" s="15" t="inlineStr">
        <is>
          <t>SL0573</t>
        </is>
      </c>
      <c r="B577" s="16" t="n">
        <v>45682</v>
      </c>
      <c r="C577" s="15" t="inlineStr">
        <is>
          <t>2025-01</t>
        </is>
      </c>
      <c r="D577" s="15" t="n">
        <v>2025</v>
      </c>
      <c r="E577" s="15" t="inlineStr">
        <is>
          <t>Housing</t>
        </is>
      </c>
      <c r="F577" s="15" t="inlineStr">
        <is>
          <t>Plot / unit price</t>
        </is>
      </c>
      <c r="G577" s="15" t="inlineStr">
        <is>
          <t>Gorge View Court (GVC Gbagada)</t>
        </is>
      </c>
      <c r="H577" s="15" t="inlineStr">
        <is>
          <t>BP-C0165</t>
        </is>
      </c>
      <c r="I577" s="15" t="inlineStr">
        <is>
          <t>Mr Sunday Osabhue Ebosele</t>
        </is>
      </c>
      <c r="J577" s="17" t="n">
        <v>25000000</v>
      </c>
      <c r="K577" s="15" t="n"/>
      <c r="L577" s="15" t="inlineStr">
        <is>
          <t>Secondary: commission records; no monthly turnover register for this period</t>
        </is>
      </c>
      <c r="M577" s="15" t="inlineStr">
        <is>
          <t>BAAY PROJECTS SALES EXPENSES (COMMISSION) RECORDS (1)</t>
        </is>
      </c>
      <c r="N577" s="15" t="inlineStr">
        <is>
          <t>MS SHUBOMI</t>
        </is>
      </c>
      <c r="O577" s="15" t="n">
        <v>7</v>
      </c>
      <c r="P577" s="15" t="inlineStr">
        <is>
          <t>25/01/2025</t>
        </is>
      </c>
      <c r="Q577" s="15" t="inlineStr">
        <is>
          <t>MD r121</t>
        </is>
      </c>
      <c r="R577" s="15" t="inlineStr">
        <is>
          <t>Commission-record amount: confirm to bank statement (records can aggregate several transfers)</t>
        </is>
      </c>
    </row>
    <row r="578">
      <c r="A578" s="15" t="inlineStr">
        <is>
          <t>SL0574</t>
        </is>
      </c>
      <c r="B578" s="16" t="n">
        <v>45683</v>
      </c>
      <c r="C578" s="15" t="inlineStr">
        <is>
          <t>2025-01</t>
        </is>
      </c>
      <c r="D578" s="15" t="n">
        <v>2025</v>
      </c>
      <c r="E578" s="15" t="inlineStr">
        <is>
          <t>Housing</t>
        </is>
      </c>
      <c r="F578" s="15" t="inlineStr">
        <is>
          <t>Plot / unit price</t>
        </is>
      </c>
      <c r="G578" s="15" t="inlineStr">
        <is>
          <t>Gorge View Court (GVC Gbagada)</t>
        </is>
      </c>
      <c r="H578" s="15" t="inlineStr">
        <is>
          <t>BP-C0165</t>
        </is>
      </c>
      <c r="I578" s="15" t="inlineStr">
        <is>
          <t>Mr Sunday Osabhue Ebosele</t>
        </is>
      </c>
      <c r="J578" s="17" t="n">
        <v>20000000</v>
      </c>
      <c r="K578" s="15" t="n"/>
      <c r="L578" s="15" t="inlineStr">
        <is>
          <t>Secondary: commission records; no monthly turnover register for this period</t>
        </is>
      </c>
      <c r="M578" s="15" t="inlineStr">
        <is>
          <t>BAAY PROJECTS SALES EXPENSES (COMMISSION) RECORDS (1)</t>
        </is>
      </c>
      <c r="N578" s="15" t="inlineStr">
        <is>
          <t>MS SHUBOMI</t>
        </is>
      </c>
      <c r="O578" s="15" t="n">
        <v>8</v>
      </c>
      <c r="P578" s="15" t="inlineStr">
        <is>
          <t>26/01/2025</t>
        </is>
      </c>
      <c r="Q578" s="15" t="n"/>
      <c r="R578" s="15" t="inlineStr">
        <is>
          <t>Commission-record amount: confirm to bank statement (records can aggregate several transfers)</t>
        </is>
      </c>
    </row>
    <row r="579">
      <c r="A579" s="15" t="inlineStr">
        <is>
          <t>SL0575</t>
        </is>
      </c>
      <c r="B579" s="16" t="n">
        <v>45685</v>
      </c>
      <c r="C579" s="15" t="inlineStr">
        <is>
          <t>2025-01</t>
        </is>
      </c>
      <c r="D579" s="15" t="n">
        <v>2025</v>
      </c>
      <c r="E579" s="15" t="inlineStr">
        <is>
          <t>Land</t>
        </is>
      </c>
      <c r="F579" s="15" t="inlineStr">
        <is>
          <t>Plot / unit price</t>
        </is>
      </c>
      <c r="G579" s="15" t="inlineStr">
        <is>
          <t>Land (estate not stated in source)</t>
        </is>
      </c>
      <c r="H579" s="15" t="inlineStr">
        <is>
          <t>BP-C0159</t>
        </is>
      </c>
      <c r="I579" s="15" t="inlineStr">
        <is>
          <t>Miss Etefe Ava Ogheneyorhe</t>
        </is>
      </c>
      <c r="J579" s="17" t="n">
        <v>200000</v>
      </c>
      <c r="K579" s="15" t="n"/>
      <c r="L579" s="15" t="inlineStr">
        <is>
          <t>Secondary: commission records; no monthly turnover register for this period</t>
        </is>
      </c>
      <c r="M579" s="15" t="inlineStr">
        <is>
          <t>BAAY PROJECTS SALES EXPENSES (COMMISSION) RECORDS (1)</t>
        </is>
      </c>
      <c r="N579" s="15" t="inlineStr">
        <is>
          <t>MS ELIZABETH</t>
        </is>
      </c>
      <c r="O579" s="15" t="n">
        <v>63</v>
      </c>
      <c r="P579" s="15" t="inlineStr">
        <is>
          <t>28/01/2025</t>
        </is>
      </c>
      <c r="Q579" s="15" t="n"/>
      <c r="R579" s="15" t="inlineStr">
        <is>
          <t>Commission-record amount: confirm to bank statement (records can aggregate several transfers)</t>
        </is>
      </c>
    </row>
    <row r="580">
      <c r="A580" s="15" t="inlineStr">
        <is>
          <t>SL0576</t>
        </is>
      </c>
      <c r="B580" s="16" t="n">
        <v>45685</v>
      </c>
      <c r="C580" s="15" t="inlineStr">
        <is>
          <t>2025-01</t>
        </is>
      </c>
      <c r="D580" s="15" t="n">
        <v>2025</v>
      </c>
      <c r="E580" s="15" t="inlineStr">
        <is>
          <t>Land</t>
        </is>
      </c>
      <c r="F580" s="15" t="inlineStr">
        <is>
          <t>Plot / unit price</t>
        </is>
      </c>
      <c r="G580" s="15" t="inlineStr">
        <is>
          <t>Land (estate not stated in source)</t>
        </is>
      </c>
      <c r="H580" s="15" t="inlineStr">
        <is>
          <t>BP-C0127</t>
        </is>
      </c>
      <c r="I580" s="15" t="inlineStr">
        <is>
          <t>Mr Adigun Muyiwa &amp; Mrs Adigun Folashade Oluwaseun</t>
        </is>
      </c>
      <c r="J580" s="17" t="n">
        <v>700000</v>
      </c>
      <c r="K580" s="15" t="n"/>
      <c r="L580" s="15" t="inlineStr">
        <is>
          <t>Secondary: commission records; no monthly turnover register for this period</t>
        </is>
      </c>
      <c r="M580" s="15" t="inlineStr">
        <is>
          <t>BAAY PROJECTS SALES EXPENSES (COMMISSION) RECORDS (1)</t>
        </is>
      </c>
      <c r="N580" s="15" t="inlineStr">
        <is>
          <t>MR AYENI MAYOWA</t>
        </is>
      </c>
      <c r="O580" s="15" t="n">
        <v>22</v>
      </c>
      <c r="P580" s="15" t="inlineStr">
        <is>
          <t>28/01/2025</t>
        </is>
      </c>
      <c r="Q580" s="15" t="n"/>
      <c r="R580" s="15" t="inlineStr">
        <is>
          <t>Commission-record amount: confirm to bank statement (records can aggregate several transfers)</t>
        </is>
      </c>
    </row>
    <row r="581">
      <c r="A581" s="15" t="inlineStr">
        <is>
          <t>SL0577</t>
        </is>
      </c>
      <c r="B581" s="16" t="n">
        <v>45686</v>
      </c>
      <c r="C581" s="15" t="inlineStr">
        <is>
          <t>2025-01</t>
        </is>
      </c>
      <c r="D581" s="15" t="n">
        <v>2025</v>
      </c>
      <c r="E581" s="15" t="inlineStr">
        <is>
          <t>Land</t>
        </is>
      </c>
      <c r="F581" s="15" t="inlineStr">
        <is>
          <t>Plot / unit price</t>
        </is>
      </c>
      <c r="G581" s="15" t="inlineStr">
        <is>
          <t>Land (estate not stated in source)</t>
        </is>
      </c>
      <c r="H581" s="15" t="inlineStr">
        <is>
          <t>BP-C0167</t>
        </is>
      </c>
      <c r="I581" s="15" t="inlineStr">
        <is>
          <t>Mr Uneze Grant Chetana</t>
        </is>
      </c>
      <c r="J581" s="17" t="n">
        <v>500000</v>
      </c>
      <c r="K581" s="15" t="n"/>
      <c r="L581" s="15" t="inlineStr">
        <is>
          <t>Secondary: commission records; no monthly turnover register for this period</t>
        </is>
      </c>
      <c r="M581" s="15" t="inlineStr">
        <is>
          <t>BAAY PROJECTS SALES EXPENSES (COMMISSION) RECORDS (1)</t>
        </is>
      </c>
      <c r="N581" s="15" t="inlineStr">
        <is>
          <t>MS SAMUELLA</t>
        </is>
      </c>
      <c r="O581" s="15" t="n">
        <v>11</v>
      </c>
      <c r="P581" s="15" t="inlineStr">
        <is>
          <t>29/01/2025</t>
        </is>
      </c>
      <c r="Q581" s="15" t="n"/>
      <c r="R581" s="15" t="inlineStr">
        <is>
          <t>Commission-record amount: confirm to bank statement (records can aggregate several transfers)</t>
        </is>
      </c>
    </row>
    <row r="582">
      <c r="A582" s="15" t="inlineStr">
        <is>
          <t>SL0578</t>
        </is>
      </c>
      <c r="B582" s="16" t="n">
        <v>45687</v>
      </c>
      <c r="C582" s="15" t="inlineStr">
        <is>
          <t>2025-01</t>
        </is>
      </c>
      <c r="D582" s="15" t="n">
        <v>2025</v>
      </c>
      <c r="E582" s="15" t="inlineStr">
        <is>
          <t>Land</t>
        </is>
      </c>
      <c r="F582" s="15" t="inlineStr">
        <is>
          <t>Plot / unit price</t>
        </is>
      </c>
      <c r="G582" s="15" t="inlineStr">
        <is>
          <t>Land (estate not stated in source)</t>
        </is>
      </c>
      <c r="H582" s="15" t="inlineStr">
        <is>
          <t>BP-C0153</t>
        </is>
      </c>
      <c r="I582" s="15" t="inlineStr">
        <is>
          <t>Miss Ademakinwa Abosede Wuraola</t>
        </is>
      </c>
      <c r="J582" s="17" t="n">
        <v>753000</v>
      </c>
      <c r="K582" s="15" t="n"/>
      <c r="L582" s="15" t="inlineStr">
        <is>
          <t>Secondary: commission records; no monthly turnover register for this period</t>
        </is>
      </c>
      <c r="M582" s="15" t="inlineStr">
        <is>
          <t>BAAY PROJECTS SALES EXPENSES (COMMISSION) RECORDS (1)</t>
        </is>
      </c>
      <c r="N582" s="15" t="inlineStr">
        <is>
          <t>MS TAIWO</t>
        </is>
      </c>
      <c r="O582" s="15" t="n">
        <v>75</v>
      </c>
      <c r="P582" s="15" t="inlineStr">
        <is>
          <t>30/01/2025</t>
        </is>
      </c>
      <c r="Q582" s="15" t="n"/>
      <c r="R582" s="15" t="inlineStr">
        <is>
          <t>Commission-record amount: confirm to bank statement (records can aggregate several transfers)</t>
        </is>
      </c>
    </row>
    <row r="583">
      <c r="A583" s="15" t="inlineStr">
        <is>
          <t>SL0579</t>
        </is>
      </c>
      <c r="B583" s="16" t="n">
        <v>45687</v>
      </c>
      <c r="C583" s="15" t="inlineStr">
        <is>
          <t>2025-01</t>
        </is>
      </c>
      <c r="D583" s="15" t="n">
        <v>2025</v>
      </c>
      <c r="E583" s="15" t="inlineStr">
        <is>
          <t>Land</t>
        </is>
      </c>
      <c r="F583" s="15" t="inlineStr">
        <is>
          <t>Plot / unit price</t>
        </is>
      </c>
      <c r="G583" s="15" t="inlineStr">
        <is>
          <t>Land (estate not stated in source)</t>
        </is>
      </c>
      <c r="H583" s="15" t="inlineStr">
        <is>
          <t>BP-C0154</t>
        </is>
      </c>
      <c r="I583" s="15" t="inlineStr">
        <is>
          <t>Mr Adepoju Adewale Emmanuel</t>
        </is>
      </c>
      <c r="J583" s="17" t="n">
        <v>1600000</v>
      </c>
      <c r="K583" s="15" t="n"/>
      <c r="L583" s="15" t="inlineStr">
        <is>
          <t>Secondary: commission records; no monthly turnover register for this period</t>
        </is>
      </c>
      <c r="M583" s="15" t="inlineStr">
        <is>
          <t>BAAY PROJECTS SALES EXPENSES (COMMISSION) RECORDS (1)</t>
        </is>
      </c>
      <c r="N583" s="15" t="inlineStr">
        <is>
          <t>MS TAIWO</t>
        </is>
      </c>
      <c r="O583" s="15" t="n">
        <v>64</v>
      </c>
      <c r="P583" s="15" t="inlineStr">
        <is>
          <t>30/01/2025</t>
        </is>
      </c>
      <c r="Q583" s="15" t="n"/>
      <c r="R583" s="15" t="inlineStr">
        <is>
          <t>Commission-record amount: confirm to bank statement (records can aggregate several transfers)</t>
        </is>
      </c>
    </row>
    <row r="584">
      <c r="A584" s="15" t="inlineStr">
        <is>
          <t>SL0580</t>
        </is>
      </c>
      <c r="B584" s="16" t="n">
        <v>45687</v>
      </c>
      <c r="C584" s="15" t="inlineStr">
        <is>
          <t>2025-01</t>
        </is>
      </c>
      <c r="D584" s="15" t="n">
        <v>2025</v>
      </c>
      <c r="E584" s="15" t="inlineStr">
        <is>
          <t>Land</t>
        </is>
      </c>
      <c r="F584" s="15" t="inlineStr">
        <is>
          <t>Plot / unit price</t>
        </is>
      </c>
      <c r="G584" s="15" t="inlineStr">
        <is>
          <t>Land (estate not stated in source)</t>
        </is>
      </c>
      <c r="H584" s="15" t="inlineStr">
        <is>
          <t>BP-C0155</t>
        </is>
      </c>
      <c r="I584" s="15" t="inlineStr">
        <is>
          <t>Mr Adeyanju Adebayo Samson</t>
        </is>
      </c>
      <c r="J584" s="17" t="n">
        <v>800000</v>
      </c>
      <c r="K584" s="15" t="n"/>
      <c r="L584" s="15" t="inlineStr">
        <is>
          <t>Secondary: commission records; no monthly turnover register for this period</t>
        </is>
      </c>
      <c r="M584" s="15" t="inlineStr">
        <is>
          <t>BAAY PROJECTS SALES EXPENSES (COMMISSION) RECORDS (1)</t>
        </is>
      </c>
      <c r="N584" s="15" t="inlineStr">
        <is>
          <t>MS TAIWO</t>
        </is>
      </c>
      <c r="O584" s="15" t="n">
        <v>66</v>
      </c>
      <c r="P584" s="15" t="inlineStr">
        <is>
          <t>30/01/2025</t>
        </is>
      </c>
      <c r="Q584" s="15" t="n"/>
      <c r="R584" s="15" t="inlineStr">
        <is>
          <t>Commission-record amount: confirm to bank statement (records can aggregate several transfers)</t>
        </is>
      </c>
    </row>
    <row r="585">
      <c r="A585" s="15" t="inlineStr">
        <is>
          <t>SL0581</t>
        </is>
      </c>
      <c r="B585" s="16" t="n">
        <v>45687</v>
      </c>
      <c r="C585" s="15" t="inlineStr">
        <is>
          <t>2025-01</t>
        </is>
      </c>
      <c r="D585" s="15" t="n">
        <v>2025</v>
      </c>
      <c r="E585" s="15" t="inlineStr">
        <is>
          <t>Land</t>
        </is>
      </c>
      <c r="F585" s="15" t="inlineStr">
        <is>
          <t>Plot / unit price</t>
        </is>
      </c>
      <c r="G585" s="15" t="inlineStr">
        <is>
          <t>Land (estate not stated in source)</t>
        </is>
      </c>
      <c r="H585" s="15" t="inlineStr">
        <is>
          <t>BP-C0148</t>
        </is>
      </c>
      <c r="I585" s="15" t="inlineStr">
        <is>
          <t>Mr Akinsete Michael</t>
        </is>
      </c>
      <c r="J585" s="17" t="n">
        <v>808400</v>
      </c>
      <c r="K585" s="15" t="n"/>
      <c r="L585" s="15" t="inlineStr">
        <is>
          <t>Secondary: commission records; no monthly turnover register for this period</t>
        </is>
      </c>
      <c r="M585" s="15" t="inlineStr">
        <is>
          <t>BAAY PROJECTS SALES EXPENSES (COMMISSION) RECORDS (1)</t>
        </is>
      </c>
      <c r="N585" s="15" t="inlineStr">
        <is>
          <t>MD</t>
        </is>
      </c>
      <c r="O585" s="15" t="n">
        <v>120</v>
      </c>
      <c r="P585" s="15" t="inlineStr">
        <is>
          <t>30/01/2025</t>
        </is>
      </c>
      <c r="Q585" s="15" t="n"/>
      <c r="R585" s="15" t="inlineStr">
        <is>
          <t>Commission-record amount: confirm to bank statement (records can aggregate several transfers)</t>
        </is>
      </c>
    </row>
    <row r="586">
      <c r="A586" s="15" t="inlineStr">
        <is>
          <t>SL0582</t>
        </is>
      </c>
      <c r="B586" s="16" t="n">
        <v>45687</v>
      </c>
      <c r="C586" s="15" t="inlineStr">
        <is>
          <t>2025-01</t>
        </is>
      </c>
      <c r="D586" s="15" t="n">
        <v>2025</v>
      </c>
      <c r="E586" s="15" t="inlineStr">
        <is>
          <t>Land</t>
        </is>
      </c>
      <c r="F586" s="15" t="inlineStr">
        <is>
          <t>Plot / unit price</t>
        </is>
      </c>
      <c r="G586" s="15" t="inlineStr">
        <is>
          <t>Land (estate not stated in source)</t>
        </is>
      </c>
      <c r="H586" s="15" t="inlineStr">
        <is>
          <t>BP-C0167</t>
        </is>
      </c>
      <c r="I586" s="15" t="inlineStr">
        <is>
          <t>Mr Uneze Grant Chetana</t>
        </is>
      </c>
      <c r="J586" s="17" t="n">
        <v>500000</v>
      </c>
      <c r="K586" s="15" t="n"/>
      <c r="L586" s="15" t="inlineStr">
        <is>
          <t>Secondary: commission records; no monthly turnover register for this period</t>
        </is>
      </c>
      <c r="M586" s="15" t="inlineStr">
        <is>
          <t>BAAY PROJECTS SALES EXPENSES (COMMISSION) RECORDS (1)</t>
        </is>
      </c>
      <c r="N586" s="15" t="inlineStr">
        <is>
          <t>MS SAMUELLA</t>
        </is>
      </c>
      <c r="O586" s="15" t="n">
        <v>12</v>
      </c>
      <c r="P586" s="15" t="inlineStr">
        <is>
          <t>30/01/2025</t>
        </is>
      </c>
      <c r="Q586" s="15" t="n"/>
      <c r="R586" s="15" t="inlineStr">
        <is>
          <t>Commission-record amount: confirm to bank statement (records can aggregate several transfers)</t>
        </is>
      </c>
    </row>
    <row r="587">
      <c r="A587" s="15" t="inlineStr">
        <is>
          <t>SL0583</t>
        </is>
      </c>
      <c r="B587" s="16" t="n">
        <v>45687</v>
      </c>
      <c r="C587" s="15" t="inlineStr">
        <is>
          <t>2025-01</t>
        </is>
      </c>
      <c r="D587" s="15" t="n">
        <v>2025</v>
      </c>
      <c r="E587" s="15" t="inlineStr">
        <is>
          <t>Land</t>
        </is>
      </c>
      <c r="F587" s="15" t="inlineStr">
        <is>
          <t>Plot / unit price</t>
        </is>
      </c>
      <c r="G587" s="15" t="inlineStr">
        <is>
          <t>Land (estate not stated in source)</t>
        </is>
      </c>
      <c r="H587" s="15" t="inlineStr">
        <is>
          <t>BP-C0157</t>
        </is>
      </c>
      <c r="I587" s="15" t="inlineStr">
        <is>
          <t>Mrs Adepoju Adebola Adeniran</t>
        </is>
      </c>
      <c r="J587" s="17" t="n">
        <v>1600000</v>
      </c>
      <c r="K587" s="15" t="n"/>
      <c r="L587" s="15" t="inlineStr">
        <is>
          <t>Secondary: commission records; no monthly turnover register for this period</t>
        </is>
      </c>
      <c r="M587" s="15" t="inlineStr">
        <is>
          <t>BAAY PROJECTS SALES EXPENSES (COMMISSION) RECORDS (1)</t>
        </is>
      </c>
      <c r="N587" s="15" t="inlineStr">
        <is>
          <t>MS TAIWO</t>
        </is>
      </c>
      <c r="O587" s="15" t="n">
        <v>65</v>
      </c>
      <c r="P587" s="15" t="inlineStr">
        <is>
          <t>30/01/2025</t>
        </is>
      </c>
      <c r="Q587" s="15" t="n"/>
      <c r="R587" s="15" t="inlineStr">
        <is>
          <t>Commission-record amount: confirm to bank statement (records can aggregate several transfers)</t>
        </is>
      </c>
    </row>
    <row r="588">
      <c r="A588" s="15" t="inlineStr">
        <is>
          <t>SL0584</t>
        </is>
      </c>
      <c r="B588" s="16" t="n">
        <v>45687</v>
      </c>
      <c r="C588" s="15" t="inlineStr">
        <is>
          <t>2025-01</t>
        </is>
      </c>
      <c r="D588" s="15" t="n">
        <v>2025</v>
      </c>
      <c r="E588" s="15" t="inlineStr">
        <is>
          <t>Land</t>
        </is>
      </c>
      <c r="F588" s="15" t="inlineStr">
        <is>
          <t>Plot / unit price</t>
        </is>
      </c>
      <c r="G588" s="15" t="inlineStr">
        <is>
          <t>Land (estate not stated in source)</t>
        </is>
      </c>
      <c r="H588" s="15" t="inlineStr">
        <is>
          <t>BP-C0130</t>
        </is>
      </c>
      <c r="I588" s="15" t="inlineStr">
        <is>
          <t>Mrs Akindele Felicia Oluwatoyin</t>
        </is>
      </c>
      <c r="J588" s="17" t="n">
        <v>50000</v>
      </c>
      <c r="K588" s="15" t="n"/>
      <c r="L588" s="15" t="inlineStr">
        <is>
          <t>Secondary: commission records; no monthly turnover register for this period</t>
        </is>
      </c>
      <c r="M588" s="15" t="inlineStr">
        <is>
          <t>BAAY PROJECTS SALES EXPENSES (COMMISSION) RECORDS (1)</t>
        </is>
      </c>
      <c r="N588" s="15" t="inlineStr">
        <is>
          <t>MS FISAYO</t>
        </is>
      </c>
      <c r="O588" s="15" t="n">
        <v>69</v>
      </c>
      <c r="P588" s="15" t="inlineStr">
        <is>
          <t>30/01/2025</t>
        </is>
      </c>
      <c r="Q588" s="15" t="n"/>
      <c r="R588" s="15" t="inlineStr">
        <is>
          <t>Commission-record amount: confirm to bank statement (records can aggregate several transfers)</t>
        </is>
      </c>
    </row>
    <row r="589">
      <c r="A589" s="15" t="inlineStr">
        <is>
          <t>SL0585</t>
        </is>
      </c>
      <c r="B589" s="16" t="n">
        <v>45687</v>
      </c>
      <c r="C589" s="15" t="inlineStr">
        <is>
          <t>2025-01</t>
        </is>
      </c>
      <c r="D589" s="15" t="n">
        <v>2025</v>
      </c>
      <c r="E589" s="15" t="inlineStr">
        <is>
          <t>Housing</t>
        </is>
      </c>
      <c r="F589" s="15" t="inlineStr">
        <is>
          <t>Plot / unit price</t>
        </is>
      </c>
      <c r="G589" s="15" t="inlineStr">
        <is>
          <t>Pacific Apartment</t>
        </is>
      </c>
      <c r="H589" s="15" t="inlineStr">
        <is>
          <t>BP-C0143</t>
        </is>
      </c>
      <c r="I589" s="15" t="inlineStr">
        <is>
          <t>Mrs Oyindamola Duntoye Adekunle</t>
        </is>
      </c>
      <c r="J589" s="17" t="n">
        <v>4750000</v>
      </c>
      <c r="K589" s="15" t="n"/>
      <c r="L589" s="15" t="inlineStr">
        <is>
          <t>Secondary: commission records; no monthly turnover register for this period</t>
        </is>
      </c>
      <c r="M589" s="15" t="inlineStr">
        <is>
          <t>BAAY PROJECTS SALES EXPENSES (COMMISSION) RECORDS (1)</t>
        </is>
      </c>
      <c r="N589" s="15" t="inlineStr">
        <is>
          <t>MAMA ADEBIMPE</t>
        </is>
      </c>
      <c r="O589" s="15" t="n">
        <v>93</v>
      </c>
      <c r="P589" s="15" t="inlineStr">
        <is>
          <t>30/01/2025</t>
        </is>
      </c>
      <c r="Q589" s="15" t="n"/>
      <c r="R589" s="15" t="inlineStr">
        <is>
          <t>Commission-record amount: confirm to bank statement (records can aggregate several transfers)</t>
        </is>
      </c>
    </row>
    <row r="590">
      <c r="A590" s="15" t="inlineStr">
        <is>
          <t>SL0586</t>
        </is>
      </c>
      <c r="B590" s="16" t="n">
        <v>45687</v>
      </c>
      <c r="C590" s="15" t="inlineStr">
        <is>
          <t>2025-01</t>
        </is>
      </c>
      <c r="D590" s="15" t="n">
        <v>2025</v>
      </c>
      <c r="E590" s="15" t="inlineStr">
        <is>
          <t>Land</t>
        </is>
      </c>
      <c r="F590" s="15" t="inlineStr">
        <is>
          <t>Plot / unit price</t>
        </is>
      </c>
      <c r="G590" s="15" t="inlineStr">
        <is>
          <t>Land (estate not stated in source)</t>
        </is>
      </c>
      <c r="H590" s="15" t="inlineStr">
        <is>
          <t>BP-C0151</t>
        </is>
      </c>
      <c r="I590" s="15" t="inlineStr">
        <is>
          <t>Mrs Shotonwa Olamide Abosede</t>
        </is>
      </c>
      <c r="J590" s="17" t="n">
        <v>1000000</v>
      </c>
      <c r="K590" s="15" t="n"/>
      <c r="L590" s="15" t="inlineStr">
        <is>
          <t>Secondary: commission records; no monthly turnover register for this period</t>
        </is>
      </c>
      <c r="M590" s="15" t="inlineStr">
        <is>
          <t>BAAY PROJECTS SALES EXPENSES (COMMISSION) RECORDS (1)</t>
        </is>
      </c>
      <c r="N590" s="15" t="inlineStr">
        <is>
          <t>MS ADENIKE</t>
        </is>
      </c>
      <c r="O590" s="15" t="n">
        <v>30</v>
      </c>
      <c r="P590" s="15" t="inlineStr">
        <is>
          <t>30/01/2025</t>
        </is>
      </c>
      <c r="Q590" s="15" t="n"/>
      <c r="R590" s="15" t="inlineStr">
        <is>
          <t>Commission-record amount: confirm to bank statement (records can aggregate several transfers)</t>
        </is>
      </c>
    </row>
    <row r="591">
      <c r="A591" s="15" t="inlineStr">
        <is>
          <t>SL0587</t>
        </is>
      </c>
      <c r="B591" s="16" t="n">
        <v>45687</v>
      </c>
      <c r="C591" s="15" t="inlineStr">
        <is>
          <t>2025-01</t>
        </is>
      </c>
      <c r="D591" s="15" t="n">
        <v>2025</v>
      </c>
      <c r="E591" s="15" t="inlineStr">
        <is>
          <t>Land</t>
        </is>
      </c>
      <c r="F591" s="15" t="inlineStr">
        <is>
          <t>Plot / unit price</t>
        </is>
      </c>
      <c r="G591" s="15" t="inlineStr">
        <is>
          <t>Land (estate not stated in source)</t>
        </is>
      </c>
      <c r="H591" s="15" t="inlineStr">
        <is>
          <t>BP-C0151</t>
        </is>
      </c>
      <c r="I591" s="15" t="inlineStr">
        <is>
          <t>Mrs Shotonwa Olamide Abosede</t>
        </is>
      </c>
      <c r="J591" s="17" t="n">
        <v>500000</v>
      </c>
      <c r="K591" s="15" t="n"/>
      <c r="L591" s="15" t="inlineStr">
        <is>
          <t>Secondary: commission records; no monthly turnover register for this period</t>
        </is>
      </c>
      <c r="M591" s="15" t="inlineStr">
        <is>
          <t>BAAY PROJECTS SALES EXPENSES (COMMISSION) RECORDS (1)</t>
        </is>
      </c>
      <c r="N591" s="15" t="inlineStr">
        <is>
          <t>MS ADENIKE</t>
        </is>
      </c>
      <c r="O591" s="15" t="n">
        <v>33</v>
      </c>
      <c r="P591" s="15" t="inlineStr">
        <is>
          <t>30/01/2025</t>
        </is>
      </c>
      <c r="Q591" s="15" t="n"/>
      <c r="R591" s="15" t="inlineStr">
        <is>
          <t>Commission-record amount: confirm to bank statement (records can aggregate several transfers)</t>
        </is>
      </c>
    </row>
    <row r="592">
      <c r="A592" s="15" t="inlineStr">
        <is>
          <t>SL0588</t>
        </is>
      </c>
      <c r="B592" s="16" t="n">
        <v>45688</v>
      </c>
      <c r="C592" s="15" t="inlineStr">
        <is>
          <t>2025-01</t>
        </is>
      </c>
      <c r="D592" s="15" t="n">
        <v>2025</v>
      </c>
      <c r="E592" s="15" t="inlineStr">
        <is>
          <t>Land</t>
        </is>
      </c>
      <c r="F592" s="15" t="inlineStr">
        <is>
          <t>Plot / unit price</t>
        </is>
      </c>
      <c r="G592" s="15" t="inlineStr">
        <is>
          <t>Land (estate not stated in source)</t>
        </is>
      </c>
      <c r="H592" s="15" t="inlineStr">
        <is>
          <t>BP-C0153</t>
        </is>
      </c>
      <c r="I592" s="15" t="inlineStr">
        <is>
          <t>Miss Ademakinwa Abosede Wuraola</t>
        </is>
      </c>
      <c r="J592" s="17" t="n">
        <v>47000</v>
      </c>
      <c r="K592" s="15" t="n"/>
      <c r="L592" s="15" t="inlineStr">
        <is>
          <t>Secondary: commission records; no monthly turnover register for this period</t>
        </is>
      </c>
      <c r="M592" s="15" t="inlineStr">
        <is>
          <t>BAAY PROJECTS SALES EXPENSES (COMMISSION) RECORDS (1)</t>
        </is>
      </c>
      <c r="N592" s="15" t="inlineStr">
        <is>
          <t>MS TAIWO</t>
        </is>
      </c>
      <c r="O592" s="15" t="n">
        <v>76</v>
      </c>
      <c r="P592" s="15" t="inlineStr">
        <is>
          <t>31/01/2025</t>
        </is>
      </c>
      <c r="Q592" s="15" t="n"/>
      <c r="R592" s="15" t="inlineStr">
        <is>
          <t>Commission-record amount: confirm to bank statement (records can aggregate several transfers)</t>
        </is>
      </c>
    </row>
    <row r="593">
      <c r="A593" s="15" t="inlineStr">
        <is>
          <t>SL0589</t>
        </is>
      </c>
      <c r="B593" s="16" t="n">
        <v>45688</v>
      </c>
      <c r="C593" s="15" t="inlineStr">
        <is>
          <t>2025-01</t>
        </is>
      </c>
      <c r="D593" s="15" t="n">
        <v>2025</v>
      </c>
      <c r="E593" s="15" t="inlineStr">
        <is>
          <t>Land</t>
        </is>
      </c>
      <c r="F593" s="15" t="inlineStr">
        <is>
          <t>Plot / unit price</t>
        </is>
      </c>
      <c r="G593" s="15" t="inlineStr">
        <is>
          <t>Land (estate not stated in source)</t>
        </is>
      </c>
      <c r="H593" s="15" t="inlineStr">
        <is>
          <t>BP-C0158</t>
        </is>
      </c>
      <c r="I593" s="15" t="inlineStr">
        <is>
          <t>Mr Shino Vincent Precious</t>
        </is>
      </c>
      <c r="J593" s="17" t="n">
        <v>500000</v>
      </c>
      <c r="K593" s="15" t="n"/>
      <c r="L593" s="15" t="inlineStr">
        <is>
          <t>Secondary: commission records; no monthly turnover register for this period</t>
        </is>
      </c>
      <c r="M593" s="15" t="inlineStr">
        <is>
          <t>BAAY PROJECTS SALES EXPENSES (COMMISSION) RECORDS (1)</t>
        </is>
      </c>
      <c r="N593" s="15" t="inlineStr">
        <is>
          <t>MR DANIEL</t>
        </is>
      </c>
      <c r="O593" s="15" t="n">
        <v>8</v>
      </c>
      <c r="P593" s="15" t="inlineStr">
        <is>
          <t>31/01/2025</t>
        </is>
      </c>
      <c r="Q593" s="15" t="n"/>
      <c r="R593" s="15" t="inlineStr">
        <is>
          <t>Commission-record amount: confirm to bank statement (records can aggregate several transfers)</t>
        </is>
      </c>
    </row>
    <row r="594">
      <c r="A594" s="15" t="inlineStr">
        <is>
          <t>SL0590</t>
        </is>
      </c>
      <c r="B594" s="16" t="n">
        <v>45691</v>
      </c>
      <c r="C594" s="15" t="inlineStr">
        <is>
          <t>2025-02</t>
        </is>
      </c>
      <c r="D594" s="15" t="n">
        <v>2025</v>
      </c>
      <c r="E594" s="15" t="inlineStr">
        <is>
          <t>Land</t>
        </is>
      </c>
      <c r="F594" s="15" t="inlineStr">
        <is>
          <t>Plot / unit price</t>
        </is>
      </c>
      <c r="G594" s="15" t="inlineStr">
        <is>
          <t>Land (estate not stated in source)</t>
        </is>
      </c>
      <c r="H594" s="15" t="inlineStr">
        <is>
          <t>BP-C0150</t>
        </is>
      </c>
      <c r="I594" s="15" t="inlineStr">
        <is>
          <t>Mr Ajiboso Damilare Moses &amp; Mrs Ajiboso Gbemisola Rachael</t>
        </is>
      </c>
      <c r="J594" s="17" t="n">
        <v>1000000</v>
      </c>
      <c r="K594" s="15" t="n"/>
      <c r="L594" s="15" t="inlineStr">
        <is>
          <t>Secondary: commission records; no monthly turnover register for this period</t>
        </is>
      </c>
      <c r="M594" s="15" t="inlineStr">
        <is>
          <t>BAAY PROJECTS SALES EXPENSES (COMMISSION) RECORDS (1)</t>
        </is>
      </c>
      <c r="N594" s="15" t="inlineStr">
        <is>
          <t>MS ADENIKE</t>
        </is>
      </c>
      <c r="O594" s="15" t="n">
        <v>31</v>
      </c>
      <c r="P594" s="15" t="inlineStr">
        <is>
          <t>2025-03-02</t>
        </is>
      </c>
      <c r="Q594" s="15" t="n"/>
      <c r="R594" s="15" t="inlineStr">
        <is>
          <t>Commission-record amount: confirm to bank statement (records can aggregate several transfers)</t>
        </is>
      </c>
    </row>
    <row r="595">
      <c r="A595" s="15" t="inlineStr">
        <is>
          <t>SL0591</t>
        </is>
      </c>
      <c r="B595" s="16" t="n">
        <v>45692</v>
      </c>
      <c r="C595" s="15" t="inlineStr">
        <is>
          <t>2025-02</t>
        </is>
      </c>
      <c r="D595" s="15" t="n">
        <v>2025</v>
      </c>
      <c r="E595" s="15" t="inlineStr">
        <is>
          <t>Land</t>
        </is>
      </c>
      <c r="F595" s="15" t="inlineStr">
        <is>
          <t>Plot / unit price</t>
        </is>
      </c>
      <c r="G595" s="15" t="inlineStr">
        <is>
          <t>Land (estate not stated in source)</t>
        </is>
      </c>
      <c r="H595" s="15" t="inlineStr">
        <is>
          <t>BP-C0168</t>
        </is>
      </c>
      <c r="I595" s="15" t="inlineStr">
        <is>
          <t>Mrs Adenuga Damilola Grace</t>
        </is>
      </c>
      <c r="J595" s="17" t="n">
        <v>1000000</v>
      </c>
      <c r="K595" s="15" t="n"/>
      <c r="L595" s="15" t="inlineStr">
        <is>
          <t>Secondary: commission records; no monthly turnover register for this period</t>
        </is>
      </c>
      <c r="M595" s="15" t="inlineStr">
        <is>
          <t>BAAY PROJECTS SALES EXPENSES (COMMISSION) RECORDS (1)</t>
        </is>
      </c>
      <c r="N595" s="15" t="inlineStr">
        <is>
          <t>MS ADENIKE</t>
        </is>
      </c>
      <c r="O595" s="15" t="n">
        <v>32</v>
      </c>
      <c r="P595" s="15" t="inlineStr">
        <is>
          <t>2025-04-02</t>
        </is>
      </c>
      <c r="Q595" s="15" t="n"/>
      <c r="R595" s="15" t="inlineStr">
        <is>
          <t>Commission-record amount: confirm to bank statement (records can aggregate several transfers)</t>
        </is>
      </c>
    </row>
    <row r="596">
      <c r="A596" s="15" t="inlineStr">
        <is>
          <t>SL0592</t>
        </is>
      </c>
      <c r="B596" s="16" t="n">
        <v>45693</v>
      </c>
      <c r="C596" s="15" t="inlineStr">
        <is>
          <t>2025-02</t>
        </is>
      </c>
      <c r="D596" s="15" t="n">
        <v>2025</v>
      </c>
      <c r="E596" s="15" t="inlineStr">
        <is>
          <t>Land</t>
        </is>
      </c>
      <c r="F596" s="15" t="inlineStr">
        <is>
          <t>Plot / unit price</t>
        </is>
      </c>
      <c r="G596" s="15" t="inlineStr">
        <is>
          <t>Land (estate not stated in source)</t>
        </is>
      </c>
      <c r="H596" s="15" t="inlineStr">
        <is>
          <t>BP-C0166</t>
        </is>
      </c>
      <c r="I596" s="15" t="inlineStr">
        <is>
          <t>Mr Showande Lateef Olawale</t>
        </is>
      </c>
      <c r="J596" s="17" t="n">
        <v>1000000</v>
      </c>
      <c r="K596" s="15" t="n"/>
      <c r="L596" s="15" t="inlineStr">
        <is>
          <t>Secondary: commission records; no monthly turnover register for this period</t>
        </is>
      </c>
      <c r="M596" s="15" t="inlineStr">
        <is>
          <t>BAAY PROJECTS SALES EXPENSES (COMMISSION) RECORDS (1)</t>
        </is>
      </c>
      <c r="N596" s="15" t="inlineStr">
        <is>
          <t>OGIDAN</t>
        </is>
      </c>
      <c r="O596" s="15" t="n">
        <v>65</v>
      </c>
      <c r="P596" s="15" t="inlineStr">
        <is>
          <t>2025-05-02</t>
        </is>
      </c>
      <c r="Q596" s="15" t="n"/>
      <c r="R596" s="15" t="inlineStr">
        <is>
          <t>Commission-record amount: confirm to bank statement (records can aggregate several transfers)</t>
        </is>
      </c>
    </row>
    <row r="597">
      <c r="A597" s="15" t="inlineStr">
        <is>
          <t>SL0593</t>
        </is>
      </c>
      <c r="B597" s="16" t="n">
        <v>45694</v>
      </c>
      <c r="C597" s="15" t="inlineStr">
        <is>
          <t>2025-02</t>
        </is>
      </c>
      <c r="D597" s="15" t="n">
        <v>2025</v>
      </c>
      <c r="E597" s="15" t="inlineStr">
        <is>
          <t>Land</t>
        </is>
      </c>
      <c r="F597" s="15" t="inlineStr">
        <is>
          <t>Plot / unit price</t>
        </is>
      </c>
      <c r="G597" s="15" t="inlineStr">
        <is>
          <t>Land (estate not stated in source)</t>
        </is>
      </c>
      <c r="H597" s="15" t="inlineStr">
        <is>
          <t>BP-C0170</t>
        </is>
      </c>
      <c r="I597" s="15" t="inlineStr">
        <is>
          <t>Mr Owomoyela Abiodun Michael</t>
        </is>
      </c>
      <c r="J597" s="17" t="n">
        <v>3000000</v>
      </c>
      <c r="K597" s="15" t="n"/>
      <c r="L597" s="15" t="inlineStr">
        <is>
          <t>Secondary: commission records; no monthly turnover register for this period</t>
        </is>
      </c>
      <c r="M597" s="15" t="inlineStr">
        <is>
          <t>BAAY PROJECTS SALES EXPENSES (COMMISSION) RECORDS (1)</t>
        </is>
      </c>
      <c r="N597" s="15" t="inlineStr">
        <is>
          <t>MS ABISOLA</t>
        </is>
      </c>
      <c r="O597" s="15" t="n">
        <v>2</v>
      </c>
      <c r="P597" s="15" t="inlineStr">
        <is>
          <t>2025-06-02</t>
        </is>
      </c>
      <c r="Q597" s="15" t="n"/>
      <c r="R597" s="15" t="inlineStr">
        <is>
          <t>Commission-record amount: confirm to bank statement (records can aggregate several transfers)</t>
        </is>
      </c>
    </row>
    <row r="598">
      <c r="A598" s="15" t="inlineStr">
        <is>
          <t>SL0594</t>
        </is>
      </c>
      <c r="B598" s="16" t="n">
        <v>45698</v>
      </c>
      <c r="C598" s="15" t="inlineStr">
        <is>
          <t>2025-02</t>
        </is>
      </c>
      <c r="D598" s="15" t="n">
        <v>2025</v>
      </c>
      <c r="E598" s="15" t="inlineStr">
        <is>
          <t>Land</t>
        </is>
      </c>
      <c r="F598" s="15" t="inlineStr">
        <is>
          <t>Plot / unit price</t>
        </is>
      </c>
      <c r="G598" s="15" t="inlineStr">
        <is>
          <t>Land (estate not stated in source)</t>
        </is>
      </c>
      <c r="H598" s="15" t="inlineStr">
        <is>
          <t>BP-C0170</t>
        </is>
      </c>
      <c r="I598" s="15" t="inlineStr">
        <is>
          <t>Mr Owomoyela Abiodun Michael</t>
        </is>
      </c>
      <c r="J598" s="17" t="n">
        <v>800000</v>
      </c>
      <c r="K598" s="15" t="n"/>
      <c r="L598" s="15" t="inlineStr">
        <is>
          <t>Secondary: commission records; no monthly turnover register for this period</t>
        </is>
      </c>
      <c r="M598" s="15" t="inlineStr">
        <is>
          <t>BAAY PROJECTS SALES EXPENSES (COMMISSION) RECORDS (1)</t>
        </is>
      </c>
      <c r="N598" s="15" t="inlineStr">
        <is>
          <t>MS ABISOLA</t>
        </is>
      </c>
      <c r="O598" s="15" t="n">
        <v>3</v>
      </c>
      <c r="P598" s="15" t="inlineStr">
        <is>
          <t>2025-10-02</t>
        </is>
      </c>
      <c r="Q598" s="15" t="n"/>
      <c r="R598" s="15" t="inlineStr">
        <is>
          <t>Commission-record amount: confirm to bank statement (records can aggregate several transfers)</t>
        </is>
      </c>
    </row>
    <row r="599">
      <c r="A599" s="15" t="inlineStr">
        <is>
          <t>SL0595</t>
        </is>
      </c>
      <c r="B599" s="16" t="n">
        <v>45698</v>
      </c>
      <c r="C599" s="15" t="inlineStr">
        <is>
          <t>2025-02</t>
        </is>
      </c>
      <c r="D599" s="15" t="n">
        <v>2025</v>
      </c>
      <c r="E599" s="15" t="inlineStr">
        <is>
          <t>Land</t>
        </is>
      </c>
      <c r="F599" s="15" t="inlineStr">
        <is>
          <t>Plot / unit price</t>
        </is>
      </c>
      <c r="G599" s="15" t="inlineStr">
        <is>
          <t>Land (estate not stated in source)</t>
        </is>
      </c>
      <c r="H599" s="15" t="inlineStr">
        <is>
          <t>BP-C0172</t>
        </is>
      </c>
      <c r="I599" s="15" t="inlineStr">
        <is>
          <t>Mr Peter Chidera Eteng</t>
        </is>
      </c>
      <c r="J599" s="17" t="n">
        <v>200000</v>
      </c>
      <c r="K599" s="15" t="n"/>
      <c r="L599" s="15" t="inlineStr">
        <is>
          <t>Secondary: commission records; no monthly turnover register for this period</t>
        </is>
      </c>
      <c r="M599" s="15" t="inlineStr">
        <is>
          <t>BAAY PROJECTS SALES EXPENSES (COMMISSION) RECORDS (1)</t>
        </is>
      </c>
      <c r="N599" s="15" t="inlineStr">
        <is>
          <t>MS JENNIFER</t>
        </is>
      </c>
      <c r="O599" s="15" t="n">
        <v>2</v>
      </c>
      <c r="P599" s="15" t="inlineStr">
        <is>
          <t>2025-10-02</t>
        </is>
      </c>
      <c r="Q599" s="15" t="n"/>
      <c r="R599" s="15" t="inlineStr">
        <is>
          <t>Commission-record amount: confirm to bank statement (records can aggregate several transfers)</t>
        </is>
      </c>
    </row>
    <row r="600">
      <c r="A600" s="15" t="inlineStr">
        <is>
          <t>SL0596</t>
        </is>
      </c>
      <c r="B600" s="16" t="n">
        <v>45699</v>
      </c>
      <c r="C600" s="15" t="inlineStr">
        <is>
          <t>2025-02</t>
        </is>
      </c>
      <c r="D600" s="15" t="n">
        <v>2025</v>
      </c>
      <c r="E600" s="15" t="inlineStr">
        <is>
          <t>Land</t>
        </is>
      </c>
      <c r="F600" s="15" t="inlineStr">
        <is>
          <t>Plot / unit price</t>
        </is>
      </c>
      <c r="G600" s="15" t="inlineStr">
        <is>
          <t>Land (estate not stated in source)</t>
        </is>
      </c>
      <c r="H600" s="15" t="inlineStr">
        <is>
          <t>BP-C0132</t>
        </is>
      </c>
      <c r="I600" s="15" t="inlineStr">
        <is>
          <t>Mr Adekunle Temitope Ajayi</t>
        </is>
      </c>
      <c r="J600" s="17" t="n">
        <v>1500000</v>
      </c>
      <c r="K600" s="15" t="n"/>
      <c r="L600" s="15" t="inlineStr">
        <is>
          <t>Secondary: commission records; no monthly turnover register for this period</t>
        </is>
      </c>
      <c r="M600" s="15" t="inlineStr">
        <is>
          <t>BAAY PROJECTS SALES EXPENSES (COMMISSION) RECORDS (1)</t>
        </is>
      </c>
      <c r="N600" s="15" t="inlineStr">
        <is>
          <t>MS OPEYEMI ADEGOKE</t>
        </is>
      </c>
      <c r="O600" s="15" t="n">
        <v>24</v>
      </c>
      <c r="P600" s="15" t="inlineStr">
        <is>
          <t>2025-11-02</t>
        </is>
      </c>
      <c r="Q600" s="15" t="n"/>
      <c r="R600" s="15" t="inlineStr">
        <is>
          <t>Commission-record amount: confirm to bank statement (records can aggregate several transfers)</t>
        </is>
      </c>
    </row>
    <row r="601">
      <c r="A601" s="15" t="inlineStr">
        <is>
          <t>SL0597</t>
        </is>
      </c>
      <c r="B601" s="16" t="n">
        <v>45699</v>
      </c>
      <c r="C601" s="15" t="inlineStr">
        <is>
          <t>2025-02</t>
        </is>
      </c>
      <c r="D601" s="15" t="n">
        <v>2025</v>
      </c>
      <c r="E601" s="15" t="inlineStr">
        <is>
          <t>Housing</t>
        </is>
      </c>
      <c r="F601" s="15" t="inlineStr">
        <is>
          <t>Plot / unit price</t>
        </is>
      </c>
      <c r="G601" s="15" t="inlineStr">
        <is>
          <t>Housing unit (project not stated in source)</t>
        </is>
      </c>
      <c r="H601" s="15" t="inlineStr">
        <is>
          <t>BP-C0133</t>
        </is>
      </c>
      <c r="I601" s="15" t="inlineStr">
        <is>
          <t>Mr Olagbende Oluwashina Oluwaseun</t>
        </is>
      </c>
      <c r="J601" s="17" t="n">
        <v>5000000</v>
      </c>
      <c r="K601" s="15" t="n"/>
      <c r="L601" s="15" t="inlineStr">
        <is>
          <t>Secondary: commission records; no monthly turnover register for this period</t>
        </is>
      </c>
      <c r="M601" s="15" t="inlineStr">
        <is>
          <t>BAAY PROJECTS SALES EXPENSES (COMMISSION) RECORDS (1)</t>
        </is>
      </c>
      <c r="N601" s="15" t="inlineStr">
        <is>
          <t>MS AWONORIN MAYOWA</t>
        </is>
      </c>
      <c r="O601" s="15" t="n">
        <v>38</v>
      </c>
      <c r="P601" s="15" t="inlineStr">
        <is>
          <t>2025-11-02</t>
        </is>
      </c>
      <c r="Q601" s="15" t="n"/>
      <c r="R601" s="15" t="inlineStr">
        <is>
          <t>Commission-record amount: confirm to bank statement (records can aggregate several transfers)</t>
        </is>
      </c>
    </row>
    <row r="602">
      <c r="A602" s="15" t="inlineStr">
        <is>
          <t>SL0598</t>
        </is>
      </c>
      <c r="B602" s="16" t="n">
        <v>45699</v>
      </c>
      <c r="C602" s="15" t="inlineStr">
        <is>
          <t>2025-02</t>
        </is>
      </c>
      <c r="D602" s="15" t="n">
        <v>2025</v>
      </c>
      <c r="E602" s="15" t="inlineStr">
        <is>
          <t>Housing</t>
        </is>
      </c>
      <c r="F602" s="15" t="inlineStr">
        <is>
          <t>Plot / unit price</t>
        </is>
      </c>
      <c r="G602" s="15" t="inlineStr">
        <is>
          <t>Gorge View Court (GVC Gbagada)</t>
        </is>
      </c>
      <c r="H602" s="15" t="inlineStr">
        <is>
          <t>BP-C0165</t>
        </is>
      </c>
      <c r="I602" s="15" t="inlineStr">
        <is>
          <t>Mr Sunday Osabhue Ebosele</t>
        </is>
      </c>
      <c r="J602" s="17" t="n">
        <v>25000000</v>
      </c>
      <c r="K602" s="15" t="n"/>
      <c r="L602" s="15" t="inlineStr">
        <is>
          <t>Secondary: commission records; no monthly turnover register for this period</t>
        </is>
      </c>
      <c r="M602" s="15" t="inlineStr">
        <is>
          <t>BAAY PROJECTS SALES EXPENSES (COMMISSION) RECORDS (1)</t>
        </is>
      </c>
      <c r="N602" s="15" t="inlineStr">
        <is>
          <t>MS SHUBOMI</t>
        </is>
      </c>
      <c r="O602" s="15" t="n">
        <v>14</v>
      </c>
      <c r="P602" s="15" t="inlineStr">
        <is>
          <t>2025-11-02</t>
        </is>
      </c>
      <c r="Q602" s="15" t="inlineStr">
        <is>
          <t>MD r122</t>
        </is>
      </c>
      <c r="R602" s="15" t="inlineStr">
        <is>
          <t>Commission-record amount: confirm to bank statement (records can aggregate several transfers)</t>
        </is>
      </c>
    </row>
    <row r="603">
      <c r="A603" s="15" t="inlineStr">
        <is>
          <t>SL0599</t>
        </is>
      </c>
      <c r="B603" s="16" t="n">
        <v>45700</v>
      </c>
      <c r="C603" s="15" t="inlineStr">
        <is>
          <t>2025-02</t>
        </is>
      </c>
      <c r="D603" s="15" t="n">
        <v>2025</v>
      </c>
      <c r="E603" s="15" t="inlineStr">
        <is>
          <t>Housing</t>
        </is>
      </c>
      <c r="F603" s="15" t="inlineStr">
        <is>
          <t>Plot / unit price</t>
        </is>
      </c>
      <c r="G603" s="15" t="inlineStr">
        <is>
          <t>Gorge View Court (GVC Gbagada)</t>
        </is>
      </c>
      <c r="H603" s="15" t="inlineStr">
        <is>
          <t>BP-C0165</t>
        </is>
      </c>
      <c r="I603" s="15" t="inlineStr">
        <is>
          <t>Mr Sunday Osabhue Ebosele</t>
        </is>
      </c>
      <c r="J603" s="17" t="n">
        <v>25000000</v>
      </c>
      <c r="K603" s="15" t="n"/>
      <c r="L603" s="15" t="inlineStr">
        <is>
          <t>Secondary: commission records; no monthly turnover register for this period</t>
        </is>
      </c>
      <c r="M603" s="15" t="inlineStr">
        <is>
          <t>BAAY PROJECTS SALES EXPENSES (COMMISSION) RECORDS (1)</t>
        </is>
      </c>
      <c r="N603" s="15" t="inlineStr">
        <is>
          <t>MS SHUBOMI</t>
        </is>
      </c>
      <c r="O603" s="15" t="n">
        <v>20</v>
      </c>
      <c r="P603" s="15" t="inlineStr">
        <is>
          <t>2025-12-02</t>
        </is>
      </c>
      <c r="Q603" s="15" t="inlineStr">
        <is>
          <t>MD r123</t>
        </is>
      </c>
      <c r="R603" s="15" t="inlineStr">
        <is>
          <t>Commission-record amount: confirm to bank statement (records can aggregate several transfers)</t>
        </is>
      </c>
    </row>
    <row r="604">
      <c r="A604" s="15" t="inlineStr">
        <is>
          <t>SL0600</t>
        </is>
      </c>
      <c r="B604" s="16" t="n">
        <v>45700</v>
      </c>
      <c r="C604" s="15" t="inlineStr">
        <is>
          <t>2025-02</t>
        </is>
      </c>
      <c r="D604" s="15" t="n">
        <v>2025</v>
      </c>
      <c r="E604" s="15" t="inlineStr">
        <is>
          <t>Land</t>
        </is>
      </c>
      <c r="F604" s="15" t="inlineStr">
        <is>
          <t>Plot / unit price</t>
        </is>
      </c>
      <c r="G604" s="15" t="inlineStr">
        <is>
          <t>Land (estate not stated in source)</t>
        </is>
      </c>
      <c r="H604" s="15" t="inlineStr">
        <is>
          <t>BP-C0146</t>
        </is>
      </c>
      <c r="I604" s="15" t="inlineStr">
        <is>
          <t>Mrs Tijani Tawa Motunrayo</t>
        </is>
      </c>
      <c r="J604" s="17" t="n">
        <v>1000000</v>
      </c>
      <c r="K604" s="15" t="n"/>
      <c r="L604" s="15" t="inlineStr">
        <is>
          <t>Secondary: commission records; no monthly turnover register for this period</t>
        </is>
      </c>
      <c r="M604" s="15" t="inlineStr">
        <is>
          <t>BAAY PROJECTS SALES EXPENSES (COMMISSION) RECORDS (1)</t>
        </is>
      </c>
      <c r="N604" s="15" t="inlineStr">
        <is>
          <t>MS AWONORIN MAYOWA</t>
        </is>
      </c>
      <c r="O604" s="15" t="n">
        <v>32</v>
      </c>
      <c r="P604" s="15" t="inlineStr">
        <is>
          <t>2025-12-02</t>
        </is>
      </c>
      <c r="Q604" s="15" t="n"/>
      <c r="R604" s="15" t="inlineStr">
        <is>
          <t>Commission-record amount: confirm to bank statement (records can aggregate several transfers)</t>
        </is>
      </c>
    </row>
    <row r="605">
      <c r="A605" s="15" t="inlineStr">
        <is>
          <t>SL0601</t>
        </is>
      </c>
      <c r="B605" s="16" t="n">
        <v>45701</v>
      </c>
      <c r="C605" s="15" t="inlineStr">
        <is>
          <t>2025-02</t>
        </is>
      </c>
      <c r="D605" s="15" t="n">
        <v>2025</v>
      </c>
      <c r="E605" s="15" t="inlineStr">
        <is>
          <t>Housing</t>
        </is>
      </c>
      <c r="F605" s="15" t="inlineStr">
        <is>
          <t>Plot / unit price</t>
        </is>
      </c>
      <c r="G605" s="15" t="inlineStr">
        <is>
          <t>Gorge View Court (GVC Gbagada)</t>
        </is>
      </c>
      <c r="H605" s="15" t="inlineStr">
        <is>
          <t>BP-C0165</t>
        </is>
      </c>
      <c r="I605" s="15" t="inlineStr">
        <is>
          <t>Mr Sunday Osabhue Ebosele</t>
        </is>
      </c>
      <c r="J605" s="17" t="n">
        <v>25000000</v>
      </c>
      <c r="K605" s="15" t="n"/>
      <c r="L605" s="15" t="inlineStr">
        <is>
          <t>Secondary: commission records; no monthly turnover register for this period</t>
        </is>
      </c>
      <c r="M605" s="15" t="inlineStr">
        <is>
          <t>BAAY PROJECTS SALES EXPENSES (COMMISSION) RECORDS (1)</t>
        </is>
      </c>
      <c r="N605" s="15" t="inlineStr">
        <is>
          <t>MS SHUBOMI</t>
        </is>
      </c>
      <c r="O605" s="15" t="n">
        <v>21</v>
      </c>
      <c r="P605" s="15" t="inlineStr">
        <is>
          <t>13/02/2025</t>
        </is>
      </c>
      <c r="Q605" s="15" t="n"/>
      <c r="R605" s="15" t="inlineStr">
        <is>
          <t>Commission-record amount: confirm to bank statement (records can aggregate several transfers)</t>
        </is>
      </c>
    </row>
    <row r="606">
      <c r="A606" s="15" t="inlineStr">
        <is>
          <t>SL0602</t>
        </is>
      </c>
      <c r="B606" s="16" t="n">
        <v>45702</v>
      </c>
      <c r="C606" s="15" t="inlineStr">
        <is>
          <t>2025-02</t>
        </is>
      </c>
      <c r="D606" s="15" t="n">
        <v>2025</v>
      </c>
      <c r="E606" s="15" t="inlineStr">
        <is>
          <t>Land</t>
        </is>
      </c>
      <c r="F606" s="15" t="inlineStr">
        <is>
          <t>Plot / unit price</t>
        </is>
      </c>
      <c r="G606" s="15" t="inlineStr">
        <is>
          <t>Land (estate not stated in source)</t>
        </is>
      </c>
      <c r="H606" s="15" t="inlineStr">
        <is>
          <t>BP-C0173</t>
        </is>
      </c>
      <c r="I606" s="15" t="inlineStr">
        <is>
          <t>Miss Julian-Nwadi Hephzibah Chisom</t>
        </is>
      </c>
      <c r="J606" s="17" t="n">
        <v>200000</v>
      </c>
      <c r="K606" s="15" t="n"/>
      <c r="L606" s="15" t="inlineStr">
        <is>
          <t>Secondary: commission records; no monthly turnover register for this period</t>
        </is>
      </c>
      <c r="M606" s="15" t="inlineStr">
        <is>
          <t>BAAY PROJECTS SALES EXPENSES (COMMISSION) RECORDS (1)</t>
        </is>
      </c>
      <c r="N606" s="15" t="inlineStr">
        <is>
          <t>MS ROSEMARY</t>
        </is>
      </c>
      <c r="O606" s="15" t="n">
        <v>2</v>
      </c>
      <c r="P606" s="15" t="inlineStr">
        <is>
          <t>14/02/2025</t>
        </is>
      </c>
      <c r="Q606" s="15" t="n"/>
      <c r="R606" s="15" t="inlineStr">
        <is>
          <t>Commission-record amount: confirm to bank statement (records can aggregate several transfers)</t>
        </is>
      </c>
    </row>
    <row r="607">
      <c r="A607" s="15" t="inlineStr">
        <is>
          <t>SL0603</t>
        </is>
      </c>
      <c r="B607" s="16" t="n">
        <v>45702</v>
      </c>
      <c r="C607" s="15" t="inlineStr">
        <is>
          <t>2025-02</t>
        </is>
      </c>
      <c r="D607" s="15" t="n">
        <v>2025</v>
      </c>
      <c r="E607" s="15" t="inlineStr">
        <is>
          <t>Housing</t>
        </is>
      </c>
      <c r="F607" s="15" t="inlineStr">
        <is>
          <t>Plot / unit price</t>
        </is>
      </c>
      <c r="G607" s="15" t="inlineStr">
        <is>
          <t>Gorge View Court (GVC Gbagada)</t>
        </is>
      </c>
      <c r="H607" s="15" t="inlineStr">
        <is>
          <t>BP-C0165</t>
        </is>
      </c>
      <c r="I607" s="15" t="inlineStr">
        <is>
          <t>Mr Sunday Osabhue Ebosele</t>
        </is>
      </c>
      <c r="J607" s="17" t="n">
        <v>5000000</v>
      </c>
      <c r="K607" s="15" t="n"/>
      <c r="L607" s="15" t="inlineStr">
        <is>
          <t>Secondary: commission records; no monthly turnover register for this period</t>
        </is>
      </c>
      <c r="M607" s="15" t="inlineStr">
        <is>
          <t>BAAY PROJECTS SALES EXPENSES (COMMISSION) RECORDS (1)</t>
        </is>
      </c>
      <c r="N607" s="15" t="inlineStr">
        <is>
          <t>MD</t>
        </is>
      </c>
      <c r="O607" s="15" t="n">
        <v>124</v>
      </c>
      <c r="P607" s="15" t="inlineStr">
        <is>
          <t>14/02/2025</t>
        </is>
      </c>
      <c r="Q607" s="15" t="n"/>
      <c r="R607" s="15" t="inlineStr">
        <is>
          <t>Commission-record amount: confirm to bank statement (records can aggregate several transfers)</t>
        </is>
      </c>
    </row>
    <row r="608">
      <c r="A608" s="15" t="inlineStr">
        <is>
          <t>SL0604</t>
        </is>
      </c>
      <c r="B608" s="16" t="n">
        <v>45702</v>
      </c>
      <c r="C608" s="15" t="inlineStr">
        <is>
          <t>2025-02</t>
        </is>
      </c>
      <c r="D608" s="15" t="n">
        <v>2025</v>
      </c>
      <c r="E608" s="15" t="inlineStr">
        <is>
          <t>Housing</t>
        </is>
      </c>
      <c r="F608" s="15" t="inlineStr">
        <is>
          <t>Plot / unit price</t>
        </is>
      </c>
      <c r="G608" s="15" t="inlineStr">
        <is>
          <t>Pacific Apartment</t>
        </is>
      </c>
      <c r="H608" s="15" t="inlineStr">
        <is>
          <t>BP-C0143</t>
        </is>
      </c>
      <c r="I608" s="15" t="inlineStr">
        <is>
          <t>Mrs Oyindamola Duntoye Adekunle</t>
        </is>
      </c>
      <c r="J608" s="17" t="n">
        <v>4750000</v>
      </c>
      <c r="K608" s="15" t="n"/>
      <c r="L608" s="15" t="inlineStr">
        <is>
          <t>Secondary: commission records; no monthly turnover register for this period</t>
        </is>
      </c>
      <c r="M608" s="15" t="inlineStr">
        <is>
          <t>BAAY PROJECTS SALES EXPENSES (COMMISSION) RECORDS (1)</t>
        </is>
      </c>
      <c r="N608" s="15" t="inlineStr">
        <is>
          <t>MAMA ADEBIMPE</t>
        </is>
      </c>
      <c r="O608" s="15" t="n">
        <v>107</v>
      </c>
      <c r="P608" s="15" t="inlineStr">
        <is>
          <t>14/02/2025</t>
        </is>
      </c>
      <c r="Q608" s="15" t="n"/>
      <c r="R608" s="15" t="inlineStr">
        <is>
          <t>Commission-record amount: confirm to bank statement (records can aggregate several transfers)</t>
        </is>
      </c>
    </row>
    <row r="609">
      <c r="A609" s="15" t="inlineStr">
        <is>
          <t>SL0605</t>
        </is>
      </c>
      <c r="B609" s="16" t="n">
        <v>45706</v>
      </c>
      <c r="C609" s="15" t="inlineStr">
        <is>
          <t>2025-02</t>
        </is>
      </c>
      <c r="D609" s="15" t="n">
        <v>2025</v>
      </c>
      <c r="E609" s="15" t="inlineStr">
        <is>
          <t>Land</t>
        </is>
      </c>
      <c r="F609" s="15" t="inlineStr">
        <is>
          <t>Plot / unit price</t>
        </is>
      </c>
      <c r="G609" s="15" t="inlineStr">
        <is>
          <t>Land (estate not stated in source)</t>
        </is>
      </c>
      <c r="H609" s="15" t="inlineStr">
        <is>
          <t>BP-C0077</t>
        </is>
      </c>
      <c r="I609" s="15" t="inlineStr">
        <is>
          <t>Mr Uebari Sorbari Godwin</t>
        </is>
      </c>
      <c r="J609" s="17" t="n">
        <v>107000</v>
      </c>
      <c r="K609" s="15" t="n"/>
      <c r="L609" s="15" t="inlineStr">
        <is>
          <t>Secondary: commission records; no monthly turnover register for this period</t>
        </is>
      </c>
      <c r="M609" s="15" t="inlineStr">
        <is>
          <t>BAAY PROJECTS SALES EXPENSES (COMMISSION) RECORDS (1)</t>
        </is>
      </c>
      <c r="N609" s="15" t="inlineStr">
        <is>
          <t>MS ELIZABETH</t>
        </is>
      </c>
      <c r="O609" s="15" t="n">
        <v>70</v>
      </c>
      <c r="P609" s="15" t="inlineStr">
        <is>
          <t>18/02/2025</t>
        </is>
      </c>
      <c r="Q609" s="15" t="n"/>
      <c r="R609" s="15" t="inlineStr">
        <is>
          <t>Commission-record amount: confirm to bank statement (records can aggregate several transfers)</t>
        </is>
      </c>
    </row>
    <row r="610">
      <c r="A610" s="15" t="inlineStr">
        <is>
          <t>SL0606</t>
        </is>
      </c>
      <c r="B610" s="16" t="n">
        <v>45712</v>
      </c>
      <c r="C610" s="15" t="inlineStr">
        <is>
          <t>2025-02</t>
        </is>
      </c>
      <c r="D610" s="15" t="n">
        <v>2025</v>
      </c>
      <c r="E610" s="15" t="inlineStr">
        <is>
          <t>Housing</t>
        </is>
      </c>
      <c r="F610" s="15" t="inlineStr">
        <is>
          <t>Plot / unit price</t>
        </is>
      </c>
      <c r="G610" s="15" t="inlineStr">
        <is>
          <t>Housing unit (project not stated in source)</t>
        </is>
      </c>
      <c r="H610" s="15" t="inlineStr">
        <is>
          <t>BP-C0133</t>
        </is>
      </c>
      <c r="I610" s="15" t="inlineStr">
        <is>
          <t>Mr Olagbende Oluwashina Oluwaseun</t>
        </is>
      </c>
      <c r="J610" s="17" t="n">
        <v>5000000</v>
      </c>
      <c r="K610" s="15" t="n"/>
      <c r="L610" s="15" t="inlineStr">
        <is>
          <t>Secondary: commission records; no monthly turnover register for this period</t>
        </is>
      </c>
      <c r="M610" s="15" t="inlineStr">
        <is>
          <t>BAAY PROJECTS SALES EXPENSES (COMMISSION) RECORDS (1)</t>
        </is>
      </c>
      <c r="N610" s="15" t="inlineStr">
        <is>
          <t>MS AWONORIN MAYOWA</t>
        </is>
      </c>
      <c r="O610" s="15" t="n">
        <v>39</v>
      </c>
      <c r="P610" s="15" t="inlineStr">
        <is>
          <t>24/02/2025</t>
        </is>
      </c>
      <c r="Q610" s="15" t="n"/>
      <c r="R610" s="15" t="inlineStr">
        <is>
          <t>Commission-record amount: confirm to bank statement (records can aggregate several transfers)</t>
        </is>
      </c>
    </row>
    <row r="611">
      <c r="A611" s="15" t="inlineStr">
        <is>
          <t>SL0607</t>
        </is>
      </c>
      <c r="B611" s="16" t="n">
        <v>45713</v>
      </c>
      <c r="C611" s="15" t="inlineStr">
        <is>
          <t>2025-02</t>
        </is>
      </c>
      <c r="D611" s="15" t="n">
        <v>2025</v>
      </c>
      <c r="E611" s="15" t="inlineStr">
        <is>
          <t>Land</t>
        </is>
      </c>
      <c r="F611" s="15" t="inlineStr">
        <is>
          <t>Plot / unit price</t>
        </is>
      </c>
      <c r="G611" s="15" t="inlineStr">
        <is>
          <t>Land (estate not stated in source)</t>
        </is>
      </c>
      <c r="H611" s="15" t="inlineStr">
        <is>
          <t>BP-C0159</t>
        </is>
      </c>
      <c r="I611" s="15" t="inlineStr">
        <is>
          <t>Miss Etefe Ava Ogheneyorhe</t>
        </is>
      </c>
      <c r="J611" s="17" t="n">
        <v>150000</v>
      </c>
      <c r="K611" s="15" t="n"/>
      <c r="L611" s="15" t="inlineStr">
        <is>
          <t>Secondary: commission records; no monthly turnover register for this period</t>
        </is>
      </c>
      <c r="M611" s="15" t="inlineStr">
        <is>
          <t>BAAY PROJECTS SALES EXPENSES (COMMISSION) RECORDS (1)</t>
        </is>
      </c>
      <c r="N611" s="15" t="inlineStr">
        <is>
          <t>MS ELIZABETH</t>
        </is>
      </c>
      <c r="O611" s="15" t="n">
        <v>71</v>
      </c>
      <c r="P611" s="15" t="inlineStr">
        <is>
          <t>25/02/2025</t>
        </is>
      </c>
      <c r="Q611" s="15" t="n"/>
      <c r="R611" s="15" t="inlineStr">
        <is>
          <t>Commission-record amount: confirm to bank statement (records can aggregate several transfers)</t>
        </is>
      </c>
    </row>
    <row r="612">
      <c r="A612" s="15" t="inlineStr">
        <is>
          <t>SL0608</t>
        </is>
      </c>
      <c r="B612" s="16" t="n">
        <v>45713</v>
      </c>
      <c r="C612" s="15" t="inlineStr">
        <is>
          <t>2025-02</t>
        </is>
      </c>
      <c r="D612" s="15" t="n">
        <v>2025</v>
      </c>
      <c r="E612" s="15" t="inlineStr">
        <is>
          <t>Land</t>
        </is>
      </c>
      <c r="F612" s="15" t="inlineStr">
        <is>
          <t>Plot / unit price</t>
        </is>
      </c>
      <c r="G612" s="15" t="inlineStr">
        <is>
          <t>Land (estate not stated in source)</t>
        </is>
      </c>
      <c r="H612" s="15" t="inlineStr">
        <is>
          <t>BP-C0141</t>
        </is>
      </c>
      <c r="I612" s="15" t="inlineStr">
        <is>
          <t>Mr Aremu Kayode Sarafa</t>
        </is>
      </c>
      <c r="J612" s="17" t="n">
        <v>200000</v>
      </c>
      <c r="K612" s="15" t="n"/>
      <c r="L612" s="15" t="inlineStr">
        <is>
          <t>Secondary: commission records; no monthly turnover register for this period</t>
        </is>
      </c>
      <c r="M612" s="15" t="inlineStr">
        <is>
          <t>BAAY PROJECTS SALES EXPENSES (COMMISSION) RECORDS (1)</t>
        </is>
      </c>
      <c r="N612" s="15" t="inlineStr">
        <is>
          <t>OGIDAN</t>
        </is>
      </c>
      <c r="O612" s="15" t="n">
        <v>77</v>
      </c>
      <c r="P612" s="15" t="inlineStr">
        <is>
          <t>25/02/2025</t>
        </is>
      </c>
      <c r="Q612" s="15" t="n"/>
      <c r="R612" s="15" t="inlineStr">
        <is>
          <t>Commission-record amount: confirm to bank statement (records can aggregate several transfers)</t>
        </is>
      </c>
    </row>
    <row r="613">
      <c r="A613" s="15" t="inlineStr">
        <is>
          <t>SL0609</t>
        </is>
      </c>
      <c r="B613" s="16" t="n">
        <v>45713</v>
      </c>
      <c r="C613" s="15" t="inlineStr">
        <is>
          <t>2025-02</t>
        </is>
      </c>
      <c r="D613" s="15" t="n">
        <v>2025</v>
      </c>
      <c r="E613" s="15" t="inlineStr">
        <is>
          <t>Land</t>
        </is>
      </c>
      <c r="F613" s="15" t="inlineStr">
        <is>
          <t>Plot / unit price</t>
        </is>
      </c>
      <c r="G613" s="15" t="inlineStr">
        <is>
          <t>Land (estate not stated in source)</t>
        </is>
      </c>
      <c r="H613" s="15" t="inlineStr">
        <is>
          <t>BP-C0174</t>
        </is>
      </c>
      <c r="I613" s="15" t="inlineStr">
        <is>
          <t>Mr Kafidipe Oladimeji Ayomikusibe</t>
        </is>
      </c>
      <c r="J613" s="17" t="n">
        <v>3150000</v>
      </c>
      <c r="K613" s="15" t="n"/>
      <c r="L613" s="15" t="inlineStr">
        <is>
          <t>Secondary: commission records; no monthly turnover register for this period</t>
        </is>
      </c>
      <c r="M613" s="15" t="inlineStr">
        <is>
          <t>BAAY PROJECTS SALES EXPENSES (COMMISSION) RECORDS (1)</t>
        </is>
      </c>
      <c r="N613" s="15" t="inlineStr">
        <is>
          <t>MS OLABISI</t>
        </is>
      </c>
      <c r="O613" s="15" t="n">
        <v>2</v>
      </c>
      <c r="P613" s="15" t="inlineStr">
        <is>
          <t>25/02/2025</t>
        </is>
      </c>
      <c r="Q613" s="15" t="n"/>
      <c r="R613" s="15" t="inlineStr">
        <is>
          <t>Commission-record amount: confirm to bank statement (records can aggregate several transfers)</t>
        </is>
      </c>
    </row>
    <row r="614">
      <c r="A614" s="15" t="inlineStr">
        <is>
          <t>SL0610</t>
        </is>
      </c>
      <c r="B614" s="16" t="n">
        <v>45714</v>
      </c>
      <c r="C614" s="15" t="inlineStr">
        <is>
          <t>2025-02</t>
        </is>
      </c>
      <c r="D614" s="15" t="n">
        <v>2025</v>
      </c>
      <c r="E614" s="15" t="inlineStr">
        <is>
          <t>Land</t>
        </is>
      </c>
      <c r="F614" s="15" t="inlineStr">
        <is>
          <t>Plot / unit price</t>
        </is>
      </c>
      <c r="G614" s="15" t="inlineStr">
        <is>
          <t>Land (estate not stated in source)</t>
        </is>
      </c>
      <c r="H614" s="15" t="inlineStr">
        <is>
          <t>BP-C0136</t>
        </is>
      </c>
      <c r="I614" s="15" t="inlineStr">
        <is>
          <t>Mr Isibor Godwin</t>
        </is>
      </c>
      <c r="J614" s="17" t="n">
        <v>450000</v>
      </c>
      <c r="K614" s="15" t="n"/>
      <c r="L614" s="15" t="inlineStr">
        <is>
          <t>Secondary: commission records; no monthly turnover register for this period</t>
        </is>
      </c>
      <c r="M614" s="15" t="inlineStr">
        <is>
          <t>BAAY PROJECTS SALES EXPENSES (COMMISSION) RECORDS (1)</t>
        </is>
      </c>
      <c r="N614" s="15" t="inlineStr">
        <is>
          <t>MS TOBI AJAYI</t>
        </is>
      </c>
      <c r="O614" s="15" t="n">
        <v>58</v>
      </c>
      <c r="P614" s="15" t="inlineStr">
        <is>
          <t>26/02/2025</t>
        </is>
      </c>
      <c r="Q614" s="15" t="n"/>
      <c r="R614" s="15" t="inlineStr">
        <is>
          <t>Commission-record amount: confirm to bank statement (records can aggregate several transfers)</t>
        </is>
      </c>
    </row>
    <row r="615">
      <c r="A615" s="15" t="inlineStr">
        <is>
          <t>SL0611</t>
        </is>
      </c>
      <c r="B615" s="16" t="n">
        <v>45714</v>
      </c>
      <c r="C615" s="15" t="inlineStr">
        <is>
          <t>2025-02</t>
        </is>
      </c>
      <c r="D615" s="15" t="n">
        <v>2025</v>
      </c>
      <c r="E615" s="15" t="inlineStr">
        <is>
          <t>Land</t>
        </is>
      </c>
      <c r="F615" s="15" t="inlineStr">
        <is>
          <t>Plot / unit price</t>
        </is>
      </c>
      <c r="G615" s="15" t="inlineStr">
        <is>
          <t>Land (estate not stated in source)</t>
        </is>
      </c>
      <c r="H615" s="15" t="inlineStr">
        <is>
          <t>BP-C0175</t>
        </is>
      </c>
      <c r="I615" s="15" t="inlineStr">
        <is>
          <t>Mr Marizu Precious Chisom</t>
        </is>
      </c>
      <c r="J615" s="17" t="n">
        <v>3800000</v>
      </c>
      <c r="K615" s="15" t="n"/>
      <c r="L615" s="15" t="inlineStr">
        <is>
          <t>Secondary: commission records; no monthly turnover register for this period</t>
        </is>
      </c>
      <c r="M615" s="15" t="inlineStr">
        <is>
          <t>BAAY PROJECTS SALES EXPENSES (COMMISSION) RECORDS (1)</t>
        </is>
      </c>
      <c r="N615" s="15" t="inlineStr">
        <is>
          <t>MR DANIEL</t>
        </is>
      </c>
      <c r="O615" s="15" t="n">
        <v>14</v>
      </c>
      <c r="P615" s="15" t="inlineStr">
        <is>
          <t>26/02/2025</t>
        </is>
      </c>
      <c r="Q615" s="15" t="n"/>
      <c r="R615" s="15" t="inlineStr">
        <is>
          <t>Commission-record amount: confirm to bank statement (records can aggregate several transfers)</t>
        </is>
      </c>
    </row>
    <row r="616">
      <c r="A616" s="15" t="inlineStr">
        <is>
          <t>SL0612</t>
        </is>
      </c>
      <c r="B616" s="16" t="n">
        <v>45714</v>
      </c>
      <c r="C616" s="15" t="inlineStr">
        <is>
          <t>2025-02</t>
        </is>
      </c>
      <c r="D616" s="15" t="n">
        <v>2025</v>
      </c>
      <c r="E616" s="15" t="inlineStr">
        <is>
          <t>Land</t>
        </is>
      </c>
      <c r="F616" s="15" t="inlineStr">
        <is>
          <t>Plot / unit price</t>
        </is>
      </c>
      <c r="G616" s="15" t="inlineStr">
        <is>
          <t>Land (estate not stated in source)</t>
        </is>
      </c>
      <c r="H616" s="15" t="inlineStr">
        <is>
          <t>BP-C0176</t>
        </is>
      </c>
      <c r="I616" s="15" t="inlineStr">
        <is>
          <t>Mrs Marizu Geraldine Ijeoma</t>
        </is>
      </c>
      <c r="J616" s="17" t="n">
        <v>3800000</v>
      </c>
      <c r="K616" s="15" t="n"/>
      <c r="L616" s="15" t="inlineStr">
        <is>
          <t>Secondary: commission records; no monthly turnover register for this period</t>
        </is>
      </c>
      <c r="M616" s="15" t="inlineStr">
        <is>
          <t>BAAY PROJECTS SALES EXPENSES (COMMISSION) RECORDS (1)</t>
        </is>
      </c>
      <c r="N616" s="15" t="inlineStr">
        <is>
          <t>MR DANIEL</t>
        </is>
      </c>
      <c r="O616" s="15" t="n">
        <v>15</v>
      </c>
      <c r="P616" s="15" t="inlineStr">
        <is>
          <t>26/02/2025</t>
        </is>
      </c>
      <c r="Q616" s="15" t="n"/>
      <c r="R616" s="15" t="inlineStr">
        <is>
          <t>Commission-record amount: confirm to bank statement (records can aggregate several transfers)</t>
        </is>
      </c>
    </row>
    <row r="617">
      <c r="A617" s="15" t="inlineStr">
        <is>
          <t>SL0613</t>
        </is>
      </c>
      <c r="B617" s="16" t="n">
        <v>45716</v>
      </c>
      <c r="C617" s="15" t="inlineStr">
        <is>
          <t>2025-02</t>
        </is>
      </c>
      <c r="D617" s="15" t="n">
        <v>2025</v>
      </c>
      <c r="E617" s="15" t="inlineStr">
        <is>
          <t>Land</t>
        </is>
      </c>
      <c r="F617" s="15" t="inlineStr">
        <is>
          <t>Plot / unit price</t>
        </is>
      </c>
      <c r="G617" s="15" t="inlineStr">
        <is>
          <t>Land (estate not stated in source)</t>
        </is>
      </c>
      <c r="H617" s="15" t="inlineStr">
        <is>
          <t>BP-C0153</t>
        </is>
      </c>
      <c r="I617" s="15" t="inlineStr">
        <is>
          <t>Miss Ademakinwa Abosede Wuraola</t>
        </is>
      </c>
      <c r="J617" s="17" t="n">
        <v>800000</v>
      </c>
      <c r="K617" s="15" t="n"/>
      <c r="L617" s="15" t="inlineStr">
        <is>
          <t>Secondary: commission records; no monthly turnover register for this period</t>
        </is>
      </c>
      <c r="M617" s="15" t="inlineStr">
        <is>
          <t>BAAY PROJECTS SALES EXPENSES (COMMISSION) RECORDS (1)</t>
        </is>
      </c>
      <c r="N617" s="15" t="inlineStr">
        <is>
          <t>MS TAIWO</t>
        </is>
      </c>
      <c r="O617" s="15" t="n">
        <v>86</v>
      </c>
      <c r="P617" s="15" t="inlineStr">
        <is>
          <t>28/02/2025</t>
        </is>
      </c>
      <c r="Q617" s="15" t="n"/>
      <c r="R617" s="15" t="inlineStr">
        <is>
          <t>Commission-record amount: confirm to bank statement (records can aggregate several transfers)</t>
        </is>
      </c>
    </row>
    <row r="618">
      <c r="A618" s="15" t="inlineStr">
        <is>
          <t>SL0614</t>
        </is>
      </c>
      <c r="B618" s="16" t="n">
        <v>45716</v>
      </c>
      <c r="C618" s="15" t="inlineStr">
        <is>
          <t>2025-02</t>
        </is>
      </c>
      <c r="D618" s="15" t="n">
        <v>2025</v>
      </c>
      <c r="E618" s="15" t="inlineStr">
        <is>
          <t>Land</t>
        </is>
      </c>
      <c r="F618" s="15" t="inlineStr">
        <is>
          <t>Plot / unit price</t>
        </is>
      </c>
      <c r="G618" s="15" t="inlineStr">
        <is>
          <t>Land (estate not stated in source)</t>
        </is>
      </c>
      <c r="H618" s="15" t="inlineStr">
        <is>
          <t>BP-C0154</t>
        </is>
      </c>
      <c r="I618" s="15" t="inlineStr">
        <is>
          <t>Mr Adepoju Adewale Emmanuel</t>
        </is>
      </c>
      <c r="J618" s="17" t="n">
        <v>1600000</v>
      </c>
      <c r="K618" s="15" t="n"/>
      <c r="L618" s="15" t="inlineStr">
        <is>
          <t>Secondary: commission records; no monthly turnover register for this period</t>
        </is>
      </c>
      <c r="M618" s="15" t="inlineStr">
        <is>
          <t>BAAY PROJECTS SALES EXPENSES (COMMISSION) RECORDS (1)</t>
        </is>
      </c>
      <c r="N618" s="15" t="inlineStr">
        <is>
          <t>MS TAIWO</t>
        </is>
      </c>
      <c r="O618" s="15" t="n">
        <v>83</v>
      </c>
      <c r="P618" s="15" t="inlineStr">
        <is>
          <t>28/02/2025</t>
        </is>
      </c>
      <c r="Q618" s="15" t="n"/>
      <c r="R618" s="15" t="inlineStr">
        <is>
          <t>Commission-record amount: confirm to bank statement (records can aggregate several transfers)</t>
        </is>
      </c>
    </row>
    <row r="619">
      <c r="A619" s="15" t="inlineStr">
        <is>
          <t>SL0615</t>
        </is>
      </c>
      <c r="B619" s="16" t="n">
        <v>45716</v>
      </c>
      <c r="C619" s="15" t="inlineStr">
        <is>
          <t>2025-02</t>
        </is>
      </c>
      <c r="D619" s="15" t="n">
        <v>2025</v>
      </c>
      <c r="E619" s="15" t="inlineStr">
        <is>
          <t>Land</t>
        </is>
      </c>
      <c r="F619" s="15" t="inlineStr">
        <is>
          <t>Plot / unit price</t>
        </is>
      </c>
      <c r="G619" s="15" t="inlineStr">
        <is>
          <t>Land (estate not stated in source)</t>
        </is>
      </c>
      <c r="H619" s="15" t="inlineStr">
        <is>
          <t>BP-C0155</t>
        </is>
      </c>
      <c r="I619" s="15" t="inlineStr">
        <is>
          <t>Mr Adeyanju Adebayo Samson</t>
        </is>
      </c>
      <c r="J619" s="17" t="n">
        <v>800000</v>
      </c>
      <c r="K619" s="15" t="n"/>
      <c r="L619" s="15" t="inlineStr">
        <is>
          <t>Secondary: commission records; no monthly turnover register for this period</t>
        </is>
      </c>
      <c r="M619" s="15" t="inlineStr">
        <is>
          <t>BAAY PROJECTS SALES EXPENSES (COMMISSION) RECORDS (1)</t>
        </is>
      </c>
      <c r="N619" s="15" t="inlineStr">
        <is>
          <t>MS TAIWO</t>
        </is>
      </c>
      <c r="O619" s="15" t="n">
        <v>85</v>
      </c>
      <c r="P619" s="15" t="inlineStr">
        <is>
          <t>28/02/2025</t>
        </is>
      </c>
      <c r="Q619" s="15" t="n"/>
      <c r="R619" s="15" t="inlineStr">
        <is>
          <t>Commission-record amount: confirm to bank statement (records can aggregate several transfers)</t>
        </is>
      </c>
    </row>
    <row r="620">
      <c r="A620" s="15" t="inlineStr">
        <is>
          <t>SL0616</t>
        </is>
      </c>
      <c r="B620" s="16" t="n">
        <v>45716</v>
      </c>
      <c r="C620" s="15" t="inlineStr">
        <is>
          <t>2025-02</t>
        </is>
      </c>
      <c r="D620" s="15" t="n">
        <v>2025</v>
      </c>
      <c r="E620" s="15" t="inlineStr">
        <is>
          <t>Land</t>
        </is>
      </c>
      <c r="F620" s="15" t="inlineStr">
        <is>
          <t>Plot / unit price</t>
        </is>
      </c>
      <c r="G620" s="15" t="inlineStr">
        <is>
          <t>Land (estate not stated in source)</t>
        </is>
      </c>
      <c r="H620" s="15" t="inlineStr">
        <is>
          <t>BP-C0150</t>
        </is>
      </c>
      <c r="I620" s="15" t="inlineStr">
        <is>
          <t>Mr Ajiboso Damilare Moses &amp; Mrs Ajiboso Gbemisola Rachael</t>
        </is>
      </c>
      <c r="J620" s="17" t="n">
        <v>1670000</v>
      </c>
      <c r="K620" s="15" t="n"/>
      <c r="L620" s="15" t="inlineStr">
        <is>
          <t>Secondary: commission records; no monthly turnover register for this period</t>
        </is>
      </c>
      <c r="M620" s="15" t="inlineStr">
        <is>
          <t>BAAY PROJECTS SALES EXPENSES (COMMISSION) RECORDS (1)</t>
        </is>
      </c>
      <c r="N620" s="15" t="inlineStr">
        <is>
          <t>MS ADENIKE</t>
        </is>
      </c>
      <c r="O620" s="15" t="n">
        <v>34</v>
      </c>
      <c r="P620" s="15" t="inlineStr">
        <is>
          <t>28/02/2025</t>
        </is>
      </c>
      <c r="Q620" s="15" t="n"/>
      <c r="R620" s="15" t="inlineStr">
        <is>
          <t>Commission-record amount: confirm to bank statement (records can aggregate several transfers)</t>
        </is>
      </c>
    </row>
    <row r="621">
      <c r="A621" s="15" t="inlineStr">
        <is>
          <t>SL0617</t>
        </is>
      </c>
      <c r="B621" s="16" t="n">
        <v>45716</v>
      </c>
      <c r="C621" s="15" t="inlineStr">
        <is>
          <t>2025-02</t>
        </is>
      </c>
      <c r="D621" s="15" t="n">
        <v>2025</v>
      </c>
      <c r="E621" s="15" t="inlineStr">
        <is>
          <t>Land</t>
        </is>
      </c>
      <c r="F621" s="15" t="inlineStr">
        <is>
          <t>Plot / unit price</t>
        </is>
      </c>
      <c r="G621" s="15" t="inlineStr">
        <is>
          <t>Land (estate not stated in source)</t>
        </is>
      </c>
      <c r="H621" s="15" t="inlineStr">
        <is>
          <t>BP-C0158</t>
        </is>
      </c>
      <c r="I621" s="15" t="inlineStr">
        <is>
          <t>Mr Shino Vincent Precious</t>
        </is>
      </c>
      <c r="J621" s="17" t="n">
        <v>396000</v>
      </c>
      <c r="K621" s="15" t="n"/>
      <c r="L621" s="15" t="inlineStr">
        <is>
          <t>Secondary: commission records; no monthly turnover register for this period</t>
        </is>
      </c>
      <c r="M621" s="15" t="inlineStr">
        <is>
          <t>BAAY PROJECTS SALES EXPENSES (COMMISSION) RECORDS (1)</t>
        </is>
      </c>
      <c r="N621" s="15" t="inlineStr">
        <is>
          <t>MR DANIEL</t>
        </is>
      </c>
      <c r="O621" s="15" t="n">
        <v>16</v>
      </c>
      <c r="P621" s="15" t="inlineStr">
        <is>
          <t>28/02/2025</t>
        </is>
      </c>
      <c r="Q621" s="15" t="n"/>
      <c r="R621" s="15" t="inlineStr">
        <is>
          <t>Commission-record amount: confirm to bank statement (records can aggregate several transfers)</t>
        </is>
      </c>
    </row>
    <row r="622">
      <c r="A622" s="15" t="inlineStr">
        <is>
          <t>SL0618</t>
        </is>
      </c>
      <c r="B622" s="16" t="n">
        <v>45716</v>
      </c>
      <c r="C622" s="15" t="inlineStr">
        <is>
          <t>2025-02</t>
        </is>
      </c>
      <c r="D622" s="15" t="n">
        <v>2025</v>
      </c>
      <c r="E622" s="15" t="inlineStr">
        <is>
          <t>Land</t>
        </is>
      </c>
      <c r="F622" s="15" t="inlineStr">
        <is>
          <t>Plot / unit price</t>
        </is>
      </c>
      <c r="G622" s="15" t="inlineStr">
        <is>
          <t>Land (estate not stated in source)</t>
        </is>
      </c>
      <c r="H622" s="15" t="inlineStr">
        <is>
          <t>BP-C0158</t>
        </is>
      </c>
      <c r="I622" s="15" t="inlineStr">
        <is>
          <t>Mr Shino Vincent Precious</t>
        </is>
      </c>
      <c r="J622" s="17" t="n">
        <v>104000</v>
      </c>
      <c r="K622" s="15" t="n"/>
      <c r="L622" s="15" t="inlineStr">
        <is>
          <t>Secondary: commission records; no monthly turnover register for this period</t>
        </is>
      </c>
      <c r="M622" s="15" t="inlineStr">
        <is>
          <t>BAAY PROJECTS SALES EXPENSES (COMMISSION) RECORDS (1)</t>
        </is>
      </c>
      <c r="N622" s="15" t="inlineStr">
        <is>
          <t>MR DANIEL</t>
        </is>
      </c>
      <c r="O622" s="15" t="n">
        <v>17</v>
      </c>
      <c r="P622" s="15" t="inlineStr">
        <is>
          <t>28/02/2025</t>
        </is>
      </c>
      <c r="Q622" s="15" t="n"/>
      <c r="R622" s="15" t="inlineStr">
        <is>
          <t>Commission-record amount: confirm to bank statement (records can aggregate several transfers)</t>
        </is>
      </c>
    </row>
    <row r="623">
      <c r="A623" s="15" t="inlineStr">
        <is>
          <t>SL0619</t>
        </is>
      </c>
      <c r="B623" s="16" t="n">
        <v>45716</v>
      </c>
      <c r="C623" s="15" t="inlineStr">
        <is>
          <t>2025-02</t>
        </is>
      </c>
      <c r="D623" s="15" t="n">
        <v>2025</v>
      </c>
      <c r="E623" s="15" t="inlineStr">
        <is>
          <t>Land</t>
        </is>
      </c>
      <c r="F623" s="15" t="inlineStr">
        <is>
          <t>Plot / unit price</t>
        </is>
      </c>
      <c r="G623" s="15" t="inlineStr">
        <is>
          <t>Land (estate not stated in source)</t>
        </is>
      </c>
      <c r="H623" s="15" t="inlineStr">
        <is>
          <t>BP-C0167</t>
        </is>
      </c>
      <c r="I623" s="15" t="inlineStr">
        <is>
          <t>Mr Uneze Grant Chetana</t>
        </is>
      </c>
      <c r="J623" s="17" t="n">
        <v>1000000</v>
      </c>
      <c r="K623" s="15" t="n"/>
      <c r="L623" s="15" t="inlineStr">
        <is>
          <t>Secondary: commission records; no monthly turnover register for this period</t>
        </is>
      </c>
      <c r="M623" s="15" t="inlineStr">
        <is>
          <t>BAAY PROJECTS SALES EXPENSES (COMMISSION) RECORDS (1)</t>
        </is>
      </c>
      <c r="N623" s="15" t="inlineStr">
        <is>
          <t>MS SAMUELLA</t>
        </is>
      </c>
      <c r="O623" s="15" t="n">
        <v>19</v>
      </c>
      <c r="P623" s="15" t="inlineStr">
        <is>
          <t>28/02/2025</t>
        </is>
      </c>
      <c r="Q623" s="15" t="n"/>
      <c r="R623" s="15" t="inlineStr">
        <is>
          <t>Commission-record amount: confirm to bank statement (records can aggregate several transfers)</t>
        </is>
      </c>
    </row>
    <row r="624">
      <c r="A624" s="15" t="inlineStr">
        <is>
          <t>SL0620</t>
        </is>
      </c>
      <c r="B624" s="16" t="n">
        <v>45716</v>
      </c>
      <c r="C624" s="15" t="inlineStr">
        <is>
          <t>2025-02</t>
        </is>
      </c>
      <c r="D624" s="15" t="n">
        <v>2025</v>
      </c>
      <c r="E624" s="15" t="inlineStr">
        <is>
          <t>Land</t>
        </is>
      </c>
      <c r="F624" s="15" t="inlineStr">
        <is>
          <t>Plot / unit price</t>
        </is>
      </c>
      <c r="G624" s="15" t="inlineStr">
        <is>
          <t>Land (estate not stated in source)</t>
        </is>
      </c>
      <c r="H624" s="15" t="inlineStr">
        <is>
          <t>BP-C0157</t>
        </is>
      </c>
      <c r="I624" s="15" t="inlineStr">
        <is>
          <t>Mrs Adepoju Adebola Adeniran</t>
        </is>
      </c>
      <c r="J624" s="17" t="n">
        <v>1600000</v>
      </c>
      <c r="K624" s="15" t="n"/>
      <c r="L624" s="15" t="inlineStr">
        <is>
          <t>Secondary: commission records; no monthly turnover register for this period</t>
        </is>
      </c>
      <c r="M624" s="15" t="inlineStr">
        <is>
          <t>BAAY PROJECTS SALES EXPENSES (COMMISSION) RECORDS (1)</t>
        </is>
      </c>
      <c r="N624" s="15" t="inlineStr">
        <is>
          <t>MS TAIWO</t>
        </is>
      </c>
      <c r="O624" s="15" t="n">
        <v>84</v>
      </c>
      <c r="P624" s="15" t="inlineStr">
        <is>
          <t>28/02/2025</t>
        </is>
      </c>
      <c r="Q624" s="15" t="n"/>
      <c r="R624" s="15" t="inlineStr">
        <is>
          <t>Commission-record amount: confirm to bank statement (records can aggregate several transfers)</t>
        </is>
      </c>
    </row>
    <row r="625">
      <c r="A625" s="15" t="inlineStr">
        <is>
          <t>SL0621</t>
        </is>
      </c>
      <c r="B625" s="16" t="n">
        <v>45717</v>
      </c>
      <c r="C625" s="15" t="inlineStr">
        <is>
          <t>2025-03</t>
        </is>
      </c>
      <c r="D625" s="15" t="n">
        <v>2025</v>
      </c>
      <c r="E625" s="15" t="inlineStr">
        <is>
          <t>Land</t>
        </is>
      </c>
      <c r="F625" s="15" t="inlineStr">
        <is>
          <t>Plot / unit price</t>
        </is>
      </c>
      <c r="G625" s="15" t="inlineStr">
        <is>
          <t>Land (estate not stated in source)</t>
        </is>
      </c>
      <c r="H625" s="15" t="inlineStr">
        <is>
          <t>BP-C0146</t>
        </is>
      </c>
      <c r="I625" s="15" t="inlineStr">
        <is>
          <t>Miss Tijani Tawa Motunrayo</t>
        </is>
      </c>
      <c r="J625" s="17" t="n">
        <v>520000</v>
      </c>
      <c r="K625" s="15" t="n"/>
      <c r="L625" s="15" t="inlineStr">
        <is>
          <t>Secondary: commission records; no monthly turnover register for this period</t>
        </is>
      </c>
      <c r="M625" s="15" t="inlineStr">
        <is>
          <t>BAAY PROJECTS SALES EXPENSES (COMMISSION) RECORDS (1)</t>
        </is>
      </c>
      <c r="N625" s="15" t="inlineStr">
        <is>
          <t>MS AWONORIN MAYOWA</t>
        </is>
      </c>
      <c r="O625" s="15" t="n">
        <v>45</v>
      </c>
      <c r="P625" s="15" t="inlineStr">
        <is>
          <t>2025-01-03</t>
        </is>
      </c>
      <c r="Q625" s="15" t="n"/>
      <c r="R625" s="15" t="inlineStr">
        <is>
          <t>Commission-record amount: confirm to bank statement (records can aggregate several transfers)</t>
        </is>
      </c>
    </row>
    <row r="626">
      <c r="A626" s="15" t="inlineStr">
        <is>
          <t>SL0622</t>
        </is>
      </c>
      <c r="B626" s="16" t="n">
        <v>45718</v>
      </c>
      <c r="C626" s="15" t="inlineStr">
        <is>
          <t>2025-03</t>
        </is>
      </c>
      <c r="D626" s="15" t="n">
        <v>2025</v>
      </c>
      <c r="E626" s="15" t="inlineStr">
        <is>
          <t>Housing</t>
        </is>
      </c>
      <c r="F626" s="15" t="inlineStr">
        <is>
          <t>Plot / unit price</t>
        </is>
      </c>
      <c r="G626" s="15" t="inlineStr">
        <is>
          <t>Baay Foreshore</t>
        </is>
      </c>
      <c r="H626" s="15" t="inlineStr">
        <is>
          <t>BP-C0177</t>
        </is>
      </c>
      <c r="I626" s="15" t="inlineStr">
        <is>
          <t>Mrs. Osobu Olufunke</t>
        </is>
      </c>
      <c r="J626" s="17" t="n">
        <v>5000000</v>
      </c>
      <c r="K626" s="15" t="n"/>
      <c r="L626" s="15" t="inlineStr">
        <is>
          <t>Secondary: commission records; no monthly turnover register for this period</t>
        </is>
      </c>
      <c r="M626" s="15" t="inlineStr">
        <is>
          <t>BAAY PROJECTS SALES EXPENSES (COMMISSION) RECORDS (1)</t>
        </is>
      </c>
      <c r="N626" s="15" t="inlineStr">
        <is>
          <t>ENGR. TOBI AJIBOLA</t>
        </is>
      </c>
      <c r="O626" s="15" t="n">
        <v>2</v>
      </c>
      <c r="P626" s="15" t="inlineStr">
        <is>
          <t>2025-02-03</t>
        </is>
      </c>
      <c r="Q626" s="15" t="n"/>
      <c r="R626" s="15" t="inlineStr">
        <is>
          <t>Commission-record amount: confirm to bank statement (records can aggregate several transfers)</t>
        </is>
      </c>
    </row>
    <row r="627">
      <c r="A627" s="15" t="inlineStr">
        <is>
          <t>SL0623</t>
        </is>
      </c>
      <c r="B627" s="16" t="n">
        <v>45719</v>
      </c>
      <c r="C627" s="15" t="inlineStr">
        <is>
          <t>2025-03</t>
        </is>
      </c>
      <c r="D627" s="15" t="n">
        <v>2025</v>
      </c>
      <c r="E627" s="15" t="inlineStr">
        <is>
          <t>Land</t>
        </is>
      </c>
      <c r="F627" s="15" t="inlineStr">
        <is>
          <t>Plot / unit price</t>
        </is>
      </c>
      <c r="G627" s="15" t="inlineStr">
        <is>
          <t>Land (estate not stated in source)</t>
        </is>
      </c>
      <c r="H627" s="15" t="inlineStr">
        <is>
          <t>BP-C0168</t>
        </is>
      </c>
      <c r="I627" s="15" t="inlineStr">
        <is>
          <t>Mrs Adenuga Damilola Grace</t>
        </is>
      </c>
      <c r="J627" s="17" t="n">
        <v>350000</v>
      </c>
      <c r="K627" s="15" t="n"/>
      <c r="L627" s="15" t="inlineStr">
        <is>
          <t>Secondary: commission records; no monthly turnover register for this period</t>
        </is>
      </c>
      <c r="M627" s="15" t="inlineStr">
        <is>
          <t>BAAY PROJECTS SALES EXPENSES (COMMISSION) RECORDS (1)</t>
        </is>
      </c>
      <c r="N627" s="15" t="inlineStr">
        <is>
          <t>MS ADENIKE</t>
        </is>
      </c>
      <c r="O627" s="15" t="n">
        <v>41</v>
      </c>
      <c r="P627" s="15" t="inlineStr">
        <is>
          <t>2025-03-03</t>
        </is>
      </c>
      <c r="Q627" s="15" t="n"/>
      <c r="R627" s="15" t="inlineStr">
        <is>
          <t>Commission-record amount: confirm to bank statement (records can aggregate several transfers)</t>
        </is>
      </c>
    </row>
    <row r="628">
      <c r="A628" s="15" t="inlineStr">
        <is>
          <t>SL0624</t>
        </is>
      </c>
      <c r="B628" s="16" t="n">
        <v>45719</v>
      </c>
      <c r="C628" s="15" t="inlineStr">
        <is>
          <t>2025-03</t>
        </is>
      </c>
      <c r="D628" s="15" t="n">
        <v>2025</v>
      </c>
      <c r="E628" s="15" t="inlineStr">
        <is>
          <t>Land</t>
        </is>
      </c>
      <c r="F628" s="15" t="inlineStr">
        <is>
          <t>Plot / unit price</t>
        </is>
      </c>
      <c r="G628" s="15" t="inlineStr">
        <is>
          <t>Land (estate not stated in source)</t>
        </is>
      </c>
      <c r="H628" s="15" t="inlineStr">
        <is>
          <t>BP-C0178</t>
        </is>
      </c>
      <c r="I628" s="15" t="inlineStr">
        <is>
          <t>Mrs Ajiri-Odeh Chioma</t>
        </is>
      </c>
      <c r="J628" s="17" t="n">
        <v>200000</v>
      </c>
      <c r="K628" s="15" t="n"/>
      <c r="L628" s="15" t="inlineStr">
        <is>
          <t>Secondary: commission records; no monthly turnover register for this period</t>
        </is>
      </c>
      <c r="M628" s="15" t="inlineStr">
        <is>
          <t>BAAY PROJECTS SALES EXPENSES (COMMISSION) RECORDS (1)</t>
        </is>
      </c>
      <c r="N628" s="15" t="inlineStr">
        <is>
          <t>MS JENNIFER</t>
        </is>
      </c>
      <c r="O628" s="15" t="n">
        <v>3</v>
      </c>
      <c r="P628" s="15" t="inlineStr">
        <is>
          <t>2025-03-03</t>
        </is>
      </c>
      <c r="Q628" s="15" t="n"/>
      <c r="R628" s="15" t="inlineStr">
        <is>
          <t>Commission-record amount: confirm to bank statement (records can aggregate several transfers)</t>
        </is>
      </c>
    </row>
    <row r="629">
      <c r="A629" s="15" t="inlineStr">
        <is>
          <t>SL0625</t>
        </is>
      </c>
      <c r="B629" s="16" t="n">
        <v>45719</v>
      </c>
      <c r="C629" s="15" t="inlineStr">
        <is>
          <t>2025-03</t>
        </is>
      </c>
      <c r="D629" s="15" t="n">
        <v>2025</v>
      </c>
      <c r="E629" s="15" t="inlineStr">
        <is>
          <t>Housing</t>
        </is>
      </c>
      <c r="F629" s="15" t="inlineStr">
        <is>
          <t>Plot / unit price</t>
        </is>
      </c>
      <c r="G629" s="15" t="inlineStr">
        <is>
          <t>Baay Foreshore</t>
        </is>
      </c>
      <c r="H629" s="15" t="inlineStr">
        <is>
          <t>BP-C0177</t>
        </is>
      </c>
      <c r="I629" s="15" t="inlineStr">
        <is>
          <t>Mrs. Osobu Olufunke</t>
        </is>
      </c>
      <c r="J629" s="17" t="n">
        <v>5000000</v>
      </c>
      <c r="K629" s="15" t="n"/>
      <c r="L629" s="15" t="inlineStr">
        <is>
          <t>Secondary: commission records; no monthly turnover register for this period</t>
        </is>
      </c>
      <c r="M629" s="15" t="inlineStr">
        <is>
          <t>BAAY PROJECTS SALES EXPENSES (COMMISSION) RECORDS (1)</t>
        </is>
      </c>
      <c r="N629" s="15" t="inlineStr">
        <is>
          <t>ENGR. TOBI AJIBOLA</t>
        </is>
      </c>
      <c r="O629" s="15" t="n">
        <v>3</v>
      </c>
      <c r="P629" s="15" t="inlineStr">
        <is>
          <t>2025-03-03</t>
        </is>
      </c>
      <c r="Q629" s="15" t="n"/>
      <c r="R629" s="15" t="inlineStr">
        <is>
          <t>Commission-record amount: confirm to bank statement (records can aggregate several transfers)</t>
        </is>
      </c>
    </row>
    <row r="630">
      <c r="A630" s="15" t="inlineStr">
        <is>
          <t>SL0626</t>
        </is>
      </c>
      <c r="B630" s="16" t="n">
        <v>45720</v>
      </c>
      <c r="C630" s="15" t="inlineStr">
        <is>
          <t>2025-03</t>
        </is>
      </c>
      <c r="D630" s="15" t="n">
        <v>2025</v>
      </c>
      <c r="E630" s="15" t="inlineStr">
        <is>
          <t>Housing</t>
        </is>
      </c>
      <c r="F630" s="15" t="inlineStr">
        <is>
          <t>Plot / unit price</t>
        </is>
      </c>
      <c r="G630" s="15" t="inlineStr">
        <is>
          <t>Pacific Apartment</t>
        </is>
      </c>
      <c r="H630" s="15" t="inlineStr">
        <is>
          <t>BP-C0140</t>
        </is>
      </c>
      <c r="I630" s="15" t="inlineStr">
        <is>
          <t>Mr Balogun Akeem Tokunbo</t>
        </is>
      </c>
      <c r="J630" s="17" t="n">
        <v>5000000</v>
      </c>
      <c r="K630" s="15" t="n"/>
      <c r="L630" s="15" t="inlineStr">
        <is>
          <t>Secondary: commission records; no monthly turnover register for this period</t>
        </is>
      </c>
      <c r="M630" s="15" t="inlineStr">
        <is>
          <t>BAAY PROJECTS SALES EXPENSES (COMMISSION) RECORDS (1)</t>
        </is>
      </c>
      <c r="N630" s="15" t="inlineStr">
        <is>
          <t>MAMA ADEBIMPE</t>
        </is>
      </c>
      <c r="O630" s="15" t="n">
        <v>121</v>
      </c>
      <c r="P630" s="15" t="inlineStr">
        <is>
          <t>2025-04-03</t>
        </is>
      </c>
      <c r="Q630" s="15" t="n"/>
      <c r="R630" s="15" t="inlineStr">
        <is>
          <t>Commission-record amount: confirm to bank statement (records can aggregate several transfers)</t>
        </is>
      </c>
    </row>
    <row r="631">
      <c r="A631" s="15" t="inlineStr">
        <is>
          <t>SL0627</t>
        </is>
      </c>
      <c r="B631" s="16" t="n">
        <v>45720</v>
      </c>
      <c r="C631" s="15" t="inlineStr">
        <is>
          <t>2025-03</t>
        </is>
      </c>
      <c r="D631" s="15" t="n">
        <v>2025</v>
      </c>
      <c r="E631" s="15" t="inlineStr">
        <is>
          <t>Housing</t>
        </is>
      </c>
      <c r="F631" s="15" t="inlineStr">
        <is>
          <t>Plot / unit price</t>
        </is>
      </c>
      <c r="G631" s="15" t="inlineStr">
        <is>
          <t>Baay Foreshore</t>
        </is>
      </c>
      <c r="H631" s="15" t="inlineStr">
        <is>
          <t>BP-C0177</t>
        </is>
      </c>
      <c r="I631" s="15" t="inlineStr">
        <is>
          <t>Mrs. Osobu Olufunke</t>
        </is>
      </c>
      <c r="J631" s="17" t="n">
        <v>10000000</v>
      </c>
      <c r="K631" s="15" t="n"/>
      <c r="L631" s="15" t="inlineStr">
        <is>
          <t>Secondary: commission records; no monthly turnover register for this period</t>
        </is>
      </c>
      <c r="M631" s="15" t="inlineStr">
        <is>
          <t>BAAY PROJECTS SALES EXPENSES (COMMISSION) RECORDS (1)</t>
        </is>
      </c>
      <c r="N631" s="15" t="inlineStr">
        <is>
          <t>ENGR. TOBI AJIBOLA</t>
        </is>
      </c>
      <c r="O631" s="15" t="n">
        <v>4</v>
      </c>
      <c r="P631" s="15" t="inlineStr">
        <is>
          <t>2025-04-03</t>
        </is>
      </c>
      <c r="Q631" s="15" t="n"/>
      <c r="R631" s="15" t="inlineStr">
        <is>
          <t>Commission-record amount: confirm to bank statement (records can aggregate several transfers)</t>
        </is>
      </c>
    </row>
    <row r="632">
      <c r="A632" s="15" t="inlineStr">
        <is>
          <t>SL0628</t>
        </is>
      </c>
      <c r="B632" s="16" t="n">
        <v>45721</v>
      </c>
      <c r="C632" s="15" t="inlineStr">
        <is>
          <t>2025-03</t>
        </is>
      </c>
      <c r="D632" s="15" t="n">
        <v>2025</v>
      </c>
      <c r="E632" s="15" t="inlineStr">
        <is>
          <t>Land</t>
        </is>
      </c>
      <c r="F632" s="15" t="inlineStr">
        <is>
          <t>Plot / unit price</t>
        </is>
      </c>
      <c r="G632" s="15" t="inlineStr">
        <is>
          <t>Land (estate not stated in source)</t>
        </is>
      </c>
      <c r="H632" s="15" t="inlineStr">
        <is>
          <t>BP-C0148</t>
        </is>
      </c>
      <c r="I632" s="15" t="inlineStr">
        <is>
          <t>Mr Akinsete Michael</t>
        </is>
      </c>
      <c r="J632" s="17" t="n">
        <v>300000</v>
      </c>
      <c r="K632" s="15" t="n"/>
      <c r="L632" s="15" t="inlineStr">
        <is>
          <t>Secondary: commission records; no monthly turnover register for this period</t>
        </is>
      </c>
      <c r="M632" s="15" t="inlineStr">
        <is>
          <t>BAAY PROJECTS SALES EXPENSES (COMMISSION) RECORDS (1)</t>
        </is>
      </c>
      <c r="N632" s="15" t="inlineStr">
        <is>
          <t>MD</t>
        </is>
      </c>
      <c r="O632" s="15" t="n">
        <v>146</v>
      </c>
      <c r="P632" s="15" t="inlineStr">
        <is>
          <t>2025-05-03</t>
        </is>
      </c>
      <c r="Q632" s="15" t="n"/>
      <c r="R632" s="15" t="inlineStr">
        <is>
          <t>Commission-record amount: confirm to bank statement (records can aggregate several transfers)</t>
        </is>
      </c>
    </row>
    <row r="633">
      <c r="A633" s="15" t="inlineStr">
        <is>
          <t>SL0629</t>
        </is>
      </c>
      <c r="B633" s="16" t="n">
        <v>45722</v>
      </c>
      <c r="C633" s="15" t="inlineStr">
        <is>
          <t>2025-03</t>
        </is>
      </c>
      <c r="D633" s="15" t="n">
        <v>2025</v>
      </c>
      <c r="E633" s="15" t="inlineStr">
        <is>
          <t>Housing</t>
        </is>
      </c>
      <c r="F633" s="15" t="inlineStr">
        <is>
          <t>Plot / unit price</t>
        </is>
      </c>
      <c r="G633" s="15" t="inlineStr">
        <is>
          <t>Pacific Apartment</t>
        </is>
      </c>
      <c r="H633" s="15" t="inlineStr">
        <is>
          <t>BP-C0179</t>
        </is>
      </c>
      <c r="I633" s="15" t="inlineStr">
        <is>
          <t>Mr Olajide Afeez</t>
        </is>
      </c>
      <c r="J633" s="17" t="n">
        <v>95000000</v>
      </c>
      <c r="K633" s="15" t="n"/>
      <c r="L633" s="15" t="inlineStr">
        <is>
          <t>Secondary: commission records; no monthly turnover register for this period</t>
        </is>
      </c>
      <c r="M633" s="15" t="inlineStr">
        <is>
          <t>BAAY PROJECTS SALES EXPENSES (COMMISSION) RECORDS (1)</t>
        </is>
      </c>
      <c r="N633" s="15" t="inlineStr">
        <is>
          <t>MD</t>
        </is>
      </c>
      <c r="O633" s="15" t="n">
        <v>147</v>
      </c>
      <c r="P633" s="15" t="inlineStr">
        <is>
          <t>2025-06-03</t>
        </is>
      </c>
      <c r="Q633" s="15" t="n"/>
      <c r="R633" s="15" t="inlineStr">
        <is>
          <t>Commission-record amount: confirm to bank statement (records can aggregate several transfers)</t>
        </is>
      </c>
    </row>
    <row r="634">
      <c r="A634" s="15" t="inlineStr">
        <is>
          <t>SL0630</t>
        </is>
      </c>
      <c r="B634" s="16" t="n">
        <v>45723</v>
      </c>
      <c r="C634" s="15" t="inlineStr">
        <is>
          <t>2025-03</t>
        </is>
      </c>
      <c r="D634" s="15" t="n">
        <v>2025</v>
      </c>
      <c r="E634" s="15" t="inlineStr">
        <is>
          <t>Land</t>
        </is>
      </c>
      <c r="F634" s="15" t="inlineStr">
        <is>
          <t>Plot / unit price</t>
        </is>
      </c>
      <c r="G634" s="15" t="inlineStr">
        <is>
          <t>Land (estate not stated in source)</t>
        </is>
      </c>
      <c r="H634" s="15" t="inlineStr">
        <is>
          <t>BP-C0159</t>
        </is>
      </c>
      <c r="I634" s="15" t="inlineStr">
        <is>
          <t>Miss Etefe Ava Ogheneyorhe</t>
        </is>
      </c>
      <c r="J634" s="17" t="n">
        <v>50000</v>
      </c>
      <c r="K634" s="15" t="n"/>
      <c r="L634" s="15" t="inlineStr">
        <is>
          <t>Secondary: commission records; no monthly turnover register for this period</t>
        </is>
      </c>
      <c r="M634" s="15" t="inlineStr">
        <is>
          <t>BAAY PROJECTS SALES EXPENSES (COMMISSION) RECORDS (1)</t>
        </is>
      </c>
      <c r="N634" s="15" t="inlineStr">
        <is>
          <t>MS ELIZABETH</t>
        </is>
      </c>
      <c r="O634" s="15" t="n">
        <v>77</v>
      </c>
      <c r="P634" s="15" t="inlineStr">
        <is>
          <t>2025-07-03</t>
        </is>
      </c>
      <c r="Q634" s="15" t="n"/>
      <c r="R634" s="15" t="inlineStr">
        <is>
          <t>Commission-record amount: confirm to bank statement (records can aggregate several transfers)</t>
        </is>
      </c>
    </row>
    <row r="635">
      <c r="A635" s="15" t="inlineStr">
        <is>
          <t>SL0631</t>
        </is>
      </c>
      <c r="B635" s="16" t="n">
        <v>45723</v>
      </c>
      <c r="C635" s="15" t="inlineStr">
        <is>
          <t>2025-03</t>
        </is>
      </c>
      <c r="D635" s="15" t="n">
        <v>2025</v>
      </c>
      <c r="E635" s="15" t="inlineStr">
        <is>
          <t>Land</t>
        </is>
      </c>
      <c r="F635" s="15" t="inlineStr">
        <is>
          <t>Plot / unit price</t>
        </is>
      </c>
      <c r="G635" s="15" t="inlineStr">
        <is>
          <t>Land (estate not stated in source)</t>
        </is>
      </c>
      <c r="H635" s="15" t="inlineStr">
        <is>
          <t>BP-C0173</t>
        </is>
      </c>
      <c r="I635" s="15" t="inlineStr">
        <is>
          <t>Miss Julian-Nwadi Hephzibah Chisom</t>
        </is>
      </c>
      <c r="J635" s="17" t="n">
        <v>284000</v>
      </c>
      <c r="K635" s="15" t="n"/>
      <c r="L635" s="15" t="inlineStr">
        <is>
          <t>Secondary: commission records; no monthly turnover register for this period</t>
        </is>
      </c>
      <c r="M635" s="15" t="inlineStr">
        <is>
          <t>BAAY PROJECTS SALES EXPENSES (COMMISSION) RECORDS (1)</t>
        </is>
      </c>
      <c r="N635" s="15" t="inlineStr">
        <is>
          <t>MS ROSEMARY</t>
        </is>
      </c>
      <c r="O635" s="15" t="n">
        <v>10</v>
      </c>
      <c r="P635" s="15" t="inlineStr">
        <is>
          <t>2025-07-03</t>
        </is>
      </c>
      <c r="Q635" s="15" t="n"/>
      <c r="R635" s="15" t="inlineStr">
        <is>
          <t>Commission-record amount: confirm to bank statement (records can aggregate several transfers)</t>
        </is>
      </c>
    </row>
    <row r="636">
      <c r="A636" s="15" t="inlineStr">
        <is>
          <t>SL0632</t>
        </is>
      </c>
      <c r="B636" s="16" t="n">
        <v>45724</v>
      </c>
      <c r="C636" s="15" t="inlineStr">
        <is>
          <t>2025-03</t>
        </is>
      </c>
      <c r="D636" s="15" t="n">
        <v>2025</v>
      </c>
      <c r="E636" s="15" t="inlineStr">
        <is>
          <t>Housing</t>
        </is>
      </c>
      <c r="F636" s="15" t="inlineStr">
        <is>
          <t>Plot / unit price</t>
        </is>
      </c>
      <c r="G636" s="15" t="inlineStr">
        <is>
          <t>Pacific Apartment</t>
        </is>
      </c>
      <c r="H636" s="15" t="inlineStr">
        <is>
          <t>BP-C0143</t>
        </is>
      </c>
      <c r="I636" s="15" t="inlineStr">
        <is>
          <t>Mrs Oyindamola Duntoye Adekunle</t>
        </is>
      </c>
      <c r="J636" s="17" t="n">
        <v>4750000</v>
      </c>
      <c r="K636" s="15" t="n"/>
      <c r="L636" s="15" t="inlineStr">
        <is>
          <t>Secondary: commission records; no monthly turnover register for this period</t>
        </is>
      </c>
      <c r="M636" s="15" t="inlineStr">
        <is>
          <t>BAAY PROJECTS SALES EXPENSES (COMMISSION) RECORDS (1)</t>
        </is>
      </c>
      <c r="N636" s="15" t="inlineStr">
        <is>
          <t>MAMA ADEBIMPE</t>
        </is>
      </c>
      <c r="O636" s="15" t="n">
        <v>127</v>
      </c>
      <c r="P636" s="15" t="inlineStr">
        <is>
          <t>2025-08-03</t>
        </is>
      </c>
      <c r="Q636" s="15" t="n"/>
      <c r="R636" s="15" t="inlineStr">
        <is>
          <t>Commission-record amount: confirm to bank statement (records can aggregate several transfers)</t>
        </is>
      </c>
    </row>
    <row r="637">
      <c r="A637" s="15" t="inlineStr">
        <is>
          <t>SL0633</t>
        </is>
      </c>
      <c r="B637" s="16" t="n">
        <v>45725</v>
      </c>
      <c r="C637" s="15" t="inlineStr">
        <is>
          <t>2025-03</t>
        </is>
      </c>
      <c r="D637" s="15" t="n">
        <v>2025</v>
      </c>
      <c r="E637" s="15" t="inlineStr">
        <is>
          <t>Land</t>
        </is>
      </c>
      <c r="F637" s="15" t="inlineStr">
        <is>
          <t>Plot / unit price</t>
        </is>
      </c>
      <c r="G637" s="15" t="inlineStr">
        <is>
          <t>Land (estate not stated in source)</t>
        </is>
      </c>
      <c r="H637" s="15" t="inlineStr">
        <is>
          <t>BP-C0151</t>
        </is>
      </c>
      <c r="I637" s="15" t="inlineStr">
        <is>
          <t>Mrs Shotonwa Olamide Abosede</t>
        </is>
      </c>
      <c r="J637" s="17" t="n">
        <v>1000000</v>
      </c>
      <c r="K637" s="15" t="n"/>
      <c r="L637" s="15" t="inlineStr">
        <is>
          <t>Secondary: commission records; no monthly turnover register for this period</t>
        </is>
      </c>
      <c r="M637" s="15" t="inlineStr">
        <is>
          <t>BAAY PROJECTS SALES EXPENSES (COMMISSION) RECORDS (1)</t>
        </is>
      </c>
      <c r="N637" s="15" t="inlineStr">
        <is>
          <t>MS ADENIKE</t>
        </is>
      </c>
      <c r="O637" s="15" t="n">
        <v>42</v>
      </c>
      <c r="P637" s="15" t="inlineStr">
        <is>
          <t>2025-09-03</t>
        </is>
      </c>
      <c r="Q637" s="15" t="n"/>
      <c r="R637" s="15" t="inlineStr">
        <is>
          <t>Commission-record amount: confirm to bank statement (records can aggregate several transfers)</t>
        </is>
      </c>
    </row>
    <row r="638">
      <c r="A638" s="15" t="inlineStr">
        <is>
          <t>SL0634</t>
        </is>
      </c>
      <c r="B638" s="16" t="n">
        <v>45729</v>
      </c>
      <c r="C638" s="15" t="inlineStr">
        <is>
          <t>2025-03</t>
        </is>
      </c>
      <c r="D638" s="15" t="n">
        <v>2025</v>
      </c>
      <c r="E638" s="15" t="inlineStr">
        <is>
          <t>Land</t>
        </is>
      </c>
      <c r="F638" s="15" t="inlineStr">
        <is>
          <t>Plot / unit price</t>
        </is>
      </c>
      <c r="G638" s="15" t="inlineStr">
        <is>
          <t>Land (estate not stated in source)</t>
        </is>
      </c>
      <c r="H638" s="15" t="inlineStr">
        <is>
          <t>BP-C0132</t>
        </is>
      </c>
      <c r="I638" s="15" t="inlineStr">
        <is>
          <t>Mr Adekunle Temitope Ajayi</t>
        </is>
      </c>
      <c r="J638" s="17" t="n">
        <v>1000000</v>
      </c>
      <c r="K638" s="15" t="n"/>
      <c r="L638" s="15" t="inlineStr">
        <is>
          <t>Secondary: commission records; no monthly turnover register for this period</t>
        </is>
      </c>
      <c r="M638" s="15" t="inlineStr">
        <is>
          <t>BAAY PROJECTS SALES EXPENSES (COMMISSION) RECORDS (1)</t>
        </is>
      </c>
      <c r="N638" s="15" t="inlineStr">
        <is>
          <t>MS OPEYEMI ADEGOKE</t>
        </is>
      </c>
      <c r="O638" s="15" t="n">
        <v>31</v>
      </c>
      <c r="P638" s="15" t="inlineStr">
        <is>
          <t>13/03/2025</t>
        </is>
      </c>
      <c r="Q638" s="15" t="n"/>
      <c r="R638" s="15" t="inlineStr">
        <is>
          <t>Commission-record amount: confirm to bank statement (records can aggregate several transfers)</t>
        </is>
      </c>
    </row>
    <row r="639">
      <c r="A639" s="15" t="inlineStr">
        <is>
          <t>SL0635</t>
        </is>
      </c>
      <c r="B639" s="16" t="n">
        <v>45730</v>
      </c>
      <c r="C639" s="15" t="inlineStr">
        <is>
          <t>2025-03</t>
        </is>
      </c>
      <c r="D639" s="15" t="n">
        <v>2025</v>
      </c>
      <c r="E639" s="15" t="inlineStr">
        <is>
          <t>Housing</t>
        </is>
      </c>
      <c r="F639" s="15" t="inlineStr">
        <is>
          <t>Plot / unit price</t>
        </is>
      </c>
      <c r="G639" s="15" t="inlineStr">
        <is>
          <t>Pacific Apartment</t>
        </is>
      </c>
      <c r="H639" s="15" t="inlineStr">
        <is>
          <t>BP-C0183</t>
        </is>
      </c>
      <c r="I639" s="15" t="inlineStr">
        <is>
          <t>Salem Real Estate (Mr Atoyebi Isaac Jesuloba)</t>
        </is>
      </c>
      <c r="J639" s="17" t="n">
        <v>1500000</v>
      </c>
      <c r="K639" s="15" t="n"/>
      <c r="L639" s="15" t="inlineStr">
        <is>
          <t>Secondary: commission records; no monthly turnover register for this period</t>
        </is>
      </c>
      <c r="M639" s="15" t="inlineStr">
        <is>
          <t>BAAY PROJECTS SALES EXPENSES (COMMISSION) RECORDS (1)</t>
        </is>
      </c>
      <c r="N639" s="15" t="inlineStr">
        <is>
          <t>MD</t>
        </is>
      </c>
      <c r="O639" s="15" t="n">
        <v>151</v>
      </c>
      <c r="P639" s="15" t="inlineStr">
        <is>
          <t>14/03/2025</t>
        </is>
      </c>
      <c r="Q639" s="15" t="inlineStr">
        <is>
          <t>SALEM REAL ESTATE r2</t>
        </is>
      </c>
      <c r="R639" s="15" t="inlineStr">
        <is>
          <t>Commission-record amount: confirm to bank statement (records can aggregate several transfers)</t>
        </is>
      </c>
    </row>
    <row r="640">
      <c r="A640" s="15" t="inlineStr">
        <is>
          <t>SL0636</t>
        </is>
      </c>
      <c r="B640" s="16" t="n">
        <v>45732</v>
      </c>
      <c r="C640" s="15" t="inlineStr">
        <is>
          <t>2025-03</t>
        </is>
      </c>
      <c r="D640" s="15" t="n">
        <v>2025</v>
      </c>
      <c r="E640" s="15" t="inlineStr">
        <is>
          <t>Housing</t>
        </is>
      </c>
      <c r="F640" s="15" t="inlineStr">
        <is>
          <t>Plot / unit price</t>
        </is>
      </c>
      <c r="G640" s="15" t="inlineStr">
        <is>
          <t>Pacific Apartment</t>
        </is>
      </c>
      <c r="H640" s="15" t="inlineStr">
        <is>
          <t>BP-C0183</t>
        </is>
      </c>
      <c r="I640" s="15" t="inlineStr">
        <is>
          <t>Salem Real Estate (Mr Atoyebi Isaac Jesuloba)</t>
        </is>
      </c>
      <c r="J640" s="17" t="n">
        <v>1500000</v>
      </c>
      <c r="K640" s="15" t="n"/>
      <c r="L640" s="15" t="inlineStr">
        <is>
          <t>Secondary: commission records; no monthly turnover register for this period</t>
        </is>
      </c>
      <c r="M640" s="15" t="inlineStr">
        <is>
          <t>BAAY PROJECTS SALES EXPENSES (COMMISSION) RECORDS (1)</t>
        </is>
      </c>
      <c r="N640" s="15" t="inlineStr">
        <is>
          <t>MD</t>
        </is>
      </c>
      <c r="O640" s="15" t="n">
        <v>152</v>
      </c>
      <c r="P640" s="15" t="inlineStr">
        <is>
          <t>16/03/2025</t>
        </is>
      </c>
      <c r="Q640" s="15" t="inlineStr">
        <is>
          <t>SALEM REAL ESTATE r3</t>
        </is>
      </c>
      <c r="R640" s="15" t="inlineStr">
        <is>
          <t>Commission-record amount: confirm to bank statement (records can aggregate several transfers)</t>
        </is>
      </c>
    </row>
    <row r="641">
      <c r="A641" s="15" t="inlineStr">
        <is>
          <t>SL0637</t>
        </is>
      </c>
      <c r="B641" s="16" t="n">
        <v>45734</v>
      </c>
      <c r="C641" s="15" t="inlineStr">
        <is>
          <t>2025-03</t>
        </is>
      </c>
      <c r="D641" s="15" t="n">
        <v>2025</v>
      </c>
      <c r="E641" s="15" t="inlineStr">
        <is>
          <t>Land</t>
        </is>
      </c>
      <c r="F641" s="15" t="inlineStr">
        <is>
          <t>Plot / unit price</t>
        </is>
      </c>
      <c r="G641" s="15" t="inlineStr">
        <is>
          <t>Land (estate not stated in source)</t>
        </is>
      </c>
      <c r="H641" s="15" t="inlineStr">
        <is>
          <t>BP-C0184</t>
        </is>
      </c>
      <c r="I641" s="15" t="inlineStr">
        <is>
          <t>Mr Klu Jeremiah</t>
        </is>
      </c>
      <c r="J641" s="17" t="n">
        <v>500000</v>
      </c>
      <c r="K641" s="15" t="n"/>
      <c r="L641" s="15" t="inlineStr">
        <is>
          <t>Secondary: commission records; no monthly turnover register for this period</t>
        </is>
      </c>
      <c r="M641" s="15" t="inlineStr">
        <is>
          <t>BAAY PROJECTS SALES EXPENSES (COMMISSION) RECORDS (1)</t>
        </is>
      </c>
      <c r="N641" s="15" t="inlineStr">
        <is>
          <t>MS BOLANLE</t>
        </is>
      </c>
      <c r="O641" s="15" t="n">
        <v>134</v>
      </c>
      <c r="P641" s="15" t="inlineStr">
        <is>
          <t>18/03/2025</t>
        </is>
      </c>
      <c r="Q641" s="15" t="n"/>
      <c r="R641" s="15" t="inlineStr">
        <is>
          <t>Commission-record amount: confirm to bank statement (records can aggregate several transfers)</t>
        </is>
      </c>
    </row>
    <row r="642">
      <c r="A642" s="15" t="inlineStr">
        <is>
          <t>SL0638</t>
        </is>
      </c>
      <c r="B642" s="16" t="n">
        <v>45736</v>
      </c>
      <c r="C642" s="15" t="inlineStr">
        <is>
          <t>2025-03</t>
        </is>
      </c>
      <c r="D642" s="15" t="n">
        <v>2025</v>
      </c>
      <c r="E642" s="15" t="inlineStr">
        <is>
          <t>Housing</t>
        </is>
      </c>
      <c r="F642" s="15" t="inlineStr">
        <is>
          <t>Plot / unit price</t>
        </is>
      </c>
      <c r="G642" s="15" t="inlineStr">
        <is>
          <t>Pacific Apartment</t>
        </is>
      </c>
      <c r="H642" s="15" t="inlineStr">
        <is>
          <t>BP-C0160</t>
        </is>
      </c>
      <c r="I642" s="15" t="inlineStr">
        <is>
          <t>Mr Okenla Olugboyega Gabriel</t>
        </is>
      </c>
      <c r="J642" s="17" t="n">
        <v>3000000</v>
      </c>
      <c r="K642" s="15" t="n"/>
      <c r="L642" s="15" t="inlineStr">
        <is>
          <t>Secondary: commission records; no monthly turnover register for this period</t>
        </is>
      </c>
      <c r="M642" s="15" t="inlineStr">
        <is>
          <t>BAAY PROJECTS SALES EXPENSES (COMMISSION) RECORDS (1)</t>
        </is>
      </c>
      <c r="N642" s="15" t="inlineStr">
        <is>
          <t>MS MOFFAT</t>
        </is>
      </c>
      <c r="O642" s="15" t="n">
        <v>10</v>
      </c>
      <c r="P642" s="15" t="inlineStr">
        <is>
          <t>20/03/2025</t>
        </is>
      </c>
      <c r="Q642" s="15" t="inlineStr">
        <is>
          <t>MRS ABIMBOLA r184</t>
        </is>
      </c>
      <c r="R642" s="15" t="inlineStr">
        <is>
          <t>Commission-record amount: confirm to bank statement (records can aggregate several transfers)</t>
        </is>
      </c>
    </row>
    <row r="643">
      <c r="A643" s="15" t="inlineStr">
        <is>
          <t>SL0639</t>
        </is>
      </c>
      <c r="B643" s="16" t="n">
        <v>45736</v>
      </c>
      <c r="C643" s="15" t="inlineStr">
        <is>
          <t>2025-03</t>
        </is>
      </c>
      <c r="D643" s="15" t="n">
        <v>2025</v>
      </c>
      <c r="E643" s="15" t="inlineStr">
        <is>
          <t>Housing</t>
        </is>
      </c>
      <c r="F643" s="15" t="inlineStr">
        <is>
          <t>Plot / unit price</t>
        </is>
      </c>
      <c r="G643" s="15" t="inlineStr">
        <is>
          <t>Pacific Court 2</t>
        </is>
      </c>
      <c r="H643" s="15" t="inlineStr">
        <is>
          <t>BP-C0185</t>
        </is>
      </c>
      <c r="I643" s="15" t="inlineStr">
        <is>
          <t>Mr Onwuegbuna Ikechukwu Emmanuel</t>
        </is>
      </c>
      <c r="J643" s="17" t="n">
        <v>5000000</v>
      </c>
      <c r="K643" s="15" t="n"/>
      <c r="L643" s="15" t="inlineStr">
        <is>
          <t>Secondary: commission records; no monthly turnover register for this period</t>
        </is>
      </c>
      <c r="M643" s="15" t="inlineStr">
        <is>
          <t>BAAY PROJECTS SALES EXPENSES (COMMISSION) RECORDS (1)</t>
        </is>
      </c>
      <c r="N643" s="15" t="inlineStr">
        <is>
          <t>MS LORENCIA</t>
        </is>
      </c>
      <c r="O643" s="15" t="n">
        <v>2</v>
      </c>
      <c r="P643" s="15" t="inlineStr">
        <is>
          <t>20/03/2025</t>
        </is>
      </c>
      <c r="Q643" s="15" t="n"/>
      <c r="R643" s="15" t="inlineStr">
        <is>
          <t>Commission-record amount: confirm to bank statement (records can aggregate several transfers)</t>
        </is>
      </c>
    </row>
    <row r="644">
      <c r="A644" s="15" t="inlineStr">
        <is>
          <t>SL0640</t>
        </is>
      </c>
      <c r="B644" s="16" t="n">
        <v>45737</v>
      </c>
      <c r="C644" s="15" t="inlineStr">
        <is>
          <t>2025-03</t>
        </is>
      </c>
      <c r="D644" s="15" t="n">
        <v>2025</v>
      </c>
      <c r="E644" s="15" t="inlineStr">
        <is>
          <t>Housing</t>
        </is>
      </c>
      <c r="F644" s="15" t="inlineStr">
        <is>
          <t>Plot / unit price</t>
        </is>
      </c>
      <c r="G644" s="15" t="inlineStr">
        <is>
          <t>Pacific Court 2</t>
        </is>
      </c>
      <c r="H644" s="15" t="inlineStr">
        <is>
          <t>BP-C0185</t>
        </is>
      </c>
      <c r="I644" s="15" t="inlineStr">
        <is>
          <t>Mr Onwuegbuna Ikechukwu Emmanuel</t>
        </is>
      </c>
      <c r="J644" s="17" t="n">
        <v>10000000</v>
      </c>
      <c r="K644" s="15" t="n"/>
      <c r="L644" s="15" t="inlineStr">
        <is>
          <t>Secondary: commission records; no monthly turnover register for this period</t>
        </is>
      </c>
      <c r="M644" s="15" t="inlineStr">
        <is>
          <t>BAAY PROJECTS SALES EXPENSES (COMMISSION) RECORDS (1)</t>
        </is>
      </c>
      <c r="N644" s="15" t="inlineStr">
        <is>
          <t>MS LORENCIA</t>
        </is>
      </c>
      <c r="O644" s="15" t="n">
        <v>4</v>
      </c>
      <c r="P644" s="15" t="inlineStr">
        <is>
          <t>21/03/2025</t>
        </is>
      </c>
      <c r="Q644" s="15" t="n"/>
      <c r="R644" s="15" t="inlineStr">
        <is>
          <t>Commission-record amount: confirm to bank statement (records can aggregate several transfers)</t>
        </is>
      </c>
    </row>
    <row r="645">
      <c r="A645" s="15" t="inlineStr">
        <is>
          <t>SL0641</t>
        </is>
      </c>
      <c r="B645" s="16" t="n">
        <v>45737</v>
      </c>
      <c r="C645" s="15" t="inlineStr">
        <is>
          <t>2025-03</t>
        </is>
      </c>
      <c r="D645" s="15" t="n">
        <v>2025</v>
      </c>
      <c r="E645" s="15" t="inlineStr">
        <is>
          <t>Housing</t>
        </is>
      </c>
      <c r="F645" s="15" t="inlineStr">
        <is>
          <t>Plot / unit price</t>
        </is>
      </c>
      <c r="G645" s="15" t="inlineStr">
        <is>
          <t>Pacific Apartment</t>
        </is>
      </c>
      <c r="H645" s="15" t="inlineStr">
        <is>
          <t>BP-C0143</t>
        </is>
      </c>
      <c r="I645" s="15" t="inlineStr">
        <is>
          <t>Mrs Oyindamola Duntoye Adekunle</t>
        </is>
      </c>
      <c r="J645" s="17" t="n">
        <v>4750000</v>
      </c>
      <c r="K645" s="15" t="n"/>
      <c r="L645" s="15" t="inlineStr">
        <is>
          <t>Secondary: commission records; no monthly turnover register for this period</t>
        </is>
      </c>
      <c r="M645" s="15" t="inlineStr">
        <is>
          <t>BAAY PROJECTS SALES EXPENSES (COMMISSION) RECORDS (1)</t>
        </is>
      </c>
      <c r="N645" s="15" t="inlineStr">
        <is>
          <t>MAMA ADEBIMPE</t>
        </is>
      </c>
      <c r="O645" s="15" t="n">
        <v>134</v>
      </c>
      <c r="P645" s="15" t="inlineStr">
        <is>
          <t>21/03/2025</t>
        </is>
      </c>
      <c r="Q645" s="15" t="n"/>
      <c r="R645" s="15" t="inlineStr">
        <is>
          <t>Commission-record amount: confirm to bank statement (records can aggregate several transfers)</t>
        </is>
      </c>
    </row>
    <row r="646">
      <c r="A646" s="15" t="inlineStr">
        <is>
          <t>SL0642</t>
        </is>
      </c>
      <c r="B646" s="16" t="n">
        <v>45737</v>
      </c>
      <c r="C646" s="15" t="inlineStr">
        <is>
          <t>2025-03</t>
        </is>
      </c>
      <c r="D646" s="15" t="n">
        <v>2025</v>
      </c>
      <c r="E646" s="15" t="inlineStr">
        <is>
          <t>Housing</t>
        </is>
      </c>
      <c r="F646" s="15" t="inlineStr">
        <is>
          <t>Plot / unit price</t>
        </is>
      </c>
      <c r="G646" s="15" t="inlineStr">
        <is>
          <t>Pacific Apartment</t>
        </is>
      </c>
      <c r="H646" s="15" t="inlineStr">
        <is>
          <t>BP-C0186</t>
        </is>
      </c>
      <c r="I646" s="15" t="inlineStr">
        <is>
          <t>Salem real Estate (Mrs Omoko Onora Helen)</t>
        </is>
      </c>
      <c r="J646" s="17" t="n">
        <v>5000000</v>
      </c>
      <c r="K646" s="15" t="n"/>
      <c r="L646" s="15" t="inlineStr">
        <is>
          <t>Secondary: commission records; no monthly turnover register for this period</t>
        </is>
      </c>
      <c r="M646" s="15" t="inlineStr">
        <is>
          <t>BAAY PROJECTS SALES EXPENSES (COMMISSION) RECORDS (1)</t>
        </is>
      </c>
      <c r="N646" s="15" t="inlineStr">
        <is>
          <t>MR CHARLES</t>
        </is>
      </c>
      <c r="O646" s="15" t="n">
        <v>82</v>
      </c>
      <c r="P646" s="15" t="inlineStr">
        <is>
          <t>21/03/2025</t>
        </is>
      </c>
      <c r="Q646" s="15" t="inlineStr">
        <is>
          <t>SALEM REAL ESTATE r4</t>
        </is>
      </c>
      <c r="R646" s="15" t="inlineStr">
        <is>
          <t>Commission-record amount: confirm to bank statement (records can aggregate several transfers)</t>
        </is>
      </c>
    </row>
    <row r="647">
      <c r="A647" s="15" t="inlineStr">
        <is>
          <t>SL0643</t>
        </is>
      </c>
      <c r="B647" s="16" t="n">
        <v>45739</v>
      </c>
      <c r="C647" s="15" t="inlineStr">
        <is>
          <t>2025-03</t>
        </is>
      </c>
      <c r="D647" s="15" t="n">
        <v>2025</v>
      </c>
      <c r="E647" s="15" t="inlineStr">
        <is>
          <t>Land</t>
        </is>
      </c>
      <c r="F647" s="15" t="inlineStr">
        <is>
          <t>Plot / unit price</t>
        </is>
      </c>
      <c r="G647" s="15" t="inlineStr">
        <is>
          <t>Land (estate not stated in source)</t>
        </is>
      </c>
      <c r="H647" s="15" t="inlineStr">
        <is>
          <t>BP-C0181</t>
        </is>
      </c>
      <c r="I647" s="15" t="inlineStr">
        <is>
          <t>Miss Joshua Fortune Ufot</t>
        </is>
      </c>
      <c r="J647" s="17" t="n">
        <v>500000</v>
      </c>
      <c r="K647" s="15" t="n"/>
      <c r="L647" s="15" t="inlineStr">
        <is>
          <t>Secondary: commission records; no monthly turnover register for this period</t>
        </is>
      </c>
      <c r="M647" s="15" t="inlineStr">
        <is>
          <t>BAAY PROJECTS SALES EXPENSES (COMMISSION) RECORDS (1)</t>
        </is>
      </c>
      <c r="N647" s="15" t="inlineStr">
        <is>
          <t>MS PRAISE</t>
        </is>
      </c>
      <c r="O647" s="15" t="n">
        <v>2</v>
      </c>
      <c r="P647" s="15" t="inlineStr">
        <is>
          <t>23/03/202512/03/2025</t>
        </is>
      </c>
      <c r="Q647" s="15" t="n"/>
      <c r="R647" s="15" t="inlineStr">
        <is>
          <t>Commission-record amount: confirm to bank statement (records can aggregate several transfers)</t>
        </is>
      </c>
    </row>
    <row r="648">
      <c r="A648" s="15" t="inlineStr">
        <is>
          <t>SL0644</t>
        </is>
      </c>
      <c r="B648" s="16" t="n">
        <v>45739</v>
      </c>
      <c r="C648" s="15" t="inlineStr">
        <is>
          <t>2025-03</t>
        </is>
      </c>
      <c r="D648" s="15" t="n">
        <v>2025</v>
      </c>
      <c r="E648" s="15" t="inlineStr">
        <is>
          <t>Land</t>
        </is>
      </c>
      <c r="F648" s="15" t="inlineStr">
        <is>
          <t>Plot / unit price</t>
        </is>
      </c>
      <c r="G648" s="15" t="inlineStr">
        <is>
          <t>Land (estate not stated in source)</t>
        </is>
      </c>
      <c r="H648" s="15" t="inlineStr">
        <is>
          <t>BP-C0187</t>
        </is>
      </c>
      <c r="I648" s="15" t="inlineStr">
        <is>
          <t>Miss Olotu Tabitha Olamide</t>
        </is>
      </c>
      <c r="J648" s="17" t="n">
        <v>1680000</v>
      </c>
      <c r="K648" s="15" t="n"/>
      <c r="L648" s="15" t="inlineStr">
        <is>
          <t>Secondary: commission records; no monthly turnover register for this period</t>
        </is>
      </c>
      <c r="M648" s="15" t="inlineStr">
        <is>
          <t>BAAY PROJECTS SALES EXPENSES (COMMISSION) RECORDS (1)</t>
        </is>
      </c>
      <c r="N648" s="15" t="inlineStr">
        <is>
          <t>MS OKIKIOLA</t>
        </is>
      </c>
      <c r="O648" s="15" t="n">
        <v>3</v>
      </c>
      <c r="P648" s="15" t="inlineStr">
        <is>
          <t>23/03/2025</t>
        </is>
      </c>
      <c r="Q648" s="15" t="n"/>
      <c r="R648" s="15" t="inlineStr">
        <is>
          <t>Commission-record amount: confirm to bank statement (records can aggregate several transfers)</t>
        </is>
      </c>
    </row>
    <row r="649">
      <c r="A649" s="15" t="inlineStr">
        <is>
          <t>SL0645</t>
        </is>
      </c>
      <c r="B649" s="16" t="n">
        <v>45739</v>
      </c>
      <c r="C649" s="15" t="inlineStr">
        <is>
          <t>2025-03</t>
        </is>
      </c>
      <c r="D649" s="15" t="n">
        <v>2025</v>
      </c>
      <c r="E649" s="15" t="inlineStr">
        <is>
          <t>Housing</t>
        </is>
      </c>
      <c r="F649" s="15" t="inlineStr">
        <is>
          <t>Plot / unit price</t>
        </is>
      </c>
      <c r="G649" s="15" t="inlineStr">
        <is>
          <t>Baay Foreshore</t>
        </is>
      </c>
      <c r="H649" s="15" t="inlineStr">
        <is>
          <t>BP-C0177</t>
        </is>
      </c>
      <c r="I649" s="15" t="inlineStr">
        <is>
          <t>Mrs. Osobu Olufunke</t>
        </is>
      </c>
      <c r="J649" s="17" t="n">
        <v>5000000</v>
      </c>
      <c r="K649" s="15" t="n"/>
      <c r="L649" s="15" t="inlineStr">
        <is>
          <t>Secondary: commission records; no monthly turnover register for this period</t>
        </is>
      </c>
      <c r="M649" s="15" t="inlineStr">
        <is>
          <t>BAAY PROJECTS SALES EXPENSES (COMMISSION) RECORDS (1)</t>
        </is>
      </c>
      <c r="N649" s="15" t="inlineStr">
        <is>
          <t>ENGR. TOBI AJIBOLA</t>
        </is>
      </c>
      <c r="O649" s="15" t="n">
        <v>5</v>
      </c>
      <c r="P649" s="15" t="inlineStr">
        <is>
          <t>23/03/2025</t>
        </is>
      </c>
      <c r="Q649" s="15" t="n"/>
      <c r="R649" s="15" t="inlineStr">
        <is>
          <t>Commission-record amount: confirm to bank statement (records can aggregate several transfers)</t>
        </is>
      </c>
    </row>
    <row r="650">
      <c r="A650" s="15" t="inlineStr">
        <is>
          <t>SL0646</t>
        </is>
      </c>
      <c r="B650" s="16" t="n">
        <v>45741</v>
      </c>
      <c r="C650" s="15" t="inlineStr">
        <is>
          <t>2025-03</t>
        </is>
      </c>
      <c r="D650" s="15" t="n">
        <v>2025</v>
      </c>
      <c r="E650" s="15" t="inlineStr">
        <is>
          <t>Land</t>
        </is>
      </c>
      <c r="F650" s="15" t="inlineStr">
        <is>
          <t>Plot / unit price</t>
        </is>
      </c>
      <c r="G650" s="15" t="inlineStr">
        <is>
          <t>Land (estate not stated in source)</t>
        </is>
      </c>
      <c r="H650" s="15" t="inlineStr">
        <is>
          <t>BP-C0136</t>
        </is>
      </c>
      <c r="I650" s="15" t="inlineStr">
        <is>
          <t>Mr Isibor Godwin</t>
        </is>
      </c>
      <c r="J650" s="17" t="n">
        <v>400000</v>
      </c>
      <c r="K650" s="15" t="n"/>
      <c r="L650" s="15" t="inlineStr">
        <is>
          <t>Secondary: commission records; no monthly turnover register for this period</t>
        </is>
      </c>
      <c r="M650" s="15" t="inlineStr">
        <is>
          <t>BAAY PROJECTS SALES EXPENSES (COMMISSION) RECORDS (1)</t>
        </is>
      </c>
      <c r="N650" s="15" t="inlineStr">
        <is>
          <t>MS TOBI AJAYI</t>
        </is>
      </c>
      <c r="O650" s="15" t="n">
        <v>64</v>
      </c>
      <c r="P650" s="15" t="inlineStr">
        <is>
          <t>25/03/2025</t>
        </is>
      </c>
      <c r="Q650" s="15" t="n"/>
      <c r="R650" s="15" t="inlineStr">
        <is>
          <t>Commission-record amount: confirm to bank statement (records can aggregate several transfers)</t>
        </is>
      </c>
    </row>
    <row r="651">
      <c r="A651" s="15" t="inlineStr">
        <is>
          <t>SL0647</t>
        </is>
      </c>
      <c r="B651" s="16" t="n">
        <v>45742</v>
      </c>
      <c r="C651" s="15" t="inlineStr">
        <is>
          <t>2025-03</t>
        </is>
      </c>
      <c r="D651" s="15" t="n">
        <v>2025</v>
      </c>
      <c r="E651" s="15" t="inlineStr">
        <is>
          <t>Land</t>
        </is>
      </c>
      <c r="F651" s="15" t="inlineStr">
        <is>
          <t>Plot / unit price</t>
        </is>
      </c>
      <c r="G651" s="15" t="inlineStr">
        <is>
          <t>Land (estate not stated in source)</t>
        </is>
      </c>
      <c r="H651" s="15" t="inlineStr">
        <is>
          <t>BP-C0050</t>
        </is>
      </c>
      <c r="I651" s="15" t="inlineStr">
        <is>
          <t>Mr Atuanya Patrick Jideovo</t>
        </is>
      </c>
      <c r="J651" s="17" t="n">
        <v>600000</v>
      </c>
      <c r="K651" s="15" t="n"/>
      <c r="L651" s="15" t="inlineStr">
        <is>
          <t>Secondary: commission records; no monthly turnover register for this period</t>
        </is>
      </c>
      <c r="M651" s="15" t="inlineStr">
        <is>
          <t>BAAY PROJECTS SALES EXPENSES (COMMISSION) RECORDS (1)</t>
        </is>
      </c>
      <c r="N651" s="15" t="inlineStr">
        <is>
          <t>MS YETUNDE ABISOYE</t>
        </is>
      </c>
      <c r="O651" s="15" t="n">
        <v>89</v>
      </c>
      <c r="P651" s="15" t="inlineStr">
        <is>
          <t>26/03/2025</t>
        </is>
      </c>
      <c r="Q651" s="15" t="n"/>
      <c r="R651" s="15" t="inlineStr">
        <is>
          <t>Commission-record amount: confirm to bank statement (records can aggregate several transfers)</t>
        </is>
      </c>
    </row>
    <row r="652">
      <c r="A652" s="15" t="inlineStr">
        <is>
          <t>SL0648</t>
        </is>
      </c>
      <c r="B652" s="16" t="n">
        <v>45743</v>
      </c>
      <c r="C652" s="15" t="inlineStr">
        <is>
          <t>2025-03</t>
        </is>
      </c>
      <c r="D652" s="15" t="n">
        <v>2025</v>
      </c>
      <c r="E652" s="15" t="inlineStr">
        <is>
          <t>Land</t>
        </is>
      </c>
      <c r="F652" s="15" t="inlineStr">
        <is>
          <t>Plot / unit price</t>
        </is>
      </c>
      <c r="G652" s="15" t="inlineStr">
        <is>
          <t>Land (estate not stated in source)</t>
        </is>
      </c>
      <c r="H652" s="15" t="inlineStr">
        <is>
          <t>BP-C0153</t>
        </is>
      </c>
      <c r="I652" s="15" t="inlineStr">
        <is>
          <t>Miss Ademakinwa Abosede Wuraola</t>
        </is>
      </c>
      <c r="J652" s="17" t="n">
        <v>800000</v>
      </c>
      <c r="K652" s="15" t="n"/>
      <c r="L652" s="15" t="inlineStr">
        <is>
          <t>Secondary: commission records; no monthly turnover register for this period</t>
        </is>
      </c>
      <c r="M652" s="15" t="inlineStr">
        <is>
          <t>BAAY PROJECTS SALES EXPENSES (COMMISSION) RECORDS (1)</t>
        </is>
      </c>
      <c r="N652" s="15" t="inlineStr">
        <is>
          <t>MS TAIWO</t>
        </is>
      </c>
      <c r="O652" s="15" t="n">
        <v>101</v>
      </c>
      <c r="P652" s="15" t="inlineStr">
        <is>
          <t>27/03/2025</t>
        </is>
      </c>
      <c r="Q652" s="15" t="n"/>
      <c r="R652" s="15" t="inlineStr">
        <is>
          <t>Commission-record amount: confirm to bank statement (records can aggregate several transfers)</t>
        </is>
      </c>
    </row>
    <row r="653">
      <c r="A653" s="15" t="inlineStr">
        <is>
          <t>SL0649</t>
        </is>
      </c>
      <c r="B653" s="16" t="n">
        <v>45743</v>
      </c>
      <c r="C653" s="15" t="inlineStr">
        <is>
          <t>2025-03</t>
        </is>
      </c>
      <c r="D653" s="15" t="n">
        <v>2025</v>
      </c>
      <c r="E653" s="15" t="inlineStr">
        <is>
          <t>Land</t>
        </is>
      </c>
      <c r="F653" s="15" t="inlineStr">
        <is>
          <t>Plot / unit price</t>
        </is>
      </c>
      <c r="G653" s="15" t="inlineStr">
        <is>
          <t>Land (estate not stated in source)</t>
        </is>
      </c>
      <c r="H653" s="15" t="inlineStr">
        <is>
          <t>BP-C0154</t>
        </is>
      </c>
      <c r="I653" s="15" t="inlineStr">
        <is>
          <t>Mr Adepoju Adewale Emmanuel</t>
        </is>
      </c>
      <c r="J653" s="17" t="n">
        <v>1600000</v>
      </c>
      <c r="K653" s="15" t="n"/>
      <c r="L653" s="15" t="inlineStr">
        <is>
          <t>Secondary: commission records; no monthly turnover register for this period</t>
        </is>
      </c>
      <c r="M653" s="15" t="inlineStr">
        <is>
          <t>BAAY PROJECTS SALES EXPENSES (COMMISSION) RECORDS (1)</t>
        </is>
      </c>
      <c r="N653" s="15" t="inlineStr">
        <is>
          <t>MS TAIWO</t>
        </is>
      </c>
      <c r="O653" s="15" t="n">
        <v>98</v>
      </c>
      <c r="P653" s="15" t="inlineStr">
        <is>
          <t>27/03/2025</t>
        </is>
      </c>
      <c r="Q653" s="15" t="n"/>
      <c r="R653" s="15" t="inlineStr">
        <is>
          <t>Commission-record amount: confirm to bank statement (records can aggregate several transfers)</t>
        </is>
      </c>
    </row>
    <row r="654">
      <c r="A654" s="15" t="inlineStr">
        <is>
          <t>SL0650</t>
        </is>
      </c>
      <c r="B654" s="16" t="n">
        <v>45743</v>
      </c>
      <c r="C654" s="15" t="inlineStr">
        <is>
          <t>2025-03</t>
        </is>
      </c>
      <c r="D654" s="15" t="n">
        <v>2025</v>
      </c>
      <c r="E654" s="15" t="inlineStr">
        <is>
          <t>Land</t>
        </is>
      </c>
      <c r="F654" s="15" t="inlineStr">
        <is>
          <t>Plot / unit price</t>
        </is>
      </c>
      <c r="G654" s="15" t="inlineStr">
        <is>
          <t>Land (estate not stated in source)</t>
        </is>
      </c>
      <c r="H654" s="15" t="inlineStr">
        <is>
          <t>BP-C0155</t>
        </is>
      </c>
      <c r="I654" s="15" t="inlineStr">
        <is>
          <t>Mr Adeyanju Adebayo Samson</t>
        </is>
      </c>
      <c r="J654" s="17" t="n">
        <v>800000</v>
      </c>
      <c r="K654" s="15" t="n"/>
      <c r="L654" s="15" t="inlineStr">
        <is>
          <t>Secondary: commission records; no monthly turnover register for this period</t>
        </is>
      </c>
      <c r="M654" s="15" t="inlineStr">
        <is>
          <t>BAAY PROJECTS SALES EXPENSES (COMMISSION) RECORDS (1)</t>
        </is>
      </c>
      <c r="N654" s="15" t="inlineStr">
        <is>
          <t>MS TAIWO</t>
        </is>
      </c>
      <c r="O654" s="15" t="n">
        <v>100</v>
      </c>
      <c r="P654" s="15" t="inlineStr">
        <is>
          <t>27/03/2025</t>
        </is>
      </c>
      <c r="Q654" s="15" t="n"/>
      <c r="R654" s="15" t="inlineStr">
        <is>
          <t>Commission-record amount: confirm to bank statement (records can aggregate several transfers)</t>
        </is>
      </c>
    </row>
    <row r="655">
      <c r="A655" s="15" t="inlineStr">
        <is>
          <t>SL0651</t>
        </is>
      </c>
      <c r="B655" s="16" t="n">
        <v>45743</v>
      </c>
      <c r="C655" s="15" t="inlineStr">
        <is>
          <t>2025-03</t>
        </is>
      </c>
      <c r="D655" s="15" t="n">
        <v>2025</v>
      </c>
      <c r="E655" s="15" t="inlineStr">
        <is>
          <t>Housing</t>
        </is>
      </c>
      <c r="F655" s="15" t="inlineStr">
        <is>
          <t>Plot / unit price</t>
        </is>
      </c>
      <c r="G655" s="15" t="inlineStr">
        <is>
          <t>Housing unit (project not stated in source)</t>
        </is>
      </c>
      <c r="H655" s="15" t="inlineStr">
        <is>
          <t>BP-C0133</t>
        </is>
      </c>
      <c r="I655" s="15" t="inlineStr">
        <is>
          <t>Mr Olagbende Oluwashina Oluwaseun</t>
        </is>
      </c>
      <c r="J655" s="17" t="n">
        <v>5000000</v>
      </c>
      <c r="K655" s="15" t="n"/>
      <c r="L655" s="15" t="inlineStr">
        <is>
          <t>Secondary: commission records; no monthly turnover register for this period</t>
        </is>
      </c>
      <c r="M655" s="15" t="inlineStr">
        <is>
          <t>BAAY PROJECTS SALES EXPENSES (COMMISSION) RECORDS (1)</t>
        </is>
      </c>
      <c r="N655" s="15" t="inlineStr">
        <is>
          <t>MS AWONORIN MAYOWA</t>
        </is>
      </c>
      <c r="O655" s="15" t="n">
        <v>52</v>
      </c>
      <c r="P655" s="15" t="inlineStr">
        <is>
          <t>27/03/2025</t>
        </is>
      </c>
      <c r="Q655" s="15" t="n"/>
      <c r="R655" s="15" t="inlineStr">
        <is>
          <t>Commission-record amount: confirm to bank statement (records can aggregate several transfers)</t>
        </is>
      </c>
    </row>
    <row r="656">
      <c r="A656" s="15" t="inlineStr">
        <is>
          <t>SL0652</t>
        </is>
      </c>
      <c r="B656" s="16" t="n">
        <v>45743</v>
      </c>
      <c r="C656" s="15" t="inlineStr">
        <is>
          <t>2025-03</t>
        </is>
      </c>
      <c r="D656" s="15" t="n">
        <v>2025</v>
      </c>
      <c r="E656" s="15" t="inlineStr">
        <is>
          <t>Land</t>
        </is>
      </c>
      <c r="F656" s="15" t="inlineStr">
        <is>
          <t>Plot / unit price</t>
        </is>
      </c>
      <c r="G656" s="15" t="inlineStr">
        <is>
          <t>Land (estate not stated in source)</t>
        </is>
      </c>
      <c r="H656" s="15" t="inlineStr">
        <is>
          <t>BP-C0157</t>
        </is>
      </c>
      <c r="I656" s="15" t="inlineStr">
        <is>
          <t>Mrs Adepoju Adebola Adeniran</t>
        </is>
      </c>
      <c r="J656" s="17" t="n">
        <v>1600000</v>
      </c>
      <c r="K656" s="15" t="n"/>
      <c r="L656" s="15" t="inlineStr">
        <is>
          <t>Secondary: commission records; no monthly turnover register for this period</t>
        </is>
      </c>
      <c r="M656" s="15" t="inlineStr">
        <is>
          <t>BAAY PROJECTS SALES EXPENSES (COMMISSION) RECORDS (1)</t>
        </is>
      </c>
      <c r="N656" s="15" t="inlineStr">
        <is>
          <t>MS TAIWO</t>
        </is>
      </c>
      <c r="O656" s="15" t="n">
        <v>99</v>
      </c>
      <c r="P656" s="15" t="inlineStr">
        <is>
          <t>27/03/2025</t>
        </is>
      </c>
      <c r="Q656" s="15" t="n"/>
      <c r="R656" s="15" t="inlineStr">
        <is>
          <t>Commission-record amount: confirm to bank statement (records can aggregate several transfers)</t>
        </is>
      </c>
    </row>
    <row r="657">
      <c r="A657" s="15" t="inlineStr">
        <is>
          <t>SL0653</t>
        </is>
      </c>
      <c r="B657" s="16" t="n">
        <v>45744</v>
      </c>
      <c r="C657" s="15" t="inlineStr">
        <is>
          <t>2025-03</t>
        </is>
      </c>
      <c r="D657" s="15" t="n">
        <v>2025</v>
      </c>
      <c r="E657" s="15" t="inlineStr">
        <is>
          <t>Land</t>
        </is>
      </c>
      <c r="F657" s="15" t="inlineStr">
        <is>
          <t>Plot / unit price</t>
        </is>
      </c>
      <c r="G657" s="15" t="inlineStr">
        <is>
          <t>Land (estate not stated in source)</t>
        </is>
      </c>
      <c r="H657" s="15" t="inlineStr">
        <is>
          <t>BP-C0077</t>
        </is>
      </c>
      <c r="I657" s="15" t="inlineStr">
        <is>
          <t>Mr Uebari Sorbari</t>
        </is>
      </c>
      <c r="J657" s="17" t="n">
        <v>600000</v>
      </c>
      <c r="K657" s="15" t="n"/>
      <c r="L657" s="15" t="inlineStr">
        <is>
          <t>Secondary: commission records; no monthly turnover register for this period</t>
        </is>
      </c>
      <c r="M657" s="15" t="inlineStr">
        <is>
          <t>BAAY PROJECTS SALES EXPENSES (COMMISSION) RECORDS (1)</t>
        </is>
      </c>
      <c r="N657" s="15" t="inlineStr">
        <is>
          <t>MS ELIZABETH</t>
        </is>
      </c>
      <c r="O657" s="15" t="n">
        <v>78</v>
      </c>
      <c r="P657" s="15" t="inlineStr">
        <is>
          <t>28/03/2025</t>
        </is>
      </c>
      <c r="Q657" s="15" t="n"/>
      <c r="R657" s="15" t="inlineStr">
        <is>
          <t>Commission-record amount: confirm to bank statement (records can aggregate several transfers)</t>
        </is>
      </c>
    </row>
    <row r="658">
      <c r="A658" s="15" t="inlineStr">
        <is>
          <t>SL0654</t>
        </is>
      </c>
      <c r="B658" s="16" t="n">
        <v>45744</v>
      </c>
      <c r="C658" s="15" t="inlineStr">
        <is>
          <t>2025-03</t>
        </is>
      </c>
      <c r="D658" s="15" t="n">
        <v>2025</v>
      </c>
      <c r="E658" s="15" t="inlineStr">
        <is>
          <t>Land</t>
        </is>
      </c>
      <c r="F658" s="15" t="inlineStr">
        <is>
          <t>Plot / unit price</t>
        </is>
      </c>
      <c r="G658" s="15" t="inlineStr">
        <is>
          <t>Land (estate not stated in source)</t>
        </is>
      </c>
      <c r="H658" s="15" t="inlineStr">
        <is>
          <t>BP-C0077</t>
        </is>
      </c>
      <c r="I658" s="15" t="inlineStr">
        <is>
          <t>Mr Uebari Sorbari</t>
        </is>
      </c>
      <c r="J658" s="17" t="n">
        <v>500000</v>
      </c>
      <c r="K658" s="15" t="n"/>
      <c r="L658" s="15" t="inlineStr">
        <is>
          <t>Secondary: commission records; no monthly turnover register for this period</t>
        </is>
      </c>
      <c r="M658" s="15" t="inlineStr">
        <is>
          <t>BAAY PROJECTS SALES EXPENSES (COMMISSION) RECORDS (1)</t>
        </is>
      </c>
      <c r="N658" s="15" t="inlineStr">
        <is>
          <t>MS ELIZABETH</t>
        </is>
      </c>
      <c r="O658" s="15" t="n">
        <v>79</v>
      </c>
      <c r="P658" s="15" t="inlineStr">
        <is>
          <t>28/03/2025</t>
        </is>
      </c>
      <c r="Q658" s="15" t="n"/>
      <c r="R658" s="15" t="inlineStr">
        <is>
          <t>Commission-record amount: confirm to bank statement (records can aggregate several transfers)</t>
        </is>
      </c>
    </row>
    <row r="659">
      <c r="A659" s="15" t="inlineStr">
        <is>
          <t>SL0655</t>
        </is>
      </c>
      <c r="B659" s="16" t="n">
        <v>45745</v>
      </c>
      <c r="C659" s="15" t="inlineStr">
        <is>
          <t>2025-03</t>
        </is>
      </c>
      <c r="D659" s="15" t="n">
        <v>2025</v>
      </c>
      <c r="E659" s="15" t="inlineStr">
        <is>
          <t>Land</t>
        </is>
      </c>
      <c r="F659" s="15" t="inlineStr">
        <is>
          <t>Plot / unit price</t>
        </is>
      </c>
      <c r="G659" s="15" t="inlineStr">
        <is>
          <t>Land (estate not stated in source)</t>
        </is>
      </c>
      <c r="H659" s="15" t="inlineStr">
        <is>
          <t>BP-C0150</t>
        </is>
      </c>
      <c r="I659" s="15" t="inlineStr">
        <is>
          <t>Mr Ajiboso Damilare &amp; Mrs Ajiboso Gbemisola</t>
        </is>
      </c>
      <c r="J659" s="17" t="n">
        <v>1330000</v>
      </c>
      <c r="K659" s="15" t="n"/>
      <c r="L659" s="15" t="inlineStr">
        <is>
          <t>Secondary: commission records; no monthly turnover register for this period</t>
        </is>
      </c>
      <c r="M659" s="15" t="inlineStr">
        <is>
          <t>BAAY PROJECTS SALES EXPENSES (COMMISSION) RECORDS (1)</t>
        </is>
      </c>
      <c r="N659" s="15" t="inlineStr">
        <is>
          <t>MS ADENIKE</t>
        </is>
      </c>
      <c r="O659" s="15" t="n">
        <v>43</v>
      </c>
      <c r="P659" s="15" t="inlineStr">
        <is>
          <t>29/03/2025</t>
        </is>
      </c>
      <c r="Q659" s="15" t="n"/>
      <c r="R659" s="15" t="inlineStr">
        <is>
          <t>Commission-record amount: confirm to bank statement (records can aggregate several transfers)</t>
        </is>
      </c>
    </row>
    <row r="660">
      <c r="A660" s="15" t="inlineStr">
        <is>
          <t>SL0656</t>
        </is>
      </c>
      <c r="B660" s="16" t="n">
        <v>45745</v>
      </c>
      <c r="C660" s="15" t="inlineStr">
        <is>
          <t>2025-03</t>
        </is>
      </c>
      <c r="D660" s="15" t="n">
        <v>2025</v>
      </c>
      <c r="E660" s="15" t="inlineStr">
        <is>
          <t>Land</t>
        </is>
      </c>
      <c r="F660" s="15" t="inlineStr">
        <is>
          <t>Plot / unit price</t>
        </is>
      </c>
      <c r="G660" s="15" t="inlineStr">
        <is>
          <t>Land (estate not stated in source)</t>
        </is>
      </c>
      <c r="H660" s="15" t="inlineStr">
        <is>
          <t>BP-C0167</t>
        </is>
      </c>
      <c r="I660" s="15" t="inlineStr">
        <is>
          <t>Mr Uneze Grant Chetana</t>
        </is>
      </c>
      <c r="J660" s="17" t="n">
        <v>1000000</v>
      </c>
      <c r="K660" s="15" t="n"/>
      <c r="L660" s="15" t="inlineStr">
        <is>
          <t>Secondary: commission records; no monthly turnover register for this period</t>
        </is>
      </c>
      <c r="M660" s="15" t="inlineStr">
        <is>
          <t>BAAY PROJECTS SALES EXPENSES (COMMISSION) RECORDS (1)</t>
        </is>
      </c>
      <c r="N660" s="15" t="inlineStr">
        <is>
          <t>MS SAMUELLA</t>
        </is>
      </c>
      <c r="O660" s="15" t="n">
        <v>26</v>
      </c>
      <c r="P660" s="15" t="inlineStr">
        <is>
          <t>29/03/2025</t>
        </is>
      </c>
      <c r="Q660" s="15" t="n"/>
      <c r="R660" s="15" t="inlineStr">
        <is>
          <t>Commission-record amount: confirm to bank statement (records can aggregate several transfers)</t>
        </is>
      </c>
    </row>
    <row r="661">
      <c r="A661" s="15" t="inlineStr">
        <is>
          <t>SL0657</t>
        </is>
      </c>
      <c r="B661" s="16" t="n">
        <v>45745</v>
      </c>
      <c r="C661" s="15" t="inlineStr">
        <is>
          <t>2025-03</t>
        </is>
      </c>
      <c r="D661" s="15" t="n">
        <v>2025</v>
      </c>
      <c r="E661" s="15" t="inlineStr">
        <is>
          <t>Land</t>
        </is>
      </c>
      <c r="F661" s="15" t="inlineStr">
        <is>
          <t>Plot / unit price</t>
        </is>
      </c>
      <c r="G661" s="15" t="inlineStr">
        <is>
          <t>Land (estate not stated in source)</t>
        </is>
      </c>
      <c r="H661" s="15" t="inlineStr">
        <is>
          <t>BP-C0188</t>
        </is>
      </c>
      <c r="I661" s="15" t="inlineStr">
        <is>
          <t>Mrs Kazeem Mariam Omotunde</t>
        </is>
      </c>
      <c r="J661" s="17" t="n">
        <v>1900000</v>
      </c>
      <c r="K661" s="15" t="n"/>
      <c r="L661" s="15" t="inlineStr">
        <is>
          <t>Secondary: commission records; no monthly turnover register for this period</t>
        </is>
      </c>
      <c r="M661" s="15" t="inlineStr">
        <is>
          <t>BAAY PROJECTS SALES EXPENSES (COMMISSION) RECORDS (1)</t>
        </is>
      </c>
      <c r="N661" s="15" t="inlineStr">
        <is>
          <t>MS SAMUELLA</t>
        </is>
      </c>
      <c r="O661" s="15" t="n">
        <v>27</v>
      </c>
      <c r="P661" s="15" t="inlineStr">
        <is>
          <t>29/03/2025</t>
        </is>
      </c>
      <c r="Q661" s="15" t="n"/>
      <c r="R661" s="15" t="inlineStr">
        <is>
          <t>Commission-record amount: confirm to bank statement (records can aggregate several transfers)</t>
        </is>
      </c>
    </row>
    <row r="662">
      <c r="A662" s="15" t="inlineStr">
        <is>
          <t>SL0658</t>
        </is>
      </c>
      <c r="B662" s="16" t="n">
        <v>45746</v>
      </c>
      <c r="C662" s="15" t="inlineStr">
        <is>
          <t>2025-03</t>
        </is>
      </c>
      <c r="D662" s="15" t="n">
        <v>2025</v>
      </c>
      <c r="E662" s="15" t="inlineStr">
        <is>
          <t>Land</t>
        </is>
      </c>
      <c r="F662" s="15" t="inlineStr">
        <is>
          <t>Plot / unit price</t>
        </is>
      </c>
      <c r="G662" s="15" t="inlineStr">
        <is>
          <t>Land (estate not stated in source)</t>
        </is>
      </c>
      <c r="H662" s="15" t="inlineStr">
        <is>
          <t>BP-C0189</t>
        </is>
      </c>
      <c r="I662" s="15" t="inlineStr">
        <is>
          <t>Mr Ganiyu &amp; Mrs Yemisi Olowodagba</t>
        </is>
      </c>
      <c r="J662" s="17" t="n">
        <v>1000000</v>
      </c>
      <c r="K662" s="15" t="n"/>
      <c r="L662" s="15" t="inlineStr">
        <is>
          <t>Secondary: commission records; no monthly turnover register for this period</t>
        </is>
      </c>
      <c r="M662" s="15" t="inlineStr">
        <is>
          <t>BAAY PROJECTS SALES EXPENSES (COMMISSION) RECORDS (1)</t>
        </is>
      </c>
      <c r="N662" s="15" t="inlineStr">
        <is>
          <t>OGIDAN</t>
        </is>
      </c>
      <c r="O662" s="15" t="n">
        <v>86</v>
      </c>
      <c r="P662" s="15" t="inlineStr">
        <is>
          <t>30/03/2025</t>
        </is>
      </c>
      <c r="Q662" s="15" t="n"/>
      <c r="R662" s="15" t="inlineStr">
        <is>
          <t>Commission-record amount: confirm to bank statement (records can aggregate several transfers)</t>
        </is>
      </c>
    </row>
    <row r="663">
      <c r="A663" s="15" t="inlineStr">
        <is>
          <t>SL0659</t>
        </is>
      </c>
      <c r="B663" s="16" t="n">
        <v>45746</v>
      </c>
      <c r="C663" s="15" t="inlineStr">
        <is>
          <t>2025-03</t>
        </is>
      </c>
      <c r="D663" s="15" t="n">
        <v>2025</v>
      </c>
      <c r="E663" s="15" t="inlineStr">
        <is>
          <t>Land</t>
        </is>
      </c>
      <c r="F663" s="15" t="inlineStr">
        <is>
          <t>Plot / unit price</t>
        </is>
      </c>
      <c r="G663" s="15" t="inlineStr">
        <is>
          <t>Land (estate not stated in source)</t>
        </is>
      </c>
      <c r="H663" s="15" t="inlineStr">
        <is>
          <t>BP-C0138</t>
        </is>
      </c>
      <c r="I663" s="15" t="inlineStr">
        <is>
          <t>Mr Olatunde Selim Olowodagba</t>
        </is>
      </c>
      <c r="J663" s="17" t="n">
        <v>1000000</v>
      </c>
      <c r="K663" s="15" t="n"/>
      <c r="L663" s="15" t="inlineStr">
        <is>
          <t>Secondary: commission records; no monthly turnover register for this period</t>
        </is>
      </c>
      <c r="M663" s="15" t="inlineStr">
        <is>
          <t>BAAY PROJECTS SALES EXPENSES (COMMISSION) RECORDS (1)</t>
        </is>
      </c>
      <c r="N663" s="15" t="inlineStr">
        <is>
          <t>OGIDAN</t>
        </is>
      </c>
      <c r="O663" s="15" t="n">
        <v>85</v>
      </c>
      <c r="P663" s="15" t="inlineStr">
        <is>
          <t>30/03/2025</t>
        </is>
      </c>
      <c r="Q663" s="15" t="n"/>
      <c r="R663" s="15" t="inlineStr">
        <is>
          <t>Commission-record amount: confirm to bank statement (records can aggregate several transfers)</t>
        </is>
      </c>
    </row>
    <row r="664">
      <c r="A664" s="15" t="inlineStr">
        <is>
          <t>SL0660</t>
        </is>
      </c>
      <c r="B664" s="16" t="n">
        <v>45747</v>
      </c>
      <c r="C664" s="15" t="inlineStr">
        <is>
          <t>2025-03</t>
        </is>
      </c>
      <c r="D664" s="15" t="n">
        <v>2025</v>
      </c>
      <c r="E664" s="15" t="inlineStr">
        <is>
          <t>Housing</t>
        </is>
      </c>
      <c r="F664" s="15" t="inlineStr">
        <is>
          <t>Plot / unit price</t>
        </is>
      </c>
      <c r="G664" s="15" t="inlineStr">
        <is>
          <t>Housing unit (project not stated in source)</t>
        </is>
      </c>
      <c r="H664" s="15" t="inlineStr">
        <is>
          <t>BP-C0133</t>
        </is>
      </c>
      <c r="I664" s="15" t="inlineStr">
        <is>
          <t>Mr Olagbende Oluwashina Oluwaseun</t>
        </is>
      </c>
      <c r="J664" s="17" t="n">
        <v>900000</v>
      </c>
      <c r="K664" s="15" t="n"/>
      <c r="L664" s="15" t="inlineStr">
        <is>
          <t>Secondary: commission records; no monthly turnover register for this period</t>
        </is>
      </c>
      <c r="M664" s="15" t="inlineStr">
        <is>
          <t>BAAY PROJECTS SALES EXPENSES (COMMISSION) RECORDS (1)</t>
        </is>
      </c>
      <c r="N664" s="15" t="inlineStr">
        <is>
          <t>MS AWONORIN MAYOWA</t>
        </is>
      </c>
      <c r="O664" s="15" t="n">
        <v>59</v>
      </c>
      <c r="P664" s="15" t="inlineStr">
        <is>
          <t>31/03/2025</t>
        </is>
      </c>
      <c r="Q664" s="15" t="n"/>
      <c r="R664" s="15" t="inlineStr">
        <is>
          <t>Commission-record amount: confirm to bank statement (records can aggregate several transfers)</t>
        </is>
      </c>
    </row>
    <row r="665">
      <c r="A665" s="15" t="inlineStr">
        <is>
          <t>SL0661</t>
        </is>
      </c>
      <c r="B665" s="16" t="n">
        <v>45747</v>
      </c>
      <c r="C665" s="15" t="inlineStr">
        <is>
          <t>2025-03</t>
        </is>
      </c>
      <c r="D665" s="15" t="n">
        <v>2025</v>
      </c>
      <c r="E665" s="15" t="inlineStr">
        <is>
          <t>Land</t>
        </is>
      </c>
      <c r="F665" s="15" t="inlineStr">
        <is>
          <t>Plot / unit price</t>
        </is>
      </c>
      <c r="G665" s="15" t="inlineStr">
        <is>
          <t>Land (estate not stated in source)</t>
        </is>
      </c>
      <c r="H665" s="15" t="inlineStr">
        <is>
          <t>BP-C0190</t>
        </is>
      </c>
      <c r="I665" s="15" t="inlineStr">
        <is>
          <t>Mr Olaiya Oluwatobi</t>
        </is>
      </c>
      <c r="J665" s="17" t="n">
        <v>1000000</v>
      </c>
      <c r="K665" s="15" t="n"/>
      <c r="L665" s="15" t="inlineStr">
        <is>
          <t>Secondary: commission records; no monthly turnover register for this period</t>
        </is>
      </c>
      <c r="M665" s="15" t="inlineStr">
        <is>
          <t>BAAY PROJECTS SALES EXPENSES (COMMISSION) RECORDS (1)</t>
        </is>
      </c>
      <c r="N665" s="15" t="inlineStr">
        <is>
          <t>MS AWONORIN MAYOWA</t>
        </is>
      </c>
      <c r="O665" s="15" t="n">
        <v>58</v>
      </c>
      <c r="P665" s="15" t="inlineStr">
        <is>
          <t>31/03/2025</t>
        </is>
      </c>
      <c r="Q665" s="15" t="n"/>
      <c r="R665" s="15" t="inlineStr">
        <is>
          <t>Commission-record amount: confirm to bank statement (records can aggregate several transfers)</t>
        </is>
      </c>
    </row>
    <row r="666">
      <c r="A666" s="15" t="inlineStr">
        <is>
          <t>SL0662</t>
        </is>
      </c>
      <c r="B666" s="16" t="n">
        <v>45747</v>
      </c>
      <c r="C666" s="15" t="inlineStr">
        <is>
          <t>2025-03</t>
        </is>
      </c>
      <c r="D666" s="15" t="n">
        <v>2025</v>
      </c>
      <c r="E666" s="15" t="inlineStr">
        <is>
          <t>Land</t>
        </is>
      </c>
      <c r="F666" s="15" t="inlineStr">
        <is>
          <t>Plot / unit price</t>
        </is>
      </c>
      <c r="G666" s="15" t="inlineStr">
        <is>
          <t>Land (estate not stated in source)</t>
        </is>
      </c>
      <c r="H666" s="15" t="inlineStr">
        <is>
          <t>BP-C0190</t>
        </is>
      </c>
      <c r="I666" s="15" t="inlineStr">
        <is>
          <t>Mr Olaiya Oluwatobi</t>
        </is>
      </c>
      <c r="J666" s="17" t="n">
        <v>300000</v>
      </c>
      <c r="K666" s="15" t="n"/>
      <c r="L666" s="15" t="inlineStr">
        <is>
          <t>Secondary: commission records; no monthly turnover register for this period</t>
        </is>
      </c>
      <c r="M666" s="15" t="inlineStr">
        <is>
          <t>BAAY PROJECTS SALES EXPENSES (COMMISSION) RECORDS (1)</t>
        </is>
      </c>
      <c r="N666" s="15" t="inlineStr">
        <is>
          <t>MS AWONORIN MAYOWA</t>
        </is>
      </c>
      <c r="O666" s="15" t="n">
        <v>73</v>
      </c>
      <c r="P666" s="15" t="inlineStr">
        <is>
          <t>31/03/2025</t>
        </is>
      </c>
      <c r="Q666" s="15" t="n"/>
      <c r="R666" s="15" t="inlineStr">
        <is>
          <t>Commission-record amount: confirm to bank statement (records can aggregate several transfers)</t>
        </is>
      </c>
    </row>
    <row r="667">
      <c r="A667" s="15" t="inlineStr">
        <is>
          <t>SL0663</t>
        </is>
      </c>
      <c r="B667" s="16" t="n">
        <v>45747</v>
      </c>
      <c r="C667" s="15" t="inlineStr">
        <is>
          <t>2025-03</t>
        </is>
      </c>
      <c r="D667" s="15" t="n">
        <v>2025</v>
      </c>
      <c r="E667" s="15" t="inlineStr">
        <is>
          <t>Land</t>
        </is>
      </c>
      <c r="F667" s="15" t="inlineStr">
        <is>
          <t>Plot / unit price</t>
        </is>
      </c>
      <c r="G667" s="15" t="inlineStr">
        <is>
          <t>Land (estate not stated in source)</t>
        </is>
      </c>
      <c r="H667" s="15" t="inlineStr">
        <is>
          <t>BP-C0191</t>
        </is>
      </c>
      <c r="I667" s="15" t="inlineStr">
        <is>
          <t>Mrs Oduomah Jumoke</t>
        </is>
      </c>
      <c r="J667" s="17" t="n">
        <v>300000</v>
      </c>
      <c r="K667" s="15" t="n"/>
      <c r="L667" s="15" t="inlineStr">
        <is>
          <t>Secondary: commission records; no monthly turnover register for this period</t>
        </is>
      </c>
      <c r="M667" s="15" t="inlineStr">
        <is>
          <t>BAAY PROJECTS SALES EXPENSES (COMMISSION) RECORDS (1)</t>
        </is>
      </c>
      <c r="N667" s="15" t="inlineStr">
        <is>
          <t>MR KENNY BRUCE</t>
        </is>
      </c>
      <c r="O667" s="15" t="n">
        <v>2</v>
      </c>
      <c r="P667" s="15" t="inlineStr">
        <is>
          <t>31/03/2025</t>
        </is>
      </c>
      <c r="Q667" s="15" t="n"/>
      <c r="R667" s="15" t="inlineStr">
        <is>
          <t>Commission-record amount: confirm to bank statement (records can aggregate several transfers)</t>
        </is>
      </c>
    </row>
    <row r="668">
      <c r="A668" s="15" t="inlineStr">
        <is>
          <t>SL0664</t>
        </is>
      </c>
      <c r="B668" s="16" t="n">
        <v>45748</v>
      </c>
      <c r="C668" s="15" t="inlineStr">
        <is>
          <t>2025-04</t>
        </is>
      </c>
      <c r="D668" s="15" t="n">
        <v>2025</v>
      </c>
      <c r="E668" s="15" t="inlineStr">
        <is>
          <t>Land</t>
        </is>
      </c>
      <c r="F668" s="15" t="inlineStr">
        <is>
          <t>Plot / unit price</t>
        </is>
      </c>
      <c r="G668" s="15" t="inlineStr">
        <is>
          <t>Land (estate not stated in source)</t>
        </is>
      </c>
      <c r="H668" s="15" t="inlineStr">
        <is>
          <t>BP-C0189</t>
        </is>
      </c>
      <c r="I668" s="15" t="inlineStr">
        <is>
          <t>Mr Ganiyu &amp; Mrs Yemisi Olowodagba</t>
        </is>
      </c>
      <c r="J668" s="17" t="n">
        <v>8200000</v>
      </c>
      <c r="K668" s="15" t="n"/>
      <c r="L668" s="15" t="inlineStr">
        <is>
          <t>Secondary: commission records; no monthly turnover register for this period</t>
        </is>
      </c>
      <c r="M668" s="15" t="inlineStr">
        <is>
          <t>BAAY PROJECTS SALES EXPENSES (COMMISSION) RECORDS (1)</t>
        </is>
      </c>
      <c r="N668" s="15" t="inlineStr">
        <is>
          <t>OGIDAN</t>
        </is>
      </c>
      <c r="O668" s="15" t="n">
        <v>101</v>
      </c>
      <c r="P668" s="15" t="inlineStr">
        <is>
          <t>2025-01-04</t>
        </is>
      </c>
      <c r="Q668" s="15" t="n"/>
      <c r="R668" s="15" t="inlineStr">
        <is>
          <t>Commission-record amount: confirm to bank statement (records can aggregate several transfers)</t>
        </is>
      </c>
    </row>
    <row r="669">
      <c r="A669" s="15" t="inlineStr">
        <is>
          <t>SL0665</t>
        </is>
      </c>
      <c r="B669" s="16" t="n">
        <v>45748</v>
      </c>
      <c r="C669" s="15" t="inlineStr">
        <is>
          <t>2025-04</t>
        </is>
      </c>
      <c r="D669" s="15" t="n">
        <v>2025</v>
      </c>
      <c r="E669" s="15" t="inlineStr">
        <is>
          <t>Land</t>
        </is>
      </c>
      <c r="F669" s="15" t="inlineStr">
        <is>
          <t>Plot / unit price</t>
        </is>
      </c>
      <c r="G669" s="15" t="inlineStr">
        <is>
          <t>Land (estate not stated in source)</t>
        </is>
      </c>
      <c r="H669" s="15" t="inlineStr">
        <is>
          <t>BP-C0189</t>
        </is>
      </c>
      <c r="I669" s="15" t="inlineStr">
        <is>
          <t>Mr Ganiyu &amp; Mrs Yemisi Olowodagba</t>
        </is>
      </c>
      <c r="J669" s="17" t="n">
        <v>1000000</v>
      </c>
      <c r="K669" s="15" t="n"/>
      <c r="L669" s="15" t="inlineStr">
        <is>
          <t>Secondary: commission records; no monthly turnover register for this period</t>
        </is>
      </c>
      <c r="M669" s="15" t="inlineStr">
        <is>
          <t>BAAY PROJECTS SALES EXPENSES (COMMISSION) RECORDS (1)</t>
        </is>
      </c>
      <c r="N669" s="15" t="inlineStr">
        <is>
          <t>OGIDAN</t>
        </is>
      </c>
      <c r="O669" s="15" t="n">
        <v>102</v>
      </c>
      <c r="P669" s="15" t="inlineStr">
        <is>
          <t>2025-01-04</t>
        </is>
      </c>
      <c r="Q669" s="15" t="n"/>
      <c r="R669" s="15" t="inlineStr">
        <is>
          <t>Commission-record amount: confirm to bank statement (records can aggregate several transfers)</t>
        </is>
      </c>
    </row>
    <row r="670">
      <c r="A670" s="15" t="inlineStr">
        <is>
          <t>SL0666</t>
        </is>
      </c>
      <c r="B670" s="16" t="n">
        <v>45749</v>
      </c>
      <c r="C670" s="15" t="inlineStr">
        <is>
          <t>2025-04</t>
        </is>
      </c>
      <c r="D670" s="15" t="n">
        <v>2025</v>
      </c>
      <c r="E670" s="15" t="inlineStr">
        <is>
          <t>Land</t>
        </is>
      </c>
      <c r="F670" s="15" t="inlineStr">
        <is>
          <t>Plot / unit price</t>
        </is>
      </c>
      <c r="G670" s="15" t="inlineStr">
        <is>
          <t>Land (estate not stated in source)</t>
        </is>
      </c>
      <c r="H670" s="15" t="inlineStr">
        <is>
          <t>BP-C0138</t>
        </is>
      </c>
      <c r="I670" s="15" t="inlineStr">
        <is>
          <t>Mr Olatunde Selim Olowodagba</t>
        </is>
      </c>
      <c r="J670" s="17" t="n">
        <v>400000</v>
      </c>
      <c r="K670" s="15" t="n"/>
      <c r="L670" s="15" t="inlineStr">
        <is>
          <t>Secondary: commission records; no monthly turnover register for this period</t>
        </is>
      </c>
      <c r="M670" s="15" t="inlineStr">
        <is>
          <t>BAAY PROJECTS SALES EXPENSES (COMMISSION) RECORDS (1)</t>
        </is>
      </c>
      <c r="N670" s="15" t="inlineStr">
        <is>
          <t>OGIDAN</t>
        </is>
      </c>
      <c r="O670" s="15" t="n">
        <v>100</v>
      </c>
      <c r="P670" s="15" t="inlineStr">
        <is>
          <t>2025-02-04</t>
        </is>
      </c>
      <c r="Q670" s="15" t="n"/>
      <c r="R670" s="15" t="inlineStr">
        <is>
          <t>Commission-record amount: confirm to bank statement (records can aggregate several transfers)</t>
        </is>
      </c>
    </row>
    <row r="671">
      <c r="A671" s="15" t="inlineStr">
        <is>
          <t>SL0667</t>
        </is>
      </c>
      <c r="B671" s="16" t="n">
        <v>45749</v>
      </c>
      <c r="C671" s="15" t="inlineStr">
        <is>
          <t>2025-04</t>
        </is>
      </c>
      <c r="D671" s="15" t="n">
        <v>2025</v>
      </c>
      <c r="E671" s="15" t="inlineStr">
        <is>
          <t>Land</t>
        </is>
      </c>
      <c r="F671" s="15" t="inlineStr">
        <is>
          <t>Plot / unit price</t>
        </is>
      </c>
      <c r="G671" s="15" t="inlineStr">
        <is>
          <t>Land (estate not stated in source)</t>
        </is>
      </c>
      <c r="H671" s="15" t="inlineStr">
        <is>
          <t>BP-C0158</t>
        </is>
      </c>
      <c r="I671" s="15" t="inlineStr">
        <is>
          <t>Mr Shino Vincent Precious</t>
        </is>
      </c>
      <c r="J671" s="17" t="n">
        <v>200000</v>
      </c>
      <c r="K671" s="15" t="n"/>
      <c r="L671" s="15" t="inlineStr">
        <is>
          <t>Secondary: commission records; no monthly turnover register for this period</t>
        </is>
      </c>
      <c r="M671" s="15" t="inlineStr">
        <is>
          <t>BAAY PROJECTS SALES EXPENSES (COMMISSION) RECORDS (1)</t>
        </is>
      </c>
      <c r="N671" s="15" t="inlineStr">
        <is>
          <t>MR DANIEL</t>
        </is>
      </c>
      <c r="O671" s="15" t="n">
        <v>28</v>
      </c>
      <c r="P671" s="15" t="inlineStr">
        <is>
          <t>2025-02-04</t>
        </is>
      </c>
      <c r="Q671" s="15" t="n"/>
      <c r="R671" s="15" t="inlineStr">
        <is>
          <t>Commission-record amount: confirm to bank statement (records can aggregate several transfers)</t>
        </is>
      </c>
    </row>
    <row r="672">
      <c r="A672" s="15" t="inlineStr">
        <is>
          <t>SL0668</t>
        </is>
      </c>
      <c r="B672" s="16" t="n">
        <v>45749</v>
      </c>
      <c r="C672" s="15" t="inlineStr">
        <is>
          <t>2025-04</t>
        </is>
      </c>
      <c r="D672" s="15" t="n">
        <v>2025</v>
      </c>
      <c r="E672" s="15" t="inlineStr">
        <is>
          <t>Land</t>
        </is>
      </c>
      <c r="F672" s="15" t="inlineStr">
        <is>
          <t>Plot / unit price</t>
        </is>
      </c>
      <c r="G672" s="15" t="inlineStr">
        <is>
          <t>Land (estate not stated in source)</t>
        </is>
      </c>
      <c r="H672" s="15" t="inlineStr">
        <is>
          <t>BP-C0178</t>
        </is>
      </c>
      <c r="I672" s="15" t="inlineStr">
        <is>
          <t>Mrs Ajiri-Odeh Chioma</t>
        </is>
      </c>
      <c r="J672" s="17" t="n">
        <v>285000</v>
      </c>
      <c r="K672" s="15" t="n"/>
      <c r="L672" s="15" t="inlineStr">
        <is>
          <t>Secondary: commission records; no monthly turnover register for this period</t>
        </is>
      </c>
      <c r="M672" s="15" t="inlineStr">
        <is>
          <t>BAAY PROJECTS SALES EXPENSES (COMMISSION) RECORDS (1)</t>
        </is>
      </c>
      <c r="N672" s="15" t="inlineStr">
        <is>
          <t>MS JENNIFER</t>
        </is>
      </c>
      <c r="O672" s="15" t="n">
        <v>4</v>
      </c>
      <c r="P672" s="15" t="inlineStr">
        <is>
          <t>2025-02-04</t>
        </is>
      </c>
      <c r="Q672" s="15" t="n"/>
      <c r="R672" s="15" t="inlineStr">
        <is>
          <t>Commission-record amount: confirm to bank statement (records can aggregate several transfers)</t>
        </is>
      </c>
    </row>
    <row r="673">
      <c r="A673" s="15" t="inlineStr">
        <is>
          <t>SL0669</t>
        </is>
      </c>
      <c r="B673" s="16" t="n">
        <v>45750</v>
      </c>
      <c r="C673" s="15" t="inlineStr">
        <is>
          <t>2025-04</t>
        </is>
      </c>
      <c r="D673" s="15" t="n">
        <v>2025</v>
      </c>
      <c r="E673" s="15" t="inlineStr">
        <is>
          <t>Land</t>
        </is>
      </c>
      <c r="F673" s="15" t="inlineStr">
        <is>
          <t>Plot / unit price</t>
        </is>
      </c>
      <c r="G673" s="15" t="inlineStr">
        <is>
          <t>Land (estate not stated in source)</t>
        </is>
      </c>
      <c r="H673" s="15" t="inlineStr">
        <is>
          <t>BP-C0173</t>
        </is>
      </c>
      <c r="I673" s="15" t="inlineStr">
        <is>
          <t>Miss Julian-Nwadi Hephzibah Chisom</t>
        </is>
      </c>
      <c r="J673" s="17" t="n">
        <v>566000</v>
      </c>
      <c r="K673" s="15" t="n"/>
      <c r="L673" s="15" t="inlineStr">
        <is>
          <t>Secondary: commission records; no monthly turnover register for this period</t>
        </is>
      </c>
      <c r="M673" s="15" t="inlineStr">
        <is>
          <t>BAAY PROJECTS SALES EXPENSES (COMMISSION) RECORDS (1)</t>
        </is>
      </c>
      <c r="N673" s="15" t="inlineStr">
        <is>
          <t>MS ROSEMARY</t>
        </is>
      </c>
      <c r="O673" s="15" t="n">
        <v>18</v>
      </c>
      <c r="P673" s="15" t="inlineStr">
        <is>
          <t>2025-03-04</t>
        </is>
      </c>
      <c r="Q673" s="15" t="n"/>
      <c r="R673" s="15" t="inlineStr">
        <is>
          <t>Commission-record amount: confirm to bank statement (records can aggregate several transfers)</t>
        </is>
      </c>
    </row>
    <row r="674">
      <c r="A674" s="15" t="inlineStr">
        <is>
          <t>SL0670</t>
        </is>
      </c>
      <c r="B674" s="16" t="n">
        <v>45751</v>
      </c>
      <c r="C674" s="15" t="inlineStr">
        <is>
          <t>2025-04</t>
        </is>
      </c>
      <c r="D674" s="15" t="n">
        <v>2025</v>
      </c>
      <c r="E674" s="15" t="inlineStr">
        <is>
          <t>Land</t>
        </is>
      </c>
      <c r="F674" s="15" t="inlineStr">
        <is>
          <t>Plot / unit price</t>
        </is>
      </c>
      <c r="G674" s="15" t="inlineStr">
        <is>
          <t>Land (estate not stated in source)</t>
        </is>
      </c>
      <c r="H674" s="15" t="inlineStr">
        <is>
          <t>BP-C0168</t>
        </is>
      </c>
      <c r="I674" s="15" t="inlineStr">
        <is>
          <t>Mrs Adenuga Damilola Grace</t>
        </is>
      </c>
      <c r="J674" s="17" t="n">
        <v>350000</v>
      </c>
      <c r="K674" s="15" t="n"/>
      <c r="L674" s="15" t="inlineStr">
        <is>
          <t>Secondary: commission records; no monthly turnover register for this period</t>
        </is>
      </c>
      <c r="M674" s="15" t="inlineStr">
        <is>
          <t>BAAY PROJECTS SALES EXPENSES (COMMISSION) RECORDS (1)</t>
        </is>
      </c>
      <c r="N674" s="15" t="inlineStr">
        <is>
          <t>MS ADENIKE</t>
        </is>
      </c>
      <c r="O674" s="15" t="n">
        <v>50</v>
      </c>
      <c r="P674" s="15" t="inlineStr">
        <is>
          <t>2025-04-04</t>
        </is>
      </c>
      <c r="Q674" s="15" t="n"/>
      <c r="R674" s="15" t="inlineStr">
        <is>
          <t>Commission-record amount: confirm to bank statement (records can aggregate several transfers)</t>
        </is>
      </c>
    </row>
    <row r="675">
      <c r="A675" s="15" t="inlineStr">
        <is>
          <t>SL0671</t>
        </is>
      </c>
      <c r="B675" s="16" t="n">
        <v>45752</v>
      </c>
      <c r="C675" s="15" t="inlineStr">
        <is>
          <t>2025-04</t>
        </is>
      </c>
      <c r="D675" s="15" t="n">
        <v>2025</v>
      </c>
      <c r="E675" s="15" t="inlineStr">
        <is>
          <t>Housing</t>
        </is>
      </c>
      <c r="F675" s="15" t="inlineStr">
        <is>
          <t>Plot / unit price</t>
        </is>
      </c>
      <c r="G675" s="15" t="inlineStr">
        <is>
          <t>Pacific Apartment</t>
        </is>
      </c>
      <c r="H675" s="15" t="inlineStr">
        <is>
          <t>BP-C0192</t>
        </is>
      </c>
      <c r="I675" s="15" t="inlineStr">
        <is>
          <t>Dr Esangbedo Wilson</t>
        </is>
      </c>
      <c r="J675" s="17" t="n">
        <v>10000000</v>
      </c>
      <c r="K675" s="15" t="n"/>
      <c r="L675" s="15" t="inlineStr">
        <is>
          <t>Secondary: commission records; no monthly turnover register for this period</t>
        </is>
      </c>
      <c r="M675" s="15" t="inlineStr">
        <is>
          <t>BAAY PROJECTS SALES EXPENSES (COMMISSION) RECORDS (1)</t>
        </is>
      </c>
      <c r="N675" s="15" t="inlineStr">
        <is>
          <t>MS MOFFAT</t>
        </is>
      </c>
      <c r="O675" s="15" t="n">
        <v>16</v>
      </c>
      <c r="P675" s="15" t="inlineStr">
        <is>
          <t>2025-05-04</t>
        </is>
      </c>
      <c r="Q675" s="15" t="inlineStr">
        <is>
          <t>MRS ABIMBOLA r190</t>
        </is>
      </c>
      <c r="R675" s="15" t="inlineStr">
        <is>
          <t>Commission-record amount: confirm to bank statement (records can aggregate several transfers)</t>
        </is>
      </c>
    </row>
    <row r="676">
      <c r="A676" s="15" t="inlineStr">
        <is>
          <t>SL0672</t>
        </is>
      </c>
      <c r="B676" s="16" t="n">
        <v>45753</v>
      </c>
      <c r="C676" s="15" t="inlineStr">
        <is>
          <t>2025-04</t>
        </is>
      </c>
      <c r="D676" s="15" t="n">
        <v>2025</v>
      </c>
      <c r="E676" s="15" t="inlineStr">
        <is>
          <t>Land</t>
        </is>
      </c>
      <c r="F676" s="15" t="inlineStr">
        <is>
          <t>Plot / unit price</t>
        </is>
      </c>
      <c r="G676" s="15" t="inlineStr">
        <is>
          <t>Land (estate not stated in source)</t>
        </is>
      </c>
      <c r="H676" s="15" t="inlineStr">
        <is>
          <t>BP-C0191</t>
        </is>
      </c>
      <c r="I676" s="15" t="inlineStr">
        <is>
          <t>Mrs Oduomah Jumoke</t>
        </is>
      </c>
      <c r="J676" s="17" t="n">
        <v>200000</v>
      </c>
      <c r="K676" s="15" t="n"/>
      <c r="L676" s="15" t="inlineStr">
        <is>
          <t>Secondary: commission records; no monthly turnover register for this period</t>
        </is>
      </c>
      <c r="M676" s="15" t="inlineStr">
        <is>
          <t>BAAY PROJECTS SALES EXPENSES (COMMISSION) RECORDS (1)</t>
        </is>
      </c>
      <c r="N676" s="15" t="inlineStr">
        <is>
          <t>MR KENNY BRUCE</t>
        </is>
      </c>
      <c r="O676" s="15" t="n">
        <v>3</v>
      </c>
      <c r="P676" s="15" t="inlineStr">
        <is>
          <t>2025-06-04</t>
        </is>
      </c>
      <c r="Q676" s="15" t="n"/>
      <c r="R676" s="15" t="inlineStr">
        <is>
          <t>Commission-record amount: confirm to bank statement (records can aggregate several transfers)</t>
        </is>
      </c>
    </row>
    <row r="677">
      <c r="A677" s="15" t="inlineStr">
        <is>
          <t>SL0673</t>
        </is>
      </c>
      <c r="B677" s="16" t="n">
        <v>45754</v>
      </c>
      <c r="C677" s="15" t="inlineStr">
        <is>
          <t>2025-04</t>
        </is>
      </c>
      <c r="D677" s="15" t="n">
        <v>2025</v>
      </c>
      <c r="E677" s="15" t="inlineStr">
        <is>
          <t>Land</t>
        </is>
      </c>
      <c r="F677" s="15" t="inlineStr">
        <is>
          <t>Plot / unit price</t>
        </is>
      </c>
      <c r="G677" s="15" t="inlineStr">
        <is>
          <t>Land (estate not stated in source)</t>
        </is>
      </c>
      <c r="H677" s="15" t="inlineStr">
        <is>
          <t>BP-C0193</t>
        </is>
      </c>
      <c r="I677" s="15" t="inlineStr">
        <is>
          <t>Mr Emmanuel Famous Chinenye</t>
        </is>
      </c>
      <c r="J677" s="17" t="n">
        <v>500000</v>
      </c>
      <c r="K677" s="15" t="n"/>
      <c r="L677" s="15" t="inlineStr">
        <is>
          <t>Secondary: commission records; no monthly turnover register for this period</t>
        </is>
      </c>
      <c r="M677" s="15" t="inlineStr">
        <is>
          <t>BAAY PROJECTS SALES EXPENSES (COMMISSION) RECORDS (1)</t>
        </is>
      </c>
      <c r="N677" s="15" t="inlineStr">
        <is>
          <t>MS ROSEMARY</t>
        </is>
      </c>
      <c r="O677" s="15" t="n">
        <v>19</v>
      </c>
      <c r="P677" s="15" t="inlineStr">
        <is>
          <t>2025-07-04</t>
        </is>
      </c>
      <c r="Q677" s="15" t="n"/>
      <c r="R677" s="15" t="inlineStr">
        <is>
          <t>Commission-record amount: confirm to bank statement (records can aggregate several transfers)</t>
        </is>
      </c>
    </row>
    <row r="678">
      <c r="A678" s="15" t="inlineStr">
        <is>
          <t>SL0674</t>
        </is>
      </c>
      <c r="B678" s="16" t="n">
        <v>45754</v>
      </c>
      <c r="C678" s="15" t="inlineStr">
        <is>
          <t>2025-04</t>
        </is>
      </c>
      <c r="D678" s="15" t="n">
        <v>2025</v>
      </c>
      <c r="E678" s="15" t="inlineStr">
        <is>
          <t>Land</t>
        </is>
      </c>
      <c r="F678" s="15" t="inlineStr">
        <is>
          <t>Plot / unit price</t>
        </is>
      </c>
      <c r="G678" s="15" t="inlineStr">
        <is>
          <t>Land (estate not stated in source)</t>
        </is>
      </c>
      <c r="H678" s="15" t="inlineStr">
        <is>
          <t>BP-C0151</t>
        </is>
      </c>
      <c r="I678" s="15" t="inlineStr">
        <is>
          <t>Mrs Shotonwa Olamide Abosede</t>
        </is>
      </c>
      <c r="J678" s="17" t="n">
        <v>1500000</v>
      </c>
      <c r="K678" s="15" t="n"/>
      <c r="L678" s="15" t="inlineStr">
        <is>
          <t>Secondary: commission records; no monthly turnover register for this period</t>
        </is>
      </c>
      <c r="M678" s="15" t="inlineStr">
        <is>
          <t>BAAY PROJECTS SALES EXPENSES (COMMISSION) RECORDS (1)</t>
        </is>
      </c>
      <c r="N678" s="15" t="inlineStr">
        <is>
          <t>MS ADENIKE</t>
        </is>
      </c>
      <c r="O678" s="15" t="n">
        <v>51</v>
      </c>
      <c r="P678" s="15" t="inlineStr">
        <is>
          <t>2025-07-04</t>
        </is>
      </c>
      <c r="Q678" s="15" t="n"/>
      <c r="R678" s="15" t="inlineStr">
        <is>
          <t>Commission-record amount: confirm to bank statement (records can aggregate several transfers)</t>
        </is>
      </c>
    </row>
    <row r="679">
      <c r="A679" s="15" t="inlineStr">
        <is>
          <t>SL0675</t>
        </is>
      </c>
      <c r="B679" s="16" t="n">
        <v>45755</v>
      </c>
      <c r="C679" s="15" t="inlineStr">
        <is>
          <t>2025-04</t>
        </is>
      </c>
      <c r="D679" s="15" t="n">
        <v>2025</v>
      </c>
      <c r="E679" s="15" t="inlineStr">
        <is>
          <t>Land</t>
        </is>
      </c>
      <c r="F679" s="15" t="inlineStr">
        <is>
          <t>Plot / unit price</t>
        </is>
      </c>
      <c r="G679" s="15" t="inlineStr">
        <is>
          <t>Land (estate not stated in source)</t>
        </is>
      </c>
      <c r="H679" s="15" t="inlineStr">
        <is>
          <t>BP-C0148</t>
        </is>
      </c>
      <c r="I679" s="15" t="inlineStr">
        <is>
          <t>Mr Akinsete Michael</t>
        </is>
      </c>
      <c r="J679" s="17" t="n">
        <v>700000</v>
      </c>
      <c r="K679" s="15" t="n"/>
      <c r="L679" s="15" t="inlineStr">
        <is>
          <t>Secondary: commission records; no monthly turnover register for this period</t>
        </is>
      </c>
      <c r="M679" s="15" t="inlineStr">
        <is>
          <t>BAAY PROJECTS SALES EXPENSES (COMMISSION) RECORDS (1)</t>
        </is>
      </c>
      <c r="N679" s="15" t="inlineStr">
        <is>
          <t>MD</t>
        </is>
      </c>
      <c r="O679" s="15" t="n">
        <v>159</v>
      </c>
      <c r="P679" s="15" t="inlineStr">
        <is>
          <t>2025-08-04</t>
        </is>
      </c>
      <c r="Q679" s="15" t="n"/>
      <c r="R679" s="15" t="inlineStr">
        <is>
          <t>Commission-record amount: confirm to bank statement (records can aggregate several transfers)</t>
        </is>
      </c>
    </row>
    <row r="680">
      <c r="A680" s="15" t="inlineStr">
        <is>
          <t>SL0676</t>
        </is>
      </c>
      <c r="B680" s="16" t="n">
        <v>45756</v>
      </c>
      <c r="C680" s="15" t="inlineStr">
        <is>
          <t>2025-04</t>
        </is>
      </c>
      <c r="D680" s="15" t="n">
        <v>2025</v>
      </c>
      <c r="E680" s="15" t="inlineStr">
        <is>
          <t>Housing</t>
        </is>
      </c>
      <c r="F680" s="15" t="inlineStr">
        <is>
          <t>Plot / unit price</t>
        </is>
      </c>
      <c r="G680" s="15" t="inlineStr">
        <is>
          <t>Housing unit (project not stated in source)</t>
        </is>
      </c>
      <c r="H680" s="15" t="inlineStr">
        <is>
          <t>BP-C0133</t>
        </is>
      </c>
      <c r="I680" s="15" t="inlineStr">
        <is>
          <t>Mr Olagbende Oluwashina Oluwaseun</t>
        </is>
      </c>
      <c r="J680" s="17" t="n">
        <v>2000000</v>
      </c>
      <c r="K680" s="15" t="n"/>
      <c r="L680" s="15" t="inlineStr">
        <is>
          <t>Secondary: commission records; no monthly turnover register for this period</t>
        </is>
      </c>
      <c r="M680" s="15" t="inlineStr">
        <is>
          <t>BAAY PROJECTS SALES EXPENSES (COMMISSION) RECORDS (1)</t>
        </is>
      </c>
      <c r="N680" s="15" t="inlineStr">
        <is>
          <t>MS AWONORIN MAYOWA</t>
        </is>
      </c>
      <c r="O680" s="15" t="n">
        <v>65</v>
      </c>
      <c r="P680" s="15" t="inlineStr">
        <is>
          <t>2025-09-04</t>
        </is>
      </c>
      <c r="Q680" s="15" t="n"/>
      <c r="R680" s="15" t="inlineStr">
        <is>
          <t>Commission-record amount: confirm to bank statement (records can aggregate several transfers)</t>
        </is>
      </c>
    </row>
    <row r="681">
      <c r="A681" s="15" t="inlineStr">
        <is>
          <t>SL0677</t>
        </is>
      </c>
      <c r="B681" s="16" t="n">
        <v>45757</v>
      </c>
      <c r="C681" s="15" t="inlineStr">
        <is>
          <t>2025-04</t>
        </is>
      </c>
      <c r="D681" s="15" t="n">
        <v>2025</v>
      </c>
      <c r="E681" s="15" t="inlineStr">
        <is>
          <t>Land</t>
        </is>
      </c>
      <c r="F681" s="15" t="inlineStr">
        <is>
          <t>Plot / unit price</t>
        </is>
      </c>
      <c r="G681" s="15" t="inlineStr">
        <is>
          <t>Land (estate not stated in source)</t>
        </is>
      </c>
      <c r="H681" s="15" t="inlineStr">
        <is>
          <t>BP-C0193</t>
        </is>
      </c>
      <c r="I681" s="15" t="inlineStr">
        <is>
          <t>Mr Emmanuel Famous Chinenye</t>
        </is>
      </c>
      <c r="J681" s="17" t="n">
        <v>550000</v>
      </c>
      <c r="K681" s="15" t="n"/>
      <c r="L681" s="15" t="inlineStr">
        <is>
          <t>Secondary: commission records; no monthly turnover register for this period</t>
        </is>
      </c>
      <c r="M681" s="15" t="inlineStr">
        <is>
          <t>BAAY PROJECTS SALES EXPENSES (COMMISSION) RECORDS (1)</t>
        </is>
      </c>
      <c r="N681" s="15" t="inlineStr">
        <is>
          <t>MS ROSEMARY</t>
        </is>
      </c>
      <c r="O681" s="15" t="n">
        <v>20</v>
      </c>
      <c r="P681" s="15" t="inlineStr">
        <is>
          <t>2025-10-04</t>
        </is>
      </c>
      <c r="Q681" s="15" t="n"/>
      <c r="R681" s="15" t="inlineStr">
        <is>
          <t>Commission-record amount: confirm to bank statement (records can aggregate several transfers)</t>
        </is>
      </c>
    </row>
    <row r="682">
      <c r="A682" s="15" t="inlineStr">
        <is>
          <t>SL0678</t>
        </is>
      </c>
      <c r="B682" s="16" t="n">
        <v>45758</v>
      </c>
      <c r="C682" s="15" t="inlineStr">
        <is>
          <t>2025-04</t>
        </is>
      </c>
      <c r="D682" s="15" t="n">
        <v>2025</v>
      </c>
      <c r="E682" s="15" t="inlineStr">
        <is>
          <t>Housing</t>
        </is>
      </c>
      <c r="F682" s="15" t="inlineStr">
        <is>
          <t>Plot / unit price</t>
        </is>
      </c>
      <c r="G682" s="15" t="inlineStr">
        <is>
          <t>Pacific Apartment</t>
        </is>
      </c>
      <c r="H682" s="15" t="inlineStr">
        <is>
          <t>BP-C0143</t>
        </is>
      </c>
      <c r="I682" s="15" t="inlineStr">
        <is>
          <t>Mrs Oyindamola Duntoye Adekunle</t>
        </is>
      </c>
      <c r="J682" s="17" t="n">
        <v>4750000</v>
      </c>
      <c r="K682" s="15" t="n"/>
      <c r="L682" s="15" t="inlineStr">
        <is>
          <t>Secondary: commission records; no monthly turnover register for this period</t>
        </is>
      </c>
      <c r="M682" s="15" t="inlineStr">
        <is>
          <t>BAAY PROJECTS SALES EXPENSES (COMMISSION) RECORDS (1)</t>
        </is>
      </c>
      <c r="N682" s="15" t="inlineStr">
        <is>
          <t>MAMA ADEBIMPE</t>
        </is>
      </c>
      <c r="O682" s="15" t="n">
        <v>153</v>
      </c>
      <c r="P682" s="15" t="inlineStr">
        <is>
          <t>2025-11-04</t>
        </is>
      </c>
      <c r="Q682" s="15" t="n"/>
      <c r="R682" s="15" t="inlineStr">
        <is>
          <t>Commission-record amount: confirm to bank statement (records can aggregate several transfers)</t>
        </is>
      </c>
    </row>
    <row r="683">
      <c r="A683" s="15" t="inlineStr">
        <is>
          <t>SL0679</t>
        </is>
      </c>
      <c r="B683" s="16" t="n">
        <v>45758</v>
      </c>
      <c r="C683" s="15" t="inlineStr">
        <is>
          <t>2025-04</t>
        </is>
      </c>
      <c r="D683" s="15" t="n">
        <v>2025</v>
      </c>
      <c r="E683" s="15" t="inlineStr">
        <is>
          <t>Housing</t>
        </is>
      </c>
      <c r="F683" s="15" t="inlineStr">
        <is>
          <t>Plot / unit price</t>
        </is>
      </c>
      <c r="G683" s="15" t="inlineStr">
        <is>
          <t>Pacific Apartment</t>
        </is>
      </c>
      <c r="H683" s="15" t="inlineStr">
        <is>
          <t>BP-C0183</t>
        </is>
      </c>
      <c r="I683" s="15" t="inlineStr">
        <is>
          <t>Salem Real Estate (Mr Atoyebi Isaac Jesuloba)</t>
        </is>
      </c>
      <c r="J683" s="17" t="n">
        <v>2000000</v>
      </c>
      <c r="K683" s="15" t="n"/>
      <c r="L683" s="15" t="inlineStr">
        <is>
          <t>Secondary: commission records; no monthly turnover register for this period</t>
        </is>
      </c>
      <c r="M683" s="15" t="inlineStr">
        <is>
          <t>BAAY PROJECTS SALES EXPENSES (COMMISSION) RECORDS (1)</t>
        </is>
      </c>
      <c r="N683" s="15" t="inlineStr">
        <is>
          <t>MD</t>
        </is>
      </c>
      <c r="O683" s="15" t="n">
        <v>163</v>
      </c>
      <c r="P683" s="15" t="inlineStr">
        <is>
          <t>2025-11-04</t>
        </is>
      </c>
      <c r="Q683" s="15" t="inlineStr">
        <is>
          <t>SALEM REAL ESTATE r6</t>
        </is>
      </c>
      <c r="R683" s="15" t="inlineStr">
        <is>
          <t>Commission-record amount: confirm to bank statement (records can aggregate several transfers)</t>
        </is>
      </c>
    </row>
    <row r="684">
      <c r="A684" s="15" t="inlineStr">
        <is>
          <t>SL0680</t>
        </is>
      </c>
      <c r="B684" s="16" t="n">
        <v>45759</v>
      </c>
      <c r="C684" s="15" t="inlineStr">
        <is>
          <t>2025-04</t>
        </is>
      </c>
      <c r="D684" s="15" t="n">
        <v>2025</v>
      </c>
      <c r="E684" s="15" t="inlineStr">
        <is>
          <t>Housing</t>
        </is>
      </c>
      <c r="F684" s="15" t="inlineStr">
        <is>
          <t>Plot / unit price</t>
        </is>
      </c>
      <c r="G684" s="15" t="inlineStr">
        <is>
          <t>Pacific Apartment</t>
        </is>
      </c>
      <c r="H684" s="15" t="inlineStr">
        <is>
          <t>BP-C0194</t>
        </is>
      </c>
      <c r="I684" s="15" t="inlineStr">
        <is>
          <t>Mrs Enitan Pine</t>
        </is>
      </c>
      <c r="J684" s="17" t="n">
        <v>5000000</v>
      </c>
      <c r="K684" s="15" t="n"/>
      <c r="L684" s="15" t="inlineStr">
        <is>
          <t>Secondary: commission records; no monthly turnover register for this period</t>
        </is>
      </c>
      <c r="M684" s="15" t="inlineStr">
        <is>
          <t>BAAY PROJECTS SALES EXPENSES (COMMISSION) RECORDS (1)</t>
        </is>
      </c>
      <c r="N684" s="15" t="inlineStr">
        <is>
          <t>MD</t>
        </is>
      </c>
      <c r="O684" s="15" t="n">
        <v>162</v>
      </c>
      <c r="P684" s="15" t="inlineStr">
        <is>
          <t>2025-12-04</t>
        </is>
      </c>
      <c r="Q684" s="15" t="n"/>
      <c r="R684" s="15" t="inlineStr">
        <is>
          <t>Commission-record amount: confirm to bank statement (records can aggregate several transfers)</t>
        </is>
      </c>
    </row>
    <row r="685">
      <c r="A685" s="15" t="inlineStr">
        <is>
          <t>SL0681</t>
        </is>
      </c>
      <c r="B685" s="16" t="n">
        <v>45761</v>
      </c>
      <c r="C685" s="15" t="inlineStr">
        <is>
          <t>2025-04</t>
        </is>
      </c>
      <c r="D685" s="15" t="n">
        <v>2025</v>
      </c>
      <c r="E685" s="15" t="inlineStr">
        <is>
          <t>Land</t>
        </is>
      </c>
      <c r="F685" s="15" t="inlineStr">
        <is>
          <t>Plot / unit price</t>
        </is>
      </c>
      <c r="G685" s="15" t="inlineStr">
        <is>
          <t>Land (estate not stated in source)</t>
        </is>
      </c>
      <c r="H685" s="15" t="inlineStr">
        <is>
          <t>BP-C0181</t>
        </is>
      </c>
      <c r="I685" s="15" t="inlineStr">
        <is>
          <t>Miss Joshua Fortune Ufot</t>
        </is>
      </c>
      <c r="J685" s="17" t="n">
        <v>1000000</v>
      </c>
      <c r="K685" s="15" t="n"/>
      <c r="L685" s="15" t="inlineStr">
        <is>
          <t>Secondary: commission records; no monthly turnover register for this period</t>
        </is>
      </c>
      <c r="M685" s="15" t="inlineStr">
        <is>
          <t>BAAY PROJECTS SALES EXPENSES (COMMISSION) RECORDS (1)</t>
        </is>
      </c>
      <c r="N685" s="15" t="inlineStr">
        <is>
          <t>MS PRAISE</t>
        </is>
      </c>
      <c r="O685" s="15" t="n">
        <v>3</v>
      </c>
      <c r="P685" s="15" t="inlineStr">
        <is>
          <t>14/04/2025</t>
        </is>
      </c>
      <c r="Q685" s="15" t="n"/>
      <c r="R685" s="15" t="inlineStr">
        <is>
          <t>Commission-record amount: confirm to bank statement (records can aggregate several transfers)</t>
        </is>
      </c>
    </row>
    <row r="686">
      <c r="A686" s="15" t="inlineStr">
        <is>
          <t>SL0682</t>
        </is>
      </c>
      <c r="B686" s="16" t="n">
        <v>45762</v>
      </c>
      <c r="C686" s="15" t="inlineStr">
        <is>
          <t>2025-04</t>
        </is>
      </c>
      <c r="D686" s="15" t="n">
        <v>2025</v>
      </c>
      <c r="E686" s="15" t="inlineStr">
        <is>
          <t>Housing</t>
        </is>
      </c>
      <c r="F686" s="15" t="inlineStr">
        <is>
          <t>Plot / unit price</t>
        </is>
      </c>
      <c r="G686" s="15" t="inlineStr">
        <is>
          <t>Pacific Apartment</t>
        </is>
      </c>
      <c r="H686" s="15" t="inlineStr">
        <is>
          <t>BP-C0160</t>
        </is>
      </c>
      <c r="I686" s="15" t="inlineStr">
        <is>
          <t>Mr Okenla Olugboyega Gabriel</t>
        </is>
      </c>
      <c r="J686" s="17" t="n">
        <v>2000000</v>
      </c>
      <c r="K686" s="15" t="n"/>
      <c r="L686" s="15" t="inlineStr">
        <is>
          <t>Secondary: commission records; no monthly turnover register for this period</t>
        </is>
      </c>
      <c r="M686" s="15" t="inlineStr">
        <is>
          <t>BAAY PROJECTS SALES EXPENSES (COMMISSION) RECORDS (1)</t>
        </is>
      </c>
      <c r="N686" s="15" t="inlineStr">
        <is>
          <t>MS MOFFAT</t>
        </is>
      </c>
      <c r="O686" s="15" t="n">
        <v>17</v>
      </c>
      <c r="P686" s="15" t="inlineStr">
        <is>
          <t>15/04/2025</t>
        </is>
      </c>
      <c r="Q686" s="15" t="inlineStr">
        <is>
          <t>MRS ABIMBOLA r191</t>
        </is>
      </c>
      <c r="R686" s="15" t="inlineStr">
        <is>
          <t>Commission-record amount: confirm to bank statement (records can aggregate several transfers)</t>
        </is>
      </c>
    </row>
    <row r="687">
      <c r="A687" s="15" t="inlineStr">
        <is>
          <t>SL0683</t>
        </is>
      </c>
      <c r="B687" s="16" t="n">
        <v>45763</v>
      </c>
      <c r="C687" s="15" t="inlineStr">
        <is>
          <t>2025-04</t>
        </is>
      </c>
      <c r="D687" s="15" t="n">
        <v>2025</v>
      </c>
      <c r="E687" s="15" t="inlineStr">
        <is>
          <t>Land</t>
        </is>
      </c>
      <c r="F687" s="15" t="inlineStr">
        <is>
          <t>Plot / unit price</t>
        </is>
      </c>
      <c r="G687" s="15" t="inlineStr">
        <is>
          <t>Land (estate not stated in source)</t>
        </is>
      </c>
      <c r="H687" s="15" t="inlineStr">
        <is>
          <t>BP-C0050</t>
        </is>
      </c>
      <c r="I687" s="15" t="inlineStr">
        <is>
          <t>Mr Atuanya Patrick Jideovo</t>
        </is>
      </c>
      <c r="J687" s="17" t="n">
        <v>400000</v>
      </c>
      <c r="K687" s="15" t="n"/>
      <c r="L687" s="15" t="inlineStr">
        <is>
          <t>Secondary: commission records; no monthly turnover register for this period</t>
        </is>
      </c>
      <c r="M687" s="15" t="inlineStr">
        <is>
          <t>BAAY PROJECTS SALES EXPENSES (COMMISSION) RECORDS (1)</t>
        </is>
      </c>
      <c r="N687" s="15" t="inlineStr">
        <is>
          <t>MS YETUNDE ABISOYE</t>
        </is>
      </c>
      <c r="O687" s="15" t="n">
        <v>95</v>
      </c>
      <c r="P687" s="15" t="inlineStr">
        <is>
          <t>16/04/2025</t>
        </is>
      </c>
      <c r="Q687" s="15" t="n"/>
      <c r="R687" s="15" t="inlineStr">
        <is>
          <t>Commission-record amount: confirm to bank statement (records can aggregate several transfers)</t>
        </is>
      </c>
    </row>
    <row r="688">
      <c r="A688" s="15" t="inlineStr">
        <is>
          <t>SL0684</t>
        </is>
      </c>
      <c r="B688" s="16" t="n">
        <v>45769</v>
      </c>
      <c r="C688" s="15" t="inlineStr">
        <is>
          <t>2025-04</t>
        </is>
      </c>
      <c r="D688" s="15" t="n">
        <v>2025</v>
      </c>
      <c r="E688" s="15" t="inlineStr">
        <is>
          <t>Housing</t>
        </is>
      </c>
      <c r="F688" s="15" t="inlineStr">
        <is>
          <t>Plot / unit price</t>
        </is>
      </c>
      <c r="G688" s="15" t="inlineStr">
        <is>
          <t>Pacific Apartment</t>
        </is>
      </c>
      <c r="H688" s="15" t="inlineStr">
        <is>
          <t>BP-C0179</t>
        </is>
      </c>
      <c r="I688" s="15" t="inlineStr">
        <is>
          <t>Mr Olajide Afeez</t>
        </is>
      </c>
      <c r="J688" s="17" t="n">
        <v>5000000</v>
      </c>
      <c r="K688" s="15" t="n"/>
      <c r="L688" s="15" t="inlineStr">
        <is>
          <t>Secondary: commission records; no monthly turnover register for this period</t>
        </is>
      </c>
      <c r="M688" s="15" t="inlineStr">
        <is>
          <t>BAAY PROJECTS SALES EXPENSES (COMMISSION) RECORDS (1)</t>
        </is>
      </c>
      <c r="N688" s="15" t="inlineStr">
        <is>
          <t>MD</t>
        </is>
      </c>
      <c r="O688" s="15" t="n">
        <v>160</v>
      </c>
      <c r="P688" s="15" t="inlineStr">
        <is>
          <t>22/04/2025</t>
        </is>
      </c>
      <c r="Q688" s="15" t="n"/>
      <c r="R688" s="15" t="inlineStr">
        <is>
          <t>Commission-record amount: confirm to bank statement (records can aggregate several transfers)</t>
        </is>
      </c>
    </row>
    <row r="689">
      <c r="A689" s="15" t="inlineStr">
        <is>
          <t>SL0685</t>
        </is>
      </c>
      <c r="B689" s="16" t="n">
        <v>45769</v>
      </c>
      <c r="C689" s="15" t="inlineStr">
        <is>
          <t>2025-04</t>
        </is>
      </c>
      <c r="D689" s="15" t="n">
        <v>2025</v>
      </c>
      <c r="E689" s="15" t="inlineStr">
        <is>
          <t>Housing</t>
        </is>
      </c>
      <c r="F689" s="15" t="inlineStr">
        <is>
          <t>Plot / unit price</t>
        </is>
      </c>
      <c r="G689" s="15" t="inlineStr">
        <is>
          <t>Pacific Apartment</t>
        </is>
      </c>
      <c r="H689" s="15" t="inlineStr">
        <is>
          <t>BP-C0186</t>
        </is>
      </c>
      <c r="I689" s="15" t="inlineStr">
        <is>
          <t>Salem real Estate (Mrs Omoko Onora Helen)</t>
        </is>
      </c>
      <c r="J689" s="17" t="n">
        <v>5000000</v>
      </c>
      <c r="K689" s="15" t="n"/>
      <c r="L689" s="15" t="inlineStr">
        <is>
          <t>Secondary: commission records; no monthly turnover register for this period</t>
        </is>
      </c>
      <c r="M689" s="15" t="inlineStr">
        <is>
          <t>BAAY PROJECTS SALES EXPENSES (COMMISSION) RECORDS (1)</t>
        </is>
      </c>
      <c r="N689" s="15" t="inlineStr">
        <is>
          <t>MR CHARLES</t>
        </is>
      </c>
      <c r="O689" s="15" t="n">
        <v>83</v>
      </c>
      <c r="P689" s="15" t="inlineStr">
        <is>
          <t>22/04/2025</t>
        </is>
      </c>
      <c r="Q689" s="15" t="inlineStr">
        <is>
          <t>SALEM REAL ESTATE r5</t>
        </is>
      </c>
      <c r="R689" s="15" t="inlineStr">
        <is>
          <t>Commission-record amount: confirm to bank statement (records can aggregate several transfers)</t>
        </is>
      </c>
    </row>
    <row r="690">
      <c r="A690" s="15" t="inlineStr">
        <is>
          <t>SL0686</t>
        </is>
      </c>
      <c r="B690" s="16" t="n">
        <v>45770</v>
      </c>
      <c r="C690" s="15" t="inlineStr">
        <is>
          <t>2025-04</t>
        </is>
      </c>
      <c r="D690" s="15" t="n">
        <v>2025</v>
      </c>
      <c r="E690" s="15" t="inlineStr">
        <is>
          <t>Land</t>
        </is>
      </c>
      <c r="F690" s="15" t="inlineStr">
        <is>
          <t>Plot / unit price</t>
        </is>
      </c>
      <c r="G690" s="15" t="inlineStr">
        <is>
          <t>Land (estate not stated in source)</t>
        </is>
      </c>
      <c r="H690" s="15" t="inlineStr">
        <is>
          <t>BP-C0184</t>
        </is>
      </c>
      <c r="I690" s="15" t="inlineStr">
        <is>
          <t>Mr Klu Jeremiah</t>
        </is>
      </c>
      <c r="J690" s="17" t="n">
        <v>500000</v>
      </c>
      <c r="K690" s="15" t="n"/>
      <c r="L690" s="15" t="inlineStr">
        <is>
          <t>Secondary: commission records; no monthly turnover register for this period</t>
        </is>
      </c>
      <c r="M690" s="15" t="inlineStr">
        <is>
          <t>BAAY PROJECTS SALES EXPENSES (COMMISSION) RECORDS (1)</t>
        </is>
      </c>
      <c r="N690" s="15" t="inlineStr">
        <is>
          <t>MS BOLANLE</t>
        </is>
      </c>
      <c r="O690" s="15" t="n">
        <v>135</v>
      </c>
      <c r="P690" s="15" t="inlineStr">
        <is>
          <t>23/04/2025</t>
        </is>
      </c>
      <c r="Q690" s="15" t="n"/>
      <c r="R690" s="15" t="inlineStr">
        <is>
          <t>Commission-record amount: confirm to bank statement (records can aggregate several transfers)</t>
        </is>
      </c>
    </row>
    <row r="691">
      <c r="A691" s="15" t="inlineStr">
        <is>
          <t>SL0687</t>
        </is>
      </c>
      <c r="B691" s="16" t="n">
        <v>45770</v>
      </c>
      <c r="C691" s="15" t="inlineStr">
        <is>
          <t>2025-04</t>
        </is>
      </c>
      <c r="D691" s="15" t="n">
        <v>2025</v>
      </c>
      <c r="E691" s="15" t="inlineStr">
        <is>
          <t>Land</t>
        </is>
      </c>
      <c r="F691" s="15" t="inlineStr">
        <is>
          <t>Plot / unit price</t>
        </is>
      </c>
      <c r="G691" s="15" t="inlineStr">
        <is>
          <t>Land (estate not stated in source)</t>
        </is>
      </c>
      <c r="H691" s="15" t="inlineStr">
        <is>
          <t>BP-C0184</t>
        </is>
      </c>
      <c r="I691" s="15" t="inlineStr">
        <is>
          <t>Mr Klu Jeremiah</t>
        </is>
      </c>
      <c r="J691" s="17" t="n">
        <v>50000</v>
      </c>
      <c r="K691" s="15" t="n"/>
      <c r="L691" s="15" t="inlineStr">
        <is>
          <t>Secondary: commission records; no monthly turnover register for this period</t>
        </is>
      </c>
      <c r="M691" s="15" t="inlineStr">
        <is>
          <t>BAAY PROJECTS SALES EXPENSES (COMMISSION) RECORDS (1)</t>
        </is>
      </c>
      <c r="N691" s="15" t="inlineStr">
        <is>
          <t>MS BOLANLE</t>
        </is>
      </c>
      <c r="O691" s="15" t="n">
        <v>136</v>
      </c>
      <c r="P691" s="15" t="inlineStr">
        <is>
          <t>23/04/2025</t>
        </is>
      </c>
      <c r="Q691" s="15" t="n"/>
      <c r="R691" s="15" t="inlineStr">
        <is>
          <t>Commission-record amount: confirm to bank statement (records can aggregate several transfers)</t>
        </is>
      </c>
    </row>
    <row r="692">
      <c r="A692" s="15" t="inlineStr">
        <is>
          <t>SL0688</t>
        </is>
      </c>
      <c r="B692" s="16" t="n">
        <v>45772</v>
      </c>
      <c r="C692" s="15" t="inlineStr">
        <is>
          <t>2025-04</t>
        </is>
      </c>
      <c r="D692" s="15" t="n">
        <v>2025</v>
      </c>
      <c r="E692" s="15" t="inlineStr">
        <is>
          <t>Land</t>
        </is>
      </c>
      <c r="F692" s="15" t="inlineStr">
        <is>
          <t>Plot / unit price</t>
        </is>
      </c>
      <c r="G692" s="15" t="inlineStr">
        <is>
          <t>Land (estate not stated in source)</t>
        </is>
      </c>
      <c r="H692" s="15" t="inlineStr">
        <is>
          <t>BP-C0136</t>
        </is>
      </c>
      <c r="I692" s="15" t="inlineStr">
        <is>
          <t>Mr Isibor Godwin</t>
        </is>
      </c>
      <c r="J692" s="17" t="n">
        <v>400000</v>
      </c>
      <c r="K692" s="15" t="n"/>
      <c r="L692" s="15" t="inlineStr">
        <is>
          <t>Secondary: commission records; no monthly turnover register for this period</t>
        </is>
      </c>
      <c r="M692" s="15" t="inlineStr">
        <is>
          <t>BAAY PROJECTS SALES EXPENSES (COMMISSION) RECORDS (1)</t>
        </is>
      </c>
      <c r="N692" s="15" t="inlineStr">
        <is>
          <t>MS TOBI AJAYI</t>
        </is>
      </c>
      <c r="O692" s="15" t="n">
        <v>71</v>
      </c>
      <c r="P692" s="15" t="inlineStr">
        <is>
          <t>25/04/2025</t>
        </is>
      </c>
      <c r="Q692" s="15" t="n"/>
      <c r="R692" s="15" t="inlineStr">
        <is>
          <t>Commission-record amount: confirm to bank statement (records can aggregate several transfers)</t>
        </is>
      </c>
    </row>
    <row r="693">
      <c r="A693" s="15" t="inlineStr">
        <is>
          <t>SL0689</t>
        </is>
      </c>
      <c r="B693" s="16" t="n">
        <v>45772</v>
      </c>
      <c r="C693" s="15" t="inlineStr">
        <is>
          <t>2025-04</t>
        </is>
      </c>
      <c r="D693" s="15" t="n">
        <v>2025</v>
      </c>
      <c r="E693" s="15" t="inlineStr">
        <is>
          <t>Land</t>
        </is>
      </c>
      <c r="F693" s="15" t="inlineStr">
        <is>
          <t>Plot / unit price</t>
        </is>
      </c>
      <c r="G693" s="15" t="inlineStr">
        <is>
          <t>Land (estate not stated in source)</t>
        </is>
      </c>
      <c r="H693" s="15" t="inlineStr">
        <is>
          <t>BP-C0019</t>
        </is>
      </c>
      <c r="I693" s="15" t="inlineStr">
        <is>
          <t>Mr Ogbu Pius Ejaka</t>
        </is>
      </c>
      <c r="J693" s="17" t="n">
        <v>2000000</v>
      </c>
      <c r="K693" s="15" t="n"/>
      <c r="L693" s="15" t="inlineStr">
        <is>
          <t>Secondary: commission records; no monthly turnover register for this period</t>
        </is>
      </c>
      <c r="M693" s="15" t="inlineStr">
        <is>
          <t>BAAY PROJECTS SALES EXPENSES (COMMISSION) RECORDS (1)</t>
        </is>
      </c>
      <c r="N693" s="15" t="inlineStr">
        <is>
          <t>MS MAYOWA BRAIMOH</t>
        </is>
      </c>
      <c r="O693" s="15" t="n">
        <v>67</v>
      </c>
      <c r="P693" s="15" t="inlineStr">
        <is>
          <t>25/04/2025</t>
        </is>
      </c>
      <c r="Q693" s="15" t="n"/>
      <c r="R693" s="15" t="inlineStr">
        <is>
          <t>Commission-record amount: confirm to bank statement (records can aggregate several transfers)</t>
        </is>
      </c>
    </row>
    <row r="694">
      <c r="A694" s="15" t="inlineStr">
        <is>
          <t>SL0690</t>
        </is>
      </c>
      <c r="B694" s="16" t="n">
        <v>45772</v>
      </c>
      <c r="C694" s="15" t="inlineStr">
        <is>
          <t>2025-04</t>
        </is>
      </c>
      <c r="D694" s="15" t="n">
        <v>2025</v>
      </c>
      <c r="E694" s="15" t="inlineStr">
        <is>
          <t>Land</t>
        </is>
      </c>
      <c r="F694" s="15" t="inlineStr">
        <is>
          <t>Plot / unit price</t>
        </is>
      </c>
      <c r="G694" s="15" t="inlineStr">
        <is>
          <t>Land (estate not stated in source)</t>
        </is>
      </c>
      <c r="H694" s="15" t="inlineStr">
        <is>
          <t>BP-C0188</t>
        </is>
      </c>
      <c r="I694" s="15" t="inlineStr">
        <is>
          <t>Mrs Kazeem Mariam Omotunde</t>
        </is>
      </c>
      <c r="J694" s="17" t="n">
        <v>1900000</v>
      </c>
      <c r="K694" s="15" t="n"/>
      <c r="L694" s="15" t="inlineStr">
        <is>
          <t>Secondary: commission records; no monthly turnover register for this period</t>
        </is>
      </c>
      <c r="M694" s="15" t="inlineStr">
        <is>
          <t>BAAY PROJECTS SALES EXPENSES (COMMISSION) RECORDS (1)</t>
        </is>
      </c>
      <c r="N694" s="15" t="inlineStr">
        <is>
          <t>MS SAMUELLA</t>
        </is>
      </c>
      <c r="O694" s="15" t="n">
        <v>34</v>
      </c>
      <c r="P694" s="15" t="inlineStr">
        <is>
          <t>25/04/2025</t>
        </is>
      </c>
      <c r="Q694" s="15" t="n"/>
      <c r="R694" s="15" t="inlineStr">
        <is>
          <t>Commission-record amount: confirm to bank statement (records can aggregate several transfers)</t>
        </is>
      </c>
    </row>
    <row r="695">
      <c r="A695" s="15" t="inlineStr">
        <is>
          <t>SL0691</t>
        </is>
      </c>
      <c r="B695" s="16" t="n">
        <v>45772</v>
      </c>
      <c r="C695" s="15" t="inlineStr">
        <is>
          <t>2025-04</t>
        </is>
      </c>
      <c r="D695" s="15" t="n">
        <v>2025</v>
      </c>
      <c r="E695" s="15" t="inlineStr">
        <is>
          <t>Housing</t>
        </is>
      </c>
      <c r="F695" s="15" t="inlineStr">
        <is>
          <t>Plot / unit price</t>
        </is>
      </c>
      <c r="G695" s="15" t="inlineStr">
        <is>
          <t>Pacific Apartment</t>
        </is>
      </c>
      <c r="H695" s="15" t="inlineStr">
        <is>
          <t>BP-C0143</t>
        </is>
      </c>
      <c r="I695" s="15" t="inlineStr">
        <is>
          <t>Mrs Oyindamola Duntoye Adekunle</t>
        </is>
      </c>
      <c r="J695" s="17" t="n">
        <v>4750000</v>
      </c>
      <c r="K695" s="15" t="n"/>
      <c r="L695" s="15" t="inlineStr">
        <is>
          <t>Secondary: commission records; no monthly turnover register for this period</t>
        </is>
      </c>
      <c r="M695" s="15" t="inlineStr">
        <is>
          <t>BAAY PROJECTS SALES EXPENSES (COMMISSION) RECORDS (1)</t>
        </is>
      </c>
      <c r="N695" s="15" t="inlineStr">
        <is>
          <t>MAMA ADEBIMPE</t>
        </is>
      </c>
      <c r="O695" s="15" t="n">
        <v>166</v>
      </c>
      <c r="P695" s="15" t="inlineStr">
        <is>
          <t>25/04/2025</t>
        </is>
      </c>
      <c r="Q695" s="15" t="n"/>
      <c r="R695" s="15" t="inlineStr">
        <is>
          <t>Commission-record amount: confirm to bank statement (records can aggregate several transfers)</t>
        </is>
      </c>
    </row>
    <row r="696">
      <c r="A696" s="15" t="inlineStr">
        <is>
          <t>SL0692</t>
        </is>
      </c>
      <c r="B696" s="16" t="n">
        <v>45775</v>
      </c>
      <c r="C696" s="15" t="inlineStr">
        <is>
          <t>2025-04</t>
        </is>
      </c>
      <c r="D696" s="15" t="n">
        <v>2025</v>
      </c>
      <c r="E696" s="15" t="inlineStr">
        <is>
          <t>Housing</t>
        </is>
      </c>
      <c r="F696" s="15" t="inlineStr">
        <is>
          <t>Plot / unit price</t>
        </is>
      </c>
      <c r="G696" s="15" t="inlineStr">
        <is>
          <t>Pacific Court 2</t>
        </is>
      </c>
      <c r="H696" s="15" t="inlineStr">
        <is>
          <t>BP-C0185</t>
        </is>
      </c>
      <c r="I696" s="15" t="inlineStr">
        <is>
          <t>Mr Onwuegbuna Ikechukwu Emmanuel</t>
        </is>
      </c>
      <c r="J696" s="17" t="n">
        <v>7000000</v>
      </c>
      <c r="K696" s="15" t="n"/>
      <c r="L696" s="15" t="inlineStr">
        <is>
          <t>Secondary: commission records; no monthly turnover register for this period</t>
        </is>
      </c>
      <c r="M696" s="15" t="inlineStr">
        <is>
          <t>BAAY PROJECTS SALES EXPENSES (COMMISSION) RECORDS (1)</t>
        </is>
      </c>
      <c r="N696" s="15" t="inlineStr">
        <is>
          <t>MS LORENCIA</t>
        </is>
      </c>
      <c r="O696" s="15" t="n">
        <v>11</v>
      </c>
      <c r="P696" s="15" t="inlineStr">
        <is>
          <t>28/04/2025</t>
        </is>
      </c>
      <c r="Q696" s="15" t="n"/>
      <c r="R696" s="15" t="inlineStr">
        <is>
          <t>Commission-record amount: confirm to bank statement (records can aggregate several transfers)</t>
        </is>
      </c>
    </row>
    <row r="697">
      <c r="A697" s="15" t="inlineStr">
        <is>
          <t>SL0693</t>
        </is>
      </c>
      <c r="B697" s="16" t="n">
        <v>45776</v>
      </c>
      <c r="C697" s="15" t="inlineStr">
        <is>
          <t>2025-04</t>
        </is>
      </c>
      <c r="D697" s="15" t="n">
        <v>2025</v>
      </c>
      <c r="E697" s="15" t="inlineStr">
        <is>
          <t>Housing</t>
        </is>
      </c>
      <c r="F697" s="15" t="inlineStr">
        <is>
          <t>Plot / unit price</t>
        </is>
      </c>
      <c r="G697" s="15" t="inlineStr">
        <is>
          <t>Pacific Apartment</t>
        </is>
      </c>
      <c r="H697" s="15" t="inlineStr">
        <is>
          <t>BP-C0140</t>
        </is>
      </c>
      <c r="I697" s="15" t="inlineStr">
        <is>
          <t>Mr Balogun Akeem Tokunbo</t>
        </is>
      </c>
      <c r="J697" s="17" t="n">
        <v>2000000</v>
      </c>
      <c r="K697" s="15" t="n"/>
      <c r="L697" s="15" t="inlineStr">
        <is>
          <t>Secondary: commission records; no monthly turnover register for this period</t>
        </is>
      </c>
      <c r="M697" s="15" t="inlineStr">
        <is>
          <t>BAAY PROJECTS SALES EXPENSES (COMMISSION) RECORDS (1)</t>
        </is>
      </c>
      <c r="N697" s="15" t="inlineStr">
        <is>
          <t>MAMA ADEBIMPE</t>
        </is>
      </c>
      <c r="O697" s="15" t="n">
        <v>180</v>
      </c>
      <c r="P697" s="15" t="inlineStr">
        <is>
          <t>29/04/2025</t>
        </is>
      </c>
      <c r="Q697" s="15" t="n"/>
      <c r="R697" s="15" t="inlineStr">
        <is>
          <t>Commission-record amount: confirm to bank statement (records can aggregate several transfers)</t>
        </is>
      </c>
    </row>
    <row r="698">
      <c r="A698" s="15" t="inlineStr">
        <is>
          <t>SL0694</t>
        </is>
      </c>
      <c r="B698" s="16" t="n">
        <v>45776</v>
      </c>
      <c r="C698" s="15" t="inlineStr">
        <is>
          <t>2025-04</t>
        </is>
      </c>
      <c r="D698" s="15" t="n">
        <v>2025</v>
      </c>
      <c r="E698" s="15" t="inlineStr">
        <is>
          <t>Housing</t>
        </is>
      </c>
      <c r="F698" s="15" t="inlineStr">
        <is>
          <t>Plot / unit price</t>
        </is>
      </c>
      <c r="G698" s="15" t="inlineStr">
        <is>
          <t>Housing unit (project not stated in source)</t>
        </is>
      </c>
      <c r="H698" s="15" t="inlineStr">
        <is>
          <t>BP-C0133</t>
        </is>
      </c>
      <c r="I698" s="15" t="inlineStr">
        <is>
          <t>Mr Olagbende Oluwashina Oluwaseun</t>
        </is>
      </c>
      <c r="J698" s="17" t="n">
        <v>3900000</v>
      </c>
      <c r="K698" s="15" t="n"/>
      <c r="L698" s="15" t="inlineStr">
        <is>
          <t>Secondary: commission records; no monthly turnover register for this period</t>
        </is>
      </c>
      <c r="M698" s="15" t="inlineStr">
        <is>
          <t>BAAY PROJECTS SALES EXPENSES (COMMISSION) RECORDS (1)</t>
        </is>
      </c>
      <c r="N698" s="15" t="inlineStr">
        <is>
          <t>MS AWONORIN MAYOWA</t>
        </is>
      </c>
      <c r="O698" s="15" t="n">
        <v>66</v>
      </c>
      <c r="P698" s="15" t="inlineStr">
        <is>
          <t>29/04/2025</t>
        </is>
      </c>
      <c r="Q698" s="15" t="n"/>
      <c r="R698" s="15" t="inlineStr">
        <is>
          <t>Commission-record amount: confirm to bank statement (records can aggregate several transfers)</t>
        </is>
      </c>
    </row>
    <row r="699">
      <c r="A699" s="15" t="inlineStr">
        <is>
          <t>SL0695</t>
        </is>
      </c>
      <c r="B699" s="16" t="n">
        <v>45778</v>
      </c>
      <c r="C699" s="15" t="inlineStr">
        <is>
          <t>2025-05</t>
        </is>
      </c>
      <c r="D699" s="15" t="n">
        <v>2025</v>
      </c>
      <c r="E699" s="15" t="inlineStr">
        <is>
          <t>Housing</t>
        </is>
      </c>
      <c r="F699" s="15" t="inlineStr">
        <is>
          <t>Plot / unit price</t>
        </is>
      </c>
      <c r="G699" s="15" t="inlineStr">
        <is>
          <t>Pacific Apartment</t>
        </is>
      </c>
      <c r="H699" s="15" t="inlineStr">
        <is>
          <t>BP-C0192</t>
        </is>
      </c>
      <c r="I699" s="15" t="inlineStr">
        <is>
          <t>Dr Esangbedo Wilson</t>
        </is>
      </c>
      <c r="J699" s="17" t="n">
        <v>10000000</v>
      </c>
      <c r="K699" s="15" t="n"/>
      <c r="L699" s="15" t="inlineStr">
        <is>
          <t>Secondary: commission records; no monthly turnover register for this period</t>
        </is>
      </c>
      <c r="M699" s="15" t="inlineStr">
        <is>
          <t>BAAY PROJECTS SALES EXPENSES (COMMISSION) RECORDS (1)</t>
        </is>
      </c>
      <c r="N699" s="15" t="inlineStr">
        <is>
          <t>MS MOFFAT</t>
        </is>
      </c>
      <c r="O699" s="15" t="n">
        <v>24</v>
      </c>
      <c r="P699" s="15" t="inlineStr">
        <is>
          <t>2025-01-05</t>
        </is>
      </c>
      <c r="Q699" s="15" t="n"/>
      <c r="R699" s="15" t="inlineStr">
        <is>
          <t>Commission-record amount: confirm to bank statement (records can aggregate several transfers)</t>
        </is>
      </c>
    </row>
    <row r="700">
      <c r="A700" s="15" t="inlineStr">
        <is>
          <t>SL0696</t>
        </is>
      </c>
      <c r="B700" s="16" t="n">
        <v>45778</v>
      </c>
      <c r="C700" s="15" t="inlineStr">
        <is>
          <t>2025-05</t>
        </is>
      </c>
      <c r="D700" s="15" t="n">
        <v>2025</v>
      </c>
      <c r="E700" s="15" t="inlineStr">
        <is>
          <t>Housing</t>
        </is>
      </c>
      <c r="F700" s="15" t="inlineStr">
        <is>
          <t>Plot / unit price</t>
        </is>
      </c>
      <c r="G700" s="15" t="inlineStr">
        <is>
          <t>Pacific Apartment</t>
        </is>
      </c>
      <c r="H700" s="15" t="inlineStr">
        <is>
          <t>BP-C0192</t>
        </is>
      </c>
      <c r="I700" s="15" t="inlineStr">
        <is>
          <t>Dr Esangbedo Wilson</t>
        </is>
      </c>
      <c r="J700" s="17" t="n">
        <v>3000000</v>
      </c>
      <c r="K700" s="15" t="n"/>
      <c r="L700" s="15" t="inlineStr">
        <is>
          <t>Secondary: commission records; no monthly turnover register for this period</t>
        </is>
      </c>
      <c r="M700" s="15" t="inlineStr">
        <is>
          <t>BAAY PROJECTS SALES EXPENSES (COMMISSION) RECORDS (1)</t>
        </is>
      </c>
      <c r="N700" s="15" t="inlineStr">
        <is>
          <t>MRS ABIMBOLA</t>
        </is>
      </c>
      <c r="O700" s="15" t="n">
        <v>199</v>
      </c>
      <c r="P700" s="15" t="inlineStr">
        <is>
          <t>2025-01-05</t>
        </is>
      </c>
      <c r="Q700" s="15" t="inlineStr">
        <is>
          <t>MS MOFFAT r31</t>
        </is>
      </c>
      <c r="R700" s="15" t="inlineStr">
        <is>
          <t>Commission-record amount: confirm to bank statement (records can aggregate several transfers)</t>
        </is>
      </c>
    </row>
    <row r="701">
      <c r="A701" s="15" t="inlineStr">
        <is>
          <t>SL0697</t>
        </is>
      </c>
      <c r="B701" s="16" t="n">
        <v>45778</v>
      </c>
      <c r="C701" s="15" t="inlineStr">
        <is>
          <t>2025-05</t>
        </is>
      </c>
      <c r="D701" s="15" t="n">
        <v>2025</v>
      </c>
      <c r="E701" s="15" t="inlineStr">
        <is>
          <t>Housing</t>
        </is>
      </c>
      <c r="F701" s="15" t="inlineStr">
        <is>
          <t>Plot / unit price</t>
        </is>
      </c>
      <c r="G701" s="15" t="inlineStr">
        <is>
          <t>Pacific Apartment</t>
        </is>
      </c>
      <c r="H701" s="15" t="inlineStr">
        <is>
          <t>BP-C0192</t>
        </is>
      </c>
      <c r="I701" s="15" t="inlineStr">
        <is>
          <t>Dr Esangbedo Wilson</t>
        </is>
      </c>
      <c r="J701" s="17" t="n">
        <v>2500000</v>
      </c>
      <c r="K701" s="15" t="n"/>
      <c r="L701" s="15" t="inlineStr">
        <is>
          <t>Secondary: commission records; no monthly turnover register for this period</t>
        </is>
      </c>
      <c r="M701" s="15" t="inlineStr">
        <is>
          <t>BAAY PROJECTS SALES EXPENSES (COMMISSION) RECORDS (1)</t>
        </is>
      </c>
      <c r="N701" s="15" t="inlineStr">
        <is>
          <t>MRS ABIMBOLA</t>
        </is>
      </c>
      <c r="O701" s="15" t="n">
        <v>200</v>
      </c>
      <c r="P701" s="15" t="inlineStr">
        <is>
          <t>2025-01-05</t>
        </is>
      </c>
      <c r="Q701" s="15" t="n"/>
      <c r="R701" s="15" t="inlineStr">
        <is>
          <t>Commission-record amount: confirm to bank statement (records can aggregate several transfers)</t>
        </is>
      </c>
    </row>
    <row r="702">
      <c r="A702" s="15" t="inlineStr">
        <is>
          <t>SL0698</t>
        </is>
      </c>
      <c r="B702" s="16" t="n">
        <v>45779</v>
      </c>
      <c r="C702" s="15" t="inlineStr">
        <is>
          <t>2025-05</t>
        </is>
      </c>
      <c r="D702" s="15" t="n">
        <v>2025</v>
      </c>
      <c r="E702" s="15" t="inlineStr">
        <is>
          <t>Land</t>
        </is>
      </c>
      <c r="F702" s="15" t="inlineStr">
        <is>
          <t>Plot / unit price</t>
        </is>
      </c>
      <c r="G702" s="15" t="inlineStr">
        <is>
          <t>Land (estate not stated in source)</t>
        </is>
      </c>
      <c r="H702" s="15" t="inlineStr">
        <is>
          <t>BP-C0178</t>
        </is>
      </c>
      <c r="I702" s="15" t="inlineStr">
        <is>
          <t>Mrs Ajiri-Odeh Chioma</t>
        </is>
      </c>
      <c r="J702" s="17" t="n">
        <v>200000</v>
      </c>
      <c r="K702" s="15" t="n"/>
      <c r="L702" s="15" t="inlineStr">
        <is>
          <t>Secondary: commission records; no monthly turnover register for this period</t>
        </is>
      </c>
      <c r="M702" s="15" t="inlineStr">
        <is>
          <t>BAAY PROJECTS SALES EXPENSES (COMMISSION) RECORDS (1)</t>
        </is>
      </c>
      <c r="N702" s="15" t="inlineStr">
        <is>
          <t>MS JENNIFER</t>
        </is>
      </c>
      <c r="O702" s="15" t="n">
        <v>11</v>
      </c>
      <c r="P702" s="15" t="inlineStr">
        <is>
          <t>2025-02-05</t>
        </is>
      </c>
      <c r="Q702" s="15" t="n"/>
      <c r="R702" s="15" t="inlineStr">
        <is>
          <t>Commission-record amount: confirm to bank statement (records can aggregate several transfers)</t>
        </is>
      </c>
    </row>
    <row r="703">
      <c r="A703" s="15" t="inlineStr">
        <is>
          <t>SL0699</t>
        </is>
      </c>
      <c r="B703" s="16" t="n">
        <v>45779</v>
      </c>
      <c r="C703" s="15" t="inlineStr">
        <is>
          <t>2025-05</t>
        </is>
      </c>
      <c r="D703" s="15" t="n">
        <v>2025</v>
      </c>
      <c r="E703" s="15" t="inlineStr">
        <is>
          <t>Land</t>
        </is>
      </c>
      <c r="F703" s="15" t="inlineStr">
        <is>
          <t>Plot / unit price</t>
        </is>
      </c>
      <c r="G703" s="15" t="inlineStr">
        <is>
          <t>Land (estate not stated in source)</t>
        </is>
      </c>
      <c r="H703" s="15" t="inlineStr">
        <is>
          <t>BP-C0191</t>
        </is>
      </c>
      <c r="I703" s="15" t="inlineStr">
        <is>
          <t>Mrs Oduomah Jumoke</t>
        </is>
      </c>
      <c r="J703" s="17" t="n">
        <v>450000</v>
      </c>
      <c r="K703" s="15" t="n"/>
      <c r="L703" s="15" t="inlineStr">
        <is>
          <t>Secondary: commission records; no monthly turnover register for this period</t>
        </is>
      </c>
      <c r="M703" s="15" t="inlineStr">
        <is>
          <t>BAAY PROJECTS SALES EXPENSES (COMMISSION) RECORDS (1)</t>
        </is>
      </c>
      <c r="N703" s="15" t="inlineStr">
        <is>
          <t>MR KENNY BRUCE</t>
        </is>
      </c>
      <c r="O703" s="15" t="n">
        <v>10</v>
      </c>
      <c r="P703" s="15" t="inlineStr">
        <is>
          <t>2025-02-05</t>
        </is>
      </c>
      <c r="Q703" s="15" t="n"/>
      <c r="R703" s="15" t="inlineStr">
        <is>
          <t>Commission-record amount: confirm to bank statement (records can aggregate several transfers)</t>
        </is>
      </c>
    </row>
    <row r="704">
      <c r="A704" s="15" t="inlineStr">
        <is>
          <t>SL0700</t>
        </is>
      </c>
      <c r="B704" s="16" t="n">
        <v>45784</v>
      </c>
      <c r="C704" s="15" t="inlineStr">
        <is>
          <t>2025-05</t>
        </is>
      </c>
      <c r="D704" s="15" t="n">
        <v>2025</v>
      </c>
      <c r="E704" s="15" t="inlineStr">
        <is>
          <t>Housing</t>
        </is>
      </c>
      <c r="F704" s="15" t="inlineStr">
        <is>
          <t>Plot / unit price</t>
        </is>
      </c>
      <c r="G704" s="15" t="inlineStr">
        <is>
          <t>Pacific Apartment</t>
        </is>
      </c>
      <c r="H704" s="15" t="inlineStr">
        <is>
          <t>BP-C0192</t>
        </is>
      </c>
      <c r="I704" s="15" t="inlineStr">
        <is>
          <t>Dr Esangbedo Wilson</t>
        </is>
      </c>
      <c r="J704" s="17" t="n">
        <v>10000000</v>
      </c>
      <c r="K704" s="15" t="n"/>
      <c r="L704" s="15" t="inlineStr">
        <is>
          <t>Secondary: commission records; no monthly turnover register for this period</t>
        </is>
      </c>
      <c r="M704" s="15" t="inlineStr">
        <is>
          <t>BAAY PROJECTS SALES EXPENSES (COMMISSION) RECORDS (1)</t>
        </is>
      </c>
      <c r="N704" s="15" t="inlineStr">
        <is>
          <t>MS MOFFAT</t>
        </is>
      </c>
      <c r="O704" s="15" t="n">
        <v>25</v>
      </c>
      <c r="P704" s="15" t="inlineStr">
        <is>
          <t>2025-07-05</t>
        </is>
      </c>
      <c r="Q704" s="15" t="n"/>
      <c r="R704" s="15" t="inlineStr">
        <is>
          <t>Commission-record amount: confirm to bank statement (records can aggregate several transfers)</t>
        </is>
      </c>
    </row>
    <row r="705">
      <c r="A705" s="15" t="inlineStr">
        <is>
          <t>SL0701</t>
        </is>
      </c>
      <c r="B705" s="16" t="n">
        <v>45784</v>
      </c>
      <c r="C705" s="15" t="inlineStr">
        <is>
          <t>2025-05</t>
        </is>
      </c>
      <c r="D705" s="15" t="n">
        <v>2025</v>
      </c>
      <c r="E705" s="15" t="inlineStr">
        <is>
          <t>Land</t>
        </is>
      </c>
      <c r="F705" s="15" t="inlineStr">
        <is>
          <t>Plot / unit price</t>
        </is>
      </c>
      <c r="G705" s="15" t="inlineStr">
        <is>
          <t>Land (estate not stated in source)</t>
        </is>
      </c>
      <c r="H705" s="15" t="inlineStr">
        <is>
          <t>BP-C0050</t>
        </is>
      </c>
      <c r="I705" s="15" t="inlineStr">
        <is>
          <t>Mr Atuanya Patrick Jideovo</t>
        </is>
      </c>
      <c r="J705" s="17" t="n">
        <v>400000</v>
      </c>
      <c r="K705" s="15" t="n"/>
      <c r="L705" s="15" t="inlineStr">
        <is>
          <t>Secondary: commission records; no monthly turnover register for this period</t>
        </is>
      </c>
      <c r="M705" s="15" t="inlineStr">
        <is>
          <t>BAAY PROJECTS SALES EXPENSES (COMMISSION) RECORDS (1)</t>
        </is>
      </c>
      <c r="N705" s="15" t="inlineStr">
        <is>
          <t>MS YETUNDE ABISOYE</t>
        </is>
      </c>
      <c r="O705" s="15" t="n">
        <v>101</v>
      </c>
      <c r="P705" s="15" t="inlineStr">
        <is>
          <t>2025-07-05</t>
        </is>
      </c>
      <c r="Q705" s="15" t="n"/>
      <c r="R705" s="15" t="inlineStr">
        <is>
          <t>Commission-record amount: confirm to bank statement (records can aggregate several transfers)</t>
        </is>
      </c>
    </row>
    <row r="706">
      <c r="A706" s="15" t="inlineStr">
        <is>
          <t>SL0702</t>
        </is>
      </c>
      <c r="B706" s="16" t="n">
        <v>45784</v>
      </c>
      <c r="C706" s="15" t="inlineStr">
        <is>
          <t>2025-05</t>
        </is>
      </c>
      <c r="D706" s="15" t="n">
        <v>2025</v>
      </c>
      <c r="E706" s="15" t="inlineStr">
        <is>
          <t>Land</t>
        </is>
      </c>
      <c r="F706" s="15" t="inlineStr">
        <is>
          <t>Plot / unit price</t>
        </is>
      </c>
      <c r="G706" s="15" t="inlineStr">
        <is>
          <t>Land (estate not stated in source)</t>
        </is>
      </c>
      <c r="H706" s="15" t="inlineStr">
        <is>
          <t>BP-C0168</t>
        </is>
      </c>
      <c r="I706" s="15" t="inlineStr">
        <is>
          <t>Mrs Adenuga Damilola Grace</t>
        </is>
      </c>
      <c r="J706" s="17" t="n">
        <v>300000</v>
      </c>
      <c r="K706" s="15" t="n"/>
      <c r="L706" s="15" t="inlineStr">
        <is>
          <t>Secondary: commission records; no monthly turnover register for this period</t>
        </is>
      </c>
      <c r="M706" s="15" t="inlineStr">
        <is>
          <t>BAAY PROJECTS SALES EXPENSES (COMMISSION) RECORDS (1)</t>
        </is>
      </c>
      <c r="N706" s="15" t="inlineStr">
        <is>
          <t>MS ADENIKE</t>
        </is>
      </c>
      <c r="O706" s="15" t="n">
        <v>60</v>
      </c>
      <c r="P706" s="15" t="inlineStr">
        <is>
          <t>2025-07-05</t>
        </is>
      </c>
      <c r="Q706" s="15" t="n"/>
      <c r="R706" s="15" t="inlineStr">
        <is>
          <t>Commission-record amount: confirm to bank statement (records can aggregate several transfers)</t>
        </is>
      </c>
    </row>
    <row r="707">
      <c r="A707" s="15" t="inlineStr">
        <is>
          <t>SL0703</t>
        </is>
      </c>
      <c r="B707" s="16" t="n">
        <v>45786</v>
      </c>
      <c r="C707" s="15" t="inlineStr">
        <is>
          <t>2025-05</t>
        </is>
      </c>
      <c r="D707" s="15" t="n">
        <v>2025</v>
      </c>
      <c r="E707" s="15" t="inlineStr">
        <is>
          <t>Housing</t>
        </is>
      </c>
      <c r="F707" s="15" t="inlineStr">
        <is>
          <t>Plot / unit price</t>
        </is>
      </c>
      <c r="G707" s="15" t="inlineStr">
        <is>
          <t>Pacific Apartment</t>
        </is>
      </c>
      <c r="H707" s="15" t="inlineStr">
        <is>
          <t>BP-C0186</t>
        </is>
      </c>
      <c r="I707" s="15" t="inlineStr">
        <is>
          <t>Salem real Estate (Mrs Omoko Onora Helen)</t>
        </is>
      </c>
      <c r="J707" s="17" t="n">
        <v>2000000</v>
      </c>
      <c r="K707" s="15" t="n"/>
      <c r="L707" s="15" t="inlineStr">
        <is>
          <t>Secondary: commission records; no monthly turnover register for this period</t>
        </is>
      </c>
      <c r="M707" s="15" t="inlineStr">
        <is>
          <t>BAAY PROJECTS SALES EXPENSES (COMMISSION) RECORDS (1)</t>
        </is>
      </c>
      <c r="N707" s="15" t="inlineStr">
        <is>
          <t>MR CHARLES</t>
        </is>
      </c>
      <c r="O707" s="15" t="n">
        <v>89</v>
      </c>
      <c r="P707" s="15" t="inlineStr">
        <is>
          <t>2025-09-05</t>
        </is>
      </c>
      <c r="Q707" s="15" t="inlineStr">
        <is>
          <t>SALEM REAL ESTATE r14</t>
        </is>
      </c>
      <c r="R707" s="15" t="inlineStr">
        <is>
          <t>Commission-record amount: confirm to bank statement (records can aggregate several transfers)</t>
        </is>
      </c>
    </row>
    <row r="708">
      <c r="A708" s="15" t="inlineStr">
        <is>
          <t>SL0704</t>
        </is>
      </c>
      <c r="B708" s="16" t="n">
        <v>45786</v>
      </c>
      <c r="C708" s="15" t="inlineStr">
        <is>
          <t>2025-05</t>
        </is>
      </c>
      <c r="D708" s="15" t="n">
        <v>2025</v>
      </c>
      <c r="E708" s="15" t="inlineStr">
        <is>
          <t>Housing</t>
        </is>
      </c>
      <c r="F708" s="15" t="inlineStr">
        <is>
          <t>Plot / unit price</t>
        </is>
      </c>
      <c r="G708" s="15" t="inlineStr">
        <is>
          <t>Pacific Apartment</t>
        </is>
      </c>
      <c r="H708" s="15" t="inlineStr">
        <is>
          <t>BP-C0186</t>
        </is>
      </c>
      <c r="I708" s="15" t="inlineStr">
        <is>
          <t>Salem real Estate (Mrs Omoko Onora Helen)</t>
        </is>
      </c>
      <c r="J708" s="17" t="n">
        <v>3000000</v>
      </c>
      <c r="K708" s="15" t="n"/>
      <c r="L708" s="15" t="inlineStr">
        <is>
          <t>Secondary: commission records; no monthly turnover register for this period</t>
        </is>
      </c>
      <c r="M708" s="15" t="inlineStr">
        <is>
          <t>BAAY PROJECTS SALES EXPENSES (COMMISSION) RECORDS (1)</t>
        </is>
      </c>
      <c r="N708" s="15" t="inlineStr">
        <is>
          <t>MR CHARLES</t>
        </is>
      </c>
      <c r="O708" s="15" t="n">
        <v>90</v>
      </c>
      <c r="P708" s="15" t="inlineStr">
        <is>
          <t>2025-09-05</t>
        </is>
      </c>
      <c r="Q708" s="15" t="inlineStr">
        <is>
          <t>SALEM REAL ESTATE r15</t>
        </is>
      </c>
      <c r="R708" s="15" t="inlineStr">
        <is>
          <t>Commission-record amount: confirm to bank statement (records can aggregate several transfers)</t>
        </is>
      </c>
    </row>
    <row r="709">
      <c r="A709" s="15" t="inlineStr">
        <is>
          <t>SL0705</t>
        </is>
      </c>
      <c r="B709" s="16" t="n">
        <v>45790</v>
      </c>
      <c r="C709" s="15" t="inlineStr">
        <is>
          <t>2025-05</t>
        </is>
      </c>
      <c r="D709" s="15" t="n">
        <v>2025</v>
      </c>
      <c r="E709" s="15" t="inlineStr">
        <is>
          <t>Land</t>
        </is>
      </c>
      <c r="F709" s="15" t="inlineStr">
        <is>
          <t>Plot / unit price</t>
        </is>
      </c>
      <c r="G709" s="15" t="inlineStr">
        <is>
          <t>Land (estate not stated in source)</t>
        </is>
      </c>
      <c r="H709" s="15" t="inlineStr">
        <is>
          <t>BP-C0181</t>
        </is>
      </c>
      <c r="I709" s="15" t="inlineStr">
        <is>
          <t>Miss Joshua Fortune Ufot</t>
        </is>
      </c>
      <c r="J709" s="17" t="n">
        <v>400000</v>
      </c>
      <c r="K709" s="15" t="n"/>
      <c r="L709" s="15" t="inlineStr">
        <is>
          <t>Secondary: commission records; no monthly turnover register for this period</t>
        </is>
      </c>
      <c r="M709" s="15" t="inlineStr">
        <is>
          <t>BAAY PROJECTS SALES EXPENSES (COMMISSION) RECORDS (1)</t>
        </is>
      </c>
      <c r="N709" s="15" t="inlineStr">
        <is>
          <t>MS PRAISE</t>
        </is>
      </c>
      <c r="O709" s="15" t="n">
        <v>11</v>
      </c>
      <c r="P709" s="15" t="inlineStr">
        <is>
          <t>13/05/2025</t>
        </is>
      </c>
      <c r="Q709" s="15" t="n"/>
      <c r="R709" s="15" t="inlineStr">
        <is>
          <t>Commission-record amount: confirm to bank statement (records can aggregate several transfers)</t>
        </is>
      </c>
    </row>
    <row r="710">
      <c r="A710" s="15" t="inlineStr">
        <is>
          <t>SL0706</t>
        </is>
      </c>
      <c r="B710" s="16" t="n">
        <v>45791</v>
      </c>
      <c r="C710" s="15" t="inlineStr">
        <is>
          <t>2025-05</t>
        </is>
      </c>
      <c r="D710" s="15" t="n">
        <v>2025</v>
      </c>
      <c r="E710" s="15" t="inlineStr">
        <is>
          <t>Land</t>
        </is>
      </c>
      <c r="F710" s="15" t="inlineStr">
        <is>
          <t>Plot / unit price</t>
        </is>
      </c>
      <c r="G710" s="15" t="inlineStr">
        <is>
          <t>Land (estate not stated in source)</t>
        </is>
      </c>
      <c r="H710" s="15" t="inlineStr">
        <is>
          <t>BP-C0195</t>
        </is>
      </c>
      <c r="I710" s="15" t="inlineStr">
        <is>
          <t>Mr Haruna Adekunle Waheed</t>
        </is>
      </c>
      <c r="J710" s="17" t="n">
        <v>3750000</v>
      </c>
      <c r="K710" s="15" t="n"/>
      <c r="L710" s="15" t="inlineStr">
        <is>
          <t>Secondary: commission records; no monthly turnover register for this period</t>
        </is>
      </c>
      <c r="M710" s="15" t="inlineStr">
        <is>
          <t>BAAY PROJECTS SALES EXPENSES (COMMISSION) RECORDS (1)</t>
        </is>
      </c>
      <c r="N710" s="15" t="inlineStr">
        <is>
          <t>MRS ABIMBOLA</t>
        </is>
      </c>
      <c r="O710" s="15" t="n">
        <v>197</v>
      </c>
      <c r="P710" s="15" t="inlineStr">
        <is>
          <t>14/05/2025</t>
        </is>
      </c>
      <c r="Q710" s="15" t="n"/>
      <c r="R710" s="15" t="inlineStr">
        <is>
          <t>Commission-record amount: confirm to bank statement (records can aggregate several transfers)</t>
        </is>
      </c>
    </row>
    <row r="711">
      <c r="A711" s="15" t="inlineStr">
        <is>
          <t>SL0707</t>
        </is>
      </c>
      <c r="B711" s="16" t="n">
        <v>45794</v>
      </c>
      <c r="C711" s="15" t="inlineStr">
        <is>
          <t>2025-05</t>
        </is>
      </c>
      <c r="D711" s="15" t="n">
        <v>2025</v>
      </c>
      <c r="E711" s="15" t="inlineStr">
        <is>
          <t>Land</t>
        </is>
      </c>
      <c r="F711" s="15" t="inlineStr">
        <is>
          <t>Plot / unit price</t>
        </is>
      </c>
      <c r="G711" s="15" t="inlineStr">
        <is>
          <t>Land (estate not stated in source)</t>
        </is>
      </c>
      <c r="H711" s="15" t="inlineStr">
        <is>
          <t>BP-C0190</t>
        </is>
      </c>
      <c r="I711" s="15" t="inlineStr">
        <is>
          <t>Mr Olaiya Oluwatobi</t>
        </is>
      </c>
      <c r="J711" s="17" t="n">
        <v>500000</v>
      </c>
      <c r="K711" s="15" t="n"/>
      <c r="L711" s="15" t="inlineStr">
        <is>
          <t>Secondary: commission records; no monthly turnover register for this period</t>
        </is>
      </c>
      <c r="M711" s="15" t="inlineStr">
        <is>
          <t>BAAY PROJECTS SALES EXPENSES (COMMISSION) RECORDS (1)</t>
        </is>
      </c>
      <c r="N711" s="15" t="inlineStr">
        <is>
          <t>MS AWONORIN MAYOWA</t>
        </is>
      </c>
      <c r="O711" s="15" t="n">
        <v>72</v>
      </c>
      <c r="P711" s="15" t="inlineStr">
        <is>
          <t>17/05/2025</t>
        </is>
      </c>
      <c r="Q711" s="15" t="n"/>
      <c r="R711" s="15" t="inlineStr">
        <is>
          <t>Commission-record amount: confirm to bank statement (records can aggregate several transfers)</t>
        </is>
      </c>
    </row>
    <row r="712">
      <c r="A712" s="15" t="inlineStr">
        <is>
          <t>SL0708</t>
        </is>
      </c>
      <c r="B712" s="16" t="n">
        <v>45796</v>
      </c>
      <c r="C712" s="15" t="inlineStr">
        <is>
          <t>2025-05</t>
        </is>
      </c>
      <c r="D712" s="15" t="n">
        <v>2025</v>
      </c>
      <c r="E712" s="15" t="inlineStr">
        <is>
          <t>Land</t>
        </is>
      </c>
      <c r="F712" s="15" t="inlineStr">
        <is>
          <t>Plot / unit price</t>
        </is>
      </c>
      <c r="G712" s="15" t="inlineStr">
        <is>
          <t>Land (estate not stated in source)</t>
        </is>
      </c>
      <c r="H712" s="15" t="inlineStr">
        <is>
          <t>BP-C0050</t>
        </is>
      </c>
      <c r="I712" s="15" t="inlineStr">
        <is>
          <t>Mr Atuanya Patrick Jideovo</t>
        </is>
      </c>
      <c r="J712" s="17" t="n">
        <v>400000</v>
      </c>
      <c r="K712" s="15" t="n"/>
      <c r="L712" s="15" t="inlineStr">
        <is>
          <t>Secondary: commission records; no monthly turnover register for this period</t>
        </is>
      </c>
      <c r="M712" s="15" t="inlineStr">
        <is>
          <t>BAAY PROJECTS SALES EXPENSES (COMMISSION) RECORDS (1)</t>
        </is>
      </c>
      <c r="N712" s="15" t="inlineStr">
        <is>
          <t>MS YETUNDE ABISOYE</t>
        </is>
      </c>
      <c r="O712" s="15" t="n">
        <v>107</v>
      </c>
      <c r="P712" s="15" t="inlineStr">
        <is>
          <t>19/05/2025</t>
        </is>
      </c>
      <c r="Q712" s="15" t="n"/>
      <c r="R712" s="15" t="inlineStr">
        <is>
          <t>Commission-record amount: confirm to bank statement (records can aggregate several transfers)</t>
        </is>
      </c>
    </row>
    <row r="713">
      <c r="A713" s="15" t="inlineStr">
        <is>
          <t>SL0709</t>
        </is>
      </c>
      <c r="B713" s="16" t="n">
        <v>45799</v>
      </c>
      <c r="C713" s="15" t="inlineStr">
        <is>
          <t>2025-05</t>
        </is>
      </c>
      <c r="D713" s="15" t="n">
        <v>2025</v>
      </c>
      <c r="E713" s="15" t="inlineStr">
        <is>
          <t>Land</t>
        </is>
      </c>
      <c r="F713" s="15" t="inlineStr">
        <is>
          <t>Plot / unit price</t>
        </is>
      </c>
      <c r="G713" s="15" t="inlineStr">
        <is>
          <t>Land (estate not stated in source)</t>
        </is>
      </c>
      <c r="H713" s="15" t="inlineStr">
        <is>
          <t>BP-C0184</t>
        </is>
      </c>
      <c r="I713" s="15" t="inlineStr">
        <is>
          <t>Mr Klu Jeremiah</t>
        </is>
      </c>
      <c r="J713" s="17" t="n">
        <v>550000</v>
      </c>
      <c r="K713" s="15" t="n"/>
      <c r="L713" s="15" t="inlineStr">
        <is>
          <t>Secondary: commission records; no monthly turnover register for this period</t>
        </is>
      </c>
      <c r="M713" s="15" t="inlineStr">
        <is>
          <t>BAAY PROJECTS SALES EXPENSES (COMMISSION) RECORDS (1)</t>
        </is>
      </c>
      <c r="N713" s="15" t="inlineStr">
        <is>
          <t>MS BOLANLE</t>
        </is>
      </c>
      <c r="O713" s="15" t="n">
        <v>142</v>
      </c>
      <c r="P713" s="15" t="inlineStr">
        <is>
          <t>22/05/2025</t>
        </is>
      </c>
      <c r="Q713" s="15" t="n"/>
      <c r="R713" s="15" t="inlineStr">
        <is>
          <t>Commission-record amount: confirm to bank statement (records can aggregate several transfers)</t>
        </is>
      </c>
    </row>
    <row r="714">
      <c r="A714" s="15" t="inlineStr">
        <is>
          <t>SL0710</t>
        </is>
      </c>
      <c r="B714" s="16" t="n">
        <v>45799</v>
      </c>
      <c r="C714" s="15" t="inlineStr">
        <is>
          <t>2025-05</t>
        </is>
      </c>
      <c r="D714" s="15" t="n">
        <v>2025</v>
      </c>
      <c r="E714" s="15" t="inlineStr">
        <is>
          <t>Land</t>
        </is>
      </c>
      <c r="F714" s="15" t="inlineStr">
        <is>
          <t>Plot / unit price</t>
        </is>
      </c>
      <c r="G714" s="15" t="inlineStr">
        <is>
          <t>Land (estate not stated in source)</t>
        </is>
      </c>
      <c r="H714" s="15" t="inlineStr">
        <is>
          <t>BP-C0077</t>
        </is>
      </c>
      <c r="I714" s="15" t="inlineStr">
        <is>
          <t>Mr Uebari Sorbari</t>
        </is>
      </c>
      <c r="J714" s="17" t="n">
        <v>1000000</v>
      </c>
      <c r="K714" s="15" t="n"/>
      <c r="L714" s="15" t="inlineStr">
        <is>
          <t>Secondary: commission records; no monthly turnover register for this period</t>
        </is>
      </c>
      <c r="M714" s="15" t="inlineStr">
        <is>
          <t>BAAY PROJECTS SALES EXPENSES (COMMISSION) RECORDS (1)</t>
        </is>
      </c>
      <c r="N714" s="15" t="inlineStr">
        <is>
          <t>MS ELIZABETH</t>
        </is>
      </c>
      <c r="O714" s="15" t="n">
        <v>86</v>
      </c>
      <c r="P714" s="15" t="inlineStr">
        <is>
          <t>22/05/2025</t>
        </is>
      </c>
      <c r="Q714" s="15" t="n"/>
      <c r="R714" s="15" t="inlineStr">
        <is>
          <t>Commission-record amount: confirm to bank statement (records can aggregate several transfers)</t>
        </is>
      </c>
    </row>
    <row r="715">
      <c r="A715" s="15" t="inlineStr">
        <is>
          <t>SL0711</t>
        </is>
      </c>
      <c r="B715" s="16" t="n">
        <v>45799</v>
      </c>
      <c r="C715" s="15" t="inlineStr">
        <is>
          <t>2025-05</t>
        </is>
      </c>
      <c r="D715" s="15" t="n">
        <v>2025</v>
      </c>
      <c r="E715" s="15" t="inlineStr">
        <is>
          <t>Housing</t>
        </is>
      </c>
      <c r="F715" s="15" t="inlineStr">
        <is>
          <t>Plot / unit price</t>
        </is>
      </c>
      <c r="G715" s="15" t="inlineStr">
        <is>
          <t>Pacific Apartment</t>
        </is>
      </c>
      <c r="H715" s="15" t="inlineStr">
        <is>
          <t>BP-C0143</t>
        </is>
      </c>
      <c r="I715" s="15" t="inlineStr">
        <is>
          <t>Mrs Oyindamola Duntoye Adekunle</t>
        </is>
      </c>
      <c r="J715" s="17" t="n">
        <v>4750000</v>
      </c>
      <c r="K715" s="15" t="n"/>
      <c r="L715" s="15" t="inlineStr">
        <is>
          <t>Secondary: commission records; no monthly turnover register for this period</t>
        </is>
      </c>
      <c r="M715" s="15" t="inlineStr">
        <is>
          <t>BAAY PROJECTS SALES EXPENSES (COMMISSION) RECORDS (1)</t>
        </is>
      </c>
      <c r="N715" s="15" t="inlineStr">
        <is>
          <t>MAMA ADEBIMPE</t>
        </is>
      </c>
      <c r="O715" s="15" t="n">
        <v>186</v>
      </c>
      <c r="P715" s="15" t="inlineStr">
        <is>
          <t>22/05/2025</t>
        </is>
      </c>
      <c r="Q715" s="15" t="n"/>
      <c r="R715" s="15" t="inlineStr">
        <is>
          <t>Commission-record amount: confirm to bank statement (records can aggregate several transfers)</t>
        </is>
      </c>
    </row>
    <row r="716">
      <c r="A716" s="15" t="inlineStr">
        <is>
          <t>SL0712</t>
        </is>
      </c>
      <c r="B716" s="16" t="n">
        <v>45804</v>
      </c>
      <c r="C716" s="15" t="inlineStr">
        <is>
          <t>2025-05</t>
        </is>
      </c>
      <c r="D716" s="15" t="n">
        <v>2025</v>
      </c>
      <c r="E716" s="15" t="inlineStr">
        <is>
          <t>Housing</t>
        </is>
      </c>
      <c r="F716" s="15" t="inlineStr">
        <is>
          <t>Plot / unit price</t>
        </is>
      </c>
      <c r="G716" s="15" t="inlineStr">
        <is>
          <t>Pacific Apartment</t>
        </is>
      </c>
      <c r="H716" s="15" t="inlineStr">
        <is>
          <t>BP-C0192</t>
        </is>
      </c>
      <c r="I716" s="15" t="inlineStr">
        <is>
          <t>Dr Esangbedo Wilson</t>
        </is>
      </c>
      <c r="J716" s="17" t="n">
        <v>3000000</v>
      </c>
      <c r="K716" s="15" t="n"/>
      <c r="L716" s="15" t="inlineStr">
        <is>
          <t>Secondary: commission records; no monthly turnover register for this period</t>
        </is>
      </c>
      <c r="M716" s="15" t="inlineStr">
        <is>
          <t>BAAY PROJECTS SALES EXPENSES (COMMISSION) RECORDS (1)</t>
        </is>
      </c>
      <c r="N716" s="15" t="inlineStr">
        <is>
          <t>MRS ABIMBOLA</t>
        </is>
      </c>
      <c r="O716" s="15" t="n">
        <v>201</v>
      </c>
      <c r="P716" s="15" t="inlineStr">
        <is>
          <t>27/05/2025</t>
        </is>
      </c>
      <c r="Q716" s="15" t="n"/>
      <c r="R716" s="15" t="inlineStr">
        <is>
          <t>Commission-record amount: confirm to bank statement (records can aggregate several transfers)</t>
        </is>
      </c>
    </row>
    <row r="717">
      <c r="A717" s="15" t="inlineStr">
        <is>
          <t>SL0713</t>
        </is>
      </c>
      <c r="B717" s="16" t="n">
        <v>45804</v>
      </c>
      <c r="C717" s="15" t="inlineStr">
        <is>
          <t>2025-05</t>
        </is>
      </c>
      <c r="D717" s="15" t="n">
        <v>2025</v>
      </c>
      <c r="E717" s="15" t="inlineStr">
        <is>
          <t>Land</t>
        </is>
      </c>
      <c r="F717" s="15" t="inlineStr">
        <is>
          <t>Plot / unit price</t>
        </is>
      </c>
      <c r="G717" s="15" t="inlineStr">
        <is>
          <t>Land (estate not stated in source)</t>
        </is>
      </c>
      <c r="H717" s="15" t="inlineStr">
        <is>
          <t>BP-C0181</t>
        </is>
      </c>
      <c r="I717" s="15" t="inlineStr">
        <is>
          <t>Miss Joshua Fortune Ufot</t>
        </is>
      </c>
      <c r="J717" s="17" t="n">
        <v>600000</v>
      </c>
      <c r="K717" s="15" t="n"/>
      <c r="L717" s="15" t="inlineStr">
        <is>
          <t>Secondary: commission records; no monthly turnover register for this period</t>
        </is>
      </c>
      <c r="M717" s="15" t="inlineStr">
        <is>
          <t>BAAY PROJECTS SALES EXPENSES (COMMISSION) RECORDS (1)</t>
        </is>
      </c>
      <c r="N717" s="15" t="inlineStr">
        <is>
          <t>MS PRAISE</t>
        </is>
      </c>
      <c r="O717" s="15" t="n">
        <v>12</v>
      </c>
      <c r="P717" s="15" t="inlineStr">
        <is>
          <t>27/05/2025</t>
        </is>
      </c>
      <c r="Q717" s="15" t="n"/>
      <c r="R717" s="15" t="inlineStr">
        <is>
          <t>Commission-record amount: confirm to bank statement (records can aggregate several transfers)</t>
        </is>
      </c>
    </row>
    <row r="718">
      <c r="A718" s="15" t="inlineStr">
        <is>
          <t>SL0714</t>
        </is>
      </c>
      <c r="B718" s="16" t="n">
        <v>45806</v>
      </c>
      <c r="C718" s="15" t="inlineStr">
        <is>
          <t>2025-05</t>
        </is>
      </c>
      <c r="D718" s="15" t="n">
        <v>2025</v>
      </c>
      <c r="E718" s="15" t="inlineStr">
        <is>
          <t>Housing</t>
        </is>
      </c>
      <c r="F718" s="15" t="inlineStr">
        <is>
          <t>Plot / unit price</t>
        </is>
      </c>
      <c r="G718" s="15" t="inlineStr">
        <is>
          <t>Housing unit (project not stated in source)</t>
        </is>
      </c>
      <c r="H718" s="15" t="inlineStr">
        <is>
          <t>BP-C0133</t>
        </is>
      </c>
      <c r="I718" s="15" t="inlineStr">
        <is>
          <t>Mr Olagbende Oluwashina Oluwaseun</t>
        </is>
      </c>
      <c r="J718" s="17" t="n">
        <v>5900000</v>
      </c>
      <c r="K718" s="15" t="n"/>
      <c r="L718" s="15" t="inlineStr">
        <is>
          <t>Secondary: commission records; no monthly turnover register for this period</t>
        </is>
      </c>
      <c r="M718" s="15" t="inlineStr">
        <is>
          <t>BAAY PROJECTS SALES EXPENSES (COMMISSION) RECORDS (1)</t>
        </is>
      </c>
      <c r="N718" s="15" t="inlineStr">
        <is>
          <t>MS AWONORIN MAYOWA</t>
        </is>
      </c>
      <c r="O718" s="15" t="n">
        <v>75</v>
      </c>
      <c r="P718" s="15" t="inlineStr">
        <is>
          <t>29/05/2025</t>
        </is>
      </c>
      <c r="Q718" s="15" t="n"/>
      <c r="R718" s="15" t="inlineStr">
        <is>
          <t>Commission-record amount: confirm to bank statement (records can aggregate several transfers)</t>
        </is>
      </c>
    </row>
    <row r="719">
      <c r="A719" s="15" t="inlineStr">
        <is>
          <t>SL0715</t>
        </is>
      </c>
      <c r="B719" s="16" t="n">
        <v>45807</v>
      </c>
      <c r="C719" s="15" t="inlineStr">
        <is>
          <t>2025-05</t>
        </is>
      </c>
      <c r="D719" s="15" t="n">
        <v>2025</v>
      </c>
      <c r="E719" s="15" t="inlineStr">
        <is>
          <t>Land</t>
        </is>
      </c>
      <c r="F719" s="15" t="inlineStr">
        <is>
          <t>Plot / unit price</t>
        </is>
      </c>
      <c r="G719" s="15" t="inlineStr">
        <is>
          <t>Land (estate not stated in source)</t>
        </is>
      </c>
      <c r="H719" s="15" t="inlineStr">
        <is>
          <t>BP-C0190</t>
        </is>
      </c>
      <c r="I719" s="15" t="inlineStr">
        <is>
          <t>Mr Olaiya Oluwatobi</t>
        </is>
      </c>
      <c r="J719" s="17" t="n">
        <v>200000</v>
      </c>
      <c r="K719" s="15" t="n"/>
      <c r="L719" s="15" t="inlineStr">
        <is>
          <t>Secondary: commission records; no monthly turnover register for this period</t>
        </is>
      </c>
      <c r="M719" s="15" t="inlineStr">
        <is>
          <t>BAAY PROJECTS SALES EXPENSES (COMMISSION) RECORDS (1)</t>
        </is>
      </c>
      <c r="N719" s="15" t="inlineStr">
        <is>
          <t>MS AWONORIN MAYOWA</t>
        </is>
      </c>
      <c r="O719" s="15" t="n">
        <v>74</v>
      </c>
      <c r="P719" s="15" t="inlineStr">
        <is>
          <t>30/05/2025</t>
        </is>
      </c>
      <c r="Q719" s="15" t="n"/>
      <c r="R719" s="15" t="inlineStr">
        <is>
          <t>Commission-record amount: confirm to bank statement (records can aggregate several transfers)</t>
        </is>
      </c>
    </row>
    <row r="720">
      <c r="A720" s="15" t="inlineStr">
        <is>
          <t>SL0716</t>
        </is>
      </c>
      <c r="B720" s="16" t="n">
        <v>45807</v>
      </c>
      <c r="C720" s="15" t="inlineStr">
        <is>
          <t>2025-05</t>
        </is>
      </c>
      <c r="D720" s="15" t="n">
        <v>2025</v>
      </c>
      <c r="E720" s="15" t="inlineStr">
        <is>
          <t>Housing</t>
        </is>
      </c>
      <c r="F720" s="15" t="inlineStr">
        <is>
          <t>Plot / unit price</t>
        </is>
      </c>
      <c r="G720" s="15" t="inlineStr">
        <is>
          <t>Pacific Court 2</t>
        </is>
      </c>
      <c r="H720" s="15" t="inlineStr">
        <is>
          <t>BP-C0185</t>
        </is>
      </c>
      <c r="I720" s="15" t="inlineStr">
        <is>
          <t>Mr Onwuegbuna Ikechukwu Emmanuel</t>
        </is>
      </c>
      <c r="J720" s="17" t="n">
        <v>3000000</v>
      </c>
      <c r="K720" s="15" t="n"/>
      <c r="L720" s="15" t="inlineStr">
        <is>
          <t>Secondary: commission records; no monthly turnover register for this period</t>
        </is>
      </c>
      <c r="M720" s="15" t="inlineStr">
        <is>
          <t>BAAY PROJECTS SALES EXPENSES (COMMISSION) RECORDS (1)</t>
        </is>
      </c>
      <c r="N720" s="15" t="inlineStr">
        <is>
          <t>MS LORENCIA</t>
        </is>
      </c>
      <c r="O720" s="15" t="n">
        <v>17</v>
      </c>
      <c r="P720" s="15" t="inlineStr">
        <is>
          <t>30/05/2025</t>
        </is>
      </c>
      <c r="Q720" s="15" t="n"/>
      <c r="R720" s="15" t="inlineStr">
        <is>
          <t>Commission-record amount: confirm to bank statement (records can aggregate several transfers)</t>
        </is>
      </c>
    </row>
    <row r="721">
      <c r="A721" s="15" t="inlineStr">
        <is>
          <t>SL0717</t>
        </is>
      </c>
      <c r="B721" s="16" t="n">
        <v>45809</v>
      </c>
      <c r="C721" s="15" t="inlineStr">
        <is>
          <t>2025-06</t>
        </is>
      </c>
      <c r="D721" s="15" t="n">
        <v>2025</v>
      </c>
      <c r="E721" s="15" t="inlineStr">
        <is>
          <t>Land</t>
        </is>
      </c>
      <c r="F721" s="15" t="inlineStr">
        <is>
          <t>Plot / unit price</t>
        </is>
      </c>
      <c r="G721" s="15" t="inlineStr">
        <is>
          <t>Land (estate not stated in source)</t>
        </is>
      </c>
      <c r="H721" s="15" t="inlineStr">
        <is>
          <t>BP-C0077</t>
        </is>
      </c>
      <c r="I721" s="15" t="inlineStr">
        <is>
          <t>Mr Uebari Sorbari</t>
        </is>
      </c>
      <c r="J721" s="17" t="n">
        <v>500000</v>
      </c>
      <c r="K721" s="15" t="n"/>
      <c r="L721" s="15" t="inlineStr">
        <is>
          <t>Secondary: commission records; no monthly turnover register for this period</t>
        </is>
      </c>
      <c r="M721" s="15" t="inlineStr">
        <is>
          <t>BAAY PROJECTS SALES EXPENSES (COMMISSION) RECORDS (1)</t>
        </is>
      </c>
      <c r="N721" s="15" t="inlineStr">
        <is>
          <t>MS ELIZABETH</t>
        </is>
      </c>
      <c r="O721" s="15" t="n">
        <v>93</v>
      </c>
      <c r="P721" s="15" t="inlineStr">
        <is>
          <t>2025-01-06</t>
        </is>
      </c>
      <c r="Q721" s="15" t="n"/>
      <c r="R721" s="15" t="inlineStr">
        <is>
          <t>Commission-record amount: confirm to bank statement (records can aggregate several transfers)</t>
        </is>
      </c>
    </row>
    <row r="722">
      <c r="A722" s="15" t="inlineStr">
        <is>
          <t>SL0718</t>
        </is>
      </c>
      <c r="B722" s="16" t="n">
        <v>45810</v>
      </c>
      <c r="C722" s="15" t="inlineStr">
        <is>
          <t>2025-06</t>
        </is>
      </c>
      <c r="D722" s="15" t="n">
        <v>2025</v>
      </c>
      <c r="E722" s="15" t="inlineStr">
        <is>
          <t>Housing</t>
        </is>
      </c>
      <c r="F722" s="15" t="inlineStr">
        <is>
          <t>Plot / unit price</t>
        </is>
      </c>
      <c r="G722" s="15" t="inlineStr">
        <is>
          <t>Pacific Apartment</t>
        </is>
      </c>
      <c r="H722" s="15" t="inlineStr">
        <is>
          <t>BP-C0160</t>
        </is>
      </c>
      <c r="I722" s="15" t="inlineStr">
        <is>
          <t>Mr Okenla Olugboyega Gabriel</t>
        </is>
      </c>
      <c r="J722" s="17" t="n">
        <v>5000000</v>
      </c>
      <c r="K722" s="15" t="n"/>
      <c r="L722" s="15" t="inlineStr">
        <is>
          <t>Secondary: commission records; no monthly turnover register for this period</t>
        </is>
      </c>
      <c r="M722" s="15" t="inlineStr">
        <is>
          <t>BAAY PROJECTS SALES EXPENSES (COMMISSION) RECORDS (1)</t>
        </is>
      </c>
      <c r="N722" s="15" t="inlineStr">
        <is>
          <t>MS MOFFAT</t>
        </is>
      </c>
      <c r="O722" s="15" t="n">
        <v>37</v>
      </c>
      <c r="P722" s="15" t="inlineStr">
        <is>
          <t>2025-02-06</t>
        </is>
      </c>
      <c r="Q722" s="15" t="inlineStr">
        <is>
          <t>MRS ABIMBOLA r208</t>
        </is>
      </c>
      <c r="R722" s="15" t="inlineStr">
        <is>
          <t>Commission-record amount: confirm to bank statement (records can aggregate several transfers)</t>
        </is>
      </c>
    </row>
    <row r="723">
      <c r="A723" s="15" t="inlineStr">
        <is>
          <t>SL0719</t>
        </is>
      </c>
      <c r="B723" s="16" t="n">
        <v>45812</v>
      </c>
      <c r="C723" s="15" t="inlineStr">
        <is>
          <t>2025-06</t>
        </is>
      </c>
      <c r="D723" s="15" t="n">
        <v>2025</v>
      </c>
      <c r="E723" s="15" t="inlineStr">
        <is>
          <t>Housing</t>
        </is>
      </c>
      <c r="F723" s="15" t="inlineStr">
        <is>
          <t>Plot / unit price</t>
        </is>
      </c>
      <c r="G723" s="15" t="inlineStr">
        <is>
          <t>Pacific Apartment</t>
        </is>
      </c>
      <c r="H723" s="15" t="inlineStr">
        <is>
          <t>BP-C0186</t>
        </is>
      </c>
      <c r="I723" s="15" t="inlineStr">
        <is>
          <t>Salem real Estate (Mrs Omoko Onora Helen)</t>
        </is>
      </c>
      <c r="J723" s="17" t="n">
        <v>2100000</v>
      </c>
      <c r="K723" s="15" t="n"/>
      <c r="L723" s="15" t="inlineStr">
        <is>
          <t>Secondary: commission records; no monthly turnover register for this period</t>
        </is>
      </c>
      <c r="M723" s="15" t="inlineStr">
        <is>
          <t>BAAY PROJECTS SALES EXPENSES (COMMISSION) RECORDS (1)</t>
        </is>
      </c>
      <c r="N723" s="15" t="inlineStr">
        <is>
          <t>MR CHARLES</t>
        </is>
      </c>
      <c r="O723" s="15" t="n">
        <v>97</v>
      </c>
      <c r="P723" s="15" t="inlineStr">
        <is>
          <t>2025-04-06</t>
        </is>
      </c>
      <c r="Q723" s="15" t="inlineStr">
        <is>
          <t>SALEM REAL ESTATE r22</t>
        </is>
      </c>
      <c r="R723" s="15" t="inlineStr">
        <is>
          <t>Commission-record amount: confirm to bank statement (records can aggregate several transfers)</t>
        </is>
      </c>
    </row>
    <row r="724">
      <c r="A724" s="15" t="inlineStr">
        <is>
          <t>SL0720</t>
        </is>
      </c>
      <c r="B724" s="16" t="n">
        <v>45813</v>
      </c>
      <c r="C724" s="15" t="inlineStr">
        <is>
          <t>2025-06</t>
        </is>
      </c>
      <c r="D724" s="15" t="n">
        <v>2025</v>
      </c>
      <c r="E724" s="15" t="inlineStr">
        <is>
          <t>Land</t>
        </is>
      </c>
      <c r="F724" s="15" t="inlineStr">
        <is>
          <t>Plot / unit price</t>
        </is>
      </c>
      <c r="G724" s="15" t="inlineStr">
        <is>
          <t>Land (estate not stated in source)</t>
        </is>
      </c>
      <c r="H724" s="15" t="inlineStr">
        <is>
          <t>BP-C0181</t>
        </is>
      </c>
      <c r="I724" s="15" t="inlineStr">
        <is>
          <t>Miss Joshua Fortune Ufot</t>
        </is>
      </c>
      <c r="J724" s="17" t="n">
        <v>1000000</v>
      </c>
      <c r="K724" s="15" t="n"/>
      <c r="L724" s="15" t="inlineStr">
        <is>
          <t>Secondary: commission records; no monthly turnover register for this period</t>
        </is>
      </c>
      <c r="M724" s="15" t="inlineStr">
        <is>
          <t>BAAY PROJECTS SALES EXPENSES (COMMISSION) RECORDS (1)</t>
        </is>
      </c>
      <c r="N724" s="15" t="inlineStr">
        <is>
          <t>MS PRAISE</t>
        </is>
      </c>
      <c r="O724" s="15" t="n">
        <v>19</v>
      </c>
      <c r="P724" s="15" t="inlineStr">
        <is>
          <t>2025-05-06</t>
        </is>
      </c>
      <c r="Q724" s="15" t="n"/>
      <c r="R724" s="15" t="inlineStr">
        <is>
          <t>Commission-record amount: confirm to bank statement (records can aggregate several transfers)</t>
        </is>
      </c>
    </row>
    <row r="725">
      <c r="A725" s="15" t="inlineStr">
        <is>
          <t>SL0721</t>
        </is>
      </c>
      <c r="B725" s="16" t="n">
        <v>45813</v>
      </c>
      <c r="C725" s="15" t="inlineStr">
        <is>
          <t>2025-06</t>
        </is>
      </c>
      <c r="D725" s="15" t="n">
        <v>2025</v>
      </c>
      <c r="E725" s="15" t="inlineStr">
        <is>
          <t>Land</t>
        </is>
      </c>
      <c r="F725" s="15" t="inlineStr">
        <is>
          <t>Plot / unit price</t>
        </is>
      </c>
      <c r="G725" s="15" t="inlineStr">
        <is>
          <t>Land (estate not stated in source)</t>
        </is>
      </c>
      <c r="H725" s="15" t="inlineStr">
        <is>
          <t>BP-C0191</t>
        </is>
      </c>
      <c r="I725" s="15" t="inlineStr">
        <is>
          <t>Mrs Oduomah Jumoke</t>
        </is>
      </c>
      <c r="J725" s="17" t="n">
        <v>450000</v>
      </c>
      <c r="K725" s="15" t="n"/>
      <c r="L725" s="15" t="inlineStr">
        <is>
          <t>Secondary: commission records; no monthly turnover register for this period</t>
        </is>
      </c>
      <c r="M725" s="15" t="inlineStr">
        <is>
          <t>BAAY PROJECTS SALES EXPENSES (COMMISSION) RECORDS (1)</t>
        </is>
      </c>
      <c r="N725" s="15" t="inlineStr">
        <is>
          <t>MR KENNY BRUCE</t>
        </is>
      </c>
      <c r="O725" s="15" t="n">
        <v>17</v>
      </c>
      <c r="P725" s="15" t="inlineStr">
        <is>
          <t>2025-05-06</t>
        </is>
      </c>
      <c r="Q725" s="15" t="n"/>
      <c r="R725" s="15" t="inlineStr">
        <is>
          <t>Commission-record amount: confirm to bank statement (records can aggregate several transfers)</t>
        </is>
      </c>
    </row>
    <row r="726">
      <c r="A726" s="15" t="inlineStr">
        <is>
          <t>SL0722</t>
        </is>
      </c>
      <c r="B726" s="16" t="n">
        <v>45813</v>
      </c>
      <c r="C726" s="15" t="inlineStr">
        <is>
          <t>2025-06</t>
        </is>
      </c>
      <c r="D726" s="15" t="n">
        <v>2025</v>
      </c>
      <c r="E726" s="15" t="inlineStr">
        <is>
          <t>Housing</t>
        </is>
      </c>
      <c r="F726" s="15" t="inlineStr">
        <is>
          <t>Plot / unit price</t>
        </is>
      </c>
      <c r="G726" s="15" t="inlineStr">
        <is>
          <t>Pacific Apartment</t>
        </is>
      </c>
      <c r="H726" s="15" t="inlineStr">
        <is>
          <t>BP-C0186</t>
        </is>
      </c>
      <c r="I726" s="15" t="inlineStr">
        <is>
          <t>Salem real Estate (Mrs Omoko Onora Helen)</t>
        </is>
      </c>
      <c r="J726" s="17" t="n">
        <v>1500000</v>
      </c>
      <c r="K726" s="15" t="n"/>
      <c r="L726" s="15" t="inlineStr">
        <is>
          <t>Secondary: commission records; no monthly turnover register for this period</t>
        </is>
      </c>
      <c r="M726" s="15" t="inlineStr">
        <is>
          <t>BAAY PROJECTS SALES EXPENSES (COMMISSION) RECORDS (1)</t>
        </is>
      </c>
      <c r="N726" s="15" t="inlineStr">
        <is>
          <t>MR CHARLES</t>
        </is>
      </c>
      <c r="O726" s="15" t="n">
        <v>98</v>
      </c>
      <c r="P726" s="15" t="inlineStr">
        <is>
          <t>2025-05-06</t>
        </is>
      </c>
      <c r="Q726" s="15" t="inlineStr">
        <is>
          <t>SALEM REAL ESTATE r23</t>
        </is>
      </c>
      <c r="R726" s="15" t="inlineStr">
        <is>
          <t>Commission-record amount: confirm to bank statement (records can aggregate several transfers)</t>
        </is>
      </c>
    </row>
    <row r="727">
      <c r="A727" s="15" t="inlineStr">
        <is>
          <t>SL0723</t>
        </is>
      </c>
      <c r="B727" s="16" t="n">
        <v>45815</v>
      </c>
      <c r="C727" s="15" t="inlineStr">
        <is>
          <t>2025-06</t>
        </is>
      </c>
      <c r="D727" s="15" t="n">
        <v>2025</v>
      </c>
      <c r="E727" s="15" t="inlineStr">
        <is>
          <t>Housing</t>
        </is>
      </c>
      <c r="F727" s="15" t="inlineStr">
        <is>
          <t>Plot / unit price</t>
        </is>
      </c>
      <c r="G727" s="15" t="inlineStr">
        <is>
          <t>Pacific Court 2</t>
        </is>
      </c>
      <c r="H727" s="15" t="inlineStr">
        <is>
          <t>BP-C0185</t>
        </is>
      </c>
      <c r="I727" s="15" t="inlineStr">
        <is>
          <t>Mr Onwuegbuna Ikechukwu Emmanuel</t>
        </is>
      </c>
      <c r="J727" s="17" t="n">
        <v>11000000</v>
      </c>
      <c r="K727" s="15" t="n"/>
      <c r="L727" s="15" t="inlineStr">
        <is>
          <t>Secondary: commission records; no monthly turnover register for this period</t>
        </is>
      </c>
      <c r="M727" s="15" t="inlineStr">
        <is>
          <t>BAAY PROJECTS SALES EXPENSES (COMMISSION) RECORDS (1)</t>
        </is>
      </c>
      <c r="N727" s="15" t="inlineStr">
        <is>
          <t>MS LORENCIA</t>
        </is>
      </c>
      <c r="O727" s="15" t="n">
        <v>23</v>
      </c>
      <c r="P727" s="15" t="inlineStr">
        <is>
          <t>2025-07-06</t>
        </is>
      </c>
      <c r="Q727" s="15" t="n"/>
      <c r="R727" s="15" t="inlineStr">
        <is>
          <t>Commission-record amount: confirm to bank statement (records can aggregate several transfers)</t>
        </is>
      </c>
    </row>
    <row r="728">
      <c r="A728" s="15" t="inlineStr">
        <is>
          <t>SL0724</t>
        </is>
      </c>
      <c r="B728" s="16" t="n">
        <v>45818</v>
      </c>
      <c r="C728" s="15" t="inlineStr">
        <is>
          <t>2025-06</t>
        </is>
      </c>
      <c r="D728" s="15" t="n">
        <v>2025</v>
      </c>
      <c r="E728" s="15" t="inlineStr">
        <is>
          <t>Housing</t>
        </is>
      </c>
      <c r="F728" s="15" t="inlineStr">
        <is>
          <t>Plot / unit price</t>
        </is>
      </c>
      <c r="G728" s="15" t="inlineStr">
        <is>
          <t>Pacific Apartment</t>
        </is>
      </c>
      <c r="H728" s="15" t="inlineStr">
        <is>
          <t>BP-C0143</t>
        </is>
      </c>
      <c r="I728" s="15" t="inlineStr">
        <is>
          <t>Mrs Oyindamola Duntoye Adekunle</t>
        </is>
      </c>
      <c r="J728" s="17" t="n">
        <v>4750000</v>
      </c>
      <c r="K728" s="15" t="n"/>
      <c r="L728" s="15" t="inlineStr">
        <is>
          <t>Secondary: commission records; no monthly turnover register for this period</t>
        </is>
      </c>
      <c r="M728" s="15" t="inlineStr">
        <is>
          <t>BAAY PROJECTS SALES EXPENSES (COMMISSION) RECORDS (1)</t>
        </is>
      </c>
      <c r="N728" s="15" t="inlineStr">
        <is>
          <t>MAMA ADEBIMPE</t>
        </is>
      </c>
      <c r="O728" s="15" t="n">
        <v>199</v>
      </c>
      <c r="P728" s="15" t="inlineStr">
        <is>
          <t>2025-10-06</t>
        </is>
      </c>
      <c r="Q728" s="15" t="n"/>
      <c r="R728" s="15" t="inlineStr">
        <is>
          <t>Commission-record amount: confirm to bank statement (records can aggregate several transfers)</t>
        </is>
      </c>
    </row>
    <row r="729">
      <c r="A729" s="15" t="inlineStr">
        <is>
          <t>SL0725</t>
        </is>
      </c>
      <c r="B729" s="16" t="n">
        <v>45819</v>
      </c>
      <c r="C729" s="15" t="inlineStr">
        <is>
          <t>2025-06</t>
        </is>
      </c>
      <c r="D729" s="15" t="n">
        <v>2025</v>
      </c>
      <c r="E729" s="15" t="inlineStr">
        <is>
          <t>Land</t>
        </is>
      </c>
      <c r="F729" s="15" t="inlineStr">
        <is>
          <t>Plot / unit price</t>
        </is>
      </c>
      <c r="G729" s="15" t="inlineStr">
        <is>
          <t>Land (estate not stated in source)</t>
        </is>
      </c>
      <c r="H729" s="15" t="inlineStr">
        <is>
          <t>BP-C0195</t>
        </is>
      </c>
      <c r="I729" s="15" t="inlineStr">
        <is>
          <t>Mr Haruna Adekunle Waheed</t>
        </is>
      </c>
      <c r="J729" s="17" t="n">
        <v>1250000</v>
      </c>
      <c r="K729" s="15" t="n"/>
      <c r="L729" s="15" t="inlineStr">
        <is>
          <t>Secondary: commission records; no monthly turnover register for this period</t>
        </is>
      </c>
      <c r="M729" s="15" t="inlineStr">
        <is>
          <t>BAAY PROJECTS SALES EXPENSES (COMMISSION) RECORDS (1)</t>
        </is>
      </c>
      <c r="N729" s="15" t="inlineStr">
        <is>
          <t>MRS ABIMBOLA</t>
        </is>
      </c>
      <c r="O729" s="15" t="n">
        <v>209</v>
      </c>
      <c r="P729" s="15" t="inlineStr">
        <is>
          <t>2025-11-06</t>
        </is>
      </c>
      <c r="Q729" s="15" t="n"/>
      <c r="R729" s="15" t="inlineStr">
        <is>
          <t>Commission-record amount: confirm to bank statement (records can aggregate several transfers)</t>
        </is>
      </c>
    </row>
    <row r="730">
      <c r="A730" s="15" t="inlineStr">
        <is>
          <t>SL0726</t>
        </is>
      </c>
      <c r="B730" s="16" t="n">
        <v>45819</v>
      </c>
      <c r="C730" s="15" t="inlineStr">
        <is>
          <t>2025-06</t>
        </is>
      </c>
      <c r="D730" s="15" t="n">
        <v>2025</v>
      </c>
      <c r="E730" s="15" t="inlineStr">
        <is>
          <t>Land</t>
        </is>
      </c>
      <c r="F730" s="15" t="inlineStr">
        <is>
          <t>Plot / unit price</t>
        </is>
      </c>
      <c r="G730" s="15" t="inlineStr">
        <is>
          <t>Land (estate not stated in source)</t>
        </is>
      </c>
      <c r="H730" s="15" t="inlineStr">
        <is>
          <t>BP-C0196</t>
        </is>
      </c>
      <c r="I730" s="15" t="inlineStr">
        <is>
          <t>Mr Ikechukwu Godson Agbim</t>
        </is>
      </c>
      <c r="J730" s="17" t="n">
        <v>4000000</v>
      </c>
      <c r="K730" s="15" t="n"/>
      <c r="L730" s="15" t="inlineStr">
        <is>
          <t>Secondary: commission records; no monthly turnover register for this period</t>
        </is>
      </c>
      <c r="M730" s="15" t="inlineStr">
        <is>
          <t>BAAY PROJECTS SALES EXPENSES (COMMISSION) RECORDS (1)</t>
        </is>
      </c>
      <c r="N730" s="15" t="inlineStr">
        <is>
          <t>MRS ABIMBOLA</t>
        </is>
      </c>
      <c r="O730" s="15" t="n">
        <v>210</v>
      </c>
      <c r="P730" s="15" t="inlineStr">
        <is>
          <t>2025-11-06</t>
        </is>
      </c>
      <c r="Q730" s="15" t="n"/>
      <c r="R730" s="15" t="inlineStr">
        <is>
          <t>Commission-record amount: confirm to bank statement (records can aggregate several transfers)</t>
        </is>
      </c>
    </row>
    <row r="731">
      <c r="A731" s="15" t="inlineStr">
        <is>
          <t>SL0727</t>
        </is>
      </c>
      <c r="B731" s="16" t="n">
        <v>45821</v>
      </c>
      <c r="C731" s="15" t="inlineStr">
        <is>
          <t>2025-06</t>
        </is>
      </c>
      <c r="D731" s="15" t="n">
        <v>2025</v>
      </c>
      <c r="E731" s="15" t="inlineStr">
        <is>
          <t>Land</t>
        </is>
      </c>
      <c r="F731" s="15" t="inlineStr">
        <is>
          <t>Plot / unit price</t>
        </is>
      </c>
      <c r="G731" s="15" t="inlineStr">
        <is>
          <t>Land (estate not stated in source)</t>
        </is>
      </c>
      <c r="H731" s="15" t="inlineStr">
        <is>
          <t>BP-C0077</t>
        </is>
      </c>
      <c r="I731" s="15" t="inlineStr">
        <is>
          <t>Mr Uebari Sorbari</t>
        </is>
      </c>
      <c r="J731" s="17" t="n">
        <v>700000</v>
      </c>
      <c r="K731" s="15" t="n"/>
      <c r="L731" s="15" t="inlineStr">
        <is>
          <t>Secondary: commission records; no monthly turnover register for this period</t>
        </is>
      </c>
      <c r="M731" s="15" t="inlineStr">
        <is>
          <t>BAAY PROJECTS SALES EXPENSES (COMMISSION) RECORDS (1)</t>
        </is>
      </c>
      <c r="N731" s="15" t="inlineStr">
        <is>
          <t>MS ELIZABETH</t>
        </is>
      </c>
      <c r="O731" s="15" t="n">
        <v>94</v>
      </c>
      <c r="P731" s="15" t="inlineStr">
        <is>
          <t>13/06/2025</t>
        </is>
      </c>
      <c r="Q731" s="15" t="n"/>
      <c r="R731" s="15" t="inlineStr">
        <is>
          <t>Commission-record amount: confirm to bank statement (records can aggregate several transfers)</t>
        </is>
      </c>
    </row>
    <row r="732">
      <c r="A732" s="15" t="inlineStr">
        <is>
          <t>SL0728</t>
        </is>
      </c>
      <c r="B732" s="16" t="n">
        <v>45824</v>
      </c>
      <c r="C732" s="15" t="inlineStr">
        <is>
          <t>2025-06</t>
        </is>
      </c>
      <c r="D732" s="15" t="n">
        <v>2025</v>
      </c>
      <c r="E732" s="15" t="inlineStr">
        <is>
          <t>Housing</t>
        </is>
      </c>
      <c r="F732" s="15" t="inlineStr">
        <is>
          <t>Plot / unit price</t>
        </is>
      </c>
      <c r="G732" s="15" t="inlineStr">
        <is>
          <t>Pacific Apartment</t>
        </is>
      </c>
      <c r="H732" s="15" t="inlineStr">
        <is>
          <t>BP-C0186</t>
        </is>
      </c>
      <c r="I732" s="15" t="inlineStr">
        <is>
          <t>Salem real Estate (Mrs Omoko Onora Helen)</t>
        </is>
      </c>
      <c r="J732" s="17" t="n">
        <v>1400000</v>
      </c>
      <c r="K732" s="15" t="n"/>
      <c r="L732" s="15" t="inlineStr">
        <is>
          <t>Secondary: commission records; no monthly turnover register for this period</t>
        </is>
      </c>
      <c r="M732" s="15" t="inlineStr">
        <is>
          <t>BAAY PROJECTS SALES EXPENSES (COMMISSION) RECORDS (1)</t>
        </is>
      </c>
      <c r="N732" s="15" t="inlineStr">
        <is>
          <t>MR CHARLES</t>
        </is>
      </c>
      <c r="O732" s="15" t="n">
        <v>99</v>
      </c>
      <c r="P732" s="15" t="inlineStr">
        <is>
          <t>16/06/2025</t>
        </is>
      </c>
      <c r="Q732" s="15" t="inlineStr">
        <is>
          <t>SALEM REAL ESTATE r24</t>
        </is>
      </c>
      <c r="R732" s="15" t="inlineStr">
        <is>
          <t>Commission-record amount: confirm to bank statement (records can aggregate several transfers)</t>
        </is>
      </c>
    </row>
    <row r="733">
      <c r="A733" s="15" t="inlineStr">
        <is>
          <t>SL0729</t>
        </is>
      </c>
      <c r="B733" s="16" t="n">
        <v>45826</v>
      </c>
      <c r="C733" s="15" t="inlineStr">
        <is>
          <t>2025-06</t>
        </is>
      </c>
      <c r="D733" s="15" t="n">
        <v>2025</v>
      </c>
      <c r="E733" s="15" t="inlineStr">
        <is>
          <t>Land</t>
        </is>
      </c>
      <c r="F733" s="15" t="inlineStr">
        <is>
          <t>Plot / unit price</t>
        </is>
      </c>
      <c r="G733" s="15" t="inlineStr">
        <is>
          <t>Land (estate not stated in source)</t>
        </is>
      </c>
      <c r="H733" s="15" t="inlineStr">
        <is>
          <t>BP-C0178</t>
        </is>
      </c>
      <c r="I733" s="15" t="inlineStr">
        <is>
          <t>Mrs Ajiri-Odeh Chioma</t>
        </is>
      </c>
      <c r="J733" s="17" t="n">
        <v>200000</v>
      </c>
      <c r="K733" s="15" t="n"/>
      <c r="L733" s="15" t="inlineStr">
        <is>
          <t>Secondary: commission records; no monthly turnover register for this period</t>
        </is>
      </c>
      <c r="M733" s="15" t="inlineStr">
        <is>
          <t>BAAY PROJECTS SALES EXPENSES (COMMISSION) RECORDS (1)</t>
        </is>
      </c>
      <c r="N733" s="15" t="inlineStr">
        <is>
          <t>MS JENNIFER</t>
        </is>
      </c>
      <c r="O733" s="15" t="n">
        <v>19</v>
      </c>
      <c r="P733" s="15" t="inlineStr">
        <is>
          <t>18/06/2025</t>
        </is>
      </c>
      <c r="Q733" s="15" t="n"/>
      <c r="R733" s="15" t="inlineStr">
        <is>
          <t>Commission-record amount: confirm to bank statement (records can aggregate several transfers)</t>
        </is>
      </c>
    </row>
    <row r="734">
      <c r="A734" s="15" t="inlineStr">
        <is>
          <t>SL0730</t>
        </is>
      </c>
      <c r="B734" s="16" t="n">
        <v>45828</v>
      </c>
      <c r="C734" s="15" t="inlineStr">
        <is>
          <t>2025-06</t>
        </is>
      </c>
      <c r="D734" s="15" t="n">
        <v>2025</v>
      </c>
      <c r="E734" s="15" t="inlineStr">
        <is>
          <t>Housing</t>
        </is>
      </c>
      <c r="F734" s="15" t="inlineStr">
        <is>
          <t>Plot / unit price</t>
        </is>
      </c>
      <c r="G734" s="15" t="inlineStr">
        <is>
          <t>Housing unit (project not stated in source)</t>
        </is>
      </c>
      <c r="H734" s="15" t="inlineStr">
        <is>
          <t>BP-C0133</t>
        </is>
      </c>
      <c r="I734" s="15" t="inlineStr">
        <is>
          <t>Mr Olagbende Oluwashina Oluwaseun</t>
        </is>
      </c>
      <c r="J734" s="17" t="n">
        <v>5000000</v>
      </c>
      <c r="K734" s="15" t="n"/>
      <c r="L734" s="15" t="inlineStr">
        <is>
          <t>Secondary: commission records; no monthly turnover register for this period</t>
        </is>
      </c>
      <c r="M734" s="15" t="inlineStr">
        <is>
          <t>BAAY PROJECTS SALES EXPENSES (COMMISSION) RECORDS (1)</t>
        </is>
      </c>
      <c r="N734" s="15" t="inlineStr">
        <is>
          <t>MS AWONORIN MAYOWA</t>
        </is>
      </c>
      <c r="O734" s="15" t="n">
        <v>81</v>
      </c>
      <c r="P734" s="15" t="inlineStr">
        <is>
          <t>20/06/2025</t>
        </is>
      </c>
      <c r="Q734" s="15" t="n"/>
      <c r="R734" s="15" t="inlineStr">
        <is>
          <t>Commission-record amount: confirm to bank statement (records can aggregate several transfers)</t>
        </is>
      </c>
    </row>
    <row r="735">
      <c r="A735" s="15" t="inlineStr">
        <is>
          <t>SL0731</t>
        </is>
      </c>
      <c r="B735" s="16" t="n">
        <v>45829</v>
      </c>
      <c r="C735" s="15" t="inlineStr">
        <is>
          <t>2025-06</t>
        </is>
      </c>
      <c r="D735" s="15" t="n">
        <v>2025</v>
      </c>
      <c r="E735" s="15" t="inlineStr">
        <is>
          <t>Housing</t>
        </is>
      </c>
      <c r="F735" s="15" t="inlineStr">
        <is>
          <t>Plot / unit price</t>
        </is>
      </c>
      <c r="G735" s="15" t="inlineStr">
        <is>
          <t>Housing unit (project not stated in source)</t>
        </is>
      </c>
      <c r="H735" s="15" t="inlineStr">
        <is>
          <t>BP-C0194</t>
        </is>
      </c>
      <c r="I735" s="15" t="inlineStr">
        <is>
          <t>Mrs Enitan Pine</t>
        </is>
      </c>
      <c r="J735" s="17" t="n">
        <v>5000000</v>
      </c>
      <c r="K735" s="15" t="n"/>
      <c r="L735" s="15" t="inlineStr">
        <is>
          <t>Secondary: commission records; no monthly turnover register for this period</t>
        </is>
      </c>
      <c r="M735" s="15" t="inlineStr">
        <is>
          <t>BAAY PROJECTS SALES EXPENSES (COMMISSION) RECORDS (1)</t>
        </is>
      </c>
      <c r="N735" s="15" t="inlineStr">
        <is>
          <t>MD</t>
        </is>
      </c>
      <c r="O735" s="15" t="n">
        <v>178</v>
      </c>
      <c r="P735" s="15" t="inlineStr">
        <is>
          <t>21/06/2025</t>
        </is>
      </c>
      <c r="Q735" s="15" t="n"/>
      <c r="R735" s="15" t="inlineStr">
        <is>
          <t>Commission-record amount: confirm to bank statement (records can aggregate several transfers)</t>
        </is>
      </c>
    </row>
    <row r="736">
      <c r="A736" s="15" t="inlineStr">
        <is>
          <t>SL0732</t>
        </is>
      </c>
      <c r="B736" s="16" t="n">
        <v>45831</v>
      </c>
      <c r="C736" s="15" t="inlineStr">
        <is>
          <t>2025-06</t>
        </is>
      </c>
      <c r="D736" s="15" t="n">
        <v>2025</v>
      </c>
      <c r="E736" s="15" t="inlineStr">
        <is>
          <t>Housing</t>
        </is>
      </c>
      <c r="F736" s="15" t="inlineStr">
        <is>
          <t>Plot / unit price</t>
        </is>
      </c>
      <c r="G736" s="15" t="inlineStr">
        <is>
          <t>Housing unit (project not stated in source)</t>
        </is>
      </c>
      <c r="H736" s="15" t="inlineStr">
        <is>
          <t>BP-C0133</t>
        </is>
      </c>
      <c r="I736" s="15" t="inlineStr">
        <is>
          <t>Mr Olagbende Oluwashina Oluwaseun</t>
        </is>
      </c>
      <c r="J736" s="17" t="n">
        <v>900000</v>
      </c>
      <c r="K736" s="15" t="n"/>
      <c r="L736" s="15" t="inlineStr">
        <is>
          <t>Secondary: commission records; no monthly turnover register for this period</t>
        </is>
      </c>
      <c r="M736" s="15" t="inlineStr">
        <is>
          <t>BAAY PROJECTS SALES EXPENSES (COMMISSION) RECORDS (1)</t>
        </is>
      </c>
      <c r="N736" s="15" t="inlineStr">
        <is>
          <t>MS AWONORIN MAYOWA</t>
        </is>
      </c>
      <c r="O736" s="15" t="n">
        <v>82</v>
      </c>
      <c r="P736" s="15" t="inlineStr">
        <is>
          <t>23/06/2025</t>
        </is>
      </c>
      <c r="Q736" s="15" t="n"/>
      <c r="R736" s="15" t="inlineStr">
        <is>
          <t>Commission-record amount: confirm to bank statement (records can aggregate several transfers)</t>
        </is>
      </c>
    </row>
    <row r="737">
      <c r="A737" s="15" t="inlineStr">
        <is>
          <t>SL0733</t>
        </is>
      </c>
      <c r="B737" s="16" t="n">
        <v>45831</v>
      </c>
      <c r="C737" s="15" t="inlineStr">
        <is>
          <t>2025-06</t>
        </is>
      </c>
      <c r="D737" s="15" t="n">
        <v>2025</v>
      </c>
      <c r="E737" s="15" t="inlineStr">
        <is>
          <t>Housing</t>
        </is>
      </c>
      <c r="F737" s="15" t="inlineStr">
        <is>
          <t>Plot / unit price</t>
        </is>
      </c>
      <c r="G737" s="15" t="inlineStr">
        <is>
          <t>Housing unit (project not stated in source)</t>
        </is>
      </c>
      <c r="H737" s="15" t="inlineStr">
        <is>
          <t>BP-C0194</t>
        </is>
      </c>
      <c r="I737" s="15" t="inlineStr">
        <is>
          <t>Mrs Enitan Pine</t>
        </is>
      </c>
      <c r="J737" s="17" t="n">
        <v>7300000</v>
      </c>
      <c r="K737" s="15" t="n"/>
      <c r="L737" s="15" t="inlineStr">
        <is>
          <t>Secondary: commission records; no monthly turnover register for this period</t>
        </is>
      </c>
      <c r="M737" s="15" t="inlineStr">
        <is>
          <t>BAAY PROJECTS SALES EXPENSES (COMMISSION) RECORDS (1)</t>
        </is>
      </c>
      <c r="N737" s="15" t="inlineStr">
        <is>
          <t>MD</t>
        </is>
      </c>
      <c r="O737" s="15" t="n">
        <v>179</v>
      </c>
      <c r="P737" s="15" t="inlineStr">
        <is>
          <t>23/06/2025</t>
        </is>
      </c>
      <c r="Q737" s="15" t="n"/>
      <c r="R737" s="15" t="inlineStr">
        <is>
          <t>Commission-record amount: confirm to bank statement (records can aggregate several transfers)</t>
        </is>
      </c>
    </row>
    <row r="738">
      <c r="A738" s="15" t="inlineStr">
        <is>
          <t>SL0734</t>
        </is>
      </c>
      <c r="B738" s="16" t="n">
        <v>45832</v>
      </c>
      <c r="C738" s="15" t="inlineStr">
        <is>
          <t>2025-06</t>
        </is>
      </c>
      <c r="D738" s="15" t="n">
        <v>2025</v>
      </c>
      <c r="E738" s="15" t="inlineStr">
        <is>
          <t>Land</t>
        </is>
      </c>
      <c r="F738" s="15" t="inlineStr">
        <is>
          <t>Plot / unit price</t>
        </is>
      </c>
      <c r="G738" s="15" t="inlineStr">
        <is>
          <t>Land (estate not stated in source)</t>
        </is>
      </c>
      <c r="H738" s="15" t="inlineStr">
        <is>
          <t>BP-C0184</t>
        </is>
      </c>
      <c r="I738" s="15" t="inlineStr">
        <is>
          <t>Mr Klu Jeremiah</t>
        </is>
      </c>
      <c r="J738" s="17" t="n">
        <v>500000</v>
      </c>
      <c r="K738" s="15" t="n"/>
      <c r="L738" s="15" t="inlineStr">
        <is>
          <t>Secondary: commission records; no monthly turnover register for this period</t>
        </is>
      </c>
      <c r="M738" s="15" t="inlineStr">
        <is>
          <t>BAAY PROJECTS SALES EXPENSES (COMMISSION) RECORDS (1)</t>
        </is>
      </c>
      <c r="N738" s="15" t="inlineStr">
        <is>
          <t>MS BOLANLE</t>
        </is>
      </c>
      <c r="O738" s="15" t="n">
        <v>148</v>
      </c>
      <c r="P738" s="15" t="inlineStr">
        <is>
          <t>24/06/2025</t>
        </is>
      </c>
      <c r="Q738" s="15" t="n"/>
      <c r="R738" s="15" t="inlineStr">
        <is>
          <t>Commission-record amount: confirm to bank statement (records can aggregate several transfers)</t>
        </is>
      </c>
    </row>
    <row r="739">
      <c r="A739" s="15" t="inlineStr">
        <is>
          <t>SL0735</t>
        </is>
      </c>
      <c r="B739" s="16" t="n">
        <v>45832</v>
      </c>
      <c r="C739" s="15" t="inlineStr">
        <is>
          <t>2025-06</t>
        </is>
      </c>
      <c r="D739" s="15" t="n">
        <v>2025</v>
      </c>
      <c r="E739" s="15" t="inlineStr">
        <is>
          <t>Housing</t>
        </is>
      </c>
      <c r="F739" s="15" t="inlineStr">
        <is>
          <t>Plot / unit price</t>
        </is>
      </c>
      <c r="G739" s="15" t="inlineStr">
        <is>
          <t>Housing unit (project not stated in source)</t>
        </is>
      </c>
      <c r="H739" s="15" t="inlineStr">
        <is>
          <t>BP-C0133</t>
        </is>
      </c>
      <c r="I739" s="15" t="inlineStr">
        <is>
          <t>Mr Olagbende Oluwashina Oluwaseun</t>
        </is>
      </c>
      <c r="J739" s="17" t="n">
        <v>5900000</v>
      </c>
      <c r="K739" s="15" t="n"/>
      <c r="L739" s="15" t="inlineStr">
        <is>
          <t>Secondary: commission records; no monthly turnover register for this period</t>
        </is>
      </c>
      <c r="M739" s="15" t="inlineStr">
        <is>
          <t>BAAY PROJECTS SALES EXPENSES (COMMISSION) RECORDS (1)</t>
        </is>
      </c>
      <c r="N739" s="15" t="inlineStr">
        <is>
          <t>MS AWONORIN MAYOWA</t>
        </is>
      </c>
      <c r="O739" s="15" t="n">
        <v>83</v>
      </c>
      <c r="P739" s="15" t="inlineStr">
        <is>
          <t>24/06/2025</t>
        </is>
      </c>
      <c r="Q739" s="15" t="n"/>
      <c r="R739" s="15" t="inlineStr">
        <is>
          <t>Commission-record amount: confirm to bank statement (records can aggregate several transfers)</t>
        </is>
      </c>
    </row>
    <row r="740">
      <c r="A740" s="15" t="inlineStr">
        <is>
          <t>SL0736</t>
        </is>
      </c>
      <c r="B740" s="16" t="n">
        <v>45832</v>
      </c>
      <c r="C740" s="15" t="inlineStr">
        <is>
          <t>2025-06</t>
        </is>
      </c>
      <c r="D740" s="15" t="n">
        <v>2025</v>
      </c>
      <c r="E740" s="15" t="inlineStr">
        <is>
          <t>Housing</t>
        </is>
      </c>
      <c r="F740" s="15" t="inlineStr">
        <is>
          <t>Plot / unit price</t>
        </is>
      </c>
      <c r="G740" s="15" t="inlineStr">
        <is>
          <t>Housing unit (project not stated in source)</t>
        </is>
      </c>
      <c r="H740" s="15" t="inlineStr">
        <is>
          <t>BP-C0194</t>
        </is>
      </c>
      <c r="I740" s="15" t="inlineStr">
        <is>
          <t>Mrs Enitan Pine</t>
        </is>
      </c>
      <c r="J740" s="17" t="n">
        <v>1800000</v>
      </c>
      <c r="K740" s="15" t="n"/>
      <c r="L740" s="15" t="inlineStr">
        <is>
          <t>Secondary: commission records; no monthly turnover register for this period</t>
        </is>
      </c>
      <c r="M740" s="15" t="inlineStr">
        <is>
          <t>BAAY PROJECTS SALES EXPENSES (COMMISSION) RECORDS (1)</t>
        </is>
      </c>
      <c r="N740" s="15" t="inlineStr">
        <is>
          <t>MD</t>
        </is>
      </c>
      <c r="O740" s="15" t="n">
        <v>180</v>
      </c>
      <c r="P740" s="15" t="inlineStr">
        <is>
          <t>24/06/2025</t>
        </is>
      </c>
      <c r="Q740" s="15" t="n"/>
      <c r="R740" s="15" t="inlineStr">
        <is>
          <t>Commission-record amount: confirm to bank statement (records can aggregate several transfers)</t>
        </is>
      </c>
    </row>
    <row r="741">
      <c r="A741" s="15" t="inlineStr">
        <is>
          <t>SL0737</t>
        </is>
      </c>
      <c r="B741" s="16" t="n">
        <v>45834</v>
      </c>
      <c r="C741" s="15" t="inlineStr">
        <is>
          <t>2025-06</t>
        </is>
      </c>
      <c r="D741" s="15" t="n">
        <v>2025</v>
      </c>
      <c r="E741" s="15" t="inlineStr">
        <is>
          <t>Land</t>
        </is>
      </c>
      <c r="F741" s="15" t="inlineStr">
        <is>
          <t>Plot / unit price</t>
        </is>
      </c>
      <c r="G741" s="15" t="inlineStr">
        <is>
          <t>Land (estate not stated in source)</t>
        </is>
      </c>
      <c r="H741" s="15" t="inlineStr">
        <is>
          <t>BP-C0191</t>
        </is>
      </c>
      <c r="I741" s="15" t="inlineStr">
        <is>
          <t>Mrs Oduomah Jumoke</t>
        </is>
      </c>
      <c r="J741" s="17" t="n">
        <v>400000</v>
      </c>
      <c r="K741" s="15" t="n"/>
      <c r="L741" s="15" t="inlineStr">
        <is>
          <t>Secondary: commission records; no monthly turnover register for this period</t>
        </is>
      </c>
      <c r="M741" s="15" t="inlineStr">
        <is>
          <t>BAAY PROJECTS SALES EXPENSES (COMMISSION) RECORDS (1)</t>
        </is>
      </c>
      <c r="N741" s="15" t="inlineStr">
        <is>
          <t>MR KENNY BRUCE</t>
        </is>
      </c>
      <c r="O741" s="15" t="n">
        <v>18</v>
      </c>
      <c r="P741" s="15" t="inlineStr">
        <is>
          <t>26/06/2025</t>
        </is>
      </c>
      <c r="Q741" s="15" t="n"/>
      <c r="R741" s="15" t="inlineStr">
        <is>
          <t>Commission-record amount: confirm to bank statement (records can aggregate several transfers)</t>
        </is>
      </c>
    </row>
    <row r="742">
      <c r="A742" s="15" t="inlineStr">
        <is>
          <t>SL0738</t>
        </is>
      </c>
      <c r="B742" s="16" t="n">
        <v>45834</v>
      </c>
      <c r="C742" s="15" t="inlineStr">
        <is>
          <t>2025-06</t>
        </is>
      </c>
      <c r="D742" s="15" t="n">
        <v>2025</v>
      </c>
      <c r="E742" s="15" t="inlineStr">
        <is>
          <t>Housing</t>
        </is>
      </c>
      <c r="F742" s="15" t="inlineStr">
        <is>
          <t>Plot / unit price</t>
        </is>
      </c>
      <c r="G742" s="15" t="inlineStr">
        <is>
          <t>Pacific Apartment</t>
        </is>
      </c>
      <c r="H742" s="15" t="inlineStr">
        <is>
          <t>BP-C0186</t>
        </is>
      </c>
      <c r="I742" s="15" t="inlineStr">
        <is>
          <t>Salem real Estate (Mrs Omoko Onora Helen)</t>
        </is>
      </c>
      <c r="J742" s="17" t="n">
        <v>5000000</v>
      </c>
      <c r="K742" s="15" t="n"/>
      <c r="L742" s="15" t="inlineStr">
        <is>
          <t>Secondary: commission records; no monthly turnover register for this period</t>
        </is>
      </c>
      <c r="M742" s="15" t="inlineStr">
        <is>
          <t>BAAY PROJECTS SALES EXPENSES (COMMISSION) RECORDS (1)</t>
        </is>
      </c>
      <c r="N742" s="15" t="inlineStr">
        <is>
          <t>MR CHARLES</t>
        </is>
      </c>
      <c r="O742" s="15" t="n">
        <v>100</v>
      </c>
      <c r="P742" s="15" t="inlineStr">
        <is>
          <t>26/06/2025</t>
        </is>
      </c>
      <c r="Q742" s="15" t="inlineStr">
        <is>
          <t>SALEM REAL ESTATE r31</t>
        </is>
      </c>
      <c r="R742" s="15" t="inlineStr">
        <is>
          <t>Commission-record amount: confirm to bank statement (records can aggregate several transfers)</t>
        </is>
      </c>
    </row>
    <row r="743">
      <c r="A743" s="15" t="inlineStr">
        <is>
          <t>SL0739</t>
        </is>
      </c>
      <c r="B743" s="16" t="n">
        <v>45837</v>
      </c>
      <c r="C743" s="15" t="inlineStr">
        <is>
          <t>2025-06</t>
        </is>
      </c>
      <c r="D743" s="15" t="n">
        <v>2025</v>
      </c>
      <c r="E743" s="15" t="inlineStr">
        <is>
          <t>Land</t>
        </is>
      </c>
      <c r="F743" s="15" t="inlineStr">
        <is>
          <t>Plot / unit price</t>
        </is>
      </c>
      <c r="G743" s="15" t="inlineStr">
        <is>
          <t>Land (estate not stated in source)</t>
        </is>
      </c>
      <c r="H743" s="15" t="inlineStr">
        <is>
          <t>BP-C0178</t>
        </is>
      </c>
      <c r="I743" s="15" t="inlineStr">
        <is>
          <t>Mrs Ajiri-Odeh Chioma</t>
        </is>
      </c>
      <c r="J743" s="17" t="n">
        <v>165000</v>
      </c>
      <c r="K743" s="15" t="n"/>
      <c r="L743" s="15" t="inlineStr">
        <is>
          <t>Secondary: commission records; no monthly turnover register for this period</t>
        </is>
      </c>
      <c r="M743" s="15" t="inlineStr">
        <is>
          <t>BAAY PROJECTS SALES EXPENSES (COMMISSION) RECORDS (1)</t>
        </is>
      </c>
      <c r="N743" s="15" t="inlineStr">
        <is>
          <t>MS JENNIFER</t>
        </is>
      </c>
      <c r="O743" s="15" t="n">
        <v>20</v>
      </c>
      <c r="P743" s="15" t="inlineStr">
        <is>
          <t>29/06/2025</t>
        </is>
      </c>
      <c r="Q743" s="15" t="n"/>
      <c r="R743" s="15" t="inlineStr">
        <is>
          <t>Commission-record amount: confirm to bank statement (records can aggregate several transfers)</t>
        </is>
      </c>
    </row>
    <row r="744">
      <c r="A744" s="15" t="inlineStr">
        <is>
          <t>SL0740</t>
        </is>
      </c>
      <c r="B744" s="16" t="n">
        <v>45837</v>
      </c>
      <c r="C744" s="15" t="inlineStr">
        <is>
          <t>2025-06</t>
        </is>
      </c>
      <c r="D744" s="15" t="n">
        <v>2025</v>
      </c>
      <c r="E744" s="15" t="inlineStr">
        <is>
          <t>Housing</t>
        </is>
      </c>
      <c r="F744" s="15" t="inlineStr">
        <is>
          <t>Plot / unit price</t>
        </is>
      </c>
      <c r="G744" s="15" t="inlineStr">
        <is>
          <t>Housing unit (project not stated in source)</t>
        </is>
      </c>
      <c r="H744" s="15" t="inlineStr">
        <is>
          <t>BP-C0194</t>
        </is>
      </c>
      <c r="I744" s="15" t="inlineStr">
        <is>
          <t>Mrs Enitan Pine</t>
        </is>
      </c>
      <c r="J744" s="17" t="n">
        <v>5000000</v>
      </c>
      <c r="K744" s="15" t="n"/>
      <c r="L744" s="15" t="inlineStr">
        <is>
          <t>Secondary: commission records; no monthly turnover register for this period</t>
        </is>
      </c>
      <c r="M744" s="15" t="inlineStr">
        <is>
          <t>BAAY PROJECTS SALES EXPENSES (COMMISSION) RECORDS (1)</t>
        </is>
      </c>
      <c r="N744" s="15" t="inlineStr">
        <is>
          <t>MD</t>
        </is>
      </c>
      <c r="O744" s="15" t="n">
        <v>183</v>
      </c>
      <c r="P744" s="15" t="inlineStr">
        <is>
          <t>29/06/2025</t>
        </is>
      </c>
      <c r="Q744" s="15" t="n"/>
      <c r="R744" s="15" t="inlineStr">
        <is>
          <t>Commission-record amount: confirm to bank statement (records can aggregate several transfers)</t>
        </is>
      </c>
    </row>
    <row r="745">
      <c r="A745" s="15" t="inlineStr">
        <is>
          <t>SL0741</t>
        </is>
      </c>
      <c r="B745" s="16" t="n">
        <v>45842</v>
      </c>
      <c r="C745" s="15" t="inlineStr">
        <is>
          <t>2025-07</t>
        </is>
      </c>
      <c r="D745" s="15" t="n">
        <v>2025</v>
      </c>
      <c r="E745" s="15" t="inlineStr">
        <is>
          <t>Housing</t>
        </is>
      </c>
      <c r="F745" s="15" t="inlineStr">
        <is>
          <t>Plot / unit price</t>
        </is>
      </c>
      <c r="G745" s="15" t="inlineStr">
        <is>
          <t>Pacific Apartment</t>
        </is>
      </c>
      <c r="H745" s="15" t="inlineStr">
        <is>
          <t>BP-C0192</t>
        </is>
      </c>
      <c r="I745" s="15" t="inlineStr">
        <is>
          <t>Dr Esangbedo Wilson</t>
        </is>
      </c>
      <c r="J745" s="17" t="n">
        <v>5000000</v>
      </c>
      <c r="K745" s="15" t="n"/>
      <c r="L745" s="15" t="inlineStr">
        <is>
          <t>Secondary: commission records; no monthly turnover register for this period</t>
        </is>
      </c>
      <c r="M745" s="15" t="inlineStr">
        <is>
          <t>BAAY PROJECTS SALES EXPENSES (COMMISSION) RECORDS (1)</t>
        </is>
      </c>
      <c r="N745" s="15" t="inlineStr">
        <is>
          <t>MS MOFFAT</t>
        </is>
      </c>
      <c r="O745" s="15" t="n">
        <v>43</v>
      </c>
      <c r="P745" s="15" t="inlineStr">
        <is>
          <t>2025-04-07</t>
        </is>
      </c>
      <c r="Q745" s="15" t="inlineStr">
        <is>
          <t>MRS ABIMBOLA r216</t>
        </is>
      </c>
      <c r="R745" s="15" t="inlineStr">
        <is>
          <t>Commission-record amount: confirm to bank statement (records can aggregate several transfers)</t>
        </is>
      </c>
    </row>
    <row r="746">
      <c r="A746" s="15" t="inlineStr">
        <is>
          <t>SL0742</t>
        </is>
      </c>
      <c r="B746" s="16" t="n">
        <v>45845</v>
      </c>
      <c r="C746" s="15" t="inlineStr">
        <is>
          <t>2025-07</t>
        </is>
      </c>
      <c r="D746" s="15" t="n">
        <v>2025</v>
      </c>
      <c r="E746" s="15" t="inlineStr">
        <is>
          <t>Land</t>
        </is>
      </c>
      <c r="F746" s="15" t="inlineStr">
        <is>
          <t>Plot / unit price</t>
        </is>
      </c>
      <c r="G746" s="15" t="inlineStr">
        <is>
          <t>Land (estate not stated in source)</t>
        </is>
      </c>
      <c r="H746" s="15" t="inlineStr">
        <is>
          <t>BP-C0196</t>
        </is>
      </c>
      <c r="I746" s="15" t="inlineStr">
        <is>
          <t>Mr Ikechukwu Godson Agbim</t>
        </is>
      </c>
      <c r="J746" s="17" t="n">
        <v>2000000</v>
      </c>
      <c r="K746" s="15" t="n"/>
      <c r="L746" s="15" t="inlineStr">
        <is>
          <t>Secondary: commission records; no monthly turnover register for this period</t>
        </is>
      </c>
      <c r="M746" s="15" t="inlineStr">
        <is>
          <t>BAAY PROJECTS SALES EXPENSES (COMMISSION) RECORDS (1)</t>
        </is>
      </c>
      <c r="N746" s="15" t="inlineStr">
        <is>
          <t>MRS ABIMBOLA</t>
        </is>
      </c>
      <c r="O746" s="15" t="n">
        <v>217</v>
      </c>
      <c r="P746" s="15" t="inlineStr">
        <is>
          <t>2025-07-07</t>
        </is>
      </c>
      <c r="Q746" s="15" t="n"/>
      <c r="R746" s="15" t="inlineStr">
        <is>
          <t>Commission-record amount: confirm to bank statement (records can aggregate several transfers)</t>
        </is>
      </c>
    </row>
    <row r="747">
      <c r="A747" s="15" t="inlineStr">
        <is>
          <t>SL0743</t>
        </is>
      </c>
      <c r="B747" s="16" t="n">
        <v>45848</v>
      </c>
      <c r="C747" s="15" t="inlineStr">
        <is>
          <t>2025-07</t>
        </is>
      </c>
      <c r="D747" s="15" t="n">
        <v>2025</v>
      </c>
      <c r="E747" s="15" t="inlineStr">
        <is>
          <t>Land</t>
        </is>
      </c>
      <c r="F747" s="15" t="inlineStr">
        <is>
          <t>Plot / unit price</t>
        </is>
      </c>
      <c r="G747" s="15" t="inlineStr">
        <is>
          <t>Land (estate not stated in source)</t>
        </is>
      </c>
      <c r="H747" s="15" t="inlineStr">
        <is>
          <t>BP-C0159</t>
        </is>
      </c>
      <c r="I747" s="15" t="inlineStr">
        <is>
          <t>Miss Etefe Ava Ogheneyorhe</t>
        </is>
      </c>
      <c r="J747" s="17" t="n">
        <v>100000</v>
      </c>
      <c r="K747" s="15" t="n"/>
      <c r="L747" s="15" t="inlineStr">
        <is>
          <t>Secondary: commission records; no monthly turnover register for this period</t>
        </is>
      </c>
      <c r="M747" s="15" t="inlineStr">
        <is>
          <t>BAAY PROJECTS SALES EXPENSES (COMMISSION) RECORDS (1)</t>
        </is>
      </c>
      <c r="N747" s="15" t="inlineStr">
        <is>
          <t>MS ELIZABETH</t>
        </is>
      </c>
      <c r="O747" s="15" t="n">
        <v>100</v>
      </c>
      <c r="P747" s="15" t="inlineStr">
        <is>
          <t>2025-10-07</t>
        </is>
      </c>
      <c r="Q747" s="15" t="n"/>
      <c r="R747" s="15" t="inlineStr">
        <is>
          <t>Commission-record amount: confirm to bank statement (records can aggregate several transfers)</t>
        </is>
      </c>
    </row>
    <row r="748">
      <c r="A748" s="15" t="inlineStr">
        <is>
          <t>SL0744</t>
        </is>
      </c>
      <c r="B748" s="16" t="n">
        <v>45849</v>
      </c>
      <c r="C748" s="15" t="inlineStr">
        <is>
          <t>2025-07</t>
        </is>
      </c>
      <c r="D748" s="15" t="n">
        <v>2025</v>
      </c>
      <c r="E748" s="15" t="inlineStr">
        <is>
          <t>Housing</t>
        </is>
      </c>
      <c r="F748" s="15" t="inlineStr">
        <is>
          <t>Plot / unit price</t>
        </is>
      </c>
      <c r="G748" s="15" t="inlineStr">
        <is>
          <t>Pacific Apartment</t>
        </is>
      </c>
      <c r="H748" s="15" t="inlineStr">
        <is>
          <t>BP-C0143</t>
        </is>
      </c>
      <c r="I748" s="15" t="inlineStr">
        <is>
          <t>Mrs Oyindamola Duntoye Adekunle</t>
        </is>
      </c>
      <c r="J748" s="17" t="n">
        <v>4750000</v>
      </c>
      <c r="K748" s="15" t="n"/>
      <c r="L748" s="15" t="inlineStr">
        <is>
          <t>Secondary: commission records; no monthly turnover register for this period</t>
        </is>
      </c>
      <c r="M748" s="15" t="inlineStr">
        <is>
          <t>BAAY PROJECTS SALES EXPENSES (COMMISSION) RECORDS (1)</t>
        </is>
      </c>
      <c r="N748" s="15" t="inlineStr">
        <is>
          <t>MAMA ADEBIMPE</t>
        </is>
      </c>
      <c r="O748" s="15" t="n">
        <v>213</v>
      </c>
      <c r="P748" s="15" t="inlineStr">
        <is>
          <t>2025-11-07</t>
        </is>
      </c>
      <c r="Q748" s="15" t="n"/>
      <c r="R748" s="15" t="inlineStr">
        <is>
          <t>Commission-record amount: confirm to bank statement (records can aggregate several transfers)</t>
        </is>
      </c>
    </row>
    <row r="749">
      <c r="A749" s="15" t="inlineStr">
        <is>
          <t>SL0745</t>
        </is>
      </c>
      <c r="B749" s="16" t="n">
        <v>45852</v>
      </c>
      <c r="C749" s="15" t="inlineStr">
        <is>
          <t>2025-07</t>
        </is>
      </c>
      <c r="D749" s="15" t="n">
        <v>2025</v>
      </c>
      <c r="E749" s="15" t="inlineStr">
        <is>
          <t>Land</t>
        </is>
      </c>
      <c r="F749" s="15" t="inlineStr">
        <is>
          <t>Plot / unit price</t>
        </is>
      </c>
      <c r="G749" s="15" t="inlineStr">
        <is>
          <t>Land (estate not stated in source)</t>
        </is>
      </c>
      <c r="H749" s="15" t="inlineStr">
        <is>
          <t>BP-C0195</t>
        </is>
      </c>
      <c r="I749" s="15" t="inlineStr">
        <is>
          <t>Mr Haruna Adekunle Waheed</t>
        </is>
      </c>
      <c r="J749" s="17" t="n">
        <v>1250000</v>
      </c>
      <c r="K749" s="15" t="n"/>
      <c r="L749" s="15" t="inlineStr">
        <is>
          <t>Secondary: commission records; no monthly turnover register for this period</t>
        </is>
      </c>
      <c r="M749" s="15" t="inlineStr">
        <is>
          <t>BAAY PROJECTS SALES EXPENSES (COMMISSION) RECORDS (1)</t>
        </is>
      </c>
      <c r="N749" s="15" t="inlineStr">
        <is>
          <t>MRS ABIMBOLA</t>
        </is>
      </c>
      <c r="O749" s="15" t="n">
        <v>218</v>
      </c>
      <c r="P749" s="15" t="inlineStr">
        <is>
          <t>14/07/2025</t>
        </is>
      </c>
      <c r="Q749" s="15" t="n"/>
      <c r="R749" s="15" t="inlineStr">
        <is>
          <t>Commission-record amount: confirm to bank statement (records can aggregate several transfers)</t>
        </is>
      </c>
    </row>
    <row r="750">
      <c r="A750" s="15" t="inlineStr">
        <is>
          <t>SL0746</t>
        </is>
      </c>
      <c r="B750" s="16" t="n">
        <v>45854</v>
      </c>
      <c r="C750" s="15" t="inlineStr">
        <is>
          <t>2025-07</t>
        </is>
      </c>
      <c r="D750" s="15" t="n">
        <v>2025</v>
      </c>
      <c r="E750" s="15" t="inlineStr">
        <is>
          <t>Land</t>
        </is>
      </c>
      <c r="F750" s="15" t="inlineStr">
        <is>
          <t>Plot / unit price</t>
        </is>
      </c>
      <c r="G750" s="15" t="inlineStr">
        <is>
          <t>Land (estate not stated in source)</t>
        </is>
      </c>
      <c r="H750" s="15" t="inlineStr">
        <is>
          <t>BP-C0198</t>
        </is>
      </c>
      <c r="I750" s="15" t="inlineStr">
        <is>
          <t>Mr Akinruntan Adeyinka Benson</t>
        </is>
      </c>
      <c r="J750" s="17" t="n">
        <v>2500000</v>
      </c>
      <c r="K750" s="15" t="n"/>
      <c r="L750" s="15" t="inlineStr">
        <is>
          <t>Secondary: commission records; no monthly turnover register for this period</t>
        </is>
      </c>
      <c r="M750" s="15" t="inlineStr">
        <is>
          <t>BAAY PROJECTS SALES EXPENSES (COMMISSION) RECORDS (1)</t>
        </is>
      </c>
      <c r="N750" s="15" t="inlineStr">
        <is>
          <t>MS PRAISE</t>
        </is>
      </c>
      <c r="O750" s="15" t="n">
        <v>39</v>
      </c>
      <c r="P750" s="15" t="inlineStr">
        <is>
          <t>16/07/2025</t>
        </is>
      </c>
      <c r="Q750" s="15" t="n"/>
      <c r="R750" s="15" t="inlineStr">
        <is>
          <t>Commission-record amount: confirm to bank statement (records can aggregate several transfers)</t>
        </is>
      </c>
    </row>
    <row r="751">
      <c r="A751" s="15" t="inlineStr">
        <is>
          <t>SL0747</t>
        </is>
      </c>
      <c r="B751" s="16" t="n">
        <v>45860</v>
      </c>
      <c r="C751" s="15" t="inlineStr">
        <is>
          <t>2025-07</t>
        </is>
      </c>
      <c r="D751" s="15" t="n">
        <v>2025</v>
      </c>
      <c r="E751" s="15" t="inlineStr">
        <is>
          <t>Housing</t>
        </is>
      </c>
      <c r="F751" s="15" t="inlineStr">
        <is>
          <t>Plot / unit price</t>
        </is>
      </c>
      <c r="G751" s="15" t="inlineStr">
        <is>
          <t>Baay Foreshore</t>
        </is>
      </c>
      <c r="H751" s="15" t="inlineStr">
        <is>
          <t>BP-C0200</t>
        </is>
      </c>
      <c r="I751" s="15" t="inlineStr">
        <is>
          <t>Dr Oladeji Ifeoluwa Solomon</t>
        </is>
      </c>
      <c r="J751" s="17" t="n">
        <v>5000000</v>
      </c>
      <c r="K751" s="15" t="n"/>
      <c r="L751" s="15" t="inlineStr">
        <is>
          <t>Secondary: commission records; no monthly turnover register for this period</t>
        </is>
      </c>
      <c r="M751" s="15" t="inlineStr">
        <is>
          <t>BAAY PROJECTS SALES EXPENSES (COMMISSION) RECORDS (1)</t>
        </is>
      </c>
      <c r="N751" s="15" t="inlineStr">
        <is>
          <t>LANDNEST HOMES</t>
        </is>
      </c>
      <c r="O751" s="15" t="n">
        <v>3</v>
      </c>
      <c r="P751" s="15" t="inlineStr">
        <is>
          <t>22/07/2025</t>
        </is>
      </c>
      <c r="Q751" s="15" t="n"/>
      <c r="R751" s="15" t="inlineStr">
        <is>
          <t>Commission-record amount: confirm to bank statement (records can aggregate several transfers)</t>
        </is>
      </c>
    </row>
    <row r="752">
      <c r="A752" s="15" t="inlineStr">
        <is>
          <t>SL0748</t>
        </is>
      </c>
      <c r="B752" s="16" t="n">
        <v>45860</v>
      </c>
      <c r="C752" s="15" t="inlineStr">
        <is>
          <t>2025-07</t>
        </is>
      </c>
      <c r="D752" s="15" t="n">
        <v>2025</v>
      </c>
      <c r="E752" s="15" t="inlineStr">
        <is>
          <t>Housing</t>
        </is>
      </c>
      <c r="F752" s="15" t="inlineStr">
        <is>
          <t>Plot / unit price</t>
        </is>
      </c>
      <c r="G752" s="15" t="inlineStr">
        <is>
          <t>Baay Foreshore</t>
        </is>
      </c>
      <c r="H752" s="15" t="inlineStr">
        <is>
          <t>BP-C0199</t>
        </is>
      </c>
      <c r="I752" s="15" t="inlineStr">
        <is>
          <t>Landnest Homes (Mrs Abimbola)</t>
        </is>
      </c>
      <c r="J752" s="17" t="n">
        <v>5000000</v>
      </c>
      <c r="K752" s="15" t="n"/>
      <c r="L752" s="15" t="inlineStr">
        <is>
          <t>Secondary: commission records; no monthly turnover register for this period</t>
        </is>
      </c>
      <c r="M752" s="15" t="inlineStr">
        <is>
          <t>BAAY PROJECTS SALES EXPENSES (COMMISSION) RECORDS (1)</t>
        </is>
      </c>
      <c r="N752" s="15" t="inlineStr">
        <is>
          <t>LANDNEST HOMES</t>
        </is>
      </c>
      <c r="O752" s="15" t="n">
        <v>2</v>
      </c>
      <c r="P752" s="15" t="inlineStr">
        <is>
          <t>22/07/2025</t>
        </is>
      </c>
      <c r="Q752" s="15" t="n"/>
      <c r="R752" s="15" t="inlineStr">
        <is>
          <t>Commission-record amount: confirm to bank statement (records can aggregate several transfers)</t>
        </is>
      </c>
    </row>
    <row r="753">
      <c r="A753" s="15" t="inlineStr">
        <is>
          <t>SL0749</t>
        </is>
      </c>
      <c r="B753" s="16" t="n">
        <v>45862</v>
      </c>
      <c r="C753" s="15" t="inlineStr">
        <is>
          <t>2025-07</t>
        </is>
      </c>
      <c r="D753" s="15" t="n">
        <v>2025</v>
      </c>
      <c r="E753" s="15" t="inlineStr">
        <is>
          <t>Housing</t>
        </is>
      </c>
      <c r="F753" s="15" t="inlineStr">
        <is>
          <t>Plot / unit price</t>
        </is>
      </c>
      <c r="G753" s="15" t="inlineStr">
        <is>
          <t>Pacific Apartment</t>
        </is>
      </c>
      <c r="H753" s="15" t="inlineStr">
        <is>
          <t>BP-C0202</t>
        </is>
      </c>
      <c r="I753" s="15" t="inlineStr">
        <is>
          <t>Miss Yesher Yakubu &amp; Miss Hadassah Yakubu</t>
        </is>
      </c>
      <c r="J753" s="17" t="n">
        <v>20000000</v>
      </c>
      <c r="K753" s="15" t="n"/>
      <c r="L753" s="15" t="inlineStr">
        <is>
          <t>Secondary: commission records; no monthly turnover register for this period</t>
        </is>
      </c>
      <c r="M753" s="15" t="inlineStr">
        <is>
          <t>BAAY PROJECTS SALES EXPENSES (COMMISSION) RECORDS (1)</t>
        </is>
      </c>
      <c r="N753" s="15" t="inlineStr">
        <is>
          <t>MS MOFFAT</t>
        </is>
      </c>
      <c r="O753" s="15" t="n">
        <v>59</v>
      </c>
      <c r="P753" s="15" t="inlineStr">
        <is>
          <t>24/07/2025</t>
        </is>
      </c>
      <c r="Q753" s="15" t="n"/>
      <c r="R753" s="15" t="inlineStr">
        <is>
          <t>Commission-record amount: confirm to bank statement (records can aggregate several transfers)</t>
        </is>
      </c>
    </row>
    <row r="754">
      <c r="A754" s="15" t="inlineStr">
        <is>
          <t>SL0750</t>
        </is>
      </c>
      <c r="B754" s="16" t="n">
        <v>45862</v>
      </c>
      <c r="C754" s="15" t="inlineStr">
        <is>
          <t>2025-07</t>
        </is>
      </c>
      <c r="D754" s="15" t="n">
        <v>2025</v>
      </c>
      <c r="E754" s="15" t="inlineStr">
        <is>
          <t>Housing</t>
        </is>
      </c>
      <c r="F754" s="15" t="inlineStr">
        <is>
          <t>Plot / unit price</t>
        </is>
      </c>
      <c r="G754" s="15" t="inlineStr">
        <is>
          <t>Pacific Apartment</t>
        </is>
      </c>
      <c r="H754" s="15" t="inlineStr">
        <is>
          <t>BP-C0203</t>
        </is>
      </c>
      <c r="I754" s="15" t="inlineStr">
        <is>
          <t>Mr Ogbomah Ebi Wilfred</t>
        </is>
      </c>
      <c r="J754" s="17" t="n">
        <v>20000000</v>
      </c>
      <c r="K754" s="15" t="n"/>
      <c r="L754" s="15" t="inlineStr">
        <is>
          <t>Secondary: commission records; no monthly turnover register for this period</t>
        </is>
      </c>
      <c r="M754" s="15" t="inlineStr">
        <is>
          <t>BAAY PROJECTS SALES EXPENSES (COMMISSION) RECORDS (1)</t>
        </is>
      </c>
      <c r="N754" s="15" t="inlineStr">
        <is>
          <t>MS MOFFAT</t>
        </is>
      </c>
      <c r="O754" s="15" t="n">
        <v>49</v>
      </c>
      <c r="P754" s="15" t="inlineStr">
        <is>
          <t>24/07/2025</t>
        </is>
      </c>
      <c r="Q754" s="15" t="n"/>
      <c r="R754" s="15" t="inlineStr">
        <is>
          <t>Commission-record amount: confirm to bank statement (records can aggregate several transfers)</t>
        </is>
      </c>
    </row>
    <row r="755">
      <c r="A755" s="15" t="inlineStr">
        <is>
          <t>SL0751</t>
        </is>
      </c>
      <c r="B755" s="16" t="n">
        <v>45863</v>
      </c>
      <c r="C755" s="15" t="inlineStr">
        <is>
          <t>2025-07</t>
        </is>
      </c>
      <c r="D755" s="15" t="n">
        <v>2025</v>
      </c>
      <c r="E755" s="15" t="inlineStr">
        <is>
          <t>Housing</t>
        </is>
      </c>
      <c r="F755" s="15" t="inlineStr">
        <is>
          <t>Plot / unit price</t>
        </is>
      </c>
      <c r="G755" s="15" t="inlineStr">
        <is>
          <t>Pacific Apartment</t>
        </is>
      </c>
      <c r="H755" s="15" t="inlineStr">
        <is>
          <t>BP-C0204</t>
        </is>
      </c>
      <c r="I755" s="15" t="inlineStr">
        <is>
          <t>Mr Akinjogunla Isaac Ogooluwa</t>
        </is>
      </c>
      <c r="J755" s="17" t="n">
        <v>20000000</v>
      </c>
      <c r="K755" s="15" t="n"/>
      <c r="L755" s="15" t="inlineStr">
        <is>
          <t>Secondary: commission records; no monthly turnover register for this period</t>
        </is>
      </c>
      <c r="M755" s="15" t="inlineStr">
        <is>
          <t>BAAY PROJECTS SALES EXPENSES (COMMISSION) RECORDS (1)</t>
        </is>
      </c>
      <c r="N755" s="15" t="inlineStr">
        <is>
          <t>MS MOFFAT</t>
        </is>
      </c>
      <c r="O755" s="15" t="n">
        <v>70</v>
      </c>
      <c r="P755" s="15" t="inlineStr">
        <is>
          <t>25/07/2025</t>
        </is>
      </c>
      <c r="Q755" s="15" t="n"/>
      <c r="R755" s="15" t="inlineStr">
        <is>
          <t>Commission-record amount: confirm to bank statement (records can aggregate several transfers)</t>
        </is>
      </c>
    </row>
    <row r="756">
      <c r="A756" s="15" t="inlineStr">
        <is>
          <t>SL0752</t>
        </is>
      </c>
      <c r="B756" s="16" t="n">
        <v>45864</v>
      </c>
      <c r="C756" s="15" t="inlineStr">
        <is>
          <t>2025-07</t>
        </is>
      </c>
      <c r="D756" s="15" t="n">
        <v>2025</v>
      </c>
      <c r="E756" s="15" t="inlineStr">
        <is>
          <t>Housing</t>
        </is>
      </c>
      <c r="F756" s="15" t="inlineStr">
        <is>
          <t>Plot / unit price</t>
        </is>
      </c>
      <c r="G756" s="15" t="inlineStr">
        <is>
          <t>Baay Foreshore</t>
        </is>
      </c>
      <c r="H756" s="15" t="inlineStr">
        <is>
          <t>BP-C0205</t>
        </is>
      </c>
      <c r="I756" s="15" t="inlineStr">
        <is>
          <t>Landnest Homes (Mrs Lukoh)</t>
        </is>
      </c>
      <c r="J756" s="17" t="n">
        <v>5000000</v>
      </c>
      <c r="K756" s="15" t="n"/>
      <c r="L756" s="15" t="inlineStr">
        <is>
          <t>Secondary: commission records; no monthly turnover register for this period</t>
        </is>
      </c>
      <c r="M756" s="15" t="inlineStr">
        <is>
          <t>BAAY PROJECTS SALES EXPENSES (COMMISSION) RECORDS (1)</t>
        </is>
      </c>
      <c r="N756" s="15" t="inlineStr">
        <is>
          <t>LANDNEST HOMES</t>
        </is>
      </c>
      <c r="O756" s="15" t="n">
        <v>4</v>
      </c>
      <c r="P756" s="15" t="inlineStr">
        <is>
          <t>26/07/2025</t>
        </is>
      </c>
      <c r="Q756" s="15" t="n"/>
      <c r="R756" s="15" t="inlineStr">
        <is>
          <t>Commission-record amount: confirm to bank statement (records can aggregate several transfers)</t>
        </is>
      </c>
    </row>
    <row r="757">
      <c r="A757" s="15" t="inlineStr">
        <is>
          <t>SL0753</t>
        </is>
      </c>
      <c r="B757" s="16" t="n">
        <v>45865</v>
      </c>
      <c r="C757" s="15" t="inlineStr">
        <is>
          <t>2025-07</t>
        </is>
      </c>
      <c r="D757" s="15" t="n">
        <v>2025</v>
      </c>
      <c r="E757" s="15" t="inlineStr">
        <is>
          <t>Housing</t>
        </is>
      </c>
      <c r="F757" s="15" t="inlineStr">
        <is>
          <t>Plot / unit price</t>
        </is>
      </c>
      <c r="G757" s="15" t="inlineStr">
        <is>
          <t>Pacific Apartment</t>
        </is>
      </c>
      <c r="H757" s="15" t="inlineStr">
        <is>
          <t>BP-C0186</t>
        </is>
      </c>
      <c r="I757" s="15" t="inlineStr">
        <is>
          <t>Salem real Estate (Mrs Omoko Onora Helen)</t>
        </is>
      </c>
      <c r="J757" s="17" t="n">
        <v>5000000</v>
      </c>
      <c r="K757" s="15" t="n"/>
      <c r="L757" s="15" t="inlineStr">
        <is>
          <t>Secondary: commission records; no monthly turnover register for this period</t>
        </is>
      </c>
      <c r="M757" s="15" t="inlineStr">
        <is>
          <t>BAAY PROJECTS SALES EXPENSES (COMMISSION) RECORDS (1)</t>
        </is>
      </c>
      <c r="N757" s="15" t="inlineStr">
        <is>
          <t>MR CHARLES</t>
        </is>
      </c>
      <c r="O757" s="15" t="n">
        <v>108</v>
      </c>
      <c r="P757" s="15" t="inlineStr">
        <is>
          <t>27/07/2025</t>
        </is>
      </c>
      <c r="Q757" s="15" t="inlineStr">
        <is>
          <t>SALEM REAL ESTATE r38</t>
        </is>
      </c>
      <c r="R757" s="15" t="inlineStr">
        <is>
          <t>Commission-record amount: confirm to bank statement (records can aggregate several transfers)</t>
        </is>
      </c>
    </row>
    <row r="758">
      <c r="A758" s="15" t="inlineStr">
        <is>
          <t>SL0754</t>
        </is>
      </c>
      <c r="B758" s="16" t="n">
        <v>45867</v>
      </c>
      <c r="C758" s="15" t="inlineStr">
        <is>
          <t>2025-07</t>
        </is>
      </c>
      <c r="D758" s="15" t="n">
        <v>2025</v>
      </c>
      <c r="E758" s="15" t="inlineStr">
        <is>
          <t>Housing</t>
        </is>
      </c>
      <c r="F758" s="15" t="inlineStr">
        <is>
          <t>Plot / unit price</t>
        </is>
      </c>
      <c r="G758" s="15" t="inlineStr">
        <is>
          <t>Baay Foreshore</t>
        </is>
      </c>
      <c r="H758" s="15" t="inlineStr">
        <is>
          <t>BP-C0208</t>
        </is>
      </c>
      <c r="I758" s="15" t="inlineStr">
        <is>
          <t>Dr Areo Olusola Michael</t>
        </is>
      </c>
      <c r="J758" s="17" t="n">
        <v>5000000</v>
      </c>
      <c r="K758" s="15" t="n"/>
      <c r="L758" s="15" t="inlineStr">
        <is>
          <t>Secondary: commission records; no monthly turnover register for this period</t>
        </is>
      </c>
      <c r="M758" s="15" t="inlineStr">
        <is>
          <t>BAAY PROJECTS SALES EXPENSES (COMMISSION) RECORDS (1)</t>
        </is>
      </c>
      <c r="N758" s="15" t="inlineStr">
        <is>
          <t>LANDNEST HOMES</t>
        </is>
      </c>
      <c r="O758" s="15" t="n">
        <v>5</v>
      </c>
      <c r="P758" s="15" t="inlineStr">
        <is>
          <t>29/07/2025</t>
        </is>
      </c>
      <c r="Q758" s="15" t="n"/>
      <c r="R758" s="15" t="inlineStr">
        <is>
          <t>Commission-record amount: confirm to bank statement (records can aggregate several transfers)</t>
        </is>
      </c>
    </row>
    <row r="759">
      <c r="A759" s="15" t="inlineStr">
        <is>
          <t>SL0755</t>
        </is>
      </c>
      <c r="B759" s="16" t="n">
        <v>45867</v>
      </c>
      <c r="C759" s="15" t="inlineStr">
        <is>
          <t>2025-07</t>
        </is>
      </c>
      <c r="D759" s="15" t="n">
        <v>2025</v>
      </c>
      <c r="E759" s="15" t="inlineStr">
        <is>
          <t>Housing</t>
        </is>
      </c>
      <c r="F759" s="15" t="inlineStr">
        <is>
          <t>Plot / unit price</t>
        </is>
      </c>
      <c r="G759" s="15" t="inlineStr">
        <is>
          <t>Baay Foreshore</t>
        </is>
      </c>
      <c r="H759" s="15" t="inlineStr">
        <is>
          <t>BP-C0207</t>
        </is>
      </c>
      <c r="I759" s="15" t="inlineStr">
        <is>
          <t>Landnest Homes (Mrs Beatrice)</t>
        </is>
      </c>
      <c r="J759" s="17" t="n">
        <v>5000000</v>
      </c>
      <c r="K759" s="15" t="n"/>
      <c r="L759" s="15" t="inlineStr">
        <is>
          <t>Secondary: commission records; no monthly turnover register for this period</t>
        </is>
      </c>
      <c r="M759" s="15" t="inlineStr">
        <is>
          <t>BAAY PROJECTS SALES EXPENSES (COMMISSION) RECORDS (1)</t>
        </is>
      </c>
      <c r="N759" s="15" t="inlineStr">
        <is>
          <t>LANDNEST HOMES</t>
        </is>
      </c>
      <c r="O759" s="15" t="n">
        <v>6</v>
      </c>
      <c r="P759" s="15" t="inlineStr">
        <is>
          <t>29/07/2025</t>
        </is>
      </c>
      <c r="Q759" s="15" t="n"/>
      <c r="R759" s="15" t="inlineStr">
        <is>
          <t>Commission-record amount: confirm to bank statement (records can aggregate several transfers)</t>
        </is>
      </c>
    </row>
    <row r="760">
      <c r="A760" s="15" t="inlineStr">
        <is>
          <t>SL0756</t>
        </is>
      </c>
      <c r="B760" s="16" t="n">
        <v>45867</v>
      </c>
      <c r="C760" s="15" t="inlineStr">
        <is>
          <t>2025-07</t>
        </is>
      </c>
      <c r="D760" s="15" t="n">
        <v>2025</v>
      </c>
      <c r="E760" s="15" t="inlineStr">
        <is>
          <t>Housing</t>
        </is>
      </c>
      <c r="F760" s="15" t="inlineStr">
        <is>
          <t>Plot / unit price</t>
        </is>
      </c>
      <c r="G760" s="15" t="inlineStr">
        <is>
          <t>Pacific Apartment</t>
        </is>
      </c>
      <c r="H760" s="15" t="inlineStr">
        <is>
          <t>BP-C0143</t>
        </is>
      </c>
      <c r="I760" s="15" t="inlineStr">
        <is>
          <t>Mrs Oyindamola Duntoye Adekunle</t>
        </is>
      </c>
      <c r="J760" s="17" t="n">
        <v>4750000</v>
      </c>
      <c r="K760" s="15" t="n"/>
      <c r="L760" s="15" t="inlineStr">
        <is>
          <t>Secondary: commission records; no monthly turnover register for this period</t>
        </is>
      </c>
      <c r="M760" s="15" t="inlineStr">
        <is>
          <t>BAAY PROJECTS SALES EXPENSES (COMMISSION) RECORDS (1)</t>
        </is>
      </c>
      <c r="N760" s="15" t="inlineStr">
        <is>
          <t>MAMA ADEBIMPE</t>
        </is>
      </c>
      <c r="O760" s="15" t="n">
        <v>239</v>
      </c>
      <c r="P760" s="15" t="inlineStr">
        <is>
          <t>29/07/2025</t>
        </is>
      </c>
      <c r="Q760" s="15" t="n"/>
      <c r="R760" s="15" t="inlineStr">
        <is>
          <t>Commission-record amount: confirm to bank statement (records can aggregate several transfers)</t>
        </is>
      </c>
    </row>
    <row r="761">
      <c r="A761" s="15" t="inlineStr">
        <is>
          <t>SL0757</t>
        </is>
      </c>
      <c r="B761" s="16" t="n">
        <v>45867</v>
      </c>
      <c r="C761" s="15" t="inlineStr">
        <is>
          <t>2025-07</t>
        </is>
      </c>
      <c r="D761" s="15" t="n">
        <v>2025</v>
      </c>
      <c r="E761" s="15" t="inlineStr">
        <is>
          <t>Housing</t>
        </is>
      </c>
      <c r="F761" s="15" t="inlineStr">
        <is>
          <t>Plot / unit price</t>
        </is>
      </c>
      <c r="G761" s="15" t="inlineStr">
        <is>
          <t>Housing unit (project not stated in source)</t>
        </is>
      </c>
      <c r="H761" s="15" t="inlineStr">
        <is>
          <t>BP-C0210</t>
        </is>
      </c>
      <c r="I761" s="15" t="inlineStr">
        <is>
          <t>Mrs Pine Ritajoe Egbede</t>
        </is>
      </c>
      <c r="J761" s="17" t="n">
        <v>4000000</v>
      </c>
      <c r="K761" s="15" t="n"/>
      <c r="L761" s="15" t="inlineStr">
        <is>
          <t>Secondary: commission records; no monthly turnover register for this period</t>
        </is>
      </c>
      <c r="M761" s="15" t="inlineStr">
        <is>
          <t>BAAY PROJECTS SALES EXPENSES (COMMISSION) RECORDS (1)</t>
        </is>
      </c>
      <c r="N761" s="15" t="inlineStr">
        <is>
          <t>MD</t>
        </is>
      </c>
      <c r="O761" s="15" t="n">
        <v>189</v>
      </c>
      <c r="P761" s="15" t="inlineStr">
        <is>
          <t>29/07/2025</t>
        </is>
      </c>
      <c r="Q761" s="15" t="n"/>
      <c r="R761" s="15" t="inlineStr">
        <is>
          <t>Commission-record amount: confirm to bank statement (records can aggregate several transfers)</t>
        </is>
      </c>
    </row>
    <row r="762">
      <c r="A762" s="15" t="inlineStr">
        <is>
          <t>SL0758</t>
        </is>
      </c>
      <c r="B762" s="16" t="n">
        <v>45874</v>
      </c>
      <c r="C762" s="15" t="inlineStr">
        <is>
          <t>2025-08</t>
        </is>
      </c>
      <c r="D762" s="15" t="n">
        <v>2025</v>
      </c>
      <c r="E762" s="15" t="inlineStr">
        <is>
          <t>Housing</t>
        </is>
      </c>
      <c r="F762" s="15" t="inlineStr">
        <is>
          <t>Plot / unit price</t>
        </is>
      </c>
      <c r="G762" s="15" t="inlineStr">
        <is>
          <t>Pacific Apartment</t>
        </is>
      </c>
      <c r="H762" s="15" t="inlineStr">
        <is>
          <t>BP-C0192</t>
        </is>
      </c>
      <c r="I762" s="15" t="inlineStr">
        <is>
          <t>Dr Esangbedo Wilson</t>
        </is>
      </c>
      <c r="J762" s="17" t="n">
        <v>4500000</v>
      </c>
      <c r="K762" s="15" t="n"/>
      <c r="L762" s="15" t="inlineStr">
        <is>
          <t>Secondary: commission records; no monthly turnover register for this period</t>
        </is>
      </c>
      <c r="M762" s="15" t="inlineStr">
        <is>
          <t>BAAY PROJECTS SALES EXPENSES (COMMISSION) RECORDS (1)</t>
        </is>
      </c>
      <c r="N762" s="15" t="inlineStr">
        <is>
          <t>MS MOFFAT</t>
        </is>
      </c>
      <c r="O762" s="15" t="n">
        <v>68</v>
      </c>
      <c r="P762" s="15" t="inlineStr">
        <is>
          <t>2025-05-08</t>
        </is>
      </c>
      <c r="Q762" s="15" t="inlineStr">
        <is>
          <t>MRS ABIMBOLA r229</t>
        </is>
      </c>
      <c r="R762" s="15" t="inlineStr">
        <is>
          <t>Commission-record amount: confirm to bank statement (records can aggregate several transfers)</t>
        </is>
      </c>
    </row>
    <row r="763">
      <c r="A763" s="15" t="inlineStr">
        <is>
          <t>SL0759</t>
        </is>
      </c>
      <c r="B763" s="16" t="n">
        <v>45874</v>
      </c>
      <c r="C763" s="15" t="inlineStr">
        <is>
          <t>2025-08</t>
        </is>
      </c>
      <c r="D763" s="15" t="n">
        <v>2025</v>
      </c>
      <c r="E763" s="15" t="inlineStr">
        <is>
          <t>Land</t>
        </is>
      </c>
      <c r="F763" s="15" t="inlineStr">
        <is>
          <t>Plot / unit price</t>
        </is>
      </c>
      <c r="G763" s="15" t="inlineStr">
        <is>
          <t>Land (estate not stated in source)</t>
        </is>
      </c>
      <c r="H763" s="15" t="inlineStr">
        <is>
          <t>BP-C0148</t>
        </is>
      </c>
      <c r="I763" s="15" t="inlineStr">
        <is>
          <t>Mr Akinsete Michael</t>
        </is>
      </c>
      <c r="J763" s="17" t="n">
        <v>107000</v>
      </c>
      <c r="K763" s="15" t="n"/>
      <c r="L763" s="15" t="inlineStr">
        <is>
          <t>Secondary: commission records; no monthly turnover register for this period</t>
        </is>
      </c>
      <c r="M763" s="15" t="inlineStr">
        <is>
          <t>BAAY PROJECTS SALES EXPENSES (COMMISSION) RECORDS (1)</t>
        </is>
      </c>
      <c r="N763" s="15" t="inlineStr">
        <is>
          <t>MD</t>
        </is>
      </c>
      <c r="O763" s="15" t="n">
        <v>196</v>
      </c>
      <c r="P763" s="15" t="inlineStr">
        <is>
          <t>2025-05-08</t>
        </is>
      </c>
      <c r="Q763" s="15" t="n"/>
      <c r="R763" s="15" t="inlineStr">
        <is>
          <t>Commission-record amount: confirm to bank statement (records can aggregate several transfers)</t>
        </is>
      </c>
    </row>
    <row r="764">
      <c r="A764" s="15" t="inlineStr">
        <is>
          <t>SL0760</t>
        </is>
      </c>
      <c r="B764" s="16" t="n">
        <v>45874</v>
      </c>
      <c r="C764" s="15" t="inlineStr">
        <is>
          <t>2025-08</t>
        </is>
      </c>
      <c r="D764" s="15" t="n">
        <v>2025</v>
      </c>
      <c r="E764" s="15" t="inlineStr">
        <is>
          <t>Land</t>
        </is>
      </c>
      <c r="F764" s="15" t="inlineStr">
        <is>
          <t>Plot / unit price</t>
        </is>
      </c>
      <c r="G764" s="15" t="inlineStr">
        <is>
          <t>Land (estate not stated in source)</t>
        </is>
      </c>
      <c r="H764" s="15" t="inlineStr">
        <is>
          <t>BP-C0148</t>
        </is>
      </c>
      <c r="I764" s="15" t="inlineStr">
        <is>
          <t>Mr Akinsete Michael</t>
        </is>
      </c>
      <c r="J764" s="17" t="n">
        <v>76000</v>
      </c>
      <c r="K764" s="15" t="n"/>
      <c r="L764" s="15" t="inlineStr">
        <is>
          <t>Secondary: commission records; no monthly turnover register for this period</t>
        </is>
      </c>
      <c r="M764" s="15" t="inlineStr">
        <is>
          <t>BAAY PROJECTS SALES EXPENSES (COMMISSION) RECORDS (1)</t>
        </is>
      </c>
      <c r="N764" s="15" t="inlineStr">
        <is>
          <t>MD</t>
        </is>
      </c>
      <c r="O764" s="15" t="n">
        <v>209</v>
      </c>
      <c r="P764" s="15" t="inlineStr">
        <is>
          <t>2025-05-08</t>
        </is>
      </c>
      <c r="Q764" s="15" t="n"/>
      <c r="R764" s="15" t="inlineStr">
        <is>
          <t>Commission-record amount: confirm to bank statement (records can aggregate several transfers)</t>
        </is>
      </c>
    </row>
    <row r="765">
      <c r="A765" s="15" t="inlineStr">
        <is>
          <t>SL0761</t>
        </is>
      </c>
      <c r="B765" s="16" t="n">
        <v>45875</v>
      </c>
      <c r="C765" s="15" t="inlineStr">
        <is>
          <t>2025-08</t>
        </is>
      </c>
      <c r="D765" s="15" t="n">
        <v>2025</v>
      </c>
      <c r="E765" s="15" t="inlineStr">
        <is>
          <t>Housing</t>
        </is>
      </c>
      <c r="F765" s="15" t="inlineStr">
        <is>
          <t>Plot / unit price</t>
        </is>
      </c>
      <c r="G765" s="15" t="inlineStr">
        <is>
          <t>Baay Foreshore</t>
        </is>
      </c>
      <c r="H765" s="15" t="inlineStr">
        <is>
          <t>BP-C0055</t>
        </is>
      </c>
      <c r="I765" s="15" t="inlineStr">
        <is>
          <t>Mr Adeniji Oluwatosin Ademola</t>
        </is>
      </c>
      <c r="J765" s="17" t="n">
        <v>5000000</v>
      </c>
      <c r="K765" s="15" t="n"/>
      <c r="L765" s="15" t="inlineStr">
        <is>
          <t>Secondary: commission records; no monthly turnover register for this period</t>
        </is>
      </c>
      <c r="M765" s="15" t="inlineStr">
        <is>
          <t>BAAY PROJECTS SALES EXPENSES (COMMISSION) RECORDS (1)</t>
        </is>
      </c>
      <c r="N765" s="15" t="inlineStr">
        <is>
          <t>MS BOLANLE</t>
        </is>
      </c>
      <c r="O765" s="15" t="n">
        <v>154</v>
      </c>
      <c r="P765" s="15" t="inlineStr">
        <is>
          <t>2025-06-08</t>
        </is>
      </c>
      <c r="Q765" s="15" t="n"/>
      <c r="R765" s="15" t="inlineStr">
        <is>
          <t>Commission-record amount: confirm to bank statement (records can aggregate several transfers)</t>
        </is>
      </c>
    </row>
    <row r="766">
      <c r="A766" s="15" t="inlineStr">
        <is>
          <t>SL0762</t>
        </is>
      </c>
      <c r="B766" s="16" t="n">
        <v>45876</v>
      </c>
      <c r="C766" s="15" t="inlineStr">
        <is>
          <t>2025-08</t>
        </is>
      </c>
      <c r="D766" s="15" t="n">
        <v>2025</v>
      </c>
      <c r="E766" s="15" t="inlineStr">
        <is>
          <t>Housing</t>
        </is>
      </c>
      <c r="F766" s="15" t="inlineStr">
        <is>
          <t>Plot / unit price</t>
        </is>
      </c>
      <c r="G766" s="15" t="inlineStr">
        <is>
          <t>Pacific Apartment</t>
        </is>
      </c>
      <c r="H766" s="15" t="inlineStr">
        <is>
          <t>BP-C0202</t>
        </is>
      </c>
      <c r="I766" s="15" t="inlineStr">
        <is>
          <t>Miss Yesher Yakubu &amp; Miss Hadassah Yakubu</t>
        </is>
      </c>
      <c r="J766" s="17" t="n">
        <v>5000000</v>
      </c>
      <c r="K766" s="15" t="n"/>
      <c r="L766" s="15" t="inlineStr">
        <is>
          <t>Secondary: commission records; no monthly turnover register for this period</t>
        </is>
      </c>
      <c r="M766" s="15" t="inlineStr">
        <is>
          <t>BAAY PROJECTS SALES EXPENSES (COMMISSION) RECORDS (1)</t>
        </is>
      </c>
      <c r="N766" s="15" t="inlineStr">
        <is>
          <t>MS MOFFAT</t>
        </is>
      </c>
      <c r="O766" s="15" t="n">
        <v>60</v>
      </c>
      <c r="P766" s="15" t="inlineStr">
        <is>
          <t>2025-07-08</t>
        </is>
      </c>
      <c r="Q766" s="15" t="n"/>
      <c r="R766" s="15" t="inlineStr">
        <is>
          <t>Commission-record amount: confirm to bank statement (records can aggregate several transfers)</t>
        </is>
      </c>
    </row>
    <row r="767">
      <c r="A767" s="15" t="inlineStr">
        <is>
          <t>SL0763</t>
        </is>
      </c>
      <c r="B767" s="16" t="n">
        <v>45877</v>
      </c>
      <c r="C767" s="15" t="inlineStr">
        <is>
          <t>2025-08</t>
        </is>
      </c>
      <c r="D767" s="15" t="n">
        <v>2025</v>
      </c>
      <c r="E767" s="15" t="inlineStr">
        <is>
          <t>Housing</t>
        </is>
      </c>
      <c r="F767" s="15" t="inlineStr">
        <is>
          <t>Plot / unit price</t>
        </is>
      </c>
      <c r="G767" s="15" t="inlineStr">
        <is>
          <t>Baay Foreshore</t>
        </is>
      </c>
      <c r="H767" s="15" t="inlineStr">
        <is>
          <t>BP-C0207</t>
        </is>
      </c>
      <c r="I767" s="15" t="inlineStr">
        <is>
          <t>Landnest Homes (Mrs Beatrice)</t>
        </is>
      </c>
      <c r="J767" s="17" t="n">
        <v>5000000</v>
      </c>
      <c r="K767" s="15" t="n"/>
      <c r="L767" s="15" t="inlineStr">
        <is>
          <t>Secondary: commission records; no monthly turnover register for this period</t>
        </is>
      </c>
      <c r="M767" s="15" t="inlineStr">
        <is>
          <t>BAAY PROJECTS SALES EXPENSES (COMMISSION) RECORDS (1)</t>
        </is>
      </c>
      <c r="N767" s="15" t="inlineStr">
        <is>
          <t>LANDNEST HOMES</t>
        </is>
      </c>
      <c r="O767" s="15" t="n">
        <v>7</v>
      </c>
      <c r="P767" s="15" t="inlineStr">
        <is>
          <t>2025-08-08</t>
        </is>
      </c>
      <c r="Q767" s="15" t="n"/>
      <c r="R767" s="15" t="inlineStr">
        <is>
          <t>Commission-record amount: confirm to bank statement (records can aggregate several transfers)</t>
        </is>
      </c>
    </row>
    <row r="768">
      <c r="A768" s="15" t="inlineStr">
        <is>
          <t>SL0764</t>
        </is>
      </c>
      <c r="B768" s="16" t="n">
        <v>45877</v>
      </c>
      <c r="C768" s="15" t="inlineStr">
        <is>
          <t>2025-08</t>
        </is>
      </c>
      <c r="D768" s="15" t="n">
        <v>2025</v>
      </c>
      <c r="E768" s="15" t="inlineStr">
        <is>
          <t>Housing</t>
        </is>
      </c>
      <c r="F768" s="15" t="inlineStr">
        <is>
          <t>Plot / unit price</t>
        </is>
      </c>
      <c r="G768" s="15" t="inlineStr">
        <is>
          <t>Baay Foreshore</t>
        </is>
      </c>
      <c r="H768" s="15" t="inlineStr">
        <is>
          <t>BP-C0205</t>
        </is>
      </c>
      <c r="I768" s="15" t="inlineStr">
        <is>
          <t>Landnest Homes (Mrs Lukoh)</t>
        </is>
      </c>
      <c r="J768" s="17" t="n">
        <v>5000000</v>
      </c>
      <c r="K768" s="15" t="n"/>
      <c r="L768" s="15" t="inlineStr">
        <is>
          <t>Secondary: commission records; no monthly turnover register for this period</t>
        </is>
      </c>
      <c r="M768" s="15" t="inlineStr">
        <is>
          <t>BAAY PROJECTS SALES EXPENSES (COMMISSION) RECORDS (1)</t>
        </is>
      </c>
      <c r="N768" s="15" t="inlineStr">
        <is>
          <t>LANDNEST HOMES</t>
        </is>
      </c>
      <c r="O768" s="15" t="n">
        <v>8</v>
      </c>
      <c r="P768" s="15" t="inlineStr">
        <is>
          <t>2025-08-08</t>
        </is>
      </c>
      <c r="Q768" s="15" t="n"/>
      <c r="R768" s="15" t="inlineStr">
        <is>
          <t>Commission-record amount: confirm to bank statement (records can aggregate several transfers)</t>
        </is>
      </c>
    </row>
    <row r="769">
      <c r="A769" s="15" t="inlineStr">
        <is>
          <t>SL0765</t>
        </is>
      </c>
      <c r="B769" s="16" t="n">
        <v>45877</v>
      </c>
      <c r="C769" s="15" t="inlineStr">
        <is>
          <t>2025-08</t>
        </is>
      </c>
      <c r="D769" s="15" t="n">
        <v>2025</v>
      </c>
      <c r="E769" s="15" t="inlineStr">
        <is>
          <t>Housing</t>
        </is>
      </c>
      <c r="F769" s="15" t="inlineStr">
        <is>
          <t>Plot / unit price</t>
        </is>
      </c>
      <c r="G769" s="15" t="inlineStr">
        <is>
          <t>Pacific Apartment</t>
        </is>
      </c>
      <c r="H769" s="15" t="inlineStr">
        <is>
          <t>BP-C0202</t>
        </is>
      </c>
      <c r="I769" s="15" t="inlineStr">
        <is>
          <t>Miss Yesher Yakubu &amp; Miss Hadassah Yakubu</t>
        </is>
      </c>
      <c r="J769" s="17" t="n">
        <v>5000000</v>
      </c>
      <c r="K769" s="15" t="n"/>
      <c r="L769" s="15" t="inlineStr">
        <is>
          <t>Secondary: commission records; no monthly turnover register for this period</t>
        </is>
      </c>
      <c r="M769" s="15" t="inlineStr">
        <is>
          <t>BAAY PROJECTS SALES EXPENSES (COMMISSION) RECORDS (1)</t>
        </is>
      </c>
      <c r="N769" s="15" t="inlineStr">
        <is>
          <t>MS MOFFAT</t>
        </is>
      </c>
      <c r="O769" s="15" t="n">
        <v>61</v>
      </c>
      <c r="P769" s="15" t="inlineStr">
        <is>
          <t>2025-08-08</t>
        </is>
      </c>
      <c r="Q769" s="15" t="n"/>
      <c r="R769" s="15" t="inlineStr">
        <is>
          <t>Commission-record amount: confirm to bank statement (records can aggregate several transfers)</t>
        </is>
      </c>
    </row>
    <row r="770">
      <c r="A770" s="15" t="inlineStr">
        <is>
          <t>SL0766</t>
        </is>
      </c>
      <c r="B770" s="16" t="n">
        <v>45878</v>
      </c>
      <c r="C770" s="15" t="inlineStr">
        <is>
          <t>2025-08</t>
        </is>
      </c>
      <c r="D770" s="15" t="n">
        <v>2025</v>
      </c>
      <c r="E770" s="15" t="inlineStr">
        <is>
          <t>Housing</t>
        </is>
      </c>
      <c r="F770" s="15" t="inlineStr">
        <is>
          <t>Plot / unit price</t>
        </is>
      </c>
      <c r="G770" s="15" t="inlineStr">
        <is>
          <t>Pacific Apartment</t>
        </is>
      </c>
      <c r="H770" s="15" t="inlineStr">
        <is>
          <t>BP-C0202</t>
        </is>
      </c>
      <c r="I770" s="15" t="inlineStr">
        <is>
          <t>Miss Yesher Yakubu &amp; Miss Hadassah Yakubu</t>
        </is>
      </c>
      <c r="J770" s="17" t="n">
        <v>5000000</v>
      </c>
      <c r="K770" s="15" t="n"/>
      <c r="L770" s="15" t="inlineStr">
        <is>
          <t>Secondary: commission records; no monthly turnover register for this period</t>
        </is>
      </c>
      <c r="M770" s="15" t="inlineStr">
        <is>
          <t>BAAY PROJECTS SALES EXPENSES (COMMISSION) RECORDS (1)</t>
        </is>
      </c>
      <c r="N770" s="15" t="inlineStr">
        <is>
          <t>MS MOFFAT</t>
        </is>
      </c>
      <c r="O770" s="15" t="n">
        <v>62</v>
      </c>
      <c r="P770" s="15" t="inlineStr">
        <is>
          <t>2025-09-08</t>
        </is>
      </c>
      <c r="Q770" s="15" t="n"/>
      <c r="R770" s="15" t="inlineStr">
        <is>
          <t>Commission-record amount: confirm to bank statement (records can aggregate several transfers)</t>
        </is>
      </c>
    </row>
    <row r="771">
      <c r="A771" s="15" t="inlineStr">
        <is>
          <t>SL0767</t>
        </is>
      </c>
      <c r="B771" s="16" t="n">
        <v>45879</v>
      </c>
      <c r="C771" s="15" t="inlineStr">
        <is>
          <t>2025-08</t>
        </is>
      </c>
      <c r="D771" s="15" t="n">
        <v>2025</v>
      </c>
      <c r="E771" s="15" t="inlineStr">
        <is>
          <t>Housing</t>
        </is>
      </c>
      <c r="F771" s="15" t="inlineStr">
        <is>
          <t>Plot / unit price</t>
        </is>
      </c>
      <c r="G771" s="15" t="inlineStr">
        <is>
          <t>Pacific Apartment</t>
        </is>
      </c>
      <c r="H771" s="15" t="inlineStr">
        <is>
          <t>BP-C0202</t>
        </is>
      </c>
      <c r="I771" s="15" t="inlineStr">
        <is>
          <t>Miss Yesher Yakubu &amp; Miss Hadassah Yakubu</t>
        </is>
      </c>
      <c r="J771" s="17" t="n">
        <v>5000000</v>
      </c>
      <c r="K771" s="15" t="n"/>
      <c r="L771" s="15" t="inlineStr">
        <is>
          <t>Secondary: commission records; no monthly turnover register for this period</t>
        </is>
      </c>
      <c r="M771" s="15" t="inlineStr">
        <is>
          <t>BAAY PROJECTS SALES EXPENSES (COMMISSION) RECORDS (1)</t>
        </is>
      </c>
      <c r="N771" s="15" t="inlineStr">
        <is>
          <t>MS MOFFAT</t>
        </is>
      </c>
      <c r="O771" s="15" t="n">
        <v>63</v>
      </c>
      <c r="P771" s="15" t="inlineStr">
        <is>
          <t>2025-10-08</t>
        </is>
      </c>
      <c r="Q771" s="15" t="n"/>
      <c r="R771" s="15" t="inlineStr">
        <is>
          <t>Commission-record amount: confirm to bank statement (records can aggregate several transfers)</t>
        </is>
      </c>
    </row>
    <row r="772">
      <c r="A772" s="15" t="inlineStr">
        <is>
          <t>SL0768</t>
        </is>
      </c>
      <c r="B772" s="16" t="n">
        <v>45880</v>
      </c>
      <c r="C772" s="15" t="inlineStr">
        <is>
          <t>2025-08</t>
        </is>
      </c>
      <c r="D772" s="15" t="n">
        <v>2025</v>
      </c>
      <c r="E772" s="15" t="inlineStr">
        <is>
          <t>Land</t>
        </is>
      </c>
      <c r="F772" s="15" t="inlineStr">
        <is>
          <t>Plot / unit price</t>
        </is>
      </c>
      <c r="G772" s="15" t="inlineStr">
        <is>
          <t>Land (estate not stated in source)</t>
        </is>
      </c>
      <c r="H772" s="15" t="inlineStr">
        <is>
          <t>BP-C0124</t>
        </is>
      </c>
      <c r="I772" s="15" t="inlineStr">
        <is>
          <t>Miss Thomas Oluwabukola Comfort</t>
        </is>
      </c>
      <c r="J772" s="17" t="n">
        <v>2000000</v>
      </c>
      <c r="K772" s="15" t="n"/>
      <c r="L772" s="15" t="inlineStr">
        <is>
          <t>Secondary: commission records; no monthly turnover register for this period</t>
        </is>
      </c>
      <c r="M772" s="15" t="inlineStr">
        <is>
          <t>BAAY PROJECTS SALES EXPENSES (COMMISSION) RECORDS (1)</t>
        </is>
      </c>
      <c r="N772" s="15" t="inlineStr">
        <is>
          <t>MR PELUMI</t>
        </is>
      </c>
      <c r="O772" s="15" t="n">
        <v>27</v>
      </c>
      <c r="P772" s="15" t="inlineStr">
        <is>
          <t>2025-11-08</t>
        </is>
      </c>
      <c r="Q772" s="15" t="n"/>
      <c r="R772" s="15" t="inlineStr">
        <is>
          <t>Commission-record amount: confirm to bank statement (records can aggregate several transfers)</t>
        </is>
      </c>
    </row>
    <row r="773">
      <c r="A773" s="15" t="inlineStr">
        <is>
          <t>SL0769</t>
        </is>
      </c>
      <c r="B773" s="16" t="n">
        <v>45880</v>
      </c>
      <c r="C773" s="15" t="inlineStr">
        <is>
          <t>2025-08</t>
        </is>
      </c>
      <c r="D773" s="15" t="n">
        <v>2025</v>
      </c>
      <c r="E773" s="15" t="inlineStr">
        <is>
          <t>Housing</t>
        </is>
      </c>
      <c r="F773" s="15" t="inlineStr">
        <is>
          <t>Plot / unit price</t>
        </is>
      </c>
      <c r="G773" s="15" t="inlineStr">
        <is>
          <t>Pacific Apartment</t>
        </is>
      </c>
      <c r="H773" s="15" t="inlineStr">
        <is>
          <t>BP-C0202</t>
        </is>
      </c>
      <c r="I773" s="15" t="inlineStr">
        <is>
          <t>Miss Yesher Yakubu &amp; Miss Hadassah Yakubu</t>
        </is>
      </c>
      <c r="J773" s="17" t="n">
        <v>5000000</v>
      </c>
      <c r="K773" s="15" t="n"/>
      <c r="L773" s="15" t="inlineStr">
        <is>
          <t>Secondary: commission records; no monthly turnover register for this period</t>
        </is>
      </c>
      <c r="M773" s="15" t="inlineStr">
        <is>
          <t>BAAY PROJECTS SALES EXPENSES (COMMISSION) RECORDS (1)</t>
        </is>
      </c>
      <c r="N773" s="15" t="inlineStr">
        <is>
          <t>MS MOFFAT</t>
        </is>
      </c>
      <c r="O773" s="15" t="n">
        <v>64</v>
      </c>
      <c r="P773" s="15" t="inlineStr">
        <is>
          <t>2025-11-08</t>
        </is>
      </c>
      <c r="Q773" s="15" t="n"/>
      <c r="R773" s="15" t="inlineStr">
        <is>
          <t>Commission-record amount: confirm to bank statement (records can aggregate several transfers)</t>
        </is>
      </c>
    </row>
    <row r="774">
      <c r="A774" s="15" t="inlineStr">
        <is>
          <t>SL0770</t>
        </is>
      </c>
      <c r="B774" s="16" t="n">
        <v>45881</v>
      </c>
      <c r="C774" s="15" t="inlineStr">
        <is>
          <t>2025-08</t>
        </is>
      </c>
      <c r="D774" s="15" t="n">
        <v>2025</v>
      </c>
      <c r="E774" s="15" t="inlineStr">
        <is>
          <t>Housing</t>
        </is>
      </c>
      <c r="F774" s="15" t="inlineStr">
        <is>
          <t>Plot / unit price</t>
        </is>
      </c>
      <c r="G774" s="15" t="inlineStr">
        <is>
          <t>Pacific Apartment</t>
        </is>
      </c>
      <c r="H774" s="15" t="inlineStr">
        <is>
          <t>BP-C0202</t>
        </is>
      </c>
      <c r="I774" s="15" t="inlineStr">
        <is>
          <t>Miss Yesher Yakubu &amp; Miss Hadassah Yakubu</t>
        </is>
      </c>
      <c r="J774" s="17" t="n">
        <v>5000000</v>
      </c>
      <c r="K774" s="15" t="n"/>
      <c r="L774" s="15" t="inlineStr">
        <is>
          <t>Secondary: commission records; no monthly turnover register for this period</t>
        </is>
      </c>
      <c r="M774" s="15" t="inlineStr">
        <is>
          <t>BAAY PROJECTS SALES EXPENSES (COMMISSION) RECORDS (1)</t>
        </is>
      </c>
      <c r="N774" s="15" t="inlineStr">
        <is>
          <t>MS MOFFAT</t>
        </is>
      </c>
      <c r="O774" s="15" t="n">
        <v>65</v>
      </c>
      <c r="P774" s="15" t="inlineStr">
        <is>
          <t>2025-12-08</t>
        </is>
      </c>
      <c r="Q774" s="15" t="n"/>
      <c r="R774" s="15" t="inlineStr">
        <is>
          <t>Commission-record amount: confirm to bank statement (records can aggregate several transfers)</t>
        </is>
      </c>
    </row>
    <row r="775">
      <c r="A775" s="15" t="inlineStr">
        <is>
          <t>SL0771</t>
        </is>
      </c>
      <c r="B775" s="16" t="n">
        <v>45882</v>
      </c>
      <c r="C775" s="15" t="inlineStr">
        <is>
          <t>2025-08</t>
        </is>
      </c>
      <c r="D775" s="15" t="n">
        <v>2025</v>
      </c>
      <c r="E775" s="15" t="inlineStr">
        <is>
          <t>Housing</t>
        </is>
      </c>
      <c r="F775" s="15" t="inlineStr">
        <is>
          <t>Plot / unit price</t>
        </is>
      </c>
      <c r="G775" s="15" t="inlineStr">
        <is>
          <t>Pacific Apartment</t>
        </is>
      </c>
      <c r="H775" s="15" t="inlineStr">
        <is>
          <t>BP-C0202</t>
        </is>
      </c>
      <c r="I775" s="15" t="inlineStr">
        <is>
          <t>Miss Yesher Yakubu &amp; Miss Hadassah Yakubu</t>
        </is>
      </c>
      <c r="J775" s="17" t="n">
        <v>900000</v>
      </c>
      <c r="K775" s="15" t="n"/>
      <c r="L775" s="15" t="inlineStr">
        <is>
          <t>Secondary: commission records; no monthly turnover register for this period</t>
        </is>
      </c>
      <c r="M775" s="15" t="inlineStr">
        <is>
          <t>BAAY PROJECTS SALES EXPENSES (COMMISSION) RECORDS (1)</t>
        </is>
      </c>
      <c r="N775" s="15" t="inlineStr">
        <is>
          <t>MS MOFFAT</t>
        </is>
      </c>
      <c r="O775" s="15" t="n">
        <v>69</v>
      </c>
      <c r="P775" s="15" t="inlineStr">
        <is>
          <t>13/08/2025</t>
        </is>
      </c>
      <c r="Q775" s="15" t="n"/>
      <c r="R775" s="15" t="inlineStr">
        <is>
          <t>Commission-record amount: confirm to bank statement (records can aggregate several transfers)</t>
        </is>
      </c>
    </row>
    <row r="776">
      <c r="A776" s="15" t="inlineStr">
        <is>
          <t>SL0772</t>
        </is>
      </c>
      <c r="B776" s="16" t="n">
        <v>45883</v>
      </c>
      <c r="C776" s="15" t="inlineStr">
        <is>
          <t>2025-08</t>
        </is>
      </c>
      <c r="D776" s="15" t="n">
        <v>2025</v>
      </c>
      <c r="E776" s="15" t="inlineStr">
        <is>
          <t>Land</t>
        </is>
      </c>
      <c r="F776" s="15" t="inlineStr">
        <is>
          <t>Plot / unit price</t>
        </is>
      </c>
      <c r="G776" s="15" t="inlineStr">
        <is>
          <t>Land (estate not stated in source)</t>
        </is>
      </c>
      <c r="H776" s="15" t="inlineStr">
        <is>
          <t>BP-C0195</t>
        </is>
      </c>
      <c r="I776" s="15" t="inlineStr">
        <is>
          <t>Mr Haruna Adekunle Waheed</t>
        </is>
      </c>
      <c r="J776" s="17" t="n">
        <v>1250000</v>
      </c>
      <c r="K776" s="15" t="n"/>
      <c r="L776" s="15" t="inlineStr">
        <is>
          <t>Secondary: commission records; no monthly turnover register for this period</t>
        </is>
      </c>
      <c r="M776" s="15" t="inlineStr">
        <is>
          <t>BAAY PROJECTS SALES EXPENSES (COMMISSION) RECORDS (1)</t>
        </is>
      </c>
      <c r="N776" s="15" t="inlineStr">
        <is>
          <t>MRS ABIMBOLA</t>
        </is>
      </c>
      <c r="O776" s="15" t="n">
        <v>230</v>
      </c>
      <c r="P776" s="15" t="inlineStr">
        <is>
          <t>14/08/2025</t>
        </is>
      </c>
      <c r="Q776" s="15" t="n"/>
      <c r="R776" s="15" t="inlineStr">
        <is>
          <t>Commission-record amount: confirm to bank statement (records can aggregate several transfers)</t>
        </is>
      </c>
    </row>
    <row r="777">
      <c r="A777" s="15" t="inlineStr">
        <is>
          <t>SL0773</t>
        </is>
      </c>
      <c r="B777" s="16" t="n">
        <v>45884</v>
      </c>
      <c r="C777" s="15" t="inlineStr">
        <is>
          <t>2025-08</t>
        </is>
      </c>
      <c r="D777" s="15" t="n">
        <v>2025</v>
      </c>
      <c r="E777" s="15" t="inlineStr">
        <is>
          <t>Housing</t>
        </is>
      </c>
      <c r="F777" s="15" t="inlineStr">
        <is>
          <t>Plot / unit price</t>
        </is>
      </c>
      <c r="G777" s="15" t="inlineStr">
        <is>
          <t>Housing unit (project not stated in source)</t>
        </is>
      </c>
      <c r="H777" s="15" t="inlineStr">
        <is>
          <t>BP-C0133</t>
        </is>
      </c>
      <c r="I777" s="15" t="inlineStr">
        <is>
          <t>Mr Olagbende Oluwashina Oluwaseun</t>
        </is>
      </c>
      <c r="J777" s="17" t="n">
        <v>3400000</v>
      </c>
      <c r="K777" s="15" t="n"/>
      <c r="L777" s="15" t="inlineStr">
        <is>
          <t>Secondary: commission records; no monthly turnover register for this period</t>
        </is>
      </c>
      <c r="M777" s="15" t="inlineStr">
        <is>
          <t>BAAY PROJECTS SALES EXPENSES (COMMISSION) RECORDS (1)</t>
        </is>
      </c>
      <c r="N777" s="15" t="inlineStr">
        <is>
          <t>MS AWONORIN MAYOWA</t>
        </is>
      </c>
      <c r="O777" s="15" t="n">
        <v>89</v>
      </c>
      <c r="P777" s="15" t="inlineStr">
        <is>
          <t>15/08/2025</t>
        </is>
      </c>
      <c r="Q777" s="15" t="n"/>
      <c r="R777" s="15" t="inlineStr">
        <is>
          <t>Commission-record amount: confirm to bank statement (records can aggregate several transfers)</t>
        </is>
      </c>
    </row>
    <row r="778">
      <c r="A778" s="15" t="inlineStr">
        <is>
          <t>SL0774</t>
        </is>
      </c>
      <c r="B778" s="16" t="n">
        <v>45888</v>
      </c>
      <c r="C778" s="15" t="inlineStr">
        <is>
          <t>2025-08</t>
        </is>
      </c>
      <c r="D778" s="15" t="n">
        <v>2025</v>
      </c>
      <c r="E778" s="15" t="inlineStr">
        <is>
          <t>Housing</t>
        </is>
      </c>
      <c r="F778" s="15" t="inlineStr">
        <is>
          <t>Plot / unit price</t>
        </is>
      </c>
      <c r="G778" s="15" t="inlineStr">
        <is>
          <t>Baay Foreshore</t>
        </is>
      </c>
      <c r="H778" s="15" t="inlineStr">
        <is>
          <t>BP-C0205</t>
        </is>
      </c>
      <c r="I778" s="15" t="inlineStr">
        <is>
          <t>Landnest Homes (Mrs Lukoh)</t>
        </is>
      </c>
      <c r="J778" s="17" t="n">
        <v>5000000</v>
      </c>
      <c r="K778" s="15" t="n"/>
      <c r="L778" s="15" t="inlineStr">
        <is>
          <t>Secondary: commission records; no monthly turnover register for this period</t>
        </is>
      </c>
      <c r="M778" s="15" t="inlineStr">
        <is>
          <t>BAAY PROJECTS SALES EXPENSES (COMMISSION) RECORDS (1)</t>
        </is>
      </c>
      <c r="N778" s="15" t="inlineStr">
        <is>
          <t>LANDNEST HOMES</t>
        </is>
      </c>
      <c r="O778" s="15" t="n">
        <v>9</v>
      </c>
      <c r="P778" s="15" t="inlineStr">
        <is>
          <t>19/08/2025</t>
        </is>
      </c>
      <c r="Q778" s="15" t="n"/>
      <c r="R778" s="15" t="inlineStr">
        <is>
          <t>Commission-record amount: confirm to bank statement (records can aggregate several transfers)</t>
        </is>
      </c>
    </row>
    <row r="779">
      <c r="A779" s="15" t="inlineStr">
        <is>
          <t>SL0775</t>
        </is>
      </c>
      <c r="B779" s="16" t="n">
        <v>45888</v>
      </c>
      <c r="C779" s="15" t="inlineStr">
        <is>
          <t>2025-08</t>
        </is>
      </c>
      <c r="D779" s="15" t="n">
        <v>2025</v>
      </c>
      <c r="E779" s="15" t="inlineStr">
        <is>
          <t>Housing</t>
        </is>
      </c>
      <c r="F779" s="15" t="inlineStr">
        <is>
          <t>Plot / unit price</t>
        </is>
      </c>
      <c r="G779" s="15" t="inlineStr">
        <is>
          <t>Housing unit (project not stated in source)</t>
        </is>
      </c>
      <c r="H779" s="15" t="inlineStr">
        <is>
          <t>BP-C0133</t>
        </is>
      </c>
      <c r="I779" s="15" t="inlineStr">
        <is>
          <t>Mr Olagbende Oluwashina Oluwaseun</t>
        </is>
      </c>
      <c r="J779" s="17" t="n">
        <v>2400000</v>
      </c>
      <c r="K779" s="15" t="n"/>
      <c r="L779" s="15" t="inlineStr">
        <is>
          <t>Secondary: commission records; no monthly turnover register for this period</t>
        </is>
      </c>
      <c r="M779" s="15" t="inlineStr">
        <is>
          <t>BAAY PROJECTS SALES EXPENSES (COMMISSION) RECORDS (1)</t>
        </is>
      </c>
      <c r="N779" s="15" t="inlineStr">
        <is>
          <t>MS AWONORIN MAYOWA</t>
        </is>
      </c>
      <c r="O779" s="15" t="n">
        <v>90</v>
      </c>
      <c r="P779" s="15" t="inlineStr">
        <is>
          <t>19/08/2025</t>
        </is>
      </c>
      <c r="Q779" s="15" t="n"/>
      <c r="R779" s="15" t="inlineStr">
        <is>
          <t>Commission-record amount: confirm to bank statement (records can aggregate several transfers)</t>
        </is>
      </c>
    </row>
    <row r="780">
      <c r="A780" s="15" t="inlineStr">
        <is>
          <t>SL0776</t>
        </is>
      </c>
      <c r="B780" s="16" t="n">
        <v>45889</v>
      </c>
      <c r="C780" s="15" t="inlineStr">
        <is>
          <t>2025-08</t>
        </is>
      </c>
      <c r="D780" s="15" t="n">
        <v>2025</v>
      </c>
      <c r="E780" s="15" t="inlineStr">
        <is>
          <t>Housing</t>
        </is>
      </c>
      <c r="F780" s="15" t="inlineStr">
        <is>
          <t>Plot / unit price</t>
        </is>
      </c>
      <c r="G780" s="15" t="inlineStr">
        <is>
          <t>Housing unit (project not stated in source)</t>
        </is>
      </c>
      <c r="H780" s="15" t="inlineStr">
        <is>
          <t>BP-C0133</t>
        </is>
      </c>
      <c r="I780" s="15" t="inlineStr">
        <is>
          <t>Mr Olagbende Oluwashina Oluwaseun</t>
        </is>
      </c>
      <c r="J780" s="17" t="n">
        <v>100000</v>
      </c>
      <c r="K780" s="15" t="n"/>
      <c r="L780" s="15" t="inlineStr">
        <is>
          <t>Secondary: commission records; no monthly turnover register for this period</t>
        </is>
      </c>
      <c r="M780" s="15" t="inlineStr">
        <is>
          <t>BAAY PROJECTS SALES EXPENSES (COMMISSION) RECORDS (1)</t>
        </is>
      </c>
      <c r="N780" s="15" t="inlineStr">
        <is>
          <t>MS AWONORIN MAYOWA</t>
        </is>
      </c>
      <c r="O780" s="15" t="n">
        <v>91</v>
      </c>
      <c r="P780" s="15" t="inlineStr">
        <is>
          <t>20/08/2025</t>
        </is>
      </c>
      <c r="Q780" s="15" t="n"/>
      <c r="R780" s="15" t="inlineStr">
        <is>
          <t>Commission-record amount: confirm to bank statement (records can aggregate several transfers)</t>
        </is>
      </c>
    </row>
    <row r="781">
      <c r="A781" s="15" t="inlineStr">
        <is>
          <t>SL0777</t>
        </is>
      </c>
      <c r="B781" s="16" t="n">
        <v>45892</v>
      </c>
      <c r="C781" s="15" t="inlineStr">
        <is>
          <t>2025-08</t>
        </is>
      </c>
      <c r="D781" s="15" t="n">
        <v>2025</v>
      </c>
      <c r="E781" s="15" t="inlineStr">
        <is>
          <t>Housing</t>
        </is>
      </c>
      <c r="F781" s="15" t="inlineStr">
        <is>
          <t>Plot / unit price</t>
        </is>
      </c>
      <c r="G781" s="15" t="inlineStr">
        <is>
          <t>Baay Foreshore</t>
        </is>
      </c>
      <c r="H781" s="15" t="inlineStr">
        <is>
          <t>BP-C0213</t>
        </is>
      </c>
      <c r="I781" s="15" t="inlineStr">
        <is>
          <t>Mr Adelani Ibrahim Akinkunmi</t>
        </is>
      </c>
      <c r="J781" s="17" t="n">
        <v>5000000</v>
      </c>
      <c r="K781" s="15" t="n"/>
      <c r="L781" s="15" t="inlineStr">
        <is>
          <t>Secondary: commission records; no monthly turnover register for this period</t>
        </is>
      </c>
      <c r="M781" s="15" t="inlineStr">
        <is>
          <t>BAAY PROJECTS SALES EXPENSES (COMMISSION) RECORDS (1)</t>
        </is>
      </c>
      <c r="N781" s="15" t="inlineStr">
        <is>
          <t>MS BOLANLE</t>
        </is>
      </c>
      <c r="O781" s="15" t="n">
        <v>167</v>
      </c>
      <c r="P781" s="15" t="inlineStr">
        <is>
          <t>23/08/2025</t>
        </is>
      </c>
      <c r="Q781" s="15" t="n"/>
      <c r="R781" s="15" t="inlineStr">
        <is>
          <t>Commission-record amount: confirm to bank statement (records can aggregate several transfers)</t>
        </is>
      </c>
    </row>
    <row r="782">
      <c r="A782" s="15" t="inlineStr">
        <is>
          <t>SL0778</t>
        </is>
      </c>
      <c r="B782" s="16" t="n">
        <v>45892</v>
      </c>
      <c r="C782" s="15" t="inlineStr">
        <is>
          <t>2025-08</t>
        </is>
      </c>
      <c r="D782" s="15" t="n">
        <v>2025</v>
      </c>
      <c r="E782" s="15" t="inlineStr">
        <is>
          <t>Housing</t>
        </is>
      </c>
      <c r="F782" s="15" t="inlineStr">
        <is>
          <t>Plot / unit price</t>
        </is>
      </c>
      <c r="G782" s="15" t="inlineStr">
        <is>
          <t>Baay Foreshore</t>
        </is>
      </c>
      <c r="H782" s="15" t="inlineStr">
        <is>
          <t>BP-C0214</t>
        </is>
      </c>
      <c r="I782" s="15" t="inlineStr">
        <is>
          <t>Mrs Taiwo Adeyinka</t>
        </is>
      </c>
      <c r="J782" s="17" t="n">
        <v>5000000</v>
      </c>
      <c r="K782" s="15" t="n"/>
      <c r="L782" s="15" t="inlineStr">
        <is>
          <t>Secondary: commission records; no monthly turnover register for this period</t>
        </is>
      </c>
      <c r="M782" s="15" t="inlineStr">
        <is>
          <t>BAAY PROJECTS SALES EXPENSES (COMMISSION) RECORDS (1)</t>
        </is>
      </c>
      <c r="N782" s="15" t="inlineStr">
        <is>
          <t>MS BOLANLE</t>
        </is>
      </c>
      <c r="O782" s="15" t="n">
        <v>169</v>
      </c>
      <c r="P782" s="15" t="inlineStr">
        <is>
          <t>23/08/2025</t>
        </is>
      </c>
      <c r="Q782" s="15" t="n"/>
      <c r="R782" s="15" t="inlineStr">
        <is>
          <t>Commission-record amount: confirm to bank statement (records can aggregate several transfers)</t>
        </is>
      </c>
    </row>
    <row r="783">
      <c r="A783" s="15" t="inlineStr">
        <is>
          <t>SL0779</t>
        </is>
      </c>
      <c r="B783" s="16" t="n">
        <v>45895</v>
      </c>
      <c r="C783" s="15" t="inlineStr">
        <is>
          <t>2025-08</t>
        </is>
      </c>
      <c r="D783" s="15" t="n">
        <v>2025</v>
      </c>
      <c r="E783" s="15" t="inlineStr">
        <is>
          <t>Housing</t>
        </is>
      </c>
      <c r="F783" s="15" t="inlineStr">
        <is>
          <t>Plot / unit price</t>
        </is>
      </c>
      <c r="G783" s="15" t="inlineStr">
        <is>
          <t>Pacific Apartment</t>
        </is>
      </c>
      <c r="H783" s="15" t="inlineStr">
        <is>
          <t>BP-C0203</t>
        </is>
      </c>
      <c r="I783" s="15" t="inlineStr">
        <is>
          <t>Mr Ogbomah Ebi Wilfred</t>
        </is>
      </c>
      <c r="J783" s="17" t="n">
        <v>30000000</v>
      </c>
      <c r="K783" s="15" t="n"/>
      <c r="L783" s="15" t="inlineStr">
        <is>
          <t>Secondary: commission records; no monthly turnover register for this period</t>
        </is>
      </c>
      <c r="M783" s="15" t="inlineStr">
        <is>
          <t>BAAY PROJECTS SALES EXPENSES (COMMISSION) RECORDS (1)</t>
        </is>
      </c>
      <c r="N783" s="15" t="inlineStr">
        <is>
          <t>MS MOFFAT</t>
        </is>
      </c>
      <c r="O783" s="15" t="n">
        <v>50</v>
      </c>
      <c r="P783" s="15" t="inlineStr">
        <is>
          <t>26/08/2025</t>
        </is>
      </c>
      <c r="Q783" s="15" t="n"/>
      <c r="R783" s="15" t="inlineStr">
        <is>
          <t>Commission-record amount: confirm to bank statement (records can aggregate several transfers)</t>
        </is>
      </c>
    </row>
    <row r="784">
      <c r="A784" s="15" t="inlineStr">
        <is>
          <t>SL0780</t>
        </is>
      </c>
      <c r="B784" s="16" t="n">
        <v>45895</v>
      </c>
      <c r="C784" s="15" t="inlineStr">
        <is>
          <t>2025-08</t>
        </is>
      </c>
      <c r="D784" s="15" t="n">
        <v>2025</v>
      </c>
      <c r="E784" s="15" t="inlineStr">
        <is>
          <t>Housing</t>
        </is>
      </c>
      <c r="F784" s="15" t="inlineStr">
        <is>
          <t>Plot / unit price</t>
        </is>
      </c>
      <c r="G784" s="15" t="inlineStr">
        <is>
          <t>Baay Foreshore</t>
        </is>
      </c>
      <c r="H784" s="15" t="inlineStr">
        <is>
          <t>BP-C0214</t>
        </is>
      </c>
      <c r="I784" s="15" t="inlineStr">
        <is>
          <t>Mrs Taiwo Adeyinka</t>
        </is>
      </c>
      <c r="J784" s="17" t="n">
        <v>2500000</v>
      </c>
      <c r="K784" s="15" t="n"/>
      <c r="L784" s="15" t="inlineStr">
        <is>
          <t>Secondary: commission records; no monthly turnover register for this period</t>
        </is>
      </c>
      <c r="M784" s="15" t="inlineStr">
        <is>
          <t>BAAY PROJECTS SALES EXPENSES (COMMISSION) RECORDS (1)</t>
        </is>
      </c>
      <c r="N784" s="15" t="inlineStr">
        <is>
          <t>MS BOLANLE</t>
        </is>
      </c>
      <c r="O784" s="15" t="n">
        <v>170</v>
      </c>
      <c r="P784" s="15" t="inlineStr">
        <is>
          <t>26/08/2025</t>
        </is>
      </c>
      <c r="Q784" s="15" t="n"/>
      <c r="R784" s="15" t="inlineStr">
        <is>
          <t>Commission-record amount: confirm to bank statement (records can aggregate several transfers)</t>
        </is>
      </c>
    </row>
    <row r="785">
      <c r="A785" s="15" t="inlineStr">
        <is>
          <t>SL0781</t>
        </is>
      </c>
      <c r="B785" s="16" t="n">
        <v>45897</v>
      </c>
      <c r="C785" s="15" t="inlineStr">
        <is>
          <t>2025-08</t>
        </is>
      </c>
      <c r="D785" s="15" t="n">
        <v>2025</v>
      </c>
      <c r="E785" s="15" t="inlineStr">
        <is>
          <t>Housing</t>
        </is>
      </c>
      <c r="F785" s="15" t="inlineStr">
        <is>
          <t>Plot / unit price</t>
        </is>
      </c>
      <c r="G785" s="15" t="inlineStr">
        <is>
          <t>Pacific Apartment</t>
        </is>
      </c>
      <c r="H785" s="15" t="inlineStr">
        <is>
          <t>BP-C0186</t>
        </is>
      </c>
      <c r="I785" s="15" t="inlineStr">
        <is>
          <t>Salem real Estate (Mrs Omoko Onora Helen)</t>
        </is>
      </c>
      <c r="J785" s="17" t="n">
        <v>4750000</v>
      </c>
      <c r="K785" s="15" t="n"/>
      <c r="L785" s="15" t="inlineStr">
        <is>
          <t>Secondary: commission records; no monthly turnover register for this period</t>
        </is>
      </c>
      <c r="M785" s="15" t="inlineStr">
        <is>
          <t>BAAY PROJECTS SALES EXPENSES (COMMISSION) RECORDS (1)</t>
        </is>
      </c>
      <c r="N785" s="15" t="inlineStr">
        <is>
          <t>MR CHARLES</t>
        </is>
      </c>
      <c r="O785" s="15" t="n">
        <v>114</v>
      </c>
      <c r="P785" s="15" t="inlineStr">
        <is>
          <t>28/08/2025</t>
        </is>
      </c>
      <c r="Q785" s="15" t="inlineStr">
        <is>
          <t>SALEM REAL ESTATE r45</t>
        </is>
      </c>
      <c r="R785" s="15" t="inlineStr">
        <is>
          <t>Commission-record amount: confirm to bank statement (records can aggregate several transfers)</t>
        </is>
      </c>
    </row>
    <row r="786">
      <c r="A786" s="15" t="inlineStr">
        <is>
          <t>SL0782</t>
        </is>
      </c>
      <c r="B786" s="16" t="n">
        <v>45898</v>
      </c>
      <c r="C786" s="15" t="inlineStr">
        <is>
          <t>2025-08</t>
        </is>
      </c>
      <c r="D786" s="15" t="n">
        <v>2025</v>
      </c>
      <c r="E786" s="15" t="inlineStr">
        <is>
          <t>Housing</t>
        </is>
      </c>
      <c r="F786" s="15" t="inlineStr">
        <is>
          <t>Plot / unit price</t>
        </is>
      </c>
      <c r="G786" s="15" t="inlineStr">
        <is>
          <t>Baay Foreshore</t>
        </is>
      </c>
      <c r="H786" s="15" t="inlineStr">
        <is>
          <t>BP-C0055</t>
        </is>
      </c>
      <c r="I786" s="15" t="inlineStr">
        <is>
          <t>Mr Adeniji Oluwatosin Ademola</t>
        </is>
      </c>
      <c r="J786" s="17" t="n">
        <v>5000000</v>
      </c>
      <c r="K786" s="15" t="n"/>
      <c r="L786" s="15" t="inlineStr">
        <is>
          <t>Secondary: commission records; no monthly turnover register for this period</t>
        </is>
      </c>
      <c r="M786" s="15" t="inlineStr">
        <is>
          <t>BAAY PROJECTS SALES EXPENSES (COMMISSION) RECORDS (1)</t>
        </is>
      </c>
      <c r="N786" s="15" t="inlineStr">
        <is>
          <t>MS BOLANLE</t>
        </is>
      </c>
      <c r="O786" s="15" t="n">
        <v>155</v>
      </c>
      <c r="P786" s="15" t="inlineStr">
        <is>
          <t>29/08/2025</t>
        </is>
      </c>
      <c r="Q786" s="15" t="n"/>
      <c r="R786" s="15" t="inlineStr">
        <is>
          <t>Commission-record amount: confirm to bank statement (records can aggregate several transfers)</t>
        </is>
      </c>
    </row>
    <row r="787">
      <c r="A787" s="15" t="inlineStr">
        <is>
          <t>SL0783</t>
        </is>
      </c>
      <c r="B787" s="16" t="n">
        <v>45898</v>
      </c>
      <c r="C787" s="15" t="inlineStr">
        <is>
          <t>2025-08</t>
        </is>
      </c>
      <c r="D787" s="15" t="n">
        <v>2025</v>
      </c>
      <c r="E787" s="15" t="inlineStr">
        <is>
          <t>Housing</t>
        </is>
      </c>
      <c r="F787" s="15" t="inlineStr">
        <is>
          <t>Plot / unit price</t>
        </is>
      </c>
      <c r="G787" s="15" t="inlineStr">
        <is>
          <t>Baay Foreshore</t>
        </is>
      </c>
      <c r="H787" s="15" t="inlineStr">
        <is>
          <t>BP-C0055</t>
        </is>
      </c>
      <c r="I787" s="15" t="inlineStr">
        <is>
          <t>Mr Adeniji Oluwatosin Ademola</t>
        </is>
      </c>
      <c r="J787" s="17" t="n">
        <v>2500000</v>
      </c>
      <c r="K787" s="15" t="n"/>
      <c r="L787" s="15" t="inlineStr">
        <is>
          <t>Secondary: commission records; no monthly turnover register for this period</t>
        </is>
      </c>
      <c r="M787" s="15" t="inlineStr">
        <is>
          <t>BAAY PROJECTS SALES EXPENSES (COMMISSION) RECORDS (1)</t>
        </is>
      </c>
      <c r="N787" s="15" t="inlineStr">
        <is>
          <t>MS BOLANLE</t>
        </is>
      </c>
      <c r="O787" s="15" t="n">
        <v>179</v>
      </c>
      <c r="P787" s="15" t="inlineStr">
        <is>
          <t>29/08/2025</t>
        </is>
      </c>
      <c r="Q787" s="15" t="n"/>
      <c r="R787" s="15" t="inlineStr">
        <is>
          <t>Commission-record amount: confirm to bank statement (records can aggregate several transfers)</t>
        </is>
      </c>
    </row>
    <row r="788">
      <c r="A788" s="15" t="inlineStr">
        <is>
          <t>SL0784</t>
        </is>
      </c>
      <c r="B788" s="16" t="n">
        <v>45898</v>
      </c>
      <c r="C788" s="15" t="inlineStr">
        <is>
          <t>2025-08</t>
        </is>
      </c>
      <c r="D788" s="15" t="n">
        <v>2025</v>
      </c>
      <c r="E788" s="15" t="inlineStr">
        <is>
          <t>Housing</t>
        </is>
      </c>
      <c r="F788" s="15" t="inlineStr">
        <is>
          <t>Plot / unit price</t>
        </is>
      </c>
      <c r="G788" s="15" t="inlineStr">
        <is>
          <t>Pacific Apartment</t>
        </is>
      </c>
      <c r="H788" s="15" t="inlineStr">
        <is>
          <t>BP-C0203</t>
        </is>
      </c>
      <c r="I788" s="15" t="inlineStr">
        <is>
          <t>Mr Ogbomah Ebi Wilfred</t>
        </is>
      </c>
      <c r="J788" s="17" t="n">
        <v>30000000</v>
      </c>
      <c r="K788" s="15" t="n"/>
      <c r="L788" s="15" t="inlineStr">
        <is>
          <t>Secondary: commission records; no monthly turnover register for this period</t>
        </is>
      </c>
      <c r="M788" s="15" t="inlineStr">
        <is>
          <t>BAAY PROJECTS SALES EXPENSES (COMMISSION) RECORDS (1)</t>
        </is>
      </c>
      <c r="N788" s="15" t="inlineStr">
        <is>
          <t>MS MOFFAT</t>
        </is>
      </c>
      <c r="O788" s="15" t="n">
        <v>51</v>
      </c>
      <c r="P788" s="15" t="inlineStr">
        <is>
          <t>29/08/2025</t>
        </is>
      </c>
      <c r="Q788" s="15" t="n"/>
      <c r="R788" s="15" t="inlineStr">
        <is>
          <t>Commission-record amount: confirm to bank statement (records can aggregate several transfers)</t>
        </is>
      </c>
    </row>
    <row r="789">
      <c r="A789" s="15" t="inlineStr">
        <is>
          <t>SL0785</t>
        </is>
      </c>
      <c r="B789" s="16" t="n">
        <v>45898</v>
      </c>
      <c r="C789" s="15" t="inlineStr">
        <is>
          <t>2025-08</t>
        </is>
      </c>
      <c r="D789" s="15" t="n">
        <v>2025</v>
      </c>
      <c r="E789" s="15" t="inlineStr">
        <is>
          <t>Housing</t>
        </is>
      </c>
      <c r="F789" s="15" t="inlineStr">
        <is>
          <t>Plot / unit price</t>
        </is>
      </c>
      <c r="G789" s="15" t="inlineStr">
        <is>
          <t>Pacific Apartment</t>
        </is>
      </c>
      <c r="H789" s="15" t="inlineStr">
        <is>
          <t>BP-C0203</t>
        </is>
      </c>
      <c r="I789" s="15" t="inlineStr">
        <is>
          <t>Mr Ogbomah Ebi Wilfred</t>
        </is>
      </c>
      <c r="J789" s="17" t="n">
        <v>900000</v>
      </c>
      <c r="K789" s="15" t="n"/>
      <c r="L789" s="15" t="inlineStr">
        <is>
          <t>Secondary: commission records; no monthly turnover register for this period</t>
        </is>
      </c>
      <c r="M789" s="15" t="inlineStr">
        <is>
          <t>BAAY PROJECTS SALES EXPENSES (COMMISSION) RECORDS (1)</t>
        </is>
      </c>
      <c r="N789" s="15" t="inlineStr">
        <is>
          <t>MS MOFFAT</t>
        </is>
      </c>
      <c r="O789" s="15" t="n">
        <v>111</v>
      </c>
      <c r="P789" s="15" t="inlineStr">
        <is>
          <t>29/08/2025</t>
        </is>
      </c>
      <c r="Q789" s="15" t="n"/>
      <c r="R789" s="15" t="inlineStr">
        <is>
          <t>Commission-record amount: confirm to bank statement (records can aggregate several transfers)</t>
        </is>
      </c>
    </row>
    <row r="790">
      <c r="A790" s="15" t="inlineStr">
        <is>
          <t>SL0786</t>
        </is>
      </c>
      <c r="B790" s="16" t="n">
        <v>45903</v>
      </c>
      <c r="C790" s="15" t="inlineStr">
        <is>
          <t>2025-09</t>
        </is>
      </c>
      <c r="D790" s="15" t="n">
        <v>2025</v>
      </c>
      <c r="E790" s="15" t="inlineStr">
        <is>
          <t>Housing</t>
        </is>
      </c>
      <c r="F790" s="15" t="inlineStr">
        <is>
          <t>Plot / unit price</t>
        </is>
      </c>
      <c r="G790" s="15" t="inlineStr">
        <is>
          <t>Baay Foreshore</t>
        </is>
      </c>
      <c r="H790" s="15" t="inlineStr">
        <is>
          <t>BP-C0215</t>
        </is>
      </c>
      <c r="I790" s="15" t="inlineStr">
        <is>
          <t>Landnest (Mrs Lukoh)</t>
        </is>
      </c>
      <c r="J790" s="17" t="n">
        <v>4430000</v>
      </c>
      <c r="K790" s="15" t="n"/>
      <c r="L790" s="15" t="inlineStr">
        <is>
          <t>Secondary: commission records; no monthly turnover register for this period</t>
        </is>
      </c>
      <c r="M790" s="15" t="inlineStr">
        <is>
          <t>BAAY PROJECTS SALES EXPENSES (COMMISSION) RECORDS (1)</t>
        </is>
      </c>
      <c r="N790" s="15" t="inlineStr">
        <is>
          <t>LANDNEST HOMES</t>
        </is>
      </c>
      <c r="O790" s="15" t="n">
        <v>16</v>
      </c>
      <c r="P790" s="15" t="inlineStr">
        <is>
          <t>2025-03-09</t>
        </is>
      </c>
      <c r="Q790" s="15" t="n"/>
      <c r="R790" s="15" t="inlineStr">
        <is>
          <t>Commission-record amount: confirm to bank statement (records can aggregate several transfers)</t>
        </is>
      </c>
    </row>
    <row r="791">
      <c r="A791" s="15" t="inlineStr">
        <is>
          <t>SL0787</t>
        </is>
      </c>
      <c r="B791" s="16" t="n">
        <v>45903</v>
      </c>
      <c r="C791" s="15" t="inlineStr">
        <is>
          <t>2025-09</t>
        </is>
      </c>
      <c r="D791" s="15" t="n">
        <v>2025</v>
      </c>
      <c r="E791" s="15" t="inlineStr">
        <is>
          <t>Housing</t>
        </is>
      </c>
      <c r="F791" s="15" t="inlineStr">
        <is>
          <t>Plot / unit price</t>
        </is>
      </c>
      <c r="G791" s="15" t="inlineStr">
        <is>
          <t>Baay Foreshore</t>
        </is>
      </c>
      <c r="H791" s="15" t="inlineStr">
        <is>
          <t>BP-C0207</t>
        </is>
      </c>
      <c r="I791" s="15" t="inlineStr">
        <is>
          <t>Landnest Homes (Mrs Beatrice)</t>
        </is>
      </c>
      <c r="J791" s="17" t="n">
        <v>4915000</v>
      </c>
      <c r="K791" s="15" t="n"/>
      <c r="L791" s="15" t="inlineStr">
        <is>
          <t>Secondary: commission records; no monthly turnover register for this period</t>
        </is>
      </c>
      <c r="M791" s="15" t="inlineStr">
        <is>
          <t>BAAY PROJECTS SALES EXPENSES (COMMISSION) RECORDS (1)</t>
        </is>
      </c>
      <c r="N791" s="15" t="inlineStr">
        <is>
          <t>LANDNEST HOMES</t>
        </is>
      </c>
      <c r="O791" s="15" t="n">
        <v>17</v>
      </c>
      <c r="P791" s="15" t="inlineStr">
        <is>
          <t>2025-03-09</t>
        </is>
      </c>
      <c r="Q791" s="15" t="n"/>
      <c r="R791" s="15" t="inlineStr">
        <is>
          <t>Commission-record amount: confirm to bank statement (records can aggregate several transfers)</t>
        </is>
      </c>
    </row>
    <row r="792">
      <c r="A792" s="15" t="inlineStr">
        <is>
          <t>SL0788</t>
        </is>
      </c>
      <c r="B792" s="16" t="n">
        <v>45905</v>
      </c>
      <c r="C792" s="15" t="inlineStr">
        <is>
          <t>2025-09</t>
        </is>
      </c>
      <c r="D792" s="15" t="n">
        <v>2025</v>
      </c>
      <c r="E792" s="15" t="inlineStr">
        <is>
          <t>Housing</t>
        </is>
      </c>
      <c r="F792" s="15" t="inlineStr">
        <is>
          <t>Plot / unit price</t>
        </is>
      </c>
      <c r="G792" s="15" t="inlineStr">
        <is>
          <t>Pacific Apartment</t>
        </is>
      </c>
      <c r="H792" s="15" t="inlineStr">
        <is>
          <t>BP-C0192</t>
        </is>
      </c>
      <c r="I792" s="15" t="inlineStr">
        <is>
          <t>Dr Esangbedo Wilson</t>
        </is>
      </c>
      <c r="J792" s="17" t="n">
        <v>3000000</v>
      </c>
      <c r="K792" s="15" t="n"/>
      <c r="L792" s="15" t="inlineStr">
        <is>
          <t>Secondary: commission records; no monthly turnover register for this period</t>
        </is>
      </c>
      <c r="M792" s="15" t="inlineStr">
        <is>
          <t>BAAY PROJECTS SALES EXPENSES (COMMISSION) RECORDS (1)</t>
        </is>
      </c>
      <c r="N792" s="15" t="inlineStr">
        <is>
          <t>MS MOFFAT</t>
        </is>
      </c>
      <c r="O792" s="15" t="n">
        <v>77</v>
      </c>
      <c r="P792" s="15" t="inlineStr">
        <is>
          <t>2025-05-09</t>
        </is>
      </c>
      <c r="Q792" s="15" t="n"/>
      <c r="R792" s="15" t="inlineStr">
        <is>
          <t>Commission-record amount: confirm to bank statement (records can aggregate several transfers)</t>
        </is>
      </c>
    </row>
    <row r="793">
      <c r="A793" s="15" t="inlineStr">
        <is>
          <t>SL0789</t>
        </is>
      </c>
      <c r="B793" s="16" t="n">
        <v>45915</v>
      </c>
      <c r="C793" s="15" t="inlineStr">
        <is>
          <t>2025-09</t>
        </is>
      </c>
      <c r="D793" s="15" t="n">
        <v>2025</v>
      </c>
      <c r="E793" s="15" t="inlineStr">
        <is>
          <t>Housing</t>
        </is>
      </c>
      <c r="F793" s="15" t="inlineStr">
        <is>
          <t>Plot / unit price</t>
        </is>
      </c>
      <c r="G793" s="15" t="inlineStr">
        <is>
          <t>Baay Foreshore</t>
        </is>
      </c>
      <c r="H793" s="15" t="inlineStr">
        <is>
          <t>BP-C0204</t>
        </is>
      </c>
      <c r="I793" s="15" t="inlineStr">
        <is>
          <t>Mr Akinjogunla Isaac Ogooluwa</t>
        </is>
      </c>
      <c r="J793" s="17" t="n">
        <v>9000000</v>
      </c>
      <c r="K793" s="15" t="n"/>
      <c r="L793" s="15" t="inlineStr">
        <is>
          <t>Secondary: commission records; no monthly turnover register for this period</t>
        </is>
      </c>
      <c r="M793" s="15" t="inlineStr">
        <is>
          <t>BAAY PROJECTS SALES EXPENSES (COMMISSION) RECORDS (1)</t>
        </is>
      </c>
      <c r="N793" s="15" t="inlineStr">
        <is>
          <t>MS MOFFAT</t>
        </is>
      </c>
      <c r="O793" s="15" t="n">
        <v>80</v>
      </c>
      <c r="P793" s="15" t="inlineStr">
        <is>
          <t>15/09/2025</t>
        </is>
      </c>
      <c r="Q793" s="15" t="n"/>
      <c r="R793" s="15" t="inlineStr">
        <is>
          <t>Commission-record amount: confirm to bank statement (records can aggregate several transfers)</t>
        </is>
      </c>
    </row>
    <row r="794">
      <c r="A794" s="15" t="inlineStr">
        <is>
          <t>SL0790</t>
        </is>
      </c>
      <c r="B794" s="16" t="n">
        <v>45916</v>
      </c>
      <c r="C794" s="15" t="inlineStr">
        <is>
          <t>2025-09</t>
        </is>
      </c>
      <c r="D794" s="15" t="n">
        <v>2025</v>
      </c>
      <c r="E794" s="15" t="inlineStr">
        <is>
          <t>Housing</t>
        </is>
      </c>
      <c r="F794" s="15" t="inlineStr">
        <is>
          <t>Plot / unit price</t>
        </is>
      </c>
      <c r="G794" s="15" t="inlineStr">
        <is>
          <t>Baay Foreshore</t>
        </is>
      </c>
      <c r="H794" s="15" t="inlineStr">
        <is>
          <t>BP-C0215</t>
        </is>
      </c>
      <c r="I794" s="15" t="inlineStr">
        <is>
          <t>Landnest (Mrs Lukoh)</t>
        </is>
      </c>
      <c r="J794" s="17" t="n">
        <v>5000000</v>
      </c>
      <c r="K794" s="15" t="n"/>
      <c r="L794" s="15" t="inlineStr">
        <is>
          <t>Secondary: commission records; no monthly turnover register for this period</t>
        </is>
      </c>
      <c r="M794" s="15" t="inlineStr">
        <is>
          <t>BAAY PROJECTS SALES EXPENSES (COMMISSION) RECORDS (1)</t>
        </is>
      </c>
      <c r="N794" s="15" t="inlineStr">
        <is>
          <t>LANDNEST HOMES</t>
        </is>
      </c>
      <c r="O794" s="15" t="n">
        <v>18</v>
      </c>
      <c r="P794" s="15" t="inlineStr">
        <is>
          <t>16/09/2025</t>
        </is>
      </c>
      <c r="Q794" s="15" t="n"/>
      <c r="R794" s="15" t="inlineStr">
        <is>
          <t>Commission-record amount: confirm to bank statement (records can aggregate several transfers)</t>
        </is>
      </c>
    </row>
    <row r="795">
      <c r="A795" s="15" t="inlineStr">
        <is>
          <t>SL0791</t>
        </is>
      </c>
      <c r="B795" s="16" t="n">
        <v>45916</v>
      </c>
      <c r="C795" s="15" t="inlineStr">
        <is>
          <t>2025-09</t>
        </is>
      </c>
      <c r="D795" s="15" t="n">
        <v>2025</v>
      </c>
      <c r="E795" s="15" t="inlineStr">
        <is>
          <t>Housing</t>
        </is>
      </c>
      <c r="F795" s="15" t="inlineStr">
        <is>
          <t>Plot / unit price</t>
        </is>
      </c>
      <c r="G795" s="15" t="inlineStr">
        <is>
          <t>Baay Foreshore</t>
        </is>
      </c>
      <c r="H795" s="15" t="inlineStr">
        <is>
          <t>BP-C0207</t>
        </is>
      </c>
      <c r="I795" s="15" t="inlineStr">
        <is>
          <t>Landnest Homes (Mrs Beatrice)</t>
        </is>
      </c>
      <c r="J795" s="17" t="n">
        <v>5000000</v>
      </c>
      <c r="K795" s="15" t="n"/>
      <c r="L795" s="15" t="inlineStr">
        <is>
          <t>Secondary: commission records; no monthly turnover register for this period</t>
        </is>
      </c>
      <c r="M795" s="15" t="inlineStr">
        <is>
          <t>BAAY PROJECTS SALES EXPENSES (COMMISSION) RECORDS (1)</t>
        </is>
      </c>
      <c r="N795" s="15" t="inlineStr">
        <is>
          <t>LANDNEST HOMES</t>
        </is>
      </c>
      <c r="O795" s="15" t="n">
        <v>19</v>
      </c>
      <c r="P795" s="15" t="inlineStr">
        <is>
          <t>16/09/2025</t>
        </is>
      </c>
      <c r="Q795" s="15" t="n"/>
      <c r="R795" s="15" t="inlineStr">
        <is>
          <t>Commission-record amount: confirm to bank statement (records can aggregate several transfers)</t>
        </is>
      </c>
    </row>
    <row r="796">
      <c r="A796" s="15" t="inlineStr">
        <is>
          <t>SL0792</t>
        </is>
      </c>
      <c r="B796" s="16" t="n">
        <v>45918</v>
      </c>
      <c r="C796" s="15" t="inlineStr">
        <is>
          <t>2025-09</t>
        </is>
      </c>
      <c r="D796" s="15" t="n">
        <v>2025</v>
      </c>
      <c r="E796" s="15" t="inlineStr">
        <is>
          <t>Housing</t>
        </is>
      </c>
      <c r="F796" s="15" t="inlineStr">
        <is>
          <t>Plot / unit price</t>
        </is>
      </c>
      <c r="G796" s="15" t="inlineStr">
        <is>
          <t>Baay Foreshore</t>
        </is>
      </c>
      <c r="H796" s="15" t="inlineStr">
        <is>
          <t>BP-C0202</t>
        </is>
      </c>
      <c r="I796" s="15" t="inlineStr">
        <is>
          <t>Miss Yesher Yakubu &amp; Miss Hadassah Yakubu</t>
        </is>
      </c>
      <c r="J796" s="17" t="n">
        <v>30900000</v>
      </c>
      <c r="K796" s="15" t="n"/>
      <c r="L796" s="15" t="inlineStr">
        <is>
          <t>Secondary: commission records; no monthly turnover register for this period</t>
        </is>
      </c>
      <c r="M796" s="15" t="inlineStr">
        <is>
          <t>BAAY PROJECTS SALES EXPENSES (COMMISSION) RECORDS (1)</t>
        </is>
      </c>
      <c r="N796" s="15" t="inlineStr">
        <is>
          <t>MS MOFFAT</t>
        </is>
      </c>
      <c r="O796" s="15" t="n">
        <v>78</v>
      </c>
      <c r="P796" s="15" t="inlineStr">
        <is>
          <t>18/09/2025</t>
        </is>
      </c>
      <c r="Q796" s="15" t="n"/>
      <c r="R796" s="15" t="inlineStr">
        <is>
          <t>Commission-record amount: confirm to bank statement (records can aggregate several transfers)</t>
        </is>
      </c>
    </row>
    <row r="797">
      <c r="A797" s="15" t="inlineStr">
        <is>
          <t>SL0793</t>
        </is>
      </c>
      <c r="B797" s="16" t="n">
        <v>45918</v>
      </c>
      <c r="C797" s="15" t="inlineStr">
        <is>
          <t>2025-09</t>
        </is>
      </c>
      <c r="D797" s="15" t="n">
        <v>2025</v>
      </c>
      <c r="E797" s="15" t="inlineStr">
        <is>
          <t>Housing</t>
        </is>
      </c>
      <c r="F797" s="15" t="inlineStr">
        <is>
          <t>Plot / unit price</t>
        </is>
      </c>
      <c r="G797" s="15" t="inlineStr">
        <is>
          <t>Baay Foreshore</t>
        </is>
      </c>
      <c r="H797" s="15" t="inlineStr">
        <is>
          <t>BP-C0214</t>
        </is>
      </c>
      <c r="I797" s="15" t="inlineStr">
        <is>
          <t>Mrs Taiwo Adeyinka</t>
        </is>
      </c>
      <c r="J797" s="17" t="n">
        <v>2500000</v>
      </c>
      <c r="K797" s="15" t="n"/>
      <c r="L797" s="15" t="inlineStr">
        <is>
          <t>Secondary: commission records; no monthly turnover register for this period</t>
        </is>
      </c>
      <c r="M797" s="15" t="inlineStr">
        <is>
          <t>BAAY PROJECTS SALES EXPENSES (COMMISSION) RECORDS (1)</t>
        </is>
      </c>
      <c r="N797" s="15" t="inlineStr">
        <is>
          <t>MS BOLANLE</t>
        </is>
      </c>
      <c r="O797" s="15" t="n">
        <v>171</v>
      </c>
      <c r="P797" s="15" t="inlineStr">
        <is>
          <t>18/09/2025</t>
        </is>
      </c>
      <c r="Q797" s="15" t="n"/>
      <c r="R797" s="15" t="inlineStr">
        <is>
          <t>Commission-record amount: confirm to bank statement (records can aggregate several transfers)</t>
        </is>
      </c>
    </row>
    <row r="798">
      <c r="A798" s="15" t="inlineStr">
        <is>
          <t>SL0794</t>
        </is>
      </c>
      <c r="B798" s="16" t="n">
        <v>45924</v>
      </c>
      <c r="C798" s="15" t="inlineStr">
        <is>
          <t>2025-09</t>
        </is>
      </c>
      <c r="D798" s="15" t="n">
        <v>2025</v>
      </c>
      <c r="E798" s="15" t="inlineStr">
        <is>
          <t>Housing</t>
        </is>
      </c>
      <c r="F798" s="15" t="inlineStr">
        <is>
          <t>Plot / unit price</t>
        </is>
      </c>
      <c r="G798" s="15" t="inlineStr">
        <is>
          <t>Pacific Apartment</t>
        </is>
      </c>
      <c r="H798" s="15" t="inlineStr">
        <is>
          <t>BP-C0160</t>
        </is>
      </c>
      <c r="I798" s="15" t="inlineStr">
        <is>
          <t>Mr Okenla Olugboyega Gabriel</t>
        </is>
      </c>
      <c r="J798" s="17" t="n">
        <v>5000000</v>
      </c>
      <c r="K798" s="15" t="n"/>
      <c r="L798" s="15" t="inlineStr">
        <is>
          <t>Secondary: commission records; no monthly turnover register for this period</t>
        </is>
      </c>
      <c r="M798" s="15" t="inlineStr">
        <is>
          <t>BAAY PROJECTS SALES EXPENSES (COMMISSION) RECORDS (1)</t>
        </is>
      </c>
      <c r="N798" s="15" t="inlineStr">
        <is>
          <t>MS MOFFAT</t>
        </is>
      </c>
      <c r="O798" s="15" t="n">
        <v>79</v>
      </c>
      <c r="P798" s="15" t="inlineStr">
        <is>
          <t>24/09/2025</t>
        </is>
      </c>
      <c r="Q798" s="15" t="n"/>
      <c r="R798" s="15" t="inlineStr">
        <is>
          <t>Commission-record amount: confirm to bank statement (records can aggregate several transfers)</t>
        </is>
      </c>
    </row>
    <row r="799">
      <c r="A799" s="15" t="inlineStr">
        <is>
          <t>SL0795</t>
        </is>
      </c>
      <c r="B799" s="16" t="n">
        <v>45925</v>
      </c>
      <c r="C799" s="15" t="inlineStr">
        <is>
          <t>2025-09</t>
        </is>
      </c>
      <c r="D799" s="15" t="n">
        <v>2025</v>
      </c>
      <c r="E799" s="15" t="inlineStr">
        <is>
          <t>Housing</t>
        </is>
      </c>
      <c r="F799" s="15" t="inlineStr">
        <is>
          <t>Plot / unit price</t>
        </is>
      </c>
      <c r="G799" s="15" t="inlineStr">
        <is>
          <t>Housing unit (project not stated in source)</t>
        </is>
      </c>
      <c r="H799" s="15" t="inlineStr">
        <is>
          <t>BP-C0133</t>
        </is>
      </c>
      <c r="I799" s="15" t="inlineStr">
        <is>
          <t>Mr Olagbende Oluwashina Oluwaseun</t>
        </is>
      </c>
      <c r="J799" s="17" t="n">
        <v>3400000</v>
      </c>
      <c r="K799" s="15" t="n"/>
      <c r="L799" s="15" t="inlineStr">
        <is>
          <t>Secondary: commission records; no monthly turnover register for this period</t>
        </is>
      </c>
      <c r="M799" s="15" t="inlineStr">
        <is>
          <t>BAAY PROJECTS SALES EXPENSES (COMMISSION) RECORDS (1)</t>
        </is>
      </c>
      <c r="N799" s="15" t="inlineStr">
        <is>
          <t>MS AWONORIN MAYOWA</t>
        </is>
      </c>
      <c r="O799" s="15" t="n">
        <v>98</v>
      </c>
      <c r="P799" s="15" t="inlineStr">
        <is>
          <t>25/09/2025</t>
        </is>
      </c>
      <c r="Q799" s="15" t="n"/>
      <c r="R799" s="15" t="inlineStr">
        <is>
          <t>Commission-record amount: confirm to bank statement (records can aggregate several transfers)</t>
        </is>
      </c>
    </row>
    <row r="800">
      <c r="A800" s="15" t="inlineStr">
        <is>
          <t>SL0796</t>
        </is>
      </c>
      <c r="B800" s="16" t="n">
        <v>45925</v>
      </c>
      <c r="C800" s="15" t="inlineStr">
        <is>
          <t>2025-09</t>
        </is>
      </c>
      <c r="D800" s="15" t="n">
        <v>2025</v>
      </c>
      <c r="E800" s="15" t="inlineStr">
        <is>
          <t>Housing</t>
        </is>
      </c>
      <c r="F800" s="15" t="inlineStr">
        <is>
          <t>Plot / unit price</t>
        </is>
      </c>
      <c r="G800" s="15" t="inlineStr">
        <is>
          <t>Housing unit (project not stated in source)</t>
        </is>
      </c>
      <c r="H800" s="15" t="inlineStr">
        <is>
          <t>BP-C0133</t>
        </is>
      </c>
      <c r="I800" s="15" t="inlineStr">
        <is>
          <t>Mr Olagbende Oluwashina Oluwaseun</t>
        </is>
      </c>
      <c r="J800" s="17" t="n">
        <v>2400000</v>
      </c>
      <c r="K800" s="15" t="n"/>
      <c r="L800" s="15" t="inlineStr">
        <is>
          <t>Secondary: commission records; no monthly turnover register for this period</t>
        </is>
      </c>
      <c r="M800" s="15" t="inlineStr">
        <is>
          <t>BAAY PROJECTS SALES EXPENSES (COMMISSION) RECORDS (1)</t>
        </is>
      </c>
      <c r="N800" s="15" t="inlineStr">
        <is>
          <t>MS AWONORIN MAYOWA</t>
        </is>
      </c>
      <c r="O800" s="15" t="n">
        <v>99</v>
      </c>
      <c r="P800" s="15" t="inlineStr">
        <is>
          <t>25/09/2025</t>
        </is>
      </c>
      <c r="Q800" s="15" t="n"/>
      <c r="R800" s="15" t="inlineStr">
        <is>
          <t>Commission-record amount: confirm to bank statement (records can aggregate several transfers)</t>
        </is>
      </c>
    </row>
    <row r="801">
      <c r="A801" s="15" t="inlineStr">
        <is>
          <t>SL0797</t>
        </is>
      </c>
      <c r="B801" s="16" t="n">
        <v>45926</v>
      </c>
      <c r="C801" s="15" t="inlineStr">
        <is>
          <t>2025-09</t>
        </is>
      </c>
      <c r="D801" s="15" t="n">
        <v>2025</v>
      </c>
      <c r="E801" s="15" t="inlineStr">
        <is>
          <t>Housing</t>
        </is>
      </c>
      <c r="F801" s="15" t="inlineStr">
        <is>
          <t>Plot / unit price</t>
        </is>
      </c>
      <c r="G801" s="15" t="inlineStr">
        <is>
          <t>Baay Foreshore</t>
        </is>
      </c>
      <c r="H801" s="15" t="inlineStr">
        <is>
          <t>BP-C0213</t>
        </is>
      </c>
      <c r="I801" s="15" t="inlineStr">
        <is>
          <t>Mr Adelani Ibrahim Akinkunmi</t>
        </is>
      </c>
      <c r="J801" s="17" t="n">
        <v>2500000</v>
      </c>
      <c r="K801" s="15" t="n"/>
      <c r="L801" s="15" t="inlineStr">
        <is>
          <t>Secondary: commission records; no monthly turnover register for this period</t>
        </is>
      </c>
      <c r="M801" s="15" t="inlineStr">
        <is>
          <t>BAAY PROJECTS SALES EXPENSES (COMMISSION) RECORDS (1)</t>
        </is>
      </c>
      <c r="N801" s="15" t="inlineStr">
        <is>
          <t>MS BOLANLE</t>
        </is>
      </c>
      <c r="O801" s="15" t="n">
        <v>168</v>
      </c>
      <c r="P801" s="15" t="inlineStr">
        <is>
          <t>26/09/2025</t>
        </is>
      </c>
      <c r="Q801" s="15" t="n"/>
      <c r="R801" s="15" t="inlineStr">
        <is>
          <t>Commission-record amount: confirm to bank statement (records can aggregate several transfers)</t>
        </is>
      </c>
    </row>
    <row r="802">
      <c r="A802" s="15" t="inlineStr">
        <is>
          <t>SL0798</t>
        </is>
      </c>
      <c r="B802" s="16" t="n">
        <v>45929</v>
      </c>
      <c r="C802" s="15" t="inlineStr">
        <is>
          <t>2025-09</t>
        </is>
      </c>
      <c r="D802" s="15" t="n">
        <v>2025</v>
      </c>
      <c r="E802" s="15" t="inlineStr">
        <is>
          <t>Land</t>
        </is>
      </c>
      <c r="F802" s="15" t="inlineStr">
        <is>
          <t>Plot / unit price</t>
        </is>
      </c>
      <c r="G802" s="15" t="inlineStr">
        <is>
          <t>Land (estate not stated in source)</t>
        </is>
      </c>
      <c r="H802" s="15" t="inlineStr">
        <is>
          <t>BP-C0196</t>
        </is>
      </c>
      <c r="I802" s="15" t="inlineStr">
        <is>
          <t>Mr Ikechukwu Godson Agbim</t>
        </is>
      </c>
      <c r="J802" s="17" t="n">
        <v>1000000</v>
      </c>
      <c r="K802" s="15" t="n"/>
      <c r="L802" s="15" t="inlineStr">
        <is>
          <t>Secondary: commission records; no monthly turnover register for this period</t>
        </is>
      </c>
      <c r="M802" s="15" t="inlineStr">
        <is>
          <t>BAAY PROJECTS SALES EXPENSES (COMMISSION) RECORDS (1)</t>
        </is>
      </c>
      <c r="N802" s="15" t="inlineStr">
        <is>
          <t>MRS ABIMBOLA</t>
        </is>
      </c>
      <c r="O802" s="15" t="n">
        <v>236</v>
      </c>
      <c r="P802" s="15" t="inlineStr">
        <is>
          <t>29/09/2025</t>
        </is>
      </c>
      <c r="Q802" s="15" t="n"/>
      <c r="R802" s="15" t="inlineStr">
        <is>
          <t>Commission-record amount: confirm to bank statement (records can aggregate several transfers)</t>
        </is>
      </c>
    </row>
    <row r="803">
      <c r="A803" s="15" t="inlineStr">
        <is>
          <t>SL0799</t>
        </is>
      </c>
      <c r="B803" s="16" t="n">
        <v>45933</v>
      </c>
      <c r="C803" s="15" t="inlineStr">
        <is>
          <t>2025-10</t>
        </is>
      </c>
      <c r="D803" s="15" t="n">
        <v>2025</v>
      </c>
      <c r="E803" s="15" t="inlineStr">
        <is>
          <t>Land</t>
        </is>
      </c>
      <c r="F803" s="15" t="inlineStr">
        <is>
          <t>Plot / unit price</t>
        </is>
      </c>
      <c r="G803" s="15" t="inlineStr">
        <is>
          <t>Land (estate not stated in source)</t>
        </is>
      </c>
      <c r="H803" s="15" t="inlineStr">
        <is>
          <t>BP-C0216</t>
        </is>
      </c>
      <c r="I803" s="15" t="inlineStr">
        <is>
          <t>Mrs Oluwagbemiro Olajumoke Oluwakemi</t>
        </is>
      </c>
      <c r="J803" s="17" t="n">
        <v>2500000</v>
      </c>
      <c r="K803" s="15" t="n"/>
      <c r="L803" s="15" t="inlineStr">
        <is>
          <t>Secondary: commission records; no monthly turnover register for this period</t>
        </is>
      </c>
      <c r="M803" s="15" t="inlineStr">
        <is>
          <t>BAAY PROJECTS SALES EXPENSES (COMMISSION) RECORDS (1)</t>
        </is>
      </c>
      <c r="N803" s="15" t="inlineStr">
        <is>
          <t>MS TOBI AJAYI</t>
        </is>
      </c>
      <c r="O803" s="15" t="n">
        <v>84</v>
      </c>
      <c r="P803" s="15" t="inlineStr">
        <is>
          <t>2025-03-10</t>
        </is>
      </c>
      <c r="Q803" s="15" t="n"/>
      <c r="R803" s="15" t="inlineStr">
        <is>
          <t>Commission-record amount: confirm to bank statement (records can aggregate several transfers)</t>
        </is>
      </c>
    </row>
    <row r="804">
      <c r="A804" s="15" t="inlineStr">
        <is>
          <t>SL0800</t>
        </is>
      </c>
      <c r="B804" s="16" t="n">
        <v>45935</v>
      </c>
      <c r="C804" s="15" t="inlineStr">
        <is>
          <t>2025-10</t>
        </is>
      </c>
      <c r="D804" s="15" t="n">
        <v>2025</v>
      </c>
      <c r="E804" s="15" t="inlineStr">
        <is>
          <t>Housing</t>
        </is>
      </c>
      <c r="F804" s="15" t="inlineStr">
        <is>
          <t>Plot / unit price</t>
        </is>
      </c>
      <c r="G804" s="15" t="inlineStr">
        <is>
          <t>Pacific Apartment</t>
        </is>
      </c>
      <c r="H804" s="15" t="inlineStr">
        <is>
          <t>BP-C0192</t>
        </is>
      </c>
      <c r="I804" s="15" t="inlineStr">
        <is>
          <t>Dr Esangbedo Wilson</t>
        </is>
      </c>
      <c r="J804" s="17" t="n">
        <v>3000000</v>
      </c>
      <c r="K804" s="15" t="n"/>
      <c r="L804" s="15" t="inlineStr">
        <is>
          <t>Secondary: commission records; no monthly turnover register for this period</t>
        </is>
      </c>
      <c r="M804" s="15" t="inlineStr">
        <is>
          <t>BAAY PROJECTS SALES EXPENSES (COMMISSION) RECORDS (1)</t>
        </is>
      </c>
      <c r="N804" s="15" t="inlineStr">
        <is>
          <t>MS MOFFAT</t>
        </is>
      </c>
      <c r="O804" s="15" t="n">
        <v>86</v>
      </c>
      <c r="P804" s="15" t="inlineStr">
        <is>
          <t>2025-05-10</t>
        </is>
      </c>
      <c r="Q804" s="15" t="n"/>
      <c r="R804" s="15" t="inlineStr">
        <is>
          <t>Commission-record amount: confirm to bank statement (records can aggregate several transfers)</t>
        </is>
      </c>
    </row>
    <row r="805">
      <c r="A805" s="15" t="inlineStr">
        <is>
          <t>SL0801</t>
        </is>
      </c>
      <c r="B805" s="16" t="n">
        <v>45935</v>
      </c>
      <c r="C805" s="15" t="inlineStr">
        <is>
          <t>2025-10</t>
        </is>
      </c>
      <c r="D805" s="15" t="n">
        <v>2025</v>
      </c>
      <c r="E805" s="15" t="inlineStr">
        <is>
          <t>Housing</t>
        </is>
      </c>
      <c r="F805" s="15" t="inlineStr">
        <is>
          <t>Plot / unit price</t>
        </is>
      </c>
      <c r="G805" s="15" t="inlineStr">
        <is>
          <t>Baay Foreshore</t>
        </is>
      </c>
      <c r="H805" s="15" t="inlineStr">
        <is>
          <t>BP-C0214</t>
        </is>
      </c>
      <c r="I805" s="15" t="inlineStr">
        <is>
          <t>Mrs Taiwo Adeyinka</t>
        </is>
      </c>
      <c r="J805" s="17" t="n">
        <v>5000000</v>
      </c>
      <c r="K805" s="15" t="n"/>
      <c r="L805" s="15" t="inlineStr">
        <is>
          <t>Secondary: commission records; no monthly turnover register for this period</t>
        </is>
      </c>
      <c r="M805" s="15" t="inlineStr">
        <is>
          <t>BAAY PROJECTS SALES EXPENSES (COMMISSION) RECORDS (1)</t>
        </is>
      </c>
      <c r="N805" s="15" t="inlineStr">
        <is>
          <t>MS BOLANLE</t>
        </is>
      </c>
      <c r="O805" s="15" t="n">
        <v>172</v>
      </c>
      <c r="P805" s="15" t="inlineStr">
        <is>
          <t>2025-05-10</t>
        </is>
      </c>
      <c r="Q805" s="15" t="n"/>
      <c r="R805" s="15" t="inlineStr">
        <is>
          <t>Commission-record amount: confirm to bank statement (records can aggregate several transfers)</t>
        </is>
      </c>
    </row>
    <row r="806">
      <c r="A806" s="15" t="inlineStr">
        <is>
          <t>SL0802</t>
        </is>
      </c>
      <c r="B806" s="16" t="n">
        <v>45936</v>
      </c>
      <c r="C806" s="15" t="inlineStr">
        <is>
          <t>2025-10</t>
        </is>
      </c>
      <c r="D806" s="15" t="n">
        <v>2025</v>
      </c>
      <c r="E806" s="15" t="inlineStr">
        <is>
          <t>Housing</t>
        </is>
      </c>
      <c r="F806" s="15" t="inlineStr">
        <is>
          <t>Plot / unit price</t>
        </is>
      </c>
      <c r="G806" s="15" t="inlineStr">
        <is>
          <t>Baay Foreshore</t>
        </is>
      </c>
      <c r="H806" s="15" t="inlineStr">
        <is>
          <t>BP-C0055</t>
        </is>
      </c>
      <c r="I806" s="15" t="inlineStr">
        <is>
          <t>Mr Adeniji Oluwatosin Ademola</t>
        </is>
      </c>
      <c r="J806" s="17" t="n">
        <v>2500000</v>
      </c>
      <c r="K806" s="15" t="n"/>
      <c r="L806" s="15" t="inlineStr">
        <is>
          <t>Secondary: commission records; no monthly turnover register for this period</t>
        </is>
      </c>
      <c r="M806" s="15" t="inlineStr">
        <is>
          <t>BAAY PROJECTS SALES EXPENSES (COMMISSION) RECORDS (1)</t>
        </is>
      </c>
      <c r="N806" s="15" t="inlineStr">
        <is>
          <t>MS BOLANLE</t>
        </is>
      </c>
      <c r="O806" s="15" t="n">
        <v>185</v>
      </c>
      <c r="P806" s="15" t="inlineStr">
        <is>
          <t>2025-06-10</t>
        </is>
      </c>
      <c r="Q806" s="15" t="n"/>
      <c r="R806" s="15" t="inlineStr">
        <is>
          <t>Commission-record amount: confirm to bank statement (records can aggregate several transfers)</t>
        </is>
      </c>
    </row>
    <row r="807">
      <c r="A807" s="15" t="inlineStr">
        <is>
          <t>SL0803</t>
        </is>
      </c>
      <c r="B807" s="16" t="n">
        <v>45943</v>
      </c>
      <c r="C807" s="15" t="inlineStr">
        <is>
          <t>2025-10</t>
        </is>
      </c>
      <c r="D807" s="15" t="n">
        <v>2025</v>
      </c>
      <c r="E807" s="15" t="inlineStr">
        <is>
          <t>Housing</t>
        </is>
      </c>
      <c r="F807" s="15" t="inlineStr">
        <is>
          <t>Plot / unit price</t>
        </is>
      </c>
      <c r="G807" s="15" t="inlineStr">
        <is>
          <t>Pacific Apartment</t>
        </is>
      </c>
      <c r="H807" s="15" t="inlineStr">
        <is>
          <t>BP-C0203</t>
        </is>
      </c>
      <c r="I807" s="15" t="inlineStr">
        <is>
          <t>Mr Ogbomah Ebi Wilfred</t>
        </is>
      </c>
      <c r="J807" s="17" t="n">
        <v>30900000</v>
      </c>
      <c r="K807" s="15" t="n"/>
      <c r="L807" s="15" t="inlineStr">
        <is>
          <t>Secondary: commission records; no monthly turnover register for this period</t>
        </is>
      </c>
      <c r="M807" s="15" t="inlineStr">
        <is>
          <t>BAAY PROJECTS SALES EXPENSES (COMMISSION) RECORDS (1)</t>
        </is>
      </c>
      <c r="N807" s="15" t="inlineStr">
        <is>
          <t>MS MOFFAT</t>
        </is>
      </c>
      <c r="O807" s="15" t="n">
        <v>52</v>
      </c>
      <c r="P807" s="15" t="inlineStr">
        <is>
          <t>13/10/2025</t>
        </is>
      </c>
      <c r="Q807" s="15" t="n"/>
      <c r="R807" s="15" t="inlineStr">
        <is>
          <t>Commission-record amount: confirm to bank statement (records can aggregate several transfers)</t>
        </is>
      </c>
    </row>
    <row r="808">
      <c r="A808" s="15" t="inlineStr">
        <is>
          <t>SL0804</t>
        </is>
      </c>
      <c r="B808" s="16" t="n">
        <v>45952</v>
      </c>
      <c r="C808" s="15" t="inlineStr">
        <is>
          <t>2025-10</t>
        </is>
      </c>
      <c r="D808" s="15" t="n">
        <v>2025</v>
      </c>
      <c r="E808" s="15" t="inlineStr">
        <is>
          <t>Housing</t>
        </is>
      </c>
      <c r="F808" s="15" t="inlineStr">
        <is>
          <t>Plot / unit price</t>
        </is>
      </c>
      <c r="G808" s="15" t="inlineStr">
        <is>
          <t>Baay Foreshore</t>
        </is>
      </c>
      <c r="H808" s="15" t="inlineStr">
        <is>
          <t>BP-C0213</t>
        </is>
      </c>
      <c r="I808" s="15" t="inlineStr">
        <is>
          <t>Mr Adelani Ibrahim Akinkunmi</t>
        </is>
      </c>
      <c r="J808" s="17" t="n">
        <v>2500000</v>
      </c>
      <c r="K808" s="15" t="n"/>
      <c r="L808" s="15" t="inlineStr">
        <is>
          <t>Secondary: commission records; no monthly turnover register for this period</t>
        </is>
      </c>
      <c r="M808" s="15" t="inlineStr">
        <is>
          <t>BAAY PROJECTS SALES EXPENSES (COMMISSION) RECORDS (1)</t>
        </is>
      </c>
      <c r="N808" s="15" t="inlineStr">
        <is>
          <t>MS BOLANLE</t>
        </is>
      </c>
      <c r="O808" s="15" t="n">
        <v>173</v>
      </c>
      <c r="P808" s="15" t="inlineStr">
        <is>
          <t>22/10/2025</t>
        </is>
      </c>
      <c r="Q808" s="15" t="n"/>
      <c r="R808" s="15" t="inlineStr">
        <is>
          <t>Commission-record amount: confirm to bank statement (records can aggregate several transfers)</t>
        </is>
      </c>
    </row>
    <row r="809">
      <c r="A809" s="15" t="inlineStr">
        <is>
          <t>SL0805</t>
        </is>
      </c>
      <c r="B809" s="16" t="n">
        <v>45953</v>
      </c>
      <c r="C809" s="15" t="inlineStr">
        <is>
          <t>2025-10</t>
        </is>
      </c>
      <c r="D809" s="15" t="n">
        <v>2025</v>
      </c>
      <c r="E809" s="15" t="inlineStr">
        <is>
          <t>Housing</t>
        </is>
      </c>
      <c r="F809" s="15" t="inlineStr">
        <is>
          <t>Plot / unit price</t>
        </is>
      </c>
      <c r="G809" s="15" t="inlineStr">
        <is>
          <t>Pacific Apartment</t>
        </is>
      </c>
      <c r="H809" s="15" t="inlineStr">
        <is>
          <t>BP-C0202</t>
        </is>
      </c>
      <c r="I809" s="15" t="inlineStr">
        <is>
          <t>Miss Yesher Yakubu &amp; Miss Hadassah Yakubu</t>
        </is>
      </c>
      <c r="J809" s="17" t="n">
        <v>5000000</v>
      </c>
      <c r="K809" s="15" t="n"/>
      <c r="L809" s="15" t="inlineStr">
        <is>
          <t>Secondary: commission records; no monthly turnover register for this period</t>
        </is>
      </c>
      <c r="M809" s="15" t="inlineStr">
        <is>
          <t>BAAY PROJECTS SALES EXPENSES (COMMISSION) RECORDS (1)</t>
        </is>
      </c>
      <c r="N809" s="15" t="inlineStr">
        <is>
          <t>MS MOFFAT</t>
        </is>
      </c>
      <c r="O809" s="15" t="n">
        <v>87</v>
      </c>
      <c r="P809" s="15" t="inlineStr">
        <is>
          <t>23/10/2025</t>
        </is>
      </c>
      <c r="Q809" s="15" t="n"/>
      <c r="R809" s="15" t="inlineStr">
        <is>
          <t>Commission-record amount: confirm to bank statement (records can aggregate several transfers)</t>
        </is>
      </c>
    </row>
    <row r="810">
      <c r="A810" s="15" t="inlineStr">
        <is>
          <t>SL0806</t>
        </is>
      </c>
      <c r="B810" s="16" t="n">
        <v>45953</v>
      </c>
      <c r="C810" s="15" t="inlineStr">
        <is>
          <t>2025-10</t>
        </is>
      </c>
      <c r="D810" s="15" t="n">
        <v>2025</v>
      </c>
      <c r="E810" s="15" t="inlineStr">
        <is>
          <t>Housing</t>
        </is>
      </c>
      <c r="F810" s="15" t="inlineStr">
        <is>
          <t>Plot / unit price</t>
        </is>
      </c>
      <c r="G810" s="15" t="inlineStr">
        <is>
          <t>Housing unit (project not stated in source)</t>
        </is>
      </c>
      <c r="H810" s="15" t="inlineStr">
        <is>
          <t>BP-C0133</t>
        </is>
      </c>
      <c r="I810" s="15" t="inlineStr">
        <is>
          <t>Mr Olagbende Oluwashina Oluwaseun</t>
        </is>
      </c>
      <c r="J810" s="17" t="n">
        <v>3900000</v>
      </c>
      <c r="K810" s="15" t="n"/>
      <c r="L810" s="15" t="inlineStr">
        <is>
          <t>Secondary: commission records; no monthly turnover register for this period</t>
        </is>
      </c>
      <c r="M810" s="15" t="inlineStr">
        <is>
          <t>BAAY PROJECTS SALES EXPENSES (COMMISSION) RECORDS (1)</t>
        </is>
      </c>
      <c r="N810" s="15" t="inlineStr">
        <is>
          <t>MS AWONORIN MAYOWA</t>
        </is>
      </c>
      <c r="O810" s="15" t="n">
        <v>105</v>
      </c>
      <c r="P810" s="15" t="inlineStr">
        <is>
          <t>23/10/2025</t>
        </is>
      </c>
      <c r="Q810" s="15" t="n"/>
      <c r="R810" s="15" t="inlineStr">
        <is>
          <t>Commission-record amount: confirm to bank statement (records can aggregate several transfers)</t>
        </is>
      </c>
    </row>
    <row r="811">
      <c r="A811" s="15" t="inlineStr">
        <is>
          <t>SL0807</t>
        </is>
      </c>
      <c r="B811" s="16" t="n">
        <v>45954</v>
      </c>
      <c r="C811" s="15" t="inlineStr">
        <is>
          <t>2025-10</t>
        </is>
      </c>
      <c r="D811" s="15" t="n">
        <v>2025</v>
      </c>
      <c r="E811" s="15" t="inlineStr">
        <is>
          <t>Housing</t>
        </is>
      </c>
      <c r="F811" s="15" t="inlineStr">
        <is>
          <t>Plot / unit price</t>
        </is>
      </c>
      <c r="G811" s="15" t="inlineStr">
        <is>
          <t>Pacific Apartment</t>
        </is>
      </c>
      <c r="H811" s="15" t="inlineStr">
        <is>
          <t>BP-C0202</t>
        </is>
      </c>
      <c r="I811" s="15" t="inlineStr">
        <is>
          <t>Miss Yesher Yakubu &amp; Miss Hadassah Yakubu</t>
        </is>
      </c>
      <c r="J811" s="17" t="n">
        <v>5000000</v>
      </c>
      <c r="K811" s="15" t="n"/>
      <c r="L811" s="15" t="inlineStr">
        <is>
          <t>Secondary: commission records; no monthly turnover register for this period</t>
        </is>
      </c>
      <c r="M811" s="15" t="inlineStr">
        <is>
          <t>BAAY PROJECTS SALES EXPENSES (COMMISSION) RECORDS (1)</t>
        </is>
      </c>
      <c r="N811" s="15" t="inlineStr">
        <is>
          <t>MS MOFFAT</t>
        </is>
      </c>
      <c r="O811" s="15" t="n">
        <v>88</v>
      </c>
      <c r="P811" s="15" t="inlineStr">
        <is>
          <t>24/10/2025</t>
        </is>
      </c>
      <c r="Q811" s="15" t="n"/>
      <c r="R811" s="15" t="inlineStr">
        <is>
          <t>Commission-record amount: confirm to bank statement (records can aggregate several transfers)</t>
        </is>
      </c>
    </row>
    <row r="812">
      <c r="A812" s="15" t="inlineStr">
        <is>
          <t>SL0808</t>
        </is>
      </c>
      <c r="B812" s="16" t="n">
        <v>45958</v>
      </c>
      <c r="C812" s="15" t="inlineStr">
        <is>
          <t>2025-10</t>
        </is>
      </c>
      <c r="D812" s="15" t="n">
        <v>2025</v>
      </c>
      <c r="E812" s="15" t="inlineStr">
        <is>
          <t>Housing</t>
        </is>
      </c>
      <c r="F812" s="15" t="inlineStr">
        <is>
          <t>Plot / unit price</t>
        </is>
      </c>
      <c r="G812" s="15" t="inlineStr">
        <is>
          <t>Housing unit (project not stated in source)</t>
        </is>
      </c>
      <c r="H812" s="15" t="inlineStr">
        <is>
          <t>BP-C0133</t>
        </is>
      </c>
      <c r="I812" s="15" t="inlineStr">
        <is>
          <t>Mr Olagbende Oluwashina Oluwaseun</t>
        </is>
      </c>
      <c r="J812" s="17" t="n">
        <v>2000000</v>
      </c>
      <c r="K812" s="15" t="n"/>
      <c r="L812" s="15" t="inlineStr">
        <is>
          <t>Secondary: commission records; no monthly turnover register for this period</t>
        </is>
      </c>
      <c r="M812" s="15" t="inlineStr">
        <is>
          <t>BAAY PROJECTS SALES EXPENSES (COMMISSION) RECORDS (1)</t>
        </is>
      </c>
      <c r="N812" s="15" t="inlineStr">
        <is>
          <t>MS AWONORIN MAYOWA</t>
        </is>
      </c>
      <c r="O812" s="15" t="n">
        <v>106</v>
      </c>
      <c r="P812" s="15" t="inlineStr">
        <is>
          <t>28/10/2025</t>
        </is>
      </c>
      <c r="Q812" s="15" t="n"/>
      <c r="R812" s="15" t="inlineStr">
        <is>
          <t>Commission-record amount: confirm to bank statement (records can aggregate several transfers)</t>
        </is>
      </c>
    </row>
    <row r="813">
      <c r="A813" s="15" t="inlineStr">
        <is>
          <t>SL0809</t>
        </is>
      </c>
      <c r="B813" s="16" t="n">
        <v>45960</v>
      </c>
      <c r="C813" s="15" t="inlineStr">
        <is>
          <t>2025-10</t>
        </is>
      </c>
      <c r="D813" s="15" t="n">
        <v>2025</v>
      </c>
      <c r="E813" s="15" t="inlineStr">
        <is>
          <t>Housing</t>
        </is>
      </c>
      <c r="F813" s="15" t="inlineStr">
        <is>
          <t>Plot / unit price</t>
        </is>
      </c>
      <c r="G813" s="15" t="inlineStr">
        <is>
          <t>Pacific Apartment</t>
        </is>
      </c>
      <c r="H813" s="15" t="inlineStr">
        <is>
          <t>BP-C0202</t>
        </is>
      </c>
      <c r="I813" s="15" t="inlineStr">
        <is>
          <t>Miss Yesher Yakubu &amp; Miss Hadassah Yakubu</t>
        </is>
      </c>
      <c r="J813" s="17" t="n">
        <v>19000000</v>
      </c>
      <c r="K813" s="15" t="n"/>
      <c r="L813" s="15" t="inlineStr">
        <is>
          <t>Secondary: commission records; no monthly turnover register for this period</t>
        </is>
      </c>
      <c r="M813" s="15" t="inlineStr">
        <is>
          <t>BAAY PROJECTS SALES EXPENSES (COMMISSION) RECORDS (1)</t>
        </is>
      </c>
      <c r="N813" s="15" t="inlineStr">
        <is>
          <t>MS MOFFAT</t>
        </is>
      </c>
      <c r="O813" s="15" t="n">
        <v>89</v>
      </c>
      <c r="P813" s="15" t="inlineStr">
        <is>
          <t>30/10/2025</t>
        </is>
      </c>
      <c r="Q813" s="15" t="n"/>
      <c r="R813" s="15" t="inlineStr">
        <is>
          <t>Commission-record amount: confirm to bank statement (records can aggregate several transfers)</t>
        </is>
      </c>
    </row>
    <row r="814">
      <c r="A814" s="15" t="inlineStr">
        <is>
          <t>SL0810</t>
        </is>
      </c>
      <c r="B814" s="16" t="n">
        <v>45961</v>
      </c>
      <c r="C814" s="15" t="inlineStr">
        <is>
          <t>2025-10</t>
        </is>
      </c>
      <c r="D814" s="15" t="n">
        <v>2025</v>
      </c>
      <c r="E814" s="15" t="inlineStr">
        <is>
          <t>Housing</t>
        </is>
      </c>
      <c r="F814" s="15" t="inlineStr">
        <is>
          <t>Plot / unit price</t>
        </is>
      </c>
      <c r="G814" s="15" t="inlineStr">
        <is>
          <t>Pacific Apartment</t>
        </is>
      </c>
      <c r="H814" s="15" t="inlineStr">
        <is>
          <t>BP-C0203</t>
        </is>
      </c>
      <c r="I814" s="15" t="inlineStr">
        <is>
          <t>Mr Ogbomah Ebi Wilfred</t>
        </is>
      </c>
      <c r="J814" s="17" t="n">
        <v>30700000</v>
      </c>
      <c r="K814" s="15" t="n"/>
      <c r="L814" s="15" t="inlineStr">
        <is>
          <t>Secondary: commission records; no monthly turnover register for this period</t>
        </is>
      </c>
      <c r="M814" s="15" t="inlineStr">
        <is>
          <t>BAAY PROJECTS SALES EXPENSES (COMMISSION) RECORDS (1)</t>
        </is>
      </c>
      <c r="N814" s="15" t="inlineStr">
        <is>
          <t>MS MOFFAT</t>
        </is>
      </c>
      <c r="O814" s="15" t="n">
        <v>53</v>
      </c>
      <c r="P814" s="15" t="inlineStr">
        <is>
          <t>31/10/2025</t>
        </is>
      </c>
      <c r="Q814" s="15" t="n"/>
      <c r="R814" s="15" t="inlineStr">
        <is>
          <t>Commission-record amount: confirm to bank statement (records can aggregate several transfers)</t>
        </is>
      </c>
    </row>
    <row r="815">
      <c r="A815" s="15" t="inlineStr">
        <is>
          <t>SL0811</t>
        </is>
      </c>
      <c r="B815" s="16" t="n">
        <v>45961</v>
      </c>
      <c r="C815" s="15" t="inlineStr">
        <is>
          <t>2025-10</t>
        </is>
      </c>
      <c r="D815" s="15" t="n">
        <v>2025</v>
      </c>
      <c r="E815" s="15" t="inlineStr">
        <is>
          <t>Housing</t>
        </is>
      </c>
      <c r="F815" s="15" t="inlineStr">
        <is>
          <t>Plot / unit price</t>
        </is>
      </c>
      <c r="G815" s="15" t="inlineStr">
        <is>
          <t>Baay Foreshore</t>
        </is>
      </c>
      <c r="H815" s="15" t="inlineStr">
        <is>
          <t>BP-C0214</t>
        </is>
      </c>
      <c r="I815" s="15" t="inlineStr">
        <is>
          <t>Mrs Taiwo Adeyinka</t>
        </is>
      </c>
      <c r="J815" s="17" t="n">
        <v>5000000</v>
      </c>
      <c r="K815" s="15" t="n"/>
      <c r="L815" s="15" t="inlineStr">
        <is>
          <t>Secondary: commission records; no monthly turnover register for this period</t>
        </is>
      </c>
      <c r="M815" s="15" t="inlineStr">
        <is>
          <t>BAAY PROJECTS SALES EXPENSES (COMMISSION) RECORDS (1)</t>
        </is>
      </c>
      <c r="N815" s="15" t="inlineStr">
        <is>
          <t>MS BOLANLE</t>
        </is>
      </c>
      <c r="O815" s="15" t="n">
        <v>174</v>
      </c>
      <c r="P815" s="15" t="inlineStr">
        <is>
          <t>31/10/2025</t>
        </is>
      </c>
      <c r="Q815" s="15" t="n"/>
      <c r="R815" s="15" t="inlineStr">
        <is>
          <t>Commission-record amount: confirm to bank statement (records can aggregate several transfers)</t>
        </is>
      </c>
    </row>
    <row r="816">
      <c r="A816" s="15" t="inlineStr">
        <is>
          <t>SL0812</t>
        </is>
      </c>
      <c r="B816" s="16" t="n">
        <v>45961</v>
      </c>
      <c r="C816" s="15" t="inlineStr">
        <is>
          <t>2025-10</t>
        </is>
      </c>
      <c r="D816" s="15" t="n">
        <v>2025</v>
      </c>
      <c r="E816" s="15" t="inlineStr">
        <is>
          <t>Housing</t>
        </is>
      </c>
      <c r="F816" s="15" t="inlineStr">
        <is>
          <t>Plot / unit price</t>
        </is>
      </c>
      <c r="G816" s="15" t="inlineStr">
        <is>
          <t>Baay Foreshore</t>
        </is>
      </c>
      <c r="H816" s="15" t="inlineStr">
        <is>
          <t>BP-C0214</t>
        </is>
      </c>
      <c r="I816" s="15" t="inlineStr">
        <is>
          <t>Mrs Taiwo Adeyinka</t>
        </is>
      </c>
      <c r="J816" s="17" t="n">
        <v>2500000</v>
      </c>
      <c r="K816" s="15" t="n"/>
      <c r="L816" s="15" t="inlineStr">
        <is>
          <t>Secondary: commission records; no monthly turnover register for this period</t>
        </is>
      </c>
      <c r="M816" s="15" t="inlineStr">
        <is>
          <t>BAAY PROJECTS SALES EXPENSES (COMMISSION) RECORDS (1)</t>
        </is>
      </c>
      <c r="N816" s="15" t="inlineStr">
        <is>
          <t>MS BOLANLE</t>
        </is>
      </c>
      <c r="O816" s="15" t="n">
        <v>224</v>
      </c>
      <c r="P816" s="15" t="inlineStr">
        <is>
          <t>31/10/2025</t>
        </is>
      </c>
      <c r="Q816" s="15" t="n"/>
      <c r="R816" s="15" t="inlineStr">
        <is>
          <t>Commission-record amount: confirm to bank statement (records can aggregate several transfers)</t>
        </is>
      </c>
    </row>
    <row r="817">
      <c r="A817" s="15" t="inlineStr">
        <is>
          <t>SL0813</t>
        </is>
      </c>
      <c r="B817" s="16" t="n">
        <v>45961</v>
      </c>
      <c r="C817" s="15" t="inlineStr">
        <is>
          <t>2025-10</t>
        </is>
      </c>
      <c r="D817" s="15" t="n">
        <v>2025</v>
      </c>
      <c r="E817" s="15" t="inlineStr">
        <is>
          <t>Housing</t>
        </is>
      </c>
      <c r="F817" s="15" t="inlineStr">
        <is>
          <t>Plot / unit price</t>
        </is>
      </c>
      <c r="G817" s="15" t="inlineStr">
        <is>
          <t>Pacific Apartment</t>
        </is>
      </c>
      <c r="H817" s="15" t="inlineStr">
        <is>
          <t>BP-C0186</t>
        </is>
      </c>
      <c r="I817" s="15" t="inlineStr">
        <is>
          <t>Salem real Estate (Mrs Omoko Onora Helen)</t>
        </is>
      </c>
      <c r="J817" s="17" t="n">
        <v>3975000</v>
      </c>
      <c r="K817" s="15" t="n"/>
      <c r="L817" s="15" t="inlineStr">
        <is>
          <t>Secondary: commission records; no monthly turnover register for this period</t>
        </is>
      </c>
      <c r="M817" s="15" t="inlineStr">
        <is>
          <t>BAAY PROJECTS SALES EXPENSES (COMMISSION) RECORDS (1)</t>
        </is>
      </c>
      <c r="N817" s="15" t="inlineStr">
        <is>
          <t>MR CHARLES</t>
        </is>
      </c>
      <c r="O817" s="15" t="n">
        <v>121</v>
      </c>
      <c r="P817" s="15" t="inlineStr">
        <is>
          <t>31/10/2025</t>
        </is>
      </c>
      <c r="Q817" s="15" t="inlineStr">
        <is>
          <t>SALEM REAL ESTATE r52</t>
        </is>
      </c>
      <c r="R817" s="15" t="inlineStr">
        <is>
          <t>Commission-record amount: confirm to bank statement (records can aggregate several transfers)</t>
        </is>
      </c>
    </row>
    <row r="818">
      <c r="A818" s="15" t="inlineStr">
        <is>
          <t>SL0814</t>
        </is>
      </c>
      <c r="B818" s="16" t="n">
        <v>45966</v>
      </c>
      <c r="C818" s="15" t="inlineStr">
        <is>
          <t>2025-11</t>
        </is>
      </c>
      <c r="D818" s="15" t="n">
        <v>2025</v>
      </c>
      <c r="E818" s="15" t="inlineStr">
        <is>
          <t>Housing</t>
        </is>
      </c>
      <c r="F818" s="15" t="inlineStr">
        <is>
          <t>Plot / unit price</t>
        </is>
      </c>
      <c r="G818" s="15" t="inlineStr">
        <is>
          <t>Pacific Apartment</t>
        </is>
      </c>
      <c r="H818" s="15" t="inlineStr">
        <is>
          <t>BP-C0192</t>
        </is>
      </c>
      <c r="I818" s="15" t="inlineStr">
        <is>
          <t>Dr Esangbedo Wilson</t>
        </is>
      </c>
      <c r="J818" s="17" t="n">
        <v>5000000</v>
      </c>
      <c r="K818" s="15" t="n"/>
      <c r="L818" s="15" t="inlineStr">
        <is>
          <t>Secondary: commission records; no monthly turnover register for this period</t>
        </is>
      </c>
      <c r="M818" s="15" t="inlineStr">
        <is>
          <t>BAAY PROJECTS SALES EXPENSES (COMMISSION) RECORDS (1)</t>
        </is>
      </c>
      <c r="N818" s="15" t="inlineStr">
        <is>
          <t>MS MOFFAT</t>
        </is>
      </c>
      <c r="O818" s="15" t="n">
        <v>95</v>
      </c>
      <c r="P818" s="15" t="inlineStr">
        <is>
          <t>2025-05-11</t>
        </is>
      </c>
      <c r="Q818" s="15" t="n"/>
      <c r="R818" s="15" t="inlineStr">
        <is>
          <t>Commission-record amount: confirm to bank statement (records can aggregate several transfers)</t>
        </is>
      </c>
    </row>
    <row r="819">
      <c r="A819" s="15" t="inlineStr">
        <is>
          <t>SL0815</t>
        </is>
      </c>
      <c r="B819" s="16" t="n">
        <v>45967</v>
      </c>
      <c r="C819" s="15" t="inlineStr">
        <is>
          <t>2025-11</t>
        </is>
      </c>
      <c r="D819" s="15" t="n">
        <v>2025</v>
      </c>
      <c r="E819" s="15" t="inlineStr">
        <is>
          <t>Housing</t>
        </is>
      </c>
      <c r="F819" s="15" t="inlineStr">
        <is>
          <t>Plot / unit price</t>
        </is>
      </c>
      <c r="G819" s="15" t="inlineStr">
        <is>
          <t>Baay Foreshore</t>
        </is>
      </c>
      <c r="H819" s="15" t="inlineStr">
        <is>
          <t>BP-C0055</t>
        </is>
      </c>
      <c r="I819" s="15" t="inlineStr">
        <is>
          <t>Mr Adeniji Oluwatosin Ademola</t>
        </is>
      </c>
      <c r="J819" s="17" t="n">
        <v>2500000</v>
      </c>
      <c r="K819" s="15" t="n"/>
      <c r="L819" s="15" t="inlineStr">
        <is>
          <t>Secondary: commission records; no monthly turnover register for this period</t>
        </is>
      </c>
      <c r="M819" s="15" t="inlineStr">
        <is>
          <t>BAAY PROJECTS SALES EXPENSES (COMMISSION) RECORDS (1)</t>
        </is>
      </c>
      <c r="N819" s="15" t="inlineStr">
        <is>
          <t>MS BOLANLE</t>
        </is>
      </c>
      <c r="O819" s="15" t="n">
        <v>206</v>
      </c>
      <c r="P819" s="15" t="inlineStr">
        <is>
          <t>2025-06-11</t>
        </is>
      </c>
      <c r="Q819" s="15" t="n"/>
      <c r="R819" s="15" t="inlineStr">
        <is>
          <t>Commission-record amount: confirm to bank statement (records can aggregate several transfers)</t>
        </is>
      </c>
    </row>
    <row r="820">
      <c r="A820" s="15" t="inlineStr">
        <is>
          <t>SL0816</t>
        </is>
      </c>
      <c r="B820" s="16" t="n">
        <v>45972</v>
      </c>
      <c r="C820" s="15" t="inlineStr">
        <is>
          <t>2025-11</t>
        </is>
      </c>
      <c r="D820" s="15" t="n">
        <v>2025</v>
      </c>
      <c r="E820" s="15" t="inlineStr">
        <is>
          <t>Housing</t>
        </is>
      </c>
      <c r="F820" s="15" t="inlineStr">
        <is>
          <t>Plot / unit price</t>
        </is>
      </c>
      <c r="G820" s="15" t="inlineStr">
        <is>
          <t>Gorge View Court (GVC Gbagada)</t>
        </is>
      </c>
      <c r="H820" s="15" t="inlineStr">
        <is>
          <t>BP-C0217</t>
        </is>
      </c>
      <c r="I820" s="15" t="inlineStr">
        <is>
          <t>Mr Akinsola Joseph Mofoluwaso</t>
        </is>
      </c>
      <c r="J820" s="17" t="n">
        <v>170000000</v>
      </c>
      <c r="K820" s="15" t="n"/>
      <c r="L820" s="15" t="inlineStr">
        <is>
          <t>Secondary: commission records; no monthly turnover register for this period</t>
        </is>
      </c>
      <c r="M820" s="15" t="inlineStr">
        <is>
          <t>BAAY PROJECTS SALES EXPENSES (COMMISSION) RECORDS (1)</t>
        </is>
      </c>
      <c r="N820" s="15" t="inlineStr">
        <is>
          <t>EXTREME OASIS (MD REALTOR GVC)</t>
        </is>
      </c>
      <c r="O820" s="15" t="n">
        <v>2</v>
      </c>
      <c r="P820" s="15" t="inlineStr">
        <is>
          <t>2025-11-11</t>
        </is>
      </c>
      <c r="Q820" s="15" t="n"/>
      <c r="R820" s="15" t="inlineStr">
        <is>
          <t>Commission-record amount: confirm to bank statement (records can aggregate several transfers)</t>
        </is>
      </c>
    </row>
    <row r="821">
      <c r="A821" s="15" t="inlineStr">
        <is>
          <t>SL0817</t>
        </is>
      </c>
      <c r="B821" s="16" t="n">
        <v>45973</v>
      </c>
      <c r="C821" s="15" t="inlineStr">
        <is>
          <t>2025-11</t>
        </is>
      </c>
      <c r="D821" s="15" t="n">
        <v>2025</v>
      </c>
      <c r="E821" s="15" t="inlineStr">
        <is>
          <t>Housing</t>
        </is>
      </c>
      <c r="F821" s="15" t="inlineStr">
        <is>
          <t>Plot / unit price</t>
        </is>
      </c>
      <c r="G821" s="15" t="inlineStr">
        <is>
          <t>Gorge View Court (GVC Gbagada)</t>
        </is>
      </c>
      <c r="H821" s="15" t="inlineStr">
        <is>
          <t>BP-C0217</t>
        </is>
      </c>
      <c r="I821" s="15" t="inlineStr">
        <is>
          <t>Mr Akinsola Joseph Mofoluwaso</t>
        </is>
      </c>
      <c r="J821" s="17" t="n">
        <v>30000000</v>
      </c>
      <c r="K821" s="15" t="n"/>
      <c r="L821" s="15" t="inlineStr">
        <is>
          <t>Secondary: commission records; no monthly turnover register for this period</t>
        </is>
      </c>
      <c r="M821" s="15" t="inlineStr">
        <is>
          <t>BAAY PROJECTS SALES EXPENSES (COMMISSION) RECORDS (1)</t>
        </is>
      </c>
      <c r="N821" s="15" t="inlineStr">
        <is>
          <t>EXTREME OASIS (MD REALTOR GVC)</t>
        </is>
      </c>
      <c r="O821" s="15" t="n">
        <v>3</v>
      </c>
      <c r="P821" s="15" t="inlineStr">
        <is>
          <t>2025-12-11</t>
        </is>
      </c>
      <c r="Q821" s="15" t="n"/>
      <c r="R821" s="15" t="inlineStr">
        <is>
          <t>Commission-record amount: confirm to bank statement (records can aggregate several transfers)</t>
        </is>
      </c>
    </row>
    <row r="822">
      <c r="A822" s="15" t="inlineStr">
        <is>
          <t>SL0818</t>
        </is>
      </c>
      <c r="B822" s="16" t="n">
        <v>45974</v>
      </c>
      <c r="C822" s="15" t="inlineStr">
        <is>
          <t>2025-11</t>
        </is>
      </c>
      <c r="D822" s="15" t="n">
        <v>2025</v>
      </c>
      <c r="E822" s="15" t="inlineStr">
        <is>
          <t>Housing</t>
        </is>
      </c>
      <c r="F822" s="15" t="inlineStr">
        <is>
          <t>Plot / unit price</t>
        </is>
      </c>
      <c r="G822" s="15" t="inlineStr">
        <is>
          <t>Baay Foreshore</t>
        </is>
      </c>
      <c r="H822" s="15" t="inlineStr">
        <is>
          <t>BP-C0215</t>
        </is>
      </c>
      <c r="I822" s="15" t="inlineStr">
        <is>
          <t>Landnest (Mrs Lukoh)</t>
        </is>
      </c>
      <c r="J822" s="17" t="n">
        <v>5000000</v>
      </c>
      <c r="K822" s="15" t="n"/>
      <c r="L822" s="15" t="inlineStr">
        <is>
          <t>Secondary: commission records; no monthly turnover register for this period</t>
        </is>
      </c>
      <c r="M822" s="15" t="inlineStr">
        <is>
          <t>BAAY PROJECTS SALES EXPENSES (COMMISSION) RECORDS (1)</t>
        </is>
      </c>
      <c r="N822" s="15" t="inlineStr">
        <is>
          <t>LANDNEST HOMES</t>
        </is>
      </c>
      <c r="O822" s="15" t="n">
        <v>26</v>
      </c>
      <c r="P822" s="15" t="inlineStr">
        <is>
          <t>13/11/2025</t>
        </is>
      </c>
      <c r="Q822" s="15" t="n"/>
      <c r="R822" s="15" t="inlineStr">
        <is>
          <t>Commission-record amount: confirm to bank statement (records can aggregate several transfers)</t>
        </is>
      </c>
    </row>
    <row r="823">
      <c r="A823" s="15" t="inlineStr">
        <is>
          <t>SL0819</t>
        </is>
      </c>
      <c r="B823" s="16" t="n">
        <v>45974</v>
      </c>
      <c r="C823" s="15" t="inlineStr">
        <is>
          <t>2025-11</t>
        </is>
      </c>
      <c r="D823" s="15" t="n">
        <v>2025</v>
      </c>
      <c r="E823" s="15" t="inlineStr">
        <is>
          <t>Housing</t>
        </is>
      </c>
      <c r="F823" s="15" t="inlineStr">
        <is>
          <t>Plot / unit price</t>
        </is>
      </c>
      <c r="G823" s="15" t="inlineStr">
        <is>
          <t>Baay Foreshore</t>
        </is>
      </c>
      <c r="H823" s="15" t="inlineStr">
        <is>
          <t>BP-C0218</t>
        </is>
      </c>
      <c r="I823" s="15" t="inlineStr">
        <is>
          <t>Landnest Homes (Mrs Ayomipo)</t>
        </is>
      </c>
      <c r="J823" s="17" t="n">
        <v>5000000</v>
      </c>
      <c r="K823" s="15" t="n"/>
      <c r="L823" s="15" t="inlineStr">
        <is>
          <t>Secondary: commission records; no monthly turnover register for this period</t>
        </is>
      </c>
      <c r="M823" s="15" t="inlineStr">
        <is>
          <t>BAAY PROJECTS SALES EXPENSES (COMMISSION) RECORDS (1)</t>
        </is>
      </c>
      <c r="N823" s="15" t="inlineStr">
        <is>
          <t>LANDNEST HOMES</t>
        </is>
      </c>
      <c r="O823" s="15" t="n">
        <v>27</v>
      </c>
      <c r="P823" s="15" t="inlineStr">
        <is>
          <t>13/11/2025</t>
        </is>
      </c>
      <c r="Q823" s="15" t="n"/>
      <c r="R823" s="15" t="inlineStr">
        <is>
          <t>Commission-record amount: confirm to bank statement (records can aggregate several transfers)</t>
        </is>
      </c>
    </row>
    <row r="824">
      <c r="A824" s="15" t="inlineStr">
        <is>
          <t>SL0820</t>
        </is>
      </c>
      <c r="B824" s="16" t="n">
        <v>45980</v>
      </c>
      <c r="C824" s="15" t="inlineStr">
        <is>
          <t>2025-11</t>
        </is>
      </c>
      <c r="D824" s="15" t="n">
        <v>2025</v>
      </c>
      <c r="E824" s="15" t="inlineStr">
        <is>
          <t>Housing</t>
        </is>
      </c>
      <c r="F824" s="15" t="inlineStr">
        <is>
          <t>Plot / unit price</t>
        </is>
      </c>
      <c r="G824" s="15" t="inlineStr">
        <is>
          <t>Gorge View Court (GVC Gbagada)</t>
        </is>
      </c>
      <c r="H824" s="15" t="inlineStr">
        <is>
          <t>BP-C0217</t>
        </is>
      </c>
      <c r="I824" s="15" t="inlineStr">
        <is>
          <t>Mr Akinsola Joseph Mofoluwaso</t>
        </is>
      </c>
      <c r="J824" s="17" t="n">
        <v>10000000</v>
      </c>
      <c r="K824" s="15" t="n"/>
      <c r="L824" s="15" t="inlineStr">
        <is>
          <t>Secondary: commission records; no monthly turnover register for this period</t>
        </is>
      </c>
      <c r="M824" s="15" t="inlineStr">
        <is>
          <t>BAAY PROJECTS SALES EXPENSES (COMMISSION) RECORDS (1)</t>
        </is>
      </c>
      <c r="N824" s="15" t="inlineStr">
        <is>
          <t>EXTREME OASIS (MD REALTOR GVC)</t>
        </is>
      </c>
      <c r="O824" s="15" t="n">
        <v>10</v>
      </c>
      <c r="P824" s="15" t="inlineStr">
        <is>
          <t>19/11/2025</t>
        </is>
      </c>
      <c r="Q824" s="15" t="n"/>
      <c r="R824" s="15" t="inlineStr">
        <is>
          <t>Commission-record amount: confirm to bank statement (records can aggregate several transfers)</t>
        </is>
      </c>
    </row>
    <row r="825">
      <c r="A825" s="15" t="inlineStr">
        <is>
          <t>SL0821</t>
        </is>
      </c>
      <c r="B825" s="16" t="n">
        <v>45981</v>
      </c>
      <c r="C825" s="15" t="inlineStr">
        <is>
          <t>2025-11</t>
        </is>
      </c>
      <c r="D825" s="15" t="n">
        <v>2025</v>
      </c>
      <c r="E825" s="15" t="inlineStr">
        <is>
          <t>Housing</t>
        </is>
      </c>
      <c r="F825" s="15" t="inlineStr">
        <is>
          <t>Plot / unit price</t>
        </is>
      </c>
      <c r="G825" s="15" t="inlineStr">
        <is>
          <t>Gorge View Court (GVC Gbagada)</t>
        </is>
      </c>
      <c r="H825" s="15" t="inlineStr">
        <is>
          <t>BP-C0217</t>
        </is>
      </c>
      <c r="I825" s="15" t="inlineStr">
        <is>
          <t>Mr Akinsola Joseph Mofoluwaso</t>
        </is>
      </c>
      <c r="J825" s="17" t="n">
        <v>10000000</v>
      </c>
      <c r="K825" s="15" t="n"/>
      <c r="L825" s="15" t="inlineStr">
        <is>
          <t>Secondary: commission records; no monthly turnover register for this period</t>
        </is>
      </c>
      <c r="M825" s="15" t="inlineStr">
        <is>
          <t>BAAY PROJECTS SALES EXPENSES (COMMISSION) RECORDS (1)</t>
        </is>
      </c>
      <c r="N825" s="15" t="inlineStr">
        <is>
          <t>EXTREME OASIS (MD REALTOR GVC)</t>
        </is>
      </c>
      <c r="O825" s="15" t="n">
        <v>11</v>
      </c>
      <c r="P825" s="15" t="inlineStr">
        <is>
          <t>20/11/2025</t>
        </is>
      </c>
      <c r="Q825" s="15" t="n"/>
      <c r="R825" s="15" t="inlineStr">
        <is>
          <t>Commission-record amount: confirm to bank statement (records can aggregate several transfers)</t>
        </is>
      </c>
    </row>
    <row r="826">
      <c r="A826" s="15" t="inlineStr">
        <is>
          <t>SL0822</t>
        </is>
      </c>
      <c r="B826" s="16" t="n">
        <v>45982</v>
      </c>
      <c r="C826" s="15" t="inlineStr">
        <is>
          <t>2025-11</t>
        </is>
      </c>
      <c r="D826" s="15" t="n">
        <v>2025</v>
      </c>
      <c r="E826" s="15" t="inlineStr">
        <is>
          <t>Housing</t>
        </is>
      </c>
      <c r="F826" s="15" t="inlineStr">
        <is>
          <t>Plot / unit price</t>
        </is>
      </c>
      <c r="G826" s="15" t="inlineStr">
        <is>
          <t>Baay Foreshore</t>
        </is>
      </c>
      <c r="H826" s="15" t="inlineStr">
        <is>
          <t>BP-C0132</t>
        </is>
      </c>
      <c r="I826" s="15" t="inlineStr">
        <is>
          <t>Mr Adekunle Temitope Ajayi</t>
        </is>
      </c>
      <c r="J826" s="17" t="n">
        <v>2000000</v>
      </c>
      <c r="K826" s="15" t="n"/>
      <c r="L826" s="15" t="inlineStr">
        <is>
          <t>Secondary: commission records; no monthly turnover register for this period</t>
        </is>
      </c>
      <c r="M826" s="15" t="inlineStr">
        <is>
          <t>BAAY PROJECTS SALES EXPENSES (COMMISSION) RECORDS (1)</t>
        </is>
      </c>
      <c r="N826" s="15" t="inlineStr">
        <is>
          <t>MS OPEYEMI ADEGOKE</t>
        </is>
      </c>
      <c r="O826" s="15" t="n">
        <v>37</v>
      </c>
      <c r="P826" s="15" t="inlineStr">
        <is>
          <t>21/11/2025</t>
        </is>
      </c>
      <c r="Q826" s="15" t="n"/>
      <c r="R826" s="15" t="inlineStr">
        <is>
          <t>Commission-record amount: confirm to bank statement (records can aggregate several transfers)</t>
        </is>
      </c>
    </row>
    <row r="827">
      <c r="A827" s="15" t="inlineStr">
        <is>
          <t>SL0823</t>
        </is>
      </c>
      <c r="B827" s="16" t="n">
        <v>45982</v>
      </c>
      <c r="C827" s="15" t="inlineStr">
        <is>
          <t>2025-11</t>
        </is>
      </c>
      <c r="D827" s="15" t="n">
        <v>2025</v>
      </c>
      <c r="E827" s="15" t="inlineStr">
        <is>
          <t>Housing</t>
        </is>
      </c>
      <c r="F827" s="15" t="inlineStr">
        <is>
          <t>Plot / unit price</t>
        </is>
      </c>
      <c r="G827" s="15" t="inlineStr">
        <is>
          <t>Baay Foreshore</t>
        </is>
      </c>
      <c r="H827" s="15" t="inlineStr">
        <is>
          <t>BP-C0219</t>
        </is>
      </c>
      <c r="I827" s="15" t="inlineStr">
        <is>
          <t>Mr Sunday Ali Patrick</t>
        </is>
      </c>
      <c r="J827" s="17" t="n">
        <v>5000000</v>
      </c>
      <c r="K827" s="15" t="n"/>
      <c r="L827" s="15" t="inlineStr">
        <is>
          <t>Secondary: commission records; no monthly turnover register for this period</t>
        </is>
      </c>
      <c r="M827" s="15" t="inlineStr">
        <is>
          <t>BAAY PROJECTS SALES EXPENSES (COMMISSION) RECORDS (1)</t>
        </is>
      </c>
      <c r="N827" s="15" t="inlineStr">
        <is>
          <t>MARKETING DEPT</t>
        </is>
      </c>
      <c r="O827" s="15" t="n">
        <v>2</v>
      </c>
      <c r="P827" s="15" t="inlineStr">
        <is>
          <t>21/11/2025</t>
        </is>
      </c>
      <c r="Q827" s="15" t="inlineStr">
        <is>
          <t>MS MAYOWA BRAIMOH r99</t>
        </is>
      </c>
      <c r="R827" s="15" t="inlineStr">
        <is>
          <t>Commission-record amount: confirm to bank statement (records can aggregate several transfers)</t>
        </is>
      </c>
    </row>
    <row r="828">
      <c r="A828" s="15" t="inlineStr">
        <is>
          <t>SL0824</t>
        </is>
      </c>
      <c r="B828" s="16" t="n">
        <v>45986</v>
      </c>
      <c r="C828" s="15" t="inlineStr">
        <is>
          <t>2025-11</t>
        </is>
      </c>
      <c r="D828" s="15" t="n">
        <v>2025</v>
      </c>
      <c r="E828" s="15" t="inlineStr">
        <is>
          <t>Housing</t>
        </is>
      </c>
      <c r="F828" s="15" t="inlineStr">
        <is>
          <t>Plot / unit price</t>
        </is>
      </c>
      <c r="G828" s="15" t="inlineStr">
        <is>
          <t>Pacific Apartment</t>
        </is>
      </c>
      <c r="H828" s="15" t="inlineStr">
        <is>
          <t>BP-C0202</t>
        </is>
      </c>
      <c r="I828" s="15" t="inlineStr">
        <is>
          <t>Miss Yesher Yakubu &amp; Miss Hadassah Yakubu</t>
        </is>
      </c>
      <c r="J828" s="17" t="n">
        <v>1700000</v>
      </c>
      <c r="K828" s="15" t="n"/>
      <c r="L828" s="15" t="inlineStr">
        <is>
          <t>Secondary: commission records; no monthly turnover register for this period</t>
        </is>
      </c>
      <c r="M828" s="15" t="inlineStr">
        <is>
          <t>BAAY PROJECTS SALES EXPENSES (COMMISSION) RECORDS (1)</t>
        </is>
      </c>
      <c r="N828" s="15" t="inlineStr">
        <is>
          <t>MS MOFFAT</t>
        </is>
      </c>
      <c r="O828" s="15" t="n">
        <v>96</v>
      </c>
      <c r="P828" s="15" t="inlineStr">
        <is>
          <t>25/11/2025</t>
        </is>
      </c>
      <c r="Q828" s="15" t="n"/>
      <c r="R828" s="15" t="inlineStr">
        <is>
          <t>Commission-record amount: confirm to bank statement (records can aggregate several transfers)</t>
        </is>
      </c>
    </row>
    <row r="829">
      <c r="A829" s="15" t="inlineStr">
        <is>
          <t>SL0825</t>
        </is>
      </c>
      <c r="B829" s="16" t="n">
        <v>45986</v>
      </c>
      <c r="C829" s="15" t="inlineStr">
        <is>
          <t>2025-11</t>
        </is>
      </c>
      <c r="D829" s="15" t="n">
        <v>2025</v>
      </c>
      <c r="E829" s="15" t="inlineStr">
        <is>
          <t>Housing</t>
        </is>
      </c>
      <c r="F829" s="15" t="inlineStr">
        <is>
          <t>Plot / unit price</t>
        </is>
      </c>
      <c r="G829" s="15" t="inlineStr">
        <is>
          <t>Baay Foreshore</t>
        </is>
      </c>
      <c r="H829" s="15" t="inlineStr">
        <is>
          <t>BP-C0213</t>
        </is>
      </c>
      <c r="I829" s="15" t="inlineStr">
        <is>
          <t>Mr Adelani Ibrahim Akinkunmi</t>
        </is>
      </c>
      <c r="J829" s="17" t="n">
        <v>2500000</v>
      </c>
      <c r="K829" s="15" t="n"/>
      <c r="L829" s="15" t="inlineStr">
        <is>
          <t>Secondary: commission records; no monthly turnover register for this period</t>
        </is>
      </c>
      <c r="M829" s="15" t="inlineStr">
        <is>
          <t>BAAY PROJECTS SALES EXPENSES (COMMISSION) RECORDS (1)</t>
        </is>
      </c>
      <c r="N829" s="15" t="inlineStr">
        <is>
          <t>MS BOLANLE</t>
        </is>
      </c>
      <c r="O829" s="15" t="n">
        <v>204</v>
      </c>
      <c r="P829" s="15" t="inlineStr">
        <is>
          <t>25/11/2025</t>
        </is>
      </c>
      <c r="Q829" s="15" t="n"/>
      <c r="R829" s="15" t="inlineStr">
        <is>
          <t>Commission-record amount: confirm to bank statement (records can aggregate several transfers)</t>
        </is>
      </c>
    </row>
    <row r="830">
      <c r="A830" s="15" t="inlineStr">
        <is>
          <t>SL0826</t>
        </is>
      </c>
      <c r="B830" s="16" t="n">
        <v>45986</v>
      </c>
      <c r="C830" s="15" t="inlineStr">
        <is>
          <t>2025-11</t>
        </is>
      </c>
      <c r="D830" s="15" t="n">
        <v>2025</v>
      </c>
      <c r="E830" s="15" t="inlineStr">
        <is>
          <t>Housing</t>
        </is>
      </c>
      <c r="F830" s="15" t="inlineStr">
        <is>
          <t>Plot / unit price</t>
        </is>
      </c>
      <c r="G830" s="15" t="inlineStr">
        <is>
          <t>Gorge View Court (GVC Gbagada)</t>
        </is>
      </c>
      <c r="H830" s="15" t="inlineStr">
        <is>
          <t>BP-C0217</t>
        </is>
      </c>
      <c r="I830" s="15" t="inlineStr">
        <is>
          <t>Mr Akinsola Joseph Mofoluwaso</t>
        </is>
      </c>
      <c r="J830" s="17" t="n">
        <v>10000000</v>
      </c>
      <c r="K830" s="15" t="n"/>
      <c r="L830" s="15" t="inlineStr">
        <is>
          <t>Secondary: commission records; no monthly turnover register for this period</t>
        </is>
      </c>
      <c r="M830" s="15" t="inlineStr">
        <is>
          <t>BAAY PROJECTS SALES EXPENSES (COMMISSION) RECORDS (1)</t>
        </is>
      </c>
      <c r="N830" s="15" t="inlineStr">
        <is>
          <t>EXTREME OASIS (MD REALTOR GVC)</t>
        </is>
      </c>
      <c r="O830" s="15" t="n">
        <v>18</v>
      </c>
      <c r="P830" s="15" t="inlineStr">
        <is>
          <t>25/11/2025</t>
        </is>
      </c>
      <c r="Q830" s="15" t="n"/>
      <c r="R830" s="15" t="inlineStr">
        <is>
          <t>Commission-record amount: confirm to bank statement (records can aggregate several transfers)</t>
        </is>
      </c>
    </row>
    <row r="831">
      <c r="A831" s="15" t="inlineStr">
        <is>
          <t>SL0827</t>
        </is>
      </c>
      <c r="B831" s="16" t="n">
        <v>45987</v>
      </c>
      <c r="C831" s="15" t="inlineStr">
        <is>
          <t>2025-11</t>
        </is>
      </c>
      <c r="D831" s="15" t="n">
        <v>2025</v>
      </c>
      <c r="E831" s="15" t="inlineStr">
        <is>
          <t>Housing</t>
        </is>
      </c>
      <c r="F831" s="15" t="inlineStr">
        <is>
          <t>Plot / unit price</t>
        </is>
      </c>
      <c r="G831" s="15" t="inlineStr">
        <is>
          <t>Baay Foreshore</t>
        </is>
      </c>
      <c r="H831" s="15" t="inlineStr">
        <is>
          <t>BP-C0132</t>
        </is>
      </c>
      <c r="I831" s="15" t="inlineStr">
        <is>
          <t>Mr Adekunle Temitope Ajayi</t>
        </is>
      </c>
      <c r="J831" s="17" t="n">
        <v>5000000</v>
      </c>
      <c r="K831" s="15" t="n"/>
      <c r="L831" s="15" t="inlineStr">
        <is>
          <t>Secondary: commission records; no monthly turnover register for this period</t>
        </is>
      </c>
      <c r="M831" s="15" t="inlineStr">
        <is>
          <t>BAAY PROJECTS SALES EXPENSES (COMMISSION) RECORDS (1)</t>
        </is>
      </c>
      <c r="N831" s="15" t="inlineStr">
        <is>
          <t>MS OPEYEMI ADEGOKE</t>
        </is>
      </c>
      <c r="O831" s="15" t="n">
        <v>38</v>
      </c>
      <c r="P831" s="15" t="inlineStr">
        <is>
          <t>26/11/2025</t>
        </is>
      </c>
      <c r="Q831" s="15" t="n"/>
      <c r="R831" s="15" t="inlineStr">
        <is>
          <t>Commission-record amount: confirm to bank statement (records can aggregate several transfers)</t>
        </is>
      </c>
    </row>
    <row r="832">
      <c r="A832" s="15" t="inlineStr">
        <is>
          <t>SL0828</t>
        </is>
      </c>
      <c r="B832" s="16" t="n">
        <v>45987</v>
      </c>
      <c r="C832" s="15" t="inlineStr">
        <is>
          <t>2025-11</t>
        </is>
      </c>
      <c r="D832" s="15" t="n">
        <v>2025</v>
      </c>
      <c r="E832" s="15" t="inlineStr">
        <is>
          <t>Housing</t>
        </is>
      </c>
      <c r="F832" s="15" t="inlineStr">
        <is>
          <t>Plot / unit price</t>
        </is>
      </c>
      <c r="G832" s="15" t="inlineStr">
        <is>
          <t>Baay Foreshore</t>
        </is>
      </c>
      <c r="H832" s="15" t="inlineStr">
        <is>
          <t>BP-C0214</t>
        </is>
      </c>
      <c r="I832" s="15" t="inlineStr">
        <is>
          <t>Mrs Taiwo Adeyinka</t>
        </is>
      </c>
      <c r="J832" s="17" t="n">
        <v>5000000</v>
      </c>
      <c r="K832" s="15" t="n"/>
      <c r="L832" s="15" t="inlineStr">
        <is>
          <t>Secondary: commission records; no monthly turnover register for this period</t>
        </is>
      </c>
      <c r="M832" s="15" t="inlineStr">
        <is>
          <t>BAAY PROJECTS SALES EXPENSES (COMMISSION) RECORDS (1)</t>
        </is>
      </c>
      <c r="N832" s="15" t="inlineStr">
        <is>
          <t>MS BOLANLE</t>
        </is>
      </c>
      <c r="O832" s="15" t="n">
        <v>205</v>
      </c>
      <c r="P832" s="15" t="inlineStr">
        <is>
          <t>26/11/2025</t>
        </is>
      </c>
      <c r="Q832" s="15" t="n"/>
      <c r="R832" s="15" t="inlineStr">
        <is>
          <t>Commission-record amount: confirm to bank statement (records can aggregate several transfers)</t>
        </is>
      </c>
    </row>
    <row r="833">
      <c r="A833" s="15" t="inlineStr">
        <is>
          <t>SL0829</t>
        </is>
      </c>
      <c r="B833" s="16" t="n">
        <v>45987</v>
      </c>
      <c r="C833" s="15" t="inlineStr">
        <is>
          <t>2025-11</t>
        </is>
      </c>
      <c r="D833" s="15" t="n">
        <v>2025</v>
      </c>
      <c r="E833" s="15" t="inlineStr">
        <is>
          <t>Housing</t>
        </is>
      </c>
      <c r="F833" s="15" t="inlineStr">
        <is>
          <t>Plot / unit price</t>
        </is>
      </c>
      <c r="G833" s="15" t="inlineStr">
        <is>
          <t>Baay Foreshore</t>
        </is>
      </c>
      <c r="H833" s="15" t="inlineStr">
        <is>
          <t>BP-C0214</t>
        </is>
      </c>
      <c r="I833" s="15" t="inlineStr">
        <is>
          <t>Mrs Taiwo Adeyinka</t>
        </is>
      </c>
      <c r="J833" s="17" t="n">
        <v>2500000</v>
      </c>
      <c r="K833" s="15" t="n"/>
      <c r="L833" s="15" t="inlineStr">
        <is>
          <t>Secondary: commission records; no monthly turnover register for this period</t>
        </is>
      </c>
      <c r="M833" s="15" t="inlineStr">
        <is>
          <t>BAAY PROJECTS SALES EXPENSES (COMMISSION) RECORDS (1)</t>
        </is>
      </c>
      <c r="N833" s="15" t="inlineStr">
        <is>
          <t>MS BOLANLE</t>
        </is>
      </c>
      <c r="O833" s="15" t="n">
        <v>226</v>
      </c>
      <c r="P833" s="15" t="inlineStr">
        <is>
          <t>26/11/2025</t>
        </is>
      </c>
      <c r="Q833" s="15" t="n"/>
      <c r="R833" s="15" t="inlineStr">
        <is>
          <t>Commission-record amount: confirm to bank statement (records can aggregate several transfers)</t>
        </is>
      </c>
    </row>
    <row r="834">
      <c r="A834" s="15" t="inlineStr">
        <is>
          <t>SL0830</t>
        </is>
      </c>
      <c r="B834" s="16" t="n">
        <v>45988</v>
      </c>
      <c r="C834" s="15" t="inlineStr">
        <is>
          <t>2025-11</t>
        </is>
      </c>
      <c r="D834" s="15" t="n">
        <v>2025</v>
      </c>
      <c r="E834" s="15" t="inlineStr">
        <is>
          <t>Housing</t>
        </is>
      </c>
      <c r="F834" s="15" t="inlineStr">
        <is>
          <t>Plot / unit price</t>
        </is>
      </c>
      <c r="G834" s="15" t="inlineStr">
        <is>
          <t>Gorge View Court (GVC Gbagada)</t>
        </is>
      </c>
      <c r="H834" s="15" t="inlineStr">
        <is>
          <t>BP-C0217</t>
        </is>
      </c>
      <c r="I834" s="15" t="inlineStr">
        <is>
          <t>Mr Akinsola Joseph Mofoluwaso</t>
        </is>
      </c>
      <c r="J834" s="17" t="n">
        <v>10000000</v>
      </c>
      <c r="K834" s="15" t="n"/>
      <c r="L834" s="15" t="inlineStr">
        <is>
          <t>Secondary: commission records; no monthly turnover register for this period</t>
        </is>
      </c>
      <c r="M834" s="15" t="inlineStr">
        <is>
          <t>BAAY PROJECTS SALES EXPENSES (COMMISSION) RECORDS (1)</t>
        </is>
      </c>
      <c r="N834" s="15" t="inlineStr">
        <is>
          <t>EXTREME OASIS (MD REALTOR GVC)</t>
        </is>
      </c>
      <c r="O834" s="15" t="n">
        <v>25</v>
      </c>
      <c r="P834" s="15" t="inlineStr">
        <is>
          <t>27/11/2025</t>
        </is>
      </c>
      <c r="Q834" s="15" t="n"/>
      <c r="R834" s="15" t="inlineStr">
        <is>
          <t>Commission-record amount: confirm to bank statement (records can aggregate several transfers)</t>
        </is>
      </c>
    </row>
    <row r="835">
      <c r="A835" s="15" t="inlineStr">
        <is>
          <t>SL0831</t>
        </is>
      </c>
      <c r="B835" s="16" t="n">
        <v>45992</v>
      </c>
      <c r="C835" s="15" t="inlineStr">
        <is>
          <t>2025-12</t>
        </is>
      </c>
      <c r="D835" s="15" t="n">
        <v>2025</v>
      </c>
      <c r="E835" s="15" t="inlineStr">
        <is>
          <t>Housing</t>
        </is>
      </c>
      <c r="F835" s="15" t="inlineStr">
        <is>
          <t>Plot / unit price</t>
        </is>
      </c>
      <c r="G835" s="15" t="inlineStr">
        <is>
          <t>Gorge View Court (GVC Gbagada)</t>
        </is>
      </c>
      <c r="H835" s="15" t="inlineStr">
        <is>
          <t>BP-C0217</t>
        </is>
      </c>
      <c r="I835" s="15" t="inlineStr">
        <is>
          <t>Mr Akinsola Joseph Mofoluwaso</t>
        </is>
      </c>
      <c r="J835" s="17" t="n">
        <v>10000000</v>
      </c>
      <c r="K835" s="15" t="n"/>
      <c r="L835" s="15" t="inlineStr">
        <is>
          <t>Secondary: commission records; no monthly turnover register for this period</t>
        </is>
      </c>
      <c r="M835" s="15" t="inlineStr">
        <is>
          <t>BAAY PROJECTS SALES EXPENSES (COMMISSION) RECORDS (1)</t>
        </is>
      </c>
      <c r="N835" s="15" t="inlineStr">
        <is>
          <t>EXTREME OASIS (MD REALTOR GVC)</t>
        </is>
      </c>
      <c r="O835" s="15" t="n">
        <v>32</v>
      </c>
      <c r="P835" s="15" t="inlineStr">
        <is>
          <t>2025-01-12</t>
        </is>
      </c>
      <c r="Q835" s="15" t="n"/>
      <c r="R835" s="15" t="inlineStr">
        <is>
          <t>Commission-record amount: confirm to bank statement (records can aggregate several transfers)</t>
        </is>
      </c>
    </row>
    <row r="836">
      <c r="A836" s="15" t="inlineStr">
        <is>
          <t>SL0832</t>
        </is>
      </c>
      <c r="B836" s="16" t="n">
        <v>45996</v>
      </c>
      <c r="C836" s="15" t="inlineStr">
        <is>
          <t>2025-12</t>
        </is>
      </c>
      <c r="D836" s="15" t="n">
        <v>2025</v>
      </c>
      <c r="E836" s="15" t="inlineStr">
        <is>
          <t>Housing</t>
        </is>
      </c>
      <c r="F836" s="15" t="inlineStr">
        <is>
          <t>Plot / unit price</t>
        </is>
      </c>
      <c r="G836" s="15" t="inlineStr">
        <is>
          <t>Pacific Apartment</t>
        </is>
      </c>
      <c r="H836" s="15" t="inlineStr">
        <is>
          <t>BP-C0192</t>
        </is>
      </c>
      <c r="I836" s="15" t="inlineStr">
        <is>
          <t>Dr Esangbedo Wilson</t>
        </is>
      </c>
      <c r="J836" s="17" t="n">
        <v>5000000</v>
      </c>
      <c r="K836" s="15" t="n"/>
      <c r="L836" s="15" t="inlineStr">
        <is>
          <t>Secondary: commission records; no monthly turnover register for this period</t>
        </is>
      </c>
      <c r="M836" s="15" t="inlineStr">
        <is>
          <t>BAAY PROJECTS SALES EXPENSES (COMMISSION) RECORDS (1)</t>
        </is>
      </c>
      <c r="N836" s="15" t="inlineStr">
        <is>
          <t>MS MOFFAT</t>
        </is>
      </c>
      <c r="O836" s="15" t="n">
        <v>102</v>
      </c>
      <c r="P836" s="15" t="inlineStr">
        <is>
          <t>2025-05-12</t>
        </is>
      </c>
      <c r="Q836" s="15" t="n"/>
      <c r="R836" s="15" t="inlineStr">
        <is>
          <t>Commission-record amount: confirm to bank statement (records can aggregate several transfers)</t>
        </is>
      </c>
    </row>
    <row r="837">
      <c r="A837" s="15" t="inlineStr">
        <is>
          <t>SL0833</t>
        </is>
      </c>
      <c r="B837" s="16" t="n">
        <v>45996</v>
      </c>
      <c r="C837" s="15" t="inlineStr">
        <is>
          <t>2025-12</t>
        </is>
      </c>
      <c r="D837" s="15" t="n">
        <v>2025</v>
      </c>
      <c r="E837" s="15" t="inlineStr">
        <is>
          <t>Land</t>
        </is>
      </c>
      <c r="F837" s="15" t="inlineStr">
        <is>
          <t>Plot / unit price</t>
        </is>
      </c>
      <c r="G837" s="15" t="inlineStr">
        <is>
          <t>Land (estate not stated in source)</t>
        </is>
      </c>
      <c r="H837" s="15" t="inlineStr">
        <is>
          <t>BP-C0220</t>
        </is>
      </c>
      <c r="I837" s="15" t="inlineStr">
        <is>
          <t>Mr Ayeni Mayowa Olumide Ibitayo Mercy</t>
        </is>
      </c>
      <c r="J837" s="17" t="n">
        <v>1000000</v>
      </c>
      <c r="K837" s="15" t="n"/>
      <c r="L837" s="15" t="inlineStr">
        <is>
          <t>Secondary: commission records; no monthly turnover register for this period</t>
        </is>
      </c>
      <c r="M837" s="15" t="inlineStr">
        <is>
          <t>BAAY PROJECTS SALES EXPENSES (COMMISSION) RECORDS (1)</t>
        </is>
      </c>
      <c r="N837" s="15" t="inlineStr">
        <is>
          <t>MR AYENI MAYOWA</t>
        </is>
      </c>
      <c r="O837" s="15" t="n">
        <v>28</v>
      </c>
      <c r="P837" s="15" t="inlineStr">
        <is>
          <t>2025-05-12</t>
        </is>
      </c>
      <c r="Q837" s="15" t="n"/>
      <c r="R837" s="15" t="inlineStr">
        <is>
          <t>Commission-record amount: confirm to bank statement (records can aggregate several transfers)</t>
        </is>
      </c>
    </row>
    <row r="838">
      <c r="A838" s="15" t="inlineStr">
        <is>
          <t>SL0834</t>
        </is>
      </c>
      <c r="B838" s="16" t="n">
        <v>45996</v>
      </c>
      <c r="C838" s="15" t="inlineStr">
        <is>
          <t>2025-12</t>
        </is>
      </c>
      <c r="D838" s="15" t="n">
        <v>2025</v>
      </c>
      <c r="E838" s="15" t="inlineStr">
        <is>
          <t>Housing</t>
        </is>
      </c>
      <c r="F838" s="15" t="inlineStr">
        <is>
          <t>Plot / unit price</t>
        </is>
      </c>
      <c r="G838" s="15" t="inlineStr">
        <is>
          <t>Pacific Apartment</t>
        </is>
      </c>
      <c r="H838" s="15" t="inlineStr">
        <is>
          <t>BP-C0186</t>
        </is>
      </c>
      <c r="I838" s="15" t="inlineStr">
        <is>
          <t>Salem real Estate (Mrs Omoko Onora Helen)</t>
        </is>
      </c>
      <c r="J838" s="17" t="n">
        <v>3000000</v>
      </c>
      <c r="K838" s="15" t="n"/>
      <c r="L838" s="15" t="inlineStr">
        <is>
          <t>Secondary: commission records; no monthly turnover register for this period</t>
        </is>
      </c>
      <c r="M838" s="15" t="inlineStr">
        <is>
          <t>BAAY PROJECTS SALES EXPENSES (COMMISSION) RECORDS (1)</t>
        </is>
      </c>
      <c r="N838" s="15" t="inlineStr">
        <is>
          <t>SALEM REAL ESTATE</t>
        </is>
      </c>
      <c r="O838" s="15" t="n">
        <v>59</v>
      </c>
      <c r="P838" s="15" t="inlineStr">
        <is>
          <t>2025-05-12</t>
        </is>
      </c>
      <c r="Q838" s="15" t="inlineStr">
        <is>
          <t>MR CHARLES r128</t>
        </is>
      </c>
      <c r="R838" s="15" t="inlineStr">
        <is>
          <t>Commission-record amount: confirm to bank statement (records can aggregate several transfers)</t>
        </is>
      </c>
    </row>
    <row r="839">
      <c r="A839" s="15" t="inlineStr">
        <is>
          <t>SL0835</t>
        </is>
      </c>
      <c r="B839" s="16" t="n">
        <v>45998</v>
      </c>
      <c r="C839" s="15" t="inlineStr">
        <is>
          <t>2025-12</t>
        </is>
      </c>
      <c r="D839" s="15" t="n">
        <v>2025</v>
      </c>
      <c r="E839" s="15" t="inlineStr">
        <is>
          <t>Land</t>
        </is>
      </c>
      <c r="F839" s="15" t="inlineStr">
        <is>
          <t>Plot / unit price</t>
        </is>
      </c>
      <c r="G839" s="15" t="inlineStr">
        <is>
          <t>Land (estate not stated in source)</t>
        </is>
      </c>
      <c r="H839" s="15" t="inlineStr">
        <is>
          <t>BP-C0220</t>
        </is>
      </c>
      <c r="I839" s="15" t="inlineStr">
        <is>
          <t>Mr Ayeni Mayowa Olumide Ibitayo Mercy</t>
        </is>
      </c>
      <c r="J839" s="17" t="n">
        <v>50000</v>
      </c>
      <c r="K839" s="15" t="n"/>
      <c r="L839" s="15" t="inlineStr">
        <is>
          <t>Secondary: commission records; no monthly turnover register for this period</t>
        </is>
      </c>
      <c r="M839" s="15" t="inlineStr">
        <is>
          <t>BAAY PROJECTS SALES EXPENSES (COMMISSION) RECORDS (1)</t>
        </is>
      </c>
      <c r="N839" s="15" t="inlineStr">
        <is>
          <t>MR AYENI MAYOWA</t>
        </is>
      </c>
      <c r="O839" s="15" t="n">
        <v>29</v>
      </c>
      <c r="P839" s="15" t="inlineStr">
        <is>
          <t>2025-07-12</t>
        </is>
      </c>
      <c r="Q839" s="15" t="n"/>
      <c r="R839" s="15" t="inlineStr">
        <is>
          <t>Commission-record amount: confirm to bank statement (records can aggregate several transfers)</t>
        </is>
      </c>
    </row>
    <row r="840">
      <c r="A840" s="15" t="inlineStr">
        <is>
          <t>SL0836</t>
        </is>
      </c>
      <c r="B840" s="16" t="n">
        <v>46000</v>
      </c>
      <c r="C840" s="15" t="inlineStr">
        <is>
          <t>2025-12</t>
        </is>
      </c>
      <c r="D840" s="15" t="n">
        <v>2025</v>
      </c>
      <c r="E840" s="15" t="inlineStr">
        <is>
          <t>Housing</t>
        </is>
      </c>
      <c r="F840" s="15" t="inlineStr">
        <is>
          <t>Plot / unit price</t>
        </is>
      </c>
      <c r="G840" s="15" t="inlineStr">
        <is>
          <t>Baay Foreshore</t>
        </is>
      </c>
      <c r="H840" s="15" t="inlineStr">
        <is>
          <t>BP-C0055</t>
        </is>
      </c>
      <c r="I840" s="15" t="inlineStr">
        <is>
          <t>Mr Adeniji Oluwatosin Ademola</t>
        </is>
      </c>
      <c r="J840" s="17" t="n">
        <v>2500000</v>
      </c>
      <c r="K840" s="15" t="n"/>
      <c r="L840" s="15" t="inlineStr">
        <is>
          <t>Secondary: commission records; no monthly turnover register for this period</t>
        </is>
      </c>
      <c r="M840" s="15" t="inlineStr">
        <is>
          <t>BAAY PROJECTS SALES EXPENSES (COMMISSION) RECORDS (1)</t>
        </is>
      </c>
      <c r="N840" s="15" t="inlineStr">
        <is>
          <t>MS BOLANLE</t>
        </is>
      </c>
      <c r="O840" s="15" t="n">
        <v>227</v>
      </c>
      <c r="P840" s="15" t="inlineStr">
        <is>
          <t>2025-09-12</t>
        </is>
      </c>
      <c r="Q840" s="15" t="n"/>
      <c r="R840" s="15" t="inlineStr">
        <is>
          <t>Commission-record amount: confirm to bank statement (records can aggregate several transfers)</t>
        </is>
      </c>
    </row>
    <row r="841">
      <c r="A841" s="15" t="inlineStr">
        <is>
          <t>SL0837</t>
        </is>
      </c>
      <c r="B841" s="16" t="n">
        <v>46001</v>
      </c>
      <c r="C841" s="15" t="inlineStr">
        <is>
          <t>2025-12</t>
        </is>
      </c>
      <c r="D841" s="15" t="n">
        <v>2025</v>
      </c>
      <c r="E841" s="15" t="inlineStr">
        <is>
          <t>Housing</t>
        </is>
      </c>
      <c r="F841" s="15" t="inlineStr">
        <is>
          <t>Plot / unit price</t>
        </is>
      </c>
      <c r="G841" s="15" t="inlineStr">
        <is>
          <t>Baay Foreshore</t>
        </is>
      </c>
      <c r="H841" s="15" t="inlineStr">
        <is>
          <t>BP-C0215</t>
        </is>
      </c>
      <c r="I841" s="15" t="inlineStr">
        <is>
          <t>Landnest (Mrs Lukoh)</t>
        </is>
      </c>
      <c r="J841" s="17" t="n">
        <v>12000000</v>
      </c>
      <c r="K841" s="15" t="n"/>
      <c r="L841" s="15" t="inlineStr">
        <is>
          <t>Secondary: commission records; no monthly turnover register for this period</t>
        </is>
      </c>
      <c r="M841" s="15" t="inlineStr">
        <is>
          <t>BAAY PROJECTS SALES EXPENSES (COMMISSION) RECORDS (1)</t>
        </is>
      </c>
      <c r="N841" s="15" t="inlineStr">
        <is>
          <t>LANDNEST HOMES</t>
        </is>
      </c>
      <c r="O841" s="15" t="n">
        <v>28</v>
      </c>
      <c r="P841" s="15" t="inlineStr">
        <is>
          <t>2025-10-12</t>
        </is>
      </c>
      <c r="Q841" s="15" t="n"/>
      <c r="R841" s="15" t="inlineStr">
        <is>
          <t>Commission-record amount: confirm to bank statement (records can aggregate several transfers)</t>
        </is>
      </c>
    </row>
    <row r="842">
      <c r="A842" s="15" t="inlineStr">
        <is>
          <t>SL0838</t>
        </is>
      </c>
      <c r="B842" s="16" t="n">
        <v>46001</v>
      </c>
      <c r="C842" s="15" t="inlineStr">
        <is>
          <t>2025-12</t>
        </is>
      </c>
      <c r="D842" s="15" t="n">
        <v>2025</v>
      </c>
      <c r="E842" s="15" t="inlineStr">
        <is>
          <t>Housing</t>
        </is>
      </c>
      <c r="F842" s="15" t="inlineStr">
        <is>
          <t>Plot / unit price</t>
        </is>
      </c>
      <c r="G842" s="15" t="inlineStr">
        <is>
          <t>Baay Foreshore</t>
        </is>
      </c>
      <c r="H842" s="15" t="inlineStr">
        <is>
          <t>BP-C0207</t>
        </is>
      </c>
      <c r="I842" s="15" t="inlineStr">
        <is>
          <t>Landnest Homes (Mrs Beatrice)</t>
        </is>
      </c>
      <c r="J842" s="17" t="n">
        <v>3000000</v>
      </c>
      <c r="K842" s="15" t="n"/>
      <c r="L842" s="15" t="inlineStr">
        <is>
          <t>Secondary: commission records; no monthly turnover register for this period</t>
        </is>
      </c>
      <c r="M842" s="15" t="inlineStr">
        <is>
          <t>BAAY PROJECTS SALES EXPENSES (COMMISSION) RECORDS (1)</t>
        </is>
      </c>
      <c r="N842" s="15" t="inlineStr">
        <is>
          <t>LANDNEST HOMES</t>
        </is>
      </c>
      <c r="O842" s="15" t="n">
        <v>29</v>
      </c>
      <c r="P842" s="15" t="inlineStr">
        <is>
          <t>2025-10-12</t>
        </is>
      </c>
      <c r="Q842" s="15" t="n"/>
      <c r="R842" s="15" t="inlineStr">
        <is>
          <t>Commission-record amount: confirm to bank statement (records can aggregate several transfers)</t>
        </is>
      </c>
    </row>
    <row r="843">
      <c r="A843" s="15" t="inlineStr">
        <is>
          <t>SL0839</t>
        </is>
      </c>
      <c r="B843" s="16" t="n">
        <v>46001</v>
      </c>
      <c r="C843" s="15" t="inlineStr">
        <is>
          <t>2025-12</t>
        </is>
      </c>
      <c r="D843" s="15" t="n">
        <v>2025</v>
      </c>
      <c r="E843" s="15" t="inlineStr">
        <is>
          <t>Housing</t>
        </is>
      </c>
      <c r="F843" s="15" t="inlineStr">
        <is>
          <t>Plot / unit price</t>
        </is>
      </c>
      <c r="G843" s="15" t="inlineStr">
        <is>
          <t>Gorge View Court (GVC Gbagada)</t>
        </is>
      </c>
      <c r="H843" s="15" t="inlineStr">
        <is>
          <t>BP-C0221</t>
        </is>
      </c>
      <c r="I843" s="15" t="inlineStr">
        <is>
          <t>Mr Opeodu Ayodele &amp; Mr Daisi Omokoya</t>
        </is>
      </c>
      <c r="J843" s="17" t="n">
        <v>170000000</v>
      </c>
      <c r="K843" s="15" t="n"/>
      <c r="L843" s="15" t="inlineStr">
        <is>
          <t>Secondary: commission records; no monthly turnover register for this period</t>
        </is>
      </c>
      <c r="M843" s="15" t="inlineStr">
        <is>
          <t>BAAY PROJECTS SALES EXPENSES (COMMISSION) RECORDS (1)</t>
        </is>
      </c>
      <c r="N843" s="15" t="inlineStr">
        <is>
          <t>EXTREME OASIS (MD REALTOR GVC)</t>
        </is>
      </c>
      <c r="O843" s="15" t="n">
        <v>40</v>
      </c>
      <c r="P843" s="15" t="inlineStr">
        <is>
          <t>2025-10-12</t>
        </is>
      </c>
      <c r="Q843" s="15" t="n"/>
      <c r="R843" s="15" t="inlineStr">
        <is>
          <t>Commission-record amount: confirm to bank statement (records can aggregate several transfers)</t>
        </is>
      </c>
    </row>
    <row r="844">
      <c r="A844" s="15" t="inlineStr">
        <is>
          <t>SL0840</t>
        </is>
      </c>
      <c r="B844" s="16" t="n">
        <v>46002</v>
      </c>
      <c r="C844" s="15" t="inlineStr">
        <is>
          <t>2025-12</t>
        </is>
      </c>
      <c r="D844" s="15" t="n">
        <v>2025</v>
      </c>
      <c r="E844" s="15" t="inlineStr">
        <is>
          <t>Housing</t>
        </is>
      </c>
      <c r="F844" s="15" t="inlineStr">
        <is>
          <t>Plot / unit price</t>
        </is>
      </c>
      <c r="G844" s="15" t="inlineStr">
        <is>
          <t>Housing unit (project not stated in source)</t>
        </is>
      </c>
      <c r="H844" s="15" t="inlineStr">
        <is>
          <t>BP-C0133</t>
        </is>
      </c>
      <c r="I844" s="15" t="inlineStr">
        <is>
          <t>Mr Olagbende Oluwashina Oluwaseun</t>
        </is>
      </c>
      <c r="J844" s="17" t="n">
        <v>4000000</v>
      </c>
      <c r="K844" s="15" t="n"/>
      <c r="L844" s="15" t="inlineStr">
        <is>
          <t>Secondary: commission records; no monthly turnover register for this period</t>
        </is>
      </c>
      <c r="M844" s="15" t="inlineStr">
        <is>
          <t>BAAY PROJECTS SALES EXPENSES (COMMISSION) RECORDS (1)</t>
        </is>
      </c>
      <c r="N844" s="15" t="inlineStr">
        <is>
          <t>MS AWONORIN MAYOWA</t>
        </is>
      </c>
      <c r="O844" s="15" t="n">
        <v>112</v>
      </c>
      <c r="P844" s="15" t="inlineStr">
        <is>
          <t>2025-11-12</t>
        </is>
      </c>
      <c r="Q844" s="15" t="n"/>
      <c r="R844" s="15" t="inlineStr">
        <is>
          <t>Commission-record amount: confirm to bank statement (records can aggregate several transfers)</t>
        </is>
      </c>
    </row>
    <row r="845">
      <c r="A845" s="15" t="inlineStr">
        <is>
          <t>SL0841</t>
        </is>
      </c>
      <c r="B845" s="16" t="n">
        <v>46002</v>
      </c>
      <c r="C845" s="15" t="inlineStr">
        <is>
          <t>2025-12</t>
        </is>
      </c>
      <c r="D845" s="15" t="n">
        <v>2025</v>
      </c>
      <c r="E845" s="15" t="inlineStr">
        <is>
          <t>Housing</t>
        </is>
      </c>
      <c r="F845" s="15" t="inlineStr">
        <is>
          <t>Plot / unit price</t>
        </is>
      </c>
      <c r="G845" s="15" t="inlineStr">
        <is>
          <t>Gorge View Court (GVC Gbagada)</t>
        </is>
      </c>
      <c r="H845" s="15" t="inlineStr">
        <is>
          <t>BP-C0221</t>
        </is>
      </c>
      <c r="I845" s="15" t="inlineStr">
        <is>
          <t>Mr Opeodu Ayodele &amp; Mr Daisi Omokoya</t>
        </is>
      </c>
      <c r="J845" s="17" t="n">
        <v>80000000</v>
      </c>
      <c r="K845" s="15" t="n"/>
      <c r="L845" s="15" t="inlineStr">
        <is>
          <t>Secondary: commission records; no monthly turnover register for this period</t>
        </is>
      </c>
      <c r="M845" s="15" t="inlineStr">
        <is>
          <t>BAAY PROJECTS SALES EXPENSES (COMMISSION) RECORDS (1)</t>
        </is>
      </c>
      <c r="N845" s="15" t="inlineStr">
        <is>
          <t>EXTREME OASIS (MD REALTOR GVC)</t>
        </is>
      </c>
      <c r="O845" s="15" t="n">
        <v>41</v>
      </c>
      <c r="P845" s="15" t="inlineStr">
        <is>
          <t>2025-11-12</t>
        </is>
      </c>
      <c r="Q845" s="15" t="n"/>
      <c r="R845" s="15" t="inlineStr">
        <is>
          <t>Commission-record amount: confirm to bank statement (records can aggregate several transfers)</t>
        </is>
      </c>
    </row>
    <row r="846">
      <c r="A846" s="15" t="inlineStr">
        <is>
          <t>SL0842</t>
        </is>
      </c>
      <c r="B846" s="16" t="n">
        <v>46006</v>
      </c>
      <c r="C846" s="15" t="inlineStr">
        <is>
          <t>2025-12</t>
        </is>
      </c>
      <c r="D846" s="15" t="n">
        <v>2025</v>
      </c>
      <c r="E846" s="15" t="inlineStr">
        <is>
          <t>Housing</t>
        </is>
      </c>
      <c r="F846" s="15" t="inlineStr">
        <is>
          <t>Plot / unit price</t>
        </is>
      </c>
      <c r="G846" s="15" t="inlineStr">
        <is>
          <t>Pacific Apartment</t>
        </is>
      </c>
      <c r="H846" s="15" t="inlineStr">
        <is>
          <t>BP-C0204</t>
        </is>
      </c>
      <c r="I846" s="15" t="inlineStr">
        <is>
          <t>Mr Akinjogunla Isaac Ogooluwa</t>
        </is>
      </c>
      <c r="J846" s="17" t="n">
        <v>20000000</v>
      </c>
      <c r="K846" s="15" t="n"/>
      <c r="L846" s="15" t="inlineStr">
        <is>
          <t>Secondary: commission records; no monthly turnover register for this period</t>
        </is>
      </c>
      <c r="M846" s="15" t="inlineStr">
        <is>
          <t>BAAY PROJECTS SALES EXPENSES (COMMISSION) RECORDS (1)</t>
        </is>
      </c>
      <c r="N846" s="15" t="inlineStr">
        <is>
          <t>MS MOFFAT</t>
        </is>
      </c>
      <c r="O846" s="15" t="n">
        <v>114</v>
      </c>
      <c r="P846" s="15" t="inlineStr">
        <is>
          <t>15/12/2025</t>
        </is>
      </c>
      <c r="Q846" s="15" t="n"/>
      <c r="R846" s="15" t="inlineStr">
        <is>
          <t>Commission-record amount: confirm to bank statement (records can aggregate several transfers)</t>
        </is>
      </c>
    </row>
    <row r="847">
      <c r="A847" s="15" t="inlineStr">
        <is>
          <t>SL0843</t>
        </is>
      </c>
      <c r="B847" s="16" t="n">
        <v>46007</v>
      </c>
      <c r="C847" s="15" t="inlineStr">
        <is>
          <t>2025-12</t>
        </is>
      </c>
      <c r="D847" s="15" t="n">
        <v>2025</v>
      </c>
      <c r="E847" s="15" t="inlineStr">
        <is>
          <t>Housing</t>
        </is>
      </c>
      <c r="F847" s="15" t="inlineStr">
        <is>
          <t>Plot / unit price</t>
        </is>
      </c>
      <c r="G847" s="15" t="inlineStr">
        <is>
          <t>Pacific Apartment</t>
        </is>
      </c>
      <c r="H847" s="15" t="inlineStr">
        <is>
          <t>BP-C0204</t>
        </is>
      </c>
      <c r="I847" s="15" t="inlineStr">
        <is>
          <t>Mr Akinjogunla Isaac Ogooluwa</t>
        </is>
      </c>
      <c r="J847" s="17" t="n">
        <v>10000000</v>
      </c>
      <c r="K847" s="15" t="n"/>
      <c r="L847" s="15" t="inlineStr">
        <is>
          <t>Secondary: commission records; no monthly turnover register for this period</t>
        </is>
      </c>
      <c r="M847" s="15" t="inlineStr">
        <is>
          <t>BAAY PROJECTS SALES EXPENSES (COMMISSION) RECORDS (1)</t>
        </is>
      </c>
      <c r="N847" s="15" t="inlineStr">
        <is>
          <t>MS MOFFAT</t>
        </is>
      </c>
      <c r="O847" s="15" t="n">
        <v>115</v>
      </c>
      <c r="P847" s="15" t="inlineStr">
        <is>
          <t>16/12/2025</t>
        </is>
      </c>
      <c r="Q847" s="15" t="n"/>
      <c r="R847" s="15" t="inlineStr">
        <is>
          <t>Commission-record amount: confirm to bank statement (records can aggregate several transfers)</t>
        </is>
      </c>
    </row>
    <row r="848">
      <c r="A848" s="15" t="inlineStr">
        <is>
          <t>SL0844</t>
        </is>
      </c>
      <c r="B848" s="16" t="n">
        <v>46007</v>
      </c>
      <c r="C848" s="15" t="inlineStr">
        <is>
          <t>2025-12</t>
        </is>
      </c>
      <c r="D848" s="15" t="n">
        <v>2025</v>
      </c>
      <c r="E848" s="15" t="inlineStr">
        <is>
          <t>Housing</t>
        </is>
      </c>
      <c r="F848" s="15" t="inlineStr">
        <is>
          <t>Plot / unit price</t>
        </is>
      </c>
      <c r="G848" s="15" t="inlineStr">
        <is>
          <t>Gorge View Court (GVC Gbagada)</t>
        </is>
      </c>
      <c r="H848" s="15" t="inlineStr">
        <is>
          <t>BP-C0217</t>
        </is>
      </c>
      <c r="I848" s="15" t="inlineStr">
        <is>
          <t>Mr Akinsola Joseph Mofoluwaso</t>
        </is>
      </c>
      <c r="J848" s="17" t="n">
        <v>30000000</v>
      </c>
      <c r="K848" s="15" t="n"/>
      <c r="L848" s="15" t="inlineStr">
        <is>
          <t>Secondary: commission records; no monthly turnover register for this period</t>
        </is>
      </c>
      <c r="M848" s="15" t="inlineStr">
        <is>
          <t>BAAY PROJECTS SALES EXPENSES (COMMISSION) RECORDS (1)</t>
        </is>
      </c>
      <c r="N848" s="15" t="inlineStr">
        <is>
          <t>EXTREME OASIS (MD REALTOR GVC)</t>
        </is>
      </c>
      <c r="O848" s="15" t="n">
        <v>49</v>
      </c>
      <c r="P848" s="15" t="inlineStr">
        <is>
          <t>16/12/2025</t>
        </is>
      </c>
      <c r="Q848" s="15" t="n"/>
      <c r="R848" s="15" t="inlineStr">
        <is>
          <t>Commission-record amount: confirm to bank statement (records can aggregate several transfers)</t>
        </is>
      </c>
    </row>
    <row r="849">
      <c r="A849" s="15" t="inlineStr">
        <is>
          <t>SL0845</t>
        </is>
      </c>
      <c r="B849" s="16" t="n">
        <v>46007</v>
      </c>
      <c r="C849" s="15" t="inlineStr">
        <is>
          <t>2025-12</t>
        </is>
      </c>
      <c r="D849" s="15" t="n">
        <v>2025</v>
      </c>
      <c r="E849" s="15" t="inlineStr">
        <is>
          <t>Housing</t>
        </is>
      </c>
      <c r="F849" s="15" t="inlineStr">
        <is>
          <t>Plot / unit price</t>
        </is>
      </c>
      <c r="G849" s="15" t="inlineStr">
        <is>
          <t>Housing unit (project not stated in source)</t>
        </is>
      </c>
      <c r="H849" s="15" t="inlineStr">
        <is>
          <t>BP-C0133</t>
        </is>
      </c>
      <c r="I849" s="15" t="inlineStr">
        <is>
          <t>Mr Olagbende Oluwashina Oluwaseun</t>
        </is>
      </c>
      <c r="J849" s="17" t="n">
        <v>1000000</v>
      </c>
      <c r="K849" s="15" t="n"/>
      <c r="L849" s="15" t="inlineStr">
        <is>
          <t>Secondary: commission records; no monthly turnover register for this period</t>
        </is>
      </c>
      <c r="M849" s="15" t="inlineStr">
        <is>
          <t>BAAY PROJECTS SALES EXPENSES (COMMISSION) RECORDS (1)</t>
        </is>
      </c>
      <c r="N849" s="15" t="inlineStr">
        <is>
          <t>MS AWONORIN MAYOWA</t>
        </is>
      </c>
      <c r="O849" s="15" t="n">
        <v>113</v>
      </c>
      <c r="P849" s="15" t="inlineStr">
        <is>
          <t>16/12/2025</t>
        </is>
      </c>
      <c r="Q849" s="15" t="n"/>
      <c r="R849" s="15" t="inlineStr">
        <is>
          <t>Commission-record amount: confirm to bank statement (records can aggregate several transfers)</t>
        </is>
      </c>
    </row>
    <row r="850">
      <c r="A850" s="15" t="inlineStr">
        <is>
          <t>SL0846</t>
        </is>
      </c>
      <c r="B850" s="16" t="n">
        <v>46008</v>
      </c>
      <c r="C850" s="15" t="inlineStr">
        <is>
          <t>2025-12</t>
        </is>
      </c>
      <c r="D850" s="15" t="n">
        <v>2025</v>
      </c>
      <c r="E850" s="15" t="inlineStr">
        <is>
          <t>Land</t>
        </is>
      </c>
      <c r="F850" s="15" t="inlineStr">
        <is>
          <t>Plot / unit price</t>
        </is>
      </c>
      <c r="G850" s="15" t="inlineStr">
        <is>
          <t>Land (estate not stated in source)</t>
        </is>
      </c>
      <c r="H850" s="15" t="inlineStr">
        <is>
          <t>BP-C0196</t>
        </is>
      </c>
      <c r="I850" s="15" t="inlineStr">
        <is>
          <t>Mr Agbim Ikechukwu Godson</t>
        </is>
      </c>
      <c r="J850" s="17" t="n">
        <v>2000000</v>
      </c>
      <c r="K850" s="15" t="n"/>
      <c r="L850" s="15" t="inlineStr">
        <is>
          <t>Secondary: commission records; no monthly turnover register for this period</t>
        </is>
      </c>
      <c r="M850" s="15" t="inlineStr">
        <is>
          <t>BAAY PROJECTS SALES EXPENSES (COMMISSION) RECORDS (1)</t>
        </is>
      </c>
      <c r="N850" s="15" t="inlineStr">
        <is>
          <t>MRS ABIMBOLA</t>
        </is>
      </c>
      <c r="O850" s="15" t="n">
        <v>254</v>
      </c>
      <c r="P850" s="15" t="inlineStr">
        <is>
          <t>17/12/2025</t>
        </is>
      </c>
      <c r="Q850" s="15" t="n"/>
      <c r="R850" s="15" t="inlineStr">
        <is>
          <t>Commission-record amount: confirm to bank statement (records can aggregate several transfers)</t>
        </is>
      </c>
    </row>
    <row r="851">
      <c r="A851" s="15" t="inlineStr">
        <is>
          <t>SL0847</t>
        </is>
      </c>
      <c r="B851" s="16" t="n">
        <v>46008</v>
      </c>
      <c r="C851" s="15" t="inlineStr">
        <is>
          <t>2025-12</t>
        </is>
      </c>
      <c r="D851" s="15" t="n">
        <v>2025</v>
      </c>
      <c r="E851" s="15" t="inlineStr">
        <is>
          <t>Housing</t>
        </is>
      </c>
      <c r="F851" s="15" t="inlineStr">
        <is>
          <t>Plot / unit price</t>
        </is>
      </c>
      <c r="G851" s="15" t="inlineStr">
        <is>
          <t>Housing unit (project not stated in source)</t>
        </is>
      </c>
      <c r="H851" s="15" t="inlineStr">
        <is>
          <t>BP-C0133</t>
        </is>
      </c>
      <c r="I851" s="15" t="inlineStr">
        <is>
          <t>Mr Olagbende Oluwashina Oluwaseun</t>
        </is>
      </c>
      <c r="J851" s="17" t="n">
        <v>900000</v>
      </c>
      <c r="K851" s="15" t="n"/>
      <c r="L851" s="15" t="inlineStr">
        <is>
          <t>Secondary: commission records; no monthly turnover register for this period</t>
        </is>
      </c>
      <c r="M851" s="15" t="inlineStr">
        <is>
          <t>BAAY PROJECTS SALES EXPENSES (COMMISSION) RECORDS (1)</t>
        </is>
      </c>
      <c r="N851" s="15" t="inlineStr">
        <is>
          <t>MS AWONORIN MAYOWA</t>
        </is>
      </c>
      <c r="O851" s="15" t="n">
        <v>114</v>
      </c>
      <c r="P851" s="15" t="inlineStr">
        <is>
          <t>17/12/2025</t>
        </is>
      </c>
      <c r="Q851" s="15" t="n"/>
      <c r="R851" s="15" t="inlineStr">
        <is>
          <t>Commission-record amount: confirm to bank statement (records can aggregate several transfers)</t>
        </is>
      </c>
    </row>
    <row r="852">
      <c r="A852" s="15" t="inlineStr">
        <is>
          <t>SL0848</t>
        </is>
      </c>
      <c r="B852" s="16" t="n">
        <v>46010</v>
      </c>
      <c r="C852" s="15" t="inlineStr">
        <is>
          <t>2025-12</t>
        </is>
      </c>
      <c r="D852" s="15" t="n">
        <v>2025</v>
      </c>
      <c r="E852" s="15" t="inlineStr">
        <is>
          <t>Housing</t>
        </is>
      </c>
      <c r="F852" s="15" t="inlineStr">
        <is>
          <t>Plot / unit price</t>
        </is>
      </c>
      <c r="G852" s="15" t="inlineStr">
        <is>
          <t>Baay Foreshore</t>
        </is>
      </c>
      <c r="H852" s="15" t="inlineStr">
        <is>
          <t>BP-C0222</t>
        </is>
      </c>
      <c r="I852" s="15" t="inlineStr">
        <is>
          <t>Mr Omodele Oluseye Johnson</t>
        </is>
      </c>
      <c r="J852" s="17" t="n">
        <v>1000000</v>
      </c>
      <c r="K852" s="15" t="n"/>
      <c r="L852" s="15" t="inlineStr">
        <is>
          <t>Secondary: commission records; no monthly turnover register for this period</t>
        </is>
      </c>
      <c r="M852" s="15" t="inlineStr">
        <is>
          <t>BAAY PROJECTS SALES EXPENSES (COMMISSION) RECORDS (1)</t>
        </is>
      </c>
      <c r="N852" s="15" t="inlineStr">
        <is>
          <t>OJUMEFOR AGHA</t>
        </is>
      </c>
      <c r="O852" s="15" t="n">
        <v>2</v>
      </c>
      <c r="P852" s="15" t="inlineStr">
        <is>
          <t>19/12/2025</t>
        </is>
      </c>
      <c r="Q852" s="15" t="n"/>
      <c r="R852" s="15" t="inlineStr">
        <is>
          <t>Commission-record amount: confirm to bank statement (records can aggregate several transfers)</t>
        </is>
      </c>
    </row>
    <row r="853">
      <c r="A853" s="15" t="inlineStr">
        <is>
          <t>SL0849</t>
        </is>
      </c>
      <c r="B853" s="16" t="n">
        <v>46011</v>
      </c>
      <c r="C853" s="15" t="inlineStr">
        <is>
          <t>2025-12</t>
        </is>
      </c>
      <c r="D853" s="15" t="n">
        <v>2025</v>
      </c>
      <c r="E853" s="15" t="inlineStr">
        <is>
          <t>Housing</t>
        </is>
      </c>
      <c r="F853" s="15" t="inlineStr">
        <is>
          <t>Plot / unit price</t>
        </is>
      </c>
      <c r="G853" s="15" t="inlineStr">
        <is>
          <t>Baay Foreshore</t>
        </is>
      </c>
      <c r="H853" s="15" t="inlineStr">
        <is>
          <t>BP-C0222</t>
        </is>
      </c>
      <c r="I853" s="15" t="inlineStr">
        <is>
          <t>Mr Omodele Oluseye Johnson</t>
        </is>
      </c>
      <c r="J853" s="17" t="n">
        <v>1000000</v>
      </c>
      <c r="K853" s="15" t="n"/>
      <c r="L853" s="15" t="inlineStr">
        <is>
          <t>Secondary: commission records; no monthly turnover register for this period</t>
        </is>
      </c>
      <c r="M853" s="15" t="inlineStr">
        <is>
          <t>BAAY PROJECTS SALES EXPENSES (COMMISSION) RECORDS (1)</t>
        </is>
      </c>
      <c r="N853" s="15" t="inlineStr">
        <is>
          <t>OJUMEFOR AGHA</t>
        </is>
      </c>
      <c r="O853" s="15" t="n">
        <v>3</v>
      </c>
      <c r="P853" s="15" t="inlineStr">
        <is>
          <t>20/12/2025</t>
        </is>
      </c>
      <c r="Q853" s="15" t="n"/>
      <c r="R853" s="15" t="inlineStr">
        <is>
          <t>Commission-record amount: confirm to bank statement (records can aggregate several transfers)</t>
        </is>
      </c>
    </row>
    <row r="854">
      <c r="A854" s="15" t="inlineStr">
        <is>
          <t>SL0850</t>
        </is>
      </c>
      <c r="B854" s="16" t="n">
        <v>46012</v>
      </c>
      <c r="C854" s="15" t="inlineStr">
        <is>
          <t>2025-12</t>
        </is>
      </c>
      <c r="D854" s="15" t="n">
        <v>2025</v>
      </c>
      <c r="E854" s="15" t="inlineStr">
        <is>
          <t>Housing</t>
        </is>
      </c>
      <c r="F854" s="15" t="inlineStr">
        <is>
          <t>Plot / unit price</t>
        </is>
      </c>
      <c r="G854" s="15" t="inlineStr">
        <is>
          <t>Baay Foreshore</t>
        </is>
      </c>
      <c r="H854" s="15" t="inlineStr">
        <is>
          <t>BP-C0222</t>
        </is>
      </c>
      <c r="I854" s="15" t="inlineStr">
        <is>
          <t>Mr Omodele Oluseye Johnson</t>
        </is>
      </c>
      <c r="J854" s="17" t="n">
        <v>1000000</v>
      </c>
      <c r="K854" s="15" t="n"/>
      <c r="L854" s="15" t="inlineStr">
        <is>
          <t>Secondary: commission records; no monthly turnover register for this period</t>
        </is>
      </c>
      <c r="M854" s="15" t="inlineStr">
        <is>
          <t>BAAY PROJECTS SALES EXPENSES (COMMISSION) RECORDS (1)</t>
        </is>
      </c>
      <c r="N854" s="15" t="inlineStr">
        <is>
          <t>OJUMEFOR AGHA</t>
        </is>
      </c>
      <c r="O854" s="15" t="n">
        <v>4</v>
      </c>
      <c r="P854" s="15" t="inlineStr">
        <is>
          <t>21/12/2025</t>
        </is>
      </c>
      <c r="Q854" s="15" t="n"/>
      <c r="R854" s="15" t="inlineStr">
        <is>
          <t>Commission-record amount: confirm to bank statement (records can aggregate several transfers)</t>
        </is>
      </c>
    </row>
    <row r="855">
      <c r="A855" s="15" t="inlineStr">
        <is>
          <t>SL0851</t>
        </is>
      </c>
      <c r="B855" s="16" t="n">
        <v>46014</v>
      </c>
      <c r="C855" s="15" t="inlineStr">
        <is>
          <t>2025-12</t>
        </is>
      </c>
      <c r="D855" s="15" t="n">
        <v>2025</v>
      </c>
      <c r="E855" s="15" t="inlineStr">
        <is>
          <t>Housing</t>
        </is>
      </c>
      <c r="F855" s="15" t="inlineStr">
        <is>
          <t>Plot / unit price</t>
        </is>
      </c>
      <c r="G855" s="15" t="inlineStr">
        <is>
          <t>Baay Foreshore</t>
        </is>
      </c>
      <c r="H855" s="15" t="inlineStr">
        <is>
          <t>BP-C0222</t>
        </is>
      </c>
      <c r="I855" s="15" t="inlineStr">
        <is>
          <t>Mr Omodele Oluseye Johnson</t>
        </is>
      </c>
      <c r="J855" s="17" t="n">
        <v>500000</v>
      </c>
      <c r="K855" s="15" t="n"/>
      <c r="L855" s="15" t="inlineStr">
        <is>
          <t>Secondary: commission records; no monthly turnover register for this period</t>
        </is>
      </c>
      <c r="M855" s="15" t="inlineStr">
        <is>
          <t>BAAY PROJECTS SALES EXPENSES (COMMISSION) RECORDS (1)</t>
        </is>
      </c>
      <c r="N855" s="15" t="inlineStr">
        <is>
          <t>OJUMEFOR AGHA</t>
        </is>
      </c>
      <c r="O855" s="15" t="n">
        <v>5</v>
      </c>
      <c r="P855" s="15" t="inlineStr">
        <is>
          <t>23/12/2025</t>
        </is>
      </c>
      <c r="Q855" s="15" t="n"/>
      <c r="R855" s="15" t="inlineStr">
        <is>
          <t>Commission-record amount: confirm to bank statement (records can aggregate several transfers)</t>
        </is>
      </c>
    </row>
    <row r="856">
      <c r="A856" s="15" t="inlineStr">
        <is>
          <t>SL0852</t>
        </is>
      </c>
      <c r="B856" s="16" t="n">
        <v>46014</v>
      </c>
      <c r="C856" s="15" t="inlineStr">
        <is>
          <t>2025-12</t>
        </is>
      </c>
      <c r="D856" s="15" t="n">
        <v>2025</v>
      </c>
      <c r="E856" s="15" t="inlineStr">
        <is>
          <t>Housing</t>
        </is>
      </c>
      <c r="F856" s="15" t="inlineStr">
        <is>
          <t>Plot / unit price</t>
        </is>
      </c>
      <c r="G856" s="15" t="inlineStr">
        <is>
          <t>Baay Foreshore</t>
        </is>
      </c>
      <c r="H856" s="15" t="inlineStr">
        <is>
          <t>BP-C0222</t>
        </is>
      </c>
      <c r="I856" s="15" t="inlineStr">
        <is>
          <t>Mr Omodele Oluseye Johnson</t>
        </is>
      </c>
      <c r="J856" s="17" t="n">
        <v>2000000</v>
      </c>
      <c r="K856" s="15" t="n"/>
      <c r="L856" s="15" t="inlineStr">
        <is>
          <t>Secondary: commission records; no monthly turnover register for this period</t>
        </is>
      </c>
      <c r="M856" s="15" t="inlineStr">
        <is>
          <t>BAAY PROJECTS SALES EXPENSES (COMMISSION) RECORDS (1)</t>
        </is>
      </c>
      <c r="N856" s="15" t="inlineStr">
        <is>
          <t>OJUMEFOR AGHA</t>
        </is>
      </c>
      <c r="O856" s="15" t="n">
        <v>6</v>
      </c>
      <c r="P856" s="15" t="inlineStr">
        <is>
          <t>23/12/2025</t>
        </is>
      </c>
      <c r="Q856" s="15" t="n"/>
      <c r="R856" s="15" t="inlineStr">
        <is>
          <t>Commission-record amount: confirm to bank statement (records can aggregate several transfers)</t>
        </is>
      </c>
    </row>
    <row r="857">
      <c r="A857" s="15" t="inlineStr">
        <is>
          <t>SL0853</t>
        </is>
      </c>
      <c r="B857" s="16" t="n">
        <v>46015</v>
      </c>
      <c r="C857" s="15" t="inlineStr">
        <is>
          <t>2025-12</t>
        </is>
      </c>
      <c r="D857" s="15" t="n">
        <v>2025</v>
      </c>
      <c r="E857" s="15" t="inlineStr">
        <is>
          <t>Housing</t>
        </is>
      </c>
      <c r="F857" s="15" t="inlineStr">
        <is>
          <t>Plot / unit price</t>
        </is>
      </c>
      <c r="G857" s="15" t="inlineStr">
        <is>
          <t>Baay Foreshore</t>
        </is>
      </c>
      <c r="H857" s="15" t="inlineStr">
        <is>
          <t>BP-C0213</t>
        </is>
      </c>
      <c r="I857" s="15" t="inlineStr">
        <is>
          <t>Mr Adelani Ibrahim Akinkunmi</t>
        </is>
      </c>
      <c r="J857" s="17" t="n">
        <v>2500000</v>
      </c>
      <c r="K857" s="15" t="n"/>
      <c r="L857" s="15" t="inlineStr">
        <is>
          <t>Secondary: commission records; no monthly turnover register for this period</t>
        </is>
      </c>
      <c r="M857" s="15" t="inlineStr">
        <is>
          <t>BAAY PROJECTS SALES EXPENSES (COMMISSION) RECORDS (1)</t>
        </is>
      </c>
      <c r="N857" s="15" t="inlineStr">
        <is>
          <t>MS BOLANLE</t>
        </is>
      </c>
      <c r="O857" s="15" t="n">
        <v>240</v>
      </c>
      <c r="P857" s="15" t="inlineStr">
        <is>
          <t>24/12/2025</t>
        </is>
      </c>
      <c r="Q857" s="15" t="n"/>
      <c r="R857" s="15" t="inlineStr">
        <is>
          <t>Commission-record amount: confirm to bank statement (records can aggregate several transfers)</t>
        </is>
      </c>
    </row>
    <row r="858">
      <c r="A858" s="15" t="inlineStr">
        <is>
          <t>SL0854</t>
        </is>
      </c>
      <c r="B858" s="16" t="n">
        <v>46015</v>
      </c>
      <c r="C858" s="15" t="inlineStr">
        <is>
          <t>2025-12</t>
        </is>
      </c>
      <c r="D858" s="15" t="n">
        <v>2025</v>
      </c>
      <c r="E858" s="15" t="inlineStr">
        <is>
          <t>Housing</t>
        </is>
      </c>
      <c r="F858" s="15" t="inlineStr">
        <is>
          <t>Plot / unit price</t>
        </is>
      </c>
      <c r="G858" s="15" t="inlineStr">
        <is>
          <t>Pacific Apartment</t>
        </is>
      </c>
      <c r="H858" s="15" t="inlineStr">
        <is>
          <t>BP-C0224</t>
        </is>
      </c>
      <c r="I858" s="15" t="inlineStr">
        <is>
          <t>Salem real Estate (Mr Adebowale Oyindamola Adewunmi)</t>
        </is>
      </c>
      <c r="J858" s="17" t="n">
        <v>15000000</v>
      </c>
      <c r="K858" s="15" t="n"/>
      <c r="L858" s="15" t="inlineStr">
        <is>
          <t>Secondary: commission records; no monthly turnover register for this period</t>
        </is>
      </c>
      <c r="M858" s="15" t="inlineStr">
        <is>
          <t>BAAY PROJECTS SALES EXPENSES (COMMISSION) RECORDS (1)</t>
        </is>
      </c>
      <c r="N858" s="15" t="inlineStr">
        <is>
          <t>MD</t>
        </is>
      </c>
      <c r="O858" s="15" t="n">
        <v>217</v>
      </c>
      <c r="P858" s="15" t="inlineStr">
        <is>
          <t>24/12/2025</t>
        </is>
      </c>
      <c r="Q858" s="15" t="inlineStr">
        <is>
          <t>SALEM REAL ESTATE r66</t>
        </is>
      </c>
      <c r="R858" s="15" t="inlineStr">
        <is>
          <t>Commission-record amount: confirm to bank statement (records can aggregate several transfers)</t>
        </is>
      </c>
    </row>
    <row r="859">
      <c r="A859" s="15" t="inlineStr">
        <is>
          <t>SL0855</t>
        </is>
      </c>
      <c r="B859" s="16" t="n">
        <v>46017</v>
      </c>
      <c r="C859" s="15" t="inlineStr">
        <is>
          <t>2025-12</t>
        </is>
      </c>
      <c r="D859" s="15" t="n">
        <v>2025</v>
      </c>
      <c r="E859" s="15" t="inlineStr">
        <is>
          <t>Housing</t>
        </is>
      </c>
      <c r="F859" s="15" t="inlineStr">
        <is>
          <t>Plot / unit price</t>
        </is>
      </c>
      <c r="G859" s="15" t="inlineStr">
        <is>
          <t>Baay Foreshore</t>
        </is>
      </c>
      <c r="H859" s="15" t="inlineStr">
        <is>
          <t>BP-C0132</t>
        </is>
      </c>
      <c r="I859" s="15" t="inlineStr">
        <is>
          <t>Mr Adekunle Temitope Ajayi</t>
        </is>
      </c>
      <c r="J859" s="17" t="n">
        <v>5000000</v>
      </c>
      <c r="K859" s="15" t="n"/>
      <c r="L859" s="15" t="inlineStr">
        <is>
          <t>Secondary: commission records; no monthly turnover register for this period</t>
        </is>
      </c>
      <c r="M859" s="15" t="inlineStr">
        <is>
          <t>BAAY PROJECTS SALES EXPENSES (COMMISSION) RECORDS (1)</t>
        </is>
      </c>
      <c r="N859" s="15" t="inlineStr">
        <is>
          <t>MS OPEYEMI ADEGOKE</t>
        </is>
      </c>
      <c r="O859" s="15" t="n">
        <v>39</v>
      </c>
      <c r="P859" s="15" t="inlineStr">
        <is>
          <t>26/12/2025</t>
        </is>
      </c>
      <c r="Q859" s="15" t="n"/>
      <c r="R859" s="15" t="inlineStr">
        <is>
          <t>Commission-record amount: confirm to bank statement (records can aggregate several transfers)</t>
        </is>
      </c>
    </row>
    <row r="860">
      <c r="A860" s="15" t="inlineStr">
        <is>
          <t>SL0856</t>
        </is>
      </c>
      <c r="B860" s="16" t="n">
        <v>46018</v>
      </c>
      <c r="C860" s="15" t="inlineStr">
        <is>
          <t>2025-12</t>
        </is>
      </c>
      <c r="D860" s="15" t="n">
        <v>2025</v>
      </c>
      <c r="E860" s="15" t="inlineStr">
        <is>
          <t>Housing</t>
        </is>
      </c>
      <c r="F860" s="15" t="inlineStr">
        <is>
          <t>Plot / unit price</t>
        </is>
      </c>
      <c r="G860" s="15" t="inlineStr">
        <is>
          <t>Baay Foreshore</t>
        </is>
      </c>
      <c r="H860" s="15" t="inlineStr">
        <is>
          <t>BP-C0132</t>
        </is>
      </c>
      <c r="I860" s="15" t="inlineStr">
        <is>
          <t>Mr Adekunle Temitope Ajayi</t>
        </is>
      </c>
      <c r="J860" s="17" t="n">
        <v>5000000</v>
      </c>
      <c r="K860" s="15" t="n"/>
      <c r="L860" s="15" t="inlineStr">
        <is>
          <t>Secondary: commission records; no monthly turnover register for this period</t>
        </is>
      </c>
      <c r="M860" s="15" t="inlineStr">
        <is>
          <t>BAAY PROJECTS SALES EXPENSES (COMMISSION) RECORDS (1)</t>
        </is>
      </c>
      <c r="N860" s="15" t="inlineStr">
        <is>
          <t>MS OPEYEMI ADEGOKE</t>
        </is>
      </c>
      <c r="O860" s="15" t="n">
        <v>40</v>
      </c>
      <c r="P860" s="15" t="inlineStr">
        <is>
          <t>27/12/2025</t>
        </is>
      </c>
      <c r="Q860" s="15" t="n"/>
      <c r="R860" s="15" t="inlineStr">
        <is>
          <t>Commission-record amount: confirm to bank statement (records can aggregate several transfers)</t>
        </is>
      </c>
    </row>
    <row r="861">
      <c r="A861" s="15" t="inlineStr">
        <is>
          <t>SL0857</t>
        </is>
      </c>
      <c r="B861" s="16" t="n">
        <v>46018</v>
      </c>
      <c r="C861" s="15" t="inlineStr">
        <is>
          <t>2025-12</t>
        </is>
      </c>
      <c r="D861" s="15" t="n">
        <v>2025</v>
      </c>
      <c r="E861" s="15" t="inlineStr">
        <is>
          <t>Housing</t>
        </is>
      </c>
      <c r="F861" s="15" t="inlineStr">
        <is>
          <t>Plot / unit price</t>
        </is>
      </c>
      <c r="G861" s="15" t="inlineStr">
        <is>
          <t>Baay Foreshore</t>
        </is>
      </c>
      <c r="H861" s="15" t="inlineStr">
        <is>
          <t>BP-C0214</t>
        </is>
      </c>
      <c r="I861" s="15" t="inlineStr">
        <is>
          <t>Mrs Taiwo Adeyinka</t>
        </is>
      </c>
      <c r="J861" s="17" t="n">
        <v>5000000</v>
      </c>
      <c r="K861" s="15" t="n"/>
      <c r="L861" s="15" t="inlineStr">
        <is>
          <t>Secondary: commission records; no monthly turnover register for this period</t>
        </is>
      </c>
      <c r="M861" s="15" t="inlineStr">
        <is>
          <t>BAAY PROJECTS SALES EXPENSES (COMMISSION) RECORDS (1)</t>
        </is>
      </c>
      <c r="N861" s="15" t="inlineStr">
        <is>
          <t>MS BOLANLE</t>
        </is>
      </c>
      <c r="O861" s="15" t="n">
        <v>241</v>
      </c>
      <c r="P861" s="15" t="inlineStr">
        <is>
          <t>27/12/2025</t>
        </is>
      </c>
      <c r="Q861" s="15" t="n"/>
      <c r="R861" s="15" t="inlineStr">
        <is>
          <t>Commission-record amount: confirm to bank statement (records can aggregate several transfers)</t>
        </is>
      </c>
    </row>
    <row r="862">
      <c r="A862" s="15" t="inlineStr">
        <is>
          <t>SL0858</t>
        </is>
      </c>
      <c r="B862" s="16" t="n">
        <v>46021</v>
      </c>
      <c r="C862" s="15" t="inlineStr">
        <is>
          <t>2025-12</t>
        </is>
      </c>
      <c r="D862" s="15" t="n">
        <v>2025</v>
      </c>
      <c r="E862" s="15" t="inlineStr">
        <is>
          <t>Housing</t>
        </is>
      </c>
      <c r="F862" s="15" t="inlineStr">
        <is>
          <t>Plot / unit price</t>
        </is>
      </c>
      <c r="G862" s="15" t="inlineStr">
        <is>
          <t>Baay Foreshore</t>
        </is>
      </c>
      <c r="H862" s="15" t="inlineStr">
        <is>
          <t>BP-C0219</t>
        </is>
      </c>
      <c r="I862" s="15" t="inlineStr">
        <is>
          <t>Mr Sunday Ali Patrick</t>
        </is>
      </c>
      <c r="J862" s="17" t="n">
        <v>5000000</v>
      </c>
      <c r="K862" s="15" t="n"/>
      <c r="L862" s="15" t="inlineStr">
        <is>
          <t>Secondary: commission records; no monthly turnover register for this period</t>
        </is>
      </c>
      <c r="M862" s="15" t="inlineStr">
        <is>
          <t>BAAY PROJECTS SALES EXPENSES (COMMISSION) RECORDS (1)</t>
        </is>
      </c>
      <c r="N862" s="15" t="inlineStr">
        <is>
          <t>MARKETING DEPT</t>
        </is>
      </c>
      <c r="O862" s="15" t="n">
        <v>24</v>
      </c>
      <c r="P862" s="15" t="inlineStr">
        <is>
          <t>30/12/2025</t>
        </is>
      </c>
      <c r="Q862" s="15" t="n"/>
      <c r="R862" s="15" t="inlineStr">
        <is>
          <t>Commission-record amount: confirm to bank statement (records can aggregate several transfers)</t>
        </is>
      </c>
    </row>
    <row r="863">
      <c r="A863" s="15" t="inlineStr">
        <is>
          <t>SL0859</t>
        </is>
      </c>
      <c r="B863" s="16" t="n">
        <v>46022</v>
      </c>
      <c r="C863" s="15" t="inlineStr">
        <is>
          <t>2025-12</t>
        </is>
      </c>
      <c r="D863" s="15" t="n">
        <v>2025</v>
      </c>
      <c r="E863" s="15" t="inlineStr">
        <is>
          <t>Housing</t>
        </is>
      </c>
      <c r="F863" s="15" t="inlineStr">
        <is>
          <t>Plot / unit price</t>
        </is>
      </c>
      <c r="G863" s="15" t="inlineStr">
        <is>
          <t>Baay Foreshore</t>
        </is>
      </c>
      <c r="H863" s="15" t="inlineStr">
        <is>
          <t>BP-C0222</t>
        </is>
      </c>
      <c r="I863" s="15" t="inlineStr">
        <is>
          <t>Mr Omodele Oluseye Johnson</t>
        </is>
      </c>
      <c r="J863" s="17" t="n">
        <v>10500000</v>
      </c>
      <c r="K863" s="15" t="n"/>
      <c r="L863" s="15" t="inlineStr">
        <is>
          <t>Secondary: commission records; no monthly turnover register for this period</t>
        </is>
      </c>
      <c r="M863" s="15" t="inlineStr">
        <is>
          <t>BAAY PROJECTS SALES EXPENSES (COMMISSION) RECORDS (1)</t>
        </is>
      </c>
      <c r="N863" s="15" t="inlineStr">
        <is>
          <t>OJUMEFOR AGHA</t>
        </is>
      </c>
      <c r="O863" s="15" t="n">
        <v>7</v>
      </c>
      <c r="P863" s="15" t="inlineStr">
        <is>
          <t>31/12/2025</t>
        </is>
      </c>
      <c r="Q863" s="15" t="n"/>
      <c r="R863" s="15" t="inlineStr">
        <is>
          <t>Commission-record amount: confirm to bank statement (records can aggregate several transfers)</t>
        </is>
      </c>
    </row>
    <row r="864">
      <c r="I864" s="18" t="inlineStr">
        <is>
          <t>Total</t>
        </is>
      </c>
      <c r="J864" s="19">
        <f>SUBTOTAL(9,J5:J863)</f>
        <v/>
      </c>
    </row>
  </sheetData>
  <autoFilter ref="A4:R863"/>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T219"/>
  <sheetViews>
    <sheetView zoomScaleNormal="100" workbookViewId="0">
      <pane xSplit="3" ySplit="4" topLeftCell="D83" activePane="bottomRight" state="frozen"/>
      <selection pane="topRight" activeCell="D1" sqref="D1"/>
      <selection pane="bottomLeft" activeCell="A5" sqref="A5"/>
      <selection pane="bottomRight" activeCell="I10" sqref="I10"/>
    </sheetView>
  </sheetViews>
  <sheetFormatPr baseColWidth="8" defaultColWidth="8.6328125" defaultRowHeight="14.5"/>
  <cols>
    <col width="9" customWidth="1" min="1" max="1"/>
    <col width="11" customWidth="1" min="2" max="2"/>
    <col width="34" customWidth="1" min="3" max="3"/>
    <col width="11" customWidth="1" min="4" max="4"/>
    <col width="30" customWidth="1" min="5" max="5"/>
    <col width="22" customWidth="1" min="6" max="6"/>
    <col width="13" customWidth="1" min="7" max="7"/>
    <col width="7" customWidth="1" min="8" max="8"/>
    <col width="15" customWidth="1" min="9" max="9"/>
    <col width="16" customWidth="1" min="10" max="10"/>
    <col width="15" customWidth="1" min="11" max="11"/>
    <col width="13" customWidth="1" min="12" max="12"/>
    <col width="16" customWidth="1" min="13" max="14"/>
    <col width="20" customWidth="1" min="15" max="16"/>
    <col width="30" customWidth="1" min="17" max="17"/>
    <col width="8" customWidth="1" min="18" max="18"/>
    <col width="13" customWidth="1" min="19" max="19"/>
    <col width="40" customWidth="1" min="20" max="20"/>
  </cols>
  <sheetData>
    <row r="1" ht="18" customHeight="1">
      <c r="A1" s="1" t="inlineStr">
        <is>
          <t>Customer subscriptions per client register (subscribed Jan 2022 to Dec 2025)</t>
        </is>
      </c>
    </row>
    <row r="2">
      <c r="A2" s="2" t="inlineStr">
        <is>
          <t>One row per customer per project, as recorded by Client Relations. Contract value and paid-to-date are as stated in the register, not recomputed.</t>
        </is>
      </c>
    </row>
    <row r="4" ht="30" customHeight="1">
      <c r="A4" s="14" t="inlineStr">
        <is>
          <t>Sub ref</t>
        </is>
      </c>
      <c r="B4" s="14" t="inlineStr">
        <is>
          <t>Customer ID</t>
        </is>
      </c>
      <c r="C4" s="14" t="inlineStr">
        <is>
          <t>Customer name (register)</t>
        </is>
      </c>
      <c r="D4" s="14" t="inlineStr">
        <is>
          <t>Product line</t>
        </is>
      </c>
      <c r="E4" s="14" t="inlineStr">
        <is>
          <t>Project / estate</t>
        </is>
      </c>
      <c r="F4" s="14" t="inlineStr">
        <is>
          <t>Unit / plot</t>
        </is>
      </c>
      <c r="G4" s="14" t="inlineStr">
        <is>
          <t>Subscription date</t>
        </is>
      </c>
      <c r="H4" s="14" t="inlineStr">
        <is>
          <t>Year</t>
        </is>
      </c>
      <c r="I4" s="14" t="inlineStr">
        <is>
          <t>Contract value (₦)</t>
        </is>
      </c>
      <c r="J4" s="14" t="inlineStr">
        <is>
          <t>Paid to date per register (₦)</t>
        </is>
      </c>
      <c r="K4" s="14" t="inlineStr">
        <is>
          <t>Balance per register (₦)</t>
        </is>
      </c>
      <c r="L4" s="14" t="inlineStr">
        <is>
          <t>Payment plan</t>
        </is>
      </c>
      <c r="M4" s="14" t="inlineStr">
        <is>
          <t>Status</t>
        </is>
      </c>
      <c r="N4" s="14" t="inlineStr">
        <is>
          <t>Allocation</t>
        </is>
      </c>
      <c r="O4" s="14" t="inlineStr">
        <is>
          <t>Documents stage</t>
        </is>
      </c>
      <c r="P4" s="14" t="inlineStr">
        <is>
          <t>Realtor / contact</t>
        </is>
      </c>
      <c r="Q4" s="14" t="inlineStr">
        <is>
          <t>Source sheet</t>
        </is>
      </c>
      <c r="R4" s="14" t="inlineStr">
        <is>
          <t>Source row</t>
        </is>
      </c>
      <c r="S4" s="14" t="inlineStr">
        <is>
          <t>Date as recorded</t>
        </is>
      </c>
      <c r="T4" s="14" t="inlineStr">
        <is>
          <t>Note</t>
        </is>
      </c>
    </row>
    <row r="5">
      <c r="A5" s="15" t="inlineStr">
        <is>
          <t>SB0001</t>
        </is>
      </c>
      <c r="B5" s="15" t="inlineStr">
        <is>
          <t>BP-C0001</t>
        </is>
      </c>
      <c r="C5" s="15" t="inlineStr">
        <is>
          <t>Mr Meshack Osagie</t>
        </is>
      </c>
      <c r="D5" s="15" t="inlineStr">
        <is>
          <t>Housing</t>
        </is>
      </c>
      <c r="E5" s="15" t="inlineStr">
        <is>
          <t>Pacific Court</t>
        </is>
      </c>
      <c r="F5" s="15" t="inlineStr">
        <is>
          <t>terrace | units: 3.0</t>
        </is>
      </c>
      <c r="G5" s="16" t="n">
        <v>44593</v>
      </c>
      <c r="H5" s="15">
        <f>IF(G5="","",YEAR(G5))</f>
        <v/>
      </c>
      <c r="I5" s="17" t="n">
        <v>10500000</v>
      </c>
      <c r="J5" s="17" t="n"/>
      <c r="K5" s="17">
        <f>IF(OR(I5="",J5=""),"",I5-J5)</f>
        <v/>
      </c>
      <c r="L5" s="15" t="inlineStr">
        <is>
          <t>15MONTHS</t>
        </is>
      </c>
      <c r="M5" s="15" t="inlineStr">
        <is>
          <t>PAID</t>
        </is>
      </c>
      <c r="N5" s="15" t="n"/>
      <c r="O5" s="15" t="n"/>
      <c r="P5" s="15" t="inlineStr">
        <is>
          <t>AKIN PHILIP</t>
        </is>
      </c>
      <c r="Q5" s="15" t="inlineStr">
        <is>
          <t>BAAY PROJECTS CLIENTS &gt; PACIFIC COURT INVESTORS LIST</t>
        </is>
      </c>
      <c r="R5" s="15" t="n">
        <v>2</v>
      </c>
      <c r="S5" s="15" t="inlineStr">
        <is>
          <t>2022-02-01</t>
        </is>
      </c>
      <c r="T5" s="15" t="n"/>
    </row>
    <row r="6">
      <c r="A6" s="15" t="inlineStr">
        <is>
          <t>SB0002</t>
        </is>
      </c>
      <c r="B6" s="15" t="inlineStr">
        <is>
          <t>BP-C0002</t>
        </is>
      </c>
      <c r="C6" s="15" t="inlineStr">
        <is>
          <t>Temidayo Oniosun</t>
        </is>
      </c>
      <c r="D6" s="15" t="inlineStr">
        <is>
          <t>Housing</t>
        </is>
      </c>
      <c r="E6" s="15" t="inlineStr">
        <is>
          <t>Pacific Court</t>
        </is>
      </c>
      <c r="F6" s="15" t="inlineStr">
        <is>
          <t>fully detached | units: 1.0</t>
        </is>
      </c>
      <c r="G6" s="16" t="n">
        <v>44652</v>
      </c>
      <c r="H6" s="15">
        <f>IF(G6="","",YEAR(G6))</f>
        <v/>
      </c>
      <c r="I6" s="17" t="n">
        <v>52200000</v>
      </c>
      <c r="J6" s="17" t="n"/>
      <c r="K6" s="17">
        <f>IF(OR(I6="",J6=""),"",I6-J6)</f>
        <v/>
      </c>
      <c r="L6" s="15" t="inlineStr">
        <is>
          <t>5MONTHS</t>
        </is>
      </c>
      <c r="M6" s="15" t="inlineStr">
        <is>
          <t>PAID</t>
        </is>
      </c>
      <c r="N6" s="15" t="n"/>
      <c r="O6" s="15" t="n"/>
      <c r="P6" s="15" t="inlineStr">
        <is>
          <t>MD</t>
        </is>
      </c>
      <c r="Q6" s="15" t="inlineStr">
        <is>
          <t>BAAY PROJECTS CLIENTS &gt; PACIFIC COURT INVESTORS LIST</t>
        </is>
      </c>
      <c r="R6" s="15" t="n">
        <v>3</v>
      </c>
      <c r="S6" s="15" t="inlineStr">
        <is>
          <t>2022-04-01</t>
        </is>
      </c>
      <c r="T6" s="15" t="n"/>
    </row>
    <row r="7">
      <c r="A7" s="15" t="inlineStr">
        <is>
          <t>SB0003</t>
        </is>
      </c>
      <c r="B7" s="15" t="inlineStr">
        <is>
          <t>BP-C0003</t>
        </is>
      </c>
      <c r="C7" s="15" t="inlineStr">
        <is>
          <t>Mrs Agbaje</t>
        </is>
      </c>
      <c r="D7" s="15" t="inlineStr">
        <is>
          <t>Housing</t>
        </is>
      </c>
      <c r="E7" s="15" t="inlineStr">
        <is>
          <t>Pacific Court</t>
        </is>
      </c>
      <c r="F7" s="15" t="inlineStr">
        <is>
          <t>fully detached | units: 1.0</t>
        </is>
      </c>
      <c r="G7" s="16" t="n">
        <v>44713</v>
      </c>
      <c r="H7" s="15">
        <f>IF(G7="","",YEAR(G7))</f>
        <v/>
      </c>
      <c r="I7" s="17" t="n">
        <v>63000000</v>
      </c>
      <c r="J7" s="17" t="n"/>
      <c r="K7" s="17">
        <f>IF(OR(I7="",J7=""),"",I7-J7)</f>
        <v/>
      </c>
      <c r="L7" s="15" t="inlineStr">
        <is>
          <t>10MONTHS</t>
        </is>
      </c>
      <c r="M7" s="15" t="inlineStr">
        <is>
          <t>PAID</t>
        </is>
      </c>
      <c r="N7" s="15" t="n"/>
      <c r="O7" s="15" t="n"/>
      <c r="P7" s="15" t="inlineStr">
        <is>
          <t>MR BIOLA AKOSILE</t>
        </is>
      </c>
      <c r="Q7" s="15" t="inlineStr">
        <is>
          <t>BAAY PROJECTS CLIENTS &gt; PACIFIC COURT INVESTORS LIST</t>
        </is>
      </c>
      <c r="R7" s="15" t="n">
        <v>4</v>
      </c>
      <c r="S7" s="15" t="inlineStr">
        <is>
          <t>2022-06-01</t>
        </is>
      </c>
      <c r="T7" s="15" t="n"/>
    </row>
    <row r="8">
      <c r="A8" s="15" t="inlineStr">
        <is>
          <t>SB0004</t>
        </is>
      </c>
      <c r="B8" s="15" t="inlineStr">
        <is>
          <t>BP-C0004</t>
        </is>
      </c>
      <c r="C8" s="15" t="inlineStr">
        <is>
          <t>Mrs Kate</t>
        </is>
      </c>
      <c r="D8" s="15" t="inlineStr">
        <is>
          <t>Housing</t>
        </is>
      </c>
      <c r="E8" s="15" t="inlineStr">
        <is>
          <t>Pacific Court</t>
        </is>
      </c>
      <c r="F8" s="15" t="inlineStr">
        <is>
          <t>terrace | units: 1.0</t>
        </is>
      </c>
      <c r="G8" s="16" t="n">
        <v>44774</v>
      </c>
      <c r="H8" s="15">
        <f>IF(G8="","",YEAR(G8))</f>
        <v/>
      </c>
      <c r="I8" s="17" t="n">
        <v>40000000</v>
      </c>
      <c r="J8" s="17" t="n"/>
      <c r="K8" s="17">
        <f>IF(OR(I8="",J8=""),"",I8-J8)</f>
        <v/>
      </c>
      <c r="L8" s="15" t="inlineStr">
        <is>
          <t>24MONTHS</t>
        </is>
      </c>
      <c r="M8" s="15" t="inlineStr">
        <is>
          <t>REFUND</t>
        </is>
      </c>
      <c r="N8" s="15" t="n"/>
      <c r="O8" s="15" t="n"/>
      <c r="P8" s="15" t="inlineStr">
        <is>
          <t>MD</t>
        </is>
      </c>
      <c r="Q8" s="15" t="inlineStr">
        <is>
          <t>BAAY PROJECTS CLIENTS &gt; PACIFIC COURT INVESTORS LIST</t>
        </is>
      </c>
      <c r="R8" s="15" t="n">
        <v>5</v>
      </c>
      <c r="S8" s="15" t="inlineStr">
        <is>
          <t>2022-08-01</t>
        </is>
      </c>
      <c r="T8" s="15" t="n"/>
    </row>
    <row r="9">
      <c r="A9" s="15" t="inlineStr">
        <is>
          <t>SB0005</t>
        </is>
      </c>
      <c r="B9" s="15" t="inlineStr">
        <is>
          <t>BP-C0005</t>
        </is>
      </c>
      <c r="C9" s="15" t="inlineStr">
        <is>
          <t>Mrs Mo</t>
        </is>
      </c>
      <c r="D9" s="15" t="inlineStr">
        <is>
          <t>Housing</t>
        </is>
      </c>
      <c r="E9" s="15" t="inlineStr">
        <is>
          <t>Pacific Court</t>
        </is>
      </c>
      <c r="F9" s="15" t="inlineStr">
        <is>
          <t>terrace | units: 1.0</t>
        </is>
      </c>
      <c r="G9" s="16" t="n">
        <v>44896</v>
      </c>
      <c r="H9" s="15">
        <f>IF(G9="","",YEAR(G9))</f>
        <v/>
      </c>
      <c r="I9" s="17" t="n">
        <v>47000000</v>
      </c>
      <c r="J9" s="17" t="n"/>
      <c r="K9" s="17">
        <f>IF(OR(I9="",J9=""),"",I9-J9)</f>
        <v/>
      </c>
      <c r="L9" s="15" t="inlineStr">
        <is>
          <t>10MONTHS</t>
        </is>
      </c>
      <c r="M9" s="15" t="inlineStr">
        <is>
          <t>PAID</t>
        </is>
      </c>
      <c r="N9" s="15" t="n"/>
      <c r="O9" s="15" t="n"/>
      <c r="P9" s="15" t="inlineStr">
        <is>
          <t>MS YETUNDE ABISOYE</t>
        </is>
      </c>
      <c r="Q9" s="15" t="inlineStr">
        <is>
          <t>BAAY PROJECTS CLIENTS &gt; PACIFIC COURT INVESTORS LIST</t>
        </is>
      </c>
      <c r="R9" s="15" t="n">
        <v>6</v>
      </c>
      <c r="S9" s="15" t="inlineStr">
        <is>
          <t>2022-12-01</t>
        </is>
      </c>
      <c r="T9" s="15" t="n"/>
    </row>
    <row r="10">
      <c r="A10" s="15" t="inlineStr">
        <is>
          <t>SB0006</t>
        </is>
      </c>
      <c r="B10" s="15" t="inlineStr">
        <is>
          <t>BP-C0007</t>
        </is>
      </c>
      <c r="C10" s="15" t="inlineStr">
        <is>
          <t>Mrs Ero</t>
        </is>
      </c>
      <c r="D10" s="15" t="inlineStr">
        <is>
          <t>Housing</t>
        </is>
      </c>
      <c r="E10" s="15" t="inlineStr">
        <is>
          <t>Pacific Court</t>
        </is>
      </c>
      <c r="F10" s="15" t="inlineStr">
        <is>
          <t>fully detached | units: 1.0</t>
        </is>
      </c>
      <c r="G10" s="16" t="n">
        <v>44958</v>
      </c>
      <c r="H10" s="15">
        <f>IF(G10="","",YEAR(G10))</f>
        <v/>
      </c>
      <c r="I10" s="17" t="n">
        <v>600000000</v>
      </c>
      <c r="J10" s="17" t="n"/>
      <c r="K10" s="17">
        <f>IF(OR(I10="",J10=""),"",I10-J10)</f>
        <v/>
      </c>
      <c r="L10" s="15" t="inlineStr">
        <is>
          <t>3MONTHS</t>
        </is>
      </c>
      <c r="M10" s="15" t="inlineStr">
        <is>
          <t>PAID</t>
        </is>
      </c>
      <c r="N10" s="15" t="n"/>
      <c r="O10" s="15" t="n"/>
      <c r="P10" s="15" t="inlineStr">
        <is>
          <t>PASTOR GABRIEL</t>
        </is>
      </c>
      <c r="Q10" s="15" t="inlineStr">
        <is>
          <t>BAAY PROJECTS CLIENTS &gt; PACIFIC COURT INVESTORS LIST</t>
        </is>
      </c>
      <c r="R10" s="15" t="n">
        <v>7</v>
      </c>
      <c r="S10" s="15" t="inlineStr">
        <is>
          <t>2023-02-01</t>
        </is>
      </c>
      <c r="T10" s="15" t="n"/>
    </row>
    <row r="11">
      <c r="A11" s="15" t="inlineStr">
        <is>
          <t>SB0007</t>
        </is>
      </c>
      <c r="B11" s="15" t="inlineStr">
        <is>
          <t>BP-C0008</t>
        </is>
      </c>
      <c r="C11" s="15" t="inlineStr">
        <is>
          <t>Mr Rasaq Roqeeb</t>
        </is>
      </c>
      <c r="D11" s="15" t="inlineStr">
        <is>
          <t>Land</t>
        </is>
      </c>
      <c r="E11" s="15" t="inlineStr">
        <is>
          <t>Green City Phase 1 (Lantaba, Ketu-Epe)</t>
        </is>
      </c>
      <c r="F11" s="15" t="inlineStr">
        <is>
          <t>250sqm</t>
        </is>
      </c>
      <c r="G11" s="16" t="n">
        <v>44967</v>
      </c>
      <c r="H11" s="15">
        <f>IF(G11="","",YEAR(G11))</f>
        <v/>
      </c>
      <c r="I11" s="17" t="n">
        <v>3900000</v>
      </c>
      <c r="J11" s="17" t="n">
        <v>3900000</v>
      </c>
      <c r="K11" s="17">
        <f>IF(OR(I11="",J11=""),"",I11-J11)</f>
        <v/>
      </c>
      <c r="L11" s="15" t="inlineStr">
        <is>
          <t>6 months</t>
        </is>
      </c>
      <c r="M11" s="15" t="inlineStr">
        <is>
          <t>Bought</t>
        </is>
      </c>
      <c r="N11" s="15" t="inlineStr">
        <is>
          <t>BLOCK F1</t>
        </is>
      </c>
      <c r="O11" s="15" t="inlineStr">
        <is>
          <t>Collected by Client</t>
        </is>
      </c>
      <c r="P11" s="15" t="inlineStr">
        <is>
          <t>MD</t>
        </is>
      </c>
      <c r="Q11" s="15" t="inlineStr">
        <is>
          <t>BAAY PROJECTS CLIENTS &gt; GREEN CITY KETU 1 INVESTORS LIS</t>
        </is>
      </c>
      <c r="R11" s="15" t="n">
        <v>29</v>
      </c>
      <c r="S11" s="15" t="inlineStr">
        <is>
          <t>2023-10-02</t>
        </is>
      </c>
      <c r="T11" s="15" t="n"/>
    </row>
    <row r="12">
      <c r="A12" s="15" t="inlineStr">
        <is>
          <t>SB0008</t>
        </is>
      </c>
      <c r="B12" s="15" t="inlineStr">
        <is>
          <t>BP-C0011</t>
        </is>
      </c>
      <c r="C12" s="15" t="inlineStr">
        <is>
          <t>OLAIYA SUNDAY TEMITOPE</t>
        </is>
      </c>
      <c r="D12" s="15" t="inlineStr">
        <is>
          <t>Land</t>
        </is>
      </c>
      <c r="E12" s="15" t="inlineStr">
        <is>
          <t>Green City Phase 1 (Lantaba, Ketu-Epe)</t>
        </is>
      </c>
      <c r="F12" s="15" t="inlineStr">
        <is>
          <t>600sqm</t>
        </is>
      </c>
      <c r="G12" s="16" t="n">
        <v>45061</v>
      </c>
      <c r="H12" s="15">
        <f>IF(G12="","",YEAR(G12))</f>
        <v/>
      </c>
      <c r="I12" s="17" t="n">
        <v>1500000</v>
      </c>
      <c r="J12" s="17" t="n">
        <v>1500000</v>
      </c>
      <c r="K12" s="17">
        <f>IF(OR(I12="",J12=""),"",I12-J12)</f>
        <v/>
      </c>
      <c r="L12" s="15" t="inlineStr">
        <is>
          <t>3months</t>
        </is>
      </c>
      <c r="M12" s="15" t="inlineStr">
        <is>
          <t>Bought</t>
        </is>
      </c>
      <c r="N12" s="15" t="inlineStr">
        <is>
          <t>BLOCK E2</t>
        </is>
      </c>
      <c r="O12" s="15" t="inlineStr">
        <is>
          <t>Yet to collect Physical Document with MD</t>
        </is>
      </c>
      <c r="P12" s="15" t="inlineStr">
        <is>
          <t>Ms Abimbola</t>
        </is>
      </c>
      <c r="Q12" s="15" t="inlineStr">
        <is>
          <t>BAAY PROJECTS CLIENTS &gt; GREEN CITY KETU 1 INVESTORS LIS</t>
        </is>
      </c>
      <c r="R12" s="15" t="n">
        <v>4</v>
      </c>
      <c r="S12" s="15" t="inlineStr">
        <is>
          <t>15/05/2023</t>
        </is>
      </c>
      <c r="T12" s="15" t="n"/>
    </row>
    <row r="13">
      <c r="A13" s="15" t="inlineStr">
        <is>
          <t>SB0009</t>
        </is>
      </c>
      <c r="B13" s="15" t="inlineStr">
        <is>
          <t>BP-C0013</t>
        </is>
      </c>
      <c r="C13" s="15" t="inlineStr">
        <is>
          <t>MOSHOOD TIJANI</t>
        </is>
      </c>
      <c r="D13" s="15" t="inlineStr">
        <is>
          <t>Land</t>
        </is>
      </c>
      <c r="E13" s="15" t="inlineStr">
        <is>
          <t>Green City Phase 1 (Lantaba, Ketu-Epe)</t>
        </is>
      </c>
      <c r="F13" s="15" t="inlineStr">
        <is>
          <t>250sqm</t>
        </is>
      </c>
      <c r="G13" s="16" t="n">
        <v>45073</v>
      </c>
      <c r="H13" s="15">
        <f>IF(G13="","",YEAR(G13))</f>
        <v/>
      </c>
      <c r="I13" s="17" t="n">
        <v>1500000</v>
      </c>
      <c r="J13" s="17" t="n">
        <v>1400000</v>
      </c>
      <c r="K13" s="17">
        <f>IF(OR(I13="",J13=""),"",I13-J13)</f>
        <v/>
      </c>
      <c r="L13" s="15" t="inlineStr">
        <is>
          <t>3months</t>
        </is>
      </c>
      <c r="M13" s="15" t="inlineStr">
        <is>
          <t>Bought</t>
        </is>
      </c>
      <c r="N13" s="15" t="inlineStr">
        <is>
          <t>BLOCK B2A</t>
        </is>
      </c>
      <c r="O13" s="15" t="inlineStr">
        <is>
          <t>Yet to collect Deeed</t>
        </is>
      </c>
      <c r="P13" s="15" t="inlineStr">
        <is>
          <t>MD</t>
        </is>
      </c>
      <c r="Q13" s="15" t="inlineStr">
        <is>
          <t>BAAY PROJECTS CLIENTS &gt; GREEN CITY KETU 1 INVESTORS LIS</t>
        </is>
      </c>
      <c r="R13" s="15" t="n">
        <v>3</v>
      </c>
      <c r="S13" s="15" t="inlineStr">
        <is>
          <t>27/05/2023</t>
        </is>
      </c>
      <c r="T13" s="15" t="n"/>
    </row>
    <row r="14">
      <c r="A14" s="15" t="inlineStr">
        <is>
          <t>SB0010</t>
        </is>
      </c>
      <c r="B14" s="15" t="inlineStr">
        <is>
          <t>BP-C0014</t>
        </is>
      </c>
      <c r="C14" s="15" t="inlineStr">
        <is>
          <t>PROF OLUGBENGA AKINADE/MRS ARAWOMO OMOLOLA</t>
        </is>
      </c>
      <c r="D14" s="15" t="inlineStr">
        <is>
          <t>Land</t>
        </is>
      </c>
      <c r="E14" s="15" t="inlineStr">
        <is>
          <t>Green City Phase 1 (Lantaba, Ketu-Epe)</t>
        </is>
      </c>
      <c r="F14" s="15" t="inlineStr">
        <is>
          <t>500sqm</t>
        </is>
      </c>
      <c r="G14" s="16" t="n">
        <v>45083</v>
      </c>
      <c r="H14" s="15">
        <f>IF(G14="","",YEAR(G14))</f>
        <v/>
      </c>
      <c r="I14" s="17" t="n">
        <v>3600000</v>
      </c>
      <c r="J14" s="17" t="n">
        <v>3600000</v>
      </c>
      <c r="K14" s="17">
        <f>IF(OR(I14="",J14=""),"",I14-J14)</f>
        <v/>
      </c>
      <c r="L14" s="15" t="inlineStr">
        <is>
          <t>3months</t>
        </is>
      </c>
      <c r="M14" s="15" t="inlineStr">
        <is>
          <t>Bought</t>
        </is>
      </c>
      <c r="N14" s="15" t="inlineStr">
        <is>
          <t>BLOCK D7</t>
        </is>
      </c>
      <c r="O14" s="15" t="inlineStr">
        <is>
          <t>Physical Document Collected</t>
        </is>
      </c>
      <c r="P14" s="15" t="inlineStr">
        <is>
          <t>MD</t>
        </is>
      </c>
      <c r="Q14" s="15" t="inlineStr">
        <is>
          <t>BAAY PROJECTS CLIENTS &gt; GREEN CITY KETU 1 INVESTORS LIS</t>
        </is>
      </c>
      <c r="R14" s="15" t="n">
        <v>5</v>
      </c>
      <c r="S14" s="15" t="inlineStr">
        <is>
          <t>2023-06-06</t>
        </is>
      </c>
      <c r="T14" s="15" t="n"/>
    </row>
    <row r="15">
      <c r="A15" s="15" t="inlineStr">
        <is>
          <t>SB0011</t>
        </is>
      </c>
      <c r="B15" s="15" t="inlineStr">
        <is>
          <t>BP-C0015</t>
        </is>
      </c>
      <c r="C15" s="15" t="inlineStr">
        <is>
          <t>MR Damilare Ositade Owolabi</t>
        </is>
      </c>
      <c r="D15" s="15" t="inlineStr">
        <is>
          <t>Land</t>
        </is>
      </c>
      <c r="E15" s="15" t="inlineStr">
        <is>
          <t>Green City Phase 1 (Lantaba, Ketu-Epe)</t>
        </is>
      </c>
      <c r="F15" s="15" t="inlineStr">
        <is>
          <t>250sqm</t>
        </is>
      </c>
      <c r="G15" s="16" t="n">
        <v>45092</v>
      </c>
      <c r="H15" s="15">
        <f>IF(G15="","",YEAR(G15))</f>
        <v/>
      </c>
      <c r="I15" s="17" t="n">
        <v>1500000</v>
      </c>
      <c r="J15" s="17" t="n">
        <v>1500000</v>
      </c>
      <c r="K15" s="17">
        <f>IF(OR(I15="",J15=""),"",I15-J15)</f>
        <v/>
      </c>
      <c r="L15" s="15" t="inlineStr">
        <is>
          <t>3months</t>
        </is>
      </c>
      <c r="M15" s="15" t="inlineStr">
        <is>
          <t>Bought</t>
        </is>
      </c>
      <c r="N15" s="15" t="inlineStr">
        <is>
          <t>BLOCK D4B</t>
        </is>
      </c>
      <c r="O15" s="15" t="inlineStr">
        <is>
          <t>Yet to collect Physical Document</t>
        </is>
      </c>
      <c r="P15" s="15" t="inlineStr">
        <is>
          <t>IDARA</t>
        </is>
      </c>
      <c r="Q15" s="15" t="inlineStr">
        <is>
          <t>BAAY PROJECTS CLIENTS &gt; GREEN CITY KETU 1 INVESTORS LIS</t>
        </is>
      </c>
      <c r="R15" s="15" t="n">
        <v>7</v>
      </c>
      <c r="S15" s="15" t="inlineStr">
        <is>
          <t>15/06/2023</t>
        </is>
      </c>
      <c r="T15" s="15" t="n"/>
    </row>
    <row r="16">
      <c r="A16" s="15" t="inlineStr">
        <is>
          <t>SB0012</t>
        </is>
      </c>
      <c r="B16" s="15" t="inlineStr">
        <is>
          <t>BP-C0016</t>
        </is>
      </c>
      <c r="C16" s="15" t="inlineStr">
        <is>
          <t>Mr Tobi Adesina</t>
        </is>
      </c>
      <c r="D16" s="15" t="inlineStr">
        <is>
          <t>Land</t>
        </is>
      </c>
      <c r="E16" s="15" t="inlineStr">
        <is>
          <t>Green City Phase 1 (Lantaba, Ketu-Epe)</t>
        </is>
      </c>
      <c r="F16" s="15" t="inlineStr">
        <is>
          <t>250sqm</t>
        </is>
      </c>
      <c r="G16" s="16" t="n">
        <v>45103</v>
      </c>
      <c r="H16" s="15">
        <f>IF(G16="","",YEAR(G16))</f>
        <v/>
      </c>
      <c r="I16" s="17" t="n">
        <v>1500000</v>
      </c>
      <c r="J16" s="17" t="n"/>
      <c r="K16" s="17">
        <f>IF(OR(I16="",J16=""),"",I16-J16)</f>
        <v/>
      </c>
      <c r="L16" s="15" t="n"/>
      <c r="M16" s="15" t="inlineStr">
        <is>
          <t>incentives</t>
        </is>
      </c>
      <c r="N16" s="15" t="inlineStr">
        <is>
          <t>BLOCK D6A</t>
        </is>
      </c>
      <c r="O16" s="15" t="inlineStr">
        <is>
          <t>Collected by Client</t>
        </is>
      </c>
      <c r="P16" s="15" t="inlineStr">
        <is>
          <t>TOBY AND TYE</t>
        </is>
      </c>
      <c r="Q16" s="15" t="inlineStr">
        <is>
          <t>BAAY PROJECTS CLIENTS &gt; GREEN CITY KETU 1 INVESTORS LIS</t>
        </is>
      </c>
      <c r="R16" s="15" t="n">
        <v>8</v>
      </c>
      <c r="S16" s="15" t="inlineStr">
        <is>
          <t>26/06/2023</t>
        </is>
      </c>
      <c r="T16" s="15" t="inlineStr">
        <is>
          <t>Paid-to-date in source: PARTNERSHIP</t>
        </is>
      </c>
    </row>
    <row r="17">
      <c r="A17" s="15" t="inlineStr">
        <is>
          <t>SB0013</t>
        </is>
      </c>
      <c r="B17" s="15" t="inlineStr">
        <is>
          <t>BP-C0017</t>
        </is>
      </c>
      <c r="C17" s="15" t="inlineStr">
        <is>
          <t>Mr. Taiwo John Adeleye.</t>
        </is>
      </c>
      <c r="D17" s="15" t="inlineStr">
        <is>
          <t>Land</t>
        </is>
      </c>
      <c r="E17" s="15" t="inlineStr">
        <is>
          <t>Green City Phase 1 (Lantaba, Ketu-Epe)</t>
        </is>
      </c>
      <c r="F17" s="15" t="inlineStr">
        <is>
          <t>250sqm</t>
        </is>
      </c>
      <c r="G17" s="16" t="n">
        <v>45129</v>
      </c>
      <c r="H17" s="15">
        <f>IF(G17="","",YEAR(G17))</f>
        <v/>
      </c>
      <c r="I17" s="17" t="n">
        <v>1500000</v>
      </c>
      <c r="J17" s="17" t="n">
        <v>1500000</v>
      </c>
      <c r="K17" s="17">
        <f>IF(OR(I17="",J17=""),"",I17-J17)</f>
        <v/>
      </c>
      <c r="L17" s="15" t="inlineStr">
        <is>
          <t>3months</t>
        </is>
      </c>
      <c r="M17" s="15" t="inlineStr">
        <is>
          <t>bought</t>
        </is>
      </c>
      <c r="N17" s="15" t="inlineStr">
        <is>
          <t>BLOCK D5b</t>
        </is>
      </c>
      <c r="O17" s="15" t="inlineStr">
        <is>
          <t>Collected by Client</t>
        </is>
      </c>
      <c r="P17" s="15" t="inlineStr">
        <is>
          <t>MD</t>
        </is>
      </c>
      <c r="Q17" s="15" t="inlineStr">
        <is>
          <t>BAAY PROJECTS CLIENTS &gt; GREEN CITY KETU 1 INVESTORS LIS</t>
        </is>
      </c>
      <c r="R17" s="15" t="n">
        <v>10</v>
      </c>
      <c r="S17" s="15" t="inlineStr">
        <is>
          <t>22/07/2023</t>
        </is>
      </c>
      <c r="T17" s="15" t="n"/>
    </row>
    <row r="18">
      <c r="A18" s="15" t="inlineStr">
        <is>
          <t>SB0014</t>
        </is>
      </c>
      <c r="B18" s="15" t="inlineStr">
        <is>
          <t>BP-C0018</t>
        </is>
      </c>
      <c r="C18" s="15" t="inlineStr">
        <is>
          <t>Mr Sunday Gideon</t>
        </is>
      </c>
      <c r="D18" s="15" t="inlineStr">
        <is>
          <t>Land</t>
        </is>
      </c>
      <c r="E18" s="15" t="inlineStr">
        <is>
          <t>Green City Phase 1 (Lantaba, Ketu-Epe)</t>
        </is>
      </c>
      <c r="F18" s="15" t="inlineStr">
        <is>
          <t>250sqm</t>
        </is>
      </c>
      <c r="G18" s="16" t="n">
        <v>45137</v>
      </c>
      <c r="H18" s="15">
        <f>IF(G18="","",YEAR(G18))</f>
        <v/>
      </c>
      <c r="I18" s="17" t="n">
        <v>1500000</v>
      </c>
      <c r="J18" s="17" t="n">
        <v>1500000</v>
      </c>
      <c r="K18" s="17">
        <f>IF(OR(I18="",J18=""),"",I18-J18)</f>
        <v/>
      </c>
      <c r="L18" s="15" t="inlineStr">
        <is>
          <t>Outright</t>
        </is>
      </c>
      <c r="M18" s="15" t="inlineStr">
        <is>
          <t>bought</t>
        </is>
      </c>
      <c r="N18" s="15" t="inlineStr">
        <is>
          <t>BLOCK D5A</t>
        </is>
      </c>
      <c r="O18" s="15" t="inlineStr">
        <is>
          <t>Collected by client</t>
        </is>
      </c>
      <c r="P18" s="15" t="inlineStr">
        <is>
          <t>MS BLESSING</t>
        </is>
      </c>
      <c r="Q18" s="15" t="inlineStr">
        <is>
          <t>BAAY PROJECTS CLIENTS &gt; GREEN CITY KETU 1 INVESTORS LIS</t>
        </is>
      </c>
      <c r="R18" s="15" t="n">
        <v>9</v>
      </c>
      <c r="S18" s="15" t="inlineStr">
        <is>
          <t>30/07/2023</t>
        </is>
      </c>
      <c r="T18" s="15" t="n"/>
    </row>
    <row r="19">
      <c r="A19" s="15" t="inlineStr">
        <is>
          <t>SB0015</t>
        </is>
      </c>
      <c r="B19" s="15" t="inlineStr">
        <is>
          <t>BP-C0020</t>
        </is>
      </c>
      <c r="C19" s="15" t="inlineStr">
        <is>
          <t>Mr Adebowale Oluwapelumi Joseph</t>
        </is>
      </c>
      <c r="D19" s="15" t="inlineStr">
        <is>
          <t>Land</t>
        </is>
      </c>
      <c r="E19" s="15" t="inlineStr">
        <is>
          <t>Green City Phase 1 (Lantaba, Ketu-Epe)</t>
        </is>
      </c>
      <c r="F19" s="15" t="inlineStr">
        <is>
          <t>600sqm</t>
        </is>
      </c>
      <c r="G19" s="16" t="n">
        <v>45161</v>
      </c>
      <c r="H19" s="15">
        <f>IF(G19="","",YEAR(G19))</f>
        <v/>
      </c>
      <c r="I19" s="17" t="n">
        <v>3600000</v>
      </c>
      <c r="J19" s="17" t="n">
        <v>3600000</v>
      </c>
      <c r="K19" s="17">
        <f>IF(OR(I19="",J19=""),"",I19-J19)</f>
        <v/>
      </c>
      <c r="L19" s="15" t="inlineStr">
        <is>
          <t>3 months</t>
        </is>
      </c>
      <c r="M19" s="15" t="inlineStr">
        <is>
          <t>Bought</t>
        </is>
      </c>
      <c r="N19" s="15" t="inlineStr">
        <is>
          <t>BLOCK C3</t>
        </is>
      </c>
      <c r="O19" s="15" t="inlineStr">
        <is>
          <t>Collected by client sister</t>
        </is>
      </c>
      <c r="P19" s="15" t="inlineStr">
        <is>
          <t>MD</t>
        </is>
      </c>
      <c r="Q19" s="15" t="inlineStr">
        <is>
          <t>BAAY PROJECTS CLIENTS &gt; GREEN CITY KETU 1 INVESTORS LIS</t>
        </is>
      </c>
      <c r="R19" s="15" t="n">
        <v>13</v>
      </c>
      <c r="S19" s="15" t="inlineStr">
        <is>
          <t>23/08/2023</t>
        </is>
      </c>
      <c r="T19" s="15" t="n"/>
    </row>
    <row r="20">
      <c r="A20" s="15" t="inlineStr">
        <is>
          <t>SB0016</t>
        </is>
      </c>
      <c r="B20" s="15" t="inlineStr">
        <is>
          <t>BP-C0021</t>
        </is>
      </c>
      <c r="C20" s="15" t="inlineStr">
        <is>
          <t>Mr Oyewole Sheriff Oyewusi</t>
        </is>
      </c>
      <c r="D20" s="15" t="inlineStr">
        <is>
          <t>Land</t>
        </is>
      </c>
      <c r="E20" s="15" t="inlineStr">
        <is>
          <t>Green City Phase 1 (Lantaba, Ketu-Epe)</t>
        </is>
      </c>
      <c r="F20" s="15" t="inlineStr">
        <is>
          <t>600sqm</t>
        </is>
      </c>
      <c r="G20" s="16" t="n">
        <v>45161</v>
      </c>
      <c r="H20" s="15">
        <f>IF(G20="","",YEAR(G20))</f>
        <v/>
      </c>
      <c r="I20" s="17" t="n">
        <v>3600000</v>
      </c>
      <c r="J20" s="17" t="n">
        <v>3600000</v>
      </c>
      <c r="K20" s="17">
        <f>IF(OR(I20="",J20=""),"",I20-J20)</f>
        <v/>
      </c>
      <c r="L20" s="15" t="inlineStr">
        <is>
          <t>3 months</t>
        </is>
      </c>
      <c r="M20" s="15" t="inlineStr">
        <is>
          <t>Bought</t>
        </is>
      </c>
      <c r="N20" s="15" t="inlineStr">
        <is>
          <t>BLOCK C6</t>
        </is>
      </c>
      <c r="O20" s="15" t="inlineStr">
        <is>
          <t>Yet to collect Physical Document</t>
        </is>
      </c>
      <c r="P20" s="15" t="inlineStr">
        <is>
          <t>Ms Bolanle</t>
        </is>
      </c>
      <c r="Q20" s="15" t="inlineStr">
        <is>
          <t>BAAY PROJECTS CLIENTS &gt; GREEN CITY KETU 1 INVESTORS LIS</t>
        </is>
      </c>
      <c r="R20" s="15" t="n">
        <v>12</v>
      </c>
      <c r="S20" s="15" t="inlineStr">
        <is>
          <t>23/08/2023</t>
        </is>
      </c>
      <c r="T20" s="15" t="n"/>
    </row>
    <row r="21">
      <c r="A21" s="15" t="inlineStr">
        <is>
          <t>SB0017</t>
        </is>
      </c>
      <c r="B21" s="15" t="inlineStr">
        <is>
          <t>BP-C0022</t>
        </is>
      </c>
      <c r="C21" s="15" t="inlineStr">
        <is>
          <t>Mr Folaranmi Olatunde</t>
        </is>
      </c>
      <c r="D21" s="15" t="inlineStr">
        <is>
          <t>Land</t>
        </is>
      </c>
      <c r="E21" s="15" t="inlineStr">
        <is>
          <t>Green City Phase 1 (Lantaba, Ketu-Epe)</t>
        </is>
      </c>
      <c r="F21" s="15" t="inlineStr">
        <is>
          <t>600sqm</t>
        </is>
      </c>
      <c r="G21" s="16" t="n">
        <v>45162</v>
      </c>
      <c r="H21" s="15">
        <f>IF(G21="","",YEAR(G21))</f>
        <v/>
      </c>
      <c r="I21" s="17" t="n">
        <v>1500000</v>
      </c>
      <c r="J21" s="17" t="n">
        <v>1500000</v>
      </c>
      <c r="K21" s="17">
        <f>IF(OR(I21="",J21=""),"",I21-J21)</f>
        <v/>
      </c>
      <c r="L21" s="15" t="inlineStr">
        <is>
          <t>3 months</t>
        </is>
      </c>
      <c r="M21" s="15" t="inlineStr">
        <is>
          <t>Bought</t>
        </is>
      </c>
      <c r="N21" s="15" t="inlineStr">
        <is>
          <t>BLOCK E2</t>
        </is>
      </c>
      <c r="O21" s="15" t="inlineStr">
        <is>
          <t>Collected by Client representative</t>
        </is>
      </c>
      <c r="P21" s="15" t="inlineStr">
        <is>
          <t>MD</t>
        </is>
      </c>
      <c r="Q21" s="15" t="inlineStr">
        <is>
          <t>BAAY PROJECTS CLIENTS &gt; GREEN CITY KETU 1 INVESTORS LIS</t>
        </is>
      </c>
      <c r="R21" s="15" t="n">
        <v>11</v>
      </c>
      <c r="S21" s="15" t="inlineStr">
        <is>
          <t>24/08/2023</t>
        </is>
      </c>
      <c r="T21" s="15" t="n"/>
    </row>
    <row r="22">
      <c r="A22" s="15" t="inlineStr">
        <is>
          <t>SB0018</t>
        </is>
      </c>
      <c r="B22" s="15" t="inlineStr">
        <is>
          <t>BP-C0023</t>
        </is>
      </c>
      <c r="C22" s="15" t="inlineStr">
        <is>
          <t>MR KOREDE ADESE</t>
        </is>
      </c>
      <c r="D22" s="15" t="inlineStr">
        <is>
          <t>Land</t>
        </is>
      </c>
      <c r="E22" s="15" t="inlineStr">
        <is>
          <t>Green City Phase 1 (Lantaba, Ketu-Epe)</t>
        </is>
      </c>
      <c r="F22" s="15" t="inlineStr">
        <is>
          <t>250sqm</t>
        </is>
      </c>
      <c r="G22" s="16" t="n">
        <v>45166</v>
      </c>
      <c r="H22" s="15">
        <f>IF(G22="","",YEAR(G22))</f>
        <v/>
      </c>
      <c r="I22" s="17" t="n">
        <v>3000000</v>
      </c>
      <c r="J22" s="17" t="n">
        <v>3000000</v>
      </c>
      <c r="K22" s="17">
        <f>IF(OR(I22="",J22=""),"",I22-J22)</f>
        <v/>
      </c>
      <c r="L22" s="15" t="inlineStr">
        <is>
          <t>3months</t>
        </is>
      </c>
      <c r="M22" s="15" t="inlineStr">
        <is>
          <t>Bought</t>
        </is>
      </c>
      <c r="N22" s="15" t="inlineStr">
        <is>
          <t>BLOCK D6b</t>
        </is>
      </c>
      <c r="O22" s="15" t="inlineStr">
        <is>
          <t>Physical Document Collected</t>
        </is>
      </c>
      <c r="P22" s="15" t="inlineStr">
        <is>
          <t>MD</t>
        </is>
      </c>
      <c r="Q22" s="15" t="inlineStr">
        <is>
          <t>BAAY PROJECTS CLIENTS &gt; GREEN CITY KETU 1 INVESTORS LIS</t>
        </is>
      </c>
      <c r="R22" s="15" t="n">
        <v>6</v>
      </c>
      <c r="S22" s="15" t="inlineStr">
        <is>
          <t>28/8/2023</t>
        </is>
      </c>
      <c r="T22" s="15" t="n"/>
    </row>
    <row r="23">
      <c r="A23" s="15" t="inlineStr">
        <is>
          <t>SB0019</t>
        </is>
      </c>
      <c r="B23" s="15" t="inlineStr">
        <is>
          <t>BP-C0024</t>
        </is>
      </c>
      <c r="C23" s="15" t="inlineStr">
        <is>
          <t>Ms Peace Ikpotokin</t>
        </is>
      </c>
      <c r="D23" s="15" t="inlineStr">
        <is>
          <t>Land</t>
        </is>
      </c>
      <c r="E23" s="15" t="inlineStr">
        <is>
          <t>Green City Phase 1 (Lantaba, Ketu-Epe)</t>
        </is>
      </c>
      <c r="F23" s="15" t="inlineStr">
        <is>
          <t>600sqm</t>
        </is>
      </c>
      <c r="G23" s="16" t="n">
        <v>45166</v>
      </c>
      <c r="H23" s="15">
        <f>IF(G23="","",YEAR(G23))</f>
        <v/>
      </c>
      <c r="I23" s="17" t="n">
        <v>3600000</v>
      </c>
      <c r="J23" s="17" t="n">
        <v>50000</v>
      </c>
      <c r="K23" s="17">
        <f>IF(OR(I23="",J23=""),"",I23-J23)</f>
        <v/>
      </c>
      <c r="L23" s="15" t="inlineStr">
        <is>
          <t>6months</t>
        </is>
      </c>
      <c r="M23" s="15" t="inlineStr">
        <is>
          <t>Promise</t>
        </is>
      </c>
      <c r="N23" s="15" t="inlineStr">
        <is>
          <t>NIL</t>
        </is>
      </c>
      <c r="O23" s="15" t="inlineStr">
        <is>
          <t>Initial deposit</t>
        </is>
      </c>
      <c r="P23" s="15" t="inlineStr">
        <is>
          <t>MD</t>
        </is>
      </c>
      <c r="Q23" s="15" t="inlineStr">
        <is>
          <t>BAAY PROJECTS CLIENTS &gt; GREEN CITY KETU 1 INVESTORS LIS</t>
        </is>
      </c>
      <c r="R23" s="15" t="n">
        <v>14</v>
      </c>
      <c r="S23" s="15" t="inlineStr">
        <is>
          <t>28/08/2023</t>
        </is>
      </c>
      <c r="T23" s="15" t="n"/>
    </row>
    <row r="24">
      <c r="A24" s="15" t="inlineStr">
        <is>
          <t>SB0020</t>
        </is>
      </c>
      <c r="B24" s="15" t="inlineStr">
        <is>
          <t>BP-C0025</t>
        </is>
      </c>
      <c r="C24" s="15" t="inlineStr">
        <is>
          <t>Mrs Obadara Dorcas Adebisi</t>
        </is>
      </c>
      <c r="D24" s="15" t="inlineStr">
        <is>
          <t>Land</t>
        </is>
      </c>
      <c r="E24" s="15" t="inlineStr">
        <is>
          <t>Green City Phase 1 (Lantaba, Ketu-Epe)</t>
        </is>
      </c>
      <c r="F24" s="15" t="inlineStr">
        <is>
          <t>250sqm</t>
        </is>
      </c>
      <c r="G24" s="16" t="n">
        <v>45173</v>
      </c>
      <c r="H24" s="15">
        <f>IF(G24="","",YEAR(G24))</f>
        <v/>
      </c>
      <c r="I24" s="17" t="n">
        <v>4320000</v>
      </c>
      <c r="J24" s="17" t="n">
        <v>4320000</v>
      </c>
      <c r="K24" s="17">
        <f>IF(OR(I24="",J24=""),"",I24-J24)</f>
        <v/>
      </c>
      <c r="L24" s="15" t="inlineStr">
        <is>
          <t>3 months</t>
        </is>
      </c>
      <c r="M24" s="15" t="inlineStr">
        <is>
          <t>Bought</t>
        </is>
      </c>
      <c r="N24" s="15" t="inlineStr">
        <is>
          <t>BLOCK D4A</t>
        </is>
      </c>
      <c r="O24" s="15" t="inlineStr">
        <is>
          <t>Collected by Client</t>
        </is>
      </c>
      <c r="P24" s="15" t="inlineStr">
        <is>
          <t>Barister Nelson</t>
        </is>
      </c>
      <c r="Q24" s="15" t="inlineStr">
        <is>
          <t>BAAY PROJECTS CLIENTS &gt; GREEN CITY KETU 1 INVESTORS LIS</t>
        </is>
      </c>
      <c r="R24" s="15" t="n">
        <v>15</v>
      </c>
      <c r="S24" s="15" t="inlineStr">
        <is>
          <t>2023-04-09</t>
        </is>
      </c>
      <c r="T24" s="15" t="n"/>
    </row>
    <row r="25">
      <c r="A25" s="15" t="inlineStr">
        <is>
          <t>SB0021</t>
        </is>
      </c>
      <c r="B25" s="15" t="inlineStr">
        <is>
          <t>BP-C0027</t>
        </is>
      </c>
      <c r="C25" s="15" t="inlineStr">
        <is>
          <t>Mr Edun Ayobami Simeon and bro</t>
        </is>
      </c>
      <c r="D25" s="15" t="inlineStr">
        <is>
          <t>Land</t>
        </is>
      </c>
      <c r="E25" s="15" t="inlineStr">
        <is>
          <t>Green City Phase 1 (Lantaba, Ketu-Epe)</t>
        </is>
      </c>
      <c r="F25" s="15" t="inlineStr">
        <is>
          <t>2 units of 600sqm</t>
        </is>
      </c>
      <c r="G25" s="16" t="n">
        <v>45190</v>
      </c>
      <c r="H25" s="15">
        <f>IF(G25="","",YEAR(G25))</f>
        <v/>
      </c>
      <c r="I25" s="17" t="n">
        <v>1500000</v>
      </c>
      <c r="J25" s="17" t="n">
        <v>1500000</v>
      </c>
      <c r="K25" s="17">
        <f>IF(OR(I25="",J25=""),"",I25-J25)</f>
        <v/>
      </c>
      <c r="L25" s="15" t="inlineStr">
        <is>
          <t>12 months</t>
        </is>
      </c>
      <c r="M25" s="15" t="inlineStr">
        <is>
          <t>Bought</t>
        </is>
      </c>
      <c r="N25" s="15" t="inlineStr">
        <is>
          <t>BLOCK F2345</t>
        </is>
      </c>
      <c r="O25" s="15" t="inlineStr">
        <is>
          <t>Collected by client</t>
        </is>
      </c>
      <c r="P25" s="15" t="inlineStr">
        <is>
          <t>Mr Olaiya/MD</t>
        </is>
      </c>
      <c r="Q25" s="15" t="inlineStr">
        <is>
          <t>BAAY PROJECTS CLIENTS &gt; GREEN CITY KETU 1 INVESTORS LIS</t>
        </is>
      </c>
      <c r="R25" s="15" t="n">
        <v>16</v>
      </c>
      <c r="S25" s="15" t="inlineStr">
        <is>
          <t>21/09/2023</t>
        </is>
      </c>
      <c r="T25" s="15" t="n"/>
    </row>
    <row r="26">
      <c r="A26" s="15" t="inlineStr">
        <is>
          <t>SB0022</t>
        </is>
      </c>
      <c r="B26" s="15" t="inlineStr">
        <is>
          <t>BP-C0026</t>
        </is>
      </c>
      <c r="C26" s="15" t="inlineStr">
        <is>
          <t>Mr &amp; Mrs Adebayo Dada</t>
        </is>
      </c>
      <c r="D26" s="15" t="inlineStr">
        <is>
          <t>Land</t>
        </is>
      </c>
      <c r="E26" s="15" t="inlineStr">
        <is>
          <t>Green City Phase 1 (Lantaba, Ketu-Epe)</t>
        </is>
      </c>
      <c r="F26" s="15" t="inlineStr">
        <is>
          <t>500sqm</t>
        </is>
      </c>
      <c r="G26" s="16" t="n">
        <v>45205</v>
      </c>
      <c r="H26" s="15">
        <f>IF(G26="","",YEAR(G26))</f>
        <v/>
      </c>
      <c r="I26" s="17" t="n">
        <v>8400000</v>
      </c>
      <c r="J26" s="17" t="n">
        <v>8400000</v>
      </c>
      <c r="K26" s="17">
        <f>IF(OR(I26="",J26=""),"",I26-J26)</f>
        <v/>
      </c>
      <c r="L26" s="15" t="inlineStr">
        <is>
          <t>3months</t>
        </is>
      </c>
      <c r="M26" s="15" t="inlineStr">
        <is>
          <t>Bought</t>
        </is>
      </c>
      <c r="N26" s="15" t="inlineStr">
        <is>
          <t>BLOCK D2</t>
        </is>
      </c>
      <c r="O26" s="15" t="inlineStr">
        <is>
          <t>Collected by Client's Brother</t>
        </is>
      </c>
      <c r="P26" s="15" t="inlineStr">
        <is>
          <t>Mrs Abimbola</t>
        </is>
      </c>
      <c r="Q26" s="15" t="inlineStr">
        <is>
          <t>BAAY PROJECTS CLIENTS &gt; GREEN CITY KETU 1 INVESTORS LIS</t>
        </is>
      </c>
      <c r="R26" s="15" t="n">
        <v>17</v>
      </c>
      <c r="S26" s="15" t="inlineStr">
        <is>
          <t>2023-06-10</t>
        </is>
      </c>
      <c r="T26" s="15" t="n"/>
    </row>
    <row r="27">
      <c r="A27" s="15" t="inlineStr">
        <is>
          <t>SB0023</t>
        </is>
      </c>
      <c r="B27" s="15" t="inlineStr">
        <is>
          <t>BP-C0031</t>
        </is>
      </c>
      <c r="C27" s="15" t="inlineStr">
        <is>
          <t>Mr Eguavoen Harrison</t>
        </is>
      </c>
      <c r="D27" s="15" t="inlineStr">
        <is>
          <t>Land</t>
        </is>
      </c>
      <c r="E27" s="15" t="inlineStr">
        <is>
          <t>Green City Agbowa</t>
        </is>
      </c>
      <c r="F27" s="15" t="inlineStr">
        <is>
          <t>250sqm</t>
        </is>
      </c>
      <c r="G27" s="16" t="n">
        <v>45209</v>
      </c>
      <c r="H27" s="15">
        <f>IF(G27="","",YEAR(G27))</f>
        <v/>
      </c>
      <c r="I27" s="17" t="n">
        <v>750000</v>
      </c>
      <c r="J27" s="17" t="n">
        <v>750000</v>
      </c>
      <c r="K27" s="17">
        <f>IF(OR(I27="",J27=""),"",I27-J27)</f>
        <v/>
      </c>
      <c r="L27" s="15" t="inlineStr">
        <is>
          <t>3months</t>
        </is>
      </c>
      <c r="M27" s="15" t="inlineStr">
        <is>
          <t>Refund</t>
        </is>
      </c>
      <c r="N27" s="15" t="n"/>
      <c r="O27" s="15" t="n"/>
      <c r="P27" s="15" t="inlineStr">
        <is>
          <t>Ms Blessing</t>
        </is>
      </c>
      <c r="Q27" s="15" t="inlineStr">
        <is>
          <t>BAAY PROJECTS CLIENTS &gt; GREENCITY AGBOWA</t>
        </is>
      </c>
      <c r="R27" s="15" t="n">
        <v>2</v>
      </c>
      <c r="S27" s="15" t="inlineStr">
        <is>
          <t>2023-10-10</t>
        </is>
      </c>
      <c r="T27" s="15" t="n"/>
    </row>
    <row r="28">
      <c r="A28" s="15" t="inlineStr">
        <is>
          <t>SB0024</t>
        </is>
      </c>
      <c r="B28" s="15" t="inlineStr">
        <is>
          <t>BP-C0032</t>
        </is>
      </c>
      <c r="C28" s="15" t="inlineStr">
        <is>
          <t>Mr Tomiwa Ibiks *********</t>
        </is>
      </c>
      <c r="D28" s="15" t="inlineStr">
        <is>
          <t>Land</t>
        </is>
      </c>
      <c r="E28" s="15" t="inlineStr">
        <is>
          <t>Green City Phase 1 (Lantaba, Ketu-Epe)</t>
        </is>
      </c>
      <c r="F28" s="15" t="inlineStr">
        <is>
          <t>600sqm</t>
        </is>
      </c>
      <c r="G28" s="16" t="n">
        <v>45209</v>
      </c>
      <c r="H28" s="15">
        <f>IF(G28="","",YEAR(G28))</f>
        <v/>
      </c>
      <c r="I28" s="17" t="n">
        <v>3600000</v>
      </c>
      <c r="J28" s="17" t="n">
        <v>1000000</v>
      </c>
      <c r="K28" s="17">
        <f>IF(OR(I28="",J28=""),"",I28-J28)</f>
        <v/>
      </c>
      <c r="L28" s="15" t="inlineStr">
        <is>
          <t>3months</t>
        </is>
      </c>
      <c r="M28" s="15" t="inlineStr">
        <is>
          <t>Paying</t>
        </is>
      </c>
      <c r="N28" s="15" t="inlineStr">
        <is>
          <t>Not Allocated Yet</t>
        </is>
      </c>
      <c r="O28" s="15" t="inlineStr">
        <is>
          <t>Not yet submitted subscription form</t>
        </is>
      </c>
      <c r="P28" s="15" t="inlineStr">
        <is>
          <t>MD</t>
        </is>
      </c>
      <c r="Q28" s="15" t="inlineStr">
        <is>
          <t>BAAY PROJECTS CLIENTS &gt; GREEN CITY KETU 1 INVESTORS LIS</t>
        </is>
      </c>
      <c r="R28" s="15" t="n">
        <v>24</v>
      </c>
      <c r="S28" s="15" t="inlineStr">
        <is>
          <t>2023-10-10</t>
        </is>
      </c>
      <c r="T28" s="15" t="n"/>
    </row>
    <row r="29">
      <c r="A29" s="15" t="inlineStr">
        <is>
          <t>SB0025</t>
        </is>
      </c>
      <c r="B29" s="15" t="inlineStr">
        <is>
          <t>BP-C0033</t>
        </is>
      </c>
      <c r="C29" s="15" t="inlineStr">
        <is>
          <t>Mr Olumoko Oladapo Oluwaseun</t>
        </is>
      </c>
      <c r="D29" s="15" t="inlineStr">
        <is>
          <t>Land</t>
        </is>
      </c>
      <c r="E29" s="15" t="inlineStr">
        <is>
          <t>Green City Phase 1 (Lantaba, Ketu-Epe)</t>
        </is>
      </c>
      <c r="F29" s="15" t="inlineStr">
        <is>
          <t>500sqm</t>
        </is>
      </c>
      <c r="G29" s="16" t="n">
        <v>45211</v>
      </c>
      <c r="H29" s="15">
        <f>IF(G29="","",YEAR(G29))</f>
        <v/>
      </c>
      <c r="I29" s="17" t="n">
        <v>6000000</v>
      </c>
      <c r="J29" s="17" t="n">
        <v>6000000</v>
      </c>
      <c r="K29" s="17">
        <f>IF(OR(I29="",J29=""),"",I29-J29)</f>
        <v/>
      </c>
      <c r="L29" s="15" t="inlineStr">
        <is>
          <t>3months</t>
        </is>
      </c>
      <c r="M29" s="15" t="inlineStr">
        <is>
          <t>Bought</t>
        </is>
      </c>
      <c r="N29" s="15" t="inlineStr">
        <is>
          <t>BLOCK C4</t>
        </is>
      </c>
      <c r="O29" s="15" t="inlineStr">
        <is>
          <t>Not yet Collected</t>
        </is>
      </c>
      <c r="P29" s="15" t="inlineStr">
        <is>
          <t>Ms Bolanle</t>
        </is>
      </c>
      <c r="Q29" s="15" t="inlineStr">
        <is>
          <t>BAAY PROJECTS CLIENTS &gt; GREEN CITY KETU 1 INVESTORS LIS + Foreshore financials sheet</t>
        </is>
      </c>
      <c r="R29" s="15" t="n">
        <v>21</v>
      </c>
      <c r="S29" s="15" t="inlineStr">
        <is>
          <t>2023-12-10</t>
        </is>
      </c>
      <c r="T29" s="15" t="n"/>
    </row>
    <row r="30">
      <c r="A30" s="15" t="inlineStr">
        <is>
          <t>SB0026</t>
        </is>
      </c>
      <c r="B30" s="15" t="inlineStr">
        <is>
          <t>BP-C0034</t>
        </is>
      </c>
      <c r="C30" s="15" t="inlineStr">
        <is>
          <t>Mrs Ndubuisi Ujunwa</t>
        </is>
      </c>
      <c r="D30" s="15" t="inlineStr">
        <is>
          <t>Land</t>
        </is>
      </c>
      <c r="E30" s="15" t="inlineStr">
        <is>
          <t>Green City Phase 1 (Lantaba, Ketu-Epe)</t>
        </is>
      </c>
      <c r="F30" s="15" t="inlineStr">
        <is>
          <t>250sqm</t>
        </is>
      </c>
      <c r="G30" s="16" t="n">
        <v>45211</v>
      </c>
      <c r="H30" s="15">
        <f>IF(G30="","",YEAR(G30))</f>
        <v/>
      </c>
      <c r="I30" s="17" t="n">
        <v>3900000</v>
      </c>
      <c r="J30" s="17" t="n">
        <v>3900000</v>
      </c>
      <c r="K30" s="17">
        <f>IF(OR(I30="",J30=""),"",I30-J30)</f>
        <v/>
      </c>
      <c r="L30" s="15" t="inlineStr">
        <is>
          <t>3 Months</t>
        </is>
      </c>
      <c r="M30" s="15" t="inlineStr">
        <is>
          <t>Bought</t>
        </is>
      </c>
      <c r="N30" s="15" t="inlineStr">
        <is>
          <t>BLOCK D3A</t>
        </is>
      </c>
      <c r="O30" s="15" t="inlineStr">
        <is>
          <t>Collected by Client</t>
        </is>
      </c>
      <c r="P30" s="15" t="inlineStr">
        <is>
          <t>Ms Immaculate</t>
        </is>
      </c>
      <c r="Q30" s="15" t="inlineStr">
        <is>
          <t>BAAY PROJECTS CLIENTS &gt; GREEN CITY KETU 1 INVESTORS LIS</t>
        </is>
      </c>
      <c r="R30" s="15" t="n">
        <v>22</v>
      </c>
      <c r="S30" s="15" t="inlineStr">
        <is>
          <t>2023-12-10</t>
        </is>
      </c>
      <c r="T30" s="15" t="n"/>
    </row>
    <row r="31">
      <c r="A31" s="15" t="inlineStr">
        <is>
          <t>SB0027</t>
        </is>
      </c>
      <c r="B31" s="15" t="inlineStr">
        <is>
          <t>BP-C0035</t>
        </is>
      </c>
      <c r="C31" s="15" t="inlineStr">
        <is>
          <t>Vacant</t>
        </is>
      </c>
      <c r="D31" s="15" t="inlineStr">
        <is>
          <t>Land</t>
        </is>
      </c>
      <c r="E31" s="15" t="inlineStr">
        <is>
          <t>Green City Phase 1 (Lantaba, Ketu-Epe)</t>
        </is>
      </c>
      <c r="F31" s="15" t="inlineStr">
        <is>
          <t>600sqm</t>
        </is>
      </c>
      <c r="G31" s="16" t="n">
        <v>45211</v>
      </c>
      <c r="H31" s="15">
        <f>IF(G31="","",YEAR(G31))</f>
        <v/>
      </c>
      <c r="I31" s="17" t="n">
        <v>1500000</v>
      </c>
      <c r="J31" s="17" t="n">
        <v>1500000</v>
      </c>
      <c r="K31" s="17">
        <f>IF(OR(I31="",J31=""),"",I31-J31)</f>
        <v/>
      </c>
      <c r="L31" s="15" t="inlineStr">
        <is>
          <t>3months</t>
        </is>
      </c>
      <c r="M31" s="15" t="inlineStr">
        <is>
          <t>bought</t>
        </is>
      </c>
      <c r="N31" s="15" t="inlineStr">
        <is>
          <t>BLOCK C2</t>
        </is>
      </c>
      <c r="O31" s="15" t="inlineStr">
        <is>
          <t>Yet to collect Physical Document</t>
        </is>
      </c>
      <c r="P31" s="15" t="inlineStr">
        <is>
          <t>MD</t>
        </is>
      </c>
      <c r="Q31" s="15" t="inlineStr">
        <is>
          <t>BAAY PROJECTS CLIENTS &gt; GREEN CITY KETU 1 INVESTORS LIS</t>
        </is>
      </c>
      <c r="R31" s="15" t="n">
        <v>23</v>
      </c>
      <c r="S31" s="15" t="inlineStr">
        <is>
          <t>2023-12-10</t>
        </is>
      </c>
      <c r="T31" s="15" t="n"/>
    </row>
    <row r="32">
      <c r="A32" s="15" t="inlineStr">
        <is>
          <t>SB0028</t>
        </is>
      </c>
      <c r="B32" s="15" t="inlineStr">
        <is>
          <t>BP-C0037</t>
        </is>
      </c>
      <c r="C32" s="15" t="inlineStr">
        <is>
          <t>Miss Okezie Mandy Ifeoma</t>
        </is>
      </c>
      <c r="D32" s="15" t="inlineStr">
        <is>
          <t>Land</t>
        </is>
      </c>
      <c r="E32" s="15" t="inlineStr">
        <is>
          <t>Green City Phase 1 (Lantaba, Ketu-Epe)</t>
        </is>
      </c>
      <c r="F32" s="15" t="inlineStr">
        <is>
          <t>250sqm</t>
        </is>
      </c>
      <c r="G32" s="16" t="n">
        <v>45228</v>
      </c>
      <c r="H32" s="15">
        <f>IF(G32="","",YEAR(G32))</f>
        <v/>
      </c>
      <c r="I32" s="17" t="n">
        <v>4600000</v>
      </c>
      <c r="J32" s="17" t="n">
        <v>4600000</v>
      </c>
      <c r="K32" s="17">
        <f>IF(OR(I32="",J32=""),"",I32-J32)</f>
        <v/>
      </c>
      <c r="L32" s="15" t="inlineStr">
        <is>
          <t>3 Months</t>
        </is>
      </c>
      <c r="M32" s="15" t="inlineStr">
        <is>
          <t>Bought</t>
        </is>
      </c>
      <c r="N32" s="15" t="inlineStr">
        <is>
          <t>BLOCK D3B</t>
        </is>
      </c>
      <c r="O32" s="15" t="inlineStr">
        <is>
          <t>Collected by Client</t>
        </is>
      </c>
      <c r="P32" s="15" t="inlineStr">
        <is>
          <t>Celina</t>
        </is>
      </c>
      <c r="Q32" s="15" t="inlineStr">
        <is>
          <t>BAAY PROJECTS CLIENTS &gt; GREEN CITY KETU 1 INVESTORS LIS</t>
        </is>
      </c>
      <c r="R32" s="15" t="n">
        <v>25</v>
      </c>
      <c r="S32" s="15" t="inlineStr">
        <is>
          <t>29/10/2023</t>
        </is>
      </c>
      <c r="T32" s="15" t="n"/>
    </row>
    <row r="33">
      <c r="A33" s="15" t="inlineStr">
        <is>
          <t>SB0029</t>
        </is>
      </c>
      <c r="B33" s="15" t="inlineStr">
        <is>
          <t>BP-C0040</t>
        </is>
      </c>
      <c r="C33" s="15" t="inlineStr">
        <is>
          <t>Bassey Christopher</t>
        </is>
      </c>
      <c r="D33" s="15" t="inlineStr">
        <is>
          <t>Land</t>
        </is>
      </c>
      <c r="E33" s="15" t="inlineStr">
        <is>
          <t>Green City Phase 1 (Lantaba, Ketu-Epe)</t>
        </is>
      </c>
      <c r="F33" s="15" t="inlineStr">
        <is>
          <t>1000sqm &amp; 600sqm</t>
        </is>
      </c>
      <c r="G33" s="16" t="n">
        <v>45229</v>
      </c>
      <c r="H33" s="15">
        <f>IF(G33="","",YEAR(G33))</f>
        <v/>
      </c>
      <c r="I33" s="17" t="n">
        <v>2000000</v>
      </c>
      <c r="J33" s="17" t="n">
        <v>2000000</v>
      </c>
      <c r="K33" s="17">
        <f>IF(OR(I33="",J33=""),"",I33-J33)</f>
        <v/>
      </c>
      <c r="L33" s="15" t="inlineStr">
        <is>
          <t>3 Months</t>
        </is>
      </c>
      <c r="M33" s="15" t="inlineStr">
        <is>
          <t>Bought</t>
        </is>
      </c>
      <c r="N33" s="15" t="inlineStr">
        <is>
          <t>BLOCK A45</t>
        </is>
      </c>
      <c r="O33" s="15" t="inlineStr">
        <is>
          <t>Collected by Client</t>
        </is>
      </c>
      <c r="P33" s="15" t="inlineStr">
        <is>
          <t>Ms Immaculate</t>
        </is>
      </c>
      <c r="Q33" s="15" t="inlineStr">
        <is>
          <t>BAAY PROJECTS CLIENTS &gt; GREEN CITY KETU 1 INVESTORS LIS</t>
        </is>
      </c>
      <c r="R33" s="15" t="n">
        <v>26</v>
      </c>
      <c r="S33" s="15" t="inlineStr">
        <is>
          <t>30/10/2023</t>
        </is>
      </c>
      <c r="T33" s="15" t="n"/>
    </row>
    <row r="34">
      <c r="A34" s="15" t="inlineStr">
        <is>
          <t>SB0030</t>
        </is>
      </c>
      <c r="B34" s="15" t="inlineStr">
        <is>
          <t>BP-C0029</t>
        </is>
      </c>
      <c r="C34" s="15" t="inlineStr">
        <is>
          <t>Mr Ohanehi Anthony Chukwunonso</t>
        </is>
      </c>
      <c r="D34" s="15" t="inlineStr">
        <is>
          <t>Land</t>
        </is>
      </c>
      <c r="E34" s="15" t="inlineStr">
        <is>
          <t>Green City Phase 1 (Lantaba, Ketu-Epe)</t>
        </is>
      </c>
      <c r="F34" s="15" t="inlineStr">
        <is>
          <t>600sqm Commercial</t>
        </is>
      </c>
      <c r="G34" s="16" t="n">
        <v>45229</v>
      </c>
      <c r="H34" s="15">
        <f>IF(G34="","",YEAR(G34))</f>
        <v/>
      </c>
      <c r="I34" s="17" t="n">
        <v>3000000</v>
      </c>
      <c r="J34" s="17" t="n">
        <v>9540000</v>
      </c>
      <c r="K34" s="17">
        <f>IF(OR(I34="",J34=""),"",I34-J34)</f>
        <v/>
      </c>
      <c r="L34" s="15" t="inlineStr">
        <is>
          <t>6 Months</t>
        </is>
      </c>
      <c r="M34" s="15" t="inlineStr">
        <is>
          <t>Bought</t>
        </is>
      </c>
      <c r="N34" s="15" t="inlineStr">
        <is>
          <t>BLOCK A678</t>
        </is>
      </c>
      <c r="O34" s="15" t="inlineStr">
        <is>
          <t>Collected by Client</t>
        </is>
      </c>
      <c r="P34" s="15" t="inlineStr">
        <is>
          <t>Ms Immaculate</t>
        </is>
      </c>
      <c r="Q34" s="15" t="inlineStr">
        <is>
          <t>BAAY PROJECTS CLIENTS &gt; GREEN CITY KETU 1 INVESTORS LIS + Foreshore financials sheet</t>
        </is>
      </c>
      <c r="R34" s="15" t="n">
        <v>19</v>
      </c>
      <c r="S34" s="15" t="inlineStr">
        <is>
          <t>2023-10-30</t>
        </is>
      </c>
      <c r="T34" s="15" t="n"/>
    </row>
    <row r="35">
      <c r="A35" s="15" t="inlineStr">
        <is>
          <t>SB0031</t>
        </is>
      </c>
      <c r="B35" s="15" t="inlineStr">
        <is>
          <t>BP-C0036</t>
        </is>
      </c>
      <c r="C35" s="15" t="inlineStr">
        <is>
          <t>Ohumende Paul Osaze</t>
        </is>
      </c>
      <c r="D35" s="15" t="inlineStr">
        <is>
          <t>Land</t>
        </is>
      </c>
      <c r="E35" s="15" t="inlineStr">
        <is>
          <t>Green City Phase 1 (Lantaba, Ketu-Epe)</t>
        </is>
      </c>
      <c r="F35" s="15" t="inlineStr">
        <is>
          <t>600sqm (6 Units)</t>
        </is>
      </c>
      <c r="G35" s="16" t="n">
        <v>45232</v>
      </c>
      <c r="H35" s="15">
        <f>IF(G35="","",YEAR(G35))</f>
        <v/>
      </c>
      <c r="I35" s="17" t="n">
        <v>15000000</v>
      </c>
      <c r="J35" s="17" t="n">
        <v>15000000</v>
      </c>
      <c r="K35" s="17">
        <f>IF(OR(I35="",J35=""),"",I35-J35)</f>
        <v/>
      </c>
      <c r="L35" s="15" t="inlineStr">
        <is>
          <t>3 months</t>
        </is>
      </c>
      <c r="M35" s="15" t="inlineStr">
        <is>
          <t>Bought</t>
        </is>
      </c>
      <c r="N35" s="15" t="inlineStr">
        <is>
          <t>BLOCK H123456</t>
        </is>
      </c>
      <c r="O35" s="15" t="inlineStr">
        <is>
          <t>Collected by Client</t>
        </is>
      </c>
      <c r="P35" s="15" t="inlineStr">
        <is>
          <t>MD</t>
        </is>
      </c>
      <c r="Q35" s="15" t="inlineStr">
        <is>
          <t>BAAY PROJECTS CLIENTS &gt; GREEN CITY KETU 1 INVESTORS LIS</t>
        </is>
      </c>
      <c r="R35" s="15" t="n">
        <v>27</v>
      </c>
      <c r="S35" s="15" t="inlineStr">
        <is>
          <t>2023-02-11</t>
        </is>
      </c>
      <c r="T35" s="15" t="n"/>
    </row>
    <row r="36">
      <c r="A36" s="15" t="inlineStr">
        <is>
          <t>SB0032</t>
        </is>
      </c>
      <c r="B36" s="15" t="inlineStr">
        <is>
          <t>BP-C0041</t>
        </is>
      </c>
      <c r="C36" s="15" t="inlineStr">
        <is>
          <t>Alhaji Badamasi Mohammadu</t>
        </is>
      </c>
      <c r="D36" s="15" t="inlineStr">
        <is>
          <t>Land</t>
        </is>
      </c>
      <c r="E36" s="15" t="inlineStr">
        <is>
          <t>Green City Phase 1 (Lantaba, Ketu-Epe)</t>
        </is>
      </c>
      <c r="F36" s="15" t="inlineStr">
        <is>
          <t>500sqm</t>
        </is>
      </c>
      <c r="G36" s="16" t="n">
        <v>45233</v>
      </c>
      <c r="H36" s="15">
        <f>IF(G36="","",YEAR(G36))</f>
        <v/>
      </c>
      <c r="I36" s="17" t="n">
        <v>27600000</v>
      </c>
      <c r="J36" s="17" t="n">
        <v>27600000</v>
      </c>
      <c r="K36" s="17">
        <f>IF(OR(I36="",J36=""),"",I36-J36)</f>
        <v/>
      </c>
      <c r="L36" s="15" t="inlineStr">
        <is>
          <t>3 months</t>
        </is>
      </c>
      <c r="M36" s="15" t="inlineStr">
        <is>
          <t>Bought</t>
        </is>
      </c>
      <c r="N36" s="15" t="inlineStr">
        <is>
          <t>BLOCK G1</t>
        </is>
      </c>
      <c r="O36" s="15" t="inlineStr">
        <is>
          <t>Collected by Client</t>
        </is>
      </c>
      <c r="P36" s="15" t="inlineStr">
        <is>
          <t>Ms Tobi Associate</t>
        </is>
      </c>
      <c r="Q36" s="15" t="inlineStr">
        <is>
          <t>BAAY PROJECTS CLIENTS &gt; GREEN CITY KETU 1 INVESTORS LIS</t>
        </is>
      </c>
      <c r="R36" s="15" t="n">
        <v>28</v>
      </c>
      <c r="S36" s="15" t="inlineStr">
        <is>
          <t>2023-03-11</t>
        </is>
      </c>
      <c r="T36" s="15" t="n"/>
    </row>
    <row r="37">
      <c r="A37" s="15" t="inlineStr">
        <is>
          <t>SB0033</t>
        </is>
      </c>
      <c r="B37" s="15" t="inlineStr">
        <is>
          <t>BP-C0043</t>
        </is>
      </c>
      <c r="C37" s="15" t="inlineStr">
        <is>
          <t>Mrs Oladiran Omolola Agnes</t>
        </is>
      </c>
      <c r="D37" s="15" t="inlineStr">
        <is>
          <t>Land</t>
        </is>
      </c>
      <c r="E37" s="15" t="inlineStr">
        <is>
          <t>Green City Agbowa</t>
        </is>
      </c>
      <c r="F37" s="15" t="inlineStr">
        <is>
          <t>250sqm</t>
        </is>
      </c>
      <c r="G37" s="16" t="n">
        <v>45239</v>
      </c>
      <c r="H37" s="15">
        <f>IF(G37="","",YEAR(G37))</f>
        <v/>
      </c>
      <c r="I37" s="17" t="n">
        <v>750000</v>
      </c>
      <c r="J37" s="17" t="n">
        <v>750000</v>
      </c>
      <c r="K37" s="17">
        <f>IF(OR(I37="",J37=""),"",I37-J37)</f>
        <v/>
      </c>
      <c r="L37" s="15" t="inlineStr">
        <is>
          <t>3 Months</t>
        </is>
      </c>
      <c r="M37" s="15" t="inlineStr">
        <is>
          <t>Convert to ketu 2</t>
        </is>
      </c>
      <c r="N37" s="15" t="n"/>
      <c r="O37" s="15" t="n"/>
      <c r="P37" s="15" t="inlineStr">
        <is>
          <t>Mr Pelumi</t>
        </is>
      </c>
      <c r="Q37" s="15" t="inlineStr">
        <is>
          <t>BAAY PROJECTS CLIENTS &gt; GREENCITY AGBOWA</t>
        </is>
      </c>
      <c r="R37" s="15" t="n">
        <v>3</v>
      </c>
      <c r="S37" s="15" t="inlineStr">
        <is>
          <t>2023-09-11</t>
        </is>
      </c>
      <c r="T37" s="15" t="n"/>
    </row>
    <row r="38">
      <c r="A38" s="15" t="inlineStr">
        <is>
          <t>SB0034</t>
        </is>
      </c>
      <c r="B38" s="15" t="inlineStr">
        <is>
          <t>BP-C0044</t>
        </is>
      </c>
      <c r="C38" s="15" t="inlineStr">
        <is>
          <t>Oluwase Babajide Victor</t>
        </is>
      </c>
      <c r="D38" s="15" t="inlineStr">
        <is>
          <t>Land</t>
        </is>
      </c>
      <c r="E38" s="15" t="inlineStr">
        <is>
          <t>Green City Phase 1 (Lantaba, Ketu-Epe)</t>
        </is>
      </c>
      <c r="F38" s="15" t="inlineStr">
        <is>
          <t>600sqm</t>
        </is>
      </c>
      <c r="G38" s="16" t="n">
        <v>45239</v>
      </c>
      <c r="H38" s="15">
        <f>IF(G38="","",YEAR(G38))</f>
        <v/>
      </c>
      <c r="I38" s="17" t="n">
        <v>5290000</v>
      </c>
      <c r="J38" s="17" t="n">
        <v>5290000</v>
      </c>
      <c r="K38" s="17">
        <f>IF(OR(I38="",J38=""),"",I38-J38)</f>
        <v/>
      </c>
      <c r="L38" s="15" t="inlineStr">
        <is>
          <t>6 Months</t>
        </is>
      </c>
      <c r="M38" s="15" t="inlineStr">
        <is>
          <t>Bought</t>
        </is>
      </c>
      <c r="N38" s="15" t="inlineStr">
        <is>
          <t>BLOCK F7</t>
        </is>
      </c>
      <c r="O38" s="15" t="inlineStr">
        <is>
          <t>Collected by Client</t>
        </is>
      </c>
      <c r="P38" s="15" t="inlineStr">
        <is>
          <t>MD</t>
        </is>
      </c>
      <c r="Q38" s="15" t="inlineStr">
        <is>
          <t>BAAY PROJECTS CLIENTS &gt; GREEN CITY KETU 1 INVESTORS LIS</t>
        </is>
      </c>
      <c r="R38" s="15" t="n">
        <v>30</v>
      </c>
      <c r="S38" s="15" t="inlineStr">
        <is>
          <t>2023-09-11</t>
        </is>
      </c>
      <c r="T38" s="15" t="n"/>
    </row>
    <row r="39">
      <c r="A39" s="15" t="inlineStr">
        <is>
          <t>SB0035</t>
        </is>
      </c>
      <c r="B39" s="15" t="inlineStr">
        <is>
          <t>BP-C0043</t>
        </is>
      </c>
      <c r="C39" s="15" t="inlineStr">
        <is>
          <t>Mrs Oladiran Omolola</t>
        </is>
      </c>
      <c r="D39" s="15" t="inlineStr">
        <is>
          <t>Land</t>
        </is>
      </c>
      <c r="E39" s="15" t="inlineStr">
        <is>
          <t>Green City Phase 2 (Ketu-Epe)</t>
        </is>
      </c>
      <c r="F39" s="15" t="inlineStr">
        <is>
          <t>250sqm</t>
        </is>
      </c>
      <c r="G39" s="16" t="n">
        <v>45239</v>
      </c>
      <c r="H39" s="15">
        <f>IF(G39="","",YEAR(G39))</f>
        <v/>
      </c>
      <c r="I39" s="17" t="n">
        <v>1300000</v>
      </c>
      <c r="J39" s="17" t="n"/>
      <c r="K39" s="17">
        <f>IF(OR(I39="",J39=""),"",I39-J39)</f>
        <v/>
      </c>
      <c r="L39" s="15" t="inlineStr">
        <is>
          <t>6 Months</t>
        </is>
      </c>
      <c r="M39" s="15" t="inlineStr">
        <is>
          <t>REFUND</t>
        </is>
      </c>
      <c r="N39" s="15" t="inlineStr">
        <is>
          <t>BLOCK E, PLOT 6</t>
        </is>
      </c>
      <c r="O39" s="15" t="inlineStr">
        <is>
          <t>Not yet Processed</t>
        </is>
      </c>
      <c r="P39" s="15" t="inlineStr">
        <is>
          <t>Pelumi</t>
        </is>
      </c>
      <c r="Q39" s="15" t="inlineStr">
        <is>
          <t>BAAY PROJECTS CLIENTS &gt; GREEN CITY KETU EPE 2</t>
        </is>
      </c>
      <c r="R39" s="15" t="n">
        <v>9</v>
      </c>
      <c r="S39" s="15" t="inlineStr">
        <is>
          <t>2023-09-11</t>
        </is>
      </c>
      <c r="T39" s="15" t="inlineStr">
        <is>
          <t>Paid-to-date in source: REFUND</t>
        </is>
      </c>
    </row>
    <row r="40">
      <c r="A40" s="15" t="inlineStr">
        <is>
          <t>SB0036</t>
        </is>
      </c>
      <c r="B40" s="15" t="inlineStr">
        <is>
          <t>BP-C0045</t>
        </is>
      </c>
      <c r="C40" s="15" t="inlineStr">
        <is>
          <t>Bolarinwa Iyanuoluwa Simon</t>
        </is>
      </c>
      <c r="D40" s="15" t="inlineStr">
        <is>
          <t>Land</t>
        </is>
      </c>
      <c r="E40" s="15" t="inlineStr">
        <is>
          <t>Green City Phase 1 (Lantaba, Ketu-Epe)</t>
        </is>
      </c>
      <c r="F40" s="15" t="inlineStr">
        <is>
          <t>600sqm</t>
        </is>
      </c>
      <c r="G40" s="16" t="n">
        <v>45245</v>
      </c>
      <c r="H40" s="15">
        <f>IF(G40="","",YEAR(G40))</f>
        <v/>
      </c>
      <c r="I40" s="17" t="n">
        <v>5290000</v>
      </c>
      <c r="J40" s="17" t="n">
        <v>5290000</v>
      </c>
      <c r="K40" s="17">
        <f>IF(OR(I40="",J40=""),"",I40-J40)</f>
        <v/>
      </c>
      <c r="L40" s="15" t="inlineStr">
        <is>
          <t>3 Months</t>
        </is>
      </c>
      <c r="M40" s="15" t="inlineStr">
        <is>
          <t>Bought</t>
        </is>
      </c>
      <c r="N40" s="15" t="inlineStr">
        <is>
          <t>BLOCK E3</t>
        </is>
      </c>
      <c r="O40" s="15" t="inlineStr">
        <is>
          <t>Collected by Client</t>
        </is>
      </c>
      <c r="P40" s="15" t="inlineStr">
        <is>
          <t>MD</t>
        </is>
      </c>
      <c r="Q40" s="15" t="inlineStr">
        <is>
          <t>BAAY PROJECTS CLIENTS &gt; GREEN CITY KETU 1 INVESTORS LIS</t>
        </is>
      </c>
      <c r="R40" s="15" t="n">
        <v>31</v>
      </c>
      <c r="S40" s="15" t="inlineStr">
        <is>
          <t>15/11/2023</t>
        </is>
      </c>
      <c r="T40" s="15" t="n"/>
    </row>
    <row r="41">
      <c r="A41" s="15" t="inlineStr">
        <is>
          <t>SB0037</t>
        </is>
      </c>
      <c r="B41" s="15" t="inlineStr">
        <is>
          <t>BP-C0047</t>
        </is>
      </c>
      <c r="C41" s="15" t="inlineStr">
        <is>
          <t>Ms Paulina Kehinde Akhere George</t>
        </is>
      </c>
      <c r="D41" s="15" t="inlineStr">
        <is>
          <t>Housing</t>
        </is>
      </c>
      <c r="E41" s="15" t="inlineStr">
        <is>
          <t>Pacific Court</t>
        </is>
      </c>
      <c r="F41" s="15" t="inlineStr">
        <is>
          <t>Land | units: 1.0</t>
        </is>
      </c>
      <c r="G41" s="16" t="n">
        <v>45261</v>
      </c>
      <c r="H41" s="15">
        <f>IF(G41="","",YEAR(G41))</f>
        <v/>
      </c>
      <c r="I41" s="17" t="n">
        <v>21500000</v>
      </c>
      <c r="J41" s="17" t="n"/>
      <c r="K41" s="17">
        <f>IF(OR(I41="",J41=""),"",I41-J41)</f>
        <v/>
      </c>
      <c r="L41" s="15" t="inlineStr">
        <is>
          <t>3 MONTHS</t>
        </is>
      </c>
      <c r="M41" s="15" t="inlineStr">
        <is>
          <t>PAID</t>
        </is>
      </c>
      <c r="N41" s="15" t="n"/>
      <c r="O41" s="15" t="n"/>
      <c r="P41" s="15" t="inlineStr">
        <is>
          <t>Barr. Amokeodo</t>
        </is>
      </c>
      <c r="Q41" s="15" t="inlineStr">
        <is>
          <t>BAAY PROJECTS CLIENTS &gt; PACIFIC COURT INVESTORS LIST</t>
        </is>
      </c>
      <c r="R41" s="15" t="n">
        <v>10</v>
      </c>
      <c r="S41" s="15" t="inlineStr">
        <is>
          <t>2023-12-01</t>
        </is>
      </c>
      <c r="T41" s="15" t="n"/>
    </row>
    <row r="42">
      <c r="A42" s="15" t="inlineStr">
        <is>
          <t>SB0038</t>
        </is>
      </c>
      <c r="B42" s="15" t="inlineStr">
        <is>
          <t>BP-C0048</t>
        </is>
      </c>
      <c r="C42" s="15" t="inlineStr">
        <is>
          <t>Mr Araokonmi Sodiq Ayinla</t>
        </is>
      </c>
      <c r="D42" s="15" t="inlineStr">
        <is>
          <t>Land</t>
        </is>
      </c>
      <c r="E42" s="15" t="inlineStr">
        <is>
          <t>Green City Phase 1 (Lantaba, Ketu-Epe)</t>
        </is>
      </c>
      <c r="F42" s="15" t="inlineStr">
        <is>
          <t>250sqm</t>
        </is>
      </c>
      <c r="G42" s="16" t="n">
        <v>45268</v>
      </c>
      <c r="H42" s="15">
        <f>IF(G42="","",YEAR(G42))</f>
        <v/>
      </c>
      <c r="I42" s="17" t="n">
        <v>5040000</v>
      </c>
      <c r="J42" s="17" t="n">
        <v>5040000</v>
      </c>
      <c r="K42" s="17">
        <f>IF(OR(I42="",J42=""),"",I42-J42)</f>
        <v/>
      </c>
      <c r="L42" s="15" t="inlineStr">
        <is>
          <t>3 Months</t>
        </is>
      </c>
      <c r="M42" s="15" t="inlineStr">
        <is>
          <t>Bought</t>
        </is>
      </c>
      <c r="N42" s="15" t="inlineStr">
        <is>
          <t>BLOCK A12</t>
        </is>
      </c>
      <c r="O42" s="15" t="inlineStr">
        <is>
          <t>Collected by Rep</t>
        </is>
      </c>
      <c r="P42" s="15" t="inlineStr">
        <is>
          <t>Yetunde/MD</t>
        </is>
      </c>
      <c r="Q42" s="15" t="inlineStr">
        <is>
          <t>BAAY PROJECTS CLIENTS &gt; GREEN CITY KETU 1 INVESTORS LIS</t>
        </is>
      </c>
      <c r="R42" s="15" t="n">
        <v>33</v>
      </c>
      <c r="S42" s="15" t="inlineStr">
        <is>
          <t>2023-08-12</t>
        </is>
      </c>
      <c r="T42" s="15" t="n"/>
    </row>
    <row r="43">
      <c r="A43" s="15" t="inlineStr">
        <is>
          <t>SB0039</t>
        </is>
      </c>
      <c r="B43" s="15" t="inlineStr">
        <is>
          <t>BP-C0049</t>
        </is>
      </c>
      <c r="C43" s="15" t="inlineStr">
        <is>
          <t>Mr Ali Ifesinachi Innocent</t>
        </is>
      </c>
      <c r="D43" s="15" t="inlineStr">
        <is>
          <t>Land</t>
        </is>
      </c>
      <c r="E43" s="15" t="inlineStr">
        <is>
          <t>Green City Phase 1 (Lantaba, Ketu-Epe)</t>
        </is>
      </c>
      <c r="F43" s="15" t="inlineStr">
        <is>
          <t>500sqm</t>
        </is>
      </c>
      <c r="G43" s="16" t="n">
        <v>45271</v>
      </c>
      <c r="H43" s="15">
        <f>IF(G43="","",YEAR(G43))</f>
        <v/>
      </c>
      <c r="I43" s="17" t="n">
        <v>2743680</v>
      </c>
      <c r="J43" s="17" t="n">
        <v>2743680</v>
      </c>
      <c r="K43" s="17">
        <f>IF(OR(I43="",J43=""),"",I43-J43)</f>
        <v/>
      </c>
      <c r="L43" s="15" t="inlineStr">
        <is>
          <t>3 Months</t>
        </is>
      </c>
      <c r="M43" s="15" t="inlineStr">
        <is>
          <t>Bought</t>
        </is>
      </c>
      <c r="N43" s="15" t="inlineStr">
        <is>
          <t>BLOCK G3</t>
        </is>
      </c>
      <c r="O43" s="15" t="inlineStr">
        <is>
          <t>Collected by rep (Miss Ude Ifunaya)</t>
        </is>
      </c>
      <c r="P43" s="15" t="inlineStr">
        <is>
          <t>MD</t>
        </is>
      </c>
      <c r="Q43" s="15" t="inlineStr">
        <is>
          <t>BAAY PROJECTS CLIENTS &gt; GREEN CITY KETU 1 INVESTORS LIS</t>
        </is>
      </c>
      <c r="R43" s="15" t="n">
        <v>32</v>
      </c>
      <c r="S43" s="15" t="inlineStr">
        <is>
          <t>2023-11-12</t>
        </is>
      </c>
      <c r="T43" s="15" t="n"/>
    </row>
    <row r="44">
      <c r="A44" s="15" t="inlineStr">
        <is>
          <t>SB0040</t>
        </is>
      </c>
      <c r="B44" s="15" t="inlineStr">
        <is>
          <t>BP-C0050</t>
        </is>
      </c>
      <c r="C44" s="15" t="inlineStr">
        <is>
          <t>Mr Atuanya Patrick Jideovo</t>
        </is>
      </c>
      <c r="D44" s="15" t="inlineStr">
        <is>
          <t>Land</t>
        </is>
      </c>
      <c r="E44" s="15" t="inlineStr">
        <is>
          <t>Green City Phase 1 (Lantaba, Ketu-Epe)</t>
        </is>
      </c>
      <c r="F44" s="15" t="inlineStr">
        <is>
          <t>500sqm</t>
        </is>
      </c>
      <c r="G44" s="16" t="n">
        <v>45274</v>
      </c>
      <c r="H44" s="15">
        <f>IF(G44="","",YEAR(G44))</f>
        <v/>
      </c>
      <c r="I44" s="17" t="n">
        <v>2600000</v>
      </c>
      <c r="J44" s="17" t="n">
        <v>2600000</v>
      </c>
      <c r="K44" s="17">
        <f>IF(OR(I44="",J44=""),"",I44-J44)</f>
        <v/>
      </c>
      <c r="L44" s="15" t="inlineStr">
        <is>
          <t>6 Months</t>
        </is>
      </c>
      <c r="M44" s="15" t="inlineStr">
        <is>
          <t>Bought</t>
        </is>
      </c>
      <c r="N44" s="15" t="inlineStr">
        <is>
          <t>BLOCK G4</t>
        </is>
      </c>
      <c r="O44" s="15" t="inlineStr">
        <is>
          <t>Collected by client</t>
        </is>
      </c>
      <c r="P44" s="15" t="inlineStr">
        <is>
          <t>Yetunde/MD</t>
        </is>
      </c>
      <c r="Q44" s="15" t="inlineStr">
        <is>
          <t>BAAY PROJECTS CLIENTS &gt; GREEN CITY KETU 1 INVESTORS LIS</t>
        </is>
      </c>
      <c r="R44" s="15" t="n">
        <v>34</v>
      </c>
      <c r="S44" s="15" t="inlineStr">
        <is>
          <t>14/12/2023</t>
        </is>
      </c>
      <c r="T44" s="15" t="n"/>
    </row>
    <row r="45">
      <c r="A45" s="15" t="inlineStr">
        <is>
          <t>SB0041</t>
        </is>
      </c>
      <c r="B45" s="15" t="inlineStr">
        <is>
          <t>BP-C0023</t>
        </is>
      </c>
      <c r="C45" s="15" t="inlineStr">
        <is>
          <t>MR KOREDE ADESE</t>
        </is>
      </c>
      <c r="D45" s="15" t="inlineStr">
        <is>
          <t>Land</t>
        </is>
      </c>
      <c r="E45" s="15" t="inlineStr">
        <is>
          <t>Green City Agbowa</t>
        </is>
      </c>
      <c r="F45" s="15" t="inlineStr">
        <is>
          <t>500sqm</t>
        </is>
      </c>
      <c r="G45" s="16" t="n">
        <v>45278</v>
      </c>
      <c r="H45" s="15">
        <f>IF(G45="","",YEAR(G45))</f>
        <v/>
      </c>
      <c r="I45" s="17" t="n">
        <v>2200000</v>
      </c>
      <c r="J45" s="17" t="n">
        <v>500000</v>
      </c>
      <c r="K45" s="17">
        <f>IF(OR(I45="",J45=""),"",I45-J45)</f>
        <v/>
      </c>
      <c r="L45" s="15" t="inlineStr">
        <is>
          <t>8 Months</t>
        </is>
      </c>
      <c r="M45" s="15" t="inlineStr">
        <is>
          <t>Paying</t>
        </is>
      </c>
      <c r="N45" s="15" t="n"/>
      <c r="O45" s="15" t="n"/>
      <c r="P45" s="15" t="inlineStr">
        <is>
          <t>MD</t>
        </is>
      </c>
      <c r="Q45" s="15" t="inlineStr">
        <is>
          <t>BAAY PROJECTS CLIENTS &gt; GREENCITY AGBOWA</t>
        </is>
      </c>
      <c r="R45" s="15" t="n">
        <v>4</v>
      </c>
      <c r="S45" s="15" t="inlineStr">
        <is>
          <t>18/12/2023</t>
        </is>
      </c>
      <c r="T45" s="15" t="n"/>
    </row>
    <row r="46">
      <c r="A46" s="15" t="inlineStr">
        <is>
          <t>SB0042</t>
        </is>
      </c>
      <c r="B46" s="15" t="inlineStr">
        <is>
          <t>BP-C0051</t>
        </is>
      </c>
      <c r="C46" s="15" t="inlineStr">
        <is>
          <t>Mr Ogunleye Olumide Victor</t>
        </is>
      </c>
      <c r="D46" s="15" t="inlineStr">
        <is>
          <t>Land</t>
        </is>
      </c>
      <c r="E46" s="15" t="inlineStr">
        <is>
          <t>Green City Agbowa</t>
        </is>
      </c>
      <c r="F46" s="15" t="inlineStr">
        <is>
          <t>500sqm</t>
        </is>
      </c>
      <c r="G46" s="16" t="n">
        <v>45280</v>
      </c>
      <c r="H46" s="15">
        <f>IF(G46="","",YEAR(G46))</f>
        <v/>
      </c>
      <c r="I46" s="17" t="n">
        <v>3000000</v>
      </c>
      <c r="J46" s="17" t="n">
        <v>1000000</v>
      </c>
      <c r="K46" s="17">
        <f>IF(OR(I46="",J46=""),"",I46-J46)</f>
        <v/>
      </c>
      <c r="L46" s="15" t="inlineStr">
        <is>
          <t>3 Months</t>
        </is>
      </c>
      <c r="M46" s="15" t="inlineStr">
        <is>
          <t>Paying</t>
        </is>
      </c>
      <c r="N46" s="15" t="n"/>
      <c r="O46" s="15" t="n"/>
      <c r="P46" s="15" t="inlineStr">
        <is>
          <t>MD</t>
        </is>
      </c>
      <c r="Q46" s="15" t="inlineStr">
        <is>
          <t>BAAY PROJECTS CLIENTS &gt; GREENCITY AGBOWA</t>
        </is>
      </c>
      <c r="R46" s="15" t="n">
        <v>5</v>
      </c>
      <c r="S46" s="15" t="inlineStr">
        <is>
          <t>20/12/2023</t>
        </is>
      </c>
      <c r="T46" s="15" t="n"/>
    </row>
    <row r="47">
      <c r="A47" s="15" t="inlineStr">
        <is>
          <t>SB0043</t>
        </is>
      </c>
      <c r="B47" s="15" t="inlineStr">
        <is>
          <t>BP-C0052</t>
        </is>
      </c>
      <c r="C47" s="15" t="inlineStr">
        <is>
          <t>Mathias Ojoma Lilian</t>
        </is>
      </c>
      <c r="D47" s="15" t="inlineStr">
        <is>
          <t>Land</t>
        </is>
      </c>
      <c r="E47" s="15" t="inlineStr">
        <is>
          <t>Green City Phase 1 (Lantaba, Ketu-Epe)</t>
        </is>
      </c>
      <c r="F47" s="15" t="inlineStr">
        <is>
          <t>250sqm</t>
        </is>
      </c>
      <c r="G47" s="16" t="n">
        <v>45283</v>
      </c>
      <c r="H47" s="15">
        <f>IF(G47="","",YEAR(G47))</f>
        <v/>
      </c>
      <c r="I47" s="17" t="n">
        <v>5796000</v>
      </c>
      <c r="J47" s="17" t="n">
        <v>5796000</v>
      </c>
      <c r="K47" s="17">
        <f>IF(OR(I47="",J47=""),"",I47-J47)</f>
        <v/>
      </c>
      <c r="L47" s="15" t="inlineStr">
        <is>
          <t>3 Months</t>
        </is>
      </c>
      <c r="M47" s="15" t="inlineStr">
        <is>
          <t>Bought</t>
        </is>
      </c>
      <c r="N47" s="15" t="inlineStr">
        <is>
          <t>BLOCK B7A</t>
        </is>
      </c>
      <c r="O47" s="15" t="inlineStr">
        <is>
          <t>Collected by Client</t>
        </is>
      </c>
      <c r="P47" s="15" t="inlineStr">
        <is>
          <t>Ms Immaculate</t>
        </is>
      </c>
      <c r="Q47" s="15" t="inlineStr">
        <is>
          <t>BAAY PROJECTS CLIENTS &gt; GREEN CITY KETU 1 INVESTORS LIS</t>
        </is>
      </c>
      <c r="R47" s="15" t="n">
        <v>38</v>
      </c>
      <c r="S47" s="15" t="inlineStr">
        <is>
          <t>23/12/2023</t>
        </is>
      </c>
      <c r="T47" s="15" t="n"/>
    </row>
    <row r="48">
      <c r="A48" s="15" t="inlineStr">
        <is>
          <t>SB0044</t>
        </is>
      </c>
      <c r="B48" s="15" t="inlineStr">
        <is>
          <t>BP-C0053</t>
        </is>
      </c>
      <c r="C48" s="15" t="inlineStr">
        <is>
          <t>Mr Adegbembo Stephen Oluwagbemiga</t>
        </is>
      </c>
      <c r="D48" s="15" t="inlineStr">
        <is>
          <t>Land</t>
        </is>
      </c>
      <c r="E48" s="15" t="inlineStr">
        <is>
          <t>Green City Phase 1 (Lantaba, Ketu-Epe)</t>
        </is>
      </c>
      <c r="F48" s="15" t="inlineStr">
        <is>
          <t>500sqm</t>
        </is>
      </c>
      <c r="G48" s="16" t="n">
        <v>45286</v>
      </c>
      <c r="H48" s="15">
        <f>IF(G48="","",YEAR(G48))</f>
        <v/>
      </c>
      <c r="I48" s="17" t="n">
        <v>2640000</v>
      </c>
      <c r="J48" s="17" t="n">
        <v>2640000</v>
      </c>
      <c r="K48" s="17">
        <f>IF(OR(I48="",J48=""),"",I48-J48)</f>
        <v/>
      </c>
      <c r="L48" s="15" t="inlineStr">
        <is>
          <t>6 Months</t>
        </is>
      </c>
      <c r="M48" s="15" t="inlineStr">
        <is>
          <t>Bought</t>
        </is>
      </c>
      <c r="N48" s="15" t="inlineStr">
        <is>
          <t>BLOCK D7</t>
        </is>
      </c>
      <c r="O48" s="15" t="inlineStr">
        <is>
          <t>Collected by client</t>
        </is>
      </c>
      <c r="P48" s="15" t="inlineStr">
        <is>
          <t>Ms Elizabeth</t>
        </is>
      </c>
      <c r="Q48" s="15" t="inlineStr">
        <is>
          <t>BAAY PROJECTS CLIENTS &gt; GREEN CITY KETU 1 INVESTORS LIS</t>
        </is>
      </c>
      <c r="R48" s="15" t="n">
        <v>37</v>
      </c>
      <c r="S48" s="15" t="inlineStr">
        <is>
          <t>26/12/2023</t>
        </is>
      </c>
      <c r="T48" s="15" t="n"/>
    </row>
    <row r="49">
      <c r="A49" s="15" t="inlineStr">
        <is>
          <t>SB0045</t>
        </is>
      </c>
      <c r="B49" s="15" t="inlineStr">
        <is>
          <t>BP-C0054</t>
        </is>
      </c>
      <c r="C49" s="15" t="inlineStr">
        <is>
          <t>Mr Ademola Adeniyi</t>
        </is>
      </c>
      <c r="D49" s="15" t="inlineStr">
        <is>
          <t>Land</t>
        </is>
      </c>
      <c r="E49" s="15" t="inlineStr">
        <is>
          <t>Green City Phase 1 (Lantaba, Ketu-Epe)</t>
        </is>
      </c>
      <c r="F49" s="15" t="inlineStr">
        <is>
          <t>1000sqm</t>
        </is>
      </c>
      <c r="G49" s="16" t="n">
        <v>45288</v>
      </c>
      <c r="H49" s="15">
        <f>IF(G49="","",YEAR(G49))</f>
        <v/>
      </c>
      <c r="I49" s="17" t="n">
        <v>2640000</v>
      </c>
      <c r="J49" s="17" t="n">
        <v>2640000</v>
      </c>
      <c r="K49" s="17">
        <f>IF(OR(I49="",J49=""),"",I49-J49)</f>
        <v/>
      </c>
      <c r="L49" s="15" t="inlineStr">
        <is>
          <t>3 Months</t>
        </is>
      </c>
      <c r="M49" s="15" t="inlineStr">
        <is>
          <t>Bought</t>
        </is>
      </c>
      <c r="N49" s="15" t="inlineStr">
        <is>
          <t>BLOCK D89</t>
        </is>
      </c>
      <c r="O49" s="15" t="inlineStr">
        <is>
          <t>Collected by Client</t>
        </is>
      </c>
      <c r="P49" s="15" t="inlineStr">
        <is>
          <t>Ms Abimbola</t>
        </is>
      </c>
      <c r="Q49" s="15" t="inlineStr">
        <is>
          <t>BAAY PROJECTS CLIENTS &gt; GREEN CITY KETU 1 INVESTORS LIS</t>
        </is>
      </c>
      <c r="R49" s="15" t="n">
        <v>39</v>
      </c>
      <c r="S49" s="15" t="inlineStr">
        <is>
          <t>28/12/2023</t>
        </is>
      </c>
      <c r="T49" s="15" t="n"/>
    </row>
    <row r="50">
      <c r="A50" s="15" t="inlineStr">
        <is>
          <t>SB0046</t>
        </is>
      </c>
      <c r="B50" s="15" t="inlineStr">
        <is>
          <t>BP-C0006</t>
        </is>
      </c>
      <c r="C50" s="15" t="inlineStr">
        <is>
          <t>Olasupo Oladimeji</t>
        </is>
      </c>
      <c r="D50" s="15" t="inlineStr">
        <is>
          <t>Land</t>
        </is>
      </c>
      <c r="E50" s="15" t="inlineStr">
        <is>
          <t>Green City Phase 1 (Lantaba, Ketu-Epe)</t>
        </is>
      </c>
      <c r="F50" s="15" t="inlineStr">
        <is>
          <t>1000sqm</t>
        </is>
      </c>
      <c r="G50" s="16" t="n">
        <v>45288</v>
      </c>
      <c r="H50" s="15">
        <f>IF(G50="","",YEAR(G50))</f>
        <v/>
      </c>
      <c r="I50" s="17" t="n">
        <v>10000000</v>
      </c>
      <c r="J50" s="17" t="n">
        <v>10000000</v>
      </c>
      <c r="K50" s="17">
        <f>IF(OR(I50="",J50=""),"",I50-J50)</f>
        <v/>
      </c>
      <c r="L50" s="15" t="inlineStr">
        <is>
          <t>3 months</t>
        </is>
      </c>
      <c r="M50" s="15" t="inlineStr">
        <is>
          <t>Bought</t>
        </is>
      </c>
      <c r="N50" s="15" t="inlineStr">
        <is>
          <t>BLOCK B45</t>
        </is>
      </c>
      <c r="O50" s="15" t="inlineStr">
        <is>
          <t>Collected by Client</t>
        </is>
      </c>
      <c r="P50" s="15" t="inlineStr">
        <is>
          <t>Ms Abimbola</t>
        </is>
      </c>
      <c r="Q50" s="15" t="inlineStr">
        <is>
          <t>BAAY PROJECTS CLIENTS &gt; GREEN CITY KETU 1 INVESTORS LIS</t>
        </is>
      </c>
      <c r="R50" s="15" t="n">
        <v>40</v>
      </c>
      <c r="S50" s="15" t="inlineStr">
        <is>
          <t>28/12/2023</t>
        </is>
      </c>
      <c r="T50" s="15" t="n"/>
    </row>
    <row r="51">
      <c r="A51" s="15" t="inlineStr">
        <is>
          <t>SB0047</t>
        </is>
      </c>
      <c r="B51" s="15" t="inlineStr">
        <is>
          <t>BP-C0056</t>
        </is>
      </c>
      <c r="C51" s="15" t="inlineStr">
        <is>
          <t>Mr Adeuti Olanrewaju Babatunde</t>
        </is>
      </c>
      <c r="D51" s="15" t="inlineStr">
        <is>
          <t>Land</t>
        </is>
      </c>
      <c r="E51" s="15" t="inlineStr">
        <is>
          <t>Green City Phase 1 (Lantaba, Ketu-Epe)</t>
        </is>
      </c>
      <c r="F51" s="15" t="inlineStr">
        <is>
          <t>250sqm</t>
        </is>
      </c>
      <c r="G51" s="16" t="n">
        <v>45289</v>
      </c>
      <c r="H51" s="15">
        <f>IF(G51="","",YEAR(G51))</f>
        <v/>
      </c>
      <c r="I51" s="17" t="n">
        <v>5040000</v>
      </c>
      <c r="J51" s="17" t="n">
        <v>5040000</v>
      </c>
      <c r="K51" s="17">
        <f>IF(OR(I51="",J51=""),"",I51-J51)</f>
        <v/>
      </c>
      <c r="L51" s="15" t="inlineStr">
        <is>
          <t>3 Months</t>
        </is>
      </c>
      <c r="M51" s="15" t="inlineStr">
        <is>
          <t>Bought</t>
        </is>
      </c>
      <c r="N51" s="15" t="inlineStr">
        <is>
          <t>BLOCK G2A</t>
        </is>
      </c>
      <c r="O51" s="15" t="inlineStr">
        <is>
          <t>Collected by rep</t>
        </is>
      </c>
      <c r="P51" s="15" t="inlineStr">
        <is>
          <t>Ms Abimbola</t>
        </is>
      </c>
      <c r="Q51" s="15" t="inlineStr">
        <is>
          <t>BAAY PROJECTS CLIENTS &gt; GREEN CITY KETU 1 INVESTORS LIS</t>
        </is>
      </c>
      <c r="R51" s="15" t="n">
        <v>36</v>
      </c>
      <c r="S51" s="15" t="inlineStr">
        <is>
          <t>29/12/2023</t>
        </is>
      </c>
      <c r="T51" s="15" t="n"/>
    </row>
    <row r="52">
      <c r="A52" s="15" t="inlineStr">
        <is>
          <t>SB0048</t>
        </is>
      </c>
      <c r="B52" s="15" t="inlineStr">
        <is>
          <t>BP-C0058</t>
        </is>
      </c>
      <c r="C52" s="15" t="inlineStr">
        <is>
          <t>Mr Oniyide Olaoluwa</t>
        </is>
      </c>
      <c r="D52" s="15" t="inlineStr">
        <is>
          <t>Land</t>
        </is>
      </c>
      <c r="E52" s="15" t="inlineStr">
        <is>
          <t>Green City Phase 1 (Lantaba, Ketu-Epe)</t>
        </is>
      </c>
      <c r="F52" s="15" t="inlineStr">
        <is>
          <t>500sqm</t>
        </is>
      </c>
      <c r="G52" s="16" t="n">
        <v>45289</v>
      </c>
      <c r="H52" s="15">
        <f>IF(G52="","",YEAR(G52))</f>
        <v/>
      </c>
      <c r="I52" s="17" t="n">
        <v>5500000</v>
      </c>
      <c r="J52" s="17" t="n">
        <v>5500000</v>
      </c>
      <c r="K52" s="17">
        <f>IF(OR(I52="",J52=""),"",I52-J52)</f>
        <v/>
      </c>
      <c r="L52" s="15" t="inlineStr">
        <is>
          <t>3 Months</t>
        </is>
      </c>
      <c r="M52" s="15" t="inlineStr">
        <is>
          <t>Bought</t>
        </is>
      </c>
      <c r="N52" s="15" t="inlineStr">
        <is>
          <t>BLOCK G5</t>
        </is>
      </c>
      <c r="O52" s="15" t="inlineStr">
        <is>
          <t>Collected By Rep</t>
        </is>
      </c>
      <c r="P52" s="15" t="inlineStr">
        <is>
          <t>Mr Charles</t>
        </is>
      </c>
      <c r="Q52" s="15" t="inlineStr">
        <is>
          <t>BAAY PROJECTS CLIENTS &gt; GREEN CITY KETU 1 INVESTORS LIS</t>
        </is>
      </c>
      <c r="R52" s="15" t="n">
        <v>35</v>
      </c>
      <c r="S52" s="15" t="inlineStr">
        <is>
          <t>29/12/2023</t>
        </is>
      </c>
      <c r="T52" s="15" t="n"/>
    </row>
    <row r="53">
      <c r="A53" s="15" t="inlineStr">
        <is>
          <t>SB0049</t>
        </is>
      </c>
      <c r="B53" s="15" t="inlineStr">
        <is>
          <t>BP-C0059</t>
        </is>
      </c>
      <c r="C53" s="15" t="inlineStr">
        <is>
          <t>Elochukwu George</t>
        </is>
      </c>
      <c r="D53" s="15" t="inlineStr">
        <is>
          <t>Land</t>
        </is>
      </c>
      <c r="E53" s="15" t="inlineStr">
        <is>
          <t>Green City Phase 1 (Lantaba, Ketu-Epe)</t>
        </is>
      </c>
      <c r="F53" s="15" t="inlineStr">
        <is>
          <t>500sqm</t>
        </is>
      </c>
      <c r="G53" s="16" t="n">
        <v>45291</v>
      </c>
      <c r="H53" s="15">
        <f>IF(G53="","",YEAR(G53))</f>
        <v/>
      </c>
      <c r="I53" s="17" t="n">
        <v>10000000</v>
      </c>
      <c r="J53" s="17" t="n">
        <v>10000000</v>
      </c>
      <c r="K53" s="17">
        <f>IF(OR(I53="",J53=""),"",I53-J53)</f>
        <v/>
      </c>
      <c r="L53" s="15" t="inlineStr">
        <is>
          <t>3 months</t>
        </is>
      </c>
      <c r="M53" s="15" t="inlineStr">
        <is>
          <t>Bought</t>
        </is>
      </c>
      <c r="N53" s="15" t="inlineStr">
        <is>
          <t>BLOCK B3</t>
        </is>
      </c>
      <c r="O53" s="15" t="inlineStr">
        <is>
          <t>Collected by Client</t>
        </is>
      </c>
      <c r="P53" s="15" t="inlineStr">
        <is>
          <t>Ms Abimbola</t>
        </is>
      </c>
      <c r="Q53" s="15" t="inlineStr">
        <is>
          <t>BAAY PROJECTS CLIENTS &gt; GREEN CITY KETU 1 INVESTORS LIS</t>
        </is>
      </c>
      <c r="R53" s="15" t="n">
        <v>41</v>
      </c>
      <c r="S53" s="15" t="inlineStr">
        <is>
          <t>31/12/2023</t>
        </is>
      </c>
      <c r="T53" s="15" t="n"/>
    </row>
    <row r="54">
      <c r="A54" s="15" t="inlineStr">
        <is>
          <t>SB0050</t>
        </is>
      </c>
      <c r="B54" s="15" t="inlineStr">
        <is>
          <t>BP-C0061</t>
        </is>
      </c>
      <c r="C54" s="15" t="inlineStr">
        <is>
          <t>OGUNKOYA EMMANUEL</t>
        </is>
      </c>
      <c r="D54" s="15" t="inlineStr">
        <is>
          <t>Land</t>
        </is>
      </c>
      <c r="E54" s="15" t="inlineStr">
        <is>
          <t>Green City Phase 2 (Ketu-Epe)</t>
        </is>
      </c>
      <c r="F54" s="15" t="inlineStr">
        <is>
          <t>250sqm</t>
        </is>
      </c>
      <c r="G54" s="16" t="n">
        <v>45296</v>
      </c>
      <c r="H54" s="15">
        <f>IF(G54="","",YEAR(G54))</f>
        <v/>
      </c>
      <c r="I54" s="17" t="n">
        <v>1800000</v>
      </c>
      <c r="J54" s="17" t="n">
        <v>1700000</v>
      </c>
      <c r="K54" s="17">
        <f>IF(OR(I54="",J54=""),"",I54-J54)</f>
        <v/>
      </c>
      <c r="L54" s="15" t="inlineStr">
        <is>
          <t>3 months</t>
        </is>
      </c>
      <c r="M54" s="15" t="inlineStr">
        <is>
          <t>bought</t>
        </is>
      </c>
      <c r="N54" s="15" t="inlineStr">
        <is>
          <t>BLOCK E, PLOT 7</t>
        </is>
      </c>
      <c r="O54" s="15" t="inlineStr">
        <is>
          <t>Not yet Collected</t>
        </is>
      </c>
      <c r="P54" s="15" t="inlineStr">
        <is>
          <t>MD</t>
        </is>
      </c>
      <c r="Q54" s="15" t="inlineStr">
        <is>
          <t>BAAY PROJECTS CLIENTS &gt; GREEN CITY KETU EPE 2</t>
        </is>
      </c>
      <c r="R54" s="15" t="n">
        <v>2</v>
      </c>
      <c r="S54" s="15" t="inlineStr">
        <is>
          <t>2024-05-01</t>
        </is>
      </c>
      <c r="T54" s="15" t="n"/>
    </row>
    <row r="55">
      <c r="A55" s="15" t="inlineStr">
        <is>
          <t>SB0051</t>
        </is>
      </c>
      <c r="B55" s="15" t="inlineStr">
        <is>
          <t>BP-C0017</t>
        </is>
      </c>
      <c r="C55" s="15" t="inlineStr">
        <is>
          <t>TAIWO JOHN ADELEYE</t>
        </is>
      </c>
      <c r="D55" s="15" t="inlineStr">
        <is>
          <t>Land</t>
        </is>
      </c>
      <c r="E55" s="15" t="inlineStr">
        <is>
          <t>Green City Phase 2 (Ketu-Epe)</t>
        </is>
      </c>
      <c r="F55" s="15" t="inlineStr">
        <is>
          <t>500sqm</t>
        </is>
      </c>
      <c r="G55" s="16" t="n">
        <v>45306</v>
      </c>
      <c r="H55" s="15">
        <f>IF(G55="","",YEAR(G55))</f>
        <v/>
      </c>
      <c r="I55" s="17" t="n">
        <v>3500000</v>
      </c>
      <c r="J55" s="17" t="n">
        <v>3500000</v>
      </c>
      <c r="K55" s="17">
        <f>IF(OR(I55="",J55=""),"",I55-J55)</f>
        <v/>
      </c>
      <c r="L55" s="15" t="inlineStr">
        <is>
          <t>6 Months</t>
        </is>
      </c>
      <c r="M55" s="15" t="inlineStr">
        <is>
          <t>bought</t>
        </is>
      </c>
      <c r="N55" s="15" t="inlineStr">
        <is>
          <t>BLOCK D, PLOT 1</t>
        </is>
      </c>
      <c r="O55" s="15" t="inlineStr">
        <is>
          <t>Collected by Client</t>
        </is>
      </c>
      <c r="P55" s="15" t="inlineStr">
        <is>
          <t>MD</t>
        </is>
      </c>
      <c r="Q55" s="15" t="inlineStr">
        <is>
          <t>BAAY PROJECTS CLIENTS &gt; GREEN CITY KETU EPE 2</t>
        </is>
      </c>
      <c r="R55" s="15" t="n">
        <v>3</v>
      </c>
      <c r="S55" s="15" t="inlineStr">
        <is>
          <t>15/01/2024</t>
        </is>
      </c>
      <c r="T55" s="15" t="n"/>
    </row>
    <row r="56">
      <c r="A56" s="15" t="inlineStr">
        <is>
          <t>SB0052</t>
        </is>
      </c>
      <c r="B56" s="15" t="inlineStr">
        <is>
          <t>BP-C0039</t>
        </is>
      </c>
      <c r="C56" s="15" t="inlineStr">
        <is>
          <t>Alabi Abdulazeez Toyosi</t>
        </is>
      </c>
      <c r="D56" s="15" t="inlineStr">
        <is>
          <t>Land</t>
        </is>
      </c>
      <c r="E56" s="15" t="inlineStr">
        <is>
          <t>Green City Phase 2 (Ketu-Epe)</t>
        </is>
      </c>
      <c r="F56" s="15" t="inlineStr">
        <is>
          <t>250sqm</t>
        </is>
      </c>
      <c r="G56" s="16" t="n">
        <v>45321</v>
      </c>
      <c r="H56" s="15">
        <f>IF(G56="","",YEAR(G56))</f>
        <v/>
      </c>
      <c r="I56" s="17" t="n">
        <v>1800000</v>
      </c>
      <c r="J56" s="17" t="n">
        <v>1800000</v>
      </c>
      <c r="K56" s="17">
        <f>IF(OR(I56="",J56=""),"",I56-J56)</f>
        <v/>
      </c>
      <c r="L56" s="15" t="inlineStr">
        <is>
          <t>6 Months</t>
        </is>
      </c>
      <c r="M56" s="15" t="inlineStr">
        <is>
          <t>REFUND</t>
        </is>
      </c>
      <c r="N56" s="15" t="inlineStr">
        <is>
          <t>BLOCK E, PLOT 6</t>
        </is>
      </c>
      <c r="O56" s="15" t="inlineStr">
        <is>
          <t>Not yet Collected</t>
        </is>
      </c>
      <c r="P56" s="15" t="inlineStr">
        <is>
          <t>MD</t>
        </is>
      </c>
      <c r="Q56" s="15" t="inlineStr">
        <is>
          <t>BAAY PROJECTS CLIENTS &gt; GREEN CITY KETU EPE 2</t>
        </is>
      </c>
      <c r="R56" s="15" t="n">
        <v>4</v>
      </c>
      <c r="S56" s="15" t="inlineStr">
        <is>
          <t>30/01/2024</t>
        </is>
      </c>
      <c r="T56" s="15" t="n"/>
    </row>
    <row r="57">
      <c r="A57" s="15" t="inlineStr">
        <is>
          <t>SB0053</t>
        </is>
      </c>
      <c r="B57" s="15" t="inlineStr">
        <is>
          <t>BP-C0062</t>
        </is>
      </c>
      <c r="C57" s="15" t="inlineStr">
        <is>
          <t>Mr Agbaje Christopher Usiola</t>
        </is>
      </c>
      <c r="D57" s="15" t="inlineStr">
        <is>
          <t>Land</t>
        </is>
      </c>
      <c r="E57" s="15" t="inlineStr">
        <is>
          <t>Green City Phase 1 (Lantaba, Ketu-Epe)</t>
        </is>
      </c>
      <c r="F57" s="15" t="inlineStr">
        <is>
          <t>600sqm</t>
        </is>
      </c>
      <c r="G57" s="16" t="n">
        <v>45323</v>
      </c>
      <c r="H57" s="15">
        <f>IF(G57="","",YEAR(G57))</f>
        <v/>
      </c>
      <c r="I57" s="17" t="n">
        <v>5040000</v>
      </c>
      <c r="J57" s="17" t="n">
        <v>5040000</v>
      </c>
      <c r="K57" s="17">
        <f>IF(OR(I57="",J57=""),"",I57-J57)</f>
        <v/>
      </c>
      <c r="L57" s="15" t="inlineStr">
        <is>
          <t>3 Months</t>
        </is>
      </c>
      <c r="M57" s="15" t="inlineStr">
        <is>
          <t>Bought</t>
        </is>
      </c>
      <c r="N57" s="15" t="inlineStr">
        <is>
          <t>BLOCK E6</t>
        </is>
      </c>
      <c r="O57" s="15" t="inlineStr">
        <is>
          <t>Deed Collected by Client</t>
        </is>
      </c>
      <c r="P57" s="15" t="inlineStr">
        <is>
          <t>MD</t>
        </is>
      </c>
      <c r="Q57" s="15" t="inlineStr">
        <is>
          <t>BAAY PROJECTS CLIENTS &gt; GREEN CITY KETU 1 INVESTORS LIS</t>
        </is>
      </c>
      <c r="R57" s="15" t="n">
        <v>42</v>
      </c>
      <c r="S57" s="15" t="inlineStr">
        <is>
          <t>2024-01-02</t>
        </is>
      </c>
      <c r="T57" s="15" t="n"/>
    </row>
    <row r="58">
      <c r="A58" s="15" t="inlineStr">
        <is>
          <t>SB0054</t>
        </is>
      </c>
      <c r="B58" s="15" t="inlineStr">
        <is>
          <t>BP-C0063</t>
        </is>
      </c>
      <c r="C58" s="15" t="inlineStr">
        <is>
          <t>Omodara Adewale David</t>
        </is>
      </c>
      <c r="D58" s="15" t="inlineStr">
        <is>
          <t>Land</t>
        </is>
      </c>
      <c r="E58" s="15" t="inlineStr">
        <is>
          <t>Green City Phase 2 (Ketu-Epe)</t>
        </is>
      </c>
      <c r="F58" s="15" t="inlineStr">
        <is>
          <t>500sqm</t>
        </is>
      </c>
      <c r="G58" s="16" t="n">
        <v>45326</v>
      </c>
      <c r="H58" s="15">
        <f>IF(G58="","",YEAR(G58))</f>
        <v/>
      </c>
      <c r="I58" s="17" t="n">
        <v>3500000</v>
      </c>
      <c r="J58" s="17" t="n">
        <v>3500000</v>
      </c>
      <c r="K58" s="17">
        <f>IF(OR(I58="",J58=""),"",I58-J58)</f>
        <v/>
      </c>
      <c r="L58" s="15" t="inlineStr">
        <is>
          <t>3 months</t>
        </is>
      </c>
      <c r="M58" s="15" t="inlineStr">
        <is>
          <t>Bought</t>
        </is>
      </c>
      <c r="N58" s="15" t="inlineStr">
        <is>
          <t>BLOCK D, PLOT 2</t>
        </is>
      </c>
      <c r="O58" s="15" t="inlineStr">
        <is>
          <t>Collected by Client</t>
        </is>
      </c>
      <c r="P58" s="15" t="inlineStr">
        <is>
          <t>Ms Taiwo Ajibola</t>
        </is>
      </c>
      <c r="Q58" s="15" t="inlineStr">
        <is>
          <t>BAAY PROJECTS CLIENTS &gt; GREEN CITY KETU EPE 2</t>
        </is>
      </c>
      <c r="R58" s="15" t="n">
        <v>5</v>
      </c>
      <c r="S58" s="15" t="inlineStr">
        <is>
          <t>2024-04-02</t>
        </is>
      </c>
      <c r="T58" s="15" t="n"/>
    </row>
    <row r="59">
      <c r="A59" s="15" t="inlineStr">
        <is>
          <t>SB0055</t>
        </is>
      </c>
      <c r="B59" s="15" t="inlineStr">
        <is>
          <t>BP-C0064</t>
        </is>
      </c>
      <c r="C59" s="15" t="inlineStr">
        <is>
          <t>Okosun Damian</t>
        </is>
      </c>
      <c r="D59" s="15" t="inlineStr">
        <is>
          <t>Land</t>
        </is>
      </c>
      <c r="E59" s="15" t="inlineStr">
        <is>
          <t>Green City Phase 2 (Ketu-Epe)</t>
        </is>
      </c>
      <c r="F59" s="15" t="inlineStr">
        <is>
          <t>250Sqm</t>
        </is>
      </c>
      <c r="G59" s="16" t="n">
        <v>45327</v>
      </c>
      <c r="H59" s="15">
        <f>IF(G59="","",YEAR(G59))</f>
        <v/>
      </c>
      <c r="I59" s="17" t="n">
        <v>1800000</v>
      </c>
      <c r="J59" s="17" t="n">
        <v>1800000</v>
      </c>
      <c r="K59" s="17">
        <f>IF(OR(I59="",J59=""),"",I59-J59)</f>
        <v/>
      </c>
      <c r="L59" s="15" t="inlineStr">
        <is>
          <t>3 months</t>
        </is>
      </c>
      <c r="M59" s="15" t="inlineStr">
        <is>
          <t>Bought</t>
        </is>
      </c>
      <c r="N59" s="15" t="inlineStr">
        <is>
          <t>BLOCK E, PLOT 5</t>
        </is>
      </c>
      <c r="O59" s="15" t="inlineStr">
        <is>
          <t>Not yet Collected</t>
        </is>
      </c>
      <c r="P59" s="15" t="inlineStr">
        <is>
          <t>Ms Bolanle</t>
        </is>
      </c>
      <c r="Q59" s="15" t="inlineStr">
        <is>
          <t>BAAY PROJECTS CLIENTS &gt; GREEN CITY KETU EPE 2</t>
        </is>
      </c>
      <c r="R59" s="15" t="n">
        <v>13</v>
      </c>
      <c r="S59" s="15" t="inlineStr">
        <is>
          <t>2024-05-02</t>
        </is>
      </c>
      <c r="T59" s="15" t="n"/>
    </row>
    <row r="60">
      <c r="A60" s="15" t="inlineStr">
        <is>
          <t>SB0056</t>
        </is>
      </c>
      <c r="B60" s="15" t="inlineStr">
        <is>
          <t>BP-C0065</t>
        </is>
      </c>
      <c r="C60" s="15" t="inlineStr">
        <is>
          <t>Mr Yusuf Saheed Taiwo</t>
        </is>
      </c>
      <c r="D60" s="15" t="inlineStr">
        <is>
          <t>Land</t>
        </is>
      </c>
      <c r="E60" s="15" t="inlineStr">
        <is>
          <t>Green City Phase 2 (Ketu-Epe)</t>
        </is>
      </c>
      <c r="F60" s="15" t="inlineStr">
        <is>
          <t>250sqm</t>
        </is>
      </c>
      <c r="G60" s="16" t="n">
        <v>45328</v>
      </c>
      <c r="H60" s="15">
        <f>IF(G60="","",YEAR(G60))</f>
        <v/>
      </c>
      <c r="I60" s="17" t="n">
        <v>1800000</v>
      </c>
      <c r="J60" s="17" t="n">
        <v>1800000</v>
      </c>
      <c r="K60" s="17">
        <f>IF(OR(I60="",J60=""),"",I60-J60)</f>
        <v/>
      </c>
      <c r="L60" s="15" t="inlineStr">
        <is>
          <t>3 months</t>
        </is>
      </c>
      <c r="M60" s="15" t="inlineStr">
        <is>
          <t>Bought</t>
        </is>
      </c>
      <c r="N60" s="15" t="inlineStr">
        <is>
          <t>BLOCK E, PLOT 8</t>
        </is>
      </c>
      <c r="O60" s="15" t="inlineStr">
        <is>
          <t>Not yet Collected</t>
        </is>
      </c>
      <c r="P60" s="15" t="inlineStr">
        <is>
          <t>MD</t>
        </is>
      </c>
      <c r="Q60" s="15" t="inlineStr">
        <is>
          <t>BAAY PROJECTS CLIENTS &gt; GREEN CITY KETU EPE 2</t>
        </is>
      </c>
      <c r="R60" s="15" t="n">
        <v>10</v>
      </c>
      <c r="S60" s="15" t="inlineStr">
        <is>
          <t>2024-06-02</t>
        </is>
      </c>
      <c r="T60" s="15" t="n"/>
    </row>
    <row r="61">
      <c r="A61" s="15" t="inlineStr">
        <is>
          <t>SB0057</t>
        </is>
      </c>
      <c r="B61" s="15" t="inlineStr">
        <is>
          <t>BP-C0009</t>
        </is>
      </c>
      <c r="C61" s="15" t="inlineStr">
        <is>
          <t>Miss Oji Blessing Mary</t>
        </is>
      </c>
      <c r="D61" s="15" t="inlineStr">
        <is>
          <t>Land</t>
        </is>
      </c>
      <c r="E61" s="15" t="inlineStr">
        <is>
          <t>Green City Phase 2 (Ketu-Epe)</t>
        </is>
      </c>
      <c r="F61" s="15" t="inlineStr">
        <is>
          <t>500Sqm</t>
        </is>
      </c>
      <c r="G61" s="16" t="n">
        <v>45334</v>
      </c>
      <c r="H61" s="15">
        <f>IF(G61="","",YEAR(G61))</f>
        <v/>
      </c>
      <c r="I61" s="17" t="n">
        <v>3500000</v>
      </c>
      <c r="J61" s="17" t="n">
        <v>3500000</v>
      </c>
      <c r="K61" s="17">
        <f>IF(OR(I61="",J61=""),"",I61-J61)</f>
        <v/>
      </c>
      <c r="L61" s="15" t="inlineStr">
        <is>
          <t>3 months</t>
        </is>
      </c>
      <c r="M61" s="15" t="inlineStr">
        <is>
          <t>Bought</t>
        </is>
      </c>
      <c r="N61" s="15" t="inlineStr">
        <is>
          <t>BLOCK D, PLOT 3</t>
        </is>
      </c>
      <c r="O61" s="15" t="inlineStr">
        <is>
          <t>Collected by Client</t>
        </is>
      </c>
      <c r="P61" s="15" t="inlineStr">
        <is>
          <t>Ms Bolanle</t>
        </is>
      </c>
      <c r="Q61" s="15" t="inlineStr">
        <is>
          <t>BAAY PROJECTS CLIENTS &gt; GREEN CITY KETU EPE 2</t>
        </is>
      </c>
      <c r="R61" s="15" t="n">
        <v>11</v>
      </c>
      <c r="S61" s="15" t="inlineStr">
        <is>
          <t>2024-12-02</t>
        </is>
      </c>
      <c r="T61" s="15" t="n"/>
    </row>
    <row r="62">
      <c r="A62" s="15" t="inlineStr">
        <is>
          <t>SB0058</t>
        </is>
      </c>
      <c r="B62" s="15" t="inlineStr">
        <is>
          <t>BP-C0066</t>
        </is>
      </c>
      <c r="C62" s="15" t="inlineStr">
        <is>
          <t>Miss Omosanya Dotun Akeju</t>
        </is>
      </c>
      <c r="D62" s="15" t="inlineStr">
        <is>
          <t>Land</t>
        </is>
      </c>
      <c r="E62" s="15" t="inlineStr">
        <is>
          <t>Green City Phase 2 (Ketu-Epe)</t>
        </is>
      </c>
      <c r="F62" s="15" t="inlineStr">
        <is>
          <t>500Sqm</t>
        </is>
      </c>
      <c r="G62" s="16" t="n">
        <v>45343</v>
      </c>
      <c r="H62" s="15">
        <f>IF(G62="","",YEAR(G62))</f>
        <v/>
      </c>
      <c r="I62" s="17" t="n">
        <v>3500000</v>
      </c>
      <c r="J62" s="17" t="n">
        <v>3500000</v>
      </c>
      <c r="K62" s="17">
        <f>IF(OR(I62="",J62=""),"",I62-J62)</f>
        <v/>
      </c>
      <c r="L62" s="15" t="inlineStr">
        <is>
          <t>3 months</t>
        </is>
      </c>
      <c r="M62" s="15" t="inlineStr">
        <is>
          <t>Bought</t>
        </is>
      </c>
      <c r="N62" s="15" t="inlineStr">
        <is>
          <t>BLOCK G, PLOT 5</t>
        </is>
      </c>
      <c r="O62" s="15" t="inlineStr">
        <is>
          <t>Collected by Client's rep</t>
        </is>
      </c>
      <c r="P62" s="15" t="inlineStr">
        <is>
          <t>Ms Oji Blessing</t>
        </is>
      </c>
      <c r="Q62" s="15" t="inlineStr">
        <is>
          <t>BAAY PROJECTS CLIENTS &gt; GREEN CITY KETU EPE 2 + Foreshore financials sheet</t>
        </is>
      </c>
      <c r="R62" s="15" t="n">
        <v>36</v>
      </c>
      <c r="S62" s="15" t="inlineStr">
        <is>
          <t>21/02/2024</t>
        </is>
      </c>
      <c r="T62" s="15" t="n"/>
    </row>
    <row r="63">
      <c r="A63" s="15" t="inlineStr">
        <is>
          <t>SB0059</t>
        </is>
      </c>
      <c r="B63" s="15" t="inlineStr">
        <is>
          <t>BP-C0067</t>
        </is>
      </c>
      <c r="C63" s="15" t="inlineStr">
        <is>
          <t>Mr Odje Theophilus Bamidele</t>
        </is>
      </c>
      <c r="D63" s="15" t="inlineStr">
        <is>
          <t>Land</t>
        </is>
      </c>
      <c r="E63" s="15" t="inlineStr">
        <is>
          <t>Green City Phase 2 (Ketu-Epe)</t>
        </is>
      </c>
      <c r="F63" s="15" t="inlineStr">
        <is>
          <t>500sqm</t>
        </is>
      </c>
      <c r="G63" s="16" t="n">
        <v>45348</v>
      </c>
      <c r="H63" s="15">
        <f>IF(G63="","",YEAR(G63))</f>
        <v/>
      </c>
      <c r="I63" s="17" t="n">
        <v>3500000</v>
      </c>
      <c r="J63" s="17" t="n">
        <v>3500000</v>
      </c>
      <c r="K63" s="17">
        <f>IF(OR(I63="",J63=""),"",I63-J63)</f>
        <v/>
      </c>
      <c r="L63" s="15" t="inlineStr">
        <is>
          <t>3 months</t>
        </is>
      </c>
      <c r="M63" s="15" t="inlineStr">
        <is>
          <t>Bought</t>
        </is>
      </c>
      <c r="N63" s="15" t="inlineStr">
        <is>
          <t>BLOCK D, PLOT 5</t>
        </is>
      </c>
      <c r="O63" s="15" t="inlineStr">
        <is>
          <t>Collected by Client</t>
        </is>
      </c>
      <c r="P63" s="15" t="inlineStr">
        <is>
          <t>Mr Praise</t>
        </is>
      </c>
      <c r="Q63" s="15" t="inlineStr">
        <is>
          <t>BAAY PROJECTS CLIENTS &gt; GREEN CITY KETU EPE 2</t>
        </is>
      </c>
      <c r="R63" s="15" t="n">
        <v>14</v>
      </c>
      <c r="S63" s="15" t="inlineStr">
        <is>
          <t>26/02/2024</t>
        </is>
      </c>
      <c r="T63" s="15" t="n"/>
    </row>
    <row r="64">
      <c r="A64" s="15" t="inlineStr">
        <is>
          <t>SB0060</t>
        </is>
      </c>
      <c r="B64" s="15" t="inlineStr">
        <is>
          <t>BP-C0068</t>
        </is>
      </c>
      <c r="C64" s="15" t="inlineStr">
        <is>
          <t>Miss Ebhotah Sharon Aisosa</t>
        </is>
      </c>
      <c r="D64" s="15" t="inlineStr">
        <is>
          <t>Land</t>
        </is>
      </c>
      <c r="E64" s="15" t="inlineStr">
        <is>
          <t>Green City Phase 2 (Ketu-Epe)</t>
        </is>
      </c>
      <c r="F64" s="15" t="inlineStr">
        <is>
          <t>500sqm</t>
        </is>
      </c>
      <c r="G64" s="16" t="n">
        <v>45350</v>
      </c>
      <c r="H64" s="15">
        <f>IF(G64="","",YEAR(G64))</f>
        <v/>
      </c>
      <c r="I64" s="17" t="n">
        <v>4000000</v>
      </c>
      <c r="J64" s="17" t="n">
        <v>4000000</v>
      </c>
      <c r="K64" s="17">
        <f>IF(OR(I64="",J64=""),"",I64-J64)</f>
        <v/>
      </c>
      <c r="L64" s="15" t="inlineStr">
        <is>
          <t>12 Months</t>
        </is>
      </c>
      <c r="M64" s="15" t="inlineStr">
        <is>
          <t>Bought</t>
        </is>
      </c>
      <c r="N64" s="15" t="inlineStr">
        <is>
          <t>BLOCK A, PLOT 17</t>
        </is>
      </c>
      <c r="O64" s="15" t="inlineStr">
        <is>
          <t>Not yet Collected</t>
        </is>
      </c>
      <c r="P64" s="15" t="inlineStr">
        <is>
          <t>Ms blessing</t>
        </is>
      </c>
      <c r="Q64" s="15" t="inlineStr">
        <is>
          <t>BAAY PROJECTS CLIENTS &gt; GREEN CITY KETU EPE 2</t>
        </is>
      </c>
      <c r="R64" s="15" t="n">
        <v>6</v>
      </c>
      <c r="S64" s="15" t="inlineStr">
        <is>
          <t>28/02/2024</t>
        </is>
      </c>
      <c r="T64" s="15" t="n"/>
    </row>
    <row r="65">
      <c r="A65" s="15" t="inlineStr">
        <is>
          <t>SB0061</t>
        </is>
      </c>
      <c r="B65" s="15" t="inlineStr">
        <is>
          <t>BP-C0070</t>
        </is>
      </c>
      <c r="C65" s="15" t="inlineStr">
        <is>
          <t>Mr Daniel Ayodeji Adeogun</t>
        </is>
      </c>
      <c r="D65" s="15" t="inlineStr">
        <is>
          <t>Land</t>
        </is>
      </c>
      <c r="E65" s="15" t="inlineStr">
        <is>
          <t>Green City Phase 2 (Ketu-Epe)</t>
        </is>
      </c>
      <c r="F65" s="15" t="inlineStr">
        <is>
          <t>500SQM</t>
        </is>
      </c>
      <c r="G65" s="16" t="n">
        <v>45357</v>
      </c>
      <c r="H65" s="15">
        <f>IF(G65="","",YEAR(G65))</f>
        <v/>
      </c>
      <c r="I65" s="17" t="n">
        <v>3500000</v>
      </c>
      <c r="J65" s="17" t="n">
        <v>3500000</v>
      </c>
      <c r="K65" s="17">
        <f>IF(OR(I65="",J65=""),"",I65-J65)</f>
        <v/>
      </c>
      <c r="L65" s="15" t="inlineStr">
        <is>
          <t>3 months</t>
        </is>
      </c>
      <c r="M65" s="15" t="inlineStr">
        <is>
          <t>Bought</t>
        </is>
      </c>
      <c r="N65" s="15" t="inlineStr">
        <is>
          <t>BLOCK D, PLOT 6</t>
        </is>
      </c>
      <c r="O65" s="15" t="inlineStr">
        <is>
          <t>Collected by Client</t>
        </is>
      </c>
      <c r="P65" s="15" t="inlineStr">
        <is>
          <t>Ms Taiwo Ajibola</t>
        </is>
      </c>
      <c r="Q65" s="15" t="inlineStr">
        <is>
          <t>BAAY PROJECTS CLIENTS &gt; GREEN CITY KETU EPE 2</t>
        </is>
      </c>
      <c r="R65" s="15" t="n">
        <v>17</v>
      </c>
      <c r="S65" s="15" t="inlineStr">
        <is>
          <t>2024-06-03</t>
        </is>
      </c>
      <c r="T65" s="15" t="n"/>
    </row>
    <row r="66">
      <c r="A66" s="15" t="inlineStr">
        <is>
          <t>SB0062</t>
        </is>
      </c>
      <c r="B66" s="15" t="inlineStr">
        <is>
          <t>BP-C0074</t>
        </is>
      </c>
      <c r="C66" s="15" t="inlineStr">
        <is>
          <t>Mrs Oloniluyi Victoria Adetutu Iyabode</t>
        </is>
      </c>
      <c r="D66" s="15" t="inlineStr">
        <is>
          <t>Land</t>
        </is>
      </c>
      <c r="E66" s="15" t="inlineStr">
        <is>
          <t>Green City Phase 1 (Lantaba, Ketu-Epe)</t>
        </is>
      </c>
      <c r="F66" s="15" t="inlineStr">
        <is>
          <t>600Sqm</t>
        </is>
      </c>
      <c r="G66" s="16" t="n">
        <v>45359</v>
      </c>
      <c r="H66" s="15">
        <f>IF(G66="","",YEAR(G66))</f>
        <v/>
      </c>
      <c r="I66" s="17" t="n">
        <v>3000000</v>
      </c>
      <c r="J66" s="17" t="n">
        <v>3000000</v>
      </c>
      <c r="K66" s="17">
        <f>IF(OR(I66="",J66=""),"",I66-J66)</f>
        <v/>
      </c>
      <c r="L66" s="15" t="inlineStr">
        <is>
          <t>3 Months</t>
        </is>
      </c>
      <c r="M66" s="15" t="inlineStr">
        <is>
          <t>Bought</t>
        </is>
      </c>
      <c r="N66" s="15" t="inlineStr">
        <is>
          <t>BLOCK C2</t>
        </is>
      </c>
      <c r="O66" s="15" t="inlineStr">
        <is>
          <t>Not yet Collected</t>
        </is>
      </c>
      <c r="P66" s="15" t="inlineStr">
        <is>
          <t>MD</t>
        </is>
      </c>
      <c r="Q66" s="15" t="inlineStr">
        <is>
          <t>BAAY PROJECTS CLIENTS &gt; GREEN CITY KETU 1 INVESTORS LIS</t>
        </is>
      </c>
      <c r="R66" s="15" t="n">
        <v>45</v>
      </c>
      <c r="S66" s="15" t="inlineStr">
        <is>
          <t>2024-08-03</t>
        </is>
      </c>
      <c r="T66" s="15" t="n"/>
    </row>
    <row r="67">
      <c r="A67" s="15" t="inlineStr">
        <is>
          <t>SB0063</t>
        </is>
      </c>
      <c r="B67" s="15" t="inlineStr">
        <is>
          <t>BP-C0071</t>
        </is>
      </c>
      <c r="C67" s="15" t="inlineStr">
        <is>
          <t>Miss Oyebola Moyosoreoluwa Boluwatife</t>
        </is>
      </c>
      <c r="D67" s="15" t="inlineStr">
        <is>
          <t>Land</t>
        </is>
      </c>
      <c r="E67" s="15" t="inlineStr">
        <is>
          <t>Green City Phase 2 (Ketu-Epe)</t>
        </is>
      </c>
      <c r="F67" s="15" t="inlineStr">
        <is>
          <t>500SQM</t>
        </is>
      </c>
      <c r="G67" s="16" t="n">
        <v>45359</v>
      </c>
      <c r="H67" s="15">
        <f>IF(G67="","",YEAR(G67))</f>
        <v/>
      </c>
      <c r="I67" s="17" t="n">
        <v>3000000</v>
      </c>
      <c r="J67" s="17" t="n">
        <v>3000000</v>
      </c>
      <c r="K67" s="17">
        <f>IF(OR(I67="",J67=""),"",I67-J67)</f>
        <v/>
      </c>
      <c r="L67" s="15" t="inlineStr">
        <is>
          <t>3 months</t>
        </is>
      </c>
      <c r="M67" s="15" t="inlineStr">
        <is>
          <t>Bought</t>
        </is>
      </c>
      <c r="N67" s="15" t="inlineStr">
        <is>
          <t>BLOCK F, PLOT 3</t>
        </is>
      </c>
      <c r="O67" s="15" t="inlineStr">
        <is>
          <t>Collected by Client</t>
        </is>
      </c>
      <c r="P67" s="15" t="inlineStr">
        <is>
          <t>Mr Ayo</t>
        </is>
      </c>
      <c r="Q67" s="15" t="inlineStr">
        <is>
          <t>BAAY PROJECTS CLIENTS &gt; GREEN CITY KETU EPE 2</t>
        </is>
      </c>
      <c r="R67" s="15" t="n">
        <v>23</v>
      </c>
      <c r="S67" s="15" t="inlineStr">
        <is>
          <t>2024-08-03</t>
        </is>
      </c>
      <c r="T67" s="15" t="n"/>
    </row>
    <row r="68">
      <c r="A68" s="15" t="inlineStr">
        <is>
          <t>SB0064</t>
        </is>
      </c>
      <c r="B68" s="15" t="inlineStr">
        <is>
          <t>BP-C0072</t>
        </is>
      </c>
      <c r="C68" s="15" t="inlineStr">
        <is>
          <t>Mr Oyebola Ajibola Ayobami</t>
        </is>
      </c>
      <c r="D68" s="15" t="inlineStr">
        <is>
          <t>Land</t>
        </is>
      </c>
      <c r="E68" s="15" t="inlineStr">
        <is>
          <t>Green City Phase 2 (Ketu-Epe)</t>
        </is>
      </c>
      <c r="F68" s="15" t="inlineStr">
        <is>
          <t>500SQM</t>
        </is>
      </c>
      <c r="G68" s="16" t="n">
        <v>45359</v>
      </c>
      <c r="H68" s="15">
        <f>IF(G68="","",YEAR(G68))</f>
        <v/>
      </c>
      <c r="I68" s="17" t="n">
        <v>3000000</v>
      </c>
      <c r="J68" s="17" t="n">
        <v>3000000</v>
      </c>
      <c r="K68" s="17">
        <f>IF(OR(I68="",J68=""),"",I68-J68)</f>
        <v/>
      </c>
      <c r="L68" s="15" t="inlineStr">
        <is>
          <t>3 months</t>
        </is>
      </c>
      <c r="M68" s="15" t="inlineStr">
        <is>
          <t>Bought</t>
        </is>
      </c>
      <c r="N68" s="15" t="inlineStr">
        <is>
          <t>BLOCK F, PLOT 2</t>
        </is>
      </c>
      <c r="O68" s="15" t="inlineStr">
        <is>
          <t>Collected by Client</t>
        </is>
      </c>
      <c r="P68" s="15" t="inlineStr">
        <is>
          <t>Mr Ayo</t>
        </is>
      </c>
      <c r="Q68" s="15" t="inlineStr">
        <is>
          <t>BAAY PROJECTS CLIENTS &gt; GREEN CITY KETU EPE 2</t>
        </is>
      </c>
      <c r="R68" s="15" t="n">
        <v>21</v>
      </c>
      <c r="S68" s="15" t="inlineStr">
        <is>
          <t>2024-08-03</t>
        </is>
      </c>
      <c r="T68" s="15" t="n"/>
    </row>
    <row r="69">
      <c r="A69" s="15" t="inlineStr">
        <is>
          <t>SB0065</t>
        </is>
      </c>
      <c r="B69" s="15" t="inlineStr">
        <is>
          <t>BP-C0073</t>
        </is>
      </c>
      <c r="C69" s="15" t="inlineStr">
        <is>
          <t>Mr Oyebola Temiloluwa Olayinka</t>
        </is>
      </c>
      <c r="D69" s="15" t="inlineStr">
        <is>
          <t>Land</t>
        </is>
      </c>
      <c r="E69" s="15" t="inlineStr">
        <is>
          <t>Green City Phase 2 (Ketu-Epe)</t>
        </is>
      </c>
      <c r="F69" s="15" t="inlineStr">
        <is>
          <t>500SQM</t>
        </is>
      </c>
      <c r="G69" s="16" t="n">
        <v>45359</v>
      </c>
      <c r="H69" s="15">
        <f>IF(G69="","",YEAR(G69))</f>
        <v/>
      </c>
      <c r="I69" s="17" t="n">
        <v>3000000</v>
      </c>
      <c r="J69" s="17" t="n">
        <v>3000000</v>
      </c>
      <c r="K69" s="17">
        <f>IF(OR(I69="",J69=""),"",I69-J69)</f>
        <v/>
      </c>
      <c r="L69" s="15" t="inlineStr">
        <is>
          <t>3 months</t>
        </is>
      </c>
      <c r="M69" s="15" t="inlineStr">
        <is>
          <t>Bought</t>
        </is>
      </c>
      <c r="N69" s="15" t="inlineStr">
        <is>
          <t>BLOCK F, PLOT 4</t>
        </is>
      </c>
      <c r="O69" s="15" t="inlineStr">
        <is>
          <t>Collected by Client</t>
        </is>
      </c>
      <c r="P69" s="15" t="inlineStr">
        <is>
          <t>Mr Ayo</t>
        </is>
      </c>
      <c r="Q69" s="15" t="inlineStr">
        <is>
          <t>BAAY PROJECTS CLIENTS &gt; GREEN CITY KETU EPE 2</t>
        </is>
      </c>
      <c r="R69" s="15" t="n">
        <v>22</v>
      </c>
      <c r="S69" s="15" t="inlineStr">
        <is>
          <t>2024-08-03</t>
        </is>
      </c>
      <c r="T69" s="15" t="n"/>
    </row>
    <row r="70">
      <c r="A70" s="15" t="inlineStr">
        <is>
          <t>SB0066</t>
        </is>
      </c>
      <c r="B70" s="15" t="inlineStr">
        <is>
          <t>BP-C0075</t>
        </is>
      </c>
      <c r="C70" s="15" t="inlineStr">
        <is>
          <t>Miss Ogidan funmilayo Jumoke</t>
        </is>
      </c>
      <c r="D70" s="15" t="inlineStr">
        <is>
          <t>Land</t>
        </is>
      </c>
      <c r="E70" s="15" t="inlineStr">
        <is>
          <t>Green City Phase 2 (Ketu-Epe)</t>
        </is>
      </c>
      <c r="F70" s="15" t="inlineStr">
        <is>
          <t>250SQM</t>
        </is>
      </c>
      <c r="G70" s="16" t="n">
        <v>45360</v>
      </c>
      <c r="H70" s="15">
        <f>IF(G70="","",YEAR(G70))</f>
        <v/>
      </c>
      <c r="I70" s="17" t="n">
        <v>1800000</v>
      </c>
      <c r="J70" s="17" t="n">
        <v>1800000</v>
      </c>
      <c r="K70" s="17">
        <f>IF(OR(I70="",J70=""),"",I70-J70)</f>
        <v/>
      </c>
      <c r="L70" s="15" t="inlineStr">
        <is>
          <t>3 months</t>
        </is>
      </c>
      <c r="M70" s="15" t="inlineStr">
        <is>
          <t>Bought</t>
        </is>
      </c>
      <c r="N70" s="15" t="inlineStr">
        <is>
          <t>BLOCK E, PLOT 2</t>
        </is>
      </c>
      <c r="O70" s="15" t="inlineStr">
        <is>
          <t>Collected by Client</t>
        </is>
      </c>
      <c r="P70" s="15" t="inlineStr">
        <is>
          <t>Mr Ogidan Abiodun</t>
        </is>
      </c>
      <c r="Q70" s="15" t="inlineStr">
        <is>
          <t>BAAY PROJECTS CLIENTS &gt; GREEN CITY KETU EPE 2</t>
        </is>
      </c>
      <c r="R70" s="15" t="n">
        <v>25</v>
      </c>
      <c r="S70" s="15" t="inlineStr">
        <is>
          <t>2024-09-03</t>
        </is>
      </c>
      <c r="T70" s="15" t="n"/>
    </row>
    <row r="71">
      <c r="A71" s="15" t="inlineStr">
        <is>
          <t>SB0067</t>
        </is>
      </c>
      <c r="B71" s="15" t="inlineStr">
        <is>
          <t>BP-C0076</t>
        </is>
      </c>
      <c r="C71" s="15" t="inlineStr">
        <is>
          <t>Ojo Ayomide Babatunde</t>
        </is>
      </c>
      <c r="D71" s="15" t="inlineStr">
        <is>
          <t>Land</t>
        </is>
      </c>
      <c r="E71" s="15" t="inlineStr">
        <is>
          <t>Green City Phase 2 (Ketu-Epe)</t>
        </is>
      </c>
      <c r="F71" s="15" t="inlineStr">
        <is>
          <t>500SQM</t>
        </is>
      </c>
      <c r="G71" s="16" t="n">
        <v>45360</v>
      </c>
      <c r="H71" s="15">
        <f>IF(G71="","",YEAR(G71))</f>
        <v/>
      </c>
      <c r="I71" s="17" t="n">
        <v>3500000</v>
      </c>
      <c r="J71" s="17" t="n">
        <v>3500000</v>
      </c>
      <c r="K71" s="17">
        <f>IF(OR(I71="",J71=""),"",I71-J71)</f>
        <v/>
      </c>
      <c r="L71" s="15" t="inlineStr">
        <is>
          <t>3 months</t>
        </is>
      </c>
      <c r="M71" s="15" t="inlineStr">
        <is>
          <t>Bought</t>
        </is>
      </c>
      <c r="N71" s="15" t="inlineStr">
        <is>
          <t>BLOCK D, PLOT 7</t>
        </is>
      </c>
      <c r="O71" s="15" t="inlineStr">
        <is>
          <t>Collected by Client</t>
        </is>
      </c>
      <c r="P71" s="15" t="inlineStr">
        <is>
          <t>Ms Olayinka Fasuyi</t>
        </is>
      </c>
      <c r="Q71" s="15" t="inlineStr">
        <is>
          <t>BAAY PROJECTS CLIENTS &gt; GREEN CITY KETU EPE 2</t>
        </is>
      </c>
      <c r="R71" s="15" t="n">
        <v>20</v>
      </c>
      <c r="S71" s="15" t="inlineStr">
        <is>
          <t>2024-09-03</t>
        </is>
      </c>
      <c r="T71" s="15" t="n"/>
    </row>
    <row r="72">
      <c r="A72" s="15" t="inlineStr">
        <is>
          <t>SB0068</t>
        </is>
      </c>
      <c r="B72" s="15" t="inlineStr">
        <is>
          <t>BP-C0078</t>
        </is>
      </c>
      <c r="C72" s="15" t="inlineStr">
        <is>
          <t>Miss Bingham Kendra</t>
        </is>
      </c>
      <c r="D72" s="15" t="inlineStr">
        <is>
          <t>Land</t>
        </is>
      </c>
      <c r="E72" s="15" t="inlineStr">
        <is>
          <t>Green City Phase 1 (Lantaba, Ketu-Epe)</t>
        </is>
      </c>
      <c r="F72" s="15" t="inlineStr">
        <is>
          <t>600Sqm</t>
        </is>
      </c>
      <c r="G72" s="16" t="n">
        <v>45362</v>
      </c>
      <c r="H72" s="15">
        <f>IF(G72="","",YEAR(G72))</f>
        <v/>
      </c>
      <c r="I72" s="17" t="n">
        <v>7000000</v>
      </c>
      <c r="J72" s="17" t="n">
        <v>7000000</v>
      </c>
      <c r="K72" s="17">
        <f>IF(OR(I72="",J72=""),"",I72-J72)</f>
        <v/>
      </c>
      <c r="L72" s="15" t="inlineStr">
        <is>
          <t>3 Months</t>
        </is>
      </c>
      <c r="M72" s="15" t="inlineStr">
        <is>
          <t>Bought</t>
        </is>
      </c>
      <c r="N72" s="15" t="inlineStr">
        <is>
          <t>BLOCK E5</t>
        </is>
      </c>
      <c r="O72" s="15" t="inlineStr">
        <is>
          <t>Deed Collected by Rep</t>
        </is>
      </c>
      <c r="P72" s="15" t="inlineStr">
        <is>
          <t>Ms Abimbola</t>
        </is>
      </c>
      <c r="Q72" s="15" t="inlineStr">
        <is>
          <t>BAAY PROJECTS CLIENTS &gt; GREEN CITY KETU 1 INVESTORS LIS</t>
        </is>
      </c>
      <c r="R72" s="15" t="n">
        <v>43</v>
      </c>
      <c r="S72" s="15" t="inlineStr">
        <is>
          <t>2024-11-03</t>
        </is>
      </c>
      <c r="T72" s="15" t="n"/>
    </row>
    <row r="73">
      <c r="A73" s="15" t="inlineStr">
        <is>
          <t>SB0069</t>
        </is>
      </c>
      <c r="B73" s="15" t="inlineStr">
        <is>
          <t>BP-C0078</t>
        </is>
      </c>
      <c r="C73" s="15" t="inlineStr">
        <is>
          <t>Miss Bingham Kendra</t>
        </is>
      </c>
      <c r="D73" s="15" t="inlineStr">
        <is>
          <t>Land</t>
        </is>
      </c>
      <c r="E73" s="15" t="inlineStr">
        <is>
          <t>Green City Phase 2 (Ketu-Epe)</t>
        </is>
      </c>
      <c r="F73" s="15" t="inlineStr">
        <is>
          <t>500SQM</t>
        </is>
      </c>
      <c r="G73" s="16" t="n">
        <v>45362</v>
      </c>
      <c r="H73" s="15">
        <f>IF(G73="","",YEAR(G73))</f>
        <v/>
      </c>
      <c r="I73" s="17" t="n">
        <v>3500000</v>
      </c>
      <c r="J73" s="17" t="n">
        <v>3500000</v>
      </c>
      <c r="K73" s="17">
        <f>IF(OR(I73="",J73=""),"",I73-J73)</f>
        <v/>
      </c>
      <c r="L73" s="15" t="inlineStr">
        <is>
          <t>3 months</t>
        </is>
      </c>
      <c r="M73" s="15" t="inlineStr">
        <is>
          <t>Bought</t>
        </is>
      </c>
      <c r="N73" s="15" t="inlineStr">
        <is>
          <t>BLOCK C, PLOT 5 &amp; 6</t>
        </is>
      </c>
      <c r="O73" s="15" t="inlineStr">
        <is>
          <t>Collected by Client</t>
        </is>
      </c>
      <c r="P73" s="15" t="inlineStr">
        <is>
          <t>Ms Abimbola</t>
        </is>
      </c>
      <c r="Q73" s="15" t="inlineStr">
        <is>
          <t>BAAY PROJECTS CLIENTS &gt; GREEN CITY KETU EPE 2</t>
        </is>
      </c>
      <c r="R73" s="15" t="n">
        <v>18</v>
      </c>
      <c r="S73" s="15" t="inlineStr">
        <is>
          <t>2024-11-03</t>
        </is>
      </c>
      <c r="T73" s="15" t="n"/>
    </row>
    <row r="74">
      <c r="A74" s="15" t="inlineStr">
        <is>
          <t>SB0070</t>
        </is>
      </c>
      <c r="B74" s="15" t="inlineStr">
        <is>
          <t>BP-C0079</t>
        </is>
      </c>
      <c r="C74" s="15" t="inlineStr">
        <is>
          <t>Ukachi Florence Oluchi</t>
        </is>
      </c>
      <c r="D74" s="15" t="inlineStr">
        <is>
          <t>Land</t>
        </is>
      </c>
      <c r="E74" s="15" t="inlineStr">
        <is>
          <t>Green City Phase 2 (Ketu-Epe)</t>
        </is>
      </c>
      <c r="F74" s="15" t="inlineStr">
        <is>
          <t>500SQM</t>
        </is>
      </c>
      <c r="G74" s="16" t="n">
        <v>45362</v>
      </c>
      <c r="H74" s="15">
        <f>IF(G74="","",YEAR(G74))</f>
        <v/>
      </c>
      <c r="I74" s="17" t="n">
        <v>3500000</v>
      </c>
      <c r="J74" s="17" t="n">
        <v>3500000</v>
      </c>
      <c r="K74" s="17">
        <f>IF(OR(I74="",J74=""),"",I74-J74)</f>
        <v/>
      </c>
      <c r="L74" s="15" t="inlineStr">
        <is>
          <t>3 months</t>
        </is>
      </c>
      <c r="M74" s="15" t="inlineStr">
        <is>
          <t>Bought</t>
        </is>
      </c>
      <c r="N74" s="15" t="inlineStr">
        <is>
          <t>BLOCK G, PLOT 3</t>
        </is>
      </c>
      <c r="O74" s="15" t="inlineStr">
        <is>
          <t>Collected by Client's Brother (Mr Ukachi Godfrey)</t>
        </is>
      </c>
      <c r="P74" s="15" t="inlineStr">
        <is>
          <t>Ms Feyi</t>
        </is>
      </c>
      <c r="Q74" s="15" t="inlineStr">
        <is>
          <t>BAAY PROJECTS CLIENTS &gt; GREEN CITY KETU EPE 2</t>
        </is>
      </c>
      <c r="R74" s="15" t="n">
        <v>19</v>
      </c>
      <c r="S74" s="15" t="inlineStr">
        <is>
          <t>2024-11-03</t>
        </is>
      </c>
      <c r="T74" s="15" t="n"/>
    </row>
    <row r="75">
      <c r="A75" s="15" t="inlineStr">
        <is>
          <t>SB0071</t>
        </is>
      </c>
      <c r="B75" s="15" t="inlineStr">
        <is>
          <t>BP-C0080</t>
        </is>
      </c>
      <c r="C75" s="15" t="inlineStr">
        <is>
          <t>Dr Ayansola Jeremiah Funso</t>
        </is>
      </c>
      <c r="D75" s="15" t="inlineStr">
        <is>
          <t>Land</t>
        </is>
      </c>
      <c r="E75" s="15" t="inlineStr">
        <is>
          <t>Green City Phase 2 (Ketu-Epe)</t>
        </is>
      </c>
      <c r="F75" s="15" t="inlineStr">
        <is>
          <t>500SQM</t>
        </is>
      </c>
      <c r="G75" s="16" t="n">
        <v>45363</v>
      </c>
      <c r="H75" s="15">
        <f>IF(G75="","",YEAR(G75))</f>
        <v/>
      </c>
      <c r="I75" s="17" t="n">
        <v>3500000</v>
      </c>
      <c r="J75" s="17" t="n">
        <v>3500000</v>
      </c>
      <c r="K75" s="17">
        <f>IF(OR(I75="",J75=""),"",I75-J75)</f>
        <v/>
      </c>
      <c r="L75" s="15" t="inlineStr">
        <is>
          <t>3 months</t>
        </is>
      </c>
      <c r="M75" s="15" t="inlineStr">
        <is>
          <t>Bought</t>
        </is>
      </c>
      <c r="N75" s="15" t="inlineStr">
        <is>
          <t>BLOCK F, PLOT 6</t>
        </is>
      </c>
      <c r="O75" s="15" t="inlineStr">
        <is>
          <t>Collected by Client's rep</t>
        </is>
      </c>
      <c r="P75" s="15" t="inlineStr">
        <is>
          <t>Mr Juwon</t>
        </is>
      </c>
      <c r="Q75" s="15" t="inlineStr">
        <is>
          <t>BAAY PROJECTS CLIENTS &gt; GREEN CITY KETU EPE 2</t>
        </is>
      </c>
      <c r="R75" s="15" t="n">
        <v>27</v>
      </c>
      <c r="S75" s="15" t="inlineStr">
        <is>
          <t>2024-12-03</t>
        </is>
      </c>
      <c r="T75" s="15" t="n"/>
    </row>
    <row r="76">
      <c r="A76" s="15" t="inlineStr">
        <is>
          <t>SB0072</t>
        </is>
      </c>
      <c r="B76" s="15" t="inlineStr">
        <is>
          <t>BP-C0081</t>
        </is>
      </c>
      <c r="C76" s="15" t="inlineStr">
        <is>
          <t>Mr Ukachi Godfrey Ndukaku</t>
        </is>
      </c>
      <c r="D76" s="15" t="inlineStr">
        <is>
          <t>Land</t>
        </is>
      </c>
      <c r="E76" s="15" t="inlineStr">
        <is>
          <t>Green City Phase 2 (Ketu-Epe)</t>
        </is>
      </c>
      <c r="F76" s="15" t="inlineStr">
        <is>
          <t>250SQM</t>
        </is>
      </c>
      <c r="G76" s="16" t="n">
        <v>45363</v>
      </c>
      <c r="H76" s="15">
        <f>IF(G76="","",YEAR(G76))</f>
        <v/>
      </c>
      <c r="I76" s="17" t="n">
        <v>1800000</v>
      </c>
      <c r="J76" s="17" t="n">
        <v>1800000</v>
      </c>
      <c r="K76" s="17">
        <f>IF(OR(I76="",J76=""),"",I76-J76)</f>
        <v/>
      </c>
      <c r="L76" s="15" t="inlineStr">
        <is>
          <t>3 months</t>
        </is>
      </c>
      <c r="M76" s="15" t="inlineStr">
        <is>
          <t>Bought</t>
        </is>
      </c>
      <c r="N76" s="15" t="inlineStr">
        <is>
          <t>BLOCK E, PLOT 4</t>
        </is>
      </c>
      <c r="O76" s="15" t="inlineStr">
        <is>
          <t>Collected by Client</t>
        </is>
      </c>
      <c r="P76" s="15" t="inlineStr">
        <is>
          <t>Ms Feyi</t>
        </is>
      </c>
      <c r="Q76" s="15" t="inlineStr">
        <is>
          <t>BAAY PROJECTS CLIENTS &gt; GREEN CITY KETU EPE 2</t>
        </is>
      </c>
      <c r="R76" s="15" t="n">
        <v>26</v>
      </c>
      <c r="S76" s="15" t="inlineStr">
        <is>
          <t>2024-12-03</t>
        </is>
      </c>
      <c r="T76" s="15" t="n"/>
    </row>
    <row r="77">
      <c r="A77" s="15" t="inlineStr">
        <is>
          <t>SB0073</t>
        </is>
      </c>
      <c r="B77" s="15" t="inlineStr">
        <is>
          <t>BP-C0082</t>
        </is>
      </c>
      <c r="C77" s="15" t="inlineStr">
        <is>
          <t>Mrs Olarewaju Remilekun Mary</t>
        </is>
      </c>
      <c r="D77" s="15" t="inlineStr">
        <is>
          <t>Land</t>
        </is>
      </c>
      <c r="E77" s="15" t="inlineStr">
        <is>
          <t>Green City Phase 2 (Ketu-Epe)</t>
        </is>
      </c>
      <c r="F77" s="15" t="inlineStr">
        <is>
          <t>500SQM</t>
        </is>
      </c>
      <c r="G77" s="16" t="n">
        <v>45363</v>
      </c>
      <c r="H77" s="15">
        <f>IF(G77="","",YEAR(G77))</f>
        <v/>
      </c>
      <c r="I77" s="17" t="n">
        <v>3500000</v>
      </c>
      <c r="J77" s="17" t="n">
        <v>3500000</v>
      </c>
      <c r="K77" s="17">
        <f>IF(OR(I77="",J77=""),"",I77-J77)</f>
        <v/>
      </c>
      <c r="L77" s="15" t="inlineStr">
        <is>
          <t>3 months</t>
        </is>
      </c>
      <c r="M77" s="15" t="inlineStr">
        <is>
          <t>Bought</t>
        </is>
      </c>
      <c r="N77" s="15" t="inlineStr">
        <is>
          <t>BLOCK A, PLOT 18</t>
        </is>
      </c>
      <c r="O77" s="15" t="inlineStr">
        <is>
          <t>Collected by Client's rep</t>
        </is>
      </c>
      <c r="P77" s="15" t="inlineStr">
        <is>
          <t>Mr Juwon</t>
        </is>
      </c>
      <c r="Q77" s="15" t="inlineStr">
        <is>
          <t>BAAY PROJECTS CLIENTS &gt; GREEN CITY KETU EPE 2</t>
        </is>
      </c>
      <c r="R77" s="15" t="n">
        <v>24</v>
      </c>
      <c r="S77" s="15" t="inlineStr">
        <is>
          <t>2024-12-03</t>
        </is>
      </c>
      <c r="T77" s="15" t="n"/>
    </row>
    <row r="78">
      <c r="A78" s="15" t="inlineStr">
        <is>
          <t>SB0074</t>
        </is>
      </c>
      <c r="B78" s="15" t="inlineStr">
        <is>
          <t>BP-C0010</t>
        </is>
      </c>
      <c r="C78" s="15" t="inlineStr">
        <is>
          <t>Mrs Yohanna Paulina</t>
        </is>
      </c>
      <c r="D78" s="15" t="inlineStr">
        <is>
          <t>Land</t>
        </is>
      </c>
      <c r="E78" s="15" t="inlineStr">
        <is>
          <t>Green City Phase 1 (Lantaba, Ketu-Epe)</t>
        </is>
      </c>
      <c r="F78" s="15" t="inlineStr">
        <is>
          <t>500Sqm</t>
        </is>
      </c>
      <c r="G78" s="16" t="n">
        <v>45365</v>
      </c>
      <c r="H78" s="15">
        <f>IF(G78="","",YEAR(G78))</f>
        <v/>
      </c>
      <c r="I78" s="17" t="n">
        <v>7000000</v>
      </c>
      <c r="J78" s="17" t="n">
        <v>7000000</v>
      </c>
      <c r="K78" s="17">
        <f>IF(OR(I78="",J78=""),"",I78-J78)</f>
        <v/>
      </c>
      <c r="L78" s="15" t="inlineStr">
        <is>
          <t>3 Months</t>
        </is>
      </c>
      <c r="M78" s="15" t="inlineStr">
        <is>
          <t>Bought</t>
        </is>
      </c>
      <c r="N78" s="15" t="inlineStr">
        <is>
          <t>BLOCK B6</t>
        </is>
      </c>
      <c r="O78" s="15" t="inlineStr">
        <is>
          <t>Not yet Collected</t>
        </is>
      </c>
      <c r="P78" s="15" t="inlineStr">
        <is>
          <t>Mr Charles</t>
        </is>
      </c>
      <c r="Q78" s="15" t="inlineStr">
        <is>
          <t>BAAY PROJECTS CLIENTS &gt; GREEN CITY KETU 1 INVESTORS LIS</t>
        </is>
      </c>
      <c r="R78" s="15" t="n">
        <v>46</v>
      </c>
      <c r="S78" s="15" t="inlineStr">
        <is>
          <t>14/03/2024</t>
        </is>
      </c>
      <c r="T78" s="15" t="n"/>
    </row>
    <row r="79">
      <c r="A79" s="15" t="inlineStr">
        <is>
          <t>SB0075</t>
        </is>
      </c>
      <c r="B79" s="15" t="inlineStr">
        <is>
          <t>BP-C0051</t>
        </is>
      </c>
      <c r="C79" s="15" t="inlineStr">
        <is>
          <t>Mr Ogunleye Olumide Victor</t>
        </is>
      </c>
      <c r="D79" s="15" t="inlineStr">
        <is>
          <t>Land</t>
        </is>
      </c>
      <c r="E79" s="15" t="inlineStr">
        <is>
          <t>Green City Phase 1 (Lantaba, Ketu-Epe)</t>
        </is>
      </c>
      <c r="F79" s="15" t="inlineStr">
        <is>
          <t>250sqm</t>
        </is>
      </c>
      <c r="G79" s="16" t="n">
        <v>45367</v>
      </c>
      <c r="H79" s="15">
        <f>IF(G79="","",YEAR(G79))</f>
        <v/>
      </c>
      <c r="I79" s="17" t="n">
        <v>7600000</v>
      </c>
      <c r="J79" s="17" t="n">
        <v>7600000</v>
      </c>
      <c r="K79" s="17">
        <f>IF(OR(I79="",J79=""),"",I79-J79)</f>
        <v/>
      </c>
      <c r="L79" s="15" t="inlineStr">
        <is>
          <t>6 Months</t>
        </is>
      </c>
      <c r="M79" s="15" t="inlineStr">
        <is>
          <t>Bought</t>
        </is>
      </c>
      <c r="N79" s="15" t="inlineStr">
        <is>
          <t>BLOCK D1</t>
        </is>
      </c>
      <c r="O79" s="15" t="inlineStr">
        <is>
          <t>Not yet Collected</t>
        </is>
      </c>
      <c r="P79" s="15" t="inlineStr">
        <is>
          <t>MD</t>
        </is>
      </c>
      <c r="Q79" s="15" t="inlineStr">
        <is>
          <t>BAAY PROJECTS CLIENTS &gt; GREEN CITY KETU 1 INVESTORS LIS</t>
        </is>
      </c>
      <c r="R79" s="15" t="n">
        <v>44</v>
      </c>
      <c r="S79" s="15" t="inlineStr">
        <is>
          <t>16/03/2024</t>
        </is>
      </c>
      <c r="T79" s="15" t="n"/>
    </row>
    <row r="80">
      <c r="A80" s="15" t="inlineStr">
        <is>
          <t>SB0076</t>
        </is>
      </c>
      <c r="B80" s="15" t="inlineStr">
        <is>
          <t>BP-C0051</t>
        </is>
      </c>
      <c r="C80" s="15" t="inlineStr">
        <is>
          <t>Mr Ogunleye Olumide Victor</t>
        </is>
      </c>
      <c r="D80" s="15" t="inlineStr">
        <is>
          <t>Land</t>
        </is>
      </c>
      <c r="E80" s="15" t="inlineStr">
        <is>
          <t>Green City Phase 2 (Ketu-Epe)</t>
        </is>
      </c>
      <c r="F80" s="15" t="inlineStr">
        <is>
          <t>500Sqm</t>
        </is>
      </c>
      <c r="G80" s="16" t="n">
        <v>45367</v>
      </c>
      <c r="H80" s="15">
        <f>IF(G80="","",YEAR(G80))</f>
        <v/>
      </c>
      <c r="I80" s="17" t="n">
        <v>3500000</v>
      </c>
      <c r="J80" s="17" t="n">
        <v>3500000</v>
      </c>
      <c r="K80" s="17">
        <f>IF(OR(I80="",J80=""),"",I80-J80)</f>
        <v/>
      </c>
      <c r="L80" s="15" t="inlineStr">
        <is>
          <t>3 months</t>
        </is>
      </c>
      <c r="M80" s="15" t="inlineStr">
        <is>
          <t>Bought</t>
        </is>
      </c>
      <c r="N80" s="15" t="inlineStr">
        <is>
          <t>BLOCK F, PLOT 7</t>
        </is>
      </c>
      <c r="O80" s="15" t="inlineStr">
        <is>
          <t>Collected by Client</t>
        </is>
      </c>
      <c r="P80" s="15" t="inlineStr">
        <is>
          <t>MD</t>
        </is>
      </c>
      <c r="Q80" s="15" t="inlineStr">
        <is>
          <t>BAAY PROJECTS CLIENTS &gt; GREEN CITY KETU EPE 2</t>
        </is>
      </c>
      <c r="R80" s="15" t="n">
        <v>16</v>
      </c>
      <c r="S80" s="15" t="inlineStr">
        <is>
          <t>16/03/2024</t>
        </is>
      </c>
      <c r="T80" s="15" t="n"/>
    </row>
    <row r="81">
      <c r="A81" s="15" t="inlineStr">
        <is>
          <t>SB0077</t>
        </is>
      </c>
      <c r="B81" s="15" t="inlineStr">
        <is>
          <t>BP-C0084</t>
        </is>
      </c>
      <c r="C81" s="15" t="inlineStr">
        <is>
          <t>Mr Adegbayemu Ariyo Dennis</t>
        </is>
      </c>
      <c r="D81" s="15" t="inlineStr">
        <is>
          <t>Land</t>
        </is>
      </c>
      <c r="E81" s="15" t="inlineStr">
        <is>
          <t>Green City Phase 2 (Ketu-Epe)</t>
        </is>
      </c>
      <c r="F81" s="15" t="inlineStr">
        <is>
          <t>1000SQM</t>
        </is>
      </c>
      <c r="G81" s="16" t="n">
        <v>45376</v>
      </c>
      <c r="H81" s="15">
        <f>IF(G81="","",YEAR(G81))</f>
        <v/>
      </c>
      <c r="I81" s="17" t="n">
        <v>7000000</v>
      </c>
      <c r="J81" s="17" t="n">
        <v>7000000</v>
      </c>
      <c r="K81" s="17">
        <f>IF(OR(I81="",J81=""),"",I81-J81)</f>
        <v/>
      </c>
      <c r="L81" s="15" t="inlineStr">
        <is>
          <t>3 months</t>
        </is>
      </c>
      <c r="M81" s="15" t="inlineStr">
        <is>
          <t>Bought</t>
        </is>
      </c>
      <c r="N81" s="15" t="inlineStr">
        <is>
          <t>BLOCK G, PLOT 1 &amp; 2</t>
        </is>
      </c>
      <c r="O81" s="15" t="inlineStr">
        <is>
          <t>Collected by Client</t>
        </is>
      </c>
      <c r="P81" s="15" t="inlineStr">
        <is>
          <t>Ms Olayinka Fasuyi</t>
        </is>
      </c>
      <c r="Q81" s="15" t="inlineStr">
        <is>
          <t>BAAY PROJECTS CLIENTS &gt; GREEN CITY KETU EPE 2</t>
        </is>
      </c>
      <c r="R81" s="15" t="n">
        <v>32</v>
      </c>
      <c r="S81" s="15" t="inlineStr">
        <is>
          <t>25/03/2024</t>
        </is>
      </c>
      <c r="T81" s="15" t="n"/>
    </row>
    <row r="82">
      <c r="A82" s="15" t="inlineStr">
        <is>
          <t>SB0078</t>
        </is>
      </c>
      <c r="B82" s="15" t="inlineStr">
        <is>
          <t>BP-C0012</t>
        </is>
      </c>
      <c r="C82" s="15" t="inlineStr">
        <is>
          <t>Mr Apiafi Imiebam</t>
        </is>
      </c>
      <c r="D82" s="15" t="inlineStr">
        <is>
          <t>Land</t>
        </is>
      </c>
      <c r="E82" s="15" t="inlineStr">
        <is>
          <t>Green City Phase 2 (Ketu-Epe)</t>
        </is>
      </c>
      <c r="F82" s="15" t="inlineStr">
        <is>
          <t>500SQM</t>
        </is>
      </c>
      <c r="G82" s="16" t="n">
        <v>45376</v>
      </c>
      <c r="H82" s="15">
        <f>IF(G82="","",YEAR(G82))</f>
        <v/>
      </c>
      <c r="I82" s="17" t="n">
        <v>3500000</v>
      </c>
      <c r="J82" s="17" t="n">
        <v>3500000</v>
      </c>
      <c r="K82" s="17">
        <f>IF(OR(I82="",J82=""),"",I82-J82)</f>
        <v/>
      </c>
      <c r="L82" s="15" t="inlineStr">
        <is>
          <t>3 months</t>
        </is>
      </c>
      <c r="M82" s="15" t="inlineStr">
        <is>
          <t>Bought</t>
        </is>
      </c>
      <c r="N82" s="15" t="inlineStr">
        <is>
          <t>BLOCK F, PLOT 8</t>
        </is>
      </c>
      <c r="O82" s="15" t="inlineStr">
        <is>
          <t>Collected by Client</t>
        </is>
      </c>
      <c r="P82" s="15" t="inlineStr">
        <is>
          <t>Ms Blessing</t>
        </is>
      </c>
      <c r="Q82" s="15" t="inlineStr">
        <is>
          <t>BAAY PROJECTS CLIENTS &gt; GREEN CITY KETU EPE 2</t>
        </is>
      </c>
      <c r="R82" s="15" t="n">
        <v>28</v>
      </c>
      <c r="S82" s="15" t="inlineStr">
        <is>
          <t>25/03/2024</t>
        </is>
      </c>
      <c r="T82" s="15" t="n"/>
    </row>
    <row r="83">
      <c r="A83" s="15" t="inlineStr">
        <is>
          <t>SB0079</t>
        </is>
      </c>
      <c r="B83" s="15" t="inlineStr">
        <is>
          <t>BP-C0030</t>
        </is>
      </c>
      <c r="C83" s="15" t="inlineStr">
        <is>
          <t>Mr. Adese Akorede John</t>
        </is>
      </c>
      <c r="D83" s="15" t="inlineStr">
        <is>
          <t>Land</t>
        </is>
      </c>
      <c r="E83" s="15" t="inlineStr">
        <is>
          <t>Green City Phase 2 (Ketu-Epe)</t>
        </is>
      </c>
      <c r="F83" s="15" t="inlineStr">
        <is>
          <t>500Sqm</t>
        </is>
      </c>
      <c r="G83" s="16" t="n">
        <v>45376</v>
      </c>
      <c r="H83" s="15">
        <f>IF(G83="","",YEAR(G83))</f>
        <v/>
      </c>
      <c r="I83" s="17" t="n">
        <v>3000000</v>
      </c>
      <c r="J83" s="17" t="n">
        <v>3000000</v>
      </c>
      <c r="K83" s="17">
        <f>IF(OR(I83="",J83=""),"",I83-J83)</f>
        <v/>
      </c>
      <c r="L83" s="15" t="inlineStr">
        <is>
          <t>12 Months</t>
        </is>
      </c>
      <c r="M83" s="15" t="inlineStr">
        <is>
          <t>Bought</t>
        </is>
      </c>
      <c r="N83" s="15" t="inlineStr">
        <is>
          <t>BLOCK A, PLOT 12</t>
        </is>
      </c>
      <c r="O83" s="15" t="inlineStr">
        <is>
          <t>Not yet Collected</t>
        </is>
      </c>
      <c r="P83" s="15" t="inlineStr">
        <is>
          <t>MD</t>
        </is>
      </c>
      <c r="Q83" s="15" t="inlineStr">
        <is>
          <t>BAAY PROJECTS CLIENTS &gt; GREEN CITY KETU EPE 2</t>
        </is>
      </c>
      <c r="R83" s="15" t="n">
        <v>15</v>
      </c>
      <c r="S83" s="15" t="inlineStr">
        <is>
          <t>25/03/2024</t>
        </is>
      </c>
      <c r="T83" s="15" t="n"/>
    </row>
    <row r="84">
      <c r="A84" s="15" t="inlineStr">
        <is>
          <t>SB0080</t>
        </is>
      </c>
      <c r="B84" s="15" t="inlineStr">
        <is>
          <t>BP-C0086</t>
        </is>
      </c>
      <c r="C84" s="15" t="inlineStr">
        <is>
          <t>Miss Nwobodo Miriam Chioma</t>
        </is>
      </c>
      <c r="D84" s="15" t="inlineStr">
        <is>
          <t>Land</t>
        </is>
      </c>
      <c r="E84" s="15" t="inlineStr">
        <is>
          <t>Green City Phase 1 (Lantaba, Ketu-Epe)</t>
        </is>
      </c>
      <c r="F84" s="15" t="inlineStr">
        <is>
          <t>500SQM</t>
        </is>
      </c>
      <c r="G84" s="16" t="n">
        <v>45377</v>
      </c>
      <c r="H84" s="15">
        <f>IF(G84="","",YEAR(G84))</f>
        <v/>
      </c>
      <c r="I84" s="17" t="n">
        <v>8300000</v>
      </c>
      <c r="J84" s="17" t="n">
        <v>8300000</v>
      </c>
      <c r="K84" s="17">
        <f>IF(OR(I84="",J84=""),"",I84-J84)</f>
        <v/>
      </c>
      <c r="L84" s="15" t="inlineStr">
        <is>
          <t>6months</t>
        </is>
      </c>
      <c r="M84" s="15" t="inlineStr">
        <is>
          <t>Bought</t>
        </is>
      </c>
      <c r="N84" s="15" t="inlineStr">
        <is>
          <t>BLOCK E7</t>
        </is>
      </c>
      <c r="O84" s="15" t="inlineStr">
        <is>
          <t>Not yet Collected</t>
        </is>
      </c>
      <c r="P84" s="15" t="inlineStr">
        <is>
          <t>MD</t>
        </is>
      </c>
      <c r="Q84" s="15" t="inlineStr">
        <is>
          <t>BAAY PROJECTS CLIENTS &gt; GREEN CITY KETU 1 INVESTORS LIS</t>
        </is>
      </c>
      <c r="R84" s="15" t="n">
        <v>47</v>
      </c>
      <c r="S84" s="15" t="inlineStr">
        <is>
          <t>26/03/2024</t>
        </is>
      </c>
      <c r="T84" s="15" t="n"/>
    </row>
    <row r="85">
      <c r="A85" s="15" t="inlineStr">
        <is>
          <t>SB0081</t>
        </is>
      </c>
      <c r="B85" s="15" t="inlineStr">
        <is>
          <t>BP-C0029</t>
        </is>
      </c>
      <c r="C85" s="15" t="inlineStr">
        <is>
          <t>Mr Ohanehi Anthony Chukwunonso</t>
        </is>
      </c>
      <c r="D85" s="15" t="inlineStr">
        <is>
          <t>Land</t>
        </is>
      </c>
      <c r="E85" s="15" t="inlineStr">
        <is>
          <t>Green City Phase 2 (Ketu-Epe)</t>
        </is>
      </c>
      <c r="F85" s="15" t="inlineStr">
        <is>
          <t>One Acre</t>
        </is>
      </c>
      <c r="G85" s="16" t="n">
        <v>45383</v>
      </c>
      <c r="H85" s="15">
        <f>IF(G85="","",YEAR(G85))</f>
        <v/>
      </c>
      <c r="I85" s="17" t="n">
        <v>15000000</v>
      </c>
      <c r="J85" s="17" t="n">
        <v>4000000</v>
      </c>
      <c r="K85" s="17">
        <f>IF(OR(I85="",J85=""),"",I85-J85)</f>
        <v/>
      </c>
      <c r="L85" s="15" t="inlineStr">
        <is>
          <t>6 Months</t>
        </is>
      </c>
      <c r="M85" s="15" t="inlineStr">
        <is>
          <t>Paying</t>
        </is>
      </c>
      <c r="N85" s="15" t="inlineStr">
        <is>
          <t>NOT ALLOCATED</t>
        </is>
      </c>
      <c r="O85" s="15" t="inlineStr">
        <is>
          <t>Not yet Processed</t>
        </is>
      </c>
      <c r="P85" s="15" t="inlineStr">
        <is>
          <t>MD</t>
        </is>
      </c>
      <c r="Q85" s="15" t="inlineStr">
        <is>
          <t>BAAY PROJECTS CLIENTS &gt; GREEN CITY KETU EPE 2</t>
        </is>
      </c>
      <c r="R85" s="15" t="n">
        <v>29</v>
      </c>
      <c r="S85" s="15" t="inlineStr">
        <is>
          <t>2024-01-04</t>
        </is>
      </c>
      <c r="T85" s="15" t="n"/>
    </row>
    <row r="86">
      <c r="A86" s="15" t="inlineStr">
        <is>
          <t>SB0082</t>
        </is>
      </c>
      <c r="B86" s="15" t="inlineStr">
        <is>
          <t>BP-C0087</t>
        </is>
      </c>
      <c r="C86" s="15" t="inlineStr">
        <is>
          <t>Mr Okeme Danjuma</t>
        </is>
      </c>
      <c r="D86" s="15" t="inlineStr">
        <is>
          <t>Land</t>
        </is>
      </c>
      <c r="E86" s="15" t="inlineStr">
        <is>
          <t>Green City Phase 2 (Ketu-Epe)</t>
        </is>
      </c>
      <c r="F86" s="15" t="inlineStr">
        <is>
          <t>500SQM</t>
        </is>
      </c>
      <c r="G86" s="16" t="n">
        <v>45385</v>
      </c>
      <c r="H86" s="15">
        <f>IF(G86="","",YEAR(G86))</f>
        <v/>
      </c>
      <c r="I86" s="17" t="n">
        <v>4200000</v>
      </c>
      <c r="J86" s="17" t="n">
        <v>4200000</v>
      </c>
      <c r="K86" s="17">
        <f>IF(OR(I86="",J86=""),"",I86-J86)</f>
        <v/>
      </c>
      <c r="L86" s="15" t="inlineStr">
        <is>
          <t>3 months</t>
        </is>
      </c>
      <c r="M86" s="15" t="inlineStr">
        <is>
          <t>Bought</t>
        </is>
      </c>
      <c r="N86" s="15" t="inlineStr">
        <is>
          <t>BLOCK A, PLOT 14</t>
        </is>
      </c>
      <c r="O86" s="15" t="inlineStr">
        <is>
          <t>Collected by Client</t>
        </is>
      </c>
      <c r="P86" s="15" t="inlineStr">
        <is>
          <t>Mr Festus</t>
        </is>
      </c>
      <c r="Q86" s="15" t="inlineStr">
        <is>
          <t>BAAY PROJECTS CLIENTS &gt; GREEN CITY KETU EPE 2</t>
        </is>
      </c>
      <c r="R86" s="15" t="n">
        <v>30</v>
      </c>
      <c r="S86" s="15" t="inlineStr">
        <is>
          <t>2024-03-04</t>
        </is>
      </c>
      <c r="T86" s="15" t="n"/>
    </row>
    <row r="87">
      <c r="A87" s="15" t="inlineStr">
        <is>
          <t>SB0083</t>
        </is>
      </c>
      <c r="B87" s="15" t="inlineStr">
        <is>
          <t>BP-C0088</t>
        </is>
      </c>
      <c r="C87" s="15" t="inlineStr">
        <is>
          <t>Mr Komolafe Oluwashola Leonard</t>
        </is>
      </c>
      <c r="D87" s="15" t="inlineStr">
        <is>
          <t>Land</t>
        </is>
      </c>
      <c r="E87" s="15" t="inlineStr">
        <is>
          <t>Green City Phase 2 (Ketu-Epe)</t>
        </is>
      </c>
      <c r="F87" s="15" t="inlineStr">
        <is>
          <t>500SQM</t>
        </is>
      </c>
      <c r="G87" s="16" t="n">
        <v>45391</v>
      </c>
      <c r="H87" s="15">
        <f>IF(G87="","",YEAR(G87))</f>
        <v/>
      </c>
      <c r="I87" s="17" t="n">
        <v>4200000</v>
      </c>
      <c r="J87" s="17" t="n">
        <v>4200000</v>
      </c>
      <c r="K87" s="17">
        <f>IF(OR(I87="",J87=""),"",I87-J87)</f>
        <v/>
      </c>
      <c r="L87" s="15" t="inlineStr">
        <is>
          <t>3 months</t>
        </is>
      </c>
      <c r="M87" s="15" t="inlineStr">
        <is>
          <t>Bought</t>
        </is>
      </c>
      <c r="N87" s="15" t="inlineStr">
        <is>
          <t>BLOCK D, PLOT 8</t>
        </is>
      </c>
      <c r="O87" s="15" t="inlineStr">
        <is>
          <t>Collected by Client</t>
        </is>
      </c>
      <c r="P87" s="15" t="inlineStr">
        <is>
          <t>Ms Bolanle</t>
        </is>
      </c>
      <c r="Q87" s="15" t="inlineStr">
        <is>
          <t>BAAY PROJECTS CLIENTS &gt; GREEN CITY KETU EPE 2</t>
        </is>
      </c>
      <c r="R87" s="15" t="n">
        <v>31</v>
      </c>
      <c r="S87" s="15" t="inlineStr">
        <is>
          <t>2024-09-04</t>
        </is>
      </c>
      <c r="T87" s="15" t="n"/>
    </row>
    <row r="88">
      <c r="A88" s="15" t="inlineStr">
        <is>
          <t>SB0084</t>
        </is>
      </c>
      <c r="B88" s="15" t="inlineStr">
        <is>
          <t>BP-C0089</t>
        </is>
      </c>
      <c r="C88" s="15" t="inlineStr">
        <is>
          <t>Mr Lawson Oladele Valentino</t>
        </is>
      </c>
      <c r="D88" s="15" t="inlineStr">
        <is>
          <t>Land</t>
        </is>
      </c>
      <c r="E88" s="15" t="inlineStr">
        <is>
          <t>Green City Phase 2 (Ketu-Epe)</t>
        </is>
      </c>
      <c r="F88" s="15" t="inlineStr">
        <is>
          <t>500SQM</t>
        </is>
      </c>
      <c r="G88" s="16" t="n">
        <v>45398</v>
      </c>
      <c r="H88" s="15">
        <f>IF(G88="","",YEAR(G88))</f>
        <v/>
      </c>
      <c r="I88" s="17" t="n">
        <v>4000000</v>
      </c>
      <c r="J88" s="17" t="n">
        <v>4000000</v>
      </c>
      <c r="K88" s="17">
        <f>IF(OR(I88="",J88=""),"",I88-J88)</f>
        <v/>
      </c>
      <c r="L88" s="15" t="inlineStr">
        <is>
          <t>3 months</t>
        </is>
      </c>
      <c r="M88" s="15" t="inlineStr">
        <is>
          <t>Bought</t>
        </is>
      </c>
      <c r="N88" s="15" t="inlineStr">
        <is>
          <t>BLOCK F, PLOT 1</t>
        </is>
      </c>
      <c r="O88" s="15" t="inlineStr">
        <is>
          <t>Collected by Client</t>
        </is>
      </c>
      <c r="P88" s="15" t="inlineStr">
        <is>
          <t>Mr Ayo</t>
        </is>
      </c>
      <c r="Q88" s="15" t="inlineStr">
        <is>
          <t>BAAY PROJECTS CLIENTS &gt; GREEN CITY KETU EPE 2</t>
        </is>
      </c>
      <c r="R88" s="15" t="n">
        <v>33</v>
      </c>
      <c r="S88" s="15" t="inlineStr">
        <is>
          <t>16/04/2024</t>
        </is>
      </c>
      <c r="T88" s="15" t="n"/>
    </row>
    <row r="89">
      <c r="A89" s="15" t="inlineStr">
        <is>
          <t>SB0085</t>
        </is>
      </c>
      <c r="B89" s="15" t="inlineStr">
        <is>
          <t>BP-C0045</t>
        </is>
      </c>
      <c r="C89" s="15" t="inlineStr">
        <is>
          <t>Mr Bolarinwa Iyanuoluwa Simon &amp; Dr Bolarinwa Abisola Christianah</t>
        </is>
      </c>
      <c r="D89" s="15" t="inlineStr">
        <is>
          <t>Land</t>
        </is>
      </c>
      <c r="E89" s="15" t="inlineStr">
        <is>
          <t>Green City Phase 2 (Ketu-Epe)</t>
        </is>
      </c>
      <c r="F89" s="15" t="inlineStr">
        <is>
          <t>500SQM</t>
        </is>
      </c>
      <c r="G89" s="16" t="n">
        <v>45412</v>
      </c>
      <c r="H89" s="15">
        <f>IF(G89="","",YEAR(G89))</f>
        <v/>
      </c>
      <c r="I89" s="17" t="n">
        <v>4830000</v>
      </c>
      <c r="J89" s="17" t="n">
        <v>4830000</v>
      </c>
      <c r="K89" s="17">
        <f>IF(OR(I89="",J89=""),"",I89-J89)</f>
        <v/>
      </c>
      <c r="L89" s="15" t="inlineStr">
        <is>
          <t>6 Months</t>
        </is>
      </c>
      <c r="M89" s="15" t="inlineStr">
        <is>
          <t>Bought</t>
        </is>
      </c>
      <c r="N89" s="15" t="inlineStr">
        <is>
          <t>BLOCK A, PLOT 10</t>
        </is>
      </c>
      <c r="O89" s="15" t="inlineStr">
        <is>
          <t>Collected by client</t>
        </is>
      </c>
      <c r="P89" s="15" t="inlineStr">
        <is>
          <t>MD</t>
        </is>
      </c>
      <c r="Q89" s="15" t="inlineStr">
        <is>
          <t>BAAY PROJECTS CLIENTS &gt; GREEN CITY KETU EPE 2</t>
        </is>
      </c>
      <c r="R89" s="15" t="n">
        <v>35</v>
      </c>
      <c r="S89" s="15" t="inlineStr">
        <is>
          <t>30/04/2024</t>
        </is>
      </c>
      <c r="T89" s="15" t="n"/>
    </row>
    <row r="90">
      <c r="A90" s="15" t="inlineStr">
        <is>
          <t>SB0086</t>
        </is>
      </c>
      <c r="B90" s="15" t="inlineStr">
        <is>
          <t>BP-C0091</t>
        </is>
      </c>
      <c r="C90" s="15" t="inlineStr">
        <is>
          <t>Mr Ojo Olugbenga Daniel &amp; Mrs Ojo Omolola Oyewunmi</t>
        </is>
      </c>
      <c r="D90" s="15" t="inlineStr">
        <is>
          <t>Land</t>
        </is>
      </c>
      <c r="E90" s="15" t="inlineStr">
        <is>
          <t>Green City Phase 2 (Ketu-Epe)</t>
        </is>
      </c>
      <c r="F90" s="15" t="inlineStr">
        <is>
          <t>500Sqm</t>
        </is>
      </c>
      <c r="G90" s="16" t="n">
        <v>45424</v>
      </c>
      <c r="H90" s="15">
        <f>IF(G90="","",YEAR(G90))</f>
        <v/>
      </c>
      <c r="I90" s="17" t="n">
        <v>4200000</v>
      </c>
      <c r="J90" s="17" t="n">
        <v>4200000</v>
      </c>
      <c r="K90" s="17">
        <f>IF(OR(I90="",J90=""),"",I90-J90)</f>
        <v/>
      </c>
      <c r="L90" s="15" t="inlineStr">
        <is>
          <t>3 months</t>
        </is>
      </c>
      <c r="M90" s="15" t="inlineStr">
        <is>
          <t>Bought</t>
        </is>
      </c>
      <c r="N90" s="15" t="inlineStr">
        <is>
          <t>BLOCK A, PLOT 11</t>
        </is>
      </c>
      <c r="O90" s="15" t="inlineStr">
        <is>
          <t>Collected by Client's rep</t>
        </is>
      </c>
      <c r="P90" s="15" t="inlineStr">
        <is>
          <t>Ms Abimbola</t>
        </is>
      </c>
      <c r="Q90" s="15" t="inlineStr">
        <is>
          <t>BAAY PROJECTS CLIENTS &gt; GREEN CITY KETU EPE 2</t>
        </is>
      </c>
      <c r="R90" s="15" t="n">
        <v>37</v>
      </c>
      <c r="S90" s="15" t="inlineStr">
        <is>
          <t>2024-12-05</t>
        </is>
      </c>
      <c r="T90" s="15" t="n"/>
    </row>
    <row r="91">
      <c r="A91" s="15" t="inlineStr">
        <is>
          <t>SB0087</t>
        </is>
      </c>
      <c r="B91" s="15" t="inlineStr">
        <is>
          <t>BP-C0092</t>
        </is>
      </c>
      <c r="C91" s="15" t="inlineStr">
        <is>
          <t>Mr Oriakhi Osemudiamen Peter</t>
        </is>
      </c>
      <c r="D91" s="15" t="inlineStr">
        <is>
          <t>Land</t>
        </is>
      </c>
      <c r="E91" s="15" t="inlineStr">
        <is>
          <t>Green City Phase 2 (Ketu-Epe)</t>
        </is>
      </c>
      <c r="F91" s="15" t="inlineStr">
        <is>
          <t>500Sqm</t>
        </is>
      </c>
      <c r="G91" s="16" t="n">
        <v>45429</v>
      </c>
      <c r="H91" s="15">
        <f>IF(G91="","",YEAR(G91))</f>
        <v/>
      </c>
      <c r="I91" s="17" t="n">
        <v>4200000</v>
      </c>
      <c r="J91" s="17" t="n">
        <v>4200000</v>
      </c>
      <c r="K91" s="17">
        <f>IF(OR(I91="",J91=""),"",I91-J91)</f>
        <v/>
      </c>
      <c r="L91" s="15" t="inlineStr">
        <is>
          <t>3 months</t>
        </is>
      </c>
      <c r="M91" s="15" t="inlineStr">
        <is>
          <t>Bought</t>
        </is>
      </c>
      <c r="N91" s="15" t="inlineStr">
        <is>
          <t>BLOCK G, PLOT 8</t>
        </is>
      </c>
      <c r="O91" s="15" t="inlineStr">
        <is>
          <t>Collected by Client's rep</t>
        </is>
      </c>
      <c r="P91" s="15" t="inlineStr">
        <is>
          <t>Ms Blessing</t>
        </is>
      </c>
      <c r="Q91" s="15" t="inlineStr">
        <is>
          <t>BAAY PROJECTS CLIENTS &gt; GREEN CITY KETU EPE 2</t>
        </is>
      </c>
      <c r="R91" s="15" t="n">
        <v>38</v>
      </c>
      <c r="S91" s="15" t="inlineStr">
        <is>
          <t>17/05/2024</t>
        </is>
      </c>
      <c r="T91" s="15" t="n"/>
    </row>
    <row r="92">
      <c r="A92" s="15" t="inlineStr">
        <is>
          <t>SB0088</t>
        </is>
      </c>
      <c r="B92" s="15" t="inlineStr">
        <is>
          <t>BP-C0093</t>
        </is>
      </c>
      <c r="C92" s="15" t="inlineStr">
        <is>
          <t>Mr Okuneye Oluwakayode Oluwaseyi</t>
        </is>
      </c>
      <c r="D92" s="15" t="inlineStr">
        <is>
          <t>Land</t>
        </is>
      </c>
      <c r="E92" s="15" t="inlineStr">
        <is>
          <t>Green City Phase 2 (Ketu-Epe)</t>
        </is>
      </c>
      <c r="F92" s="15" t="inlineStr">
        <is>
          <t>250SQM</t>
        </is>
      </c>
      <c r="G92" s="16" t="n">
        <v>45433</v>
      </c>
      <c r="H92" s="15">
        <f>IF(G92="","",YEAR(G92))</f>
        <v/>
      </c>
      <c r="I92" s="17" t="n">
        <v>2160000</v>
      </c>
      <c r="J92" s="17" t="n">
        <v>2160000</v>
      </c>
      <c r="K92" s="17">
        <f>IF(OR(I92="",J92=""),"",I92-J92)</f>
        <v/>
      </c>
      <c r="L92" s="15" t="inlineStr">
        <is>
          <t>3 months</t>
        </is>
      </c>
      <c r="M92" s="15" t="inlineStr">
        <is>
          <t>Bought</t>
        </is>
      </c>
      <c r="N92" s="15" t="inlineStr">
        <is>
          <t>BLOCK E, PLOT 3</t>
        </is>
      </c>
      <c r="O92" s="15" t="inlineStr">
        <is>
          <t>Not yet Collected</t>
        </is>
      </c>
      <c r="P92" s="15" t="inlineStr">
        <is>
          <t>Ms Bolanle</t>
        </is>
      </c>
      <c r="Q92" s="15" t="inlineStr">
        <is>
          <t>BAAY PROJECTS CLIENTS &gt; GREEN CITY KETU EPE 2</t>
        </is>
      </c>
      <c r="R92" s="15" t="n">
        <v>39</v>
      </c>
      <c r="S92" s="15" t="inlineStr">
        <is>
          <t>21/05/2024</t>
        </is>
      </c>
      <c r="T92" s="15" t="n"/>
    </row>
    <row r="93">
      <c r="A93" s="15" t="inlineStr">
        <is>
          <t>SB0089</t>
        </is>
      </c>
      <c r="B93" s="15" t="inlineStr">
        <is>
          <t>BP-C0090</t>
        </is>
      </c>
      <c r="C93" s="15" t="inlineStr">
        <is>
          <t>Mr Ajiva Lubem Barnabas</t>
        </is>
      </c>
      <c r="D93" s="15" t="inlineStr">
        <is>
          <t>Land</t>
        </is>
      </c>
      <c r="E93" s="15" t="inlineStr">
        <is>
          <t>Green City Phase 2 (Ketu-Epe)</t>
        </is>
      </c>
      <c r="F93" s="15" t="inlineStr">
        <is>
          <t>250SQM</t>
        </is>
      </c>
      <c r="G93" s="16" t="n">
        <v>45441</v>
      </c>
      <c r="H93" s="15">
        <f>IF(G93="","",YEAR(G93))</f>
        <v/>
      </c>
      <c r="I93" s="17" t="n">
        <v>2160000</v>
      </c>
      <c r="J93" s="17" t="n">
        <v>2160000</v>
      </c>
      <c r="K93" s="17">
        <f>IF(OR(I93="",J93=""),"",I93-J93)</f>
        <v/>
      </c>
      <c r="L93" s="15" t="inlineStr">
        <is>
          <t>3 months</t>
        </is>
      </c>
      <c r="M93" s="15" t="inlineStr">
        <is>
          <t>Bought</t>
        </is>
      </c>
      <c r="N93" s="15" t="inlineStr">
        <is>
          <t>BLOCK E, PLOT 1</t>
        </is>
      </c>
      <c r="O93" s="15" t="inlineStr">
        <is>
          <t>Deed Collected by Client</t>
        </is>
      </c>
      <c r="P93" s="15" t="inlineStr">
        <is>
          <t>Ms Olayinka Fasuyi</t>
        </is>
      </c>
      <c r="Q93" s="15" t="inlineStr">
        <is>
          <t>BAAY PROJECTS CLIENTS &gt; GREEN CITY KETU EPE 2</t>
        </is>
      </c>
      <c r="R93" s="15" t="n">
        <v>34</v>
      </c>
      <c r="S93" s="15" t="inlineStr">
        <is>
          <t>29/05/2024</t>
        </is>
      </c>
      <c r="T93" s="15" t="n"/>
    </row>
    <row r="94">
      <c r="A94" s="15" t="inlineStr">
        <is>
          <t>SB0090</t>
        </is>
      </c>
      <c r="B94" s="15" t="inlineStr">
        <is>
          <t>BP-C0096</t>
        </is>
      </c>
      <c r="C94" s="15" t="inlineStr">
        <is>
          <t>Mrs Lawani Opemipo Oluwatobi Lasode</t>
        </is>
      </c>
      <c r="D94" s="15" t="inlineStr">
        <is>
          <t>Land</t>
        </is>
      </c>
      <c r="E94" s="15" t="inlineStr">
        <is>
          <t>Green City Phase 2 (Ketu-Epe)</t>
        </is>
      </c>
      <c r="F94" s="15" t="inlineStr">
        <is>
          <t>250Sqm</t>
        </is>
      </c>
      <c r="G94" s="16" t="n">
        <v>45452</v>
      </c>
      <c r="H94" s="15">
        <f>IF(G94="","",YEAR(G94))</f>
        <v/>
      </c>
      <c r="I94" s="17" t="n">
        <v>2160000</v>
      </c>
      <c r="J94" s="17" t="n">
        <v>2160000</v>
      </c>
      <c r="K94" s="17">
        <f>IF(OR(I94="",J94=""),"",I94-J94)</f>
        <v/>
      </c>
      <c r="L94" s="15" t="inlineStr">
        <is>
          <t>3 months</t>
        </is>
      </c>
      <c r="M94" s="15" t="inlineStr">
        <is>
          <t>Bought</t>
        </is>
      </c>
      <c r="N94" s="15" t="inlineStr">
        <is>
          <t>BLOCK C, PLOT 7</t>
        </is>
      </c>
      <c r="O94" s="15" t="inlineStr">
        <is>
          <t>Collected by Client</t>
        </is>
      </c>
      <c r="P94" s="15" t="inlineStr">
        <is>
          <t>Ms Fisayo</t>
        </is>
      </c>
      <c r="Q94" s="15" t="inlineStr">
        <is>
          <t>BAAY PROJECTS CLIENTS &gt; GREEN CITY KETU EPE 2</t>
        </is>
      </c>
      <c r="R94" s="15" t="n">
        <v>40</v>
      </c>
      <c r="S94" s="15" t="inlineStr">
        <is>
          <t>2024-09-06</t>
        </is>
      </c>
      <c r="T94" s="15" t="n"/>
    </row>
    <row r="95">
      <c r="A95" s="15" t="inlineStr">
        <is>
          <t>SB0091</t>
        </is>
      </c>
      <c r="B95" s="15" t="inlineStr">
        <is>
          <t>BP-C0036</t>
        </is>
      </c>
      <c r="C95" s="15" t="inlineStr">
        <is>
          <t>Ohumende Paul Osaze</t>
        </is>
      </c>
      <c r="D95" s="15" t="inlineStr">
        <is>
          <t>Land</t>
        </is>
      </c>
      <c r="E95" s="15" t="inlineStr">
        <is>
          <t>Green City Phase 2 (Ketu-Epe)</t>
        </is>
      </c>
      <c r="F95" s="15" t="inlineStr">
        <is>
          <t>500sqm</t>
        </is>
      </c>
      <c r="G95" s="16" t="n">
        <v>45453</v>
      </c>
      <c r="H95" s="15">
        <f>IF(G95="","",YEAR(G95))</f>
        <v/>
      </c>
      <c r="I95" s="17" t="n">
        <v>4200000</v>
      </c>
      <c r="J95" s="17" t="n">
        <v>4200000</v>
      </c>
      <c r="K95" s="17">
        <f>IF(OR(I95="",J95=""),"",I95-J95)</f>
        <v/>
      </c>
      <c r="L95" s="15" t="inlineStr">
        <is>
          <t>3 months</t>
        </is>
      </c>
      <c r="M95" s="15" t="inlineStr">
        <is>
          <t>Bought</t>
        </is>
      </c>
      <c r="N95" s="15" t="inlineStr">
        <is>
          <t>BLOCK A, PLOT 19</t>
        </is>
      </c>
      <c r="O95" s="15" t="inlineStr">
        <is>
          <t>PAID 2,100,000 for 250SQM, &amp; 250SQM given as incentive for 1 Acre bought in Phase 1</t>
        </is>
      </c>
      <c r="P95" s="15" t="inlineStr">
        <is>
          <t>MD</t>
        </is>
      </c>
      <c r="Q95" s="15" t="inlineStr">
        <is>
          <t>BAAY PROJECTS CLIENTS &gt; GREEN CITY KETU EPE 2</t>
        </is>
      </c>
      <c r="R95" s="15" t="n">
        <v>41</v>
      </c>
      <c r="S95" s="15" t="inlineStr">
        <is>
          <t>2024-10-06</t>
        </is>
      </c>
      <c r="T95" s="15" t="n"/>
    </row>
    <row r="96">
      <c r="A96" s="15" t="inlineStr">
        <is>
          <t>SB0092</t>
        </is>
      </c>
      <c r="B96" s="15" t="inlineStr">
        <is>
          <t>BP-C0097</t>
        </is>
      </c>
      <c r="C96" s="15" t="inlineStr">
        <is>
          <t>Engr Fagbulu Taiwo Olubunmi</t>
        </is>
      </c>
      <c r="D96" s="15" t="inlineStr">
        <is>
          <t>Land</t>
        </is>
      </c>
      <c r="E96" s="15" t="inlineStr">
        <is>
          <t>Green City Phase 2 (Ketu-Epe)</t>
        </is>
      </c>
      <c r="F96" s="15" t="inlineStr">
        <is>
          <t>500Sqm</t>
        </is>
      </c>
      <c r="G96" s="16" t="n">
        <v>45454</v>
      </c>
      <c r="H96" s="15">
        <f>IF(G96="","",YEAR(G96))</f>
        <v/>
      </c>
      <c r="I96" s="17" t="n">
        <v>4200000</v>
      </c>
      <c r="J96" s="17" t="n">
        <v>4200000</v>
      </c>
      <c r="K96" s="17">
        <f>IF(OR(I96="",J96=""),"",I96-J96)</f>
        <v/>
      </c>
      <c r="L96" s="15" t="inlineStr">
        <is>
          <t>3 months</t>
        </is>
      </c>
      <c r="M96" s="15" t="inlineStr">
        <is>
          <t>Bought</t>
        </is>
      </c>
      <c r="N96" s="15" t="inlineStr">
        <is>
          <t>BLOCK A, PLOT 13</t>
        </is>
      </c>
      <c r="O96" s="15" t="inlineStr">
        <is>
          <t>Collectd by Client</t>
        </is>
      </c>
      <c r="P96" s="15" t="inlineStr">
        <is>
          <t>Mr Henry</t>
        </is>
      </c>
      <c r="Q96" s="15" t="inlineStr">
        <is>
          <t>BAAY PROJECTS CLIENTS &gt; GREEN CITY KETU EPE 2</t>
        </is>
      </c>
      <c r="R96" s="15" t="n">
        <v>42</v>
      </c>
      <c r="S96" s="15" t="inlineStr">
        <is>
          <t>2024-11-06</t>
        </is>
      </c>
      <c r="T96" s="15" t="n"/>
    </row>
    <row r="97">
      <c r="A97" s="15" t="inlineStr">
        <is>
          <t>SB0093</t>
        </is>
      </c>
      <c r="B97" s="15" t="inlineStr">
        <is>
          <t>BP-C0099</t>
        </is>
      </c>
      <c r="C97" s="15" t="inlineStr">
        <is>
          <t>Mr Olatunde Adesua Samuel</t>
        </is>
      </c>
      <c r="D97" s="15" t="inlineStr">
        <is>
          <t>Land</t>
        </is>
      </c>
      <c r="E97" s="15" t="inlineStr">
        <is>
          <t>Green City Phase 1 (Lantaba, Ketu-Epe)</t>
        </is>
      </c>
      <c r="F97" s="15" t="inlineStr">
        <is>
          <t>250sqm</t>
        </is>
      </c>
      <c r="G97" s="16" t="n">
        <v>45457</v>
      </c>
      <c r="H97" s="15">
        <f>IF(G97="","",YEAR(G97))</f>
        <v/>
      </c>
      <c r="I97" s="17" t="n">
        <v>6300000</v>
      </c>
      <c r="J97" s="17" t="n">
        <v>6300000</v>
      </c>
      <c r="K97" s="17">
        <f>IF(OR(I97="",J97=""),"",I97-J97)</f>
        <v/>
      </c>
      <c r="L97" s="15" t="inlineStr">
        <is>
          <t>3 Months</t>
        </is>
      </c>
      <c r="M97" s="15" t="inlineStr">
        <is>
          <t>Bought</t>
        </is>
      </c>
      <c r="N97" s="15" t="inlineStr">
        <is>
          <t>BLOCK D10A</t>
        </is>
      </c>
      <c r="O97" s="15" t="inlineStr">
        <is>
          <t>Collected by Client</t>
        </is>
      </c>
      <c r="P97" s="15" t="inlineStr">
        <is>
          <t>Ms Adenike</t>
        </is>
      </c>
      <c r="Q97" s="15" t="inlineStr">
        <is>
          <t>BAAY PROJECTS CLIENTS &gt; GREEN CITY KETU 1 INVESTORS LIS</t>
        </is>
      </c>
      <c r="R97" s="15" t="n">
        <v>48</v>
      </c>
      <c r="S97" s="15" t="inlineStr">
        <is>
          <t>14/06/2024</t>
        </is>
      </c>
      <c r="T97" s="15" t="n"/>
    </row>
    <row r="98">
      <c r="A98" s="15" t="inlineStr">
        <is>
          <t>SB0094</t>
        </is>
      </c>
      <c r="B98" s="15" t="inlineStr">
        <is>
          <t>BP-C0100</t>
        </is>
      </c>
      <c r="C98" s="15" t="inlineStr">
        <is>
          <t>Mr Braimoh Ayomide Favour</t>
        </is>
      </c>
      <c r="D98" s="15" t="inlineStr">
        <is>
          <t>Land</t>
        </is>
      </c>
      <c r="E98" s="15" t="inlineStr">
        <is>
          <t>Green City Phase 2 (Ketu-Epe)</t>
        </is>
      </c>
      <c r="F98" s="15" t="inlineStr">
        <is>
          <t>500Sqm</t>
        </is>
      </c>
      <c r="G98" s="16" t="n">
        <v>45458</v>
      </c>
      <c r="H98" s="15">
        <f>IF(G98="","",YEAR(G98))</f>
        <v/>
      </c>
      <c r="I98" s="17" t="n">
        <v>4200000</v>
      </c>
      <c r="J98" s="17" t="n">
        <v>4200000</v>
      </c>
      <c r="K98" s="17">
        <f>IF(OR(I98="",J98=""),"",I98-J98)</f>
        <v/>
      </c>
      <c r="L98" s="15" t="inlineStr">
        <is>
          <t>3 months</t>
        </is>
      </c>
      <c r="M98" s="15" t="inlineStr">
        <is>
          <t>Bought</t>
        </is>
      </c>
      <c r="N98" s="15" t="inlineStr">
        <is>
          <t>BLOCK G, PLOT 4</t>
        </is>
      </c>
      <c r="O98" s="15" t="inlineStr">
        <is>
          <t>Collected by client Rep</t>
        </is>
      </c>
      <c r="P98" s="15" t="inlineStr">
        <is>
          <t>Ms Mayowa</t>
        </is>
      </c>
      <c r="Q98" s="15" t="inlineStr">
        <is>
          <t>BAAY PROJECTS CLIENTS &gt; GREEN CITY KETU EPE 2</t>
        </is>
      </c>
      <c r="R98" s="15" t="n">
        <v>45</v>
      </c>
      <c r="S98" s="15" t="inlineStr">
        <is>
          <t>15/06/2024</t>
        </is>
      </c>
      <c r="T98" s="15" t="n"/>
    </row>
    <row r="99">
      <c r="A99" s="15" t="inlineStr">
        <is>
          <t>SB0095</t>
        </is>
      </c>
      <c r="B99" s="15" t="inlineStr">
        <is>
          <t>BP-C0102</t>
        </is>
      </c>
      <c r="C99" s="15" t="inlineStr">
        <is>
          <t>Miss Odeyemi Testimony Patricia</t>
        </is>
      </c>
      <c r="D99" s="15" t="inlineStr">
        <is>
          <t>Land</t>
        </is>
      </c>
      <c r="E99" s="15" t="inlineStr">
        <is>
          <t>Green City Phase 2 (Ketu-Epe)</t>
        </is>
      </c>
      <c r="F99" s="15" t="inlineStr">
        <is>
          <t>600Sqm</t>
        </is>
      </c>
      <c r="G99" s="16" t="n">
        <v>45464</v>
      </c>
      <c r="H99" s="15">
        <f>IF(G99="","",YEAR(G99))</f>
        <v/>
      </c>
      <c r="I99" s="17" t="n">
        <v>5900000</v>
      </c>
      <c r="J99" s="17" t="n">
        <v>1000000</v>
      </c>
      <c r="K99" s="17">
        <f>IF(OR(I99="",J99=""),"",I99-J99)</f>
        <v/>
      </c>
      <c r="L99" s="15" t="inlineStr">
        <is>
          <t>3 months</t>
        </is>
      </c>
      <c r="M99" s="15" t="inlineStr">
        <is>
          <t>Paying</t>
        </is>
      </c>
      <c r="N99" s="15" t="inlineStr">
        <is>
          <t>BLOCK A, PLOT 9</t>
        </is>
      </c>
      <c r="O99" s="15" t="inlineStr">
        <is>
          <t>Not yet Processed</t>
        </is>
      </c>
      <c r="P99" s="15" t="inlineStr">
        <is>
          <t>Ms Abimbola</t>
        </is>
      </c>
      <c r="Q99" s="15" t="inlineStr">
        <is>
          <t>BAAY PROJECTS CLIENTS &gt; GREEN CITY KETU EPE 2</t>
        </is>
      </c>
      <c r="R99" s="15" t="n">
        <v>44</v>
      </c>
      <c r="S99" s="15" t="inlineStr">
        <is>
          <t>21/06/2024</t>
        </is>
      </c>
      <c r="T99" s="15" t="n"/>
    </row>
    <row r="100">
      <c r="A100" s="15" t="inlineStr">
        <is>
          <t>SB0096</t>
        </is>
      </c>
      <c r="B100" s="15" t="inlineStr">
        <is>
          <t>BP-C0054</t>
        </is>
      </c>
      <c r="C100" s="15" t="inlineStr">
        <is>
          <t>Mr Adeniyi Ademola</t>
        </is>
      </c>
      <c r="D100" s="15" t="inlineStr">
        <is>
          <t>Land</t>
        </is>
      </c>
      <c r="E100" s="15" t="inlineStr">
        <is>
          <t>Green City Phase 2 (Ketu-Epe)</t>
        </is>
      </c>
      <c r="F100" s="15" t="inlineStr">
        <is>
          <t>900Sqm</t>
        </is>
      </c>
      <c r="G100" s="16" t="n">
        <v>45464</v>
      </c>
      <c r="H100" s="15">
        <f>IF(G100="","",YEAR(G100))</f>
        <v/>
      </c>
      <c r="I100" s="17" t="n">
        <v>8400000</v>
      </c>
      <c r="J100" s="17" t="n">
        <v>8400000</v>
      </c>
      <c r="K100" s="17">
        <f>IF(OR(I100="",J100=""),"",I100-J100)</f>
        <v/>
      </c>
      <c r="L100" s="15" t="inlineStr">
        <is>
          <t>3 months</t>
        </is>
      </c>
      <c r="M100" s="15" t="inlineStr">
        <is>
          <t>Bought</t>
        </is>
      </c>
      <c r="N100" s="15" t="inlineStr">
        <is>
          <t>BLOCK A, PLOT 5A, 5B &amp; 6</t>
        </is>
      </c>
      <c r="O100" s="15" t="inlineStr">
        <is>
          <t>Not yet Collected</t>
        </is>
      </c>
      <c r="P100" s="15" t="inlineStr">
        <is>
          <t>Ms Abimbola</t>
        </is>
      </c>
      <c r="Q100" s="15" t="inlineStr">
        <is>
          <t>BAAY PROJECTS CLIENTS &gt; GREEN CITY KETU EPE 2</t>
        </is>
      </c>
      <c r="R100" s="15" t="n">
        <v>43</v>
      </c>
      <c r="S100" s="15" t="inlineStr">
        <is>
          <t>21/06/2024</t>
        </is>
      </c>
      <c r="T100" s="15" t="n"/>
    </row>
    <row r="101">
      <c r="A101" s="15" t="inlineStr">
        <is>
          <t>SB0097</t>
        </is>
      </c>
      <c r="B101" s="15" t="inlineStr">
        <is>
          <t>BP-C0103</t>
        </is>
      </c>
      <c r="C101" s="15" t="inlineStr">
        <is>
          <t>Miss Danjuma Ojotule Faith</t>
        </is>
      </c>
      <c r="D101" s="15" t="inlineStr">
        <is>
          <t>Land</t>
        </is>
      </c>
      <c r="E101" s="15" t="inlineStr">
        <is>
          <t>Green City Phase 2 (Ketu-Epe)</t>
        </is>
      </c>
      <c r="F101" s="15" t="inlineStr">
        <is>
          <t>600Sqm</t>
        </is>
      </c>
      <c r="G101" s="16" t="n">
        <v>45465</v>
      </c>
      <c r="H101" s="15">
        <f>IF(G101="","",YEAR(G101))</f>
        <v/>
      </c>
      <c r="I101" s="17" t="n">
        <v>5900000</v>
      </c>
      <c r="J101" s="17" t="n">
        <v>2673000</v>
      </c>
      <c r="K101" s="17">
        <f>IF(OR(I101="",J101=""),"",I101-J101)</f>
        <v/>
      </c>
      <c r="L101" s="15" t="inlineStr">
        <is>
          <t>3 months</t>
        </is>
      </c>
      <c r="M101" s="15" t="inlineStr">
        <is>
          <t>REFUND</t>
        </is>
      </c>
      <c r="N101" s="15" t="inlineStr">
        <is>
          <t>BLOCK A, PLOT 24</t>
        </is>
      </c>
      <c r="O101" s="15" t="inlineStr">
        <is>
          <t>Not yet Processed</t>
        </is>
      </c>
      <c r="P101" s="15" t="inlineStr">
        <is>
          <t>Mr Festus</t>
        </is>
      </c>
      <c r="Q101" s="15" t="inlineStr">
        <is>
          <t>BAAY PROJECTS CLIENTS &gt; GREEN CITY KETU EPE 2</t>
        </is>
      </c>
      <c r="R101" s="15" t="n">
        <v>47</v>
      </c>
      <c r="S101" s="15" t="inlineStr">
        <is>
          <t>22/06/2024</t>
        </is>
      </c>
      <c r="T101" s="15" t="n"/>
    </row>
    <row r="102">
      <c r="A102" s="15" t="inlineStr">
        <is>
          <t>SB0098</t>
        </is>
      </c>
      <c r="B102" s="15" t="inlineStr">
        <is>
          <t>BP-C0104</t>
        </is>
      </c>
      <c r="C102" s="15" t="inlineStr">
        <is>
          <t>Mr Abiodun Olasunkanmi Enoch</t>
        </is>
      </c>
      <c r="D102" s="15" t="inlineStr">
        <is>
          <t>Land</t>
        </is>
      </c>
      <c r="E102" s="15" t="inlineStr">
        <is>
          <t>Green City Phase 2 (Ketu-Epe)</t>
        </is>
      </c>
      <c r="F102" s="15" t="inlineStr">
        <is>
          <t>600Sqm</t>
        </is>
      </c>
      <c r="G102" s="16" t="n">
        <v>45468</v>
      </c>
      <c r="H102" s="15">
        <f>IF(G102="","",YEAR(G102))</f>
        <v/>
      </c>
      <c r="I102" s="17" t="n">
        <v>7600000</v>
      </c>
      <c r="J102" s="17" t="n">
        <v>1000000</v>
      </c>
      <c r="K102" s="17">
        <f>IF(OR(I102="",J102=""),"",I102-J102)</f>
        <v/>
      </c>
      <c r="L102" s="15" t="inlineStr">
        <is>
          <t>3 months</t>
        </is>
      </c>
      <c r="M102" s="15" t="inlineStr">
        <is>
          <t>Paying</t>
        </is>
      </c>
      <c r="N102" s="15" t="inlineStr">
        <is>
          <t>BLOCK A, PLOT 7</t>
        </is>
      </c>
      <c r="O102" s="15" t="inlineStr">
        <is>
          <t>Not yet Processed</t>
        </is>
      </c>
      <c r="P102" s="15" t="inlineStr">
        <is>
          <t>Ms Abimbola</t>
        </is>
      </c>
      <c r="Q102" s="15" t="inlineStr">
        <is>
          <t>BAAY PROJECTS CLIENTS &gt; GREEN CITY KETU EPE 2</t>
        </is>
      </c>
      <c r="R102" s="15" t="n">
        <v>46</v>
      </c>
      <c r="S102" s="15" t="inlineStr">
        <is>
          <t>25/06/2024</t>
        </is>
      </c>
      <c r="T102" s="15" t="n"/>
    </row>
    <row r="103">
      <c r="A103" s="15" t="inlineStr">
        <is>
          <t>SB0099</t>
        </is>
      </c>
      <c r="B103" s="15" t="inlineStr">
        <is>
          <t>BP-C0107</t>
        </is>
      </c>
      <c r="C103" s="15" t="inlineStr">
        <is>
          <t>Mr Salaudeen Baqi Boladale</t>
        </is>
      </c>
      <c r="D103" s="15" t="inlineStr">
        <is>
          <t>Land</t>
        </is>
      </c>
      <c r="E103" s="15" t="inlineStr">
        <is>
          <t>Heritage Garden</t>
        </is>
      </c>
      <c r="F103" s="15" t="inlineStr">
        <is>
          <t>250sqm</t>
        </is>
      </c>
      <c r="G103" s="16" t="n">
        <v>45482</v>
      </c>
      <c r="H103" s="15">
        <f>IF(G103="","",YEAR(G103))</f>
        <v/>
      </c>
      <c r="I103" s="17" t="n">
        <v>495000</v>
      </c>
      <c r="J103" s="17" t="n">
        <v>495000</v>
      </c>
      <c r="K103" s="17">
        <f>IF(OR(I103="",J103=""),"",I103-J103)</f>
        <v/>
      </c>
      <c r="L103" s="15" t="inlineStr">
        <is>
          <t>3 months</t>
        </is>
      </c>
      <c r="M103" s="15" t="inlineStr">
        <is>
          <t>Bought</t>
        </is>
      </c>
      <c r="N103" s="15" t="inlineStr">
        <is>
          <t>BLOCK C, PLOT 8</t>
        </is>
      </c>
      <c r="O103" s="15" t="inlineStr">
        <is>
          <t>Contract of Sales Signed</t>
        </is>
      </c>
      <c r="P103" s="15" t="inlineStr">
        <is>
          <t>Mr Baqi</t>
        </is>
      </c>
      <c r="Q103" s="15" t="inlineStr">
        <is>
          <t>BAAY PROJECTS CLIENTS &gt; HERITAGE GARDEN</t>
        </is>
      </c>
      <c r="R103" s="15" t="n">
        <v>2</v>
      </c>
      <c r="S103" s="15" t="inlineStr">
        <is>
          <t>2024-09-07</t>
        </is>
      </c>
      <c r="T103" s="15" t="n"/>
    </row>
    <row r="104">
      <c r="A104" s="15" t="inlineStr">
        <is>
          <t>SB0100</t>
        </is>
      </c>
      <c r="B104" s="15" t="inlineStr">
        <is>
          <t>BP-C0109</t>
        </is>
      </c>
      <c r="C104" s="15" t="inlineStr">
        <is>
          <t>Dr Okeyedun Taiwo Akinbami</t>
        </is>
      </c>
      <c r="D104" s="15" t="inlineStr">
        <is>
          <t>Land</t>
        </is>
      </c>
      <c r="E104" s="15" t="inlineStr">
        <is>
          <t>Green City Phase 3 (Omu-Epe)</t>
        </is>
      </c>
      <c r="F104" s="15" t="inlineStr">
        <is>
          <t>250Sqm</t>
        </is>
      </c>
      <c r="G104" s="16" t="n">
        <v>45492</v>
      </c>
      <c r="H104" s="15">
        <f>IF(G104="","",YEAR(G104))</f>
        <v/>
      </c>
      <c r="I104" s="17" t="n">
        <v>2400000</v>
      </c>
      <c r="J104" s="17" t="n">
        <v>300000</v>
      </c>
      <c r="K104" s="17">
        <f>IF(OR(I104="",J104=""),"",I104-J104)</f>
        <v/>
      </c>
      <c r="L104" s="15" t="inlineStr">
        <is>
          <t>6 Months</t>
        </is>
      </c>
      <c r="M104" s="15" t="inlineStr">
        <is>
          <t>Paying</t>
        </is>
      </c>
      <c r="N104" s="15" t="inlineStr">
        <is>
          <t>BLOCK H, PLOT 3</t>
        </is>
      </c>
      <c r="O104" s="15" t="inlineStr">
        <is>
          <t>Not Yet Processed</t>
        </is>
      </c>
      <c r="P104" s="15" t="inlineStr">
        <is>
          <t>MD</t>
        </is>
      </c>
      <c r="Q104" s="15" t="inlineStr">
        <is>
          <t>BAAY PROJECTS CLIENTS &gt; GREEN CITY PHASE 3, OMU EPE</t>
        </is>
      </c>
      <c r="R104" s="15" t="n">
        <v>2</v>
      </c>
      <c r="S104" s="15" t="inlineStr">
        <is>
          <t>19/07/2024</t>
        </is>
      </c>
      <c r="T104" s="15" t="n"/>
    </row>
    <row r="105">
      <c r="A105" s="15" t="inlineStr">
        <is>
          <t>SB0101</t>
        </is>
      </c>
      <c r="B105" s="15" t="inlineStr">
        <is>
          <t>BP-C0110</t>
        </is>
      </c>
      <c r="C105" s="15" t="inlineStr">
        <is>
          <t>Mr Adeyemi Kayode</t>
        </is>
      </c>
      <c r="D105" s="15" t="inlineStr">
        <is>
          <t>Land</t>
        </is>
      </c>
      <c r="E105" s="15" t="inlineStr">
        <is>
          <t>Green City Phase 3 (Omu-Epe)</t>
        </is>
      </c>
      <c r="F105" s="15" t="inlineStr">
        <is>
          <t>500Sqm</t>
        </is>
      </c>
      <c r="G105" s="16" t="n">
        <v>45496</v>
      </c>
      <c r="H105" s="15">
        <f>IF(G105="","",YEAR(G105))</f>
        <v/>
      </c>
      <c r="I105" s="17" t="n">
        <v>3800000</v>
      </c>
      <c r="J105" s="17" t="n">
        <v>3800000</v>
      </c>
      <c r="K105" s="17">
        <f>IF(OR(I105="",J105=""),"",I105-J105)</f>
        <v/>
      </c>
      <c r="L105" s="15" t="inlineStr">
        <is>
          <t>3 months</t>
        </is>
      </c>
      <c r="M105" s="15" t="inlineStr">
        <is>
          <t>Bought</t>
        </is>
      </c>
      <c r="N105" s="15" t="inlineStr">
        <is>
          <t>BLOCK F, PLOT 7</t>
        </is>
      </c>
      <c r="O105" s="15" t="inlineStr">
        <is>
          <t>Deed Picked up by client</t>
        </is>
      </c>
      <c r="P105" s="15" t="inlineStr">
        <is>
          <t>Ms Bola</t>
        </is>
      </c>
      <c r="Q105" s="15" t="inlineStr">
        <is>
          <t>BAAY PROJECTS CLIENTS &gt; GREEN CITY PHASE 3, OMU EPE + Foreshore financials sheet</t>
        </is>
      </c>
      <c r="R105" s="15" t="n">
        <v>8</v>
      </c>
      <c r="S105" s="15" t="inlineStr">
        <is>
          <t>23/07/2024</t>
        </is>
      </c>
      <c r="T105" s="15" t="inlineStr">
        <is>
          <t>Subscription date in source looks mistyped (05/08/0204); left blank</t>
        </is>
      </c>
    </row>
    <row r="106">
      <c r="A106" s="15" t="inlineStr">
        <is>
          <t>SB0102</t>
        </is>
      </c>
      <c r="B106" s="15" t="inlineStr">
        <is>
          <t>BP-C0026</t>
        </is>
      </c>
      <c r="C106" s="15" t="inlineStr">
        <is>
          <t>Mr &amp; Mrs Adebayo Dada</t>
        </is>
      </c>
      <c r="D106" s="15" t="inlineStr">
        <is>
          <t>Land</t>
        </is>
      </c>
      <c r="E106" s="15" t="inlineStr">
        <is>
          <t>Green City Phase 3 (Omu-Epe)</t>
        </is>
      </c>
      <c r="F106" s="15" t="inlineStr">
        <is>
          <t>250SQM</t>
        </is>
      </c>
      <c r="G106" s="16" t="n">
        <v>45506</v>
      </c>
      <c r="H106" s="15">
        <f>IF(G106="","",YEAR(G106))</f>
        <v/>
      </c>
      <c r="I106" s="17" t="n">
        <v>2000000</v>
      </c>
      <c r="J106" s="17" t="n">
        <v>2000000</v>
      </c>
      <c r="K106" s="17">
        <f>IF(OR(I106="",J106=""),"",I106-J106)</f>
        <v/>
      </c>
      <c r="L106" s="15" t="inlineStr">
        <is>
          <t>3 months</t>
        </is>
      </c>
      <c r="M106" s="15" t="inlineStr">
        <is>
          <t>Bought</t>
        </is>
      </c>
      <c r="N106" s="15" t="inlineStr">
        <is>
          <t>BLOCK D, PLOT 1</t>
        </is>
      </c>
      <c r="O106" s="15" t="inlineStr">
        <is>
          <t>Deed collected by client</t>
        </is>
      </c>
      <c r="P106" s="15" t="inlineStr">
        <is>
          <t>Mrs Abimbola</t>
        </is>
      </c>
      <c r="Q106" s="15" t="inlineStr">
        <is>
          <t>BAAY PROJECTS CLIENTS &gt; GREEN CITY PHASE 3, OMU EPE</t>
        </is>
      </c>
      <c r="R106" s="15" t="n">
        <v>7</v>
      </c>
      <c r="S106" s="15" t="inlineStr">
        <is>
          <t>2024-02-08</t>
        </is>
      </c>
      <c r="T106" s="15" t="n"/>
    </row>
    <row r="107">
      <c r="A107" s="15" t="inlineStr">
        <is>
          <t>SB0103</t>
        </is>
      </c>
      <c r="B107" s="15" t="inlineStr">
        <is>
          <t>BP-C0111</t>
        </is>
      </c>
      <c r="C107" s="15" t="inlineStr">
        <is>
          <t>Mr Adenuga Lukman Ebenezer</t>
        </is>
      </c>
      <c r="D107" s="15" t="inlineStr">
        <is>
          <t>Land</t>
        </is>
      </c>
      <c r="E107" s="15" t="inlineStr">
        <is>
          <t>Green City Phase 3 (Omu-Epe)</t>
        </is>
      </c>
      <c r="F107" s="15" t="inlineStr">
        <is>
          <t>250SQM</t>
        </is>
      </c>
      <c r="G107" s="16" t="n">
        <v>45506</v>
      </c>
      <c r="H107" s="15">
        <f>IF(G107="","",YEAR(G107))</f>
        <v/>
      </c>
      <c r="I107" s="17" t="n">
        <v>1860000</v>
      </c>
      <c r="J107" s="17" t="n">
        <v>1860000</v>
      </c>
      <c r="K107" s="17">
        <f>IF(OR(I107="",J107=""),"",I107-J107)</f>
        <v/>
      </c>
      <c r="L107" s="15" t="inlineStr">
        <is>
          <t>3 months</t>
        </is>
      </c>
      <c r="M107" s="15" t="inlineStr">
        <is>
          <t>Bought</t>
        </is>
      </c>
      <c r="N107" s="15" t="inlineStr">
        <is>
          <t>BLOCK D, PLOT 5</t>
        </is>
      </c>
      <c r="O107" s="15" t="inlineStr">
        <is>
          <t>Deed collected by client</t>
        </is>
      </c>
      <c r="P107" s="15" t="inlineStr">
        <is>
          <t>Ms Adenike</t>
        </is>
      </c>
      <c r="Q107" s="15" t="inlineStr">
        <is>
          <t>BAAY PROJECTS CLIENTS &gt; GREEN CITY PHASE 3, OMU EPE</t>
        </is>
      </c>
      <c r="R107" s="15" t="n">
        <v>6</v>
      </c>
      <c r="S107" s="15" t="inlineStr">
        <is>
          <t>2024-02-08</t>
        </is>
      </c>
      <c r="T107" s="15" t="n"/>
    </row>
    <row r="108">
      <c r="A108" s="15" t="inlineStr">
        <is>
          <t>SB0104</t>
        </is>
      </c>
      <c r="B108" s="15" t="inlineStr">
        <is>
          <t>BP-C0037</t>
        </is>
      </c>
      <c r="C108" s="15" t="inlineStr">
        <is>
          <t>Miss Okezie Mandy Ifeoma</t>
        </is>
      </c>
      <c r="D108" s="15" t="inlineStr">
        <is>
          <t>Land</t>
        </is>
      </c>
      <c r="E108" s="15" t="inlineStr">
        <is>
          <t>Green City Phase 3 (Omu-Epe)</t>
        </is>
      </c>
      <c r="F108" s="15" t="inlineStr">
        <is>
          <t>250Sqm</t>
        </is>
      </c>
      <c r="G108" s="16" t="n">
        <v>45508</v>
      </c>
      <c r="H108" s="15">
        <f>IF(G108="","",YEAR(G108))</f>
        <v/>
      </c>
      <c r="I108" s="17" t="n">
        <v>1860000</v>
      </c>
      <c r="J108" s="17" t="n">
        <v>1860000</v>
      </c>
      <c r="K108" s="17">
        <f>IF(OR(I108="",J108=""),"",I108-J108)</f>
        <v/>
      </c>
      <c r="L108" s="15" t="inlineStr">
        <is>
          <t>3 months</t>
        </is>
      </c>
      <c r="M108" s="15" t="inlineStr">
        <is>
          <t>Bought</t>
        </is>
      </c>
      <c r="N108" s="15" t="inlineStr">
        <is>
          <t>BLOCK D, PLOT 2</t>
        </is>
      </c>
      <c r="O108" s="15" t="inlineStr">
        <is>
          <t>Deed collected by client</t>
        </is>
      </c>
      <c r="P108" s="15" t="inlineStr">
        <is>
          <t>Ms Celina</t>
        </is>
      </c>
      <c r="Q108" s="15" t="inlineStr">
        <is>
          <t>BAAY PROJECTS CLIENTS &gt; GREEN CITY PHASE 3, OMU EPE</t>
        </is>
      </c>
      <c r="R108" s="15" t="n">
        <v>5</v>
      </c>
      <c r="S108" s="15" t="inlineStr">
        <is>
          <t>2024-04-08</t>
        </is>
      </c>
      <c r="T108" s="15" t="n"/>
    </row>
    <row r="109">
      <c r="A109" s="15" t="inlineStr">
        <is>
          <t>SB0105</t>
        </is>
      </c>
      <c r="B109" s="15" t="inlineStr">
        <is>
          <t>BP-C0066</t>
        </is>
      </c>
      <c r="C109" s="15" t="inlineStr">
        <is>
          <t>Miss Omosanya Dotun Akeju</t>
        </is>
      </c>
      <c r="D109" s="15" t="inlineStr">
        <is>
          <t>Land</t>
        </is>
      </c>
      <c r="E109" s="15" t="inlineStr">
        <is>
          <t>Green City Phase 3 (Omu-Epe)</t>
        </is>
      </c>
      <c r="F109" s="15" t="inlineStr">
        <is>
          <t>500SQM</t>
        </is>
      </c>
      <c r="G109" s="16" t="n">
        <v>45509</v>
      </c>
      <c r="H109" s="15">
        <f>IF(G109="","",YEAR(G109))</f>
        <v/>
      </c>
      <c r="I109" s="17" t="n">
        <v>3800000</v>
      </c>
      <c r="J109" s="17" t="n">
        <v>3800000</v>
      </c>
      <c r="K109" s="17">
        <f>IF(OR(I109="",J109=""),"",I109-J109)</f>
        <v/>
      </c>
      <c r="L109" s="15" t="inlineStr">
        <is>
          <t>3 months</t>
        </is>
      </c>
      <c r="M109" s="15" t="inlineStr">
        <is>
          <t>Bought</t>
        </is>
      </c>
      <c r="N109" s="15" t="inlineStr">
        <is>
          <t>BLOCK G, PLOT 11</t>
        </is>
      </c>
      <c r="O109" s="15" t="inlineStr">
        <is>
          <t>Contract of Sales signed.</t>
        </is>
      </c>
      <c r="P109" s="15" t="inlineStr">
        <is>
          <t>Ms Bola</t>
        </is>
      </c>
      <c r="Q109" s="15" t="inlineStr">
        <is>
          <t>BAAY PROJECTS CLIENTS &gt; GREEN CITY PHASE 3, OMU EPE + Foreshore financials sheet</t>
        </is>
      </c>
      <c r="R109" s="15" t="n">
        <v>29</v>
      </c>
      <c r="S109" s="15" t="inlineStr">
        <is>
          <t>2024-05-08</t>
        </is>
      </c>
      <c r="T109" s="15" t="n"/>
    </row>
    <row r="110">
      <c r="A110" s="15" t="inlineStr">
        <is>
          <t>SB0106</t>
        </is>
      </c>
      <c r="B110" s="15" t="inlineStr">
        <is>
          <t>BP-C0112</t>
        </is>
      </c>
      <c r="C110" s="15" t="inlineStr">
        <is>
          <t>Mr Lawson Albert Olumide</t>
        </is>
      </c>
      <c r="D110" s="15" t="inlineStr">
        <is>
          <t>Housing</t>
        </is>
      </c>
      <c r="E110" s="15" t="inlineStr">
        <is>
          <t>Pacific Court</t>
        </is>
      </c>
      <c r="F110" s="15" t="inlineStr">
        <is>
          <t>Semi Detached 3 Bedroom with BQ Carcass | units: 1.0</t>
        </is>
      </c>
      <c r="G110" s="16" t="n">
        <v>45512</v>
      </c>
      <c r="H110" s="15">
        <f>IF(G110="","",YEAR(G110))</f>
        <v/>
      </c>
      <c r="I110" s="17" t="n">
        <v>55000000</v>
      </c>
      <c r="J110" s="17" t="n"/>
      <c r="K110" s="17">
        <f>IF(OR(I110="",J110=""),"",I110-J110)</f>
        <v/>
      </c>
      <c r="L110" s="15" t="inlineStr">
        <is>
          <t>12 days</t>
        </is>
      </c>
      <c r="M110" s="15" t="inlineStr">
        <is>
          <t>PAID</t>
        </is>
      </c>
      <c r="N110" s="15" t="n"/>
      <c r="O110" s="15" t="n"/>
      <c r="P110" s="15" t="inlineStr">
        <is>
          <t>Mr Ayo</t>
        </is>
      </c>
      <c r="Q110" s="15" t="inlineStr">
        <is>
          <t>BAAY PROJECTS CLIENTS &gt; PACIFIC COURT INVESTORS LIST</t>
        </is>
      </c>
      <c r="R110" s="15" t="n">
        <v>11</v>
      </c>
      <c r="S110" s="15" t="inlineStr">
        <is>
          <t>2024-08-08</t>
        </is>
      </c>
      <c r="T110" s="15" t="n"/>
    </row>
    <row r="111">
      <c r="A111" s="15" t="inlineStr">
        <is>
          <t>SB0107</t>
        </is>
      </c>
      <c r="B111" s="15" t="inlineStr">
        <is>
          <t>BP-C0019</t>
        </is>
      </c>
      <c r="C111" s="15" t="inlineStr">
        <is>
          <t>Mr Ogbu Pius Ejaka</t>
        </is>
      </c>
      <c r="D111" s="15" t="inlineStr">
        <is>
          <t>Land</t>
        </is>
      </c>
      <c r="E111" s="15" t="inlineStr">
        <is>
          <t>Green City Phase 3 (Omu-Epe)</t>
        </is>
      </c>
      <c r="F111" s="15" t="inlineStr">
        <is>
          <t>500SQM</t>
        </is>
      </c>
      <c r="G111" s="16" t="n">
        <v>45516</v>
      </c>
      <c r="H111" s="15">
        <f>IF(G111="","",YEAR(G111))</f>
        <v/>
      </c>
      <c r="I111" s="17" t="n">
        <v>3510000</v>
      </c>
      <c r="J111" s="17" t="n">
        <v>3510000</v>
      </c>
      <c r="K111" s="17">
        <f>IF(OR(I111="",J111=""),"",I111-J111)</f>
        <v/>
      </c>
      <c r="L111" s="15" t="inlineStr">
        <is>
          <t>3 months</t>
        </is>
      </c>
      <c r="M111" s="15" t="inlineStr">
        <is>
          <t>Bought</t>
        </is>
      </c>
      <c r="N111" s="15" t="inlineStr">
        <is>
          <t>BLOCK B, PLOT 3</t>
        </is>
      </c>
      <c r="O111" s="15" t="inlineStr">
        <is>
          <t>Deed collected by client</t>
        </is>
      </c>
      <c r="P111" s="15" t="inlineStr">
        <is>
          <t>Ms Anointing</t>
        </is>
      </c>
      <c r="Q111" s="15" t="inlineStr">
        <is>
          <t>BAAY PROJECTS CLIENTS &gt; GREEN CITY PHASE 3, OMU EPE + Foreshore financials sheet</t>
        </is>
      </c>
      <c r="R111" s="15" t="n">
        <v>34</v>
      </c>
      <c r="S111" s="15" t="inlineStr">
        <is>
          <t>2024-12-08</t>
        </is>
      </c>
      <c r="T111" s="15" t="n"/>
    </row>
    <row r="112">
      <c r="A112" s="15" t="inlineStr">
        <is>
          <t>SB0108</t>
        </is>
      </c>
      <c r="B112" s="15" t="inlineStr">
        <is>
          <t>BP-C0113</t>
        </is>
      </c>
      <c r="C112" s="15" t="inlineStr">
        <is>
          <t>Mr Udoezi Paul</t>
        </is>
      </c>
      <c r="D112" s="15" t="inlineStr">
        <is>
          <t>Land</t>
        </is>
      </c>
      <c r="E112" s="15" t="inlineStr">
        <is>
          <t>Green City Phase 3 (Omu-Epe)</t>
        </is>
      </c>
      <c r="F112" s="15" t="inlineStr">
        <is>
          <t>500SQM</t>
        </is>
      </c>
      <c r="G112" s="16" t="n">
        <v>45516</v>
      </c>
      <c r="H112" s="15">
        <f>IF(G112="","",YEAR(G112))</f>
        <v/>
      </c>
      <c r="I112" s="17" t="n">
        <v>3800000</v>
      </c>
      <c r="J112" s="17" t="n">
        <v>500000</v>
      </c>
      <c r="K112" s="17">
        <f>IF(OR(I112="",J112=""),"",I112-J112)</f>
        <v/>
      </c>
      <c r="L112" s="15" t="inlineStr">
        <is>
          <t>3 months</t>
        </is>
      </c>
      <c r="M112" s="15" t="inlineStr">
        <is>
          <t>Paying</t>
        </is>
      </c>
      <c r="N112" s="15" t="inlineStr">
        <is>
          <t>BLOCK G, PLOT 4</t>
        </is>
      </c>
      <c r="O112" s="15" t="inlineStr">
        <is>
          <t>Not Yet Processed</t>
        </is>
      </c>
      <c r="P112" s="15" t="inlineStr">
        <is>
          <t>Ms Blessing</t>
        </is>
      </c>
      <c r="Q112" s="15" t="inlineStr">
        <is>
          <t>BAAY PROJECTS CLIENTS &gt; GREEN CITY PHASE 3, OMU EPE</t>
        </is>
      </c>
      <c r="R112" s="15" t="n">
        <v>15</v>
      </c>
      <c r="S112" s="15" t="inlineStr">
        <is>
          <t>2024-12-08</t>
        </is>
      </c>
      <c r="T112" s="15" t="n"/>
    </row>
    <row r="113">
      <c r="A113" s="15" t="inlineStr">
        <is>
          <t>SB0109</t>
        </is>
      </c>
      <c r="B113" s="15" t="inlineStr">
        <is>
          <t>BP-C0114</t>
        </is>
      </c>
      <c r="C113" s="15" t="inlineStr">
        <is>
          <t>Miss Ohaego Ijeoma Goodness</t>
        </is>
      </c>
      <c r="D113" s="15" t="inlineStr">
        <is>
          <t>Land</t>
        </is>
      </c>
      <c r="E113" s="15" t="inlineStr">
        <is>
          <t>Green City Phase 3 (Omu-Epe)</t>
        </is>
      </c>
      <c r="F113" s="15" t="inlineStr">
        <is>
          <t>500SQM</t>
        </is>
      </c>
      <c r="G113" s="16" t="n">
        <v>45520</v>
      </c>
      <c r="H113" s="15">
        <f>IF(G113="","",YEAR(G113))</f>
        <v/>
      </c>
      <c r="I113" s="17" t="n">
        <v>3800000</v>
      </c>
      <c r="J113" s="17" t="n">
        <v>3800000</v>
      </c>
      <c r="K113" s="17">
        <f>IF(OR(I113="",J113=""),"",I113-J113)</f>
        <v/>
      </c>
      <c r="L113" s="15" t="inlineStr">
        <is>
          <t>3 months</t>
        </is>
      </c>
      <c r="M113" s="15" t="inlineStr">
        <is>
          <t>Bought</t>
        </is>
      </c>
      <c r="N113" s="15" t="inlineStr">
        <is>
          <t>BLOCK G, PLOT 5</t>
        </is>
      </c>
      <c r="O113" s="15" t="inlineStr">
        <is>
          <t>Deed Collected by client's rep</t>
        </is>
      </c>
      <c r="P113" s="15" t="inlineStr">
        <is>
          <t>Ms Oji Blessing</t>
        </is>
      </c>
      <c r="Q113" s="15" t="inlineStr">
        <is>
          <t>BAAY PROJECTS CLIENTS &gt; GREEN CITY PHASE 3, OMU EPE</t>
        </is>
      </c>
      <c r="R113" s="15" t="n">
        <v>13</v>
      </c>
      <c r="S113" s="15" t="inlineStr">
        <is>
          <t>16/08/2024</t>
        </is>
      </c>
      <c r="T113" s="15" t="n"/>
    </row>
    <row r="114">
      <c r="A114" s="15" t="inlineStr">
        <is>
          <t>SB0110</t>
        </is>
      </c>
      <c r="B114" s="15" t="inlineStr">
        <is>
          <t>BP-C0115</t>
        </is>
      </c>
      <c r="C114" s="15" t="inlineStr">
        <is>
          <t>Mrs King Lavonda (LAVONDA RENA KING FAMILY &amp; TOCHUWKU CHRISTIAN EJIOFOR</t>
        </is>
      </c>
      <c r="D114" s="15" t="inlineStr">
        <is>
          <t>Land</t>
        </is>
      </c>
      <c r="E114" s="15" t="inlineStr">
        <is>
          <t>Green City Phase 3 (Omu-Epe)</t>
        </is>
      </c>
      <c r="F114" s="15" t="inlineStr">
        <is>
          <t>500SQM</t>
        </is>
      </c>
      <c r="G114" s="16" t="n">
        <v>45521</v>
      </c>
      <c r="H114" s="15">
        <f>IF(G114="","",YEAR(G114))</f>
        <v/>
      </c>
      <c r="I114" s="17" t="n">
        <v>3800000</v>
      </c>
      <c r="J114" s="17" t="n">
        <v>3800000</v>
      </c>
      <c r="K114" s="17">
        <f>IF(OR(I114="",J114=""),"",I114-J114)</f>
        <v/>
      </c>
      <c r="L114" s="15" t="inlineStr">
        <is>
          <t>3 months</t>
        </is>
      </c>
      <c r="M114" s="15" t="inlineStr">
        <is>
          <t>Bought</t>
        </is>
      </c>
      <c r="N114" s="15" t="inlineStr">
        <is>
          <t>BLOCK F, PLOT 3</t>
        </is>
      </c>
      <c r="O114" s="15" t="inlineStr">
        <is>
          <t>Deed Collected by client's rep</t>
        </is>
      </c>
      <c r="P114" s="15" t="inlineStr">
        <is>
          <t>Mrs Abimbola</t>
        </is>
      </c>
      <c r="Q114" s="15" t="inlineStr">
        <is>
          <t>BAAY PROJECTS CLIENTS &gt; GREEN CITY PHASE 3, OMU EPE</t>
        </is>
      </c>
      <c r="R114" s="15" t="n">
        <v>12</v>
      </c>
      <c r="S114" s="15" t="inlineStr">
        <is>
          <t>17/08/2024</t>
        </is>
      </c>
      <c r="T114" s="15" t="n"/>
    </row>
    <row r="115">
      <c r="A115" s="15" t="inlineStr">
        <is>
          <t>SB0111</t>
        </is>
      </c>
      <c r="B115" s="15" t="inlineStr">
        <is>
          <t>BP-C0116</t>
        </is>
      </c>
      <c r="C115" s="15" t="inlineStr">
        <is>
          <t>Miss Okorie Rachael Mmesomachi</t>
        </is>
      </c>
      <c r="D115" s="15" t="inlineStr">
        <is>
          <t>Land</t>
        </is>
      </c>
      <c r="E115" s="15" t="inlineStr">
        <is>
          <t>Green City Phase 3 (Omu-Epe)</t>
        </is>
      </c>
      <c r="F115" s="15" t="inlineStr">
        <is>
          <t>500SQM</t>
        </is>
      </c>
      <c r="G115" s="16" t="n">
        <v>45522</v>
      </c>
      <c r="H115" s="15">
        <f>IF(G115="","",YEAR(G115))</f>
        <v/>
      </c>
      <c r="I115" s="17" t="n">
        <v>3800000</v>
      </c>
      <c r="J115" s="17" t="n">
        <v>3800000</v>
      </c>
      <c r="K115" s="17">
        <f>IF(OR(I115="",J115=""),"",I115-J115)</f>
        <v/>
      </c>
      <c r="L115" s="15" t="inlineStr">
        <is>
          <t>3 months</t>
        </is>
      </c>
      <c r="M115" s="15" t="inlineStr">
        <is>
          <t>Bought</t>
        </is>
      </c>
      <c r="N115" s="15" t="inlineStr">
        <is>
          <t>BLOCK F, PLOT 5</t>
        </is>
      </c>
      <c r="O115" s="15" t="inlineStr">
        <is>
          <t>Deed collected by client's rep</t>
        </is>
      </c>
      <c r="P115" s="15" t="inlineStr">
        <is>
          <t>Ms Oji Blessing</t>
        </is>
      </c>
      <c r="Q115" s="15" t="inlineStr">
        <is>
          <t>BAAY PROJECTS CLIENTS &gt; GREEN CITY PHASE 3, OMU EPE</t>
        </is>
      </c>
      <c r="R115" s="15" t="n">
        <v>14</v>
      </c>
      <c r="S115" s="15" t="inlineStr">
        <is>
          <t>18/08/2024</t>
        </is>
      </c>
      <c r="T115" s="15" t="n"/>
    </row>
    <row r="116">
      <c r="A116" s="15" t="inlineStr">
        <is>
          <t>SB0112</t>
        </is>
      </c>
      <c r="B116" s="15" t="inlineStr">
        <is>
          <t>BP-C0060</t>
        </is>
      </c>
      <c r="C116" s="15" t="inlineStr">
        <is>
          <t>Ms Mitchell Jennifer</t>
        </is>
      </c>
      <c r="D116" s="15" t="inlineStr">
        <is>
          <t>Land</t>
        </is>
      </c>
      <c r="E116" s="15" t="inlineStr">
        <is>
          <t>Heritage Garden</t>
        </is>
      </c>
      <c r="F116" s="15" t="inlineStr">
        <is>
          <t>250sqm</t>
        </is>
      </c>
      <c r="G116" s="16" t="n">
        <v>45526</v>
      </c>
      <c r="H116" s="15">
        <f>IF(G116="","",YEAR(G116))</f>
        <v/>
      </c>
      <c r="I116" s="17" t="n">
        <v>608060</v>
      </c>
      <c r="J116" s="17" t="n">
        <v>608060</v>
      </c>
      <c r="K116" s="17">
        <f>IF(OR(I116="",J116=""),"",I116-J116)</f>
        <v/>
      </c>
      <c r="L116" s="15" t="inlineStr">
        <is>
          <t>3 months</t>
        </is>
      </c>
      <c r="M116" s="15" t="inlineStr">
        <is>
          <t>Bought</t>
        </is>
      </c>
      <c r="N116" s="15" t="inlineStr">
        <is>
          <t>BLOCK C, PLOT 9</t>
        </is>
      </c>
      <c r="O116" s="15" t="inlineStr">
        <is>
          <t>Contract of Sales Signed</t>
        </is>
      </c>
      <c r="P116" s="15" t="inlineStr">
        <is>
          <t>Ms Celina</t>
        </is>
      </c>
      <c r="Q116" s="15" t="inlineStr">
        <is>
          <t>BAAY PROJECTS CLIENTS &gt; HERITAGE GARDEN</t>
        </is>
      </c>
      <c r="R116" s="15" t="n">
        <v>3</v>
      </c>
      <c r="S116" s="15" t="inlineStr">
        <is>
          <t>22/08/2024</t>
        </is>
      </c>
      <c r="T116" s="15" t="n"/>
    </row>
    <row r="117">
      <c r="A117" s="15" t="inlineStr">
        <is>
          <t>SB0113</t>
        </is>
      </c>
      <c r="B117" s="15" t="inlineStr">
        <is>
          <t>BP-C0118</t>
        </is>
      </c>
      <c r="C117" s="15" t="inlineStr">
        <is>
          <t>Pastor Ikechukwu Kingsley &amp; Deaconess Ikechukwu Rose Uju</t>
        </is>
      </c>
      <c r="D117" s="15" t="inlineStr">
        <is>
          <t>Land</t>
        </is>
      </c>
      <c r="E117" s="15" t="inlineStr">
        <is>
          <t>Green City Phase 3 (Omu-Epe)</t>
        </is>
      </c>
      <c r="F117" s="15" t="inlineStr">
        <is>
          <t>500SQM</t>
        </is>
      </c>
      <c r="G117" s="16" t="n">
        <v>45527</v>
      </c>
      <c r="H117" s="15">
        <f>IF(G117="","",YEAR(G117))</f>
        <v/>
      </c>
      <c r="I117" s="17" t="n">
        <v>3800000</v>
      </c>
      <c r="J117" s="17" t="n">
        <v>3800000</v>
      </c>
      <c r="K117" s="17">
        <f>IF(OR(I117="",J117=""),"",I117-J117)</f>
        <v/>
      </c>
      <c r="L117" s="15" t="inlineStr">
        <is>
          <t>3 months</t>
        </is>
      </c>
      <c r="M117" s="15" t="inlineStr">
        <is>
          <t>Bought</t>
        </is>
      </c>
      <c r="N117" s="15" t="inlineStr">
        <is>
          <t>BLOCK E, PLOT 2</t>
        </is>
      </c>
      <c r="O117" s="15" t="inlineStr">
        <is>
          <t>Deed collected by client</t>
        </is>
      </c>
      <c r="P117" s="15" t="inlineStr">
        <is>
          <t>Ms Adenike</t>
        </is>
      </c>
      <c r="Q117" s="15" t="inlineStr">
        <is>
          <t>BAAY PROJECTS CLIENTS &gt; GREEN CITY PHASE 3, OMU EPE</t>
        </is>
      </c>
      <c r="R117" s="15" t="n">
        <v>16</v>
      </c>
      <c r="S117" s="15" t="inlineStr">
        <is>
          <t>23/08/2024</t>
        </is>
      </c>
      <c r="T117" s="15" t="n"/>
    </row>
    <row r="118">
      <c r="A118" s="15" t="inlineStr">
        <is>
          <t>SB0114</t>
        </is>
      </c>
      <c r="B118" s="15" t="inlineStr">
        <is>
          <t>BP-C0119</t>
        </is>
      </c>
      <c r="C118" s="15" t="inlineStr">
        <is>
          <t>Mr Adedapo Adekunle Solomon</t>
        </is>
      </c>
      <c r="D118" s="15" t="inlineStr">
        <is>
          <t>Land</t>
        </is>
      </c>
      <c r="E118" s="15" t="inlineStr">
        <is>
          <t>Green City Phase 3 (Omu-Epe)</t>
        </is>
      </c>
      <c r="F118" s="15" t="inlineStr">
        <is>
          <t>500SQM</t>
        </is>
      </c>
      <c r="G118" s="16" t="n">
        <v>45532</v>
      </c>
      <c r="H118" s="15">
        <f>IF(G118="","",YEAR(G118))</f>
        <v/>
      </c>
      <c r="I118" s="17" t="n">
        <v>5000000</v>
      </c>
      <c r="J118" s="17" t="n">
        <v>5000000</v>
      </c>
      <c r="K118" s="17">
        <f>IF(OR(I118="",J118=""),"",I118-J118)</f>
        <v/>
      </c>
      <c r="L118" s="15" t="inlineStr">
        <is>
          <t>3 months</t>
        </is>
      </c>
      <c r="M118" s="15" t="inlineStr">
        <is>
          <t>Bought</t>
        </is>
      </c>
      <c r="N118" s="15" t="inlineStr">
        <is>
          <t>BLOCK E, PLOT 3</t>
        </is>
      </c>
      <c r="O118" s="15" t="inlineStr">
        <is>
          <t>Deed dispatched to client, Signed out by rep</t>
        </is>
      </c>
      <c r="P118" s="15" t="inlineStr">
        <is>
          <t>Ms Taiwo</t>
        </is>
      </c>
      <c r="Q118" s="15" t="inlineStr">
        <is>
          <t>BAAY PROJECTS CLIENTS &gt; GREEN CITY PHASE 3, OMU EPE</t>
        </is>
      </c>
      <c r="R118" s="15" t="n">
        <v>17</v>
      </c>
      <c r="S118" s="15" t="inlineStr">
        <is>
          <t>28/08/2024</t>
        </is>
      </c>
      <c r="T118" s="15" t="n"/>
    </row>
    <row r="119">
      <c r="A119" s="15" t="inlineStr">
        <is>
          <t>SB0115</t>
        </is>
      </c>
      <c r="B119" s="15" t="inlineStr">
        <is>
          <t>BP-C0121</t>
        </is>
      </c>
      <c r="C119" s="15" t="inlineStr">
        <is>
          <t>Mr Nweze Valentine Oluebube</t>
        </is>
      </c>
      <c r="D119" s="15" t="inlineStr">
        <is>
          <t>Land</t>
        </is>
      </c>
      <c r="E119" s="15" t="inlineStr">
        <is>
          <t>Green City Phase 3 (Omu-Epe)</t>
        </is>
      </c>
      <c r="F119" s="15" t="inlineStr">
        <is>
          <t>500SQM</t>
        </is>
      </c>
      <c r="G119" s="16" t="n">
        <v>45544</v>
      </c>
      <c r="H119" s="15">
        <f>IF(G119="","",YEAR(G119))</f>
        <v/>
      </c>
      <c r="I119" s="17" t="n">
        <v>5000000</v>
      </c>
      <c r="J119" s="17" t="n">
        <v>5000000</v>
      </c>
      <c r="K119" s="17">
        <f>IF(OR(I119="",J119=""),"",I119-J119)</f>
        <v/>
      </c>
      <c r="L119" s="15" t="inlineStr">
        <is>
          <t>3 months</t>
        </is>
      </c>
      <c r="M119" s="15" t="inlineStr">
        <is>
          <t>Bought</t>
        </is>
      </c>
      <c r="N119" s="15" t="inlineStr">
        <is>
          <t>BLOCK F, PLOT 4</t>
        </is>
      </c>
      <c r="O119" s="15" t="inlineStr">
        <is>
          <t>Deed collected by client</t>
        </is>
      </c>
      <c r="P119" s="15" t="inlineStr">
        <is>
          <t>Ms Bolanle</t>
        </is>
      </c>
      <c r="Q119" s="15" t="inlineStr">
        <is>
          <t>BAAY PROJECTS CLIENTS &gt; GREEN CITY PHASE 3, OMU EPE</t>
        </is>
      </c>
      <c r="R119" s="15" t="n">
        <v>19</v>
      </c>
      <c r="S119" s="15" t="inlineStr">
        <is>
          <t>2024-09-09</t>
        </is>
      </c>
      <c r="T119" s="15" t="n"/>
    </row>
    <row r="120">
      <c r="A120" s="15" t="inlineStr">
        <is>
          <t>SB0116</t>
        </is>
      </c>
      <c r="B120" s="15" t="inlineStr">
        <is>
          <t>BP-C0122</t>
        </is>
      </c>
      <c r="C120" s="15" t="inlineStr">
        <is>
          <t>Mr Olusegun Dare Micheal</t>
        </is>
      </c>
      <c r="D120" s="15" t="inlineStr">
        <is>
          <t>Land</t>
        </is>
      </c>
      <c r="E120" s="15" t="inlineStr">
        <is>
          <t>Green City Phase 3 (Omu-Epe)</t>
        </is>
      </c>
      <c r="F120" s="15" t="inlineStr">
        <is>
          <t>500SQM</t>
        </is>
      </c>
      <c r="G120" s="16" t="n">
        <v>45544</v>
      </c>
      <c r="H120" s="15">
        <f>IF(G120="","",YEAR(G120))</f>
        <v/>
      </c>
      <c r="I120" s="17" t="n">
        <v>4500000</v>
      </c>
      <c r="J120" s="17" t="n">
        <v>4500000</v>
      </c>
      <c r="K120" s="17">
        <f>IF(OR(I120="",J120=""),"",I120-J120)</f>
        <v/>
      </c>
      <c r="L120" s="15" t="inlineStr">
        <is>
          <t>3 months</t>
        </is>
      </c>
      <c r="M120" s="15" t="inlineStr">
        <is>
          <t>Bought</t>
        </is>
      </c>
      <c r="N120" s="15" t="inlineStr">
        <is>
          <t>BLOCK F, PLOT 6</t>
        </is>
      </c>
      <c r="O120" s="15" t="inlineStr">
        <is>
          <t>Deed collected by client's rep</t>
        </is>
      </c>
      <c r="P120" s="15" t="inlineStr">
        <is>
          <t>Ms Bolanle</t>
        </is>
      </c>
      <c r="Q120" s="15" t="inlineStr">
        <is>
          <t>BAAY PROJECTS CLIENTS &gt; GREEN CITY PHASE 3, OMU EPE</t>
        </is>
      </c>
      <c r="R120" s="15" t="n">
        <v>18</v>
      </c>
      <c r="S120" s="15" t="inlineStr">
        <is>
          <t>2024-09-09</t>
        </is>
      </c>
      <c r="T120" s="15" t="n"/>
    </row>
    <row r="121">
      <c r="A121" s="15" t="inlineStr">
        <is>
          <t>SB0117</t>
        </is>
      </c>
      <c r="B121" s="15" t="inlineStr">
        <is>
          <t>BP-C0123</t>
        </is>
      </c>
      <c r="C121" s="15" t="inlineStr">
        <is>
          <t>Mr Olaogun Samuel Oriyomi</t>
        </is>
      </c>
      <c r="D121" s="15" t="inlineStr">
        <is>
          <t>Land</t>
        </is>
      </c>
      <c r="E121" s="15" t="inlineStr">
        <is>
          <t>Green City Phase 3 (Omu-Epe)</t>
        </is>
      </c>
      <c r="F121" s="15" t="inlineStr">
        <is>
          <t>250SQM</t>
        </is>
      </c>
      <c r="G121" s="16" t="n">
        <v>45548</v>
      </c>
      <c r="H121" s="15">
        <f>IF(G121="","",YEAR(G121))</f>
        <v/>
      </c>
      <c r="I121" s="17" t="n">
        <v>2600000</v>
      </c>
      <c r="J121" s="17" t="n">
        <v>2600000</v>
      </c>
      <c r="K121" s="17">
        <f>IF(OR(I121="",J121=""),"",I121-J121)</f>
        <v/>
      </c>
      <c r="L121" s="15" t="inlineStr">
        <is>
          <t>3 months</t>
        </is>
      </c>
      <c r="M121" s="15" t="inlineStr">
        <is>
          <t>Bought</t>
        </is>
      </c>
      <c r="N121" s="15" t="inlineStr">
        <is>
          <t>BLOCK D, PLOT 7</t>
        </is>
      </c>
      <c r="O121" s="15" t="inlineStr">
        <is>
          <t>Deed collected by client</t>
        </is>
      </c>
      <c r="P121" s="15" t="inlineStr">
        <is>
          <t>Mr Rapheal</t>
        </is>
      </c>
      <c r="Q121" s="15" t="inlineStr">
        <is>
          <t>BAAY PROJECTS CLIENTS &gt; GREEN CITY PHASE 3, OMU EPE</t>
        </is>
      </c>
      <c r="R121" s="15" t="n">
        <v>20</v>
      </c>
      <c r="S121" s="15" t="inlineStr">
        <is>
          <t>13/09/2024</t>
        </is>
      </c>
      <c r="T121" s="15" t="n"/>
    </row>
    <row r="122">
      <c r="A122" s="15" t="inlineStr">
        <is>
          <t>SB0118</t>
        </is>
      </c>
      <c r="B122" s="15" t="inlineStr">
        <is>
          <t>BP-C0125</t>
        </is>
      </c>
      <c r="C122" s="15" t="inlineStr">
        <is>
          <t>Mrs Adelaja-Idowu Mosebolatan Tomilayo &amp; Mr Tse Mike Terzungwe</t>
        </is>
      </c>
      <c r="D122" s="15" t="inlineStr">
        <is>
          <t>Land</t>
        </is>
      </c>
      <c r="E122" s="15" t="inlineStr">
        <is>
          <t>Green City Phase 2 (Ketu-Epe)</t>
        </is>
      </c>
      <c r="F122" s="15" t="inlineStr">
        <is>
          <t>1000Sqm</t>
        </is>
      </c>
      <c r="G122" s="16" t="n">
        <v>45552</v>
      </c>
      <c r="H122" s="15">
        <f>IF(G122="","",YEAR(G122))</f>
        <v/>
      </c>
      <c r="I122" s="17" t="n">
        <v>12800000</v>
      </c>
      <c r="J122" s="17" t="n">
        <v>12800000</v>
      </c>
      <c r="K122" s="17">
        <f>IF(OR(I122="",J122=""),"",I122-J122)</f>
        <v/>
      </c>
      <c r="L122" s="15" t="inlineStr">
        <is>
          <t>3 months</t>
        </is>
      </c>
      <c r="M122" s="15" t="inlineStr">
        <is>
          <t>Bought</t>
        </is>
      </c>
      <c r="N122" s="15" t="inlineStr">
        <is>
          <t>BLOCK A, PLOT 15 &amp; 16</t>
        </is>
      </c>
      <c r="O122" s="15" t="inlineStr">
        <is>
          <t>Collected by client</t>
        </is>
      </c>
      <c r="P122" s="15" t="inlineStr">
        <is>
          <t>Mr Ogidan Abiodun</t>
        </is>
      </c>
      <c r="Q122" s="15" t="inlineStr">
        <is>
          <t>BAAY PROJECTS CLIENTS &gt; GREEN CITY KETU EPE 2</t>
        </is>
      </c>
      <c r="R122" s="15" t="n">
        <v>48</v>
      </c>
      <c r="S122" s="15" t="inlineStr">
        <is>
          <t>17/09/2024</t>
        </is>
      </c>
      <c r="T122" s="15" t="n"/>
    </row>
    <row r="123">
      <c r="A123" s="15" t="inlineStr">
        <is>
          <t>SB0119</t>
        </is>
      </c>
      <c r="B123" s="15" t="inlineStr">
        <is>
          <t>BP-C0126</t>
        </is>
      </c>
      <c r="C123" s="15" t="inlineStr">
        <is>
          <t>Miss Ogundipe Motunrayo Fransisca</t>
        </is>
      </c>
      <c r="D123" s="15" t="inlineStr">
        <is>
          <t>Land</t>
        </is>
      </c>
      <c r="E123" s="15" t="inlineStr">
        <is>
          <t>Green City Phase 2 (Ketu-Epe)</t>
        </is>
      </c>
      <c r="F123" s="15" t="inlineStr">
        <is>
          <t>500sqm</t>
        </is>
      </c>
      <c r="G123" s="16" t="n">
        <v>45561</v>
      </c>
      <c r="H123" s="15">
        <f>IF(G123="","",YEAR(G123))</f>
        <v/>
      </c>
      <c r="I123" s="17" t="n">
        <v>6000000</v>
      </c>
      <c r="J123" s="17" t="n">
        <v>6000000</v>
      </c>
      <c r="K123" s="17">
        <f>IF(OR(I123="",J123=""),"",I123-J123)</f>
        <v/>
      </c>
      <c r="L123" s="15" t="inlineStr">
        <is>
          <t>3 months</t>
        </is>
      </c>
      <c r="M123" s="15" t="inlineStr">
        <is>
          <t>Bought</t>
        </is>
      </c>
      <c r="N123" s="15" t="inlineStr">
        <is>
          <t>BLOCK G, PLOT 6</t>
        </is>
      </c>
      <c r="O123" s="15" t="inlineStr">
        <is>
          <t>Not yet Processed</t>
        </is>
      </c>
      <c r="P123" s="15" t="inlineStr">
        <is>
          <t>MD</t>
        </is>
      </c>
      <c r="Q123" s="15" t="inlineStr">
        <is>
          <t>BAAY PROJECTS CLIENTS &gt; GREEN CITY KETU EPE 2</t>
        </is>
      </c>
      <c r="R123" s="15" t="n">
        <v>49</v>
      </c>
      <c r="S123" s="15" t="inlineStr">
        <is>
          <t>26/09/2024</t>
        </is>
      </c>
      <c r="T123" s="15" t="n"/>
    </row>
    <row r="124">
      <c r="A124" s="15" t="inlineStr">
        <is>
          <t>SB0120</t>
        </is>
      </c>
      <c r="B124" s="15" t="inlineStr">
        <is>
          <t>BP-C0128</t>
        </is>
      </c>
      <c r="C124" s="15" t="inlineStr">
        <is>
          <t>Mr Afolabi Samuel Safe &amp; Mrs Afolabi Temitope Iyanuoluwa</t>
        </is>
      </c>
      <c r="D124" s="15" t="inlineStr">
        <is>
          <t>Land</t>
        </is>
      </c>
      <c r="E124" s="15" t="inlineStr">
        <is>
          <t>Green City Phase 2 (Ketu-Epe)</t>
        </is>
      </c>
      <c r="F124" s="15" t="inlineStr">
        <is>
          <t>500sqm</t>
        </is>
      </c>
      <c r="G124" s="16" t="n">
        <v>45562</v>
      </c>
      <c r="H124" s="15">
        <f>IF(G124="","",YEAR(G124))</f>
        <v/>
      </c>
      <c r="I124" s="17" t="n">
        <v>5800000</v>
      </c>
      <c r="J124" s="17" t="n">
        <v>5800000</v>
      </c>
      <c r="K124" s="17">
        <f>IF(OR(I124="",J124=""),"",I124-J124)</f>
        <v/>
      </c>
      <c r="L124" s="15" t="inlineStr">
        <is>
          <t>3 months</t>
        </is>
      </c>
      <c r="M124" s="15" t="inlineStr">
        <is>
          <t>Bought</t>
        </is>
      </c>
      <c r="N124" s="15" t="inlineStr">
        <is>
          <t>BLOCK F, PLOT 5</t>
        </is>
      </c>
      <c r="O124" s="15" t="inlineStr">
        <is>
          <t>Collected by client; expecting acknowledged copy</t>
        </is>
      </c>
      <c r="P124" s="15" t="inlineStr">
        <is>
          <t>MD</t>
        </is>
      </c>
      <c r="Q124" s="15" t="inlineStr">
        <is>
          <t>BAAY PROJECTS CLIENTS &gt; GREEN CITY KETU EPE 2</t>
        </is>
      </c>
      <c r="R124" s="15" t="n">
        <v>50</v>
      </c>
      <c r="S124" s="15" t="inlineStr">
        <is>
          <t>27/09/2024</t>
        </is>
      </c>
      <c r="T124" s="15" t="n"/>
    </row>
    <row r="125">
      <c r="A125" s="15" t="inlineStr">
        <is>
          <t>SB0121</t>
        </is>
      </c>
      <c r="B125" s="15" t="inlineStr">
        <is>
          <t>BP-C0127</t>
        </is>
      </c>
      <c r="C125" s="15" t="inlineStr">
        <is>
          <t>Mr Adigun Muyiwa &amp; Mrs Adigun Folashade</t>
        </is>
      </c>
      <c r="D125" s="15" t="inlineStr">
        <is>
          <t>Land</t>
        </is>
      </c>
      <c r="E125" s="15" t="inlineStr">
        <is>
          <t>Green City Phase 3 (Omu-Epe)</t>
        </is>
      </c>
      <c r="F125" s="15" t="inlineStr">
        <is>
          <t>250SQM</t>
        </is>
      </c>
      <c r="G125" s="16" t="n">
        <v>45562</v>
      </c>
      <c r="H125" s="15">
        <f>IF(G125="","",YEAR(G125))</f>
        <v/>
      </c>
      <c r="I125" s="17" t="n">
        <v>2600000</v>
      </c>
      <c r="J125" s="17" t="n">
        <v>2600000</v>
      </c>
      <c r="K125" s="17">
        <f>IF(OR(I125="",J125=""),"",I125-J125)</f>
        <v/>
      </c>
      <c r="L125" s="15" t="inlineStr">
        <is>
          <t>3 months</t>
        </is>
      </c>
      <c r="M125" s="15" t="inlineStr">
        <is>
          <t>Bought</t>
        </is>
      </c>
      <c r="N125" s="15" t="inlineStr">
        <is>
          <t>BLOCK D, PLOT 8</t>
        </is>
      </c>
      <c r="O125" s="15" t="inlineStr">
        <is>
          <t>Deed collected by client</t>
        </is>
      </c>
      <c r="P125" s="15" t="inlineStr">
        <is>
          <t>Mr Mayowa Ayeni</t>
        </is>
      </c>
      <c r="Q125" s="15" t="inlineStr">
        <is>
          <t>BAAY PROJECTS CLIENTS &gt; GREEN CITY PHASE 3, OMU EPE</t>
        </is>
      </c>
      <c r="R125" s="15" t="n">
        <v>23</v>
      </c>
      <c r="S125" s="15" t="inlineStr">
        <is>
          <t>27/09/2024</t>
        </is>
      </c>
      <c r="T125" s="15" t="n"/>
    </row>
    <row r="126">
      <c r="A126" s="15" t="inlineStr">
        <is>
          <t>SB0122</t>
        </is>
      </c>
      <c r="B126" s="15" t="inlineStr">
        <is>
          <t>BP-C0129</t>
        </is>
      </c>
      <c r="C126" s="15" t="inlineStr">
        <is>
          <t>Mr Tedunjaye Michael Ilerioluwa</t>
        </is>
      </c>
      <c r="D126" s="15" t="inlineStr">
        <is>
          <t>Land</t>
        </is>
      </c>
      <c r="E126" s="15" t="inlineStr">
        <is>
          <t>Heritage Garden</t>
        </is>
      </c>
      <c r="F126" s="15" t="inlineStr">
        <is>
          <t>250sqm</t>
        </is>
      </c>
      <c r="G126" s="16" t="n">
        <v>45562</v>
      </c>
      <c r="H126" s="15">
        <f>IF(G126="","",YEAR(G126))</f>
        <v/>
      </c>
      <c r="I126" s="17" t="n">
        <v>495000</v>
      </c>
      <c r="J126" s="17" t="n">
        <v>495000</v>
      </c>
      <c r="K126" s="17">
        <f>IF(OR(I126="",J126=""),"",I126-J126)</f>
        <v/>
      </c>
      <c r="L126" s="15" t="inlineStr">
        <is>
          <t>3 months</t>
        </is>
      </c>
      <c r="M126" s="15" t="inlineStr">
        <is>
          <t>Bought</t>
        </is>
      </c>
      <c r="N126" s="15" t="inlineStr">
        <is>
          <t>BLOCK C, PLOT 11</t>
        </is>
      </c>
      <c r="O126" s="15" t="inlineStr">
        <is>
          <t>Contract of Sales Signed</t>
        </is>
      </c>
      <c r="P126" s="15" t="inlineStr">
        <is>
          <t>Ms Tobi</t>
        </is>
      </c>
      <c r="Q126" s="15" t="inlineStr">
        <is>
          <t>BAAY PROJECTS CLIENTS &gt; HERITAGE GARDEN</t>
        </is>
      </c>
      <c r="R126" s="15" t="n">
        <v>5</v>
      </c>
      <c r="S126" s="15" t="inlineStr">
        <is>
          <t>27/09/2024</t>
        </is>
      </c>
      <c r="T126" s="15" t="n"/>
    </row>
    <row r="127">
      <c r="A127" s="15" t="inlineStr">
        <is>
          <t>SB0123</t>
        </is>
      </c>
      <c r="B127" s="15" t="inlineStr">
        <is>
          <t>BP-C0130</t>
        </is>
      </c>
      <c r="C127" s="15" t="inlineStr">
        <is>
          <t>Mrs Akindele Felicia Oluwatoyin</t>
        </is>
      </c>
      <c r="D127" s="15" t="inlineStr">
        <is>
          <t>Land</t>
        </is>
      </c>
      <c r="E127" s="15" t="inlineStr">
        <is>
          <t>Heritage Garden</t>
        </is>
      </c>
      <c r="F127" s="15" t="inlineStr">
        <is>
          <t>250sqm</t>
        </is>
      </c>
      <c r="G127" s="16" t="n">
        <v>45562</v>
      </c>
      <c r="H127" s="15">
        <f>IF(G127="","",YEAR(G127))</f>
        <v/>
      </c>
      <c r="I127" s="17" t="n">
        <v>550000</v>
      </c>
      <c r="J127" s="17" t="n">
        <v>550000</v>
      </c>
      <c r="K127" s="17">
        <f>IF(OR(I127="",J127=""),"",I127-J127)</f>
        <v/>
      </c>
      <c r="L127" s="15" t="inlineStr">
        <is>
          <t>3 months</t>
        </is>
      </c>
      <c r="M127" s="15" t="inlineStr">
        <is>
          <t>Bought</t>
        </is>
      </c>
      <c r="N127" s="15" t="inlineStr">
        <is>
          <t>BLOCK C, PLOT 10</t>
        </is>
      </c>
      <c r="O127" s="15" t="inlineStr">
        <is>
          <t>Contract of Sales Signed</t>
        </is>
      </c>
      <c r="P127" s="15" t="inlineStr">
        <is>
          <t>Ms Fisayo</t>
        </is>
      </c>
      <c r="Q127" s="15" t="inlineStr">
        <is>
          <t>BAAY PROJECTS CLIENTS &gt; HERITAGE GARDEN</t>
        </is>
      </c>
      <c r="R127" s="15" t="n">
        <v>4</v>
      </c>
      <c r="S127" s="15" t="inlineStr">
        <is>
          <t>27/09/2024</t>
        </is>
      </c>
      <c r="T127" s="15" t="n"/>
    </row>
    <row r="128">
      <c r="A128" s="15" t="inlineStr">
        <is>
          <t>SB0124</t>
        </is>
      </c>
      <c r="B128" s="15" t="inlineStr">
        <is>
          <t>BP-C0132</t>
        </is>
      </c>
      <c r="C128" s="15" t="inlineStr">
        <is>
          <t>Mr Ajayi Adekunle Temitope</t>
        </is>
      </c>
      <c r="D128" s="15" t="inlineStr">
        <is>
          <t>Land</t>
        </is>
      </c>
      <c r="E128" s="15" t="inlineStr">
        <is>
          <t>Green City Phase 3 (Omu-Epe)</t>
        </is>
      </c>
      <c r="F128" s="15" t="inlineStr">
        <is>
          <t>500SQM</t>
        </is>
      </c>
      <c r="G128" s="16" t="n">
        <v>45565</v>
      </c>
      <c r="H128" s="15">
        <f>IF(G128="","",YEAR(G128))</f>
        <v/>
      </c>
      <c r="I128" s="17" t="n">
        <v>5000000</v>
      </c>
      <c r="J128" s="17" t="n">
        <v>5000000</v>
      </c>
      <c r="K128" s="17">
        <f>IF(OR(I128="",J128=""),"",I128-J128)</f>
        <v/>
      </c>
      <c r="L128" s="15" t="inlineStr">
        <is>
          <t>3 months</t>
        </is>
      </c>
      <c r="M128" s="15" t="inlineStr">
        <is>
          <t>Bought</t>
        </is>
      </c>
      <c r="N128" s="15" t="inlineStr">
        <is>
          <t>BLOCK E, PLOT 1</t>
        </is>
      </c>
      <c r="O128" s="15" t="inlineStr">
        <is>
          <t>Deed collected by client</t>
        </is>
      </c>
      <c r="P128" s="15" t="inlineStr">
        <is>
          <t>Ms Opeyemi</t>
        </is>
      </c>
      <c r="Q128" s="15" t="inlineStr">
        <is>
          <t>BAAY PROJECTS CLIENTS &gt; GREEN CITY PHASE 3, OMU EPE</t>
        </is>
      </c>
      <c r="R128" s="15" t="n">
        <v>22</v>
      </c>
      <c r="S128" s="15" t="inlineStr">
        <is>
          <t>30/09/2024</t>
        </is>
      </c>
      <c r="T128" s="15" t="n"/>
    </row>
    <row r="129">
      <c r="A129" s="15" t="inlineStr">
        <is>
          <t>SB0125</t>
        </is>
      </c>
      <c r="B129" s="15" t="inlineStr">
        <is>
          <t>BP-C0133</t>
        </is>
      </c>
      <c r="C129" s="15" t="inlineStr">
        <is>
          <t>Mr Oluwashina O. Olagbende</t>
        </is>
      </c>
      <c r="D129" s="15" t="inlineStr">
        <is>
          <t>Land</t>
        </is>
      </c>
      <c r="E129" s="15" t="inlineStr">
        <is>
          <t>Green City Phase 3 (Omu-Epe)</t>
        </is>
      </c>
      <c r="F129" s="15" t="inlineStr">
        <is>
          <t>250SQM</t>
        </is>
      </c>
      <c r="G129" s="16" t="n">
        <v>45565</v>
      </c>
      <c r="H129" s="15">
        <f>IF(G129="","",YEAR(G129))</f>
        <v/>
      </c>
      <c r="I129" s="17" t="n">
        <v>2600000</v>
      </c>
      <c r="J129" s="17" t="n">
        <v>2600000</v>
      </c>
      <c r="K129" s="17">
        <f>IF(OR(I129="",J129=""),"",I129-J129)</f>
        <v/>
      </c>
      <c r="L129" s="15" t="inlineStr">
        <is>
          <t>3 months</t>
        </is>
      </c>
      <c r="M129" s="15" t="inlineStr">
        <is>
          <t>Bought</t>
        </is>
      </c>
      <c r="N129" s="15" t="inlineStr">
        <is>
          <t>BLOCK D, PLOT 3</t>
        </is>
      </c>
      <c r="O129" s="15" t="inlineStr">
        <is>
          <t>Deed collected by client</t>
        </is>
      </c>
      <c r="P129" s="15" t="inlineStr">
        <is>
          <t>Ms Mayowa Awonorin</t>
        </is>
      </c>
      <c r="Q129" s="15" t="inlineStr">
        <is>
          <t>BAAY PROJECTS CLIENTS &gt; GREEN CITY PHASE 3, OMU EPE</t>
        </is>
      </c>
      <c r="R129" s="15" t="n">
        <v>21</v>
      </c>
      <c r="S129" s="15" t="inlineStr">
        <is>
          <t>30/09/2024</t>
        </is>
      </c>
      <c r="T129" s="15" t="n"/>
    </row>
    <row r="130">
      <c r="A130" s="15" t="inlineStr">
        <is>
          <t>SB0126</t>
        </is>
      </c>
      <c r="B130" s="15" t="inlineStr">
        <is>
          <t>BP-C0068</t>
        </is>
      </c>
      <c r="C130" s="15" t="inlineStr">
        <is>
          <t>Miss Ebhotah Sharon Aisosa</t>
        </is>
      </c>
      <c r="D130" s="15" t="inlineStr">
        <is>
          <t>Land</t>
        </is>
      </c>
      <c r="E130" s="15" t="inlineStr">
        <is>
          <t>Green City Phase 3 (Omu-Epe)</t>
        </is>
      </c>
      <c r="F130" s="15" t="inlineStr">
        <is>
          <t>500SQM</t>
        </is>
      </c>
      <c r="G130" s="16" t="n">
        <v>45567</v>
      </c>
      <c r="H130" s="15">
        <f>IF(G130="","",YEAR(G130))</f>
        <v/>
      </c>
      <c r="I130" s="17" t="n">
        <v>5000000</v>
      </c>
      <c r="J130" s="17" t="n">
        <v>5000000</v>
      </c>
      <c r="K130" s="17">
        <f>IF(OR(I130="",J130=""),"",I130-J130)</f>
        <v/>
      </c>
      <c r="L130" s="15" t="inlineStr">
        <is>
          <t>3 months</t>
        </is>
      </c>
      <c r="M130" s="15" t="inlineStr">
        <is>
          <t>Bought</t>
        </is>
      </c>
      <c r="N130" s="15" t="inlineStr">
        <is>
          <t>BLOCK G, PLOT 12</t>
        </is>
      </c>
      <c r="O130" s="15" t="inlineStr">
        <is>
          <t>Contract of Sales signed.</t>
        </is>
      </c>
      <c r="P130" s="15" t="inlineStr">
        <is>
          <t>Ms Blessing</t>
        </is>
      </c>
      <c r="Q130" s="15" t="inlineStr">
        <is>
          <t>BAAY PROJECTS CLIENTS &gt; GREEN CITY PHASE 3, OMU EPE</t>
        </is>
      </c>
      <c r="R130" s="15" t="n">
        <v>24</v>
      </c>
      <c r="S130" s="15" t="inlineStr">
        <is>
          <t>2024-02-10</t>
        </is>
      </c>
      <c r="T130" s="15" t="n"/>
    </row>
    <row r="131">
      <c r="A131" s="15" t="inlineStr">
        <is>
          <t>SB0127</t>
        </is>
      </c>
      <c r="B131" s="15" t="inlineStr">
        <is>
          <t>BP-C0030</t>
        </is>
      </c>
      <c r="C131" s="15" t="inlineStr">
        <is>
          <t>Mr. Adese Akorede John</t>
        </is>
      </c>
      <c r="D131" s="15" t="inlineStr">
        <is>
          <t>Land</t>
        </is>
      </c>
      <c r="E131" s="15" t="inlineStr">
        <is>
          <t>Green City Ibadan (Akinyele-Moniya)</t>
        </is>
      </c>
      <c r="F131" s="15" t="inlineStr">
        <is>
          <t>500SQM</t>
        </is>
      </c>
      <c r="G131" s="16" t="n">
        <v>45568</v>
      </c>
      <c r="H131" s="15">
        <f>IF(G131="","",YEAR(G131))</f>
        <v/>
      </c>
      <c r="I131" s="17" t="n">
        <v>2500000</v>
      </c>
      <c r="J131" s="17" t="n">
        <v>2500000</v>
      </c>
      <c r="K131" s="17">
        <f>IF(OR(I131="",J131=""),"",I131-J131)</f>
        <v/>
      </c>
      <c r="L131" s="15" t="inlineStr">
        <is>
          <t>5 Months</t>
        </is>
      </c>
      <c r="M131" s="15" t="inlineStr">
        <is>
          <t>Bought</t>
        </is>
      </c>
      <c r="N131" s="15" t="inlineStr">
        <is>
          <t>BLOCK A, PLOT 6</t>
        </is>
      </c>
      <c r="O131" s="15" t="inlineStr">
        <is>
          <t>Contract of Sale signed</t>
        </is>
      </c>
      <c r="P131" s="15" t="inlineStr">
        <is>
          <t>MD</t>
        </is>
      </c>
      <c r="Q131" s="15" t="inlineStr">
        <is>
          <t>BAAY PROJECTS CLIENTS &gt; GREEN CITY IBADAN, AKINYELE-MON</t>
        </is>
      </c>
      <c r="R131" s="15" t="n">
        <v>2</v>
      </c>
      <c r="S131" s="15" t="inlineStr">
        <is>
          <t>2024-03-10</t>
        </is>
      </c>
      <c r="T131" s="15" t="n"/>
    </row>
    <row r="132">
      <c r="A132" s="15" t="inlineStr">
        <is>
          <t>SB0128</t>
        </is>
      </c>
      <c r="B132" s="15" t="inlineStr">
        <is>
          <t>BP-C0135</t>
        </is>
      </c>
      <c r="C132" s="15" t="inlineStr">
        <is>
          <t>Mr Okanrende Kazeem Olamilekan</t>
        </is>
      </c>
      <c r="D132" s="15" t="inlineStr">
        <is>
          <t>Land</t>
        </is>
      </c>
      <c r="E132" s="15" t="inlineStr">
        <is>
          <t>Green City Phase 3 (Omu-Epe)</t>
        </is>
      </c>
      <c r="F132" s="15" t="inlineStr">
        <is>
          <t>1000SQM</t>
        </is>
      </c>
      <c r="G132" s="16" t="n">
        <v>45573</v>
      </c>
      <c r="H132" s="15">
        <f>IF(G132="","",YEAR(G132))</f>
        <v/>
      </c>
      <c r="I132" s="17" t="n">
        <v>8000000</v>
      </c>
      <c r="J132" s="17" t="n">
        <v>8000000</v>
      </c>
      <c r="K132" s="17">
        <f>IF(OR(I132="",J132=""),"",I132-J132)</f>
        <v/>
      </c>
      <c r="L132" s="15" t="inlineStr">
        <is>
          <t>3 months</t>
        </is>
      </c>
      <c r="M132" s="15" t="inlineStr">
        <is>
          <t>Bought</t>
        </is>
      </c>
      <c r="N132" s="15" t="inlineStr">
        <is>
          <t>BLOCK G, PLOT 2 &amp; 3</t>
        </is>
      </c>
      <c r="O132" s="15" t="inlineStr">
        <is>
          <t>Deed collected by client</t>
        </is>
      </c>
      <c r="P132" s="15" t="inlineStr">
        <is>
          <t>MD/MS YETUNDE</t>
        </is>
      </c>
      <c r="Q132" s="15" t="inlineStr">
        <is>
          <t>BAAY PROJECTS CLIENTS &gt; GREEN CITY PHASE 3, OMU EPE</t>
        </is>
      </c>
      <c r="R132" s="15" t="n">
        <v>25</v>
      </c>
      <c r="S132" s="15" t="inlineStr">
        <is>
          <t>2024-08-10</t>
        </is>
      </c>
      <c r="T132" s="15" t="n"/>
    </row>
    <row r="133">
      <c r="A133" s="15" t="inlineStr">
        <is>
          <t>SB0129</t>
        </is>
      </c>
      <c r="B133" s="15" t="inlineStr">
        <is>
          <t>BP-C0136</t>
        </is>
      </c>
      <c r="C133" s="15" t="inlineStr">
        <is>
          <t>Mr Isibor Godwin</t>
        </is>
      </c>
      <c r="D133" s="15" t="inlineStr">
        <is>
          <t>Land</t>
        </is>
      </c>
      <c r="E133" s="15" t="inlineStr">
        <is>
          <t>Green City Phase 3 (Omu-Epe)</t>
        </is>
      </c>
      <c r="F133" s="15" t="inlineStr">
        <is>
          <t>250SQM</t>
        </is>
      </c>
      <c r="G133" s="16" t="n">
        <v>45576</v>
      </c>
      <c r="H133" s="15">
        <f>IF(G133="","",YEAR(G133))</f>
        <v/>
      </c>
      <c r="I133" s="17" t="n">
        <v>3100000</v>
      </c>
      <c r="J133" s="17" t="n">
        <v>3100000</v>
      </c>
      <c r="K133" s="17">
        <f>IF(OR(I133="",J133=""),"",I133-J133)</f>
        <v/>
      </c>
      <c r="L133" s="15" t="inlineStr">
        <is>
          <t>6 Months</t>
        </is>
      </c>
      <c r="M133" s="15" t="inlineStr">
        <is>
          <t>Bought</t>
        </is>
      </c>
      <c r="N133" s="15" t="inlineStr">
        <is>
          <t>BLOCK H, PLOT 2</t>
        </is>
      </c>
      <c r="O133" s="15" t="inlineStr">
        <is>
          <t>Deed collected by client</t>
        </is>
      </c>
      <c r="P133" s="15" t="inlineStr">
        <is>
          <t>Ms Tobi</t>
        </is>
      </c>
      <c r="Q133" s="15" t="inlineStr">
        <is>
          <t>BAAY PROJECTS CLIENTS &gt; GREEN CITY PHASE 3, OMU EPE</t>
        </is>
      </c>
      <c r="R133" s="15" t="n">
        <v>26</v>
      </c>
      <c r="S133" s="15" t="inlineStr">
        <is>
          <t>2024-11-10</t>
        </is>
      </c>
      <c r="T133" s="15" t="n"/>
    </row>
    <row r="134">
      <c r="A134" s="15" t="inlineStr">
        <is>
          <t>SB0130</t>
        </is>
      </c>
      <c r="B134" s="15" t="inlineStr">
        <is>
          <t>BP-C0138</t>
        </is>
      </c>
      <c r="C134" s="15" t="inlineStr">
        <is>
          <t>Mr. Olowodagba Olatunde Selim</t>
        </is>
      </c>
      <c r="D134" s="15" t="inlineStr">
        <is>
          <t>Land</t>
        </is>
      </c>
      <c r="E134" s="15" t="inlineStr">
        <is>
          <t>Green City Ibadan (Akinyele-Moniya)</t>
        </is>
      </c>
      <c r="F134" s="15" t="inlineStr">
        <is>
          <t>500SQM</t>
        </is>
      </c>
      <c r="G134" s="16" t="n">
        <v>45583</v>
      </c>
      <c r="H134" s="15">
        <f>IF(G134="","",YEAR(G134))</f>
        <v/>
      </c>
      <c r="I134" s="17" t="n">
        <v>2800000</v>
      </c>
      <c r="J134" s="17" t="n">
        <v>2800000</v>
      </c>
      <c r="K134" s="17">
        <f>IF(OR(I134="",J134=""),"",I134-J134)</f>
        <v/>
      </c>
      <c r="L134" s="15" t="inlineStr">
        <is>
          <t>3 months</t>
        </is>
      </c>
      <c r="M134" s="15" t="inlineStr">
        <is>
          <t>Bought</t>
        </is>
      </c>
      <c r="N134" s="15" t="inlineStr">
        <is>
          <t>BLOCK A, PLOT 7</t>
        </is>
      </c>
      <c r="O134" s="15" t="inlineStr">
        <is>
          <t>Contract of Sale signed</t>
        </is>
      </c>
      <c r="P134" s="15" t="inlineStr">
        <is>
          <t>Mr Ogidan</t>
        </is>
      </c>
      <c r="Q134" s="15" t="inlineStr">
        <is>
          <t>BAAY PROJECTS CLIENTS &gt; GREEN CITY IBADAN, AKINYELE-MON</t>
        </is>
      </c>
      <c r="R134" s="15" t="n">
        <v>3</v>
      </c>
      <c r="S134" s="15" t="inlineStr">
        <is>
          <t>18/10/2024</t>
        </is>
      </c>
      <c r="T134" s="15" t="n"/>
    </row>
    <row r="135">
      <c r="A135" s="15" t="inlineStr">
        <is>
          <t>SB0131</t>
        </is>
      </c>
      <c r="B135" s="15" t="inlineStr">
        <is>
          <t>BP-C0137</t>
        </is>
      </c>
      <c r="C135" s="15" t="inlineStr">
        <is>
          <t>Mr Boyejo Abiodun</t>
        </is>
      </c>
      <c r="D135" s="15" t="inlineStr">
        <is>
          <t>Land</t>
        </is>
      </c>
      <c r="E135" s="15" t="inlineStr">
        <is>
          <t>Heritage Garden</t>
        </is>
      </c>
      <c r="F135" s="15" t="inlineStr">
        <is>
          <t>500sqm</t>
        </is>
      </c>
      <c r="G135" s="16" t="n">
        <v>45583</v>
      </c>
      <c r="H135" s="15">
        <f>IF(G135="","",YEAR(G135))</f>
        <v/>
      </c>
      <c r="I135" s="17" t="n">
        <v>1100000</v>
      </c>
      <c r="J135" s="17" t="n">
        <v>1100000</v>
      </c>
      <c r="K135" s="17">
        <f>IF(OR(I135="",J135=""),"",I135-J135)</f>
        <v/>
      </c>
      <c r="L135" s="15" t="inlineStr">
        <is>
          <t>3 months</t>
        </is>
      </c>
      <c r="M135" s="15" t="inlineStr">
        <is>
          <t>Bought</t>
        </is>
      </c>
      <c r="N135" s="15" t="inlineStr">
        <is>
          <t>BLOCK D, PLOT 1</t>
        </is>
      </c>
      <c r="O135" s="15" t="inlineStr">
        <is>
          <t>Contract of Sales Signed</t>
        </is>
      </c>
      <c r="P135" s="15" t="inlineStr">
        <is>
          <t>Ms Bolanle</t>
        </is>
      </c>
      <c r="Q135" s="15" t="inlineStr">
        <is>
          <t>BAAY PROJECTS CLIENTS &gt; HERITAGE GARDEN</t>
        </is>
      </c>
      <c r="R135" s="15" t="n">
        <v>6</v>
      </c>
      <c r="S135" s="15" t="inlineStr">
        <is>
          <t>18/10/2024</t>
        </is>
      </c>
      <c r="T135" s="15" t="n"/>
    </row>
    <row r="136">
      <c r="A136" s="15" t="inlineStr">
        <is>
          <t>SB0132</t>
        </is>
      </c>
      <c r="B136" s="15" t="inlineStr">
        <is>
          <t>BP-C0140</t>
        </is>
      </c>
      <c r="C136" s="15" t="inlineStr">
        <is>
          <t>Mr Balogun Akeem Tokunbo</t>
        </is>
      </c>
      <c r="D136" s="15" t="inlineStr">
        <is>
          <t>Land</t>
        </is>
      </c>
      <c r="E136" s="15" t="inlineStr">
        <is>
          <t>Green City Phase 3 (Omu-Epe)</t>
        </is>
      </c>
      <c r="F136" s="15" t="inlineStr">
        <is>
          <t>1,200SQM (COMMERCIAL PLOT)</t>
        </is>
      </c>
      <c r="G136" s="16" t="n">
        <v>45588</v>
      </c>
      <c r="H136" s="15">
        <f>IF(G136="","",YEAR(G136))</f>
        <v/>
      </c>
      <c r="I136" s="17" t="n">
        <v>20000000</v>
      </c>
      <c r="J136" s="17" t="n">
        <v>20000000</v>
      </c>
      <c r="K136" s="17">
        <f>IF(OR(I136="",J136=""),"",I136-J136)</f>
        <v/>
      </c>
      <c r="L136" s="15" t="inlineStr">
        <is>
          <t>6 Months</t>
        </is>
      </c>
      <c r="M136" s="15" t="inlineStr">
        <is>
          <t>Bought</t>
        </is>
      </c>
      <c r="N136" s="15" t="inlineStr">
        <is>
          <t>BLOCK B, PLOT 1 &amp; 2</t>
        </is>
      </c>
      <c r="O136" s="15" t="inlineStr">
        <is>
          <t>Deed collected by client</t>
        </is>
      </c>
      <c r="P136" s="15" t="inlineStr">
        <is>
          <t>Client Relations/Marketing</t>
        </is>
      </c>
      <c r="Q136" s="15" t="inlineStr">
        <is>
          <t>BAAY PROJECTS CLIENTS &gt; GREEN CITY PHASE 3, OMU EPE</t>
        </is>
      </c>
      <c r="R136" s="15" t="n">
        <v>27</v>
      </c>
      <c r="S136" s="15" t="inlineStr">
        <is>
          <t>23/10/2024</t>
        </is>
      </c>
      <c r="T136" s="15" t="n"/>
    </row>
    <row r="137">
      <c r="A137" s="15" t="inlineStr">
        <is>
          <t>SB0133</t>
        </is>
      </c>
      <c r="B137" s="15" t="inlineStr">
        <is>
          <t>BP-C0140</t>
        </is>
      </c>
      <c r="C137" s="15" t="inlineStr">
        <is>
          <t>Mr Balogun Akeem Tokunbo</t>
        </is>
      </c>
      <c r="D137" s="15" t="inlineStr">
        <is>
          <t>Housing</t>
        </is>
      </c>
      <c r="E137" s="15" t="inlineStr">
        <is>
          <t>Pacific Apartment</t>
        </is>
      </c>
      <c r="F137" s="15" t="inlineStr">
        <is>
          <t>2 bedroom with a BQ Fully Finished | units: 1.0</t>
        </is>
      </c>
      <c r="G137" s="16" t="n">
        <v>45590</v>
      </c>
      <c r="H137" s="15">
        <f>IF(G137="","",YEAR(G137))</f>
        <v/>
      </c>
      <c r="I137" s="17" t="n">
        <v>65000000</v>
      </c>
      <c r="J137" s="17" t="n">
        <v>65000000</v>
      </c>
      <c r="K137" s="17">
        <f>IF(OR(I137="",J137=""),"",I137-J137)</f>
        <v/>
      </c>
      <c r="L137" s="15" t="inlineStr">
        <is>
          <t>6 months</t>
        </is>
      </c>
      <c r="M137" s="15" t="inlineStr">
        <is>
          <t>Bought</t>
        </is>
      </c>
      <c r="N137" s="15" t="n"/>
      <c r="O137" s="15" t="n"/>
      <c r="P137" s="15" t="inlineStr">
        <is>
          <t>Clients Relations/Accounts</t>
        </is>
      </c>
      <c r="Q137" s="15" t="inlineStr">
        <is>
          <t>BAAY PROJECTS CLIENTS &gt; PACIFIC APARTMENT</t>
        </is>
      </c>
      <c r="R137" s="15" t="n">
        <v>2</v>
      </c>
      <c r="S137" s="15" t="inlineStr">
        <is>
          <t>25/10/2024</t>
        </is>
      </c>
      <c r="T137" s="15" t="n"/>
    </row>
    <row r="138">
      <c r="A138" s="15" t="inlineStr">
        <is>
          <t>SB0134</t>
        </is>
      </c>
      <c r="B138" s="15" t="inlineStr">
        <is>
          <t>BP-C0141</t>
        </is>
      </c>
      <c r="C138" s="15" t="inlineStr">
        <is>
          <t>Mr Aremu Kayode Sarafa</t>
        </is>
      </c>
      <c r="D138" s="15" t="inlineStr">
        <is>
          <t>Land</t>
        </is>
      </c>
      <c r="E138" s="15" t="inlineStr">
        <is>
          <t>Green City Phase 2 (Ketu-Epe)</t>
        </is>
      </c>
      <c r="F138" s="15" t="inlineStr">
        <is>
          <t>250sqm</t>
        </is>
      </c>
      <c r="G138" s="16" t="n">
        <v>45595</v>
      </c>
      <c r="H138" s="15">
        <f>IF(G138="","",YEAR(G138))</f>
        <v/>
      </c>
      <c r="I138" s="17" t="n">
        <v>3200000</v>
      </c>
      <c r="J138" s="17" t="n">
        <v>3200000</v>
      </c>
      <c r="K138" s="17">
        <f>IF(OR(I138="",J138=""),"",I138-J138)</f>
        <v/>
      </c>
      <c r="L138" s="15" t="inlineStr">
        <is>
          <t>3 months</t>
        </is>
      </c>
      <c r="M138" s="15" t="inlineStr">
        <is>
          <t>Bought</t>
        </is>
      </c>
      <c r="N138" s="15" t="inlineStr">
        <is>
          <t>BLOCK E, PLOT 6</t>
        </is>
      </c>
      <c r="O138" s="15" t="inlineStr">
        <is>
          <t>Contract of sales signed</t>
        </is>
      </c>
      <c r="P138" s="15" t="inlineStr">
        <is>
          <t>Mr Ogidan Abiodun</t>
        </is>
      </c>
      <c r="Q138" s="15" t="inlineStr">
        <is>
          <t>BAAY PROJECTS CLIENTS &gt; GREEN CITY KETU EPE 2</t>
        </is>
      </c>
      <c r="R138" s="15" t="n">
        <v>51</v>
      </c>
      <c r="S138" s="15" t="inlineStr">
        <is>
          <t>30/10/2024</t>
        </is>
      </c>
      <c r="T138" s="15" t="n"/>
    </row>
    <row r="139">
      <c r="A139" s="15" t="inlineStr">
        <is>
          <t>SB0135</t>
        </is>
      </c>
      <c r="B139" s="15" t="inlineStr">
        <is>
          <t>BP-C0143</t>
        </is>
      </c>
      <c r="C139" s="15" t="inlineStr">
        <is>
          <t>Mrs Oyindamola Duntoye Adekunle</t>
        </is>
      </c>
      <c r="D139" s="15" t="inlineStr">
        <is>
          <t>Housing</t>
        </is>
      </c>
      <c r="E139" s="15" t="inlineStr">
        <is>
          <t>Pacific Apartment</t>
        </is>
      </c>
      <c r="F139" s="15" t="inlineStr">
        <is>
          <t>2 bedroom with a BQ Fully Finished | units: 1.0</t>
        </is>
      </c>
      <c r="G139" s="16" t="n">
        <v>45595</v>
      </c>
      <c r="H139" s="15">
        <f>IF(G139="","",YEAR(G139))</f>
        <v/>
      </c>
      <c r="I139" s="17" t="n">
        <v>67000000</v>
      </c>
      <c r="J139" s="17" t="n">
        <v>67000000</v>
      </c>
      <c r="K139" s="17">
        <f>IF(OR(I139="",J139=""),"",I139-J139)</f>
        <v/>
      </c>
      <c r="L139" s="15" t="inlineStr">
        <is>
          <t>12 months</t>
        </is>
      </c>
      <c r="M139" s="15" t="inlineStr">
        <is>
          <t>Bought</t>
        </is>
      </c>
      <c r="N139" s="15" t="n"/>
      <c r="O139" s="15" t="n"/>
      <c r="P139" s="15" t="inlineStr">
        <is>
          <t>Clients Relation/Accounts</t>
        </is>
      </c>
      <c r="Q139" s="15" t="inlineStr">
        <is>
          <t>BAAY PROJECTS CLIENTS &gt; PACIFIC APARTMENT</t>
        </is>
      </c>
      <c r="R139" s="15" t="n">
        <v>3</v>
      </c>
      <c r="S139" s="15" t="inlineStr">
        <is>
          <t>30/10/2024</t>
        </is>
      </c>
      <c r="T139" s="15" t="n"/>
    </row>
    <row r="140">
      <c r="A140" s="15" t="inlineStr">
        <is>
          <t>SB0136</t>
        </is>
      </c>
      <c r="B140" s="15" t="inlineStr">
        <is>
          <t>BP-C0145</t>
        </is>
      </c>
      <c r="C140" s="15" t="inlineStr">
        <is>
          <t>Barr Keshinro Phebe Oluwatunmise</t>
        </is>
      </c>
      <c r="D140" s="15" t="inlineStr">
        <is>
          <t>Housing</t>
        </is>
      </c>
      <c r="E140" s="15" t="inlineStr">
        <is>
          <t>Pacific Apartment</t>
        </is>
      </c>
      <c r="F140" s="15" t="inlineStr">
        <is>
          <t>2 bedroom with a BQ | units: 1.0</t>
        </is>
      </c>
      <c r="G140" s="16" t="n">
        <v>45605</v>
      </c>
      <c r="H140" s="15">
        <f>IF(G140="","",YEAR(G140))</f>
        <v/>
      </c>
      <c r="I140" s="17" t="n">
        <v>65000000</v>
      </c>
      <c r="J140" s="17" t="n">
        <v>10000000</v>
      </c>
      <c r="K140" s="17">
        <f>IF(OR(I140="",J140=""),"",I140-J140)</f>
        <v/>
      </c>
      <c r="L140" s="15" t="inlineStr">
        <is>
          <t>Outright</t>
        </is>
      </c>
      <c r="M140" s="15" t="inlineStr">
        <is>
          <t>Paying</t>
        </is>
      </c>
      <c r="N140" s="15" t="n"/>
      <c r="O140" s="15" t="n"/>
      <c r="P140" s="15" t="inlineStr">
        <is>
          <t>Mr Charles</t>
        </is>
      </c>
      <c r="Q140" s="15" t="inlineStr">
        <is>
          <t>BAAY PROJECTS CLIENTS &gt; PACIFIC APARTMENT</t>
        </is>
      </c>
      <c r="R140" s="15" t="n">
        <v>4</v>
      </c>
      <c r="S140" s="15" t="inlineStr">
        <is>
          <t>2024-09-11</t>
        </is>
      </c>
      <c r="T140" s="15" t="n"/>
    </row>
    <row r="141">
      <c r="A141" s="15" t="inlineStr">
        <is>
          <t>SB0137</t>
        </is>
      </c>
      <c r="B141" s="15" t="inlineStr">
        <is>
          <t>BP-C0009</t>
        </is>
      </c>
      <c r="C141" s="15" t="inlineStr">
        <is>
          <t>Miss Oji Blessing Mary</t>
        </is>
      </c>
      <c r="D141" s="15" t="inlineStr">
        <is>
          <t>Land</t>
        </is>
      </c>
      <c r="E141" s="15" t="inlineStr">
        <is>
          <t>Green City Phase 3 (Omu-Epe)</t>
        </is>
      </c>
      <c r="F141" s="15" t="inlineStr">
        <is>
          <t>500Sqm</t>
        </is>
      </c>
      <c r="G141" s="16" t="n">
        <v>45607</v>
      </c>
      <c r="H141" s="15">
        <f>IF(G141="","",YEAR(G141))</f>
        <v/>
      </c>
      <c r="I141" s="17" t="n">
        <v>4000000</v>
      </c>
      <c r="J141" s="17" t="n">
        <v>4000000</v>
      </c>
      <c r="K141" s="17">
        <f>IF(OR(I141="",J141=""),"",I141-J141)</f>
        <v/>
      </c>
      <c r="L141" s="15" t="inlineStr">
        <is>
          <t>3 months</t>
        </is>
      </c>
      <c r="M141" s="15" t="inlineStr">
        <is>
          <t>Bought</t>
        </is>
      </c>
      <c r="N141" s="15" t="inlineStr">
        <is>
          <t>BLOCK G, PLOT 6</t>
        </is>
      </c>
      <c r="O141" s="15" t="inlineStr">
        <is>
          <t>Contract of Sales signed.</t>
        </is>
      </c>
      <c r="P141" s="15" t="inlineStr">
        <is>
          <t>Ms Oji Blessing</t>
        </is>
      </c>
      <c r="Q141" s="15" t="inlineStr">
        <is>
          <t>BAAY PROJECTS CLIENTS &gt; GREEN CITY PHASE 3, OMU EPE</t>
        </is>
      </c>
      <c r="R141" s="15" t="n">
        <v>28</v>
      </c>
      <c r="S141" s="15" t="inlineStr">
        <is>
          <t>2024-11-11</t>
        </is>
      </c>
      <c r="T141" s="15" t="n"/>
    </row>
    <row r="142">
      <c r="A142" s="15" t="inlineStr">
        <is>
          <t>SB0138</t>
        </is>
      </c>
      <c r="B142" s="15" t="inlineStr">
        <is>
          <t>BP-C0146</t>
        </is>
      </c>
      <c r="C142" s="15" t="inlineStr">
        <is>
          <t>Mrs Tijani Tawa Motunrayo</t>
        </is>
      </c>
      <c r="D142" s="15" t="inlineStr">
        <is>
          <t>Land</t>
        </is>
      </c>
      <c r="E142" s="15" t="inlineStr">
        <is>
          <t>Green City Phase 3 (Omu-Epe)</t>
        </is>
      </c>
      <c r="F142" s="15" t="inlineStr">
        <is>
          <t>250SQM</t>
        </is>
      </c>
      <c r="G142" s="16" t="n">
        <v>45610</v>
      </c>
      <c r="H142" s="15">
        <f>IF(G142="","",YEAR(G142))</f>
        <v/>
      </c>
      <c r="I142" s="17" t="n">
        <v>2600000</v>
      </c>
      <c r="J142" s="17" t="n">
        <v>2600000</v>
      </c>
      <c r="K142" s="17">
        <f>IF(OR(I142="",J142=""),"",I142-J142)</f>
        <v/>
      </c>
      <c r="L142" s="15" t="inlineStr">
        <is>
          <t>3 months</t>
        </is>
      </c>
      <c r="M142" s="15" t="inlineStr">
        <is>
          <t>Bought</t>
        </is>
      </c>
      <c r="N142" s="15" t="inlineStr">
        <is>
          <t>BLOCK H, PLOT 4</t>
        </is>
      </c>
      <c r="O142" s="15" t="inlineStr">
        <is>
          <t>Deed collected by client</t>
        </is>
      </c>
      <c r="P142" s="15" t="inlineStr">
        <is>
          <t>Ms Mayowa Awonorin</t>
        </is>
      </c>
      <c r="Q142" s="15" t="inlineStr">
        <is>
          <t>BAAY PROJECTS CLIENTS &gt; GREEN CITY PHASE 3, OMU EPE</t>
        </is>
      </c>
      <c r="R142" s="15" t="n">
        <v>30</v>
      </c>
      <c r="S142" s="15" t="inlineStr">
        <is>
          <t>14/11/2024</t>
        </is>
      </c>
      <c r="T142" s="15" t="n"/>
    </row>
    <row r="143">
      <c r="A143" s="15" t="inlineStr">
        <is>
          <t>SB0139</t>
        </is>
      </c>
      <c r="B143" s="15" t="inlineStr">
        <is>
          <t>BP-C0148</t>
        </is>
      </c>
      <c r="C143" s="15" t="inlineStr">
        <is>
          <t>Mr Akinsete Michael Abayomi</t>
        </is>
      </c>
      <c r="D143" s="15" t="inlineStr">
        <is>
          <t>Land</t>
        </is>
      </c>
      <c r="E143" s="15" t="inlineStr">
        <is>
          <t>Green City Phase 2 (Ketu-Epe)</t>
        </is>
      </c>
      <c r="F143" s="15" t="inlineStr">
        <is>
          <t>500sqm</t>
        </is>
      </c>
      <c r="G143" s="16" t="n">
        <v>45625</v>
      </c>
      <c r="H143" s="15">
        <f>IF(G143="","",YEAR(G143))</f>
        <v/>
      </c>
      <c r="I143" s="17" t="n">
        <v>10700000</v>
      </c>
      <c r="J143" s="17" t="n">
        <v>2703400</v>
      </c>
      <c r="K143" s="17">
        <f>IF(OR(I143="",J143=""),"",I143-J143)</f>
        <v/>
      </c>
      <c r="L143" s="15" t="inlineStr">
        <is>
          <t>12 Months</t>
        </is>
      </c>
      <c r="M143" s="15" t="inlineStr">
        <is>
          <t>Paying</t>
        </is>
      </c>
      <c r="N143" s="15" t="n"/>
      <c r="O143" s="15" t="inlineStr">
        <is>
          <t>Not Yet Processed</t>
        </is>
      </c>
      <c r="P143" s="15" t="inlineStr">
        <is>
          <t>MD</t>
        </is>
      </c>
      <c r="Q143" s="15" t="inlineStr">
        <is>
          <t>BAAY PROJECTS CLIENTS &gt; GREEN CITY KETU EPE 2</t>
        </is>
      </c>
      <c r="R143" s="15" t="n">
        <v>52</v>
      </c>
      <c r="S143" s="15" t="inlineStr">
        <is>
          <t>29/11/2024</t>
        </is>
      </c>
      <c r="T143" s="15" t="n"/>
    </row>
    <row r="144">
      <c r="A144" s="15" t="inlineStr">
        <is>
          <t>SB0140</t>
        </is>
      </c>
      <c r="B144" s="15" t="inlineStr">
        <is>
          <t>BP-C0149</t>
        </is>
      </c>
      <c r="C144" s="15" t="inlineStr">
        <is>
          <t>Mr Uneze Grant Chetanna</t>
        </is>
      </c>
      <c r="D144" s="15" t="inlineStr">
        <is>
          <t>Land</t>
        </is>
      </c>
      <c r="E144" s="15" t="inlineStr">
        <is>
          <t>Green City Phase 3 (Omu-Epe)</t>
        </is>
      </c>
      <c r="F144" s="15" t="inlineStr">
        <is>
          <t>500SQM</t>
        </is>
      </c>
      <c r="G144" s="16" t="n">
        <v>45625</v>
      </c>
      <c r="H144" s="15">
        <f>IF(G144="","",YEAR(G144))</f>
        <v/>
      </c>
      <c r="I144" s="17" t="n">
        <v>5000000</v>
      </c>
      <c r="J144" s="17" t="n">
        <v>5000000</v>
      </c>
      <c r="K144" s="17">
        <f>IF(OR(I144="",J144=""),"",I144-J144)</f>
        <v/>
      </c>
      <c r="L144" s="15" t="inlineStr">
        <is>
          <t>3 months</t>
        </is>
      </c>
      <c r="M144" s="15" t="inlineStr">
        <is>
          <t>Bought</t>
        </is>
      </c>
      <c r="N144" s="15" t="inlineStr">
        <is>
          <t>BLOCK G, PLOT 8</t>
        </is>
      </c>
      <c r="O144" s="15" t="inlineStr">
        <is>
          <t>Deed collected by client</t>
        </is>
      </c>
      <c r="P144" s="15" t="inlineStr">
        <is>
          <t>Ms Samuella</t>
        </is>
      </c>
      <c r="Q144" s="15" t="inlineStr">
        <is>
          <t>BAAY PROJECTS CLIENTS &gt; GREEN CITY PHASE 3, OMU EPE</t>
        </is>
      </c>
      <c r="R144" s="15" t="n">
        <v>31</v>
      </c>
      <c r="S144" s="15" t="inlineStr">
        <is>
          <t>29/11/2024</t>
        </is>
      </c>
      <c r="T144" s="15" t="n"/>
    </row>
    <row r="145">
      <c r="A145" s="15" t="inlineStr">
        <is>
          <t>SB0141</t>
        </is>
      </c>
      <c r="B145" s="15" t="inlineStr">
        <is>
          <t>BP-C0150</t>
        </is>
      </c>
      <c r="C145" s="15" t="inlineStr">
        <is>
          <t>Mr Ajiboso Damilare Moses &amp; Mrs Ajiboso Gbemisola Rachael</t>
        </is>
      </c>
      <c r="D145" s="15" t="inlineStr">
        <is>
          <t>Land</t>
        </is>
      </c>
      <c r="E145" s="15" t="inlineStr">
        <is>
          <t>Green City Phase 3 (Omu-Epe)</t>
        </is>
      </c>
      <c r="F145" s="15" t="inlineStr">
        <is>
          <t>500SQM</t>
        </is>
      </c>
      <c r="G145" s="16" t="n">
        <v>45626</v>
      </c>
      <c r="H145" s="15">
        <f>IF(G145="","",YEAR(G145))</f>
        <v/>
      </c>
      <c r="I145" s="17" t="n">
        <v>5000000</v>
      </c>
      <c r="J145" s="17" t="n">
        <v>5000000</v>
      </c>
      <c r="K145" s="17">
        <f>IF(OR(I145="",J145=""),"",I145-J145)</f>
        <v/>
      </c>
      <c r="L145" s="15" t="inlineStr">
        <is>
          <t>3 months</t>
        </is>
      </c>
      <c r="M145" s="15" t="inlineStr">
        <is>
          <t>Bought</t>
        </is>
      </c>
      <c r="N145" s="15" t="inlineStr">
        <is>
          <t>BLOCK G, PLOT 9</t>
        </is>
      </c>
      <c r="O145" s="15" t="inlineStr">
        <is>
          <t>Deed collected by client</t>
        </is>
      </c>
      <c r="P145" s="15" t="inlineStr">
        <is>
          <t>Ms Adenike</t>
        </is>
      </c>
      <c r="Q145" s="15" t="inlineStr">
        <is>
          <t>BAAY PROJECTS CLIENTS &gt; GREEN CITY PHASE 3, OMU EPE</t>
        </is>
      </c>
      <c r="R145" s="15" t="n">
        <v>32</v>
      </c>
      <c r="S145" s="15" t="inlineStr">
        <is>
          <t>30/11/2024</t>
        </is>
      </c>
      <c r="T145" s="15" t="n"/>
    </row>
    <row r="146">
      <c r="A146" s="15" t="inlineStr">
        <is>
          <t>SB0142</t>
        </is>
      </c>
      <c r="B146" s="15" t="inlineStr">
        <is>
          <t>BP-C0151</t>
        </is>
      </c>
      <c r="C146" s="15" t="inlineStr">
        <is>
          <t>Mrs Shotonwa Olamide Abosede</t>
        </is>
      </c>
      <c r="D146" s="15" t="inlineStr">
        <is>
          <t>Land</t>
        </is>
      </c>
      <c r="E146" s="15" t="inlineStr">
        <is>
          <t>Green City Phase 3 (Omu-Epe)</t>
        </is>
      </c>
      <c r="F146" s="15" t="inlineStr">
        <is>
          <t>500SQM</t>
        </is>
      </c>
      <c r="G146" s="16" t="n">
        <v>45626</v>
      </c>
      <c r="H146" s="15">
        <f>IF(G146="","",YEAR(G146))</f>
        <v/>
      </c>
      <c r="I146" s="17" t="n">
        <v>5000000</v>
      </c>
      <c r="J146" s="17" t="n">
        <v>5000000</v>
      </c>
      <c r="K146" s="17">
        <f>IF(OR(I146="",J146=""),"",I146-J146)</f>
        <v/>
      </c>
      <c r="L146" s="15" t="inlineStr">
        <is>
          <t>3 months</t>
        </is>
      </c>
      <c r="M146" s="15" t="inlineStr">
        <is>
          <t>Bought</t>
        </is>
      </c>
      <c r="N146" s="15" t="inlineStr">
        <is>
          <t>BLOCK G, PLOT 10</t>
        </is>
      </c>
      <c r="O146" s="15" t="inlineStr">
        <is>
          <t>Deed collected by client</t>
        </is>
      </c>
      <c r="P146" s="15" t="inlineStr">
        <is>
          <t>Ms Adenike</t>
        </is>
      </c>
      <c r="Q146" s="15" t="inlineStr">
        <is>
          <t>BAAY PROJECTS CLIENTS &gt; GREEN CITY PHASE 3, OMU EPE</t>
        </is>
      </c>
      <c r="R146" s="15" t="n">
        <v>33</v>
      </c>
      <c r="S146" s="15" t="inlineStr">
        <is>
          <t>30/11/2024</t>
        </is>
      </c>
      <c r="T146" s="15" t="n"/>
    </row>
    <row r="147">
      <c r="A147" s="15" t="inlineStr">
        <is>
          <t>SB0143</t>
        </is>
      </c>
      <c r="B147" s="15" t="inlineStr">
        <is>
          <t>BP-C0152</t>
        </is>
      </c>
      <c r="C147" s="15" t="inlineStr">
        <is>
          <t>Mr Iyama Godsauthority Chinedu</t>
        </is>
      </c>
      <c r="D147" s="15" t="inlineStr">
        <is>
          <t>Land</t>
        </is>
      </c>
      <c r="E147" s="15" t="inlineStr">
        <is>
          <t>Green City Phase 3 Extension (Omu-Epe)</t>
        </is>
      </c>
      <c r="F147" s="15" t="inlineStr">
        <is>
          <t>250 SQM</t>
        </is>
      </c>
      <c r="G147" s="16" t="n">
        <v>45630</v>
      </c>
      <c r="H147" s="15">
        <f>IF(G147="","",YEAR(G147))</f>
        <v/>
      </c>
      <c r="I147" s="17" t="n">
        <v>2000000</v>
      </c>
      <c r="J147" s="17" t="n">
        <v>350000</v>
      </c>
      <c r="K147" s="17">
        <f>IF(OR(I147="",J147=""),"",I147-J147)</f>
        <v/>
      </c>
      <c r="L147" s="15" t="inlineStr">
        <is>
          <t>3 months</t>
        </is>
      </c>
      <c r="M147" s="15" t="inlineStr">
        <is>
          <t>REFUND</t>
        </is>
      </c>
      <c r="N147" s="15" t="n"/>
      <c r="O147" s="15" t="inlineStr">
        <is>
          <t>REFUND</t>
        </is>
      </c>
      <c r="P147" s="15" t="inlineStr">
        <is>
          <t>Mr Daniel</t>
        </is>
      </c>
      <c r="Q147" s="15" t="inlineStr">
        <is>
          <t>BAAY PROJECTS CLIENTS &gt; GREEN CITY PHASE 3 EXTENSION, O</t>
        </is>
      </c>
      <c r="R147" s="15" t="n">
        <v>2</v>
      </c>
      <c r="S147" s="15" t="inlineStr">
        <is>
          <t>2024-04-12</t>
        </is>
      </c>
      <c r="T147" s="15" t="n"/>
    </row>
    <row r="148">
      <c r="A148" s="15" t="inlineStr">
        <is>
          <t>SB0144</t>
        </is>
      </c>
      <c r="B148" s="15" t="inlineStr">
        <is>
          <t>BP-C0153</t>
        </is>
      </c>
      <c r="C148" s="15" t="inlineStr">
        <is>
          <t>Miss Ademakinwa Abosede Wuraola</t>
        </is>
      </c>
      <c r="D148" s="15" t="inlineStr">
        <is>
          <t>Land</t>
        </is>
      </c>
      <c r="E148" s="15" t="inlineStr">
        <is>
          <t>Green City Ibadan (Akinyele-Moniya)</t>
        </is>
      </c>
      <c r="F148" s="15" t="inlineStr">
        <is>
          <t>500SQM</t>
        </is>
      </c>
      <c r="G148" s="16" t="n">
        <v>45641</v>
      </c>
      <c r="H148" s="15">
        <f>IF(G148="","",YEAR(G148))</f>
        <v/>
      </c>
      <c r="I148" s="17" t="n">
        <v>2900000</v>
      </c>
      <c r="J148" s="17" t="n">
        <v>2100000</v>
      </c>
      <c r="K148" s="17">
        <f>IF(OR(I148="",J148=""),"",I148-J148)</f>
        <v/>
      </c>
      <c r="L148" s="15" t="inlineStr">
        <is>
          <t>3 months</t>
        </is>
      </c>
      <c r="M148" s="15" t="inlineStr">
        <is>
          <t>Bought</t>
        </is>
      </c>
      <c r="N148" s="15" t="inlineStr">
        <is>
          <t>BLOCK E, PLOT 1</t>
        </is>
      </c>
      <c r="O148" s="15" t="inlineStr">
        <is>
          <t>Contract of Sale signed</t>
        </is>
      </c>
      <c r="P148" s="15" t="inlineStr">
        <is>
          <t>Miss Abosede (Team Taiwo)</t>
        </is>
      </c>
      <c r="Q148" s="15" t="inlineStr">
        <is>
          <t>BAAY PROJECTS CLIENTS &gt; GREEN CITY IBADAN, AKINYELE-MON</t>
        </is>
      </c>
      <c r="R148" s="15" t="n">
        <v>4</v>
      </c>
      <c r="S148" s="15" t="inlineStr">
        <is>
          <t>15/12/2024</t>
        </is>
      </c>
      <c r="T148" s="15" t="n"/>
    </row>
    <row r="149">
      <c r="A149" s="15" t="inlineStr">
        <is>
          <t>SB0145</t>
        </is>
      </c>
      <c r="B149" s="15" t="inlineStr">
        <is>
          <t>BP-C0154</t>
        </is>
      </c>
      <c r="C149" s="15" t="inlineStr">
        <is>
          <t>Mr Adepoju Adewale Emmanuel</t>
        </is>
      </c>
      <c r="D149" s="15" t="inlineStr">
        <is>
          <t>Land</t>
        </is>
      </c>
      <c r="E149" s="15" t="inlineStr">
        <is>
          <t>Green City Ibadan (Akinyele-Moniya)</t>
        </is>
      </c>
      <c r="F149" s="15" t="inlineStr">
        <is>
          <t>1000SQM</t>
        </is>
      </c>
      <c r="G149" s="16" t="n">
        <v>45641</v>
      </c>
      <c r="H149" s="15">
        <f>IF(G149="","",YEAR(G149))</f>
        <v/>
      </c>
      <c r="I149" s="17" t="n">
        <v>5800000</v>
      </c>
      <c r="J149" s="17" t="n">
        <v>4200000</v>
      </c>
      <c r="K149" s="17">
        <f>IF(OR(I149="",J149=""),"",I149-J149)</f>
        <v/>
      </c>
      <c r="L149" s="15" t="inlineStr">
        <is>
          <t>3 months</t>
        </is>
      </c>
      <c r="M149" s="15" t="inlineStr">
        <is>
          <t>Bought</t>
        </is>
      </c>
      <c r="N149" s="15" t="inlineStr">
        <is>
          <t>BLOCK E, PLOT 2 &amp; 3</t>
        </is>
      </c>
      <c r="O149" s="15" t="inlineStr">
        <is>
          <t>Contract of Sale signed</t>
        </is>
      </c>
      <c r="P149" s="15" t="inlineStr">
        <is>
          <t>Ms Abosede (Team Taiwo</t>
        </is>
      </c>
      <c r="Q149" s="15" t="inlineStr">
        <is>
          <t>BAAY PROJECTS CLIENTS &gt; GREEN CITY IBADAN, AKINYELE-MON</t>
        </is>
      </c>
      <c r="R149" s="15" t="n">
        <v>6</v>
      </c>
      <c r="S149" s="15" t="inlineStr">
        <is>
          <t>15/12/2024</t>
        </is>
      </c>
      <c r="T149" s="15" t="n"/>
    </row>
    <row r="150">
      <c r="A150" s="15" t="inlineStr">
        <is>
          <t>SB0146</t>
        </is>
      </c>
      <c r="B150" s="15" t="inlineStr">
        <is>
          <t>BP-C0155</t>
        </is>
      </c>
      <c r="C150" s="15" t="inlineStr">
        <is>
          <t>Mr Adeyanju Adebayo Samson</t>
        </is>
      </c>
      <c r="D150" s="15" t="inlineStr">
        <is>
          <t>Land</t>
        </is>
      </c>
      <c r="E150" s="15" t="inlineStr">
        <is>
          <t>Green City Ibadan (Akinyele-Moniya)</t>
        </is>
      </c>
      <c r="F150" s="15" t="inlineStr">
        <is>
          <t>500SQM</t>
        </is>
      </c>
      <c r="G150" s="16" t="n">
        <v>45641</v>
      </c>
      <c r="H150" s="15">
        <f>IF(G150="","",YEAR(G150))</f>
        <v/>
      </c>
      <c r="I150" s="17" t="n">
        <v>2900000</v>
      </c>
      <c r="J150" s="17" t="n">
        <v>2100000</v>
      </c>
      <c r="K150" s="17">
        <f>IF(OR(I150="",J150=""),"",I150-J150)</f>
        <v/>
      </c>
      <c r="L150" s="15" t="inlineStr">
        <is>
          <t>3 months</t>
        </is>
      </c>
      <c r="M150" s="15" t="inlineStr">
        <is>
          <t>Bought</t>
        </is>
      </c>
      <c r="N150" s="15" t="inlineStr">
        <is>
          <t>BLOCK E, PLOT 4</t>
        </is>
      </c>
      <c r="O150" s="15" t="inlineStr">
        <is>
          <t>Contract of Sale signed</t>
        </is>
      </c>
      <c r="P150" s="15" t="inlineStr">
        <is>
          <t>Miss Abosede (Team Taiwo)</t>
        </is>
      </c>
      <c r="Q150" s="15" t="inlineStr">
        <is>
          <t>BAAY PROJECTS CLIENTS &gt; GREEN CITY IBADAN, AKINYELE-MON</t>
        </is>
      </c>
      <c r="R150" s="15" t="n">
        <v>5</v>
      </c>
      <c r="S150" s="15" t="inlineStr">
        <is>
          <t>15/12/2024</t>
        </is>
      </c>
      <c r="T150" s="15" t="n"/>
    </row>
    <row r="151">
      <c r="A151" s="15" t="inlineStr">
        <is>
          <t>SB0147</t>
        </is>
      </c>
      <c r="B151" s="15" t="inlineStr">
        <is>
          <t>BP-C0157</t>
        </is>
      </c>
      <c r="C151" s="15" t="inlineStr">
        <is>
          <t>Mrs Adepoju Adebola Adeniran</t>
        </is>
      </c>
      <c r="D151" s="15" t="inlineStr">
        <is>
          <t>Land</t>
        </is>
      </c>
      <c r="E151" s="15" t="inlineStr">
        <is>
          <t>Green City Ibadan (Akinyele-Moniya)</t>
        </is>
      </c>
      <c r="F151" s="15" t="inlineStr">
        <is>
          <t>1000SQM</t>
        </is>
      </c>
      <c r="G151" s="16" t="n">
        <v>45641</v>
      </c>
      <c r="H151" s="15">
        <f>IF(G151="","",YEAR(G151))</f>
        <v/>
      </c>
      <c r="I151" s="17" t="n">
        <v>5800000</v>
      </c>
      <c r="J151" s="17" t="n">
        <v>4200000</v>
      </c>
      <c r="K151" s="17">
        <f>IF(OR(I151="",J151=""),"",I151-J151)</f>
        <v/>
      </c>
      <c r="L151" s="15" t="inlineStr">
        <is>
          <t>3 months</t>
        </is>
      </c>
      <c r="M151" s="15" t="inlineStr">
        <is>
          <t>Bought</t>
        </is>
      </c>
      <c r="N151" s="15" t="inlineStr">
        <is>
          <t>BLOCK E, PLOT 5 &amp; 6</t>
        </is>
      </c>
      <c r="O151" s="15" t="inlineStr">
        <is>
          <t>Contract of Sale signed</t>
        </is>
      </c>
      <c r="P151" s="15" t="inlineStr">
        <is>
          <t>Ms Abosede (Team Taiwo</t>
        </is>
      </c>
      <c r="Q151" s="15" t="inlineStr">
        <is>
          <t>BAAY PROJECTS CLIENTS &gt; GREEN CITY IBADAN, AKINYELE-MON</t>
        </is>
      </c>
      <c r="R151" s="15" t="n">
        <v>7</v>
      </c>
      <c r="S151" s="15" t="inlineStr">
        <is>
          <t>15/12/2024</t>
        </is>
      </c>
      <c r="T151" s="15" t="n"/>
    </row>
    <row r="152">
      <c r="A152" s="15" t="inlineStr">
        <is>
          <t>SB0148</t>
        </is>
      </c>
      <c r="B152" s="15" t="inlineStr">
        <is>
          <t>BP-C0017</t>
        </is>
      </c>
      <c r="C152" s="15" t="inlineStr">
        <is>
          <t>Mr John Taiwo Adeleye</t>
        </is>
      </c>
      <c r="D152" s="15" t="inlineStr">
        <is>
          <t>Land</t>
        </is>
      </c>
      <c r="E152" s="15" t="inlineStr">
        <is>
          <t>Green City Ibadan (Akinyele-Moniya)</t>
        </is>
      </c>
      <c r="F152" s="15" t="inlineStr">
        <is>
          <t>250SQM</t>
        </is>
      </c>
      <c r="G152" s="16" t="n">
        <v>45645</v>
      </c>
      <c r="H152" s="15">
        <f>IF(G152="","",YEAR(G152))</f>
        <v/>
      </c>
      <c r="I152" s="17" t="n">
        <v>1500000</v>
      </c>
      <c r="J152" s="17" t="n">
        <v>1500000</v>
      </c>
      <c r="K152" s="17">
        <f>IF(OR(I152="",J152=""),"",I152-J152)</f>
        <v/>
      </c>
      <c r="L152" s="15" t="inlineStr">
        <is>
          <t>3 months</t>
        </is>
      </c>
      <c r="M152" s="15" t="inlineStr">
        <is>
          <t>Bought</t>
        </is>
      </c>
      <c r="N152" s="15" t="inlineStr">
        <is>
          <t>BLOCK F, PLOT 1</t>
        </is>
      </c>
      <c r="O152" s="15" t="inlineStr">
        <is>
          <t>Contract of Sale signed</t>
        </is>
      </c>
      <c r="P152" s="15" t="inlineStr">
        <is>
          <t>Ms Jochebed (Team Moffat)</t>
        </is>
      </c>
      <c r="Q152" s="15" t="inlineStr">
        <is>
          <t>BAAY PROJECTS CLIENTS &gt; GREEN CITY IBADAN, AKINYELE-MON</t>
        </is>
      </c>
      <c r="R152" s="15" t="n">
        <v>8</v>
      </c>
      <c r="S152" s="15" t="inlineStr">
        <is>
          <t>19/12/2024</t>
        </is>
      </c>
      <c r="T152" s="15" t="n"/>
    </row>
    <row r="153">
      <c r="A153" s="15" t="inlineStr">
        <is>
          <t>SB0149</t>
        </is>
      </c>
      <c r="B153" s="15" t="inlineStr">
        <is>
          <t>BP-C0158</t>
        </is>
      </c>
      <c r="C153" s="15" t="inlineStr">
        <is>
          <t>Mr Shino Precious Vincent</t>
        </is>
      </c>
      <c r="D153" s="15" t="inlineStr">
        <is>
          <t>Land</t>
        </is>
      </c>
      <c r="E153" s="15" t="inlineStr">
        <is>
          <t>Green City Phase 3 Extension (Omu-Epe)</t>
        </is>
      </c>
      <c r="F153" s="15" t="inlineStr">
        <is>
          <t>250 SQM</t>
        </is>
      </c>
      <c r="G153" s="16" t="n">
        <v>45646</v>
      </c>
      <c r="H153" s="15">
        <f>IF(G153="","",YEAR(G153))</f>
        <v/>
      </c>
      <c r="I153" s="17" t="n">
        <v>2000000</v>
      </c>
      <c r="J153" s="17" t="n">
        <v>1500000</v>
      </c>
      <c r="K153" s="17">
        <f>IF(OR(I153="",J153=""),"",I153-J153)</f>
        <v/>
      </c>
      <c r="L153" s="15" t="inlineStr">
        <is>
          <t>3 months</t>
        </is>
      </c>
      <c r="M153" s="15" t="inlineStr">
        <is>
          <t>Migrated</t>
        </is>
      </c>
      <c r="N153" s="15" t="inlineStr">
        <is>
          <t>BLOCK D, PLOT 2</t>
        </is>
      </c>
      <c r="O153" s="15" t="inlineStr">
        <is>
          <t>Not Yet Processed</t>
        </is>
      </c>
      <c r="P153" s="15" t="inlineStr">
        <is>
          <t>Mr Daniel (Team Pelumi)</t>
        </is>
      </c>
      <c r="Q153" s="15" t="inlineStr">
        <is>
          <t>BAAY PROJECTS CLIENTS &gt; GREEN CITY PHASE 3 EXTENSION, O</t>
        </is>
      </c>
      <c r="R153" s="15" t="n">
        <v>3</v>
      </c>
      <c r="S153" s="15" t="inlineStr">
        <is>
          <t>20/12/2024</t>
        </is>
      </c>
      <c r="T153" s="15" t="n"/>
    </row>
    <row r="154">
      <c r="A154" s="15" t="inlineStr">
        <is>
          <t>SB0150</t>
        </is>
      </c>
      <c r="B154" s="15" t="inlineStr">
        <is>
          <t>BP-C0159</t>
        </is>
      </c>
      <c r="C154" s="15" t="inlineStr">
        <is>
          <t>Miss Etefe Ava Ogheneyorhe</t>
        </is>
      </c>
      <c r="D154" s="15" t="inlineStr">
        <is>
          <t>Land</t>
        </is>
      </c>
      <c r="E154" s="15" t="inlineStr">
        <is>
          <t>Heritage Garden</t>
        </is>
      </c>
      <c r="F154" s="15" t="inlineStr">
        <is>
          <t>500sqm</t>
        </is>
      </c>
      <c r="G154" s="16" t="n">
        <v>45650</v>
      </c>
      <c r="H154" s="15">
        <f>IF(G154="","",YEAR(G154))</f>
        <v/>
      </c>
      <c r="I154" s="17" t="n">
        <v>1100000</v>
      </c>
      <c r="J154" s="17" t="n">
        <v>1000000</v>
      </c>
      <c r="K154" s="17">
        <f>IF(OR(I154="",J154=""),"",I154-J154)</f>
        <v/>
      </c>
      <c r="L154" s="15" t="inlineStr">
        <is>
          <t>3 months</t>
        </is>
      </c>
      <c r="M154" s="15" t="inlineStr">
        <is>
          <t>Paying</t>
        </is>
      </c>
      <c r="N154" s="15" t="inlineStr">
        <is>
          <t>BLOCK D, PLOT 2</t>
        </is>
      </c>
      <c r="O154" s="15" t="inlineStr">
        <is>
          <t>Not yet Prepared</t>
        </is>
      </c>
      <c r="P154" s="15" t="inlineStr">
        <is>
          <t>Ms Elizabeth</t>
        </is>
      </c>
      <c r="Q154" s="15" t="inlineStr">
        <is>
          <t>BAAY PROJECTS CLIENTS &gt; HERITAGE GARDEN</t>
        </is>
      </c>
      <c r="R154" s="15" t="n">
        <v>7</v>
      </c>
      <c r="S154" s="15" t="inlineStr">
        <is>
          <t>24/12/2024</t>
        </is>
      </c>
      <c r="T154" s="15" t="n"/>
    </row>
    <row r="155">
      <c r="A155" s="15" t="inlineStr">
        <is>
          <t>SB0151</t>
        </is>
      </c>
      <c r="B155" s="15" t="inlineStr">
        <is>
          <t>BP-C0160</t>
        </is>
      </c>
      <c r="C155" s="15" t="inlineStr">
        <is>
          <t>Mr Okenla Olugboyega Gabriel</t>
        </is>
      </c>
      <c r="D155" s="15" t="inlineStr">
        <is>
          <t>Housing</t>
        </is>
      </c>
      <c r="E155" s="15" t="inlineStr">
        <is>
          <t>Pacific Apartment</t>
        </is>
      </c>
      <c r="F155" s="15" t="inlineStr">
        <is>
          <t>2 bedroom with a BQ | units: 1.0</t>
        </is>
      </c>
      <c r="G155" s="16" t="n">
        <v>45653</v>
      </c>
      <c r="H155" s="15">
        <f>IF(G155="","",YEAR(G155))</f>
        <v/>
      </c>
      <c r="I155" s="17" t="n">
        <v>75000000</v>
      </c>
      <c r="J155" s="17" t="n">
        <v>30000000</v>
      </c>
      <c r="K155" s="17">
        <f>IF(OR(I155="",J155=""),"",I155-J155)</f>
        <v/>
      </c>
      <c r="L155" s="15" t="inlineStr">
        <is>
          <t>15 months</t>
        </is>
      </c>
      <c r="M155" s="15" t="inlineStr">
        <is>
          <t>Paying</t>
        </is>
      </c>
      <c r="N155" s="15" t="n"/>
      <c r="O155" s="15" t="n"/>
      <c r="P155" s="15" t="inlineStr">
        <is>
          <t>Ms Moffat</t>
        </is>
      </c>
      <c r="Q155" s="15" t="inlineStr">
        <is>
          <t>BAAY PROJECTS CLIENTS &gt; PACIFIC APARTMENT</t>
        </is>
      </c>
      <c r="R155" s="15" t="n">
        <v>5</v>
      </c>
      <c r="S155" s="15" t="inlineStr">
        <is>
          <t>27/12/2024</t>
        </is>
      </c>
      <c r="T155" s="15" t="n"/>
    </row>
    <row r="156">
      <c r="A156" s="15" t="inlineStr">
        <is>
          <t>SB0152</t>
        </is>
      </c>
      <c r="B156" s="15" t="inlineStr">
        <is>
          <t>BP-C0162</t>
        </is>
      </c>
      <c r="C156" s="15" t="inlineStr">
        <is>
          <t>Miss Uthman Alimat Modupe</t>
        </is>
      </c>
      <c r="D156" s="15" t="inlineStr">
        <is>
          <t>Land</t>
        </is>
      </c>
      <c r="E156" s="15" t="inlineStr">
        <is>
          <t>Green City Phase 3 Extension (Omu-Epe)</t>
        </is>
      </c>
      <c r="F156" s="15" t="inlineStr">
        <is>
          <t>250 SQM</t>
        </is>
      </c>
      <c r="G156" s="16" t="n">
        <v>45657</v>
      </c>
      <c r="H156" s="15">
        <f>IF(G156="","",YEAR(G156))</f>
        <v/>
      </c>
      <c r="I156" s="17" t="n">
        <v>2000000</v>
      </c>
      <c r="J156" s="17" t="n">
        <v>500000</v>
      </c>
      <c r="K156" s="17">
        <f>IF(OR(I156="",J156=""),"",I156-J156)</f>
        <v/>
      </c>
      <c r="L156" s="15" t="inlineStr">
        <is>
          <t>3 months</t>
        </is>
      </c>
      <c r="M156" s="15" t="inlineStr">
        <is>
          <t>REFUND</t>
        </is>
      </c>
      <c r="N156" s="15" t="n"/>
      <c r="O156" s="15" t="inlineStr">
        <is>
          <t>Not Yet Processed</t>
        </is>
      </c>
      <c r="P156" s="15" t="inlineStr">
        <is>
          <t>Ms Tobi</t>
        </is>
      </c>
      <c r="Q156" s="15" t="inlineStr">
        <is>
          <t>BAAY PROJECTS CLIENTS &gt; GREEN CITY PHASE 3 EXTENSION, O</t>
        </is>
      </c>
      <c r="R156" s="15" t="n">
        <v>4</v>
      </c>
      <c r="S156" s="15" t="inlineStr">
        <is>
          <t>31/12/2024</t>
        </is>
      </c>
      <c r="T156" s="15" t="n"/>
    </row>
    <row r="157">
      <c r="A157" s="15" t="inlineStr">
        <is>
          <t>SB0153</t>
        </is>
      </c>
      <c r="B157" s="15" t="inlineStr">
        <is>
          <t>BP-C0163</t>
        </is>
      </c>
      <c r="C157" s="15" t="inlineStr">
        <is>
          <t>Mr Ajagbe James Olatayo</t>
        </is>
      </c>
      <c r="D157" s="15" t="inlineStr">
        <is>
          <t>Land</t>
        </is>
      </c>
      <c r="E157" s="15" t="inlineStr">
        <is>
          <t>Heritage Garden</t>
        </is>
      </c>
      <c r="F157" s="15" t="inlineStr">
        <is>
          <t>250sqm</t>
        </is>
      </c>
      <c r="G157" s="16" t="n">
        <v>45657</v>
      </c>
      <c r="H157" s="15">
        <f>IF(G157="","",YEAR(G157))</f>
        <v/>
      </c>
      <c r="I157" s="17" t="n">
        <v>550000</v>
      </c>
      <c r="J157" s="17" t="n">
        <v>550000</v>
      </c>
      <c r="K157" s="17">
        <f>IF(OR(I157="",J157=""),"",I157-J157)</f>
        <v/>
      </c>
      <c r="L157" s="15" t="inlineStr">
        <is>
          <t>3 months</t>
        </is>
      </c>
      <c r="M157" s="15" t="inlineStr">
        <is>
          <t>Bought</t>
        </is>
      </c>
      <c r="N157" s="15" t="inlineStr">
        <is>
          <t>BLOCK C, PLOT 12</t>
        </is>
      </c>
      <c r="O157" s="15" t="inlineStr">
        <is>
          <t>Contract of Sales Signed</t>
        </is>
      </c>
      <c r="P157" s="15" t="inlineStr">
        <is>
          <t>Mr Baqi</t>
        </is>
      </c>
      <c r="Q157" s="15" t="inlineStr">
        <is>
          <t>BAAY PROJECTS CLIENTS &gt; HERITAGE GARDEN</t>
        </is>
      </c>
      <c r="R157" s="15" t="n">
        <v>8</v>
      </c>
      <c r="S157" s="15" t="inlineStr">
        <is>
          <t>31/12/2024</t>
        </is>
      </c>
      <c r="T157" s="15" t="n"/>
    </row>
    <row r="158">
      <c r="A158" s="15" t="inlineStr">
        <is>
          <t>SB0154</t>
        </is>
      </c>
      <c r="B158" s="15" t="inlineStr">
        <is>
          <t>BP-C0164</t>
        </is>
      </c>
      <c r="C158" s="15" t="inlineStr">
        <is>
          <t>Miss Arogundade Motunrayo Azeezat</t>
        </is>
      </c>
      <c r="D158" s="15" t="inlineStr">
        <is>
          <t>Land</t>
        </is>
      </c>
      <c r="E158" s="15" t="inlineStr">
        <is>
          <t>Heritage Garden</t>
        </is>
      </c>
      <c r="F158" s="15" t="inlineStr">
        <is>
          <t>500sqm</t>
        </is>
      </c>
      <c r="G158" s="16" t="n">
        <v>45659</v>
      </c>
      <c r="H158" s="15">
        <f>IF(G158="","",YEAR(G158))</f>
        <v/>
      </c>
      <c r="I158" s="17" t="n">
        <v>1000000</v>
      </c>
      <c r="J158" s="17" t="n">
        <v>1000000</v>
      </c>
      <c r="K158" s="17">
        <f>IF(OR(I158="",J158=""),"",I158-J158)</f>
        <v/>
      </c>
      <c r="L158" s="15" t="inlineStr">
        <is>
          <t>3 months</t>
        </is>
      </c>
      <c r="M158" s="15" t="inlineStr">
        <is>
          <t>Bought</t>
        </is>
      </c>
      <c r="N158" s="15" t="inlineStr">
        <is>
          <t>BLOCK D, PLOT 4</t>
        </is>
      </c>
      <c r="O158" s="15" t="inlineStr">
        <is>
          <t>Contract of Sales Signed</t>
        </is>
      </c>
      <c r="P158" s="15" t="inlineStr">
        <is>
          <t>Mr Ibukun (Team Taiwo)</t>
        </is>
      </c>
      <c r="Q158" s="15" t="inlineStr">
        <is>
          <t>BAAY PROJECTS CLIENTS &gt; HERITAGE GARDEN</t>
        </is>
      </c>
      <c r="R158" s="15" t="n">
        <v>9</v>
      </c>
      <c r="S158" s="15" t="inlineStr">
        <is>
          <t>2025-02-01</t>
        </is>
      </c>
      <c r="T158" s="15" t="n"/>
    </row>
    <row r="159">
      <c r="A159" s="15" t="inlineStr">
        <is>
          <t>SB0155</t>
        </is>
      </c>
      <c r="B159" s="15" t="inlineStr">
        <is>
          <t>BP-C0165</t>
        </is>
      </c>
      <c r="C159" s="15" t="inlineStr">
        <is>
          <t>Mr Ebosele Sunday Osabhue</t>
        </is>
      </c>
      <c r="D159" s="15" t="inlineStr">
        <is>
          <t>Housing</t>
        </is>
      </c>
      <c r="E159" s="15" t="inlineStr">
        <is>
          <t>Gorge View Court (GVC Gbagada)</t>
        </is>
      </c>
      <c r="F159" s="15" t="inlineStr">
        <is>
          <t>4Bedroom Terrace Triplex | units: 1 unit</t>
        </is>
      </c>
      <c r="G159" s="16" t="n">
        <v>45677</v>
      </c>
      <c r="H159" s="15">
        <f>IF(G159="","",YEAR(G159))</f>
        <v/>
      </c>
      <c r="I159" s="17" t="n">
        <v>250000000</v>
      </c>
      <c r="J159" s="17" t="n">
        <v>250000000</v>
      </c>
      <c r="K159" s="17">
        <f>IF(OR(I159="",J159=""),"",I159-J159)</f>
        <v/>
      </c>
      <c r="L159" s="15" t="inlineStr">
        <is>
          <t>3 months</t>
        </is>
      </c>
      <c r="M159" s="15" t="inlineStr">
        <is>
          <t>Bought</t>
        </is>
      </c>
      <c r="N159" s="15" t="n"/>
      <c r="O159" s="15" t="n"/>
      <c r="P159" s="15" t="inlineStr">
        <is>
          <t>Ms Adebomi</t>
        </is>
      </c>
      <c r="Q159" s="15" t="inlineStr">
        <is>
          <t>BAAY PROJECTS CLIENTS &gt; GORGE VIEW COURT</t>
        </is>
      </c>
      <c r="R159" s="15" t="n">
        <v>2</v>
      </c>
      <c r="S159" s="15" t="inlineStr">
        <is>
          <t>20/01/2025</t>
        </is>
      </c>
      <c r="T159" s="15" t="n"/>
    </row>
    <row r="160">
      <c r="A160" s="15" t="inlineStr">
        <is>
          <t>SB0156</t>
        </is>
      </c>
      <c r="B160" s="15" t="inlineStr">
        <is>
          <t>BP-C0166</t>
        </is>
      </c>
      <c r="C160" s="15" t="inlineStr">
        <is>
          <t>Mr Showande Lateef Olawale</t>
        </is>
      </c>
      <c r="D160" s="15" t="inlineStr">
        <is>
          <t>Land</t>
        </is>
      </c>
      <c r="E160" s="15" t="inlineStr">
        <is>
          <t>Green City Phase 3 (Omu-Epe)</t>
        </is>
      </c>
      <c r="F160" s="15" t="inlineStr">
        <is>
          <t>250SQM</t>
        </is>
      </c>
      <c r="G160" s="16" t="n">
        <v>45680</v>
      </c>
      <c r="H160" s="15">
        <f>IF(G160="","",YEAR(G160))</f>
        <v/>
      </c>
      <c r="I160" s="17" t="n">
        <v>3800000</v>
      </c>
      <c r="J160" s="17" t="n">
        <v>3800000</v>
      </c>
      <c r="K160" s="17">
        <f>IF(OR(I160="",J160=""),"",I160-J160)</f>
        <v/>
      </c>
      <c r="L160" s="15" t="inlineStr">
        <is>
          <t>3 months</t>
        </is>
      </c>
      <c r="M160" s="15" t="inlineStr">
        <is>
          <t>Closed</t>
        </is>
      </c>
      <c r="N160" s="15" t="inlineStr">
        <is>
          <t>BLOCK H, PLOT 5</t>
        </is>
      </c>
      <c r="O160" s="15" t="inlineStr">
        <is>
          <t>Not Yet Processed</t>
        </is>
      </c>
      <c r="P160" s="15" t="inlineStr">
        <is>
          <t>Mr Ogidan Williams</t>
        </is>
      </c>
      <c r="Q160" s="15" t="inlineStr">
        <is>
          <t>BAAY PROJECTS CLIENTS &gt; GREEN CITY PHASE 3, OMU EPE</t>
        </is>
      </c>
      <c r="R160" s="15" t="n">
        <v>35</v>
      </c>
      <c r="S160" s="15" t="inlineStr">
        <is>
          <t>23/01/2025</t>
        </is>
      </c>
      <c r="T160" s="15" t="n"/>
    </row>
    <row r="161">
      <c r="A161" s="15" t="inlineStr">
        <is>
          <t>SB0157</t>
        </is>
      </c>
      <c r="B161" s="15" t="inlineStr">
        <is>
          <t>BP-C0168</t>
        </is>
      </c>
      <c r="C161" s="15" t="inlineStr">
        <is>
          <t>Mrs Adenuga Damilola Grace</t>
        </is>
      </c>
      <c r="D161" s="15" t="inlineStr">
        <is>
          <t>Land</t>
        </is>
      </c>
      <c r="E161" s="15" t="inlineStr">
        <is>
          <t>Green City Phase 3 Extension (Omu-Epe)</t>
        </is>
      </c>
      <c r="F161" s="15" t="inlineStr">
        <is>
          <t>250 SQM</t>
        </is>
      </c>
      <c r="G161" s="16" t="n">
        <v>45692</v>
      </c>
      <c r="H161" s="15">
        <f>IF(G161="","",YEAR(G161))</f>
        <v/>
      </c>
      <c r="I161" s="17" t="n">
        <v>2000000</v>
      </c>
      <c r="J161" s="17" t="n">
        <v>2000000</v>
      </c>
      <c r="K161" s="17">
        <f>IF(OR(I161="",J161=""),"",I161-J161)</f>
        <v/>
      </c>
      <c r="L161" s="15" t="inlineStr">
        <is>
          <t>3 months</t>
        </is>
      </c>
      <c r="M161" s="15" t="inlineStr">
        <is>
          <t>Bought</t>
        </is>
      </c>
      <c r="N161" s="15" t="inlineStr">
        <is>
          <t>BLOCK D, PLOT 3</t>
        </is>
      </c>
      <c r="O161" s="15" t="inlineStr">
        <is>
          <t>Collected by client rep</t>
        </is>
      </c>
      <c r="P161" s="15" t="inlineStr">
        <is>
          <t>Ms Adenike</t>
        </is>
      </c>
      <c r="Q161" s="15" t="inlineStr">
        <is>
          <t>BAAY PROJECTS CLIENTS &gt; GREEN CITY PHASE 3 EXTENSION, O</t>
        </is>
      </c>
      <c r="R161" s="15" t="n">
        <v>5</v>
      </c>
      <c r="S161" s="15" t="inlineStr">
        <is>
          <t>2025-04-02</t>
        </is>
      </c>
      <c r="T161" s="15" t="n"/>
    </row>
    <row r="162">
      <c r="A162" s="15" t="inlineStr">
        <is>
          <t>SB0158</t>
        </is>
      </c>
      <c r="B162" s="15" t="inlineStr">
        <is>
          <t>BP-C0169</t>
        </is>
      </c>
      <c r="C162" s="15" t="inlineStr">
        <is>
          <t>Miss Isawumi Daniella Mojoyin</t>
        </is>
      </c>
      <c r="D162" s="15" t="inlineStr">
        <is>
          <t>Land</t>
        </is>
      </c>
      <c r="E162" s="15" t="inlineStr">
        <is>
          <t>Heritage Garden</t>
        </is>
      </c>
      <c r="F162" s="15" t="inlineStr">
        <is>
          <t>250sqm</t>
        </is>
      </c>
      <c r="G162" s="16" t="n">
        <v>45693</v>
      </c>
      <c r="H162" s="15">
        <f>IF(G162="","",YEAR(G162))</f>
        <v/>
      </c>
      <c r="I162" s="17" t="n">
        <v>594000</v>
      </c>
      <c r="J162" s="17" t="n">
        <v>75000</v>
      </c>
      <c r="K162" s="17">
        <f>IF(OR(I162="",J162=""),"",I162-J162)</f>
        <v/>
      </c>
      <c r="L162" s="15" t="inlineStr">
        <is>
          <t>3 months</t>
        </is>
      </c>
      <c r="M162" s="15" t="inlineStr">
        <is>
          <t>Paying</t>
        </is>
      </c>
      <c r="N162" s="15" t="inlineStr">
        <is>
          <t>BLOCK C, PLOT 6</t>
        </is>
      </c>
      <c r="O162" s="15" t="inlineStr">
        <is>
          <t>Not yet Prepared</t>
        </is>
      </c>
      <c r="P162" s="15" t="inlineStr">
        <is>
          <t>Ms Daniella</t>
        </is>
      </c>
      <c r="Q162" s="15" t="inlineStr">
        <is>
          <t>BAAY PROJECTS CLIENTS &gt; HERITAGE GARDEN</t>
        </is>
      </c>
      <c r="R162" s="15" t="n">
        <v>10</v>
      </c>
      <c r="S162" s="15" t="inlineStr">
        <is>
          <t>2025-05-02</t>
        </is>
      </c>
      <c r="T162" s="15" t="n"/>
    </row>
    <row r="163">
      <c r="A163" s="15" t="inlineStr">
        <is>
          <t>SB0159</t>
        </is>
      </c>
      <c r="B163" s="15" t="inlineStr">
        <is>
          <t>BP-C0171</t>
        </is>
      </c>
      <c r="C163" s="15" t="inlineStr">
        <is>
          <t>Mr Owomoyela Abiodun Micheal</t>
        </is>
      </c>
      <c r="D163" s="15" t="inlineStr">
        <is>
          <t>Land</t>
        </is>
      </c>
      <c r="E163" s="15" t="inlineStr">
        <is>
          <t>Green City Phase 3 Extension (Omu-Epe)</t>
        </is>
      </c>
      <c r="F163" s="15" t="inlineStr">
        <is>
          <t>500 SQM</t>
        </is>
      </c>
      <c r="G163" s="16" t="n">
        <v>45694</v>
      </c>
      <c r="H163" s="15">
        <f>IF(G163="","",YEAR(G163))</f>
        <v/>
      </c>
      <c r="I163" s="17" t="n">
        <v>3800000</v>
      </c>
      <c r="J163" s="17" t="n">
        <v>3800000</v>
      </c>
      <c r="K163" s="17">
        <f>IF(OR(I163="",J163=""),"",I163-J163)</f>
        <v/>
      </c>
      <c r="L163" s="15" t="inlineStr">
        <is>
          <t>3 months</t>
        </is>
      </c>
      <c r="M163" s="15" t="inlineStr">
        <is>
          <t>Bought</t>
        </is>
      </c>
      <c r="N163" s="15" t="inlineStr">
        <is>
          <t>BLOCK E, PLOT 1</t>
        </is>
      </c>
      <c r="O163" s="15" t="inlineStr">
        <is>
          <t>Collected by client rep</t>
        </is>
      </c>
      <c r="P163" s="15" t="inlineStr">
        <is>
          <t>Ms Abisola (Team Tobi)</t>
        </is>
      </c>
      <c r="Q163" s="15" t="inlineStr">
        <is>
          <t>BAAY PROJECTS CLIENTS &gt; GREEN CITY PHASE 3 EXTENSION, O</t>
        </is>
      </c>
      <c r="R163" s="15" t="n">
        <v>6</v>
      </c>
      <c r="S163" s="15" t="inlineStr">
        <is>
          <t>2025-06-02</t>
        </is>
      </c>
      <c r="T163" s="15" t="n"/>
    </row>
    <row r="164">
      <c r="A164" s="15" t="inlineStr">
        <is>
          <t>SB0160</t>
        </is>
      </c>
      <c r="B164" s="15" t="inlineStr">
        <is>
          <t>BP-C0132</t>
        </is>
      </c>
      <c r="C164" s="15" t="inlineStr">
        <is>
          <t>Mr Ajayi Adekunle Temitope</t>
        </is>
      </c>
      <c r="D164" s="15" t="inlineStr">
        <is>
          <t>Land</t>
        </is>
      </c>
      <c r="E164" s="15" t="inlineStr">
        <is>
          <t>Green City Ibadan (Akinyele-Moniya)</t>
        </is>
      </c>
      <c r="F164" s="15" t="inlineStr">
        <is>
          <t>500SQM</t>
        </is>
      </c>
      <c r="G164" s="16" t="n">
        <v>45699</v>
      </c>
      <c r="H164" s="15">
        <f>IF(G164="","",YEAR(G164))</f>
        <v/>
      </c>
      <c r="I164" s="17" t="n">
        <v>2500000</v>
      </c>
      <c r="J164" s="17" t="n">
        <v>2500000</v>
      </c>
      <c r="K164" s="17">
        <f>IF(OR(I164="",J164=""),"",I164-J164)</f>
        <v/>
      </c>
      <c r="L164" s="15" t="inlineStr">
        <is>
          <t>3 months</t>
        </is>
      </c>
      <c r="M164" s="15" t="inlineStr">
        <is>
          <t>Bought</t>
        </is>
      </c>
      <c r="N164" s="15" t="inlineStr">
        <is>
          <t>BLOCK C, PLOT 7</t>
        </is>
      </c>
      <c r="O164" s="15" t="inlineStr">
        <is>
          <t>Contract of Sale signed</t>
        </is>
      </c>
      <c r="P164" s="15" t="inlineStr">
        <is>
          <t>Ms Opeyemi</t>
        </is>
      </c>
      <c r="Q164" s="15" t="inlineStr">
        <is>
          <t>BAAY PROJECTS CLIENTS &gt; GREEN CITY IBADAN, AKINYELE-MON</t>
        </is>
      </c>
      <c r="R164" s="15" t="n">
        <v>9</v>
      </c>
      <c r="S164" s="15" t="inlineStr">
        <is>
          <t>2025-11-02</t>
        </is>
      </c>
      <c r="T164" s="15" t="n"/>
    </row>
    <row r="165">
      <c r="A165" s="15" t="inlineStr">
        <is>
          <t>SB0161</t>
        </is>
      </c>
      <c r="B165" s="15" t="inlineStr">
        <is>
          <t>BP-C0133</t>
        </is>
      </c>
      <c r="C165" s="15" t="inlineStr">
        <is>
          <t>Mr Olagbende Oluwashina Oluwaseun</t>
        </is>
      </c>
      <c r="D165" s="15" t="inlineStr">
        <is>
          <t>Housing</t>
        </is>
      </c>
      <c r="E165" s="15" t="inlineStr">
        <is>
          <t>Pacific Apartment</t>
        </is>
      </c>
      <c r="F165" s="15" t="inlineStr">
        <is>
          <t>2 bedroom apartment with BQ | units: 1.0</t>
        </is>
      </c>
      <c r="G165" s="16" t="n">
        <v>45699</v>
      </c>
      <c r="H165" s="15">
        <f>IF(G165="","",YEAR(G165))</f>
        <v/>
      </c>
      <c r="I165" s="17" t="n">
        <v>90000000</v>
      </c>
      <c r="J165" s="17" t="n">
        <v>80800000</v>
      </c>
      <c r="K165" s="17">
        <f>IF(OR(I165="",J165=""),"",I165-J165)</f>
        <v/>
      </c>
      <c r="L165" s="15" t="inlineStr">
        <is>
          <t>12 months</t>
        </is>
      </c>
      <c r="M165" s="15" t="inlineStr">
        <is>
          <t>Paying</t>
        </is>
      </c>
      <c r="N165" s="15" t="n"/>
      <c r="O165" s="15" t="n"/>
      <c r="P165" s="15" t="inlineStr">
        <is>
          <t>Ms Mayowa Awonorin (Team Taiwo)</t>
        </is>
      </c>
      <c r="Q165" s="15" t="inlineStr">
        <is>
          <t>BAAY PROJECTS CLIENTS &gt; PACIFIC APARTMENT</t>
        </is>
      </c>
      <c r="R165" s="15" t="n">
        <v>7</v>
      </c>
      <c r="S165" s="15" t="inlineStr">
        <is>
          <t>2025-11-02</t>
        </is>
      </c>
      <c r="T165" s="15" t="n"/>
    </row>
    <row r="166">
      <c r="A166" s="15" t="inlineStr">
        <is>
          <t>SB0162</t>
        </is>
      </c>
      <c r="B166" s="15" t="inlineStr">
        <is>
          <t>BP-C0173</t>
        </is>
      </c>
      <c r="C166" s="15" t="inlineStr">
        <is>
          <t>Miss Julian-Nwadi Hephzibah Chisom</t>
        </is>
      </c>
      <c r="D166" s="15" t="inlineStr">
        <is>
          <t>Land</t>
        </is>
      </c>
      <c r="E166" s="15" t="inlineStr">
        <is>
          <t>Heritage Garden</t>
        </is>
      </c>
      <c r="F166" s="15" t="inlineStr">
        <is>
          <t>250sqm</t>
        </is>
      </c>
      <c r="G166" s="16" t="n">
        <v>45702</v>
      </c>
      <c r="H166" s="15">
        <f>IF(G166="","",YEAR(G166))</f>
        <v/>
      </c>
      <c r="I166" s="17" t="n">
        <v>1050000</v>
      </c>
      <c r="J166" s="17" t="n">
        <v>1050000</v>
      </c>
      <c r="K166" s="17">
        <f>IF(OR(I166="",J166=""),"",I166-J166)</f>
        <v/>
      </c>
      <c r="L166" s="15" t="inlineStr">
        <is>
          <t>3 months</t>
        </is>
      </c>
      <c r="M166" s="15" t="inlineStr">
        <is>
          <t>Bought</t>
        </is>
      </c>
      <c r="N166" s="15" t="inlineStr">
        <is>
          <t>BLOCK C, PLOT 13</t>
        </is>
      </c>
      <c r="O166" s="15" t="inlineStr">
        <is>
          <t>Contract of Sales Signed</t>
        </is>
      </c>
      <c r="P166" s="15" t="inlineStr">
        <is>
          <t>Ms Rosemary</t>
        </is>
      </c>
      <c r="Q166" s="15" t="inlineStr">
        <is>
          <t>BAAY PROJECTS CLIENTS &gt; HERITAGE GARDEN</t>
        </is>
      </c>
      <c r="R166" s="15" t="n">
        <v>11</v>
      </c>
      <c r="S166" s="15" t="inlineStr">
        <is>
          <t>14/02/2025</t>
        </is>
      </c>
      <c r="T166" s="15" t="n"/>
    </row>
    <row r="167">
      <c r="A167" s="15" t="inlineStr">
        <is>
          <t>SB0163</t>
        </is>
      </c>
      <c r="B167" s="15" t="inlineStr">
        <is>
          <t>BP-C0077</t>
        </is>
      </c>
      <c r="C167" s="15" t="inlineStr">
        <is>
          <t>Mr Uebari Sorbari Godwin</t>
        </is>
      </c>
      <c r="D167" s="15" t="inlineStr">
        <is>
          <t>Land</t>
        </is>
      </c>
      <c r="E167" s="15" t="inlineStr">
        <is>
          <t>Green City Phase 3 Extension (Omu-Epe)</t>
        </is>
      </c>
      <c r="F167" s="15" t="inlineStr">
        <is>
          <t>500SQM</t>
        </is>
      </c>
      <c r="G167" s="16" t="n">
        <v>45706</v>
      </c>
      <c r="H167" s="15">
        <f>IF(G167="","",YEAR(G167))</f>
        <v/>
      </c>
      <c r="I167" s="17" t="n">
        <v>3800000</v>
      </c>
      <c r="J167" s="17" t="n">
        <v>3800000</v>
      </c>
      <c r="K167" s="17">
        <f>IF(OR(I167="",J167=""),"",I167-J167)</f>
        <v/>
      </c>
      <c r="L167" s="15" t="inlineStr">
        <is>
          <t>3 months</t>
        </is>
      </c>
      <c r="M167" s="15" t="inlineStr">
        <is>
          <t>Bought</t>
        </is>
      </c>
      <c r="N167" s="15" t="inlineStr">
        <is>
          <t>BLOCK E, PLOT 2</t>
        </is>
      </c>
      <c r="O167" s="15" t="inlineStr">
        <is>
          <t>Not yet Collected</t>
        </is>
      </c>
      <c r="P167" s="15" t="inlineStr">
        <is>
          <t>Ms Elizabeth</t>
        </is>
      </c>
      <c r="Q167" s="15" t="inlineStr">
        <is>
          <t>BAAY PROJECTS CLIENTS &gt; GREEN CITY PHASE 3 EXTENSION, O</t>
        </is>
      </c>
      <c r="R167" s="15" t="n">
        <v>7</v>
      </c>
      <c r="S167" s="15" t="inlineStr">
        <is>
          <t>18/02/2025</t>
        </is>
      </c>
      <c r="T167" s="15" t="n"/>
    </row>
    <row r="168">
      <c r="A168" s="15" t="inlineStr">
        <is>
          <t>SB0164</t>
        </is>
      </c>
      <c r="B168" s="15" t="inlineStr">
        <is>
          <t>BP-C0174</t>
        </is>
      </c>
      <c r="C168" s="15" t="inlineStr">
        <is>
          <t>Mr Kafidipe Oladimeji Ayomikusibe</t>
        </is>
      </c>
      <c r="D168" s="15" t="inlineStr">
        <is>
          <t>Land</t>
        </is>
      </c>
      <c r="E168" s="15" t="inlineStr">
        <is>
          <t>Green Hillside</t>
        </is>
      </c>
      <c r="F168" s="15" t="inlineStr">
        <is>
          <t>500 SQM</t>
        </is>
      </c>
      <c r="G168" s="16" t="n">
        <v>45713</v>
      </c>
      <c r="H168" s="15">
        <f>IF(G168="","",YEAR(G168))</f>
        <v/>
      </c>
      <c r="I168" s="17" t="n">
        <v>3800000</v>
      </c>
      <c r="J168" s="17" t="n">
        <v>3800000</v>
      </c>
      <c r="K168" s="17">
        <f>IF(OR(I168="",J168=""),"",I168-J168)</f>
        <v/>
      </c>
      <c r="L168" s="15" t="inlineStr">
        <is>
          <t>3 months</t>
        </is>
      </c>
      <c r="M168" s="15" t="inlineStr">
        <is>
          <t>Bought</t>
        </is>
      </c>
      <c r="N168" s="15" t="inlineStr">
        <is>
          <t>BLOCK C, PLOT 3</t>
        </is>
      </c>
      <c r="O168" s="15" t="inlineStr">
        <is>
          <t>Not Yet Collected</t>
        </is>
      </c>
      <c r="P168" s="15" t="inlineStr">
        <is>
          <t>Ms Olabisi</t>
        </is>
      </c>
      <c r="Q168" s="15" t="inlineStr">
        <is>
          <t>BAAY PROJECTS CLIENTS &gt; GREEN HILLSIDE</t>
        </is>
      </c>
      <c r="R168" s="15" t="n">
        <v>2</v>
      </c>
      <c r="S168" s="15" t="inlineStr">
        <is>
          <t>25/02/2025</t>
        </is>
      </c>
      <c r="T168" s="15" t="n"/>
    </row>
    <row r="169">
      <c r="A169" s="15" t="inlineStr">
        <is>
          <t>SB0165</t>
        </is>
      </c>
      <c r="B169" s="15" t="inlineStr">
        <is>
          <t>BP-C0028</t>
        </is>
      </c>
      <c r="C169" s="15" t="inlineStr">
        <is>
          <t>Mr Adebanjo Isaac Olamilekan</t>
        </is>
      </c>
      <c r="D169" s="15" t="inlineStr">
        <is>
          <t>Land</t>
        </is>
      </c>
      <c r="E169" s="15" t="inlineStr">
        <is>
          <t>Green City Phase 2 (Ketu-Epe)</t>
        </is>
      </c>
      <c r="F169" s="15" t="inlineStr">
        <is>
          <t>500Sqm</t>
        </is>
      </c>
      <c r="G169" s="16" t="n">
        <v>45716</v>
      </c>
      <c r="H169" s="15">
        <f>IF(G169="","",YEAR(G169))</f>
        <v/>
      </c>
      <c r="I169" s="17" t="n">
        <v>3000000</v>
      </c>
      <c r="J169" s="17" t="n">
        <v>3000000</v>
      </c>
      <c r="K169" s="17">
        <f>IF(OR(I169="",J169=""),"",I169-J169)</f>
        <v/>
      </c>
      <c r="L169" s="15" t="inlineStr">
        <is>
          <t>3 months</t>
        </is>
      </c>
      <c r="M169" s="15" t="inlineStr">
        <is>
          <t>Bought</t>
        </is>
      </c>
      <c r="N169" s="15" t="inlineStr">
        <is>
          <t>BLOCK G, PLOT 7</t>
        </is>
      </c>
      <c r="O169" s="15" t="inlineStr">
        <is>
          <t>Not Yet Processed</t>
        </is>
      </c>
      <c r="P169" s="15" t="inlineStr">
        <is>
          <t>MD</t>
        </is>
      </c>
      <c r="Q169" s="15" t="inlineStr">
        <is>
          <t>BAAY PROJECTS CLIENTS &gt; GREEN CITY KETU EPE 2</t>
        </is>
      </c>
      <c r="R169" s="15" t="n">
        <v>53</v>
      </c>
      <c r="S169" s="15" t="inlineStr">
        <is>
          <t>28/02/2025</t>
        </is>
      </c>
      <c r="T169" s="15" t="n"/>
    </row>
    <row r="170">
      <c r="A170" s="15" t="inlineStr">
        <is>
          <t>SB0166</t>
        </is>
      </c>
      <c r="B170" s="15" t="inlineStr">
        <is>
          <t>BP-C0175</t>
        </is>
      </c>
      <c r="C170" s="15" t="inlineStr">
        <is>
          <t>Mr Marizu Precious Chisom</t>
        </is>
      </c>
      <c r="D170" s="15" t="inlineStr">
        <is>
          <t>Land</t>
        </is>
      </c>
      <c r="E170" s="15" t="inlineStr">
        <is>
          <t>Green City Phase 3 Extension (Omu-Epe)</t>
        </is>
      </c>
      <c r="F170" s="15" t="inlineStr">
        <is>
          <t>500SQM</t>
        </is>
      </c>
      <c r="G170" s="16" t="n">
        <v>45716</v>
      </c>
      <c r="H170" s="15">
        <f>IF(G170="","",YEAR(G170))</f>
        <v/>
      </c>
      <c r="I170" s="17" t="n">
        <v>3800000</v>
      </c>
      <c r="J170" s="17" t="n">
        <v>3800000</v>
      </c>
      <c r="K170" s="17">
        <f>IF(OR(I170="",J170=""),"",I170-J170)</f>
        <v/>
      </c>
      <c r="L170" s="15" t="inlineStr">
        <is>
          <t>3 months</t>
        </is>
      </c>
      <c r="M170" s="15" t="inlineStr">
        <is>
          <t>Bought</t>
        </is>
      </c>
      <c r="N170" s="15" t="inlineStr">
        <is>
          <t>BLOCK E, PLOT 3</t>
        </is>
      </c>
      <c r="O170" s="15" t="inlineStr">
        <is>
          <t>Not yet Collected</t>
        </is>
      </c>
      <c r="P170" s="15" t="inlineStr">
        <is>
          <t>Mr Daniel</t>
        </is>
      </c>
      <c r="Q170" s="15" t="inlineStr">
        <is>
          <t>BAAY PROJECTS CLIENTS &gt; GREEN CITY PHASE 3 EXTENSION, O</t>
        </is>
      </c>
      <c r="R170" s="15" t="n">
        <v>8</v>
      </c>
      <c r="S170" s="15" t="inlineStr">
        <is>
          <t>28/02/2025</t>
        </is>
      </c>
      <c r="T170" s="15" t="n"/>
    </row>
    <row r="171">
      <c r="A171" s="15" t="inlineStr">
        <is>
          <t>SB0167</t>
        </is>
      </c>
      <c r="B171" s="15" t="inlineStr">
        <is>
          <t>BP-C0176</t>
        </is>
      </c>
      <c r="C171" s="15" t="inlineStr">
        <is>
          <t>Mrs Marizu Geraldine Ijeoma</t>
        </is>
      </c>
      <c r="D171" s="15" t="inlineStr">
        <is>
          <t>Land</t>
        </is>
      </c>
      <c r="E171" s="15" t="inlineStr">
        <is>
          <t>Green City Phase 3 Extension (Omu-Epe)</t>
        </is>
      </c>
      <c r="F171" s="15" t="inlineStr">
        <is>
          <t>500 SQM</t>
        </is>
      </c>
      <c r="G171" s="16" t="n">
        <v>45716</v>
      </c>
      <c r="H171" s="15">
        <f>IF(G171="","",YEAR(G171))</f>
        <v/>
      </c>
      <c r="I171" s="17" t="n">
        <v>3800000</v>
      </c>
      <c r="J171" s="17" t="n">
        <v>3800000</v>
      </c>
      <c r="K171" s="17">
        <f>IF(OR(I171="",J171=""),"",I171-J171)</f>
        <v/>
      </c>
      <c r="L171" s="15" t="inlineStr">
        <is>
          <t>3 months</t>
        </is>
      </c>
      <c r="M171" s="15" t="inlineStr">
        <is>
          <t>Bought</t>
        </is>
      </c>
      <c r="N171" s="15" t="inlineStr">
        <is>
          <t>BLOCK E, PLOT 4</t>
        </is>
      </c>
      <c r="O171" s="15" t="inlineStr">
        <is>
          <t>Not yet Collected</t>
        </is>
      </c>
      <c r="P171" s="15" t="inlineStr">
        <is>
          <t>Mr Daniel</t>
        </is>
      </c>
      <c r="Q171" s="15" t="inlineStr">
        <is>
          <t>BAAY PROJECTS CLIENTS &gt; GREEN CITY PHASE 3 EXTENSION, O</t>
        </is>
      </c>
      <c r="R171" s="15" t="n">
        <v>9</v>
      </c>
      <c r="S171" s="15" t="inlineStr">
        <is>
          <t>28/02/2025</t>
        </is>
      </c>
      <c r="T171" s="15" t="n"/>
    </row>
    <row r="172">
      <c r="A172" s="15" t="inlineStr">
        <is>
          <t>SB0168</t>
        </is>
      </c>
      <c r="B172" s="15" t="inlineStr">
        <is>
          <t>BP-C0178</t>
        </is>
      </c>
      <c r="C172" s="15" t="inlineStr">
        <is>
          <t>Mrs Ajiri-Odeh Chioma Cynthia</t>
        </is>
      </c>
      <c r="D172" s="15" t="inlineStr">
        <is>
          <t>Land</t>
        </is>
      </c>
      <c r="E172" s="15" t="inlineStr">
        <is>
          <t>Heritage Garden</t>
        </is>
      </c>
      <c r="F172" s="15" t="inlineStr">
        <is>
          <t>250sqm</t>
        </is>
      </c>
      <c r="G172" s="16" t="n">
        <v>45719</v>
      </c>
      <c r="H172" s="15">
        <f>IF(G172="","",YEAR(G172))</f>
        <v/>
      </c>
      <c r="I172" s="17" t="n">
        <v>1050000</v>
      </c>
      <c r="J172" s="17" t="n">
        <v>1050000</v>
      </c>
      <c r="K172" s="17">
        <f>IF(OR(I172="",J172=""),"",I172-J172)</f>
        <v/>
      </c>
      <c r="L172" s="15" t="inlineStr">
        <is>
          <t>3 months</t>
        </is>
      </c>
      <c r="M172" s="15" t="inlineStr">
        <is>
          <t>Bought</t>
        </is>
      </c>
      <c r="N172" s="15" t="inlineStr">
        <is>
          <t>BLOCK C, PLOT 3</t>
        </is>
      </c>
      <c r="O172" s="15" t="inlineStr">
        <is>
          <t>Not yet Prepared</t>
        </is>
      </c>
      <c r="P172" s="15" t="inlineStr">
        <is>
          <t>Ms Jennifer (Team Kenny Bruce</t>
        </is>
      </c>
      <c r="Q172" s="15" t="inlineStr">
        <is>
          <t>BAAY PROJECTS CLIENTS &gt; HERITAGE GARDEN</t>
        </is>
      </c>
      <c r="R172" s="15" t="n">
        <v>12</v>
      </c>
      <c r="S172" s="15" t="inlineStr">
        <is>
          <t>2025-03-03</t>
        </is>
      </c>
      <c r="T172" s="15" t="n"/>
    </row>
    <row r="173">
      <c r="A173" s="15" t="inlineStr">
        <is>
          <t>SB0169</t>
        </is>
      </c>
      <c r="B173" s="15" t="inlineStr">
        <is>
          <t>BP-C0180</t>
        </is>
      </c>
      <c r="C173" s="15" t="inlineStr">
        <is>
          <t>Mr Olajide Hafeez olakunle</t>
        </is>
      </c>
      <c r="D173" s="15" t="inlineStr">
        <is>
          <t>Housing</t>
        </is>
      </c>
      <c r="E173" s="15" t="inlineStr">
        <is>
          <t>Pacific Apartment</t>
        </is>
      </c>
      <c r="F173" s="15" t="inlineStr">
        <is>
          <t>2 bedroom apartment | units: 2.0</t>
        </is>
      </c>
      <c r="G173" s="16" t="n">
        <v>45722</v>
      </c>
      <c r="H173" s="15">
        <f>IF(G173="","",YEAR(G173))</f>
        <v/>
      </c>
      <c r="I173" s="17" t="n">
        <v>100000000</v>
      </c>
      <c r="J173" s="17" t="n">
        <v>100000000</v>
      </c>
      <c r="K173" s="17">
        <f>IF(OR(I173="",J173=""),"",I173-J173)</f>
        <v/>
      </c>
      <c r="L173" s="15" t="inlineStr">
        <is>
          <t>Outright</t>
        </is>
      </c>
      <c r="M173" s="15" t="inlineStr">
        <is>
          <t>Bought</t>
        </is>
      </c>
      <c r="N173" s="15" t="n"/>
      <c r="O173" s="15" t="n"/>
      <c r="P173" s="15" t="inlineStr">
        <is>
          <t>MD</t>
        </is>
      </c>
      <c r="Q173" s="15" t="inlineStr">
        <is>
          <t>BAAY PROJECTS CLIENTS &gt; PACIFIC APARTMENT</t>
        </is>
      </c>
      <c r="R173" s="15" t="n">
        <v>8</v>
      </c>
      <c r="S173" s="15" t="inlineStr">
        <is>
          <t>2025-06-03</t>
        </is>
      </c>
      <c r="T173" s="15" t="n"/>
    </row>
    <row r="174">
      <c r="A174" s="15" t="inlineStr">
        <is>
          <t>SB0170</t>
        </is>
      </c>
      <c r="B174" s="15" t="inlineStr">
        <is>
          <t>BP-C0181</t>
        </is>
      </c>
      <c r="C174" s="15" t="inlineStr">
        <is>
          <t>Miss Joshua Fortune Ufot</t>
        </is>
      </c>
      <c r="D174" s="15" t="inlineStr">
        <is>
          <t>Land</t>
        </is>
      </c>
      <c r="E174" s="15" t="inlineStr">
        <is>
          <t>Green Hillside</t>
        </is>
      </c>
      <c r="F174" s="15" t="inlineStr">
        <is>
          <t>500 SQM</t>
        </is>
      </c>
      <c r="G174" s="16" t="n">
        <v>45728</v>
      </c>
      <c r="H174" s="15">
        <f>IF(G174="","",YEAR(G174))</f>
        <v/>
      </c>
      <c r="I174" s="17" t="n">
        <v>3400000</v>
      </c>
      <c r="J174" s="17" t="n">
        <v>3400000</v>
      </c>
      <c r="K174" s="17">
        <f>IF(OR(I174="",J174=""),"",I174-J174)</f>
        <v/>
      </c>
      <c r="L174" s="15" t="inlineStr">
        <is>
          <t>3 months</t>
        </is>
      </c>
      <c r="M174" s="15" t="inlineStr">
        <is>
          <t>Bought</t>
        </is>
      </c>
      <c r="N174" s="15" t="inlineStr">
        <is>
          <t>BLOCK C PLOT 4</t>
        </is>
      </c>
      <c r="O174" s="15" t="inlineStr">
        <is>
          <t>Not Yet Collected</t>
        </is>
      </c>
      <c r="P174" s="15" t="inlineStr">
        <is>
          <t>Ms Praise</t>
        </is>
      </c>
      <c r="Q174" s="15" t="inlineStr">
        <is>
          <t>BAAY PROJECTS CLIENTS &gt; GREEN HILLSIDE</t>
        </is>
      </c>
      <c r="R174" s="15" t="n">
        <v>4</v>
      </c>
      <c r="S174" s="15" t="inlineStr">
        <is>
          <t>2025-12-03</t>
        </is>
      </c>
      <c r="T174" s="15" t="n"/>
    </row>
    <row r="175">
      <c r="A175" s="15" t="inlineStr">
        <is>
          <t>SB0171</t>
        </is>
      </c>
      <c r="B175" s="15" t="inlineStr">
        <is>
          <t>BP-C0182</t>
        </is>
      </c>
      <c r="C175" s="15" t="inlineStr">
        <is>
          <t>Mr Adebayo Adetunji Yusuff</t>
        </is>
      </c>
      <c r="D175" s="15" t="inlineStr">
        <is>
          <t>Land</t>
        </is>
      </c>
      <c r="E175" s="15" t="inlineStr">
        <is>
          <t>Green Hillside</t>
        </is>
      </c>
      <c r="F175" s="15" t="inlineStr">
        <is>
          <t>250 SQM</t>
        </is>
      </c>
      <c r="G175" s="16" t="n">
        <v>45728</v>
      </c>
      <c r="H175" s="15">
        <f>IF(G175="","",YEAR(G175))</f>
        <v/>
      </c>
      <c r="I175" s="17" t="n">
        <v>1680000</v>
      </c>
      <c r="J175" s="17" t="n">
        <v>1340000</v>
      </c>
      <c r="K175" s="17">
        <f>IF(OR(I175="",J175=""),"",I175-J175)</f>
        <v/>
      </c>
      <c r="L175" s="15" t="inlineStr">
        <is>
          <t>3 months</t>
        </is>
      </c>
      <c r="M175" s="15" t="inlineStr">
        <is>
          <t>Paying</t>
        </is>
      </c>
      <c r="N175" s="15" t="inlineStr">
        <is>
          <t>BLOCK F, PLOT 4</t>
        </is>
      </c>
      <c r="O175" s="15" t="inlineStr">
        <is>
          <t>Not Yet Collected</t>
        </is>
      </c>
      <c r="P175" s="15" t="inlineStr">
        <is>
          <t>Mr Adetunji Yusuf (Team Praise)</t>
        </is>
      </c>
      <c r="Q175" s="15" t="inlineStr">
        <is>
          <t>BAAY PROJECTS CLIENTS &gt; GREEN HILLSIDE</t>
        </is>
      </c>
      <c r="R175" s="15" t="n">
        <v>3</v>
      </c>
      <c r="S175" s="15" t="inlineStr">
        <is>
          <t>2025-12-03</t>
        </is>
      </c>
      <c r="T175" s="15" t="n"/>
    </row>
    <row r="176">
      <c r="A176" s="15" t="inlineStr">
        <is>
          <t>SB0172</t>
        </is>
      </c>
      <c r="B176" s="15" t="inlineStr">
        <is>
          <t>BP-C0184</t>
        </is>
      </c>
      <c r="C176" s="15" t="inlineStr">
        <is>
          <t>Mr Klu Jeremiah</t>
        </is>
      </c>
      <c r="D176" s="15" t="inlineStr">
        <is>
          <t>Land</t>
        </is>
      </c>
      <c r="E176" s="15" t="inlineStr">
        <is>
          <t>Heritage Garden</t>
        </is>
      </c>
      <c r="F176" s="15" t="inlineStr">
        <is>
          <t>500sqm</t>
        </is>
      </c>
      <c r="G176" s="16" t="n">
        <v>45734</v>
      </c>
      <c r="H176" s="15">
        <f>IF(G176="","",YEAR(G176))</f>
        <v/>
      </c>
      <c r="I176" s="17" t="n">
        <v>2100000</v>
      </c>
      <c r="J176" s="17" t="n">
        <v>2100000</v>
      </c>
      <c r="K176" s="17">
        <f>IF(OR(I176="",J176=""),"",I176-J176)</f>
        <v/>
      </c>
      <c r="L176" s="15" t="inlineStr">
        <is>
          <t>3 months</t>
        </is>
      </c>
      <c r="M176" s="15" t="inlineStr">
        <is>
          <t>Bought</t>
        </is>
      </c>
      <c r="N176" s="15" t="inlineStr">
        <is>
          <t>BLOCK D, PLOT 3</t>
        </is>
      </c>
      <c r="O176" s="15" t="inlineStr">
        <is>
          <t>Not yet Prepared</t>
        </is>
      </c>
      <c r="P176" s="15" t="inlineStr">
        <is>
          <t>Ms Bolanle</t>
        </is>
      </c>
      <c r="Q176" s="15" t="inlineStr">
        <is>
          <t>BAAY PROJECTS CLIENTS &gt; HERITAGE GARDEN</t>
        </is>
      </c>
      <c r="R176" s="15" t="n">
        <v>13</v>
      </c>
      <c r="S176" s="15" t="inlineStr">
        <is>
          <t>18/03/2025</t>
        </is>
      </c>
      <c r="T176" s="15" t="n"/>
    </row>
    <row r="177">
      <c r="A177" s="15" t="inlineStr">
        <is>
          <t>SB0173</t>
        </is>
      </c>
      <c r="B177" s="15" t="inlineStr">
        <is>
          <t>BP-C0186</t>
        </is>
      </c>
      <c r="C177" s="15" t="inlineStr">
        <is>
          <t>Mrs Omoko Onora Helen (Salem Real Estate Development</t>
        </is>
      </c>
      <c r="D177" s="15" t="inlineStr">
        <is>
          <t>Housing</t>
        </is>
      </c>
      <c r="E177" s="15" t="inlineStr">
        <is>
          <t>Pacific Apartment</t>
        </is>
      </c>
      <c r="F177" s="15" t="inlineStr">
        <is>
          <t>2 bedroom apartment | units: 1.0</t>
        </is>
      </c>
      <c r="G177" s="16" t="n">
        <v>45737</v>
      </c>
      <c r="H177" s="15">
        <f>IF(G177="","",YEAR(G177))</f>
        <v/>
      </c>
      <c r="I177" s="17" t="n">
        <v>98000000</v>
      </c>
      <c r="J177" s="17" t="n">
        <v>79725000</v>
      </c>
      <c r="K177" s="17">
        <f>IF(OR(I177="",J177=""),"",I177-J177)</f>
        <v/>
      </c>
      <c r="L177" s="15" t="inlineStr">
        <is>
          <t>12 months</t>
        </is>
      </c>
      <c r="M177" s="15" t="inlineStr">
        <is>
          <t>Paying</t>
        </is>
      </c>
      <c r="N177" s="15" t="n"/>
      <c r="O177" s="15" t="n"/>
      <c r="P177" s="15" t="inlineStr">
        <is>
          <t>Salem Real Estate</t>
        </is>
      </c>
      <c r="Q177" s="15" t="inlineStr">
        <is>
          <t>BAAY PROJECTS CLIENTS &gt; PACIFIC APARTMENT</t>
        </is>
      </c>
      <c r="R177" s="15" t="n">
        <v>9</v>
      </c>
      <c r="S177" s="15" t="inlineStr">
        <is>
          <t>21/03/2025</t>
        </is>
      </c>
      <c r="T177" s="15" t="n"/>
    </row>
    <row r="178">
      <c r="A178" s="15" t="inlineStr">
        <is>
          <t>SB0174</t>
        </is>
      </c>
      <c r="B178" s="15" t="inlineStr">
        <is>
          <t>BP-C0187</t>
        </is>
      </c>
      <c r="C178" s="15" t="inlineStr">
        <is>
          <t>Miss Olotu Tabitha Olamide</t>
        </is>
      </c>
      <c r="D178" s="15" t="inlineStr">
        <is>
          <t>Land</t>
        </is>
      </c>
      <c r="E178" s="15" t="inlineStr">
        <is>
          <t>Green Hillside</t>
        </is>
      </c>
      <c r="F178" s="15" t="inlineStr">
        <is>
          <t>250 SQM</t>
        </is>
      </c>
      <c r="G178" s="16" t="n">
        <v>45740</v>
      </c>
      <c r="H178" s="15">
        <f>IF(G178="","",YEAR(G178))</f>
        <v/>
      </c>
      <c r="I178" s="17" t="n">
        <v>1800000</v>
      </c>
      <c r="J178" s="17" t="n">
        <v>1800000</v>
      </c>
      <c r="K178" s="17">
        <f>IF(OR(I178="",J178=""),"",I178-J178)</f>
        <v/>
      </c>
      <c r="L178" s="15" t="inlineStr">
        <is>
          <t>3 months</t>
        </is>
      </c>
      <c r="M178" s="15" t="inlineStr">
        <is>
          <t>Bought</t>
        </is>
      </c>
      <c r="N178" s="15" t="inlineStr">
        <is>
          <t>BLOCK F, PLOT 3</t>
        </is>
      </c>
      <c r="O178" s="15" t="inlineStr">
        <is>
          <t>Collected by Client</t>
        </is>
      </c>
      <c r="P178" s="15" t="inlineStr">
        <is>
          <t>Ms Okiki (Team Ope)</t>
        </is>
      </c>
      <c r="Q178" s="15" t="inlineStr">
        <is>
          <t>BAAY PROJECTS CLIENTS &gt; GREEN HILLSIDE</t>
        </is>
      </c>
      <c r="R178" s="15" t="n">
        <v>5</v>
      </c>
      <c r="S178" s="15" t="inlineStr">
        <is>
          <t>24/03/2025</t>
        </is>
      </c>
      <c r="T178" s="15" t="n"/>
    </row>
    <row r="179">
      <c r="A179" s="15" t="inlineStr">
        <is>
          <t>SB0175</t>
        </is>
      </c>
      <c r="B179" s="15" t="inlineStr">
        <is>
          <t>BP-C0050</t>
        </is>
      </c>
      <c r="C179" s="15" t="inlineStr">
        <is>
          <t>Mr Atuanya Patrick Jideovo</t>
        </is>
      </c>
      <c r="D179" s="15" t="inlineStr">
        <is>
          <t>Land</t>
        </is>
      </c>
      <c r="E179" s="15" t="inlineStr">
        <is>
          <t>Green Hillside</t>
        </is>
      </c>
      <c r="F179" s="15" t="inlineStr">
        <is>
          <t>250 SQM</t>
        </is>
      </c>
      <c r="G179" s="16" t="n">
        <v>45742</v>
      </c>
      <c r="H179" s="15">
        <f>IF(G179="","",YEAR(G179))</f>
        <v/>
      </c>
      <c r="I179" s="17" t="n">
        <v>1800000</v>
      </c>
      <c r="J179" s="17" t="n">
        <v>1800000</v>
      </c>
      <c r="K179" s="17">
        <f>IF(OR(I179="",J179=""),"",I179-J179)</f>
        <v/>
      </c>
      <c r="L179" s="15" t="inlineStr">
        <is>
          <t>3 months</t>
        </is>
      </c>
      <c r="M179" s="15" t="inlineStr">
        <is>
          <t>Bought</t>
        </is>
      </c>
      <c r="N179" s="15" t="inlineStr">
        <is>
          <t>BLOCK F, PLOT 2</t>
        </is>
      </c>
      <c r="O179" s="15" t="inlineStr">
        <is>
          <t>Contract of sales signed</t>
        </is>
      </c>
      <c r="P179" s="15" t="inlineStr">
        <is>
          <t>Ms Yetunde</t>
        </is>
      </c>
      <c r="Q179" s="15" t="inlineStr">
        <is>
          <t>BAAY PROJECTS CLIENTS &gt; GREEN HILLSIDE</t>
        </is>
      </c>
      <c r="R179" s="15" t="n">
        <v>6</v>
      </c>
      <c r="S179" s="15" t="inlineStr">
        <is>
          <t>26/03/2025</t>
        </is>
      </c>
      <c r="T179" s="15" t="n"/>
    </row>
    <row r="180">
      <c r="A180" s="15" t="inlineStr">
        <is>
          <t>SB0176</t>
        </is>
      </c>
      <c r="B180" s="15" t="inlineStr">
        <is>
          <t>BP-C0188</t>
        </is>
      </c>
      <c r="C180" s="15" t="inlineStr">
        <is>
          <t>Mrs Kazeem Mariam Omotunde</t>
        </is>
      </c>
      <c r="D180" s="15" t="inlineStr">
        <is>
          <t>Land</t>
        </is>
      </c>
      <c r="E180" s="15" t="inlineStr">
        <is>
          <t>Green City Phase 3 Extension (Omu-Epe)</t>
        </is>
      </c>
      <c r="F180" s="15" t="inlineStr">
        <is>
          <t>500 SQM</t>
        </is>
      </c>
      <c r="G180" s="16" t="n">
        <v>45745</v>
      </c>
      <c r="H180" s="15">
        <f>IF(G180="","",YEAR(G180))</f>
        <v/>
      </c>
      <c r="I180" s="17" t="n">
        <v>3800000</v>
      </c>
      <c r="J180" s="17" t="n">
        <v>3800000</v>
      </c>
      <c r="K180" s="17">
        <f>IF(OR(I180="",J180=""),"",I180-J180)</f>
        <v/>
      </c>
      <c r="L180" s="15" t="inlineStr">
        <is>
          <t>3 months</t>
        </is>
      </c>
      <c r="M180" s="15" t="inlineStr">
        <is>
          <t>Bought</t>
        </is>
      </c>
      <c r="N180" s="15" t="inlineStr">
        <is>
          <t>BLOCK C, PLOT 1</t>
        </is>
      </c>
      <c r="O180" s="15" t="inlineStr">
        <is>
          <t>Collected by client rep</t>
        </is>
      </c>
      <c r="P180" s="15" t="inlineStr">
        <is>
          <t>Ms Samuella (Team Pelumi)</t>
        </is>
      </c>
      <c r="Q180" s="15" t="inlineStr">
        <is>
          <t>BAAY PROJECTS CLIENTS &gt; GREEN CITY PHASE 3 EXTENSION, O</t>
        </is>
      </c>
      <c r="R180" s="15" t="n">
        <v>10</v>
      </c>
      <c r="S180" s="15" t="inlineStr">
        <is>
          <t>29/03/2025</t>
        </is>
      </c>
      <c r="T180" s="15" t="n"/>
    </row>
    <row r="181">
      <c r="A181" s="15" t="inlineStr">
        <is>
          <t>SB0177</t>
        </is>
      </c>
      <c r="B181" s="15" t="inlineStr">
        <is>
          <t>BP-C0190</t>
        </is>
      </c>
      <c r="C181" s="15" t="inlineStr">
        <is>
          <t>Mr Olaiya Oluwatobi Emmanuel</t>
        </is>
      </c>
      <c r="D181" s="15" t="inlineStr">
        <is>
          <t>Land</t>
        </is>
      </c>
      <c r="E181" s="15" t="inlineStr">
        <is>
          <t>Green City Phase 3 Extension (Omu-Epe)</t>
        </is>
      </c>
      <c r="F181" s="15" t="inlineStr">
        <is>
          <t>250 SQM</t>
        </is>
      </c>
      <c r="G181" s="16" t="n">
        <v>45747</v>
      </c>
      <c r="H181" s="15">
        <f>IF(G181="","",YEAR(G181))</f>
        <v/>
      </c>
      <c r="I181" s="17" t="n">
        <v>2000000</v>
      </c>
      <c r="J181" s="17" t="n">
        <v>1700000</v>
      </c>
      <c r="K181" s="17">
        <f>IF(OR(I181="",J181=""),"",I181-J181)</f>
        <v/>
      </c>
      <c r="L181" s="15" t="inlineStr">
        <is>
          <t>3 months</t>
        </is>
      </c>
      <c r="M181" s="15" t="inlineStr">
        <is>
          <t>Paying</t>
        </is>
      </c>
      <c r="N181" s="15" t="inlineStr">
        <is>
          <t>BLOCK C, PLOT 2</t>
        </is>
      </c>
      <c r="O181" s="15" t="inlineStr">
        <is>
          <t>Not yet Processed</t>
        </is>
      </c>
      <c r="P181" s="15" t="inlineStr">
        <is>
          <t>Ms Mayowa (Team Taiwo)</t>
        </is>
      </c>
      <c r="Q181" s="15" t="inlineStr">
        <is>
          <t>BAAY PROJECTS CLIENTS &gt; GREEN CITY PHASE 3 EXTENSION, O</t>
        </is>
      </c>
      <c r="R181" s="15" t="n">
        <v>11</v>
      </c>
      <c r="S181" s="15" t="inlineStr">
        <is>
          <t>31/03/2025</t>
        </is>
      </c>
      <c r="T181" s="15" t="n"/>
    </row>
    <row r="182">
      <c r="A182" s="15" t="inlineStr">
        <is>
          <t>SB0178</t>
        </is>
      </c>
      <c r="B182" s="15" t="inlineStr">
        <is>
          <t>BP-C0189</t>
        </is>
      </c>
      <c r="C182" s="15" t="inlineStr">
        <is>
          <t>Mr &amp; Mrs Olowodagba Ganiyu</t>
        </is>
      </c>
      <c r="D182" s="15" t="inlineStr">
        <is>
          <t>Land</t>
        </is>
      </c>
      <c r="E182" s="15" t="inlineStr">
        <is>
          <t>Green Hillside</t>
        </is>
      </c>
      <c r="F182" s="15" t="inlineStr">
        <is>
          <t>1,500 SQM</t>
        </is>
      </c>
      <c r="G182" s="16" t="n">
        <v>45747</v>
      </c>
      <c r="H182" s="15">
        <f>IF(G182="","",YEAR(G182))</f>
        <v/>
      </c>
      <c r="I182" s="17" t="n">
        <v>10200000</v>
      </c>
      <c r="J182" s="17" t="n">
        <v>10200000</v>
      </c>
      <c r="K182" s="17">
        <f>IF(OR(I182="",J182=""),"",I182-J182)</f>
        <v/>
      </c>
      <c r="L182" s="15" t="inlineStr">
        <is>
          <t>Outright Payment</t>
        </is>
      </c>
      <c r="M182" s="15" t="inlineStr">
        <is>
          <t>Bought</t>
        </is>
      </c>
      <c r="N182" s="15" t="inlineStr">
        <is>
          <t>BLOCK G, PLOT 1, 2 &amp; 3</t>
        </is>
      </c>
      <c r="O182" s="15" t="inlineStr">
        <is>
          <t>Collected by client rep</t>
        </is>
      </c>
      <c r="P182" s="15" t="inlineStr">
        <is>
          <t>Mr William Ogidan</t>
        </is>
      </c>
      <c r="Q182" s="15" t="inlineStr">
        <is>
          <t>BAAY PROJECTS CLIENTS &gt; GREEN HILLSIDE</t>
        </is>
      </c>
      <c r="R182" s="15" t="n">
        <v>8</v>
      </c>
      <c r="S182" s="15" t="inlineStr">
        <is>
          <t>31/03/2025</t>
        </is>
      </c>
      <c r="T182" s="15" t="n"/>
    </row>
    <row r="183">
      <c r="A183" s="15" t="inlineStr">
        <is>
          <t>SB0179</t>
        </is>
      </c>
      <c r="B183" s="15" t="inlineStr">
        <is>
          <t>BP-C0138</t>
        </is>
      </c>
      <c r="C183" s="15" t="inlineStr">
        <is>
          <t>Mr Olowodagba Olatunde Selim</t>
        </is>
      </c>
      <c r="D183" s="15" t="inlineStr">
        <is>
          <t>Land</t>
        </is>
      </c>
      <c r="E183" s="15" t="inlineStr">
        <is>
          <t>Green Hillside</t>
        </is>
      </c>
      <c r="F183" s="15" t="inlineStr">
        <is>
          <t>500 SQM</t>
        </is>
      </c>
      <c r="G183" s="16" t="n">
        <v>45747</v>
      </c>
      <c r="H183" s="15">
        <f>IF(G183="","",YEAR(G183))</f>
        <v/>
      </c>
      <c r="I183" s="17" t="n">
        <v>3400000</v>
      </c>
      <c r="J183" s="17" t="n">
        <v>3400000</v>
      </c>
      <c r="K183" s="17">
        <f>IF(OR(I183="",J183=""),"",I183-J183)</f>
        <v/>
      </c>
      <c r="L183" s="15" t="inlineStr">
        <is>
          <t>Outright Payment</t>
        </is>
      </c>
      <c r="M183" s="15" t="inlineStr">
        <is>
          <t>Bought</t>
        </is>
      </c>
      <c r="N183" s="15" t="inlineStr">
        <is>
          <t>BLOCK B, PLOT 7 &amp; 8</t>
        </is>
      </c>
      <c r="O183" s="15" t="inlineStr">
        <is>
          <t>Collected by client rep</t>
        </is>
      </c>
      <c r="P183" s="15" t="inlineStr">
        <is>
          <t>Mr William Ogidan</t>
        </is>
      </c>
      <c r="Q183" s="15" t="inlineStr">
        <is>
          <t>BAAY PROJECTS CLIENTS &gt; GREEN HILLSIDE</t>
        </is>
      </c>
      <c r="R183" s="15" t="n">
        <v>9</v>
      </c>
      <c r="S183" s="15" t="inlineStr">
        <is>
          <t>31/03/2025</t>
        </is>
      </c>
      <c r="T183" s="15" t="n"/>
    </row>
    <row r="184">
      <c r="A184" s="15" t="inlineStr">
        <is>
          <t>SB0180</t>
        </is>
      </c>
      <c r="B184" s="15" t="inlineStr">
        <is>
          <t>BP-C0191</t>
        </is>
      </c>
      <c r="C184" s="15" t="inlineStr">
        <is>
          <t>Mrs Oduomah Jumoke Olantun</t>
        </is>
      </c>
      <c r="D184" s="15" t="inlineStr">
        <is>
          <t>Land</t>
        </is>
      </c>
      <c r="E184" s="15" t="inlineStr">
        <is>
          <t>Green Hillside</t>
        </is>
      </c>
      <c r="F184" s="15" t="inlineStr">
        <is>
          <t>250 SQM</t>
        </is>
      </c>
      <c r="G184" s="16" t="n">
        <v>45747</v>
      </c>
      <c r="H184" s="15">
        <f>IF(G184="","",YEAR(G184))</f>
        <v/>
      </c>
      <c r="I184" s="17" t="n">
        <v>1800000</v>
      </c>
      <c r="J184" s="17" t="n">
        <v>1800000</v>
      </c>
      <c r="K184" s="17">
        <f>IF(OR(I184="",J184=""),"",I184-J184)</f>
        <v/>
      </c>
      <c r="L184" s="15" t="inlineStr">
        <is>
          <t>3 months</t>
        </is>
      </c>
      <c r="M184" s="15" t="inlineStr">
        <is>
          <t>Bought</t>
        </is>
      </c>
      <c r="N184" s="15" t="inlineStr">
        <is>
          <t>BLOCK F PLOT 1</t>
        </is>
      </c>
      <c r="O184" s="15" t="inlineStr">
        <is>
          <t>Contract of sales signed</t>
        </is>
      </c>
      <c r="P184" s="15" t="inlineStr">
        <is>
          <t>Mr Kenny Bruce</t>
        </is>
      </c>
      <c r="Q184" s="15" t="inlineStr">
        <is>
          <t>BAAY PROJECTS CLIENTS &gt; GREEN HILLSIDE</t>
        </is>
      </c>
      <c r="R184" s="15" t="n">
        <v>7</v>
      </c>
      <c r="S184" s="15" t="inlineStr">
        <is>
          <t>31/03/2025</t>
        </is>
      </c>
      <c r="T184" s="15" t="n"/>
    </row>
    <row r="185">
      <c r="A185" s="15" t="inlineStr">
        <is>
          <t>SB0181</t>
        </is>
      </c>
      <c r="B185" s="15" t="inlineStr">
        <is>
          <t>BP-C0192</t>
        </is>
      </c>
      <c r="C185" s="15" t="inlineStr">
        <is>
          <t>Dr Wilson Esangbedo</t>
        </is>
      </c>
      <c r="D185" s="15" t="inlineStr">
        <is>
          <t>Housing</t>
        </is>
      </c>
      <c r="E185" s="15" t="inlineStr">
        <is>
          <t>Pacific Apartment</t>
        </is>
      </c>
      <c r="F185" s="15" t="inlineStr">
        <is>
          <t>2 bedroom apartment | units: 1.0</t>
        </is>
      </c>
      <c r="G185" s="16" t="n">
        <v>45752</v>
      </c>
      <c r="H185" s="15">
        <f>IF(G185="","",YEAR(G185))</f>
        <v/>
      </c>
      <c r="I185" s="17" t="n">
        <v>80000000</v>
      </c>
      <c r="J185" s="17" t="n">
        <v>53000000</v>
      </c>
      <c r="K185" s="17">
        <f>IF(OR(I185="",J185=""),"",I185-J185)</f>
        <v/>
      </c>
      <c r="L185" s="15" t="inlineStr">
        <is>
          <t>12 months</t>
        </is>
      </c>
      <c r="M185" s="15" t="inlineStr">
        <is>
          <t>Paying</t>
        </is>
      </c>
      <c r="N185" s="15" t="n"/>
      <c r="O185" s="15" t="n"/>
      <c r="P185" s="15" t="inlineStr">
        <is>
          <t>Ms Moffat</t>
        </is>
      </c>
      <c r="Q185" s="15" t="inlineStr">
        <is>
          <t>BAAY PROJECTS CLIENTS &gt; PACIFIC APARTMENT</t>
        </is>
      </c>
      <c r="R185" s="15" t="n">
        <v>10</v>
      </c>
      <c r="S185" s="15" t="inlineStr">
        <is>
          <t>2025-05-04</t>
        </is>
      </c>
      <c r="T185" s="15" t="n"/>
    </row>
    <row r="186">
      <c r="A186" s="15" t="inlineStr">
        <is>
          <t>SB0182</t>
        </is>
      </c>
      <c r="B186" s="15" t="inlineStr">
        <is>
          <t>BP-C0194</t>
        </is>
      </c>
      <c r="C186" s="15" t="inlineStr">
        <is>
          <t>Mrs Enitan Pine</t>
        </is>
      </c>
      <c r="D186" s="15" t="inlineStr">
        <is>
          <t>Housing</t>
        </is>
      </c>
      <c r="E186" s="15" t="inlineStr">
        <is>
          <t>Pacific Apartment</t>
        </is>
      </c>
      <c r="F186" s="15" t="inlineStr">
        <is>
          <t>2 bedroom apartment | units: 1.0</t>
        </is>
      </c>
      <c r="G186" s="16" t="n">
        <v>45759</v>
      </c>
      <c r="H186" s="15">
        <f>IF(G186="","",YEAR(G186))</f>
        <v/>
      </c>
      <c r="I186" s="17" t="n">
        <v>85000000</v>
      </c>
      <c r="J186" s="17" t="n">
        <v>61100000</v>
      </c>
      <c r="K186" s="17">
        <f>IF(OR(I186="",J186=""),"",I186-J186)</f>
        <v/>
      </c>
      <c r="L186" s="15" t="inlineStr">
        <is>
          <t>12 months</t>
        </is>
      </c>
      <c r="M186" s="15" t="inlineStr">
        <is>
          <t>Paying</t>
        </is>
      </c>
      <c r="N186" s="15" t="n"/>
      <c r="O186" s="15" t="n"/>
      <c r="P186" s="15" t="inlineStr">
        <is>
          <t>MD</t>
        </is>
      </c>
      <c r="Q186" s="15" t="inlineStr">
        <is>
          <t>BAAY PROJECTS CLIENTS &gt; PACIFIC APARTMENT</t>
        </is>
      </c>
      <c r="R186" s="15" t="n">
        <v>11</v>
      </c>
      <c r="S186" s="15" t="inlineStr">
        <is>
          <t>2025-12-04</t>
        </is>
      </c>
      <c r="T186" s="15" t="n"/>
    </row>
    <row r="187">
      <c r="A187" s="15" t="inlineStr">
        <is>
          <t>SB0183</t>
        </is>
      </c>
      <c r="B187" s="15" t="inlineStr">
        <is>
          <t>BP-C0195</t>
        </is>
      </c>
      <c r="C187" s="15" t="inlineStr">
        <is>
          <t>Mr Haruna Adekunle Waheed</t>
        </is>
      </c>
      <c r="D187" s="15" t="inlineStr">
        <is>
          <t>Land</t>
        </is>
      </c>
      <c r="E187" s="15" t="inlineStr">
        <is>
          <t>Green City Phase 3 (Omu-Epe)</t>
        </is>
      </c>
      <c r="F187" s="15" t="inlineStr">
        <is>
          <t>500SQM</t>
        </is>
      </c>
      <c r="G187" s="16" t="n">
        <v>45792</v>
      </c>
      <c r="H187" s="15">
        <f>IF(G187="","",YEAR(G187))</f>
        <v/>
      </c>
      <c r="I187" s="17" t="n">
        <v>7500000</v>
      </c>
      <c r="J187" s="17" t="n">
        <v>7500000</v>
      </c>
      <c r="K187" s="17">
        <f>IF(OR(I187="",J187=""),"",I187-J187)</f>
        <v/>
      </c>
      <c r="L187" s="15" t="inlineStr">
        <is>
          <t>3 months</t>
        </is>
      </c>
      <c r="M187" s="15" t="inlineStr">
        <is>
          <t>Bought</t>
        </is>
      </c>
      <c r="N187" s="15" t="inlineStr">
        <is>
          <t>BLOCK G, PLOT 13</t>
        </is>
      </c>
      <c r="O187" s="15" t="inlineStr">
        <is>
          <t>Contract of Sales signed.</t>
        </is>
      </c>
      <c r="P187" s="15" t="inlineStr">
        <is>
          <t>Ms Abimbola</t>
        </is>
      </c>
      <c r="Q187" s="15" t="inlineStr">
        <is>
          <t>BAAY PROJECTS CLIENTS &gt; GREEN CITY PHASE 3, OMU EPE</t>
        </is>
      </c>
      <c r="R187" s="15" t="n">
        <v>36</v>
      </c>
      <c r="S187" s="15" t="inlineStr">
        <is>
          <t>15/05/2025</t>
        </is>
      </c>
      <c r="T187" s="15" t="n"/>
    </row>
    <row r="188">
      <c r="A188" s="15" t="inlineStr">
        <is>
          <t>SB0184</t>
        </is>
      </c>
      <c r="B188" s="15" t="inlineStr">
        <is>
          <t>BP-C0196</t>
        </is>
      </c>
      <c r="C188" s="15" t="inlineStr">
        <is>
          <t>Mr Agbim Ikechukwu Godson</t>
        </is>
      </c>
      <c r="D188" s="15" t="inlineStr">
        <is>
          <t>Land</t>
        </is>
      </c>
      <c r="E188" s="15" t="inlineStr">
        <is>
          <t>Green City Phase 1 (Lantaba, Ketu-Epe)</t>
        </is>
      </c>
      <c r="F188" s="15" t="inlineStr">
        <is>
          <t>300SQM</t>
        </is>
      </c>
      <c r="G188" s="16" t="n">
        <v>45819</v>
      </c>
      <c r="H188" s="15">
        <f>IF(G188="","",YEAR(G188))</f>
        <v/>
      </c>
      <c r="I188" s="17" t="n">
        <v>4620000</v>
      </c>
      <c r="J188" s="17" t="n">
        <v>4620000</v>
      </c>
      <c r="K188" s="17">
        <f>IF(OR(I188="",J188=""),"",I188-J188)</f>
        <v/>
      </c>
      <c r="L188" s="15" t="inlineStr">
        <is>
          <t>3months</t>
        </is>
      </c>
      <c r="M188" s="15" t="inlineStr">
        <is>
          <t>bought</t>
        </is>
      </c>
      <c r="N188" s="15" t="inlineStr">
        <is>
          <t>BLOCK E 1B</t>
        </is>
      </c>
      <c r="O188" s="15" t="inlineStr">
        <is>
          <t>Contract of Sales signed</t>
        </is>
      </c>
      <c r="P188" s="15" t="inlineStr">
        <is>
          <t>Ms Abimbola</t>
        </is>
      </c>
      <c r="Q188" s="15" t="inlineStr">
        <is>
          <t>BAAY PROJECTS CLIENTS &gt; GREEN CITY KETU 1 INVESTORS LIS</t>
        </is>
      </c>
      <c r="R188" s="15" t="n">
        <v>49</v>
      </c>
      <c r="S188" s="15" t="inlineStr">
        <is>
          <t>2025-11-06</t>
        </is>
      </c>
      <c r="T188" s="15" t="n"/>
    </row>
    <row r="189">
      <c r="A189" s="15" t="inlineStr">
        <is>
          <t>SB0185</t>
        </is>
      </c>
      <c r="B189" s="15" t="inlineStr">
        <is>
          <t>BP-C0197</t>
        </is>
      </c>
      <c r="C189" s="15" t="inlineStr">
        <is>
          <t>Miss Awonorin Oluwamayowa Aduragbemi</t>
        </is>
      </c>
      <c r="D189" s="15" t="inlineStr">
        <is>
          <t>Land</t>
        </is>
      </c>
      <c r="E189" s="15" t="inlineStr">
        <is>
          <t>Green City Ibadan (Akinyele-Moniya)</t>
        </is>
      </c>
      <c r="F189" s="15" t="inlineStr">
        <is>
          <t>250SQM</t>
        </is>
      </c>
      <c r="G189" s="16" t="n">
        <v>45835</v>
      </c>
      <c r="H189" s="15">
        <f>IF(G189="","",YEAR(G189))</f>
        <v/>
      </c>
      <c r="I189" s="17" t="n">
        <v>1350000</v>
      </c>
      <c r="J189" s="17" t="n">
        <v>1350000</v>
      </c>
      <c r="K189" s="17">
        <f>IF(OR(I189="",J189=""),"",I189-J189)</f>
        <v/>
      </c>
      <c r="L189" s="15" t="inlineStr">
        <is>
          <t>3 months</t>
        </is>
      </c>
      <c r="M189" s="15" t="inlineStr">
        <is>
          <t>Bought</t>
        </is>
      </c>
      <c r="N189" s="15" t="inlineStr">
        <is>
          <t>BLOCK F, PLOT 2</t>
        </is>
      </c>
      <c r="O189" s="15" t="inlineStr">
        <is>
          <t>Contract of Sale signed</t>
        </is>
      </c>
      <c r="P189" s="15" t="inlineStr">
        <is>
          <t>MD</t>
        </is>
      </c>
      <c r="Q189" s="15" t="inlineStr">
        <is>
          <t>BAAY PROJECTS CLIENTS &gt; GREEN CITY IBADAN, AKINYELE-MON</t>
        </is>
      </c>
      <c r="R189" s="15" t="n">
        <v>10</v>
      </c>
      <c r="S189" s="15" t="inlineStr">
        <is>
          <t>27/06/2025</t>
        </is>
      </c>
      <c r="T189" s="15" t="n"/>
    </row>
    <row r="190">
      <c r="A190" s="15" t="inlineStr">
        <is>
          <t>SB0186</t>
        </is>
      </c>
      <c r="B190" s="15" t="inlineStr">
        <is>
          <t>BP-C0198</t>
        </is>
      </c>
      <c r="C190" s="15" t="inlineStr">
        <is>
          <t>Mr Akinruntan Adeyinka Benson</t>
        </is>
      </c>
      <c r="D190" s="15" t="inlineStr">
        <is>
          <t>Land</t>
        </is>
      </c>
      <c r="E190" s="15" t="inlineStr">
        <is>
          <t>Green Hillside</t>
        </is>
      </c>
      <c r="F190" s="15" t="inlineStr">
        <is>
          <t>250 SQM</t>
        </is>
      </c>
      <c r="G190" s="16" t="n">
        <v>45854</v>
      </c>
      <c r="H190" s="15">
        <f>IF(G190="","",YEAR(G190))</f>
        <v/>
      </c>
      <c r="I190" s="17" t="n">
        <v>2500000</v>
      </c>
      <c r="J190" s="17" t="n">
        <v>2500000</v>
      </c>
      <c r="K190" s="17">
        <f>IF(OR(I190="",J190=""),"",I190-J190)</f>
        <v/>
      </c>
      <c r="L190" s="15" t="inlineStr">
        <is>
          <t>Outright Payment</t>
        </is>
      </c>
      <c r="M190" s="15" t="inlineStr">
        <is>
          <t>Bought</t>
        </is>
      </c>
      <c r="N190" s="15" t="n"/>
      <c r="O190" s="15" t="inlineStr">
        <is>
          <t>Not Yet Prepared</t>
        </is>
      </c>
      <c r="P190" s="15" t="inlineStr">
        <is>
          <t>Ms Praise</t>
        </is>
      </c>
      <c r="Q190" s="15" t="inlineStr">
        <is>
          <t>BAAY PROJECTS CLIENTS &gt; GREEN HILLSIDE</t>
        </is>
      </c>
      <c r="R190" s="15" t="n">
        <v>10</v>
      </c>
      <c r="S190" s="15" t="inlineStr">
        <is>
          <t>16/07/2025</t>
        </is>
      </c>
      <c r="T190" s="15" t="n"/>
    </row>
    <row r="191">
      <c r="A191" s="15" t="inlineStr">
        <is>
          <t>SB0187</t>
        </is>
      </c>
      <c r="B191" s="15" t="inlineStr">
        <is>
          <t>BP-C0201</t>
        </is>
      </c>
      <c r="C191" s="15" t="inlineStr">
        <is>
          <t>Landnest Homes and Properties (Mrs. Abimbola)</t>
        </is>
      </c>
      <c r="D191" s="15" t="inlineStr">
        <is>
          <t>Housing</t>
        </is>
      </c>
      <c r="E191" s="15" t="inlineStr">
        <is>
          <t>Baay Foreshore</t>
        </is>
      </c>
      <c r="F191" s="15" t="inlineStr">
        <is>
          <t>3 BEDROOM BUNGALOW</t>
        </is>
      </c>
      <c r="G191" s="16" t="n">
        <v>45860</v>
      </c>
      <c r="H191" s="15">
        <f>IF(G191="","",YEAR(G191))</f>
        <v/>
      </c>
      <c r="I191" s="17" t="n">
        <v>40100000</v>
      </c>
      <c r="J191" s="17" t="n">
        <v>8830000</v>
      </c>
      <c r="K191" s="17">
        <f>IF(OR(I191="",J191=""),"",I191-J191)</f>
        <v/>
      </c>
      <c r="L191" s="15" t="inlineStr">
        <is>
          <t>6 MONTHS</t>
        </is>
      </c>
      <c r="M191" s="15" t="inlineStr">
        <is>
          <t>Paying</t>
        </is>
      </c>
      <c r="N191" s="15" t="n"/>
      <c r="O191" s="15" t="n"/>
      <c r="P191" s="15" t="inlineStr">
        <is>
          <t>Landnest</t>
        </is>
      </c>
      <c r="Q191" s="15" t="inlineStr">
        <is>
          <t>BAAY PROJECTS CLIENTS &gt; BAAY FORESHORE + Foreshore financials sheet</t>
        </is>
      </c>
      <c r="R191" s="15" t="n">
        <v>7</v>
      </c>
      <c r="S191" s="15" t="inlineStr">
        <is>
          <t>22/07/2025</t>
        </is>
      </c>
      <c r="T191" s="15" t="n"/>
    </row>
    <row r="192">
      <c r="A192" s="15" t="inlineStr">
        <is>
          <t>SB0188</t>
        </is>
      </c>
      <c r="B192" s="15" t="inlineStr">
        <is>
          <t>BP-C0202</t>
        </is>
      </c>
      <c r="C192" s="15" t="inlineStr">
        <is>
          <t>Miss Yesher Yakubu &amp; Miss Hadassah Yakubu</t>
        </is>
      </c>
      <c r="D192" s="15" t="inlineStr">
        <is>
          <t>Housing</t>
        </is>
      </c>
      <c r="E192" s="15" t="inlineStr">
        <is>
          <t>Pacific Apartment</t>
        </is>
      </c>
      <c r="F192" s="15" t="inlineStr">
        <is>
          <t>2 bedroomwith a BQ | units: 1.0</t>
        </is>
      </c>
      <c r="G192" s="16" t="n">
        <v>45862</v>
      </c>
      <c r="H192" s="15">
        <f>IF(G192="","",YEAR(G192))</f>
        <v/>
      </c>
      <c r="I192" s="17" t="n">
        <v>112500000</v>
      </c>
      <c r="J192" s="17" t="n">
        <v>112500000</v>
      </c>
      <c r="K192" s="17">
        <f>IF(OR(I192="",J192=""),"",I192-J192)</f>
        <v/>
      </c>
      <c r="L192" s="15" t="inlineStr">
        <is>
          <t>3 months</t>
        </is>
      </c>
      <c r="M192" s="15" t="inlineStr">
        <is>
          <t>COMPLETED</t>
        </is>
      </c>
      <c r="N192" s="15" t="n"/>
      <c r="O192" s="15" t="n"/>
      <c r="P192" s="15" t="inlineStr">
        <is>
          <t>Ms Moffat</t>
        </is>
      </c>
      <c r="Q192" s="15" t="inlineStr">
        <is>
          <t>BAAY PROJECTS CLIENTS &gt; PACIFIC APARTMENT</t>
        </is>
      </c>
      <c r="R192" s="15" t="n">
        <v>13</v>
      </c>
      <c r="S192" s="15" t="inlineStr">
        <is>
          <t>24/07/2025</t>
        </is>
      </c>
      <c r="T192" s="15" t="n"/>
    </row>
    <row r="193">
      <c r="A193" s="15" t="inlineStr">
        <is>
          <t>SB0189</t>
        </is>
      </c>
      <c r="B193" s="15" t="inlineStr">
        <is>
          <t>BP-C0203</t>
        </is>
      </c>
      <c r="C193" s="15" t="inlineStr">
        <is>
          <t>Mr Ogbomah Ebi Wilfred</t>
        </is>
      </c>
      <c r="D193" s="15" t="inlineStr">
        <is>
          <t>Housing</t>
        </is>
      </c>
      <c r="E193" s="15" t="inlineStr">
        <is>
          <t>Pacific Apartment</t>
        </is>
      </c>
      <c r="F193" s="15" t="inlineStr">
        <is>
          <t>2 bedroom with a BQ | units: 1.0</t>
        </is>
      </c>
      <c r="G193" s="16" t="n">
        <v>45862</v>
      </c>
      <c r="H193" s="15">
        <f>IF(G193="","",YEAR(G193))</f>
        <v/>
      </c>
      <c r="I193" s="17" t="n">
        <v>112500000</v>
      </c>
      <c r="J193" s="17" t="n">
        <v>112500000</v>
      </c>
      <c r="K193" s="17">
        <f>IF(OR(I193="",J193=""),"",I193-J193)</f>
        <v/>
      </c>
      <c r="L193" s="15" t="inlineStr">
        <is>
          <t>3 months</t>
        </is>
      </c>
      <c r="M193" s="15" t="inlineStr">
        <is>
          <t>COMPLETED</t>
        </is>
      </c>
      <c r="N193" s="15" t="n"/>
      <c r="O193" s="15" t="n"/>
      <c r="P193" s="15" t="inlineStr">
        <is>
          <t>Ms Moffat</t>
        </is>
      </c>
      <c r="Q193" s="15" t="inlineStr">
        <is>
          <t>BAAY PROJECTS CLIENTS &gt; PACIFIC APARTMENT</t>
        </is>
      </c>
      <c r="R193" s="15" t="n">
        <v>12</v>
      </c>
      <c r="S193" s="15" t="inlineStr">
        <is>
          <t>24/07/2025</t>
        </is>
      </c>
      <c r="T193" s="15" t="n"/>
    </row>
    <row r="194">
      <c r="A194" s="15" t="inlineStr">
        <is>
          <t>SB0190</t>
        </is>
      </c>
      <c r="B194" s="15" t="inlineStr">
        <is>
          <t>BP-C0204</t>
        </is>
      </c>
      <c r="C194" s="15" t="inlineStr">
        <is>
          <t>Mr Akinjogunla Isaac Ogooluwa</t>
        </is>
      </c>
      <c r="D194" s="15" t="inlineStr">
        <is>
          <t>Housing</t>
        </is>
      </c>
      <c r="E194" s="15" t="inlineStr">
        <is>
          <t>Pacific Apartment</t>
        </is>
      </c>
      <c r="F194" s="15" t="inlineStr">
        <is>
          <t>2 bedroom with a BQ | units: 1.0</t>
        </is>
      </c>
      <c r="G194" s="16" t="n">
        <v>45863</v>
      </c>
      <c r="H194" s="15">
        <f>IF(G194="","",YEAR(G194))</f>
        <v/>
      </c>
      <c r="I194" s="17" t="n">
        <v>138000000</v>
      </c>
      <c r="J194" s="17" t="n">
        <v>60000000</v>
      </c>
      <c r="K194" s="17">
        <f>IF(OR(I194="",J194=""),"",I194-J194)</f>
        <v/>
      </c>
      <c r="L194" s="15" t="inlineStr">
        <is>
          <t>12 months</t>
        </is>
      </c>
      <c r="M194" s="15" t="inlineStr">
        <is>
          <t>Paying</t>
        </is>
      </c>
      <c r="N194" s="15" t="n"/>
      <c r="O194" s="15" t="n"/>
      <c r="P194" s="15" t="inlineStr">
        <is>
          <t>Ms Moffat</t>
        </is>
      </c>
      <c r="Q194" s="15" t="inlineStr">
        <is>
          <t>BAAY PROJECTS CLIENTS &gt; PACIFIC APARTMENT</t>
        </is>
      </c>
      <c r="R194" s="15" t="n">
        <v>14</v>
      </c>
      <c r="S194" s="15" t="inlineStr">
        <is>
          <t>25/07/2025</t>
        </is>
      </c>
      <c r="T194" s="15" t="n"/>
    </row>
    <row r="195">
      <c r="A195" s="15" t="inlineStr">
        <is>
          <t>SB0191</t>
        </is>
      </c>
      <c r="B195" s="15" t="inlineStr">
        <is>
          <t>BP-C0200</t>
        </is>
      </c>
      <c r="C195" s="15" t="inlineStr">
        <is>
          <t>Landnest Homes and Properties (Dr. Oladeji Ifeoluwa)</t>
        </is>
      </c>
      <c r="D195" s="15" t="inlineStr">
        <is>
          <t>Housing</t>
        </is>
      </c>
      <c r="E195" s="15" t="inlineStr">
        <is>
          <t>Baay Foreshore</t>
        </is>
      </c>
      <c r="F195" s="15" t="inlineStr">
        <is>
          <t>3 BEDROOM BUNGALOW</t>
        </is>
      </c>
      <c r="G195" s="16" t="n">
        <v>45864</v>
      </c>
      <c r="H195" s="15">
        <f>IF(G195="","",YEAR(G195))</f>
        <v/>
      </c>
      <c r="I195" s="17" t="n">
        <v>40100000</v>
      </c>
      <c r="J195" s="17" t="n">
        <v>5000000</v>
      </c>
      <c r="K195" s="17">
        <f>IF(OR(I195="",J195=""),"",I195-J195)</f>
        <v/>
      </c>
      <c r="L195" s="15" t="inlineStr">
        <is>
          <t>6 MONTHS</t>
        </is>
      </c>
      <c r="M195" s="15" t="inlineStr">
        <is>
          <t>Paying</t>
        </is>
      </c>
      <c r="N195" s="15" t="n"/>
      <c r="O195" s="15" t="n"/>
      <c r="P195" s="15" t="inlineStr">
        <is>
          <t>Landnest</t>
        </is>
      </c>
      <c r="Q195" s="15" t="inlineStr">
        <is>
          <t>BAAY PROJECTS CLIENTS &gt; BAAY FORESHORE + Foreshore financials sheet</t>
        </is>
      </c>
      <c r="R195" s="15" t="n">
        <v>5</v>
      </c>
      <c r="S195" s="15" t="inlineStr">
        <is>
          <t>26/07/2025</t>
        </is>
      </c>
      <c r="T195" s="15" t="n"/>
    </row>
    <row r="196">
      <c r="A196" s="15" t="inlineStr">
        <is>
          <t>SB0192</t>
        </is>
      </c>
      <c r="B196" s="15" t="inlineStr">
        <is>
          <t>BP-C0206</t>
        </is>
      </c>
      <c r="C196" s="15" t="inlineStr">
        <is>
          <t>Landnest Homes and Properties(Mrs. Beatrice)</t>
        </is>
      </c>
      <c r="D196" s="15" t="inlineStr">
        <is>
          <t>Housing</t>
        </is>
      </c>
      <c r="E196" s="15" t="inlineStr">
        <is>
          <t>Baay Foreshore</t>
        </is>
      </c>
      <c r="F196" s="15" t="inlineStr">
        <is>
          <t>3 BEDROOM BUNGALOW</t>
        </is>
      </c>
      <c r="G196" s="16" t="n">
        <v>45864</v>
      </c>
      <c r="H196" s="15">
        <f>IF(G196="","",YEAR(G196))</f>
        <v/>
      </c>
      <c r="I196" s="17" t="n">
        <v>40100000</v>
      </c>
      <c r="J196" s="17" t="n">
        <v>23000000</v>
      </c>
      <c r="K196" s="17">
        <f>IF(OR(I196="",J196=""),"",I196-J196)</f>
        <v/>
      </c>
      <c r="L196" s="15" t="inlineStr">
        <is>
          <t>6 MONTHS</t>
        </is>
      </c>
      <c r="M196" s="15" t="inlineStr">
        <is>
          <t>Paying</t>
        </is>
      </c>
      <c r="N196" s="15" t="n"/>
      <c r="O196" s="15" t="n"/>
      <c r="P196" s="15" t="inlineStr">
        <is>
          <t>Landnest</t>
        </is>
      </c>
      <c r="Q196" s="15" t="inlineStr">
        <is>
          <t>BAAY PROJECTS CLIENTS &gt; BAAY FORESHORE + Foreshore financials sheet</t>
        </is>
      </c>
      <c r="R196" s="15" t="n">
        <v>4</v>
      </c>
      <c r="S196" s="15" t="inlineStr">
        <is>
          <t>26/07/2025</t>
        </is>
      </c>
      <c r="T196" s="15" t="n"/>
    </row>
    <row r="197">
      <c r="A197" s="15" t="inlineStr">
        <is>
          <t>SB0193</t>
        </is>
      </c>
      <c r="B197" s="15" t="inlineStr">
        <is>
          <t>BP-C0208</t>
        </is>
      </c>
      <c r="C197" s="15" t="inlineStr">
        <is>
          <t>Landnest Homes and Properties (Dr, Olusola Areo)</t>
        </is>
      </c>
      <c r="D197" s="15" t="inlineStr">
        <is>
          <t>Housing</t>
        </is>
      </c>
      <c r="E197" s="15" t="inlineStr">
        <is>
          <t>Baay Foreshore</t>
        </is>
      </c>
      <c r="F197" s="15" t="inlineStr">
        <is>
          <t>3 BEDROOM BUNGALOW</t>
        </is>
      </c>
      <c r="G197" s="16" t="n">
        <v>45867</v>
      </c>
      <c r="H197" s="15">
        <f>IF(G197="","",YEAR(G197))</f>
        <v/>
      </c>
      <c r="I197" s="17" t="n">
        <v>40100000</v>
      </c>
      <c r="J197" s="17" t="n">
        <v>5000000</v>
      </c>
      <c r="K197" s="17">
        <f>IF(OR(I197="",J197=""),"",I197-J197)</f>
        <v/>
      </c>
      <c r="L197" s="15" t="inlineStr">
        <is>
          <t>6 MONTHS</t>
        </is>
      </c>
      <c r="M197" s="15" t="inlineStr">
        <is>
          <t>Paying</t>
        </is>
      </c>
      <c r="N197" s="15" t="n"/>
      <c r="O197" s="15" t="n"/>
      <c r="P197" s="15" t="inlineStr">
        <is>
          <t>Landnest</t>
        </is>
      </c>
      <c r="Q197" s="15" t="inlineStr">
        <is>
          <t>BAAY PROJECTS CLIENTS &gt; BAAY FORESHORE + Foreshore financials sheet</t>
        </is>
      </c>
      <c r="R197" s="15" t="n">
        <v>6</v>
      </c>
      <c r="S197" s="15" t="inlineStr">
        <is>
          <t>29/07/2025</t>
        </is>
      </c>
      <c r="T197" s="15" t="n"/>
    </row>
    <row r="198">
      <c r="A198" s="15" t="inlineStr">
        <is>
          <t>SB0194</t>
        </is>
      </c>
      <c r="B198" s="15" t="inlineStr">
        <is>
          <t>BP-C0209</t>
        </is>
      </c>
      <c r="C198" s="15" t="inlineStr">
        <is>
          <t>Landnest Homes and Properties(Mrs. Lukoh)</t>
        </is>
      </c>
      <c r="D198" s="15" t="inlineStr">
        <is>
          <t>Housing</t>
        </is>
      </c>
      <c r="E198" s="15" t="inlineStr">
        <is>
          <t>Baay Foreshore</t>
        </is>
      </c>
      <c r="F198" s="15" t="inlineStr">
        <is>
          <t>3 BEDROOM BUNGALOW</t>
        </is>
      </c>
      <c r="G198" s="16" t="n">
        <v>45867</v>
      </c>
      <c r="H198" s="15">
        <f>IF(G198="","",YEAR(G198))</f>
        <v/>
      </c>
      <c r="I198" s="17" t="n">
        <v>37000000</v>
      </c>
      <c r="J198" s="17" t="n">
        <v>37000000</v>
      </c>
      <c r="K198" s="17">
        <f>IF(OR(I198="",J198=""),"",I198-J198)</f>
        <v/>
      </c>
      <c r="L198" s="15" t="inlineStr">
        <is>
          <t>3 MONTHS</t>
        </is>
      </c>
      <c r="M198" s="15" t="inlineStr">
        <is>
          <t>Paid</t>
        </is>
      </c>
      <c r="N198" s="15" t="n"/>
      <c r="O198" s="15" t="n"/>
      <c r="P198" s="15" t="inlineStr">
        <is>
          <t>Landnest</t>
        </is>
      </c>
      <c r="Q198" s="15" t="inlineStr">
        <is>
          <t>BAAY PROJECTS CLIENTS &gt; BAAY FORESHORE + Foreshore financials sheet</t>
        </is>
      </c>
      <c r="R198" s="15" t="n">
        <v>3</v>
      </c>
      <c r="S198" s="15" t="inlineStr">
        <is>
          <t>29/07/2025</t>
        </is>
      </c>
      <c r="T198" s="15" t="n"/>
    </row>
    <row r="199">
      <c r="A199" s="15" t="inlineStr">
        <is>
          <t>SB0195</t>
        </is>
      </c>
      <c r="B199" s="15" t="inlineStr">
        <is>
          <t>BP-C0055</t>
        </is>
      </c>
      <c r="C199" s="15" t="inlineStr">
        <is>
          <t>Mr. Adeniji Oluwatosin Ademola</t>
        </is>
      </c>
      <c r="D199" s="15" t="inlineStr">
        <is>
          <t>Housing</t>
        </is>
      </c>
      <c r="E199" s="15" t="inlineStr">
        <is>
          <t>Baay Foreshore</t>
        </is>
      </c>
      <c r="F199" s="15" t="inlineStr">
        <is>
          <t>2 BEDROOM BUNGALOW</t>
        </is>
      </c>
      <c r="G199" s="16" t="n">
        <v>45875</v>
      </c>
      <c r="H199" s="15">
        <f>IF(G199="","",YEAR(G199))</f>
        <v/>
      </c>
      <c r="I199" s="17" t="n">
        <v>34000000</v>
      </c>
      <c r="J199" s="17" t="n">
        <v>30000000</v>
      </c>
      <c r="K199" s="17">
        <f>IF(OR(I199="",J199=""),"",I199-J199)</f>
        <v/>
      </c>
      <c r="L199" s="15" t="inlineStr">
        <is>
          <t>12 MONTHS</t>
        </is>
      </c>
      <c r="M199" s="15" t="inlineStr">
        <is>
          <t>Paying</t>
        </is>
      </c>
      <c r="N199" s="15" t="n"/>
      <c r="O199" s="15" t="n"/>
      <c r="P199" s="15" t="inlineStr">
        <is>
          <t>Ms. Tijani Bolanle</t>
        </is>
      </c>
      <c r="Q199" s="15" t="inlineStr">
        <is>
          <t>BAAY PROJECTS CLIENTS &gt; BAAY FORESHORE + Foreshore financials sheet</t>
        </is>
      </c>
      <c r="R199" s="15" t="n">
        <v>2</v>
      </c>
      <c r="S199" s="15" t="inlineStr">
        <is>
          <t>06/08/2025</t>
        </is>
      </c>
      <c r="T199" s="15" t="n"/>
    </row>
    <row r="200">
      <c r="A200" s="15" t="inlineStr">
        <is>
          <t>SB0196</t>
        </is>
      </c>
      <c r="B200" s="15" t="inlineStr">
        <is>
          <t>BP-C0158</t>
        </is>
      </c>
      <c r="C200" s="15" t="inlineStr">
        <is>
          <t>Mr. Shino Precious Vincent</t>
        </is>
      </c>
      <c r="D200" s="15" t="inlineStr">
        <is>
          <t>Land</t>
        </is>
      </c>
      <c r="E200" s="15" t="inlineStr">
        <is>
          <t>Heritage Garden</t>
        </is>
      </c>
      <c r="F200" s="15" t="inlineStr">
        <is>
          <t>250sqm</t>
        </is>
      </c>
      <c r="G200" s="16" t="n">
        <v>45881</v>
      </c>
      <c r="H200" s="15">
        <f>IF(G200="","",YEAR(G200))</f>
        <v/>
      </c>
      <c r="I200" s="17" t="n">
        <v>1300000</v>
      </c>
      <c r="J200" s="17" t="n">
        <v>1300000</v>
      </c>
      <c r="K200" s="17">
        <f>IF(OR(I200="",J200=""),"",I200-J200)</f>
        <v/>
      </c>
      <c r="L200" s="15" t="inlineStr">
        <is>
          <t>One time</t>
        </is>
      </c>
      <c r="M200" s="15" t="inlineStr">
        <is>
          <t>Bought</t>
        </is>
      </c>
      <c r="N200" s="15" t="n"/>
      <c r="O200" s="15" t="inlineStr">
        <is>
          <t>Contract of Sales Signed</t>
        </is>
      </c>
      <c r="P200" s="15" t="inlineStr">
        <is>
          <t>Adeoye Daniel</t>
        </is>
      </c>
      <c r="Q200" s="15" t="inlineStr">
        <is>
          <t>BAAY PROJECTS CLIENTS &gt; HERITAGE GARDEN</t>
        </is>
      </c>
      <c r="R200" s="15" t="n">
        <v>14</v>
      </c>
      <c r="S200" s="15" t="inlineStr">
        <is>
          <t>2025-12-08</t>
        </is>
      </c>
      <c r="T200" s="15" t="n"/>
    </row>
    <row r="201">
      <c r="A201" s="15" t="inlineStr">
        <is>
          <t>SB0197</t>
        </is>
      </c>
      <c r="B201" s="15" t="inlineStr">
        <is>
          <t>BP-C0124</t>
        </is>
      </c>
      <c r="C201" s="15" t="inlineStr">
        <is>
          <t>Miss Thomas Oluwabukola Comfort</t>
        </is>
      </c>
      <c r="D201" s="15" t="inlineStr">
        <is>
          <t>Land</t>
        </is>
      </c>
      <c r="E201" s="15" t="inlineStr">
        <is>
          <t>Green City Phase 3 Extension (Omu-Epe)</t>
        </is>
      </c>
      <c r="F201" s="15" t="inlineStr">
        <is>
          <t>25O SQM</t>
        </is>
      </c>
      <c r="G201" s="16" t="n">
        <v>45883</v>
      </c>
      <c r="H201" s="15">
        <f>IF(G201="","",YEAR(G201))</f>
        <v/>
      </c>
      <c r="I201" s="17" t="n">
        <v>2500000</v>
      </c>
      <c r="J201" s="17" t="n">
        <v>2500000</v>
      </c>
      <c r="K201" s="17">
        <f>IF(OR(I201="",J201=""),"",I201-J201)</f>
        <v/>
      </c>
      <c r="L201" s="15" t="inlineStr">
        <is>
          <t>One time payment</t>
        </is>
      </c>
      <c r="M201" s="15" t="inlineStr">
        <is>
          <t>Bought</t>
        </is>
      </c>
      <c r="N201" s="15" t="inlineStr">
        <is>
          <t>BLOCK F, PLOT 5</t>
        </is>
      </c>
      <c r="O201" s="15" t="inlineStr">
        <is>
          <t>Collected by client</t>
        </is>
      </c>
      <c r="P201" s="15" t="inlineStr">
        <is>
          <t>Mr. Ezekiel</t>
        </is>
      </c>
      <c r="Q201" s="15" t="inlineStr">
        <is>
          <t>BAAY PROJECTS CLIENTS &gt; GREEN CITY PHASE 3 EXTENSION, O</t>
        </is>
      </c>
      <c r="R201" s="15" t="n">
        <v>12</v>
      </c>
      <c r="S201" s="15" t="inlineStr">
        <is>
          <t>14/08/2025</t>
        </is>
      </c>
      <c r="T201" s="15" t="n"/>
    </row>
    <row r="202">
      <c r="A202" s="15" t="inlineStr">
        <is>
          <t>SB0198</t>
        </is>
      </c>
      <c r="B202" s="15" t="inlineStr">
        <is>
          <t>BP-C0211</t>
        </is>
      </c>
      <c r="C202" s="15" t="inlineStr">
        <is>
          <t>Landnest Homes &amp; Properties (Mrs Abiodun Ayomipo Hannah)</t>
        </is>
      </c>
      <c r="D202" s="15" t="inlineStr">
        <is>
          <t>Housing</t>
        </is>
      </c>
      <c r="E202" s="15" t="inlineStr">
        <is>
          <t>Baay Foreshore</t>
        </is>
      </c>
      <c r="F202" s="15" t="inlineStr">
        <is>
          <t>3 BEDROOM BUNGALOW</t>
        </is>
      </c>
      <c r="G202" s="16" t="n">
        <v>45888</v>
      </c>
      <c r="H202" s="15">
        <f>IF(G202="","",YEAR(G202))</f>
        <v/>
      </c>
      <c r="I202" s="17" t="n">
        <v>40100000</v>
      </c>
      <c r="J202" s="17" t="n">
        <v>20000000</v>
      </c>
      <c r="K202" s="17">
        <f>IF(OR(I202="",J202=""),"",I202-J202)</f>
        <v/>
      </c>
      <c r="L202" s="15" t="inlineStr">
        <is>
          <t>6 MONTHS</t>
        </is>
      </c>
      <c r="M202" s="15" t="inlineStr">
        <is>
          <t>Paying</t>
        </is>
      </c>
      <c r="N202" s="15" t="n"/>
      <c r="O202" s="15" t="n"/>
      <c r="P202" s="15" t="n"/>
      <c r="Q202" s="15" t="inlineStr">
        <is>
          <t>BAAY FORESHORE, IBADAN EXPENSES, SUBSCRIBERS &amp; FINANCIALS &gt; BAAY FORESHORE, IBADAN ... FINANCIALS: REVENUE/FINACIALS BY SUBSCRIBERS</t>
        </is>
      </c>
      <c r="R202" s="15" t="n">
        <v>9</v>
      </c>
      <c r="S202" s="15" t="inlineStr">
        <is>
          <t>19/08/2025</t>
        </is>
      </c>
      <c r="T202" s="15" t="n"/>
    </row>
    <row r="203">
      <c r="A203" s="15" t="inlineStr">
        <is>
          <t>SB0199</t>
        </is>
      </c>
      <c r="B203" s="15" t="inlineStr">
        <is>
          <t>BP-C0212</t>
        </is>
      </c>
      <c r="C203" s="15" t="inlineStr">
        <is>
          <t>Landnest Homes and Properties (Mrs. Ayomiposi)</t>
        </is>
      </c>
      <c r="D203" s="15" t="inlineStr">
        <is>
          <t>Housing</t>
        </is>
      </c>
      <c r="E203" s="15" t="inlineStr">
        <is>
          <t>Baay Foreshore</t>
        </is>
      </c>
      <c r="F203" s="15" t="inlineStr">
        <is>
          <t>units: 3 bedroom bungalow</t>
        </is>
      </c>
      <c r="G203" s="16" t="n">
        <v>45888</v>
      </c>
      <c r="H203" s="15">
        <f>IF(G203="","",YEAR(G203))</f>
        <v/>
      </c>
      <c r="I203" s="17" t="n">
        <v>40100000</v>
      </c>
      <c r="J203" s="17" t="n">
        <v>20000000</v>
      </c>
      <c r="K203" s="17">
        <f>IF(OR(I203="",J203=""),"",I203-J203)</f>
        <v/>
      </c>
      <c r="L203" s="15" t="inlineStr">
        <is>
          <t>6 months</t>
        </is>
      </c>
      <c r="M203" s="15" t="inlineStr">
        <is>
          <t>Paying</t>
        </is>
      </c>
      <c r="N203" s="15" t="n"/>
      <c r="O203" s="15" t="n"/>
      <c r="P203" s="15" t="inlineStr">
        <is>
          <t>Landnest</t>
        </is>
      </c>
      <c r="Q203" s="15" t="inlineStr">
        <is>
          <t>BAAY PROJECTS CLIENTS &gt; BAAY FORESHORE</t>
        </is>
      </c>
      <c r="R203" s="15" t="n">
        <v>8</v>
      </c>
      <c r="S203" s="15" t="inlineStr">
        <is>
          <t>19/08/2025</t>
        </is>
      </c>
      <c r="T203" s="15" t="n"/>
    </row>
    <row r="204">
      <c r="A204" s="15" t="inlineStr">
        <is>
          <t>SB0200</t>
        </is>
      </c>
      <c r="B204" s="15" t="inlineStr">
        <is>
          <t>BP-C0214</t>
        </is>
      </c>
      <c r="C204" s="15" t="inlineStr">
        <is>
          <t>Mrs. Taiwo Adeyinka</t>
        </is>
      </c>
      <c r="D204" s="15" t="inlineStr">
        <is>
          <t>Housing</t>
        </is>
      </c>
      <c r="E204" s="15" t="inlineStr">
        <is>
          <t>Baay Foreshore</t>
        </is>
      </c>
      <c r="F204" s="15" t="inlineStr">
        <is>
          <t>2 BEDROOM BUNGALOW x2</t>
        </is>
      </c>
      <c r="G204" s="16" t="n">
        <v>45892</v>
      </c>
      <c r="H204" s="15">
        <f>IF(G204="","",YEAR(G204))</f>
        <v/>
      </c>
      <c r="I204" s="17" t="n">
        <v>68000000</v>
      </c>
      <c r="J204" s="17" t="n">
        <v>48020000</v>
      </c>
      <c r="K204" s="17">
        <f>IF(OR(I204="",J204=""),"",I204-J204)</f>
        <v/>
      </c>
      <c r="L204" s="15" t="inlineStr">
        <is>
          <t>12 MONTHS</t>
        </is>
      </c>
      <c r="M204" s="15" t="inlineStr">
        <is>
          <t>Paying</t>
        </is>
      </c>
      <c r="N204" s="15" t="n"/>
      <c r="O204" s="15" t="n"/>
      <c r="P204" s="15" t="inlineStr">
        <is>
          <t>Ms. Tijani Bolanle</t>
        </is>
      </c>
      <c r="Q204" s="15" t="inlineStr">
        <is>
          <t>BAAY PROJECTS CLIENTS &gt; BAAY FORESHORE + Foreshore financials sheet</t>
        </is>
      </c>
      <c r="R204" s="15" t="n">
        <v>9</v>
      </c>
      <c r="S204" s="15" t="inlineStr">
        <is>
          <t>23/08/2025</t>
        </is>
      </c>
      <c r="T204" s="15" t="n"/>
    </row>
    <row r="205">
      <c r="A205" s="15" t="inlineStr">
        <is>
          <t>SB0201</t>
        </is>
      </c>
      <c r="B205" s="15" t="inlineStr">
        <is>
          <t>BP-C0213</t>
        </is>
      </c>
      <c r="C205" s="15" t="inlineStr">
        <is>
          <t>Mr. Adelani Ibrahim Akinkunmi</t>
        </is>
      </c>
      <c r="D205" s="15" t="inlineStr">
        <is>
          <t>Housing</t>
        </is>
      </c>
      <c r="E205" s="15" t="inlineStr">
        <is>
          <t>Baay Foreshore</t>
        </is>
      </c>
      <c r="F205" s="15" t="inlineStr">
        <is>
          <t>2 BEDROOM BUNGALOW</t>
        </is>
      </c>
      <c r="G205" s="16" t="n">
        <v>45895</v>
      </c>
      <c r="H205" s="15">
        <f>IF(G205="","",YEAR(G205))</f>
        <v/>
      </c>
      <c r="I205" s="17" t="n">
        <v>34000000</v>
      </c>
      <c r="J205" s="17" t="n">
        <v>30000000</v>
      </c>
      <c r="K205" s="17">
        <f>IF(OR(I205="",J205=""),"",I205-J205)</f>
        <v/>
      </c>
      <c r="L205" s="15" t="inlineStr">
        <is>
          <t>12 MONTHS</t>
        </is>
      </c>
      <c r="M205" s="15" t="inlineStr">
        <is>
          <t>Paying</t>
        </is>
      </c>
      <c r="N205" s="15" t="n"/>
      <c r="O205" s="15" t="n"/>
      <c r="P205" s="15" t="inlineStr">
        <is>
          <t>Ms. Tijani Bolanle</t>
        </is>
      </c>
      <c r="Q205" s="15" t="inlineStr">
        <is>
          <t>BAAY PROJECTS CLIENTS &gt; BAAY FORESHORE + Foreshore financials sheet</t>
        </is>
      </c>
      <c r="R205" s="15" t="n">
        <v>10</v>
      </c>
      <c r="S205" s="15" t="inlineStr">
        <is>
          <t>26/08/2025</t>
        </is>
      </c>
      <c r="T205" s="15" t="n"/>
    </row>
    <row r="206">
      <c r="A206" s="15" t="inlineStr">
        <is>
          <t>SB0202</t>
        </is>
      </c>
      <c r="B206" s="15" t="inlineStr">
        <is>
          <t>BP-C0216</t>
        </is>
      </c>
      <c r="C206" s="15" t="inlineStr">
        <is>
          <t>Mrs Oluwagbemiro Olajumoke Oluwakemi</t>
        </is>
      </c>
      <c r="D206" s="15" t="inlineStr">
        <is>
          <t>Land</t>
        </is>
      </c>
      <c r="E206" s="15" t="inlineStr">
        <is>
          <t>Green City Ibadan (Akinyele-Moniya)</t>
        </is>
      </c>
      <c r="F206" s="15" t="inlineStr">
        <is>
          <t>250SQM</t>
        </is>
      </c>
      <c r="G206" s="16" t="n">
        <v>45933</v>
      </c>
      <c r="H206" s="15">
        <f>IF(G206="","",YEAR(G206))</f>
        <v/>
      </c>
      <c r="I206" s="17" t="n">
        <v>2500000</v>
      </c>
      <c r="J206" s="17" t="n">
        <v>2500000</v>
      </c>
      <c r="K206" s="17">
        <f>IF(OR(I206="",J206=""),"",I206-J206)</f>
        <v/>
      </c>
      <c r="L206" s="15" t="inlineStr">
        <is>
          <t>3 months</t>
        </is>
      </c>
      <c r="M206" s="15" t="inlineStr">
        <is>
          <t>Bought</t>
        </is>
      </c>
      <c r="N206" s="15" t="n"/>
      <c r="O206" s="15" t="inlineStr">
        <is>
          <t>Contract of Sale signed</t>
        </is>
      </c>
      <c r="P206" s="15" t="inlineStr">
        <is>
          <t>Mr Rere (Team Tobi)</t>
        </is>
      </c>
      <c r="Q206" s="15" t="inlineStr">
        <is>
          <t>BAAY PROJECTS CLIENTS &gt; GREEN CITY IBADAN, AKINYELE-MON</t>
        </is>
      </c>
      <c r="R206" s="15" t="n">
        <v>11</v>
      </c>
      <c r="S206" s="15" t="inlineStr">
        <is>
          <t>2025-03-10</t>
        </is>
      </c>
      <c r="T206" s="15" t="n"/>
    </row>
    <row r="207">
      <c r="A207" s="15" t="inlineStr">
        <is>
          <t>SB0203</t>
        </is>
      </c>
      <c r="B207" s="15" t="inlineStr">
        <is>
          <t>BP-C0217</t>
        </is>
      </c>
      <c r="C207" s="15" t="inlineStr">
        <is>
          <t>Mr Akinsola Joseph Mofoluwaso</t>
        </is>
      </c>
      <c r="D207" s="15" t="inlineStr">
        <is>
          <t>Housing</t>
        </is>
      </c>
      <c r="E207" s="15" t="inlineStr">
        <is>
          <t>Gorge View Court (GVC Gbagada)</t>
        </is>
      </c>
      <c r="F207" s="15" t="inlineStr">
        <is>
          <t>4Bedroom Terrace | units: 1 unit</t>
        </is>
      </c>
      <c r="G207" s="16" t="n">
        <v>45972</v>
      </c>
      <c r="H207" s="15">
        <f>IF(G207="","",YEAR(G207))</f>
        <v/>
      </c>
      <c r="I207" s="17" t="n">
        <v>290000000</v>
      </c>
      <c r="J207" s="17" t="n">
        <v>280000000</v>
      </c>
      <c r="K207" s="17">
        <f>IF(OR(I207="",J207=""),"",I207-J207)</f>
        <v/>
      </c>
      <c r="L207" s="15" t="inlineStr">
        <is>
          <t>3 months</t>
        </is>
      </c>
      <c r="M207" s="15" t="inlineStr">
        <is>
          <t>COMPLETED</t>
        </is>
      </c>
      <c r="N207" s="15" t="n"/>
      <c r="O207" s="15" t="n"/>
      <c r="P207" s="15" t="inlineStr">
        <is>
          <t>Md</t>
        </is>
      </c>
      <c r="Q207" s="15" t="inlineStr">
        <is>
          <t>BAAY PROJECTS CLIENTS &gt; GORGE VIEW COURT</t>
        </is>
      </c>
      <c r="R207" s="15" t="n">
        <v>3</v>
      </c>
      <c r="S207" s="15" t="inlineStr">
        <is>
          <t>2025-11-11</t>
        </is>
      </c>
      <c r="T207" s="15" t="n"/>
    </row>
    <row r="208">
      <c r="A208" s="15" t="inlineStr">
        <is>
          <t>SB0204</t>
        </is>
      </c>
      <c r="B208" s="15" t="inlineStr">
        <is>
          <t>BP-C0132</t>
        </is>
      </c>
      <c r="C208" s="15" t="inlineStr">
        <is>
          <t>Mr Ajayi Adekunle Temitope</t>
        </is>
      </c>
      <c r="D208" s="15" t="inlineStr">
        <is>
          <t>Housing</t>
        </is>
      </c>
      <c r="E208" s="15" t="inlineStr">
        <is>
          <t>Baay Foreshore</t>
        </is>
      </c>
      <c r="F208" s="15" t="inlineStr">
        <is>
          <t>3 BEDROOM BUNGALOW</t>
        </is>
      </c>
      <c r="G208" s="16" t="n">
        <v>45982</v>
      </c>
      <c r="H208" s="15">
        <f>IF(G208="","",YEAR(G208))</f>
        <v/>
      </c>
      <c r="I208" s="17" t="n">
        <v>37000000</v>
      </c>
      <c r="J208" s="17" t="n">
        <v>37000000</v>
      </c>
      <c r="K208" s="17">
        <f>IF(OR(I208="",J208=""),"",I208-J208)</f>
        <v/>
      </c>
      <c r="L208" s="15" t="inlineStr">
        <is>
          <t>6 MONTHS</t>
        </is>
      </c>
      <c r="M208" s="15" t="inlineStr">
        <is>
          <t>Paid</t>
        </is>
      </c>
      <c r="N208" s="15" t="n"/>
      <c r="O208" s="15" t="n"/>
      <c r="P208" s="15" t="inlineStr">
        <is>
          <t>Ms Opeyemi</t>
        </is>
      </c>
      <c r="Q208" s="15" t="inlineStr">
        <is>
          <t>BAAY PROJECTS CLIENTS &gt; BAAY FORESHORE + Foreshore financials sheet</t>
        </is>
      </c>
      <c r="R208" s="15" t="n">
        <v>12</v>
      </c>
      <c r="S208" s="15" t="inlineStr">
        <is>
          <t>21/11/2025</t>
        </is>
      </c>
      <c r="T208" s="15" t="n"/>
    </row>
    <row r="209">
      <c r="A209" s="15" t="inlineStr">
        <is>
          <t>SB0205</t>
        </is>
      </c>
      <c r="B209" s="15" t="inlineStr">
        <is>
          <t>BP-C0219</t>
        </is>
      </c>
      <c r="C209" s="15" t="inlineStr">
        <is>
          <t>Mr Ali Sunday Patrick</t>
        </is>
      </c>
      <c r="D209" s="15" t="inlineStr">
        <is>
          <t>Housing</t>
        </is>
      </c>
      <c r="E209" s="15" t="inlineStr">
        <is>
          <t>Baay Foreshore</t>
        </is>
      </c>
      <c r="F209" s="15" t="inlineStr">
        <is>
          <t>2 BEDROOM BUNGALOW</t>
        </is>
      </c>
      <c r="G209" s="16" t="n">
        <v>45982</v>
      </c>
      <c r="H209" s="15">
        <f>IF(G209="","",YEAR(G209))</f>
        <v/>
      </c>
      <c r="I209" s="17" t="n">
        <v>36720000</v>
      </c>
      <c r="J209" s="17" t="n">
        <v>34720000</v>
      </c>
      <c r="K209" s="17">
        <f>IF(OR(I209="",J209=""),"",I209-J209)</f>
        <v/>
      </c>
      <c r="L209" s="15" t="inlineStr">
        <is>
          <t>6 MONTHS</t>
        </is>
      </c>
      <c r="M209" s="15" t="inlineStr">
        <is>
          <t>Paying</t>
        </is>
      </c>
      <c r="N209" s="15" t="n"/>
      <c r="O209" s="15" t="n"/>
      <c r="P209" s="15" t="inlineStr">
        <is>
          <t>Ms Braimoh Anointing</t>
        </is>
      </c>
      <c r="Q209" s="15" t="inlineStr">
        <is>
          <t>BAAY PROJECTS CLIENTS &gt; BAAY FORESHORE + Foreshore financials sheet</t>
        </is>
      </c>
      <c r="R209" s="15" t="n">
        <v>11</v>
      </c>
      <c r="S209" s="15" t="inlineStr">
        <is>
          <t>21/11/2025</t>
        </is>
      </c>
      <c r="T209" s="15" t="n"/>
    </row>
    <row r="210">
      <c r="A210" s="15" t="inlineStr">
        <is>
          <t>SB0206</t>
        </is>
      </c>
      <c r="B210" s="15" t="inlineStr">
        <is>
          <t>BP-C0220</t>
        </is>
      </c>
      <c r="C210" s="15" t="inlineStr">
        <is>
          <t>Mr Ayeni Mayowa &amp; Mrs Ayeni Olumide Ibitayo Mercy</t>
        </is>
      </c>
      <c r="D210" s="15" t="inlineStr">
        <is>
          <t>Land</t>
        </is>
      </c>
      <c r="E210" s="15" t="inlineStr">
        <is>
          <t>Heritage Garden</t>
        </is>
      </c>
      <c r="F210" s="15" t="inlineStr">
        <is>
          <t>250sqm</t>
        </is>
      </c>
      <c r="G210" s="16" t="n">
        <v>45996</v>
      </c>
      <c r="H210" s="15">
        <f>IF(G210="","",YEAR(G210))</f>
        <v/>
      </c>
      <c r="I210" s="17" t="n">
        <v>1050000</v>
      </c>
      <c r="J210" s="17" t="n">
        <v>1050000</v>
      </c>
      <c r="K210" s="17">
        <f>IF(OR(I210="",J210=""),"",I210-J210)</f>
        <v/>
      </c>
      <c r="L210" s="15" t="inlineStr">
        <is>
          <t>One time</t>
        </is>
      </c>
      <c r="M210" s="15" t="inlineStr">
        <is>
          <t>Bought</t>
        </is>
      </c>
      <c r="N210" s="15" t="n"/>
      <c r="O210" s="15" t="inlineStr">
        <is>
          <t>Not yet Prepared</t>
        </is>
      </c>
      <c r="P210" s="15" t="inlineStr">
        <is>
          <t>Mayowa Ayeni</t>
        </is>
      </c>
      <c r="Q210" s="15" t="inlineStr">
        <is>
          <t>BAAY PROJECTS CLIENTS &gt; HERITAGE GARDEN</t>
        </is>
      </c>
      <c r="R210" s="15" t="n">
        <v>15</v>
      </c>
      <c r="S210" s="15" t="inlineStr">
        <is>
          <t>2025-05-12</t>
        </is>
      </c>
      <c r="T210" s="15" t="n"/>
    </row>
    <row r="211">
      <c r="A211" s="15" t="inlineStr">
        <is>
          <t>SB0207</t>
        </is>
      </c>
      <c r="B211" s="15" t="inlineStr">
        <is>
          <t>BP-C0222</t>
        </is>
      </c>
      <c r="C211" s="15" t="inlineStr">
        <is>
          <t>Mr Omodele Oluseye Johnson</t>
        </is>
      </c>
      <c r="D211" s="15" t="inlineStr">
        <is>
          <t>Housing</t>
        </is>
      </c>
      <c r="E211" s="15" t="inlineStr">
        <is>
          <t>Baay Foreshore</t>
        </is>
      </c>
      <c r="F211" s="15" t="inlineStr">
        <is>
          <t>3 BEDROOM BUNGALOW</t>
        </is>
      </c>
      <c r="G211" s="16" t="n">
        <v>46010</v>
      </c>
      <c r="H211" s="15">
        <f>IF(G211="","",YEAR(G211))</f>
        <v/>
      </c>
      <c r="I211" s="17" t="n">
        <v>38000000</v>
      </c>
      <c r="J211" s="17" t="n">
        <v>38000000</v>
      </c>
      <c r="K211" s="17">
        <f>IF(OR(I211="",J211=""),"",I211-J211)</f>
        <v/>
      </c>
      <c r="L211" s="15" t="inlineStr">
        <is>
          <t>3 MONTHS</t>
        </is>
      </c>
      <c r="M211" s="15" t="inlineStr">
        <is>
          <t>Paid</t>
        </is>
      </c>
      <c r="N211" s="15" t="n"/>
      <c r="O211" s="15" t="n"/>
      <c r="P211" s="15" t="inlineStr">
        <is>
          <t>Ms Ojumefor</t>
        </is>
      </c>
      <c r="Q211" s="15" t="inlineStr">
        <is>
          <t>BAAY PROJECTS CLIENTS &gt; BAAY FORESHORE + Foreshore financials sheet</t>
        </is>
      </c>
      <c r="R211" s="15" t="n">
        <v>13</v>
      </c>
      <c r="S211" s="15" t="inlineStr">
        <is>
          <t>19/12/2025</t>
        </is>
      </c>
      <c r="T211" s="15" t="n"/>
    </row>
    <row r="212">
      <c r="A212" s="15" t="inlineStr">
        <is>
          <t>SB0208</t>
        </is>
      </c>
      <c r="B212" s="15" t="inlineStr">
        <is>
          <t>BP-C0223</t>
        </is>
      </c>
      <c r="C212" s="15" t="inlineStr">
        <is>
          <t>Mr Ojediran Oluwatosin James</t>
        </is>
      </c>
      <c r="D212" s="15" t="inlineStr">
        <is>
          <t>Land</t>
        </is>
      </c>
      <c r="E212" s="15" t="inlineStr">
        <is>
          <t>Green City Phase 3 Extension (Omu-Epe)</t>
        </is>
      </c>
      <c r="F212" s="15" t="inlineStr">
        <is>
          <t>250 SQM</t>
        </is>
      </c>
      <c r="G212" s="16" t="n">
        <v>46013</v>
      </c>
      <c r="H212" s="15">
        <f>IF(G212="","",YEAR(G212))</f>
        <v/>
      </c>
      <c r="I212" s="17" t="n">
        <v>2250000</v>
      </c>
      <c r="J212" s="17" t="n">
        <v>2250000</v>
      </c>
      <c r="K212" s="17">
        <f>IF(OR(I212="",J212=""),"",I212-J212)</f>
        <v/>
      </c>
      <c r="L212" s="15" t="inlineStr">
        <is>
          <t>3 months</t>
        </is>
      </c>
      <c r="M212" s="15" t="inlineStr">
        <is>
          <t>Paying</t>
        </is>
      </c>
      <c r="N212" s="15" t="n"/>
      <c r="O212" s="15" t="inlineStr">
        <is>
          <t>Not yet Processed</t>
        </is>
      </c>
      <c r="P212" s="15" t="inlineStr">
        <is>
          <t>MD</t>
        </is>
      </c>
      <c r="Q212" s="15" t="inlineStr">
        <is>
          <t>BAAY PROJECTS CLIENTS &gt; GREEN CITY PHASE 3 EXTENSION, O</t>
        </is>
      </c>
      <c r="R212" s="15" t="n">
        <v>13</v>
      </c>
      <c r="S212" s="15" t="inlineStr">
        <is>
          <t>22/12/2025</t>
        </is>
      </c>
      <c r="T212" s="15" t="n"/>
    </row>
    <row r="213">
      <c r="A213" s="15" t="inlineStr">
        <is>
          <t>SB0209</t>
        </is>
      </c>
      <c r="B213" s="15" t="inlineStr">
        <is>
          <t>BP-C0225</t>
        </is>
      </c>
      <c r="C213" s="15" t="inlineStr">
        <is>
          <t>Mr Akinsode Adebowale Peter</t>
        </is>
      </c>
      <c r="D213" s="15" t="inlineStr">
        <is>
          <t>Housing</t>
        </is>
      </c>
      <c r="E213" s="15" t="inlineStr">
        <is>
          <t>Baay Foreshore</t>
        </is>
      </c>
      <c r="F213" s="15" t="inlineStr">
        <is>
          <t>3 BEDROOM BUNGALOW</t>
        </is>
      </c>
      <c r="G213" s="16" t="n">
        <v>46015</v>
      </c>
      <c r="H213" s="15">
        <f>IF(G213="","",YEAR(G213))</f>
        <v/>
      </c>
      <c r="I213" s="17" t="n">
        <v>38000000</v>
      </c>
      <c r="J213" s="17" t="n">
        <v>2500000</v>
      </c>
      <c r="K213" s="17">
        <f>IF(OR(I213="",J213=""),"",I213-J213)</f>
        <v/>
      </c>
      <c r="L213" s="15" t="inlineStr">
        <is>
          <t>3 MONTHS</t>
        </is>
      </c>
      <c r="M213" s="15" t="inlineStr">
        <is>
          <t>Paying</t>
        </is>
      </c>
      <c r="N213" s="15" t="n"/>
      <c r="O213" s="15" t="n"/>
      <c r="P213" s="15" t="inlineStr">
        <is>
          <t>Ms Wuraola</t>
        </is>
      </c>
      <c r="Q213" s="15" t="inlineStr">
        <is>
          <t>BAAY PROJECTS CLIENTS &gt; BAAY FORESHORE + Foreshore financials sheet</t>
        </is>
      </c>
      <c r="R213" s="15" t="n">
        <v>14</v>
      </c>
      <c r="S213" s="15" t="inlineStr">
        <is>
          <t>24/12/2025</t>
        </is>
      </c>
      <c r="T213" s="15" t="inlineStr">
        <is>
          <t>Subscription date not recorded in client register</t>
        </is>
      </c>
    </row>
    <row r="214">
      <c r="A214" s="15" t="inlineStr">
        <is>
          <t>SB0210</t>
        </is>
      </c>
      <c r="B214" s="15" t="inlineStr">
        <is>
          <t>BP-C0224</t>
        </is>
      </c>
      <c r="C214" s="15" t="inlineStr">
        <is>
          <t>Mr Adebowale Oyindamola Adewunmi</t>
        </is>
      </c>
      <c r="D214" s="15" t="inlineStr">
        <is>
          <t>Housing</t>
        </is>
      </c>
      <c r="E214" s="15" t="inlineStr">
        <is>
          <t>Pacific Apartment</t>
        </is>
      </c>
      <c r="F214" s="15" t="inlineStr">
        <is>
          <t>2 bedroom with a BQ | units: 1.0</t>
        </is>
      </c>
      <c r="G214" s="16" t="n">
        <v>46015</v>
      </c>
      <c r="H214" s="15">
        <f>IF(G214="","",YEAR(G214))</f>
        <v/>
      </c>
      <c r="I214" s="17" t="n">
        <v>142000000</v>
      </c>
      <c r="J214" s="17" t="n">
        <v>15000000</v>
      </c>
      <c r="K214" s="17">
        <f>IF(OR(I214="",J214=""),"",I214-J214)</f>
        <v/>
      </c>
      <c r="L214" s="15" t="inlineStr">
        <is>
          <t>12 months</t>
        </is>
      </c>
      <c r="M214" s="15" t="inlineStr">
        <is>
          <t>Paying</t>
        </is>
      </c>
      <c r="N214" s="15" t="n"/>
      <c r="O214" s="15" t="n"/>
      <c r="P214" s="15" t="inlineStr">
        <is>
          <t>Salem Real Estate</t>
        </is>
      </c>
      <c r="Q214" s="15" t="inlineStr">
        <is>
          <t>BAAY PROJECTS CLIENTS &gt; PACIFIC APARTMENT</t>
        </is>
      </c>
      <c r="R214" s="15" t="n">
        <v>15</v>
      </c>
      <c r="S214" s="15" t="inlineStr">
        <is>
          <t>24/12/2025</t>
        </is>
      </c>
      <c r="T214" s="15" t="n"/>
    </row>
    <row r="215">
      <c r="A215" s="15" t="inlineStr">
        <is>
          <t>SB0211</t>
        </is>
      </c>
      <c r="B215" s="15" t="inlineStr">
        <is>
          <t>BP-C0196</t>
        </is>
      </c>
      <c r="C215" s="15" t="inlineStr">
        <is>
          <t>Mr Agbim Ikechukwu Godson</t>
        </is>
      </c>
      <c r="D215" s="15" t="inlineStr">
        <is>
          <t>Land</t>
        </is>
      </c>
      <c r="E215" s="15" t="inlineStr">
        <is>
          <t>Green City Phase 3 (Omu-Epe)</t>
        </is>
      </c>
      <c r="F215" s="15" t="inlineStr">
        <is>
          <t>500SQM</t>
        </is>
      </c>
      <c r="G215" s="16" t="n">
        <v>46020</v>
      </c>
      <c r="H215" s="15">
        <f>IF(G215="","",YEAR(G215))</f>
        <v/>
      </c>
      <c r="I215" s="17" t="n">
        <v>5625000</v>
      </c>
      <c r="J215" s="17" t="n">
        <v>2000000</v>
      </c>
      <c r="K215" s="17">
        <f>IF(OR(I215="",J215=""),"",I215-J215)</f>
        <v/>
      </c>
      <c r="L215" s="15" t="inlineStr">
        <is>
          <t>3 months</t>
        </is>
      </c>
      <c r="M215" s="15" t="inlineStr">
        <is>
          <t>Paying</t>
        </is>
      </c>
      <c r="N215" s="15" t="n"/>
      <c r="O215" s="15" t="n"/>
      <c r="P215" s="15" t="inlineStr">
        <is>
          <t>Ms Abimbola</t>
        </is>
      </c>
      <c r="Q215" s="15" t="inlineStr">
        <is>
          <t>BAAY PROJECTS CLIENTS &gt; GREEN CITY PHASE 3, OMU EPE</t>
        </is>
      </c>
      <c r="R215" s="15" t="n">
        <v>37</v>
      </c>
      <c r="S215" s="15" t="inlineStr">
        <is>
          <t>29/12/2025</t>
        </is>
      </c>
      <c r="T215" s="15" t="n"/>
    </row>
    <row r="216">
      <c r="A216" s="15" t="inlineStr">
        <is>
          <t>SB0212</t>
        </is>
      </c>
      <c r="B216" s="15" t="inlineStr">
        <is>
          <t>BP-C0232</t>
        </is>
      </c>
      <c r="C216" s="15" t="inlineStr">
        <is>
          <t>Mrs Adefila Oluwabukola Ibukunoluwa</t>
        </is>
      </c>
      <c r="D216" s="15" t="inlineStr">
        <is>
          <t>Housing</t>
        </is>
      </c>
      <c r="E216" s="15" t="inlineStr">
        <is>
          <t>Pacific Apartment</t>
        </is>
      </c>
      <c r="F216" s="15" t="inlineStr">
        <is>
          <t>2 bedroom apartment | units: 1.0</t>
        </is>
      </c>
      <c r="G216" s="16" t="n"/>
      <c r="H216" s="15">
        <f>IF(G216="","",YEAR(G216))</f>
        <v/>
      </c>
      <c r="I216" s="17" t="n">
        <v>105000000</v>
      </c>
      <c r="J216" s="17" t="n">
        <v>4001141</v>
      </c>
      <c r="K216" s="17">
        <f>IF(OR(I216="",J216=""),"",I216-J216)</f>
        <v/>
      </c>
      <c r="L216" s="15" t="inlineStr">
        <is>
          <t>24 months</t>
        </is>
      </c>
      <c r="M216" s="15" t="inlineStr">
        <is>
          <t>Paying</t>
        </is>
      </c>
      <c r="N216" s="15" t="n"/>
      <c r="O216" s="15" t="n"/>
      <c r="P216" s="15" t="inlineStr">
        <is>
          <t>MD</t>
        </is>
      </c>
      <c r="Q216" s="15" t="inlineStr">
        <is>
          <t>BAAY PROJECTS CLIENTS &gt; PACIFIC APARTMENT</t>
        </is>
      </c>
      <c r="R216" s="15" t="n">
        <v>6</v>
      </c>
      <c r="S216" s="15" t="n"/>
      <c r="T216" s="15" t="inlineStr">
        <is>
          <t>Subscription date not recorded in client register</t>
        </is>
      </c>
    </row>
    <row r="217">
      <c r="A217" s="15" t="inlineStr">
        <is>
          <t>SB0213</t>
        </is>
      </c>
      <c r="B217" s="15" t="inlineStr">
        <is>
          <t>BP-C0230</t>
        </is>
      </c>
      <c r="C217" s="15" t="inlineStr">
        <is>
          <t>Mr Jude</t>
        </is>
      </c>
      <c r="D217" s="15" t="inlineStr">
        <is>
          <t>Housing</t>
        </is>
      </c>
      <c r="E217" s="15" t="inlineStr">
        <is>
          <t>Pacific Court</t>
        </is>
      </c>
      <c r="F217" s="15" t="n"/>
      <c r="G217" s="16" t="n"/>
      <c r="H217" s="15">
        <f>IF(G217="","",YEAR(G217))</f>
        <v/>
      </c>
      <c r="I217" s="17" t="n"/>
      <c r="J217" s="17" t="n"/>
      <c r="K217" s="17">
        <f>IF(OR(I217="",J217=""),"",I217-J217)</f>
        <v/>
      </c>
      <c r="L217" s="15" t="n"/>
      <c r="M217" s="15" t="inlineStr">
        <is>
          <t>ALMOST BOUGHT</t>
        </is>
      </c>
      <c r="N217" s="15" t="n"/>
      <c r="O217" s="15" t="n"/>
      <c r="P217" s="15" t="n"/>
      <c r="Q217" s="15" t="inlineStr">
        <is>
          <t>BAAY PROJECTS CLIENTS &gt; PACIFIC COURT INVESTORS LIST</t>
        </is>
      </c>
      <c r="R217" s="15" t="n">
        <v>9</v>
      </c>
      <c r="S217" s="15" t="inlineStr">
        <is>
          <t>Didn't buy because of lack of approval</t>
        </is>
      </c>
      <c r="T217" s="15" t="inlineStr">
        <is>
          <t>Subscription date not recorded in client register</t>
        </is>
      </c>
    </row>
    <row r="218">
      <c r="A218" s="15" t="inlineStr">
        <is>
          <t>SB0214</t>
        </is>
      </c>
      <c r="B218" s="15" t="inlineStr">
        <is>
          <t>BP-C0233</t>
        </is>
      </c>
      <c r="C218" s="15" t="inlineStr">
        <is>
          <t>Mrs and Mr Bidemi</t>
        </is>
      </c>
      <c r="D218" s="15" t="inlineStr">
        <is>
          <t>Housing</t>
        </is>
      </c>
      <c r="E218" s="15" t="inlineStr">
        <is>
          <t>Pacific Court</t>
        </is>
      </c>
      <c r="F218" s="15" t="n"/>
      <c r="G218" s="16" t="n"/>
      <c r="H218" s="15">
        <f>IF(G218="","",YEAR(G218))</f>
        <v/>
      </c>
      <c r="I218" s="17" t="n"/>
      <c r="J218" s="17" t="n"/>
      <c r="K218" s="17">
        <f>IF(OR(I218="",J218=""),"",I218-J218)</f>
        <v/>
      </c>
      <c r="L218" s="15" t="n"/>
      <c r="M218" s="15" t="inlineStr">
        <is>
          <t>ALMOST BOUGHT</t>
        </is>
      </c>
      <c r="N218" s="15" t="n"/>
      <c r="O218" s="15" t="n"/>
      <c r="P218" s="15" t="n"/>
      <c r="Q218" s="15" t="inlineStr">
        <is>
          <t>BAAY PROJECTS CLIENTS &gt; PACIFIC COURT INVESTORS LIST</t>
        </is>
      </c>
      <c r="R218" s="15" t="n">
        <v>8</v>
      </c>
      <c r="S218" s="15" t="inlineStr">
        <is>
          <t>Wanted longer plan</t>
        </is>
      </c>
      <c r="T218" s="15" t="inlineStr">
        <is>
          <t>Subscription date not recorded in client register</t>
        </is>
      </c>
    </row>
    <row r="219">
      <c r="E219" s="18" t="inlineStr">
        <is>
          <t>Total</t>
        </is>
      </c>
      <c r="I219" s="19">
        <f>SUBTOTAL(9,I5:I218)</f>
        <v/>
      </c>
      <c r="J219" s="19">
        <f>SUBTOTAL(9,J5:J218)</f>
        <v/>
      </c>
      <c r="K219" s="19">
        <f>SUBTOTAL(9,K5:K218)</f>
        <v/>
      </c>
    </row>
  </sheetData>
  <autoFilter ref="A4:T218"/>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R241"/>
  <sheetViews>
    <sheetView zoomScaleNormal="100" workbookViewId="0">
      <pane xSplit="2" ySplit="4" topLeftCell="C230" activePane="bottomRight" state="frozen"/>
      <selection pane="topRight" activeCell="C1" sqref="C1"/>
      <selection pane="bottomLeft" activeCell="A5" sqref="A5"/>
      <selection pane="bottomRight" activeCell="A1" sqref="A1"/>
    </sheetView>
  </sheetViews>
  <sheetFormatPr baseColWidth="8" defaultColWidth="8.6328125" defaultRowHeight="14.5"/>
  <cols>
    <col width="11" customWidth="1" min="1" max="1"/>
    <col width="36" customWidth="1" min="2" max="2"/>
    <col width="16" customWidth="1" min="3" max="3"/>
    <col width="30" customWidth="1" min="4" max="4"/>
    <col width="14" customWidth="1" min="5" max="5"/>
    <col width="40" customWidth="1" min="6" max="6"/>
    <col width="14" customWidth="1" min="7" max="7"/>
    <col width="13" customWidth="1" min="8" max="8"/>
    <col width="16" customWidth="1" min="9" max="10"/>
    <col width="14" customWidth="1" min="11" max="13"/>
    <col width="16" customWidth="1" min="14" max="14"/>
    <col width="30" customWidth="1" min="15" max="15"/>
    <col width="18" customWidth="1" min="16" max="16"/>
    <col width="24" customWidth="1" min="17" max="17"/>
    <col width="44" customWidth="1" min="18" max="18"/>
  </cols>
  <sheetData>
    <row r="1" ht="18" customHeight="1">
      <c r="A1" s="1" t="inlineStr">
        <is>
          <t>Customer master: everyone who subscribed to or paid for land/housing, 2022 to 2025</t>
        </is>
      </c>
    </row>
    <row r="2">
      <c r="A2" s="2" t="inlineStr">
        <is>
          <t>One row per customer. Receipts pull from Sales_Ledger; contract values pull from Subscriptions. Contact details are for auditor confirmations.</t>
        </is>
      </c>
    </row>
    <row r="4" ht="30" customHeight="1">
      <c r="A4" s="14" t="inlineStr">
        <is>
          <t>Customer ID</t>
        </is>
      </c>
      <c r="B4" s="14" t="inlineStr">
        <is>
          <t>Customer name</t>
        </is>
      </c>
      <c r="C4" s="14" t="inlineStr">
        <is>
          <t>Phone</t>
        </is>
      </c>
      <c r="D4" s="14" t="inlineStr">
        <is>
          <t>Email</t>
        </is>
      </c>
      <c r="E4" s="14" t="inlineStr">
        <is>
          <t>Product line(s)</t>
        </is>
      </c>
      <c r="F4" s="14" t="inlineStr">
        <is>
          <t>Project(s)</t>
        </is>
      </c>
      <c r="G4" s="14" t="inlineStr">
        <is>
          <t>First subscription date (register)</t>
        </is>
      </c>
      <c r="H4" s="14" t="inlineStr">
        <is>
          <t>First receipt in ledger</t>
        </is>
      </c>
      <c r="I4" s="14" t="inlineStr">
        <is>
          <t>Contract value per register (₦)</t>
        </is>
      </c>
      <c r="J4" s="14" t="inlineStr">
        <is>
          <t>Paid to date per register (₦)</t>
        </is>
      </c>
      <c r="K4" s="14" t="inlineStr">
        <is>
          <t>Receipts 2023 (₦)</t>
        </is>
      </c>
      <c r="L4" s="14" t="inlineStr">
        <is>
          <t>Receipts 2024 (₦)</t>
        </is>
      </c>
      <c r="M4" s="14" t="inlineStr">
        <is>
          <t>Receipts 2025 (₦)</t>
        </is>
      </c>
      <c r="N4" s="14" t="inlineStr">
        <is>
          <t>Total receipts 2023-2025 (₦)</t>
        </is>
      </c>
      <c r="O4" s="14" t="inlineStr">
        <is>
          <t>Identified from</t>
        </is>
      </c>
      <c r="P4" s="14" t="inlineStr">
        <is>
          <t>Register status</t>
        </is>
      </c>
      <c r="Q4" s="14" t="inlineStr">
        <is>
          <t>Realtor / contact</t>
        </is>
      </c>
      <c r="R4" s="14" t="inlineStr">
        <is>
          <t>Review flag</t>
        </is>
      </c>
    </row>
    <row r="5">
      <c r="A5" s="15" t="inlineStr">
        <is>
          <t>BP-C0001</t>
        </is>
      </c>
      <c r="B5" s="15" t="inlineStr">
        <is>
          <t>Mr Meshack Osagie</t>
        </is>
      </c>
      <c r="C5" s="15" t="inlineStr">
        <is>
          <t>19179388590</t>
        </is>
      </c>
      <c r="D5" s="15" t="n"/>
      <c r="E5" s="15" t="inlineStr">
        <is>
          <t>Housing</t>
        </is>
      </c>
      <c r="F5" s="15" t="inlineStr">
        <is>
          <t>Pacific Court</t>
        </is>
      </c>
      <c r="G5" s="16" t="n">
        <v>44593</v>
      </c>
      <c r="H5" s="16">
        <f>IF(COUNTIF(Sales_Ledger!$H$5:$H$863,A5)=0,"",_xlfn.MINIFS(Sales_Ledger!$B$5:$B$863,Sales_Ledger!$H$5:$H$863,A5))</f>
        <v/>
      </c>
      <c r="I5" s="17">
        <f>SUMIFS(Subscriptions!$I$5:$I$218,Subscriptions!$B$5:$B$218,A5)</f>
        <v/>
      </c>
      <c r="J5" s="17">
        <f>SUMIFS(Subscriptions!$J$5:$J$218,Subscriptions!$B$5:$B$218,A5)</f>
        <v/>
      </c>
      <c r="K5" s="17">
        <f>SUMIFS(Sales_Ledger!$J$5:$J$863,Sales_Ledger!$H$5:$H$863,$A5,Sales_Ledger!$D$5:$D$863,2023)</f>
        <v/>
      </c>
      <c r="L5" s="17">
        <f>SUMIFS(Sales_Ledger!$J$5:$J$863,Sales_Ledger!$H$5:$H$863,$A5,Sales_Ledger!$D$5:$D$863,2024)</f>
        <v/>
      </c>
      <c r="M5" s="17">
        <f>SUMIFS(Sales_Ledger!$J$5:$J$863,Sales_Ledger!$H$5:$H$863,$A5,Sales_Ledger!$D$5:$D$863,2025)</f>
        <v/>
      </c>
      <c r="N5" s="17">
        <f>SUM(K5:M5)</f>
        <v/>
      </c>
      <c r="O5" s="15" t="inlineStr">
        <is>
          <t>Client register</t>
        </is>
      </c>
      <c r="P5" s="15" t="inlineStr">
        <is>
          <t>PAID</t>
        </is>
      </c>
      <c r="Q5" s="15" t="inlineStr">
        <is>
          <t>AKIN PHILIP</t>
        </is>
      </c>
      <c r="R5" s="15">
        <f>IF(AND(I5&gt;0,N5&gt;I5*1.02),"Receipts exceed register contract value: check for duplicate entries, extra plots or ancillary fees",IF(AND(I5=0,N5&gt;0),"Not in client register: contract value unknown",""))</f>
        <v/>
      </c>
    </row>
    <row r="6">
      <c r="A6" s="15" t="inlineStr">
        <is>
          <t>BP-C0002</t>
        </is>
      </c>
      <c r="B6" s="15" t="inlineStr">
        <is>
          <t>Temidayo Oniosun</t>
        </is>
      </c>
      <c r="C6" s="15" t="inlineStr">
        <is>
          <t>13024078280</t>
        </is>
      </c>
      <c r="D6" s="15" t="inlineStr">
        <is>
          <t>SENT</t>
        </is>
      </c>
      <c r="E6" s="15" t="inlineStr">
        <is>
          <t>Housing</t>
        </is>
      </c>
      <c r="F6" s="15" t="inlineStr">
        <is>
          <t>Pacific Court</t>
        </is>
      </c>
      <c r="G6" s="16" t="n">
        <v>44652</v>
      </c>
      <c r="H6" s="16">
        <f>IF(COUNTIF(Sales_Ledger!$H$5:$H$863,A6)=0,"",_xlfn.MINIFS(Sales_Ledger!$B$5:$B$863,Sales_Ledger!$H$5:$H$863,A6))</f>
        <v/>
      </c>
      <c r="I6" s="17">
        <f>SUMIFS(Subscriptions!$I$5:$I$218,Subscriptions!$B$5:$B$218,A6)</f>
        <v/>
      </c>
      <c r="J6" s="17">
        <f>SUMIFS(Subscriptions!$J$5:$J$218,Subscriptions!$B$5:$B$218,A6)</f>
        <v/>
      </c>
      <c r="K6" s="17">
        <f>SUMIFS(Sales_Ledger!$J$5:$J$863,Sales_Ledger!$H$5:$H$863,$A6,Sales_Ledger!$D$5:$D$863,2023)</f>
        <v/>
      </c>
      <c r="L6" s="17">
        <f>SUMIFS(Sales_Ledger!$J$5:$J$863,Sales_Ledger!$H$5:$H$863,$A6,Sales_Ledger!$D$5:$D$863,2024)</f>
        <v/>
      </c>
      <c r="M6" s="17">
        <f>SUMIFS(Sales_Ledger!$J$5:$J$863,Sales_Ledger!$H$5:$H$863,$A6,Sales_Ledger!$D$5:$D$863,2025)</f>
        <v/>
      </c>
      <c r="N6" s="17">
        <f>SUM(K6:M6)</f>
        <v/>
      </c>
      <c r="O6" s="15" t="inlineStr">
        <is>
          <t>Client register</t>
        </is>
      </c>
      <c r="P6" s="15" t="inlineStr">
        <is>
          <t>PAID</t>
        </is>
      </c>
      <c r="Q6" s="15" t="inlineStr">
        <is>
          <t>MD</t>
        </is>
      </c>
      <c r="R6" s="15">
        <f>IF(AND(I6&gt;0,N6&gt;I6*1.02),"Receipts exceed register contract value: check for duplicate entries, extra plots or ancillary fees",IF(AND(I6=0,N6&gt;0),"Not in client register: contract value unknown",""))</f>
        <v/>
      </c>
    </row>
    <row r="7">
      <c r="A7" s="15" t="inlineStr">
        <is>
          <t>BP-C0003</t>
        </is>
      </c>
      <c r="B7" s="15" t="inlineStr">
        <is>
          <t>Mrs Agbaje</t>
        </is>
      </c>
      <c r="C7" s="15" t="inlineStr">
        <is>
          <t>353(87)9217662</t>
        </is>
      </c>
      <c r="D7" s="15" t="n"/>
      <c r="E7" s="15" t="inlineStr">
        <is>
          <t>Housing</t>
        </is>
      </c>
      <c r="F7" s="15" t="inlineStr">
        <is>
          <t>Pacific Court</t>
        </is>
      </c>
      <c r="G7" s="16" t="n">
        <v>44713</v>
      </c>
      <c r="H7" s="16">
        <f>IF(COUNTIF(Sales_Ledger!$H$5:$H$863,A7)=0,"",_xlfn.MINIFS(Sales_Ledger!$B$5:$B$863,Sales_Ledger!$H$5:$H$863,A7))</f>
        <v/>
      </c>
      <c r="I7" s="17">
        <f>SUMIFS(Subscriptions!$I$5:$I$218,Subscriptions!$B$5:$B$218,A7)</f>
        <v/>
      </c>
      <c r="J7" s="17">
        <f>SUMIFS(Subscriptions!$J$5:$J$218,Subscriptions!$B$5:$B$218,A7)</f>
        <v/>
      </c>
      <c r="K7" s="17">
        <f>SUMIFS(Sales_Ledger!$J$5:$J$863,Sales_Ledger!$H$5:$H$863,$A7,Sales_Ledger!$D$5:$D$863,2023)</f>
        <v/>
      </c>
      <c r="L7" s="17">
        <f>SUMIFS(Sales_Ledger!$J$5:$J$863,Sales_Ledger!$H$5:$H$863,$A7,Sales_Ledger!$D$5:$D$863,2024)</f>
        <v/>
      </c>
      <c r="M7" s="17">
        <f>SUMIFS(Sales_Ledger!$J$5:$J$863,Sales_Ledger!$H$5:$H$863,$A7,Sales_Ledger!$D$5:$D$863,2025)</f>
        <v/>
      </c>
      <c r="N7" s="17">
        <f>SUM(K7:M7)</f>
        <v/>
      </c>
      <c r="O7" s="15" t="inlineStr">
        <is>
          <t>Client register</t>
        </is>
      </c>
      <c r="P7" s="15" t="inlineStr">
        <is>
          <t>PAID</t>
        </is>
      </c>
      <c r="Q7" s="15" t="inlineStr">
        <is>
          <t>MR BIOLA AKOSILE</t>
        </is>
      </c>
      <c r="R7" s="15">
        <f>IF(AND(I7&gt;0,N7&gt;I7*1.02),"Receipts exceed register contract value: check for duplicate entries, extra plots or ancillary fees",IF(AND(I7=0,N7&gt;0),"Not in client register: contract value unknown",""))</f>
        <v/>
      </c>
    </row>
    <row r="8">
      <c r="A8" s="15" t="inlineStr">
        <is>
          <t>BP-C0004</t>
        </is>
      </c>
      <c r="B8" s="15" t="inlineStr">
        <is>
          <t>Mrs Kate</t>
        </is>
      </c>
      <c r="C8" s="15" t="n"/>
      <c r="D8" s="15" t="n"/>
      <c r="E8" s="15" t="inlineStr">
        <is>
          <t>Housing</t>
        </is>
      </c>
      <c r="F8" s="15" t="inlineStr">
        <is>
          <t>Pacific Court</t>
        </is>
      </c>
      <c r="G8" s="16" t="n">
        <v>44774</v>
      </c>
      <c r="H8" s="16">
        <f>IF(COUNTIF(Sales_Ledger!$H$5:$H$863,A8)=0,"",_xlfn.MINIFS(Sales_Ledger!$B$5:$B$863,Sales_Ledger!$H$5:$H$863,A8))</f>
        <v/>
      </c>
      <c r="I8" s="17">
        <f>SUMIFS(Subscriptions!$I$5:$I$218,Subscriptions!$B$5:$B$218,A8)</f>
        <v/>
      </c>
      <c r="J8" s="17">
        <f>SUMIFS(Subscriptions!$J$5:$J$218,Subscriptions!$B$5:$B$218,A8)</f>
        <v/>
      </c>
      <c r="K8" s="17">
        <f>SUMIFS(Sales_Ledger!$J$5:$J$863,Sales_Ledger!$H$5:$H$863,$A8,Sales_Ledger!$D$5:$D$863,2023)</f>
        <v/>
      </c>
      <c r="L8" s="17">
        <f>SUMIFS(Sales_Ledger!$J$5:$J$863,Sales_Ledger!$H$5:$H$863,$A8,Sales_Ledger!$D$5:$D$863,2024)</f>
        <v/>
      </c>
      <c r="M8" s="17">
        <f>SUMIFS(Sales_Ledger!$J$5:$J$863,Sales_Ledger!$H$5:$H$863,$A8,Sales_Ledger!$D$5:$D$863,2025)</f>
        <v/>
      </c>
      <c r="N8" s="17">
        <f>SUM(K8:M8)</f>
        <v/>
      </c>
      <c r="O8" s="15" t="inlineStr">
        <is>
          <t>Client register</t>
        </is>
      </c>
      <c r="P8" s="15" t="inlineStr">
        <is>
          <t>REFUND</t>
        </is>
      </c>
      <c r="Q8" s="15" t="inlineStr">
        <is>
          <t>MD</t>
        </is>
      </c>
      <c r="R8" s="15">
        <f>IF(AND(I8&gt;0,N8&gt;I8*1.02),"Receipts exceed register contract value: check for duplicate entries, extra plots or ancillary fees",IF(AND(I8=0,N8&gt;0),"Not in client register: contract value unknown",""))</f>
        <v/>
      </c>
    </row>
    <row r="9">
      <c r="A9" s="15" t="inlineStr">
        <is>
          <t>BP-C0005</t>
        </is>
      </c>
      <c r="B9" s="15" t="inlineStr">
        <is>
          <t>Mrs Mo</t>
        </is>
      </c>
      <c r="C9" s="15" t="n"/>
      <c r="D9" s="15" t="inlineStr">
        <is>
          <t>SENT</t>
        </is>
      </c>
      <c r="E9" s="15" t="inlineStr">
        <is>
          <t>Housing</t>
        </is>
      </c>
      <c r="F9" s="15" t="inlineStr">
        <is>
          <t>Pacific Court</t>
        </is>
      </c>
      <c r="G9" s="16" t="n">
        <v>44896</v>
      </c>
      <c r="H9" s="16">
        <f>IF(COUNTIF(Sales_Ledger!$H$5:$H$863,A9)=0,"",_xlfn.MINIFS(Sales_Ledger!$B$5:$B$863,Sales_Ledger!$H$5:$H$863,A9))</f>
        <v/>
      </c>
      <c r="I9" s="17">
        <f>SUMIFS(Subscriptions!$I$5:$I$218,Subscriptions!$B$5:$B$218,A9)</f>
        <v/>
      </c>
      <c r="J9" s="17">
        <f>SUMIFS(Subscriptions!$J$5:$J$218,Subscriptions!$B$5:$B$218,A9)</f>
        <v/>
      </c>
      <c r="K9" s="17">
        <f>SUMIFS(Sales_Ledger!$J$5:$J$863,Sales_Ledger!$H$5:$H$863,$A9,Sales_Ledger!$D$5:$D$863,2023)</f>
        <v/>
      </c>
      <c r="L9" s="17">
        <f>SUMIFS(Sales_Ledger!$J$5:$J$863,Sales_Ledger!$H$5:$H$863,$A9,Sales_Ledger!$D$5:$D$863,2024)</f>
        <v/>
      </c>
      <c r="M9" s="17">
        <f>SUMIFS(Sales_Ledger!$J$5:$J$863,Sales_Ledger!$H$5:$H$863,$A9,Sales_Ledger!$D$5:$D$863,2025)</f>
        <v/>
      </c>
      <c r="N9" s="17">
        <f>SUM(K9:M9)</f>
        <v/>
      </c>
      <c r="O9" s="15" t="inlineStr">
        <is>
          <t>Client register</t>
        </is>
      </c>
      <c r="P9" s="15" t="inlineStr">
        <is>
          <t>PAID</t>
        </is>
      </c>
      <c r="Q9" s="15" t="inlineStr">
        <is>
          <t>MS YETUNDE ABISOYE</t>
        </is>
      </c>
      <c r="R9" s="15">
        <f>IF(AND(I9&gt;0,N9&gt;I9*1.02),"Receipts exceed register contract value: check for duplicate entries, extra plots or ancillary fees",IF(AND(I9=0,N9&gt;0),"Not in client register: contract value unknown",""))</f>
        <v/>
      </c>
    </row>
    <row r="10">
      <c r="A10" s="15" t="inlineStr">
        <is>
          <t>BP-C0006</t>
        </is>
      </c>
      <c r="B10" s="15" t="inlineStr">
        <is>
          <t>Olasupo Oladimeji</t>
        </is>
      </c>
      <c r="C10" s="15" t="inlineStr">
        <is>
          <t>8086769111</t>
        </is>
      </c>
      <c r="D10" s="15" t="inlineStr">
        <is>
          <t>SENT</t>
        </is>
      </c>
      <c r="E10" s="15" t="inlineStr">
        <is>
          <t>Land</t>
        </is>
      </c>
      <c r="F10" s="15" t="inlineStr">
        <is>
          <t>Green City Phase 1 (Lantaba, Ketu-Epe); Land (estate not stated in source)</t>
        </is>
      </c>
      <c r="G10" s="16" t="n">
        <v>45288</v>
      </c>
      <c r="H10" s="16">
        <f>IF(COUNTIF(Sales_Ledger!$H$5:$H$863,A10)=0,"",_xlfn.MINIFS(Sales_Ledger!$B$5:$B$863,Sales_Ledger!$H$5:$H$863,A10))</f>
        <v/>
      </c>
      <c r="I10" s="17">
        <f>SUMIFS(Subscriptions!$I$5:$I$218,Subscriptions!$B$5:$B$218,A10)</f>
        <v/>
      </c>
      <c r="J10" s="17">
        <f>SUMIFS(Subscriptions!$J$5:$J$218,Subscriptions!$B$5:$B$218,A10)</f>
        <v/>
      </c>
      <c r="K10" s="17">
        <f>SUMIFS(Sales_Ledger!$J$5:$J$863,Sales_Ledger!$H$5:$H$863,$A10,Sales_Ledger!$D$5:$D$863,2023)</f>
        <v/>
      </c>
      <c r="L10" s="17">
        <f>SUMIFS(Sales_Ledger!$J$5:$J$863,Sales_Ledger!$H$5:$H$863,$A10,Sales_Ledger!$D$5:$D$863,2024)</f>
        <v/>
      </c>
      <c r="M10" s="17">
        <f>SUMIFS(Sales_Ledger!$J$5:$J$863,Sales_Ledger!$H$5:$H$863,$A10,Sales_Ledger!$D$5:$D$863,2025)</f>
        <v/>
      </c>
      <c r="N10" s="17">
        <f>SUM(K10:M10)</f>
        <v/>
      </c>
      <c r="O10" s="15" t="inlineStr">
        <is>
          <t>Client register + Transaction records</t>
        </is>
      </c>
      <c r="P10" s="15" t="inlineStr">
        <is>
          <t>Bought</t>
        </is>
      </c>
      <c r="Q10" s="15" t="inlineStr">
        <is>
          <t>Ms Abimbola</t>
        </is>
      </c>
      <c r="R10" s="15">
        <f>IF(AND(I10&gt;0,N10&gt;I10*1.02),"Receipts exceed register contract value: check for duplicate entries, extra plots or ancillary fees",IF(AND(I10=0,N10&gt;0),"Not in client register: contract value unknown",""))</f>
        <v/>
      </c>
    </row>
    <row r="11">
      <c r="A11" s="15" t="inlineStr">
        <is>
          <t>BP-C0007</t>
        </is>
      </c>
      <c r="B11" s="15" t="inlineStr">
        <is>
          <t>Mrs Ero</t>
        </is>
      </c>
      <c r="C11" s="15" t="n"/>
      <c r="D11" s="15" t="inlineStr">
        <is>
          <t>SENT</t>
        </is>
      </c>
      <c r="E11" s="15" t="inlineStr">
        <is>
          <t>Housing</t>
        </is>
      </c>
      <c r="F11" s="15" t="inlineStr">
        <is>
          <t>Pacific Court</t>
        </is>
      </c>
      <c r="G11" s="16" t="n">
        <v>44958</v>
      </c>
      <c r="H11" s="16">
        <f>IF(COUNTIF(Sales_Ledger!$H$5:$H$863,A11)=0,"",_xlfn.MINIFS(Sales_Ledger!$B$5:$B$863,Sales_Ledger!$H$5:$H$863,A11))</f>
        <v/>
      </c>
      <c r="I11" s="17">
        <f>SUMIFS(Subscriptions!$I$5:$I$218,Subscriptions!$B$5:$B$218,A11)</f>
        <v/>
      </c>
      <c r="J11" s="17">
        <f>SUMIFS(Subscriptions!$J$5:$J$218,Subscriptions!$B$5:$B$218,A11)</f>
        <v/>
      </c>
      <c r="K11" s="17">
        <f>SUMIFS(Sales_Ledger!$J$5:$J$863,Sales_Ledger!$H$5:$H$863,$A11,Sales_Ledger!$D$5:$D$863,2023)</f>
        <v/>
      </c>
      <c r="L11" s="17">
        <f>SUMIFS(Sales_Ledger!$J$5:$J$863,Sales_Ledger!$H$5:$H$863,$A11,Sales_Ledger!$D$5:$D$863,2024)</f>
        <v/>
      </c>
      <c r="M11" s="17">
        <f>SUMIFS(Sales_Ledger!$J$5:$J$863,Sales_Ledger!$H$5:$H$863,$A11,Sales_Ledger!$D$5:$D$863,2025)</f>
        <v/>
      </c>
      <c r="N11" s="17">
        <f>SUM(K11:M11)</f>
        <v/>
      </c>
      <c r="O11" s="15" t="inlineStr">
        <is>
          <t>Client register</t>
        </is>
      </c>
      <c r="P11" s="15" t="inlineStr">
        <is>
          <t>PAID</t>
        </is>
      </c>
      <c r="Q11" s="15" t="inlineStr">
        <is>
          <t>PASTOR GABRIEL</t>
        </is>
      </c>
      <c r="R11" s="15">
        <f>IF(AND(I11&gt;0,N11&gt;I11*1.02),"Receipts exceed register contract value: check for duplicate entries, extra plots or ancillary fees",IF(AND(I11=0,N11&gt;0),"Not in client register: contract value unknown",""))</f>
        <v/>
      </c>
    </row>
    <row r="12">
      <c r="A12" s="15" t="inlineStr">
        <is>
          <t>BP-C0008</t>
        </is>
      </c>
      <c r="B12" s="15" t="inlineStr">
        <is>
          <t>Mr Rasaq Roqeeb</t>
        </is>
      </c>
      <c r="C12" s="15" t="inlineStr">
        <is>
          <t>8102767531</t>
        </is>
      </c>
      <c r="D12" s="15" t="inlineStr">
        <is>
          <t>SENT</t>
        </is>
      </c>
      <c r="E12" s="15" t="inlineStr">
        <is>
          <t>Land</t>
        </is>
      </c>
      <c r="F12" s="15" t="inlineStr">
        <is>
          <t>Green City Phase 1 (Ketu-Epe); Green City Phase 1 (Lantaba, Ketu-Epe); Green City Phase 2 (Idobi, Ketu-Epe); Green City Phase 2 (Ketu-Epe)</t>
        </is>
      </c>
      <c r="G12" s="16" t="n">
        <v>44967</v>
      </c>
      <c r="H12" s="16">
        <f>IF(COUNTIF(Sales_Ledger!$H$5:$H$863,A12)=0,"",_xlfn.MINIFS(Sales_Ledger!$B$5:$B$863,Sales_Ledger!$H$5:$H$863,A12))</f>
        <v/>
      </c>
      <c r="I12" s="17">
        <f>SUMIFS(Subscriptions!$I$5:$I$218,Subscriptions!$B$5:$B$218,A12)</f>
        <v/>
      </c>
      <c r="J12" s="17">
        <f>SUMIFS(Subscriptions!$J$5:$J$218,Subscriptions!$B$5:$B$218,A12)</f>
        <v/>
      </c>
      <c r="K12" s="17">
        <f>SUMIFS(Sales_Ledger!$J$5:$J$863,Sales_Ledger!$H$5:$H$863,$A12,Sales_Ledger!$D$5:$D$863,2023)</f>
        <v/>
      </c>
      <c r="L12" s="17">
        <f>SUMIFS(Sales_Ledger!$J$5:$J$863,Sales_Ledger!$H$5:$H$863,$A12,Sales_Ledger!$D$5:$D$863,2024)</f>
        <v/>
      </c>
      <c r="M12" s="17">
        <f>SUMIFS(Sales_Ledger!$J$5:$J$863,Sales_Ledger!$H$5:$H$863,$A12,Sales_Ledger!$D$5:$D$863,2025)</f>
        <v/>
      </c>
      <c r="N12" s="17">
        <f>SUM(K12:M12)</f>
        <v/>
      </c>
      <c r="O12" s="15" t="inlineStr">
        <is>
          <t>Client register + Transaction records</t>
        </is>
      </c>
      <c r="P12" s="15" t="inlineStr">
        <is>
          <t>Bought</t>
        </is>
      </c>
      <c r="Q12" s="15" t="inlineStr">
        <is>
          <t>MD</t>
        </is>
      </c>
      <c r="R12" s="15">
        <f>IF(AND(I12&gt;0,N12&gt;I12*1.02),"Receipts exceed register contract value: check for duplicate entries, extra plots or ancillary fees",IF(AND(I12=0,N12&gt;0),"Not in client register: contract value unknown",""))</f>
        <v/>
      </c>
    </row>
    <row r="13">
      <c r="A13" s="15" t="inlineStr">
        <is>
          <t>BP-C0009</t>
        </is>
      </c>
      <c r="B13" s="15" t="inlineStr">
        <is>
          <t>Miss Oji Blessing Mary</t>
        </is>
      </c>
      <c r="C13" s="15" t="inlineStr">
        <is>
          <t>971589650958</t>
        </is>
      </c>
      <c r="D13" s="15" t="inlineStr">
        <is>
          <t>ojiblexin@gmail.com</t>
        </is>
      </c>
      <c r="E13" s="15" t="inlineStr">
        <is>
          <t>Land</t>
        </is>
      </c>
      <c r="F13" s="15" t="inlineStr">
        <is>
          <t>Green City Phase 2 (Ketu-Epe); Green City Phase 3 (Omu-Epe); Land (estate not stated in source); Land: ancillary charges</t>
        </is>
      </c>
      <c r="G13" s="16" t="n">
        <v>45334</v>
      </c>
      <c r="H13" s="16">
        <f>IF(COUNTIF(Sales_Ledger!$H$5:$H$863,A13)=0,"",_xlfn.MINIFS(Sales_Ledger!$B$5:$B$863,Sales_Ledger!$H$5:$H$863,A13))</f>
        <v/>
      </c>
      <c r="I13" s="17">
        <f>SUMIFS(Subscriptions!$I$5:$I$218,Subscriptions!$B$5:$B$218,A13)</f>
        <v/>
      </c>
      <c r="J13" s="17">
        <f>SUMIFS(Subscriptions!$J$5:$J$218,Subscriptions!$B$5:$B$218,A13)</f>
        <v/>
      </c>
      <c r="K13" s="17">
        <f>SUMIFS(Sales_Ledger!$J$5:$J$863,Sales_Ledger!$H$5:$H$863,$A13,Sales_Ledger!$D$5:$D$863,2023)</f>
        <v/>
      </c>
      <c r="L13" s="17">
        <f>SUMIFS(Sales_Ledger!$J$5:$J$863,Sales_Ledger!$H$5:$H$863,$A13,Sales_Ledger!$D$5:$D$863,2024)</f>
        <v/>
      </c>
      <c r="M13" s="17">
        <f>SUMIFS(Sales_Ledger!$J$5:$J$863,Sales_Ledger!$H$5:$H$863,$A13,Sales_Ledger!$D$5:$D$863,2025)</f>
        <v/>
      </c>
      <c r="N13" s="17">
        <f>SUM(K13:M13)</f>
        <v/>
      </c>
      <c r="O13" s="15" t="inlineStr">
        <is>
          <t>Client register + Transaction records</t>
        </is>
      </c>
      <c r="P13" s="15" t="inlineStr">
        <is>
          <t>Bought</t>
        </is>
      </c>
      <c r="Q13" s="15" t="inlineStr">
        <is>
          <t>Ms Bolanle, Ms Oji Blessing</t>
        </is>
      </c>
      <c r="R13" s="15">
        <f>IF(AND(I13&gt;0,N13&gt;I13*1.02),"Receipts exceed register contract value: check for duplicate entries, extra plots or ancillary fees",IF(AND(I13=0,N13&gt;0),"Not in client register: contract value unknown",""))</f>
        <v/>
      </c>
    </row>
    <row r="14">
      <c r="A14" s="15" t="inlineStr">
        <is>
          <t>BP-C0010</t>
        </is>
      </c>
      <c r="B14" s="15" t="inlineStr">
        <is>
          <t>Mrs Yohanna Paulina</t>
        </is>
      </c>
      <c r="C14" s="15" t="inlineStr">
        <is>
          <t>9044246658</t>
        </is>
      </c>
      <c r="D14" s="15" t="inlineStr">
        <is>
          <t>SENT</t>
        </is>
      </c>
      <c r="E14" s="15" t="inlineStr">
        <is>
          <t>Land</t>
        </is>
      </c>
      <c r="F14" s="15" t="inlineStr">
        <is>
          <t>Green City Phase 1 (Ketu-Epe); Green City Phase 1 (Lantaba, Ketu-Epe); Land (estate not stated in source)</t>
        </is>
      </c>
      <c r="G14" s="16" t="n">
        <v>45365</v>
      </c>
      <c r="H14" s="16">
        <f>IF(COUNTIF(Sales_Ledger!$H$5:$H$863,A14)=0,"",_xlfn.MINIFS(Sales_Ledger!$B$5:$B$863,Sales_Ledger!$H$5:$H$863,A14))</f>
        <v/>
      </c>
      <c r="I14" s="17">
        <f>SUMIFS(Subscriptions!$I$5:$I$218,Subscriptions!$B$5:$B$218,A14)</f>
        <v/>
      </c>
      <c r="J14" s="17">
        <f>SUMIFS(Subscriptions!$J$5:$J$218,Subscriptions!$B$5:$B$218,A14)</f>
        <v/>
      </c>
      <c r="K14" s="17">
        <f>SUMIFS(Sales_Ledger!$J$5:$J$863,Sales_Ledger!$H$5:$H$863,$A14,Sales_Ledger!$D$5:$D$863,2023)</f>
        <v/>
      </c>
      <c r="L14" s="17">
        <f>SUMIFS(Sales_Ledger!$J$5:$J$863,Sales_Ledger!$H$5:$H$863,$A14,Sales_Ledger!$D$5:$D$863,2024)</f>
        <v/>
      </c>
      <c r="M14" s="17">
        <f>SUMIFS(Sales_Ledger!$J$5:$J$863,Sales_Ledger!$H$5:$H$863,$A14,Sales_Ledger!$D$5:$D$863,2025)</f>
        <v/>
      </c>
      <c r="N14" s="17">
        <f>SUM(K14:M14)</f>
        <v/>
      </c>
      <c r="O14" s="15" t="inlineStr">
        <is>
          <t>Client register + Transaction records</t>
        </is>
      </c>
      <c r="P14" s="15" t="inlineStr">
        <is>
          <t>Bought</t>
        </is>
      </c>
      <c r="Q14" s="15" t="inlineStr">
        <is>
          <t>Mr Charles</t>
        </is>
      </c>
      <c r="R14" s="15">
        <f>IF(AND(I14&gt;0,N14&gt;I14*1.02),"Receipts exceed register contract value: check for duplicate entries, extra plots or ancillary fees",IF(AND(I14=0,N14&gt;0),"Not in client register: contract value unknown",""))</f>
        <v/>
      </c>
    </row>
    <row r="15">
      <c r="A15" s="15" t="inlineStr">
        <is>
          <t>BP-C0011</t>
        </is>
      </c>
      <c r="B15" s="15" t="inlineStr">
        <is>
          <t>OLAIYA SUNDAY TEMITOPE</t>
        </is>
      </c>
      <c r="C15" s="15" t="inlineStr">
        <is>
          <t>7062737144</t>
        </is>
      </c>
      <c r="D15" s="15" t="inlineStr">
        <is>
          <t>SENT</t>
        </is>
      </c>
      <c r="E15" s="15" t="inlineStr">
        <is>
          <t>Land</t>
        </is>
      </c>
      <c r="F15" s="15" t="inlineStr">
        <is>
          <t>Green City Phase 1 (Lantaba, Ketu-Epe); Land: ancillary charges</t>
        </is>
      </c>
      <c r="G15" s="16" t="n">
        <v>45061</v>
      </c>
      <c r="H15" s="16">
        <f>IF(COUNTIF(Sales_Ledger!$H$5:$H$863,A15)=0,"",_xlfn.MINIFS(Sales_Ledger!$B$5:$B$863,Sales_Ledger!$H$5:$H$863,A15))</f>
        <v/>
      </c>
      <c r="I15" s="17">
        <f>SUMIFS(Subscriptions!$I$5:$I$218,Subscriptions!$B$5:$B$218,A15)</f>
        <v/>
      </c>
      <c r="J15" s="17">
        <f>SUMIFS(Subscriptions!$J$5:$J$218,Subscriptions!$B$5:$B$218,A15)</f>
        <v/>
      </c>
      <c r="K15" s="17">
        <f>SUMIFS(Sales_Ledger!$J$5:$J$863,Sales_Ledger!$H$5:$H$863,$A15,Sales_Ledger!$D$5:$D$863,2023)</f>
        <v/>
      </c>
      <c r="L15" s="17">
        <f>SUMIFS(Sales_Ledger!$J$5:$J$863,Sales_Ledger!$H$5:$H$863,$A15,Sales_Ledger!$D$5:$D$863,2024)</f>
        <v/>
      </c>
      <c r="M15" s="17">
        <f>SUMIFS(Sales_Ledger!$J$5:$J$863,Sales_Ledger!$H$5:$H$863,$A15,Sales_Ledger!$D$5:$D$863,2025)</f>
        <v/>
      </c>
      <c r="N15" s="17">
        <f>SUM(K15:M15)</f>
        <v/>
      </c>
      <c r="O15" s="15" t="inlineStr">
        <is>
          <t>Client register + Transaction records</t>
        </is>
      </c>
      <c r="P15" s="15" t="inlineStr">
        <is>
          <t>Bought</t>
        </is>
      </c>
      <c r="Q15" s="15" t="inlineStr">
        <is>
          <t>Ms Abimbola</t>
        </is>
      </c>
      <c r="R15" s="15">
        <f>IF(AND(I15&gt;0,N15&gt;I15*1.02),"Receipts exceed register contract value: check for duplicate entries, extra plots or ancillary fees",IF(AND(I15=0,N15&gt;0),"Not in client register: contract value unknown",""))</f>
        <v/>
      </c>
    </row>
    <row r="16">
      <c r="A16" s="15" t="inlineStr">
        <is>
          <t>BP-C0012</t>
        </is>
      </c>
      <c r="B16" s="15" t="inlineStr">
        <is>
          <t>Mr Apiafi Imiebam</t>
        </is>
      </c>
      <c r="C16" s="15" t="inlineStr">
        <is>
          <t>8166128579</t>
        </is>
      </c>
      <c r="D16" s="15" t="inlineStr">
        <is>
          <t>runcheck07@gmail.com</t>
        </is>
      </c>
      <c r="E16" s="15" t="inlineStr">
        <is>
          <t>Land</t>
        </is>
      </c>
      <c r="F16" s="15" t="inlineStr">
        <is>
          <t>Green City Phase 2 (Ketu-Epe); Land (estate not stated in source)</t>
        </is>
      </c>
      <c r="G16" s="16" t="n">
        <v>45376</v>
      </c>
      <c r="H16" s="16">
        <f>IF(COUNTIF(Sales_Ledger!$H$5:$H$863,A16)=0,"",_xlfn.MINIFS(Sales_Ledger!$B$5:$B$863,Sales_Ledger!$H$5:$H$863,A16))</f>
        <v/>
      </c>
      <c r="I16" s="17">
        <f>SUMIFS(Subscriptions!$I$5:$I$218,Subscriptions!$B$5:$B$218,A16)</f>
        <v/>
      </c>
      <c r="J16" s="17">
        <f>SUMIFS(Subscriptions!$J$5:$J$218,Subscriptions!$B$5:$B$218,A16)</f>
        <v/>
      </c>
      <c r="K16" s="17">
        <f>SUMIFS(Sales_Ledger!$J$5:$J$863,Sales_Ledger!$H$5:$H$863,$A16,Sales_Ledger!$D$5:$D$863,2023)</f>
        <v/>
      </c>
      <c r="L16" s="17">
        <f>SUMIFS(Sales_Ledger!$J$5:$J$863,Sales_Ledger!$H$5:$H$863,$A16,Sales_Ledger!$D$5:$D$863,2024)</f>
        <v/>
      </c>
      <c r="M16" s="17">
        <f>SUMIFS(Sales_Ledger!$J$5:$J$863,Sales_Ledger!$H$5:$H$863,$A16,Sales_Ledger!$D$5:$D$863,2025)</f>
        <v/>
      </c>
      <c r="N16" s="17">
        <f>SUM(K16:M16)</f>
        <v/>
      </c>
      <c r="O16" s="15" t="inlineStr">
        <is>
          <t>Client register + Transaction records</t>
        </is>
      </c>
      <c r="P16" s="15" t="inlineStr">
        <is>
          <t>Bought</t>
        </is>
      </c>
      <c r="Q16" s="15" t="inlineStr">
        <is>
          <t>Ms Blessing</t>
        </is>
      </c>
      <c r="R16" s="15">
        <f>IF(AND(I16&gt;0,N16&gt;I16*1.02),"Receipts exceed register contract value: check for duplicate entries, extra plots or ancillary fees",IF(AND(I16=0,N16&gt;0),"Not in client register: contract value unknown",""))</f>
        <v/>
      </c>
    </row>
    <row r="17">
      <c r="A17" s="15" t="inlineStr">
        <is>
          <t>BP-C0013</t>
        </is>
      </c>
      <c r="B17" s="15" t="inlineStr">
        <is>
          <t>MOSHOOD TIJANI</t>
        </is>
      </c>
      <c r="C17" s="15" t="inlineStr">
        <is>
          <t>7030362595</t>
        </is>
      </c>
      <c r="D17" s="15" t="inlineStr">
        <is>
          <t>SENT</t>
        </is>
      </c>
      <c r="E17" s="15" t="inlineStr">
        <is>
          <t>Land</t>
        </is>
      </c>
      <c r="F17" s="15" t="inlineStr">
        <is>
          <t>Green City Phase 1 (Ketu-Epe); Green City Phase 1 (Lantaba, Ketu-Epe); Green City Phase 2 (Ketu-Epe)</t>
        </is>
      </c>
      <c r="G17" s="16" t="n">
        <v>45073</v>
      </c>
      <c r="H17" s="16">
        <f>IF(COUNTIF(Sales_Ledger!$H$5:$H$863,A17)=0,"",_xlfn.MINIFS(Sales_Ledger!$B$5:$B$863,Sales_Ledger!$H$5:$H$863,A17))</f>
        <v/>
      </c>
      <c r="I17" s="17">
        <f>SUMIFS(Subscriptions!$I$5:$I$218,Subscriptions!$B$5:$B$218,A17)</f>
        <v/>
      </c>
      <c r="J17" s="17">
        <f>SUMIFS(Subscriptions!$J$5:$J$218,Subscriptions!$B$5:$B$218,A17)</f>
        <v/>
      </c>
      <c r="K17" s="17">
        <f>SUMIFS(Sales_Ledger!$J$5:$J$863,Sales_Ledger!$H$5:$H$863,$A17,Sales_Ledger!$D$5:$D$863,2023)</f>
        <v/>
      </c>
      <c r="L17" s="17">
        <f>SUMIFS(Sales_Ledger!$J$5:$J$863,Sales_Ledger!$H$5:$H$863,$A17,Sales_Ledger!$D$5:$D$863,2024)</f>
        <v/>
      </c>
      <c r="M17" s="17">
        <f>SUMIFS(Sales_Ledger!$J$5:$J$863,Sales_Ledger!$H$5:$H$863,$A17,Sales_Ledger!$D$5:$D$863,2025)</f>
        <v/>
      </c>
      <c r="N17" s="17">
        <f>SUM(K17:M17)</f>
        <v/>
      </c>
      <c r="O17" s="15" t="inlineStr">
        <is>
          <t>Client register + Transaction records</t>
        </is>
      </c>
      <c r="P17" s="15" t="inlineStr">
        <is>
          <t>Bought</t>
        </is>
      </c>
      <c r="Q17" s="15" t="inlineStr">
        <is>
          <t>MD</t>
        </is>
      </c>
      <c r="R17" s="15">
        <f>IF(AND(I17&gt;0,N17&gt;I17*1.02),"Receipts exceed register contract value: check for duplicate entries, extra plots or ancillary fees",IF(AND(I17=0,N17&gt;0),"Not in client register: contract value unknown",""))</f>
        <v/>
      </c>
    </row>
    <row r="18">
      <c r="A18" s="15" t="inlineStr">
        <is>
          <t>BP-C0014</t>
        </is>
      </c>
      <c r="B18" s="15" t="inlineStr">
        <is>
          <t>PROF OLUGBENGA AKINADE/MRS ARAWOMO OMOLOLA</t>
        </is>
      </c>
      <c r="C18" s="15" t="inlineStr">
        <is>
          <t>7459465947</t>
        </is>
      </c>
      <c r="D18" s="15" t="inlineStr">
        <is>
          <t>SENT</t>
        </is>
      </c>
      <c r="E18" s="15" t="inlineStr">
        <is>
          <t>Land</t>
        </is>
      </c>
      <c r="F18" s="15" t="inlineStr">
        <is>
          <t>Green City Phase 1 (Lantaba, Ketu-Epe)</t>
        </is>
      </c>
      <c r="G18" s="16" t="n">
        <v>45083</v>
      </c>
      <c r="H18" s="16">
        <f>IF(COUNTIF(Sales_Ledger!$H$5:$H$863,A18)=0,"",_xlfn.MINIFS(Sales_Ledger!$B$5:$B$863,Sales_Ledger!$H$5:$H$863,A18))</f>
        <v/>
      </c>
      <c r="I18" s="17">
        <f>SUMIFS(Subscriptions!$I$5:$I$218,Subscriptions!$B$5:$B$218,A18)</f>
        <v/>
      </c>
      <c r="J18" s="17">
        <f>SUMIFS(Subscriptions!$J$5:$J$218,Subscriptions!$B$5:$B$218,A18)</f>
        <v/>
      </c>
      <c r="K18" s="17">
        <f>SUMIFS(Sales_Ledger!$J$5:$J$863,Sales_Ledger!$H$5:$H$863,$A18,Sales_Ledger!$D$5:$D$863,2023)</f>
        <v/>
      </c>
      <c r="L18" s="17">
        <f>SUMIFS(Sales_Ledger!$J$5:$J$863,Sales_Ledger!$H$5:$H$863,$A18,Sales_Ledger!$D$5:$D$863,2024)</f>
        <v/>
      </c>
      <c r="M18" s="17">
        <f>SUMIFS(Sales_Ledger!$J$5:$J$863,Sales_Ledger!$H$5:$H$863,$A18,Sales_Ledger!$D$5:$D$863,2025)</f>
        <v/>
      </c>
      <c r="N18" s="17">
        <f>SUM(K18:M18)</f>
        <v/>
      </c>
      <c r="O18" s="15" t="inlineStr">
        <is>
          <t>Client register</t>
        </is>
      </c>
      <c r="P18" s="15" t="inlineStr">
        <is>
          <t>Bought</t>
        </is>
      </c>
      <c r="Q18" s="15" t="inlineStr">
        <is>
          <t>MD</t>
        </is>
      </c>
      <c r="R18" s="15">
        <f>IF(AND(I18&gt;0,N18&gt;I18*1.02),"Receipts exceed register contract value: check for duplicate entries, extra plots or ancillary fees",IF(AND(I18=0,N18&gt;0),"Not in client register: contract value unknown",""))</f>
        <v/>
      </c>
    </row>
    <row r="19">
      <c r="A19" s="15" t="inlineStr">
        <is>
          <t>BP-C0015</t>
        </is>
      </c>
      <c r="B19" s="15" t="inlineStr">
        <is>
          <t>MR Damilare Ositade Owolabi</t>
        </is>
      </c>
      <c r="C19" s="15" t="inlineStr">
        <is>
          <t>8061349595</t>
        </is>
      </c>
      <c r="D19" s="15" t="inlineStr">
        <is>
          <t>SENT</t>
        </is>
      </c>
      <c r="E19" s="15" t="inlineStr">
        <is>
          <t>Land</t>
        </is>
      </c>
      <c r="F19" s="15" t="inlineStr">
        <is>
          <t>Green City Phase 1 (Lantaba, Ketu-Epe); Land (estate not stated in source); Land: ancillary charges</t>
        </is>
      </c>
      <c r="G19" s="16" t="n">
        <v>45092</v>
      </c>
      <c r="H19" s="16">
        <f>IF(COUNTIF(Sales_Ledger!$H$5:$H$863,A19)=0,"",_xlfn.MINIFS(Sales_Ledger!$B$5:$B$863,Sales_Ledger!$H$5:$H$863,A19))</f>
        <v/>
      </c>
      <c r="I19" s="17">
        <f>SUMIFS(Subscriptions!$I$5:$I$218,Subscriptions!$B$5:$B$218,A19)</f>
        <v/>
      </c>
      <c r="J19" s="17">
        <f>SUMIFS(Subscriptions!$J$5:$J$218,Subscriptions!$B$5:$B$218,A19)</f>
        <v/>
      </c>
      <c r="K19" s="17">
        <f>SUMIFS(Sales_Ledger!$J$5:$J$863,Sales_Ledger!$H$5:$H$863,$A19,Sales_Ledger!$D$5:$D$863,2023)</f>
        <v/>
      </c>
      <c r="L19" s="17">
        <f>SUMIFS(Sales_Ledger!$J$5:$J$863,Sales_Ledger!$H$5:$H$863,$A19,Sales_Ledger!$D$5:$D$863,2024)</f>
        <v/>
      </c>
      <c r="M19" s="17">
        <f>SUMIFS(Sales_Ledger!$J$5:$J$863,Sales_Ledger!$H$5:$H$863,$A19,Sales_Ledger!$D$5:$D$863,2025)</f>
        <v/>
      </c>
      <c r="N19" s="17">
        <f>SUM(K19:M19)</f>
        <v/>
      </c>
      <c r="O19" s="15" t="inlineStr">
        <is>
          <t>Client register + Transaction records</t>
        </is>
      </c>
      <c r="P19" s="15" t="inlineStr">
        <is>
          <t>Bought</t>
        </is>
      </c>
      <c r="Q19" s="15" t="inlineStr">
        <is>
          <t>IDARA</t>
        </is>
      </c>
      <c r="R19" s="15">
        <f>IF(AND(I19&gt;0,N19&gt;I19*1.02),"Receipts exceed register contract value: check for duplicate entries, extra plots or ancillary fees",IF(AND(I19=0,N19&gt;0),"Not in client register: contract value unknown",""))</f>
        <v/>
      </c>
    </row>
    <row r="20">
      <c r="A20" s="15" t="inlineStr">
        <is>
          <t>BP-C0016</t>
        </is>
      </c>
      <c r="B20" s="15" t="inlineStr">
        <is>
          <t>Mr Tobi Adesina</t>
        </is>
      </c>
      <c r="C20" s="15" t="inlineStr">
        <is>
          <t>8149286156</t>
        </is>
      </c>
      <c r="D20" s="15" t="n"/>
      <c r="E20" s="15" t="inlineStr">
        <is>
          <t>Land</t>
        </is>
      </c>
      <c r="F20" s="15" t="inlineStr">
        <is>
          <t>Green City Phase 1 (Lantaba, Ketu-Epe)</t>
        </is>
      </c>
      <c r="G20" s="16" t="n">
        <v>45103</v>
      </c>
      <c r="H20" s="16">
        <f>IF(COUNTIF(Sales_Ledger!$H$5:$H$863,A20)=0,"",_xlfn.MINIFS(Sales_Ledger!$B$5:$B$863,Sales_Ledger!$H$5:$H$863,A20))</f>
        <v/>
      </c>
      <c r="I20" s="17">
        <f>SUMIFS(Subscriptions!$I$5:$I$218,Subscriptions!$B$5:$B$218,A20)</f>
        <v/>
      </c>
      <c r="J20" s="17">
        <f>SUMIFS(Subscriptions!$J$5:$J$218,Subscriptions!$B$5:$B$218,A20)</f>
        <v/>
      </c>
      <c r="K20" s="17">
        <f>SUMIFS(Sales_Ledger!$J$5:$J$863,Sales_Ledger!$H$5:$H$863,$A20,Sales_Ledger!$D$5:$D$863,2023)</f>
        <v/>
      </c>
      <c r="L20" s="17">
        <f>SUMIFS(Sales_Ledger!$J$5:$J$863,Sales_Ledger!$H$5:$H$863,$A20,Sales_Ledger!$D$5:$D$863,2024)</f>
        <v/>
      </c>
      <c r="M20" s="17">
        <f>SUMIFS(Sales_Ledger!$J$5:$J$863,Sales_Ledger!$H$5:$H$863,$A20,Sales_Ledger!$D$5:$D$863,2025)</f>
        <v/>
      </c>
      <c r="N20" s="17">
        <f>SUM(K20:M20)</f>
        <v/>
      </c>
      <c r="O20" s="15" t="inlineStr">
        <is>
          <t>Client register</t>
        </is>
      </c>
      <c r="P20" s="15" t="inlineStr">
        <is>
          <t>incentives</t>
        </is>
      </c>
      <c r="Q20" s="15" t="inlineStr">
        <is>
          <t>TOBY AND TYE</t>
        </is>
      </c>
      <c r="R20" s="15">
        <f>IF(AND(I20&gt;0,N20&gt;I20*1.02),"Receipts exceed register contract value: check for duplicate entries, extra plots or ancillary fees",IF(AND(I20=0,N20&gt;0),"Not in client register: contract value unknown",""))</f>
        <v/>
      </c>
    </row>
    <row r="21">
      <c r="A21" s="15" t="inlineStr">
        <is>
          <t>BP-C0017</t>
        </is>
      </c>
      <c r="B21" s="15" t="inlineStr">
        <is>
          <t>Mr. Taiwo John Adeleye.</t>
        </is>
      </c>
      <c r="C21" s="15" t="inlineStr">
        <is>
          <t>46766349990 / 8035888286 / 09063911358, 08035888286</t>
        </is>
      </c>
      <c r="D21" s="15" t="inlineStr">
        <is>
          <t>SENT / johnadetaiwo@gmail.com</t>
        </is>
      </c>
      <c r="E21" s="15" t="inlineStr">
        <is>
          <t>Land</t>
        </is>
      </c>
      <c r="F21" s="15" t="inlineStr">
        <is>
          <t>Green City Ibadan (Akinyele-Moniya); Green City Phase 1 (Lantaba, Ketu-Epe); Green City Phase 2 (Idobi, Ketu-Epe); Green City Phase 2 (Ketu-Epe); Land (estate not stated in source)</t>
        </is>
      </c>
      <c r="G21" s="16" t="n">
        <v>45129</v>
      </c>
      <c r="H21" s="16">
        <f>IF(COUNTIF(Sales_Ledger!$H$5:$H$863,A21)=0,"",_xlfn.MINIFS(Sales_Ledger!$B$5:$B$863,Sales_Ledger!$H$5:$H$863,A21))</f>
        <v/>
      </c>
      <c r="I21" s="17">
        <f>SUMIFS(Subscriptions!$I$5:$I$218,Subscriptions!$B$5:$B$218,A21)</f>
        <v/>
      </c>
      <c r="J21" s="17">
        <f>SUMIFS(Subscriptions!$J$5:$J$218,Subscriptions!$B$5:$B$218,A21)</f>
        <v/>
      </c>
      <c r="K21" s="17">
        <f>SUMIFS(Sales_Ledger!$J$5:$J$863,Sales_Ledger!$H$5:$H$863,$A21,Sales_Ledger!$D$5:$D$863,2023)</f>
        <v/>
      </c>
      <c r="L21" s="17">
        <f>SUMIFS(Sales_Ledger!$J$5:$J$863,Sales_Ledger!$H$5:$H$863,$A21,Sales_Ledger!$D$5:$D$863,2024)</f>
        <v/>
      </c>
      <c r="M21" s="17">
        <f>SUMIFS(Sales_Ledger!$J$5:$J$863,Sales_Ledger!$H$5:$H$863,$A21,Sales_Ledger!$D$5:$D$863,2025)</f>
        <v/>
      </c>
      <c r="N21" s="17">
        <f>SUM(K21:M21)</f>
        <v/>
      </c>
      <c r="O21" s="15" t="inlineStr">
        <is>
          <t>Client register + Transaction records</t>
        </is>
      </c>
      <c r="P21" s="15" t="inlineStr">
        <is>
          <t>Bought, bought</t>
        </is>
      </c>
      <c r="Q21" s="15" t="inlineStr">
        <is>
          <t>MD, Ms Jochebed (Team Moffat)</t>
        </is>
      </c>
      <c r="R21" s="15">
        <f>IF(AND(I21&gt;0,N21&gt;I21*1.02),"Receipts exceed register contract value: check for duplicate entries, extra plots or ancillary fees",IF(AND(I21=0,N21&gt;0),"Not in client register: contract value unknown",""))</f>
        <v/>
      </c>
    </row>
    <row r="22">
      <c r="A22" s="15" t="inlineStr">
        <is>
          <t>BP-C0018</t>
        </is>
      </c>
      <c r="B22" s="15" t="inlineStr">
        <is>
          <t>Mr Sunday Gideon</t>
        </is>
      </c>
      <c r="C22" s="15" t="inlineStr">
        <is>
          <t>9051114954</t>
        </is>
      </c>
      <c r="D22" s="15" t="inlineStr">
        <is>
          <t>SENT</t>
        </is>
      </c>
      <c r="E22" s="15" t="inlineStr">
        <is>
          <t>Land</t>
        </is>
      </c>
      <c r="F22" s="15" t="inlineStr">
        <is>
          <t>Green City Phase 1 (Lantaba, Ketu-Epe); Land (estate not stated in source)</t>
        </is>
      </c>
      <c r="G22" s="16" t="n">
        <v>45137</v>
      </c>
      <c r="H22" s="16">
        <f>IF(COUNTIF(Sales_Ledger!$H$5:$H$863,A22)=0,"",_xlfn.MINIFS(Sales_Ledger!$B$5:$B$863,Sales_Ledger!$H$5:$H$863,A22))</f>
        <v/>
      </c>
      <c r="I22" s="17">
        <f>SUMIFS(Subscriptions!$I$5:$I$218,Subscriptions!$B$5:$B$218,A22)</f>
        <v/>
      </c>
      <c r="J22" s="17">
        <f>SUMIFS(Subscriptions!$J$5:$J$218,Subscriptions!$B$5:$B$218,A22)</f>
        <v/>
      </c>
      <c r="K22" s="17">
        <f>SUMIFS(Sales_Ledger!$J$5:$J$863,Sales_Ledger!$H$5:$H$863,$A22,Sales_Ledger!$D$5:$D$863,2023)</f>
        <v/>
      </c>
      <c r="L22" s="17">
        <f>SUMIFS(Sales_Ledger!$J$5:$J$863,Sales_Ledger!$H$5:$H$863,$A22,Sales_Ledger!$D$5:$D$863,2024)</f>
        <v/>
      </c>
      <c r="M22" s="17">
        <f>SUMIFS(Sales_Ledger!$J$5:$J$863,Sales_Ledger!$H$5:$H$863,$A22,Sales_Ledger!$D$5:$D$863,2025)</f>
        <v/>
      </c>
      <c r="N22" s="17">
        <f>SUM(K22:M22)</f>
        <v/>
      </c>
      <c r="O22" s="15" t="inlineStr">
        <is>
          <t>Client register + Transaction records</t>
        </is>
      </c>
      <c r="P22" s="15" t="inlineStr">
        <is>
          <t>bought</t>
        </is>
      </c>
      <c r="Q22" s="15" t="inlineStr">
        <is>
          <t>MS BLESSING</t>
        </is>
      </c>
      <c r="R22" s="15">
        <f>IF(AND(I22&gt;0,N22&gt;I22*1.02),"Receipts exceed register contract value: check for duplicate entries, extra plots or ancillary fees",IF(AND(I22=0,N22&gt;0),"Not in client register: contract value unknown",""))</f>
        <v/>
      </c>
    </row>
    <row r="23">
      <c r="A23" s="15" t="inlineStr">
        <is>
          <t>BP-C0019</t>
        </is>
      </c>
      <c r="B23" s="15" t="inlineStr">
        <is>
          <t>Mr Ogbu Pius Ejaka</t>
        </is>
      </c>
      <c r="C23" s="15" t="inlineStr">
        <is>
          <t>07042269222 09027820971</t>
        </is>
      </c>
      <c r="D23" s="15" t="inlineStr">
        <is>
          <t>ogbu.pius.e@gmail.com</t>
        </is>
      </c>
      <c r="E23" s="15" t="inlineStr">
        <is>
          <t>Land</t>
        </is>
      </c>
      <c r="F23" s="15" t="inlineStr">
        <is>
          <t>Green City Phase 3 (Omu-Epe); Land (estate not stated in source); Land: ancillary charges</t>
        </is>
      </c>
      <c r="G23" s="16" t="n">
        <v>45516</v>
      </c>
      <c r="H23" s="16">
        <f>IF(COUNTIF(Sales_Ledger!$H$5:$H$863,A23)=0,"",_xlfn.MINIFS(Sales_Ledger!$B$5:$B$863,Sales_Ledger!$H$5:$H$863,A23))</f>
        <v/>
      </c>
      <c r="I23" s="17">
        <f>SUMIFS(Subscriptions!$I$5:$I$218,Subscriptions!$B$5:$B$218,A23)</f>
        <v/>
      </c>
      <c r="J23" s="17">
        <f>SUMIFS(Subscriptions!$J$5:$J$218,Subscriptions!$B$5:$B$218,A23)</f>
        <v/>
      </c>
      <c r="K23" s="17">
        <f>SUMIFS(Sales_Ledger!$J$5:$J$863,Sales_Ledger!$H$5:$H$863,$A23,Sales_Ledger!$D$5:$D$863,2023)</f>
        <v/>
      </c>
      <c r="L23" s="17">
        <f>SUMIFS(Sales_Ledger!$J$5:$J$863,Sales_Ledger!$H$5:$H$863,$A23,Sales_Ledger!$D$5:$D$863,2024)</f>
        <v/>
      </c>
      <c r="M23" s="17">
        <f>SUMIFS(Sales_Ledger!$J$5:$J$863,Sales_Ledger!$H$5:$H$863,$A23,Sales_Ledger!$D$5:$D$863,2025)</f>
        <v/>
      </c>
      <c r="N23" s="17">
        <f>SUM(K23:M23)</f>
        <v/>
      </c>
      <c r="O23" s="15" t="inlineStr">
        <is>
          <t>Client register + Transaction records</t>
        </is>
      </c>
      <c r="P23" s="15" t="inlineStr">
        <is>
          <t>Bought</t>
        </is>
      </c>
      <c r="Q23" s="15" t="inlineStr">
        <is>
          <t>Ms Anointing</t>
        </is>
      </c>
      <c r="R23" s="15">
        <f>IF(AND(I23&gt;0,N23&gt;I23*1.02),"Receipts exceed register contract value: check for duplicate entries, extra plots or ancillary fees",IF(AND(I23=0,N23&gt;0),"Not in client register: contract value unknown",""))</f>
        <v/>
      </c>
    </row>
    <row r="24">
      <c r="A24" s="15" t="inlineStr">
        <is>
          <t>BP-C0020</t>
        </is>
      </c>
      <c r="B24" s="15" t="inlineStr">
        <is>
          <t>Mr Adebowale Oluwapelumi Joseph</t>
        </is>
      </c>
      <c r="C24" s="15" t="inlineStr">
        <is>
          <t>1(937) 279-4380</t>
        </is>
      </c>
      <c r="D24" s="15" t="inlineStr">
        <is>
          <t>SENT</t>
        </is>
      </c>
      <c r="E24" s="15" t="inlineStr">
        <is>
          <t>Land</t>
        </is>
      </c>
      <c r="F24" s="15" t="inlineStr">
        <is>
          <t>Green City Phase 1 (Lantaba, Ketu-Epe)</t>
        </is>
      </c>
      <c r="G24" s="16" t="n">
        <v>45161</v>
      </c>
      <c r="H24" s="16">
        <f>IF(COUNTIF(Sales_Ledger!$H$5:$H$863,A24)=0,"",_xlfn.MINIFS(Sales_Ledger!$B$5:$B$863,Sales_Ledger!$H$5:$H$863,A24))</f>
        <v/>
      </c>
      <c r="I24" s="17">
        <f>SUMIFS(Subscriptions!$I$5:$I$218,Subscriptions!$B$5:$B$218,A24)</f>
        <v/>
      </c>
      <c r="J24" s="17">
        <f>SUMIFS(Subscriptions!$J$5:$J$218,Subscriptions!$B$5:$B$218,A24)</f>
        <v/>
      </c>
      <c r="K24" s="17">
        <f>SUMIFS(Sales_Ledger!$J$5:$J$863,Sales_Ledger!$H$5:$H$863,$A24,Sales_Ledger!$D$5:$D$863,2023)</f>
        <v/>
      </c>
      <c r="L24" s="17">
        <f>SUMIFS(Sales_Ledger!$J$5:$J$863,Sales_Ledger!$H$5:$H$863,$A24,Sales_Ledger!$D$5:$D$863,2024)</f>
        <v/>
      </c>
      <c r="M24" s="17">
        <f>SUMIFS(Sales_Ledger!$J$5:$J$863,Sales_Ledger!$H$5:$H$863,$A24,Sales_Ledger!$D$5:$D$863,2025)</f>
        <v/>
      </c>
      <c r="N24" s="17">
        <f>SUM(K24:M24)</f>
        <v/>
      </c>
      <c r="O24" s="15" t="inlineStr">
        <is>
          <t>Client register</t>
        </is>
      </c>
      <c r="P24" s="15" t="inlineStr">
        <is>
          <t>Bought</t>
        </is>
      </c>
      <c r="Q24" s="15" t="inlineStr">
        <is>
          <t>MD</t>
        </is>
      </c>
      <c r="R24" s="15">
        <f>IF(AND(I24&gt;0,N24&gt;I24*1.02),"Receipts exceed register contract value: check for duplicate entries, extra plots or ancillary fees",IF(AND(I24=0,N24&gt;0),"Not in client register: contract value unknown",""))</f>
        <v/>
      </c>
    </row>
    <row r="25">
      <c r="A25" s="15" t="inlineStr">
        <is>
          <t>BP-C0021</t>
        </is>
      </c>
      <c r="B25" s="15" t="inlineStr">
        <is>
          <t>Mr Oyewole Sheriff Oyewusi</t>
        </is>
      </c>
      <c r="C25" s="15" t="inlineStr">
        <is>
          <t>1(310) 728-5174</t>
        </is>
      </c>
      <c r="D25" s="15" t="inlineStr">
        <is>
          <t>SENT</t>
        </is>
      </c>
      <c r="E25" s="15" t="inlineStr">
        <is>
          <t>Land</t>
        </is>
      </c>
      <c r="F25" s="15" t="inlineStr">
        <is>
          <t>Green City Phase 1 (Lantaba, Ketu-Epe); Land (estate not stated in source)</t>
        </is>
      </c>
      <c r="G25" s="16" t="n">
        <v>45161</v>
      </c>
      <c r="H25" s="16">
        <f>IF(COUNTIF(Sales_Ledger!$H$5:$H$863,A25)=0,"",_xlfn.MINIFS(Sales_Ledger!$B$5:$B$863,Sales_Ledger!$H$5:$H$863,A25))</f>
        <v/>
      </c>
      <c r="I25" s="17">
        <f>SUMIFS(Subscriptions!$I$5:$I$218,Subscriptions!$B$5:$B$218,A25)</f>
        <v/>
      </c>
      <c r="J25" s="17">
        <f>SUMIFS(Subscriptions!$J$5:$J$218,Subscriptions!$B$5:$B$218,A25)</f>
        <v/>
      </c>
      <c r="K25" s="17">
        <f>SUMIFS(Sales_Ledger!$J$5:$J$863,Sales_Ledger!$H$5:$H$863,$A25,Sales_Ledger!$D$5:$D$863,2023)</f>
        <v/>
      </c>
      <c r="L25" s="17">
        <f>SUMIFS(Sales_Ledger!$J$5:$J$863,Sales_Ledger!$H$5:$H$863,$A25,Sales_Ledger!$D$5:$D$863,2024)</f>
        <v/>
      </c>
      <c r="M25" s="17">
        <f>SUMIFS(Sales_Ledger!$J$5:$J$863,Sales_Ledger!$H$5:$H$863,$A25,Sales_Ledger!$D$5:$D$863,2025)</f>
        <v/>
      </c>
      <c r="N25" s="17">
        <f>SUM(K25:M25)</f>
        <v/>
      </c>
      <c r="O25" s="15" t="inlineStr">
        <is>
          <t>Client register + Transaction records</t>
        </is>
      </c>
      <c r="P25" s="15" t="inlineStr">
        <is>
          <t>Bought</t>
        </is>
      </c>
      <c r="Q25" s="15" t="inlineStr">
        <is>
          <t>Ms Bolanle</t>
        </is>
      </c>
      <c r="R25" s="15">
        <f>IF(AND(I25&gt;0,N25&gt;I25*1.02),"Receipts exceed register contract value: check for duplicate entries, extra plots or ancillary fees",IF(AND(I25=0,N25&gt;0),"Not in client register: contract value unknown",""))</f>
        <v/>
      </c>
    </row>
    <row r="26">
      <c r="A26" s="15" t="inlineStr">
        <is>
          <t>BP-C0022</t>
        </is>
      </c>
      <c r="B26" s="15" t="inlineStr">
        <is>
          <t>Mr Folaranmi Olatunde</t>
        </is>
      </c>
      <c r="C26" s="15" t="inlineStr">
        <is>
          <t>8064494102</t>
        </is>
      </c>
      <c r="D26" s="15" t="inlineStr">
        <is>
          <t>SENT</t>
        </is>
      </c>
      <c r="E26" s="15" t="inlineStr">
        <is>
          <t>Land</t>
        </is>
      </c>
      <c r="F26" s="15" t="inlineStr">
        <is>
          <t>Green City Phase 1 (Lantaba, Ketu-Epe)</t>
        </is>
      </c>
      <c r="G26" s="16" t="n">
        <v>45162</v>
      </c>
      <c r="H26" s="16">
        <f>IF(COUNTIF(Sales_Ledger!$H$5:$H$863,A26)=0,"",_xlfn.MINIFS(Sales_Ledger!$B$5:$B$863,Sales_Ledger!$H$5:$H$863,A26))</f>
        <v/>
      </c>
      <c r="I26" s="17">
        <f>SUMIFS(Subscriptions!$I$5:$I$218,Subscriptions!$B$5:$B$218,A26)</f>
        <v/>
      </c>
      <c r="J26" s="17">
        <f>SUMIFS(Subscriptions!$J$5:$J$218,Subscriptions!$B$5:$B$218,A26)</f>
        <v/>
      </c>
      <c r="K26" s="17">
        <f>SUMIFS(Sales_Ledger!$J$5:$J$863,Sales_Ledger!$H$5:$H$863,$A26,Sales_Ledger!$D$5:$D$863,2023)</f>
        <v/>
      </c>
      <c r="L26" s="17">
        <f>SUMIFS(Sales_Ledger!$J$5:$J$863,Sales_Ledger!$H$5:$H$863,$A26,Sales_Ledger!$D$5:$D$863,2024)</f>
        <v/>
      </c>
      <c r="M26" s="17">
        <f>SUMIFS(Sales_Ledger!$J$5:$J$863,Sales_Ledger!$H$5:$H$863,$A26,Sales_Ledger!$D$5:$D$863,2025)</f>
        <v/>
      </c>
      <c r="N26" s="17">
        <f>SUM(K26:M26)</f>
        <v/>
      </c>
      <c r="O26" s="15" t="inlineStr">
        <is>
          <t>Client register</t>
        </is>
      </c>
      <c r="P26" s="15" t="inlineStr">
        <is>
          <t>Bought</t>
        </is>
      </c>
      <c r="Q26" s="15" t="inlineStr">
        <is>
          <t>MD</t>
        </is>
      </c>
      <c r="R26" s="15">
        <f>IF(AND(I26&gt;0,N26&gt;I26*1.02),"Receipts exceed register contract value: check for duplicate entries, extra plots or ancillary fees",IF(AND(I26=0,N26&gt;0),"Not in client register: contract value unknown",""))</f>
        <v/>
      </c>
    </row>
    <row r="27">
      <c r="A27" s="15" t="inlineStr">
        <is>
          <t>BP-C0023</t>
        </is>
      </c>
      <c r="B27" s="15" t="inlineStr">
        <is>
          <t>MR KOREDE ADESE</t>
        </is>
      </c>
      <c r="C27" s="15" t="inlineStr">
        <is>
          <t>8136836779</t>
        </is>
      </c>
      <c r="D27" s="15" t="inlineStr">
        <is>
          <t>adeseakorede@gmail.com</t>
        </is>
      </c>
      <c r="E27" s="15" t="inlineStr">
        <is>
          <t>Land</t>
        </is>
      </c>
      <c r="F27" s="15" t="inlineStr">
        <is>
          <t>Green City Agbowa; Green City Phase 1 (Lantaba, Ketu-Epe)</t>
        </is>
      </c>
      <c r="G27" s="16" t="n">
        <v>45166</v>
      </c>
      <c r="H27" s="16">
        <f>IF(COUNTIF(Sales_Ledger!$H$5:$H$863,A27)=0,"",_xlfn.MINIFS(Sales_Ledger!$B$5:$B$863,Sales_Ledger!$H$5:$H$863,A27))</f>
        <v/>
      </c>
      <c r="I27" s="17">
        <f>SUMIFS(Subscriptions!$I$5:$I$218,Subscriptions!$B$5:$B$218,A27)</f>
        <v/>
      </c>
      <c r="J27" s="17">
        <f>SUMIFS(Subscriptions!$J$5:$J$218,Subscriptions!$B$5:$B$218,A27)</f>
        <v/>
      </c>
      <c r="K27" s="17">
        <f>SUMIFS(Sales_Ledger!$J$5:$J$863,Sales_Ledger!$H$5:$H$863,$A27,Sales_Ledger!$D$5:$D$863,2023)</f>
        <v/>
      </c>
      <c r="L27" s="17">
        <f>SUMIFS(Sales_Ledger!$J$5:$J$863,Sales_Ledger!$H$5:$H$863,$A27,Sales_Ledger!$D$5:$D$863,2024)</f>
        <v/>
      </c>
      <c r="M27" s="17">
        <f>SUMIFS(Sales_Ledger!$J$5:$J$863,Sales_Ledger!$H$5:$H$863,$A27,Sales_Ledger!$D$5:$D$863,2025)</f>
        <v/>
      </c>
      <c r="N27" s="17">
        <f>SUM(K27:M27)</f>
        <v/>
      </c>
      <c r="O27" s="15" t="inlineStr">
        <is>
          <t>Client register</t>
        </is>
      </c>
      <c r="P27" s="15" t="inlineStr">
        <is>
          <t>Bought, Paying</t>
        </is>
      </c>
      <c r="Q27" s="15" t="inlineStr">
        <is>
          <t>MD</t>
        </is>
      </c>
      <c r="R27" s="15">
        <f>IF(AND(I27&gt;0,N27&gt;I27*1.02),"Receipts exceed register contract value: check for duplicate entries, extra plots or ancillary fees",IF(AND(I27=0,N27&gt;0),"Not in client register: contract value unknown",""))</f>
        <v/>
      </c>
    </row>
    <row r="28">
      <c r="A28" s="15" t="inlineStr">
        <is>
          <t>BP-C0024</t>
        </is>
      </c>
      <c r="B28" s="15" t="inlineStr">
        <is>
          <t>Ms Peace Ikpotokin</t>
        </is>
      </c>
      <c r="C28" s="15" t="inlineStr">
        <is>
          <t>2347063665467</t>
        </is>
      </c>
      <c r="D28" s="15" t="n"/>
      <c r="E28" s="15" t="inlineStr">
        <is>
          <t>Land</t>
        </is>
      </c>
      <c r="F28" s="15" t="inlineStr">
        <is>
          <t>Green City Phase 1 (Lantaba, Ketu-Epe)</t>
        </is>
      </c>
      <c r="G28" s="16" t="n">
        <v>45166</v>
      </c>
      <c r="H28" s="16">
        <f>IF(COUNTIF(Sales_Ledger!$H$5:$H$863,A28)=0,"",_xlfn.MINIFS(Sales_Ledger!$B$5:$B$863,Sales_Ledger!$H$5:$H$863,A28))</f>
        <v/>
      </c>
      <c r="I28" s="17">
        <f>SUMIFS(Subscriptions!$I$5:$I$218,Subscriptions!$B$5:$B$218,A28)</f>
        <v/>
      </c>
      <c r="J28" s="17">
        <f>SUMIFS(Subscriptions!$J$5:$J$218,Subscriptions!$B$5:$B$218,A28)</f>
        <v/>
      </c>
      <c r="K28" s="17">
        <f>SUMIFS(Sales_Ledger!$J$5:$J$863,Sales_Ledger!$H$5:$H$863,$A28,Sales_Ledger!$D$5:$D$863,2023)</f>
        <v/>
      </c>
      <c r="L28" s="17">
        <f>SUMIFS(Sales_Ledger!$J$5:$J$863,Sales_Ledger!$H$5:$H$863,$A28,Sales_Ledger!$D$5:$D$863,2024)</f>
        <v/>
      </c>
      <c r="M28" s="17">
        <f>SUMIFS(Sales_Ledger!$J$5:$J$863,Sales_Ledger!$H$5:$H$863,$A28,Sales_Ledger!$D$5:$D$863,2025)</f>
        <v/>
      </c>
      <c r="N28" s="17">
        <f>SUM(K28:M28)</f>
        <v/>
      </c>
      <c r="O28" s="15" t="inlineStr">
        <is>
          <t>Client register</t>
        </is>
      </c>
      <c r="P28" s="15" t="inlineStr">
        <is>
          <t>Promise</t>
        </is>
      </c>
      <c r="Q28" s="15" t="inlineStr">
        <is>
          <t>MD</t>
        </is>
      </c>
      <c r="R28" s="15">
        <f>IF(AND(I28&gt;0,N28&gt;I28*1.02),"Receipts exceed register contract value: check for duplicate entries, extra plots or ancillary fees",IF(AND(I28=0,N28&gt;0),"Not in client register: contract value unknown",""))</f>
        <v/>
      </c>
    </row>
    <row r="29">
      <c r="A29" s="15" t="inlineStr">
        <is>
          <t>BP-C0025</t>
        </is>
      </c>
      <c r="B29" s="15" t="inlineStr">
        <is>
          <t>Mrs Obadara Dorcas Adebisi</t>
        </is>
      </c>
      <c r="C29" s="15" t="inlineStr">
        <is>
          <t>12149624394</t>
        </is>
      </c>
      <c r="D29" s="15" t="inlineStr">
        <is>
          <t>SENT</t>
        </is>
      </c>
      <c r="E29" s="15" t="inlineStr">
        <is>
          <t>Land</t>
        </is>
      </c>
      <c r="F29" s="15" t="inlineStr">
        <is>
          <t>Green City Phase 1 (Lantaba, Ketu-Epe); Land (estate not stated in source); Land: ancillary charges</t>
        </is>
      </c>
      <c r="G29" s="16" t="n">
        <v>45173</v>
      </c>
      <c r="H29" s="16">
        <f>IF(COUNTIF(Sales_Ledger!$H$5:$H$863,A29)=0,"",_xlfn.MINIFS(Sales_Ledger!$B$5:$B$863,Sales_Ledger!$H$5:$H$863,A29))</f>
        <v/>
      </c>
      <c r="I29" s="17">
        <f>SUMIFS(Subscriptions!$I$5:$I$218,Subscriptions!$B$5:$B$218,A29)</f>
        <v/>
      </c>
      <c r="J29" s="17">
        <f>SUMIFS(Subscriptions!$J$5:$J$218,Subscriptions!$B$5:$B$218,A29)</f>
        <v/>
      </c>
      <c r="K29" s="17">
        <f>SUMIFS(Sales_Ledger!$J$5:$J$863,Sales_Ledger!$H$5:$H$863,$A29,Sales_Ledger!$D$5:$D$863,2023)</f>
        <v/>
      </c>
      <c r="L29" s="17">
        <f>SUMIFS(Sales_Ledger!$J$5:$J$863,Sales_Ledger!$H$5:$H$863,$A29,Sales_Ledger!$D$5:$D$863,2024)</f>
        <v/>
      </c>
      <c r="M29" s="17">
        <f>SUMIFS(Sales_Ledger!$J$5:$J$863,Sales_Ledger!$H$5:$H$863,$A29,Sales_Ledger!$D$5:$D$863,2025)</f>
        <v/>
      </c>
      <c r="N29" s="17">
        <f>SUM(K29:M29)</f>
        <v/>
      </c>
      <c r="O29" s="15" t="inlineStr">
        <is>
          <t>Client register + Transaction records</t>
        </is>
      </c>
      <c r="P29" s="15" t="inlineStr">
        <is>
          <t>Bought</t>
        </is>
      </c>
      <c r="Q29" s="15" t="inlineStr">
        <is>
          <t>Barister Nelson</t>
        </is>
      </c>
      <c r="R29" s="15">
        <f>IF(AND(I29&gt;0,N29&gt;I29*1.02),"Receipts exceed register contract value: check for duplicate entries, extra plots or ancillary fees",IF(AND(I29=0,N29&gt;0),"Not in client register: contract value unknown",""))</f>
        <v/>
      </c>
    </row>
    <row r="30">
      <c r="A30" s="15" t="inlineStr">
        <is>
          <t>BP-C0026</t>
        </is>
      </c>
      <c r="B30" s="15" t="inlineStr">
        <is>
          <t>Mr &amp; Mrs Adebayo Dada</t>
        </is>
      </c>
      <c r="C30" s="15" t="inlineStr">
        <is>
          <t>8037217444</t>
        </is>
      </c>
      <c r="D30" s="15" t="inlineStr">
        <is>
          <t>SENT / adebayodada55@gmail.com</t>
        </is>
      </c>
      <c r="E30" s="15" t="inlineStr">
        <is>
          <t>Land</t>
        </is>
      </c>
      <c r="F30" s="15" t="inlineStr">
        <is>
          <t>Green City Phase 1 (Ketu-Epe); Green City Phase 1 (Lantaba, Ketu-Epe); Green City Phase 3 (Omu-Epe); Land (estate not stated in source); Land: ancillary charges</t>
        </is>
      </c>
      <c r="G30" s="16" t="n">
        <v>45205</v>
      </c>
      <c r="H30" s="16">
        <f>IF(COUNTIF(Sales_Ledger!$H$5:$H$863,A30)=0,"",_xlfn.MINIFS(Sales_Ledger!$B$5:$B$863,Sales_Ledger!$H$5:$H$863,A30))</f>
        <v/>
      </c>
      <c r="I30" s="17">
        <f>SUMIFS(Subscriptions!$I$5:$I$218,Subscriptions!$B$5:$B$218,A30)</f>
        <v/>
      </c>
      <c r="J30" s="17">
        <f>SUMIFS(Subscriptions!$J$5:$J$218,Subscriptions!$B$5:$B$218,A30)</f>
        <v/>
      </c>
      <c r="K30" s="17">
        <f>SUMIFS(Sales_Ledger!$J$5:$J$863,Sales_Ledger!$H$5:$H$863,$A30,Sales_Ledger!$D$5:$D$863,2023)</f>
        <v/>
      </c>
      <c r="L30" s="17">
        <f>SUMIFS(Sales_Ledger!$J$5:$J$863,Sales_Ledger!$H$5:$H$863,$A30,Sales_Ledger!$D$5:$D$863,2024)</f>
        <v/>
      </c>
      <c r="M30" s="17">
        <f>SUMIFS(Sales_Ledger!$J$5:$J$863,Sales_Ledger!$H$5:$H$863,$A30,Sales_Ledger!$D$5:$D$863,2025)</f>
        <v/>
      </c>
      <c r="N30" s="17">
        <f>SUM(K30:M30)</f>
        <v/>
      </c>
      <c r="O30" s="15" t="inlineStr">
        <is>
          <t>Client register + Transaction records</t>
        </is>
      </c>
      <c r="P30" s="15" t="inlineStr">
        <is>
          <t>Bought</t>
        </is>
      </c>
      <c r="Q30" s="15" t="inlineStr">
        <is>
          <t>Mrs Abimbola</t>
        </is>
      </c>
      <c r="R30" s="15">
        <f>IF(AND(I30&gt;0,N30&gt;I30*1.02),"Receipts exceed register contract value: check for duplicate entries, extra plots or ancillary fees",IF(AND(I30=0,N30&gt;0),"Not in client register: contract value unknown",""))</f>
        <v/>
      </c>
    </row>
    <row r="31">
      <c r="A31" s="15" t="inlineStr">
        <is>
          <t>BP-C0027</t>
        </is>
      </c>
      <c r="B31" s="15" t="inlineStr">
        <is>
          <t>Mr Edun Ayobami Simeon and bro</t>
        </is>
      </c>
      <c r="C31" s="15" t="inlineStr">
        <is>
          <t>13525192389</t>
        </is>
      </c>
      <c r="D31" s="15" t="inlineStr">
        <is>
          <t>SENT</t>
        </is>
      </c>
      <c r="E31" s="15" t="inlineStr">
        <is>
          <t>Land</t>
        </is>
      </c>
      <c r="F31" s="15" t="inlineStr">
        <is>
          <t>Green City Phase 1 (Ketu-Epe); Green City Phase 1 (Lantaba, Ketu-Epe); Land: ancillary charges</t>
        </is>
      </c>
      <c r="G31" s="16" t="n">
        <v>45190</v>
      </c>
      <c r="H31" s="16">
        <f>IF(COUNTIF(Sales_Ledger!$H$5:$H$863,A31)=0,"",_xlfn.MINIFS(Sales_Ledger!$B$5:$B$863,Sales_Ledger!$H$5:$H$863,A31))</f>
        <v/>
      </c>
      <c r="I31" s="17">
        <f>SUMIFS(Subscriptions!$I$5:$I$218,Subscriptions!$B$5:$B$218,A31)</f>
        <v/>
      </c>
      <c r="J31" s="17">
        <f>SUMIFS(Subscriptions!$J$5:$J$218,Subscriptions!$B$5:$B$218,A31)</f>
        <v/>
      </c>
      <c r="K31" s="17">
        <f>SUMIFS(Sales_Ledger!$J$5:$J$863,Sales_Ledger!$H$5:$H$863,$A31,Sales_Ledger!$D$5:$D$863,2023)</f>
        <v/>
      </c>
      <c r="L31" s="17">
        <f>SUMIFS(Sales_Ledger!$J$5:$J$863,Sales_Ledger!$H$5:$H$863,$A31,Sales_Ledger!$D$5:$D$863,2024)</f>
        <v/>
      </c>
      <c r="M31" s="17">
        <f>SUMIFS(Sales_Ledger!$J$5:$J$863,Sales_Ledger!$H$5:$H$863,$A31,Sales_Ledger!$D$5:$D$863,2025)</f>
        <v/>
      </c>
      <c r="N31" s="17">
        <f>SUM(K31:M31)</f>
        <v/>
      </c>
      <c r="O31" s="15" t="inlineStr">
        <is>
          <t>Client register + Transaction records</t>
        </is>
      </c>
      <c r="P31" s="15" t="inlineStr">
        <is>
          <t>Bought</t>
        </is>
      </c>
      <c r="Q31" s="15" t="inlineStr">
        <is>
          <t>Mr Olaiya/MD</t>
        </is>
      </c>
      <c r="R31" s="15">
        <f>IF(AND(I31&gt;0,N31&gt;I31*1.02),"Receipts exceed register contract value: check for duplicate entries, extra plots or ancillary fees",IF(AND(I31=0,N31&gt;0),"Not in client register: contract value unknown",""))</f>
        <v/>
      </c>
    </row>
    <row r="32">
      <c r="A32" s="15" t="inlineStr">
        <is>
          <t>BP-C0028</t>
        </is>
      </c>
      <c r="B32" s="15" t="inlineStr">
        <is>
          <t>Mr Adebanjo Isaac Olamilekan</t>
        </is>
      </c>
      <c r="C32" s="15" t="inlineStr">
        <is>
          <t>9030482388</t>
        </is>
      </c>
      <c r="D32" s="15" t="inlineStr">
        <is>
          <t>adebanjoisaac4@gmail.com</t>
        </is>
      </c>
      <c r="E32" s="15" t="inlineStr">
        <is>
          <t>Land</t>
        </is>
      </c>
      <c r="F32" s="15" t="inlineStr">
        <is>
          <t>Green City Phase 1 (Ketu-Epe); Green City Phase 2 (Idobi, Ketu-Epe); Green City Phase 2 (Ketu-Epe); Land (estate not stated in source)</t>
        </is>
      </c>
      <c r="G32" s="16" t="n">
        <v>45716</v>
      </c>
      <c r="H32" s="16">
        <f>IF(COUNTIF(Sales_Ledger!$H$5:$H$863,A32)=0,"",_xlfn.MINIFS(Sales_Ledger!$B$5:$B$863,Sales_Ledger!$H$5:$H$863,A32))</f>
        <v/>
      </c>
      <c r="I32" s="17">
        <f>SUMIFS(Subscriptions!$I$5:$I$218,Subscriptions!$B$5:$B$218,A32)</f>
        <v/>
      </c>
      <c r="J32" s="17">
        <f>SUMIFS(Subscriptions!$J$5:$J$218,Subscriptions!$B$5:$B$218,A32)</f>
        <v/>
      </c>
      <c r="K32" s="17">
        <f>SUMIFS(Sales_Ledger!$J$5:$J$863,Sales_Ledger!$H$5:$H$863,$A32,Sales_Ledger!$D$5:$D$863,2023)</f>
        <v/>
      </c>
      <c r="L32" s="17">
        <f>SUMIFS(Sales_Ledger!$J$5:$J$863,Sales_Ledger!$H$5:$H$863,$A32,Sales_Ledger!$D$5:$D$863,2024)</f>
        <v/>
      </c>
      <c r="M32" s="17">
        <f>SUMIFS(Sales_Ledger!$J$5:$J$863,Sales_Ledger!$H$5:$H$863,$A32,Sales_Ledger!$D$5:$D$863,2025)</f>
        <v/>
      </c>
      <c r="N32" s="17">
        <f>SUM(K32:M32)</f>
        <v/>
      </c>
      <c r="O32" s="15" t="inlineStr">
        <is>
          <t>Client register + Transaction records</t>
        </is>
      </c>
      <c r="P32" s="15" t="inlineStr">
        <is>
          <t>Bought</t>
        </is>
      </c>
      <c r="Q32" s="15" t="inlineStr">
        <is>
          <t>MD</t>
        </is>
      </c>
      <c r="R32" s="15">
        <f>IF(AND(I32&gt;0,N32&gt;I32*1.02),"Receipts exceed register contract value: check for duplicate entries, extra plots or ancillary fees",IF(AND(I32=0,N32&gt;0),"Not in client register: contract value unknown",""))</f>
        <v/>
      </c>
    </row>
    <row r="33">
      <c r="A33" s="15" t="inlineStr">
        <is>
          <t>BP-C0029</t>
        </is>
      </c>
      <c r="B33" s="15" t="inlineStr">
        <is>
          <t>Mr Ohanehi Anthony Chukwunonso</t>
        </is>
      </c>
      <c r="C33" s="15" t="inlineStr">
        <is>
          <t>8034359513</t>
        </is>
      </c>
      <c r="D33" s="15" t="inlineStr">
        <is>
          <t>SENT / tonyjay202183@gmail.com</t>
        </is>
      </c>
      <c r="E33" s="15" t="inlineStr">
        <is>
          <t>Land</t>
        </is>
      </c>
      <c r="F33" s="15" t="inlineStr">
        <is>
          <t>Green City Phase 1 (Ketu-Epe); Green City Phase 1 (Lantaba, Ketu-Epe); Green City Phase 2 (Idobi, Ketu-Epe); Green City Phase 2 (Ketu-Epe); Land (estate not stated in source)</t>
        </is>
      </c>
      <c r="G33" s="16" t="n">
        <v>45229</v>
      </c>
      <c r="H33" s="16">
        <f>IF(COUNTIF(Sales_Ledger!$H$5:$H$863,A33)=0,"",_xlfn.MINIFS(Sales_Ledger!$B$5:$B$863,Sales_Ledger!$H$5:$H$863,A33))</f>
        <v/>
      </c>
      <c r="I33" s="17">
        <f>SUMIFS(Subscriptions!$I$5:$I$218,Subscriptions!$B$5:$B$218,A33)</f>
        <v/>
      </c>
      <c r="J33" s="17">
        <f>SUMIFS(Subscriptions!$J$5:$J$218,Subscriptions!$B$5:$B$218,A33)</f>
        <v/>
      </c>
      <c r="K33" s="17">
        <f>SUMIFS(Sales_Ledger!$J$5:$J$863,Sales_Ledger!$H$5:$H$863,$A33,Sales_Ledger!$D$5:$D$863,2023)</f>
        <v/>
      </c>
      <c r="L33" s="17">
        <f>SUMIFS(Sales_Ledger!$J$5:$J$863,Sales_Ledger!$H$5:$H$863,$A33,Sales_Ledger!$D$5:$D$863,2024)</f>
        <v/>
      </c>
      <c r="M33" s="17">
        <f>SUMIFS(Sales_Ledger!$J$5:$J$863,Sales_Ledger!$H$5:$H$863,$A33,Sales_Ledger!$D$5:$D$863,2025)</f>
        <v/>
      </c>
      <c r="N33" s="17">
        <f>SUM(K33:M33)</f>
        <v/>
      </c>
      <c r="O33" s="15" t="inlineStr">
        <is>
          <t>Client register + Transaction records</t>
        </is>
      </c>
      <c r="P33" s="15" t="inlineStr">
        <is>
          <t>Bought, Paying</t>
        </is>
      </c>
      <c r="Q33" s="15" t="inlineStr">
        <is>
          <t>MD, Ms Immaculate</t>
        </is>
      </c>
      <c r="R33" s="15">
        <f>IF(AND(I33&gt;0,N33&gt;I33*1.02),"Receipts exceed register contract value: check for duplicate entries, extra plots or ancillary fees",IF(AND(I33=0,N33&gt;0),"Not in client register: contract value unknown",""))</f>
        <v/>
      </c>
    </row>
    <row r="34">
      <c r="A34" s="15" t="inlineStr">
        <is>
          <t>BP-C0030</t>
        </is>
      </c>
      <c r="B34" s="15" t="inlineStr">
        <is>
          <t>Mr. Adese Akorede John</t>
        </is>
      </c>
      <c r="C34" s="15" t="inlineStr">
        <is>
          <t>8136836779</t>
        </is>
      </c>
      <c r="D34" s="15" t="inlineStr">
        <is>
          <t>adeseakorede@gmail.com</t>
        </is>
      </c>
      <c r="E34" s="15" t="inlineStr">
        <is>
          <t>Land</t>
        </is>
      </c>
      <c r="F34" s="15" t="inlineStr">
        <is>
          <t>Green City Ibadan (Akinyele-Moniya); Green City Phase 1 (Ketu-Epe); Green City Phase 2 (Idobi, Ketu-Epe); Green City Phase 2 (Ketu-Epe); Land (estate not stated in source); Land: ancillary charges</t>
        </is>
      </c>
      <c r="G34" s="16" t="n">
        <v>45376</v>
      </c>
      <c r="H34" s="16">
        <f>IF(COUNTIF(Sales_Ledger!$H$5:$H$863,A34)=0,"",_xlfn.MINIFS(Sales_Ledger!$B$5:$B$863,Sales_Ledger!$H$5:$H$863,A34))</f>
        <v/>
      </c>
      <c r="I34" s="17">
        <f>SUMIFS(Subscriptions!$I$5:$I$218,Subscriptions!$B$5:$B$218,A34)</f>
        <v/>
      </c>
      <c r="J34" s="17">
        <f>SUMIFS(Subscriptions!$J$5:$J$218,Subscriptions!$B$5:$B$218,A34)</f>
        <v/>
      </c>
      <c r="K34" s="17">
        <f>SUMIFS(Sales_Ledger!$J$5:$J$863,Sales_Ledger!$H$5:$H$863,$A34,Sales_Ledger!$D$5:$D$863,2023)</f>
        <v/>
      </c>
      <c r="L34" s="17">
        <f>SUMIFS(Sales_Ledger!$J$5:$J$863,Sales_Ledger!$H$5:$H$863,$A34,Sales_Ledger!$D$5:$D$863,2024)</f>
        <v/>
      </c>
      <c r="M34" s="17">
        <f>SUMIFS(Sales_Ledger!$J$5:$J$863,Sales_Ledger!$H$5:$H$863,$A34,Sales_Ledger!$D$5:$D$863,2025)</f>
        <v/>
      </c>
      <c r="N34" s="17">
        <f>SUM(K34:M34)</f>
        <v/>
      </c>
      <c r="O34" s="15" t="inlineStr">
        <is>
          <t>Client register + Transaction records</t>
        </is>
      </c>
      <c r="P34" s="15" t="inlineStr">
        <is>
          <t>Bought</t>
        </is>
      </c>
      <c r="Q34" s="15" t="inlineStr">
        <is>
          <t>MD</t>
        </is>
      </c>
      <c r="R34" s="15">
        <f>IF(AND(I34&gt;0,N34&gt;I34*1.02),"Receipts exceed register contract value: check for duplicate entries, extra plots or ancillary fees",IF(AND(I34=0,N34&gt;0),"Not in client register: contract value unknown",""))</f>
        <v/>
      </c>
    </row>
    <row r="35">
      <c r="A35" s="15" t="inlineStr">
        <is>
          <t>BP-C0031</t>
        </is>
      </c>
      <c r="B35" s="15" t="inlineStr">
        <is>
          <t>Mr Eguavoen Harrison</t>
        </is>
      </c>
      <c r="C35" s="15" t="n"/>
      <c r="D35" s="15" t="inlineStr">
        <is>
          <t>harrisoneguavoen@yahoo.com</t>
        </is>
      </c>
      <c r="E35" s="15" t="inlineStr">
        <is>
          <t>Land</t>
        </is>
      </c>
      <c r="F35" s="15" t="inlineStr">
        <is>
          <t>Green City Agbowa</t>
        </is>
      </c>
      <c r="G35" s="16" t="n">
        <v>45209</v>
      </c>
      <c r="H35" s="16">
        <f>IF(COUNTIF(Sales_Ledger!$H$5:$H$863,A35)=0,"",_xlfn.MINIFS(Sales_Ledger!$B$5:$B$863,Sales_Ledger!$H$5:$H$863,A35))</f>
        <v/>
      </c>
      <c r="I35" s="17">
        <f>SUMIFS(Subscriptions!$I$5:$I$218,Subscriptions!$B$5:$B$218,A35)</f>
        <v/>
      </c>
      <c r="J35" s="17">
        <f>SUMIFS(Subscriptions!$J$5:$J$218,Subscriptions!$B$5:$B$218,A35)</f>
        <v/>
      </c>
      <c r="K35" s="17">
        <f>SUMIFS(Sales_Ledger!$J$5:$J$863,Sales_Ledger!$H$5:$H$863,$A35,Sales_Ledger!$D$5:$D$863,2023)</f>
        <v/>
      </c>
      <c r="L35" s="17">
        <f>SUMIFS(Sales_Ledger!$J$5:$J$863,Sales_Ledger!$H$5:$H$863,$A35,Sales_Ledger!$D$5:$D$863,2024)</f>
        <v/>
      </c>
      <c r="M35" s="17">
        <f>SUMIFS(Sales_Ledger!$J$5:$J$863,Sales_Ledger!$H$5:$H$863,$A35,Sales_Ledger!$D$5:$D$863,2025)</f>
        <v/>
      </c>
      <c r="N35" s="17">
        <f>SUM(K35:M35)</f>
        <v/>
      </c>
      <c r="O35" s="15" t="inlineStr">
        <is>
          <t>Client register</t>
        </is>
      </c>
      <c r="P35" s="15" t="inlineStr">
        <is>
          <t>Refund</t>
        </is>
      </c>
      <c r="Q35" s="15" t="inlineStr">
        <is>
          <t>Ms Blessing</t>
        </is>
      </c>
      <c r="R35" s="15">
        <f>IF(AND(I35&gt;0,N35&gt;I35*1.02),"Receipts exceed register contract value: check for duplicate entries, extra plots or ancillary fees",IF(AND(I35=0,N35&gt;0),"Not in client register: contract value unknown",""))</f>
        <v/>
      </c>
    </row>
    <row r="36">
      <c r="A36" s="15" t="inlineStr">
        <is>
          <t>BP-C0032</t>
        </is>
      </c>
      <c r="B36" s="15" t="inlineStr">
        <is>
          <t>Mr Tomiwa Ibiks *********</t>
        </is>
      </c>
      <c r="C36" s="15" t="inlineStr">
        <is>
          <t>7039367538</t>
        </is>
      </c>
      <c r="D36" s="15" t="n"/>
      <c r="E36" s="15" t="inlineStr">
        <is>
          <t>Land</t>
        </is>
      </c>
      <c r="F36" s="15" t="inlineStr">
        <is>
          <t>Green City Phase 1 (Lantaba, Ketu-Epe)</t>
        </is>
      </c>
      <c r="G36" s="16" t="n">
        <v>45209</v>
      </c>
      <c r="H36" s="16">
        <f>IF(COUNTIF(Sales_Ledger!$H$5:$H$863,A36)=0,"",_xlfn.MINIFS(Sales_Ledger!$B$5:$B$863,Sales_Ledger!$H$5:$H$863,A36))</f>
        <v/>
      </c>
      <c r="I36" s="17">
        <f>SUMIFS(Subscriptions!$I$5:$I$218,Subscriptions!$B$5:$B$218,A36)</f>
        <v/>
      </c>
      <c r="J36" s="17">
        <f>SUMIFS(Subscriptions!$J$5:$J$218,Subscriptions!$B$5:$B$218,A36)</f>
        <v/>
      </c>
      <c r="K36" s="17">
        <f>SUMIFS(Sales_Ledger!$J$5:$J$863,Sales_Ledger!$H$5:$H$863,$A36,Sales_Ledger!$D$5:$D$863,2023)</f>
        <v/>
      </c>
      <c r="L36" s="17">
        <f>SUMIFS(Sales_Ledger!$J$5:$J$863,Sales_Ledger!$H$5:$H$863,$A36,Sales_Ledger!$D$5:$D$863,2024)</f>
        <v/>
      </c>
      <c r="M36" s="17">
        <f>SUMIFS(Sales_Ledger!$J$5:$J$863,Sales_Ledger!$H$5:$H$863,$A36,Sales_Ledger!$D$5:$D$863,2025)</f>
        <v/>
      </c>
      <c r="N36" s="17">
        <f>SUM(K36:M36)</f>
        <v/>
      </c>
      <c r="O36" s="15" t="inlineStr">
        <is>
          <t>Client register</t>
        </is>
      </c>
      <c r="P36" s="15" t="inlineStr">
        <is>
          <t>Paying</t>
        </is>
      </c>
      <c r="Q36" s="15" t="inlineStr">
        <is>
          <t>MD</t>
        </is>
      </c>
      <c r="R36" s="15">
        <f>IF(AND(I36&gt;0,N36&gt;I36*1.02),"Receipts exceed register contract value: check for duplicate entries, extra plots or ancillary fees",IF(AND(I36=0,N36&gt;0),"Not in client register: contract value unknown",""))</f>
        <v/>
      </c>
    </row>
    <row r="37">
      <c r="A37" s="15" t="inlineStr">
        <is>
          <t>BP-C0033</t>
        </is>
      </c>
      <c r="B37" s="15" t="inlineStr">
        <is>
          <t>Mr Olumoko Oladapo Oluwaseun</t>
        </is>
      </c>
      <c r="C37" s="15" t="inlineStr">
        <is>
          <t>8033494369</t>
        </is>
      </c>
      <c r="D37" s="15" t="inlineStr">
        <is>
          <t>SENT</t>
        </is>
      </c>
      <c r="E37" s="15" t="inlineStr">
        <is>
          <t>Land</t>
        </is>
      </c>
      <c r="F37" s="15" t="inlineStr">
        <is>
          <t>Green City Phase 1 (Ketu-Epe); Green City Phase 1 (Lantaba, Ketu-Epe); Land (estate not stated in source)</t>
        </is>
      </c>
      <c r="G37" s="16" t="n">
        <v>45211</v>
      </c>
      <c r="H37" s="16">
        <f>IF(COUNTIF(Sales_Ledger!$H$5:$H$863,A37)=0,"",_xlfn.MINIFS(Sales_Ledger!$B$5:$B$863,Sales_Ledger!$H$5:$H$863,A37))</f>
        <v/>
      </c>
      <c r="I37" s="17">
        <f>SUMIFS(Subscriptions!$I$5:$I$218,Subscriptions!$B$5:$B$218,A37)</f>
        <v/>
      </c>
      <c r="J37" s="17">
        <f>SUMIFS(Subscriptions!$J$5:$J$218,Subscriptions!$B$5:$B$218,A37)</f>
        <v/>
      </c>
      <c r="K37" s="17">
        <f>SUMIFS(Sales_Ledger!$J$5:$J$863,Sales_Ledger!$H$5:$H$863,$A37,Sales_Ledger!$D$5:$D$863,2023)</f>
        <v/>
      </c>
      <c r="L37" s="17">
        <f>SUMIFS(Sales_Ledger!$J$5:$J$863,Sales_Ledger!$H$5:$H$863,$A37,Sales_Ledger!$D$5:$D$863,2024)</f>
        <v/>
      </c>
      <c r="M37" s="17">
        <f>SUMIFS(Sales_Ledger!$J$5:$J$863,Sales_Ledger!$H$5:$H$863,$A37,Sales_Ledger!$D$5:$D$863,2025)</f>
        <v/>
      </c>
      <c r="N37" s="17">
        <f>SUM(K37:M37)</f>
        <v/>
      </c>
      <c r="O37" s="15" t="inlineStr">
        <is>
          <t>Client register + Transaction records</t>
        </is>
      </c>
      <c r="P37" s="15" t="inlineStr">
        <is>
          <t>Bought</t>
        </is>
      </c>
      <c r="Q37" s="15" t="inlineStr">
        <is>
          <t>Ms Bolanle</t>
        </is>
      </c>
      <c r="R37" s="15">
        <f>IF(AND(I37&gt;0,N37&gt;I37*1.02),"Receipts exceed register contract value: check for duplicate entries, extra plots or ancillary fees",IF(AND(I37=0,N37&gt;0),"Not in client register: contract value unknown",""))</f>
        <v/>
      </c>
    </row>
    <row r="38">
      <c r="A38" s="15" t="inlineStr">
        <is>
          <t>BP-C0034</t>
        </is>
      </c>
      <c r="B38" s="15" t="inlineStr">
        <is>
          <t>Mrs Ndubuisi Ujunwa</t>
        </is>
      </c>
      <c r="C38" s="15" t="inlineStr">
        <is>
          <t>9060220053</t>
        </is>
      </c>
      <c r="D38" s="15" t="inlineStr">
        <is>
          <t>SENT</t>
        </is>
      </c>
      <c r="E38" s="15" t="inlineStr">
        <is>
          <t>Land</t>
        </is>
      </c>
      <c r="F38" s="15" t="inlineStr">
        <is>
          <t>Green City Phase 1 (Lantaba, Ketu-Epe); Land (estate not stated in source)</t>
        </is>
      </c>
      <c r="G38" s="16" t="n">
        <v>45211</v>
      </c>
      <c r="H38" s="16">
        <f>IF(COUNTIF(Sales_Ledger!$H$5:$H$863,A38)=0,"",_xlfn.MINIFS(Sales_Ledger!$B$5:$B$863,Sales_Ledger!$H$5:$H$863,A38))</f>
        <v/>
      </c>
      <c r="I38" s="17">
        <f>SUMIFS(Subscriptions!$I$5:$I$218,Subscriptions!$B$5:$B$218,A38)</f>
        <v/>
      </c>
      <c r="J38" s="17">
        <f>SUMIFS(Subscriptions!$J$5:$J$218,Subscriptions!$B$5:$B$218,A38)</f>
        <v/>
      </c>
      <c r="K38" s="17">
        <f>SUMIFS(Sales_Ledger!$J$5:$J$863,Sales_Ledger!$H$5:$H$863,$A38,Sales_Ledger!$D$5:$D$863,2023)</f>
        <v/>
      </c>
      <c r="L38" s="17">
        <f>SUMIFS(Sales_Ledger!$J$5:$J$863,Sales_Ledger!$H$5:$H$863,$A38,Sales_Ledger!$D$5:$D$863,2024)</f>
        <v/>
      </c>
      <c r="M38" s="17">
        <f>SUMIFS(Sales_Ledger!$J$5:$J$863,Sales_Ledger!$H$5:$H$863,$A38,Sales_Ledger!$D$5:$D$863,2025)</f>
        <v/>
      </c>
      <c r="N38" s="17">
        <f>SUM(K38:M38)</f>
        <v/>
      </c>
      <c r="O38" s="15" t="inlineStr">
        <is>
          <t>Client register + Transaction records</t>
        </is>
      </c>
      <c r="P38" s="15" t="inlineStr">
        <is>
          <t>Bought</t>
        </is>
      </c>
      <c r="Q38" s="15" t="inlineStr">
        <is>
          <t>Ms Immaculate</t>
        </is>
      </c>
      <c r="R38" s="15">
        <f>IF(AND(I38&gt;0,N38&gt;I38*1.02),"Receipts exceed register contract value: check for duplicate entries, extra plots or ancillary fees",IF(AND(I38=0,N38&gt;0),"Not in client register: contract value unknown",""))</f>
        <v/>
      </c>
    </row>
    <row r="39">
      <c r="A39" s="15" t="inlineStr">
        <is>
          <t>BP-C0035</t>
        </is>
      </c>
      <c r="B39" s="15" t="inlineStr">
        <is>
          <t>Vacant</t>
        </is>
      </c>
      <c r="C39" s="15" t="inlineStr">
        <is>
          <t>8167516120</t>
        </is>
      </c>
      <c r="D39" s="15" t="n"/>
      <c r="E39" s="15" t="inlineStr">
        <is>
          <t>Land</t>
        </is>
      </c>
      <c r="F39" s="15" t="inlineStr">
        <is>
          <t>Green City Phase 1 (Lantaba, Ketu-Epe)</t>
        </is>
      </c>
      <c r="G39" s="16" t="n">
        <v>45211</v>
      </c>
      <c r="H39" s="16">
        <f>IF(COUNTIF(Sales_Ledger!$H$5:$H$863,A39)=0,"",_xlfn.MINIFS(Sales_Ledger!$B$5:$B$863,Sales_Ledger!$H$5:$H$863,A39))</f>
        <v/>
      </c>
      <c r="I39" s="17">
        <f>SUMIFS(Subscriptions!$I$5:$I$218,Subscriptions!$B$5:$B$218,A39)</f>
        <v/>
      </c>
      <c r="J39" s="17">
        <f>SUMIFS(Subscriptions!$J$5:$J$218,Subscriptions!$B$5:$B$218,A39)</f>
        <v/>
      </c>
      <c r="K39" s="17">
        <f>SUMIFS(Sales_Ledger!$J$5:$J$863,Sales_Ledger!$H$5:$H$863,$A39,Sales_Ledger!$D$5:$D$863,2023)</f>
        <v/>
      </c>
      <c r="L39" s="17">
        <f>SUMIFS(Sales_Ledger!$J$5:$J$863,Sales_Ledger!$H$5:$H$863,$A39,Sales_Ledger!$D$5:$D$863,2024)</f>
        <v/>
      </c>
      <c r="M39" s="17">
        <f>SUMIFS(Sales_Ledger!$J$5:$J$863,Sales_Ledger!$H$5:$H$863,$A39,Sales_Ledger!$D$5:$D$863,2025)</f>
        <v/>
      </c>
      <c r="N39" s="17">
        <f>SUM(K39:M39)</f>
        <v/>
      </c>
      <c r="O39" s="15" t="inlineStr">
        <is>
          <t>Client register</t>
        </is>
      </c>
      <c r="P39" s="15" t="inlineStr">
        <is>
          <t>bought</t>
        </is>
      </c>
      <c r="Q39" s="15" t="inlineStr">
        <is>
          <t>MD</t>
        </is>
      </c>
      <c r="R39" s="15">
        <f>IF(AND(I39&gt;0,N39&gt;I39*1.02),"Receipts exceed register contract value: check for duplicate entries, extra plots or ancillary fees",IF(AND(I39=0,N39&gt;0),"Not in client register: contract value unknown",""))</f>
        <v/>
      </c>
    </row>
    <row r="40">
      <c r="A40" s="15" t="inlineStr">
        <is>
          <t>BP-C0036</t>
        </is>
      </c>
      <c r="B40" s="15" t="inlineStr">
        <is>
          <t>Ohumende Paul Osaze</t>
        </is>
      </c>
      <c r="C40" s="15" t="inlineStr">
        <is>
          <t>8165253939</t>
        </is>
      </c>
      <c r="D40" s="15" t="inlineStr">
        <is>
          <t>SENT / mendes.paul28@gmail.com</t>
        </is>
      </c>
      <c r="E40" s="15" t="inlineStr">
        <is>
          <t>Land</t>
        </is>
      </c>
      <c r="F40" s="15" t="inlineStr">
        <is>
          <t>Green City Phase 1 (Ketu-Epe); Green City Phase 1 (Lantaba, Ketu-Epe); Green City Phase 2 (Ketu-Epe); Land (estate not stated in source); Land: ancillary charges</t>
        </is>
      </c>
      <c r="G40" s="16" t="n">
        <v>45232</v>
      </c>
      <c r="H40" s="16">
        <f>IF(COUNTIF(Sales_Ledger!$H$5:$H$863,A40)=0,"",_xlfn.MINIFS(Sales_Ledger!$B$5:$B$863,Sales_Ledger!$H$5:$H$863,A40))</f>
        <v/>
      </c>
      <c r="I40" s="17">
        <f>SUMIFS(Subscriptions!$I$5:$I$218,Subscriptions!$B$5:$B$218,A40)</f>
        <v/>
      </c>
      <c r="J40" s="17">
        <f>SUMIFS(Subscriptions!$J$5:$J$218,Subscriptions!$B$5:$B$218,A40)</f>
        <v/>
      </c>
      <c r="K40" s="17">
        <f>SUMIFS(Sales_Ledger!$J$5:$J$863,Sales_Ledger!$H$5:$H$863,$A40,Sales_Ledger!$D$5:$D$863,2023)</f>
        <v/>
      </c>
      <c r="L40" s="17">
        <f>SUMIFS(Sales_Ledger!$J$5:$J$863,Sales_Ledger!$H$5:$H$863,$A40,Sales_Ledger!$D$5:$D$863,2024)</f>
        <v/>
      </c>
      <c r="M40" s="17">
        <f>SUMIFS(Sales_Ledger!$J$5:$J$863,Sales_Ledger!$H$5:$H$863,$A40,Sales_Ledger!$D$5:$D$863,2025)</f>
        <v/>
      </c>
      <c r="N40" s="17">
        <f>SUM(K40:M40)</f>
        <v/>
      </c>
      <c r="O40" s="15" t="inlineStr">
        <is>
          <t>Client register + Transaction records</t>
        </is>
      </c>
      <c r="P40" s="15" t="inlineStr">
        <is>
          <t>Bought</t>
        </is>
      </c>
      <c r="Q40" s="15" t="inlineStr">
        <is>
          <t>MD</t>
        </is>
      </c>
      <c r="R40" s="15">
        <f>IF(AND(I40&gt;0,N40&gt;I40*1.02),"Receipts exceed register contract value: check for duplicate entries, extra plots or ancillary fees",IF(AND(I40=0,N40&gt;0),"Not in client register: contract value unknown",""))</f>
        <v/>
      </c>
    </row>
    <row r="41">
      <c r="A41" s="15" t="inlineStr">
        <is>
          <t>BP-C0037</t>
        </is>
      </c>
      <c r="B41" s="15" t="inlineStr">
        <is>
          <t>Miss Okezie Mandy Ifeoma</t>
        </is>
      </c>
      <c r="C41" s="15" t="inlineStr">
        <is>
          <t>7032342126</t>
        </is>
      </c>
      <c r="D41" s="15" t="inlineStr">
        <is>
          <t>SENT / okezieifeoma00@gmail.com</t>
        </is>
      </c>
      <c r="E41" s="15" t="inlineStr">
        <is>
          <t>Land</t>
        </is>
      </c>
      <c r="F41" s="15" t="inlineStr">
        <is>
          <t>Green City Phase 1 (Lantaba, Ketu-Epe); Green City Phase 3 (Omu-Epe)</t>
        </is>
      </c>
      <c r="G41" s="16" t="n">
        <v>45228</v>
      </c>
      <c r="H41" s="16">
        <f>IF(COUNTIF(Sales_Ledger!$H$5:$H$863,A41)=0,"",_xlfn.MINIFS(Sales_Ledger!$B$5:$B$863,Sales_Ledger!$H$5:$H$863,A41))</f>
        <v/>
      </c>
      <c r="I41" s="17">
        <f>SUMIFS(Subscriptions!$I$5:$I$218,Subscriptions!$B$5:$B$218,A41)</f>
        <v/>
      </c>
      <c r="J41" s="17">
        <f>SUMIFS(Subscriptions!$J$5:$J$218,Subscriptions!$B$5:$B$218,A41)</f>
        <v/>
      </c>
      <c r="K41" s="17">
        <f>SUMIFS(Sales_Ledger!$J$5:$J$863,Sales_Ledger!$H$5:$H$863,$A41,Sales_Ledger!$D$5:$D$863,2023)</f>
        <v/>
      </c>
      <c r="L41" s="17">
        <f>SUMIFS(Sales_Ledger!$J$5:$J$863,Sales_Ledger!$H$5:$H$863,$A41,Sales_Ledger!$D$5:$D$863,2024)</f>
        <v/>
      </c>
      <c r="M41" s="17">
        <f>SUMIFS(Sales_Ledger!$J$5:$J$863,Sales_Ledger!$H$5:$H$863,$A41,Sales_Ledger!$D$5:$D$863,2025)</f>
        <v/>
      </c>
      <c r="N41" s="17">
        <f>SUM(K41:M41)</f>
        <v/>
      </c>
      <c r="O41" s="15" t="inlineStr">
        <is>
          <t>Client register + Transaction records</t>
        </is>
      </c>
      <c r="P41" s="15" t="inlineStr">
        <is>
          <t>Bought</t>
        </is>
      </c>
      <c r="Q41" s="15" t="inlineStr">
        <is>
          <t>Celina, Ms Celina</t>
        </is>
      </c>
      <c r="R41" s="15">
        <f>IF(AND(I41&gt;0,N41&gt;I41*1.02),"Receipts exceed register contract value: check for duplicate entries, extra plots or ancillary fees",IF(AND(I41=0,N41&gt;0),"Not in client register: contract value unknown",""))</f>
        <v/>
      </c>
    </row>
    <row r="42">
      <c r="A42" s="15" t="inlineStr">
        <is>
          <t>BP-C0038</t>
        </is>
      </c>
      <c r="B42" s="15" t="inlineStr">
        <is>
          <t>Okeizie Ifeoma Mandy</t>
        </is>
      </c>
      <c r="C42" s="15" t="n"/>
      <c r="D42" s="15" t="n"/>
      <c r="E42" s="15" t="inlineStr">
        <is>
          <t>Land</t>
        </is>
      </c>
      <c r="F42" s="15" t="inlineStr">
        <is>
          <t>Land (estate not stated in source)</t>
        </is>
      </c>
      <c r="G42" s="16" t="n"/>
      <c r="H42" s="16">
        <f>IF(COUNTIF(Sales_Ledger!$H$5:$H$863,A42)=0,"",_xlfn.MINIFS(Sales_Ledger!$B$5:$B$863,Sales_Ledger!$H$5:$H$863,A42))</f>
        <v/>
      </c>
      <c r="I42" s="17">
        <f>SUMIFS(Subscriptions!$I$5:$I$218,Subscriptions!$B$5:$B$218,A42)</f>
        <v/>
      </c>
      <c r="J42" s="17">
        <f>SUMIFS(Subscriptions!$J$5:$J$218,Subscriptions!$B$5:$B$218,A42)</f>
        <v/>
      </c>
      <c r="K42" s="17">
        <f>SUMIFS(Sales_Ledger!$J$5:$J$863,Sales_Ledger!$H$5:$H$863,$A42,Sales_Ledger!$D$5:$D$863,2023)</f>
        <v/>
      </c>
      <c r="L42" s="17">
        <f>SUMIFS(Sales_Ledger!$J$5:$J$863,Sales_Ledger!$H$5:$H$863,$A42,Sales_Ledger!$D$5:$D$863,2024)</f>
        <v/>
      </c>
      <c r="M42" s="17">
        <f>SUMIFS(Sales_Ledger!$J$5:$J$863,Sales_Ledger!$H$5:$H$863,$A42,Sales_Ledger!$D$5:$D$863,2025)</f>
        <v/>
      </c>
      <c r="N42" s="17">
        <f>SUM(K42:M42)</f>
        <v/>
      </c>
      <c r="O42" s="15" t="inlineStr">
        <is>
          <t>Transaction records</t>
        </is>
      </c>
      <c r="P42" s="15" t="n"/>
      <c r="Q42" s="15" t="n"/>
      <c r="R42" s="15">
        <f>IF(AND(I42&gt;0,N42&gt;I42*1.02),"Receipts exceed register contract value: check for duplicate entries, extra plots or ancillary fees",IF(AND(I42=0,N42&gt;0),"Not in client register: contract value unknown",""))</f>
        <v/>
      </c>
    </row>
    <row r="43">
      <c r="A43" s="15" t="inlineStr">
        <is>
          <t>BP-C0039</t>
        </is>
      </c>
      <c r="B43" s="15" t="inlineStr">
        <is>
          <t>Alabi Abdulazeez Toyosi</t>
        </is>
      </c>
      <c r="C43" s="15" t="inlineStr">
        <is>
          <t>7064191538</t>
        </is>
      </c>
      <c r="D43" s="15" t="inlineStr">
        <is>
          <t>alabitoyosi1616@gmail.com</t>
        </is>
      </c>
      <c r="E43" s="15" t="inlineStr">
        <is>
          <t>Land</t>
        </is>
      </c>
      <c r="F43" s="15" t="inlineStr">
        <is>
          <t>Green City Phase 2 (Ketu-Epe); Land (estate not stated in source)</t>
        </is>
      </c>
      <c r="G43" s="16" t="n">
        <v>45321</v>
      </c>
      <c r="H43" s="16">
        <f>IF(COUNTIF(Sales_Ledger!$H$5:$H$863,A43)=0,"",_xlfn.MINIFS(Sales_Ledger!$B$5:$B$863,Sales_Ledger!$H$5:$H$863,A43))</f>
        <v/>
      </c>
      <c r="I43" s="17">
        <f>SUMIFS(Subscriptions!$I$5:$I$218,Subscriptions!$B$5:$B$218,A43)</f>
        <v/>
      </c>
      <c r="J43" s="17">
        <f>SUMIFS(Subscriptions!$J$5:$J$218,Subscriptions!$B$5:$B$218,A43)</f>
        <v/>
      </c>
      <c r="K43" s="17">
        <f>SUMIFS(Sales_Ledger!$J$5:$J$863,Sales_Ledger!$H$5:$H$863,$A43,Sales_Ledger!$D$5:$D$863,2023)</f>
        <v/>
      </c>
      <c r="L43" s="17">
        <f>SUMIFS(Sales_Ledger!$J$5:$J$863,Sales_Ledger!$H$5:$H$863,$A43,Sales_Ledger!$D$5:$D$863,2024)</f>
        <v/>
      </c>
      <c r="M43" s="17">
        <f>SUMIFS(Sales_Ledger!$J$5:$J$863,Sales_Ledger!$H$5:$H$863,$A43,Sales_Ledger!$D$5:$D$863,2025)</f>
        <v/>
      </c>
      <c r="N43" s="17">
        <f>SUM(K43:M43)</f>
        <v/>
      </c>
      <c r="O43" s="15" t="inlineStr">
        <is>
          <t>Client register + Transaction records</t>
        </is>
      </c>
      <c r="P43" s="15" t="inlineStr">
        <is>
          <t>REFUND</t>
        </is>
      </c>
      <c r="Q43" s="15" t="inlineStr">
        <is>
          <t>MD</t>
        </is>
      </c>
      <c r="R43" s="15">
        <f>IF(AND(I43&gt;0,N43&gt;I43*1.02),"Receipts exceed register contract value: check for duplicate entries, extra plots or ancillary fees",IF(AND(I43=0,N43&gt;0),"Not in client register: contract value unknown",""))</f>
        <v/>
      </c>
    </row>
    <row r="44">
      <c r="A44" s="15" t="inlineStr">
        <is>
          <t>BP-C0040</t>
        </is>
      </c>
      <c r="B44" s="15" t="inlineStr">
        <is>
          <t>Bassey Christopher</t>
        </is>
      </c>
      <c r="C44" s="15" t="inlineStr">
        <is>
          <t>9039054374</t>
        </is>
      </c>
      <c r="D44" s="15" t="inlineStr">
        <is>
          <t>SENT</t>
        </is>
      </c>
      <c r="E44" s="15" t="inlineStr">
        <is>
          <t>Land</t>
        </is>
      </c>
      <c r="F44" s="15" t="inlineStr">
        <is>
          <t>Green City Phase 1 (Lantaba, Ketu-Epe); Land (estate not stated in source)</t>
        </is>
      </c>
      <c r="G44" s="16" t="n">
        <v>45229</v>
      </c>
      <c r="H44" s="16">
        <f>IF(COUNTIF(Sales_Ledger!$H$5:$H$863,A44)=0,"",_xlfn.MINIFS(Sales_Ledger!$B$5:$B$863,Sales_Ledger!$H$5:$H$863,A44))</f>
        <v/>
      </c>
      <c r="I44" s="17">
        <f>SUMIFS(Subscriptions!$I$5:$I$218,Subscriptions!$B$5:$B$218,A44)</f>
        <v/>
      </c>
      <c r="J44" s="17">
        <f>SUMIFS(Subscriptions!$J$5:$J$218,Subscriptions!$B$5:$B$218,A44)</f>
        <v/>
      </c>
      <c r="K44" s="17">
        <f>SUMIFS(Sales_Ledger!$J$5:$J$863,Sales_Ledger!$H$5:$H$863,$A44,Sales_Ledger!$D$5:$D$863,2023)</f>
        <v/>
      </c>
      <c r="L44" s="17">
        <f>SUMIFS(Sales_Ledger!$J$5:$J$863,Sales_Ledger!$H$5:$H$863,$A44,Sales_Ledger!$D$5:$D$863,2024)</f>
        <v/>
      </c>
      <c r="M44" s="17">
        <f>SUMIFS(Sales_Ledger!$J$5:$J$863,Sales_Ledger!$H$5:$H$863,$A44,Sales_Ledger!$D$5:$D$863,2025)</f>
        <v/>
      </c>
      <c r="N44" s="17">
        <f>SUM(K44:M44)</f>
        <v/>
      </c>
      <c r="O44" s="15" t="inlineStr">
        <is>
          <t>Client register + Transaction records</t>
        </is>
      </c>
      <c r="P44" s="15" t="inlineStr">
        <is>
          <t>Bought</t>
        </is>
      </c>
      <c r="Q44" s="15" t="inlineStr">
        <is>
          <t>Ms Immaculate</t>
        </is>
      </c>
      <c r="R44" s="15">
        <f>IF(AND(I44&gt;0,N44&gt;I44*1.02),"Receipts exceed register contract value: check for duplicate entries, extra plots or ancillary fees",IF(AND(I44=0,N44&gt;0),"Not in client register: contract value unknown",""))</f>
        <v/>
      </c>
    </row>
    <row r="45">
      <c r="A45" s="15" t="inlineStr">
        <is>
          <t>BP-C0041</t>
        </is>
      </c>
      <c r="B45" s="15" t="inlineStr">
        <is>
          <t>Alhaji Badamasi Mohammadu</t>
        </is>
      </c>
      <c r="C45" s="15" t="inlineStr">
        <is>
          <t>8033417527</t>
        </is>
      </c>
      <c r="D45" s="15" t="inlineStr">
        <is>
          <t>SENT</t>
        </is>
      </c>
      <c r="E45" s="15" t="inlineStr">
        <is>
          <t>Land</t>
        </is>
      </c>
      <c r="F45" s="15" t="inlineStr">
        <is>
          <t>Green City Phase 1 (Lantaba, Ketu-Epe)</t>
        </is>
      </c>
      <c r="G45" s="16" t="n">
        <v>45233</v>
      </c>
      <c r="H45" s="16">
        <f>IF(COUNTIF(Sales_Ledger!$H$5:$H$863,A45)=0,"",_xlfn.MINIFS(Sales_Ledger!$B$5:$B$863,Sales_Ledger!$H$5:$H$863,A45))</f>
        <v/>
      </c>
      <c r="I45" s="17">
        <f>SUMIFS(Subscriptions!$I$5:$I$218,Subscriptions!$B$5:$B$218,A45)</f>
        <v/>
      </c>
      <c r="J45" s="17">
        <f>SUMIFS(Subscriptions!$J$5:$J$218,Subscriptions!$B$5:$B$218,A45)</f>
        <v/>
      </c>
      <c r="K45" s="17">
        <f>SUMIFS(Sales_Ledger!$J$5:$J$863,Sales_Ledger!$H$5:$H$863,$A45,Sales_Ledger!$D$5:$D$863,2023)</f>
        <v/>
      </c>
      <c r="L45" s="17">
        <f>SUMIFS(Sales_Ledger!$J$5:$J$863,Sales_Ledger!$H$5:$H$863,$A45,Sales_Ledger!$D$5:$D$863,2024)</f>
        <v/>
      </c>
      <c r="M45" s="17">
        <f>SUMIFS(Sales_Ledger!$J$5:$J$863,Sales_Ledger!$H$5:$H$863,$A45,Sales_Ledger!$D$5:$D$863,2025)</f>
        <v/>
      </c>
      <c r="N45" s="17">
        <f>SUM(K45:M45)</f>
        <v/>
      </c>
      <c r="O45" s="15" t="inlineStr">
        <is>
          <t>Client register</t>
        </is>
      </c>
      <c r="P45" s="15" t="inlineStr">
        <is>
          <t>Bought</t>
        </is>
      </c>
      <c r="Q45" s="15" t="inlineStr">
        <is>
          <t>Ms Tobi Associate</t>
        </is>
      </c>
      <c r="R45" s="15">
        <f>IF(AND(I45&gt;0,N45&gt;I45*1.02),"Receipts exceed register contract value: check for duplicate entries, extra plots or ancillary fees",IF(AND(I45=0,N45&gt;0),"Not in client register: contract value unknown",""))</f>
        <v/>
      </c>
    </row>
    <row r="46">
      <c r="A46" s="15" t="inlineStr">
        <is>
          <t>BP-C0042</t>
        </is>
      </c>
      <c r="B46" s="15" t="inlineStr">
        <is>
          <t>Alhaji Gbadamosi Mohammad</t>
        </is>
      </c>
      <c r="C46" s="15" t="n"/>
      <c r="D46" s="15" t="n"/>
      <c r="E46" s="15" t="inlineStr">
        <is>
          <t>Land</t>
        </is>
      </c>
      <c r="F46" s="15" t="inlineStr">
        <is>
          <t>Land (estate not stated in source)</t>
        </is>
      </c>
      <c r="G46" s="16" t="n"/>
      <c r="H46" s="16">
        <f>IF(COUNTIF(Sales_Ledger!$H$5:$H$863,A46)=0,"",_xlfn.MINIFS(Sales_Ledger!$B$5:$B$863,Sales_Ledger!$H$5:$H$863,A46))</f>
        <v/>
      </c>
      <c r="I46" s="17">
        <f>SUMIFS(Subscriptions!$I$5:$I$218,Subscriptions!$B$5:$B$218,A46)</f>
        <v/>
      </c>
      <c r="J46" s="17">
        <f>SUMIFS(Subscriptions!$J$5:$J$218,Subscriptions!$B$5:$B$218,A46)</f>
        <v/>
      </c>
      <c r="K46" s="17">
        <f>SUMIFS(Sales_Ledger!$J$5:$J$863,Sales_Ledger!$H$5:$H$863,$A46,Sales_Ledger!$D$5:$D$863,2023)</f>
        <v/>
      </c>
      <c r="L46" s="17">
        <f>SUMIFS(Sales_Ledger!$J$5:$J$863,Sales_Ledger!$H$5:$H$863,$A46,Sales_Ledger!$D$5:$D$863,2024)</f>
        <v/>
      </c>
      <c r="M46" s="17">
        <f>SUMIFS(Sales_Ledger!$J$5:$J$863,Sales_Ledger!$H$5:$H$863,$A46,Sales_Ledger!$D$5:$D$863,2025)</f>
        <v/>
      </c>
      <c r="N46" s="17">
        <f>SUM(K46:M46)</f>
        <v/>
      </c>
      <c r="O46" s="15" t="inlineStr">
        <is>
          <t>Transaction records</t>
        </is>
      </c>
      <c r="P46" s="15" t="n"/>
      <c r="Q46" s="15" t="n"/>
      <c r="R46" s="15">
        <f>IF(AND(I46&gt;0,N46&gt;I46*1.02),"Receipts exceed register contract value: check for duplicate entries, extra plots or ancillary fees",IF(AND(I46=0,N46&gt;0),"Not in client register: contract value unknown",""))</f>
        <v/>
      </c>
    </row>
    <row r="47">
      <c r="A47" s="15" t="inlineStr">
        <is>
          <t>BP-C0043</t>
        </is>
      </c>
      <c r="B47" s="15" t="inlineStr">
        <is>
          <t>Mrs Oladiran Omolola Agnes</t>
        </is>
      </c>
      <c r="C47" s="15" t="inlineStr">
        <is>
          <t>Not filled</t>
        </is>
      </c>
      <c r="D47" s="15" t="inlineStr">
        <is>
          <t>agnesomolola7@gmail.com</t>
        </is>
      </c>
      <c r="E47" s="15" t="inlineStr">
        <is>
          <t>Land</t>
        </is>
      </c>
      <c r="F47" s="15" t="inlineStr">
        <is>
          <t>Green City Agbowa; Green City Phase 2 (Ketu-Epe); Land (estate not stated in source)</t>
        </is>
      </c>
      <c r="G47" s="16" t="n">
        <v>45239</v>
      </c>
      <c r="H47" s="16">
        <f>IF(COUNTIF(Sales_Ledger!$H$5:$H$863,A47)=0,"",_xlfn.MINIFS(Sales_Ledger!$B$5:$B$863,Sales_Ledger!$H$5:$H$863,A47))</f>
        <v/>
      </c>
      <c r="I47" s="17">
        <f>SUMIFS(Subscriptions!$I$5:$I$218,Subscriptions!$B$5:$B$218,A47)</f>
        <v/>
      </c>
      <c r="J47" s="17">
        <f>SUMIFS(Subscriptions!$J$5:$J$218,Subscriptions!$B$5:$B$218,A47)</f>
        <v/>
      </c>
      <c r="K47" s="17">
        <f>SUMIFS(Sales_Ledger!$J$5:$J$863,Sales_Ledger!$H$5:$H$863,$A47,Sales_Ledger!$D$5:$D$863,2023)</f>
        <v/>
      </c>
      <c r="L47" s="17">
        <f>SUMIFS(Sales_Ledger!$J$5:$J$863,Sales_Ledger!$H$5:$H$863,$A47,Sales_Ledger!$D$5:$D$863,2024)</f>
        <v/>
      </c>
      <c r="M47" s="17">
        <f>SUMIFS(Sales_Ledger!$J$5:$J$863,Sales_Ledger!$H$5:$H$863,$A47,Sales_Ledger!$D$5:$D$863,2025)</f>
        <v/>
      </c>
      <c r="N47" s="17">
        <f>SUM(K47:M47)</f>
        <v/>
      </c>
      <c r="O47" s="15" t="inlineStr">
        <is>
          <t>Client register + Transaction records</t>
        </is>
      </c>
      <c r="P47" s="15" t="inlineStr">
        <is>
          <t>Convert to ketu 2, REFUND</t>
        </is>
      </c>
      <c r="Q47" s="15" t="inlineStr">
        <is>
          <t>Mr Pelumi, Pelumi</t>
        </is>
      </c>
      <c r="R47" s="15">
        <f>IF(AND(I47&gt;0,N47&gt;I47*1.02),"Receipts exceed register contract value: check for duplicate entries, extra plots or ancillary fees",IF(AND(I47=0,N47&gt;0),"Not in client register: contract value unknown",""))</f>
        <v/>
      </c>
    </row>
    <row r="48">
      <c r="A48" s="15" t="inlineStr">
        <is>
          <t>BP-C0044</t>
        </is>
      </c>
      <c r="B48" s="15" t="inlineStr">
        <is>
          <t>Oluwase Babajide Victor</t>
        </is>
      </c>
      <c r="C48" s="15" t="inlineStr">
        <is>
          <t>8136389666</t>
        </is>
      </c>
      <c r="D48" s="15" t="inlineStr">
        <is>
          <t>SENT</t>
        </is>
      </c>
      <c r="E48" s="15" t="inlineStr">
        <is>
          <t>Land</t>
        </is>
      </c>
      <c r="F48" s="15" t="inlineStr">
        <is>
          <t>Green City Phase 1 (Ketu-Epe); Green City Phase 1 (Lantaba, Ketu-Epe)</t>
        </is>
      </c>
      <c r="G48" s="16" t="n">
        <v>45239</v>
      </c>
      <c r="H48" s="16">
        <f>IF(COUNTIF(Sales_Ledger!$H$5:$H$863,A48)=0,"",_xlfn.MINIFS(Sales_Ledger!$B$5:$B$863,Sales_Ledger!$H$5:$H$863,A48))</f>
        <v/>
      </c>
      <c r="I48" s="17">
        <f>SUMIFS(Subscriptions!$I$5:$I$218,Subscriptions!$B$5:$B$218,A48)</f>
        <v/>
      </c>
      <c r="J48" s="17">
        <f>SUMIFS(Subscriptions!$J$5:$J$218,Subscriptions!$B$5:$B$218,A48)</f>
        <v/>
      </c>
      <c r="K48" s="17">
        <f>SUMIFS(Sales_Ledger!$J$5:$J$863,Sales_Ledger!$H$5:$H$863,$A48,Sales_Ledger!$D$5:$D$863,2023)</f>
        <v/>
      </c>
      <c r="L48" s="17">
        <f>SUMIFS(Sales_Ledger!$J$5:$J$863,Sales_Ledger!$H$5:$H$863,$A48,Sales_Ledger!$D$5:$D$863,2024)</f>
        <v/>
      </c>
      <c r="M48" s="17">
        <f>SUMIFS(Sales_Ledger!$J$5:$J$863,Sales_Ledger!$H$5:$H$863,$A48,Sales_Ledger!$D$5:$D$863,2025)</f>
        <v/>
      </c>
      <c r="N48" s="17">
        <f>SUM(K48:M48)</f>
        <v/>
      </c>
      <c r="O48" s="15" t="inlineStr">
        <is>
          <t>Client register + Transaction records</t>
        </is>
      </c>
      <c r="P48" s="15" t="inlineStr">
        <is>
          <t>Bought</t>
        </is>
      </c>
      <c r="Q48" s="15" t="inlineStr">
        <is>
          <t>MD</t>
        </is>
      </c>
      <c r="R48" s="15">
        <f>IF(AND(I48&gt;0,N48&gt;I48*1.02),"Receipts exceed register contract value: check for duplicate entries, extra plots or ancillary fees",IF(AND(I48=0,N48&gt;0),"Not in client register: contract value unknown",""))</f>
        <v/>
      </c>
    </row>
    <row r="49">
      <c r="A49" s="15" t="inlineStr">
        <is>
          <t>BP-C0045</t>
        </is>
      </c>
      <c r="B49" s="15" t="inlineStr">
        <is>
          <t>Mr Bolarinwa Iyanuoluwa Simon &amp; Dr Bolarinwa Abisola Christianah</t>
        </is>
      </c>
      <c r="C49" s="15" t="inlineStr">
        <is>
          <t>7030281365</t>
        </is>
      </c>
      <c r="D49" s="15" t="inlineStr">
        <is>
          <t>SENT / iyanuoluwabolarinwa@gmail.com</t>
        </is>
      </c>
      <c r="E49" s="15" t="inlineStr">
        <is>
          <t>Land</t>
        </is>
      </c>
      <c r="F49" s="15" t="inlineStr">
        <is>
          <t>Green City Phase 1 (Ketu-Epe); Green City Phase 1 (Lantaba, Ketu-Epe); Green City Phase 2 (Ketu-Epe)</t>
        </is>
      </c>
      <c r="G49" s="16" t="n">
        <v>45245</v>
      </c>
      <c r="H49" s="16">
        <f>IF(COUNTIF(Sales_Ledger!$H$5:$H$863,A49)=0,"",_xlfn.MINIFS(Sales_Ledger!$B$5:$B$863,Sales_Ledger!$H$5:$H$863,A49))</f>
        <v/>
      </c>
      <c r="I49" s="17">
        <f>SUMIFS(Subscriptions!$I$5:$I$218,Subscriptions!$B$5:$B$218,A49)</f>
        <v/>
      </c>
      <c r="J49" s="17">
        <f>SUMIFS(Subscriptions!$J$5:$J$218,Subscriptions!$B$5:$B$218,A49)</f>
        <v/>
      </c>
      <c r="K49" s="17">
        <f>SUMIFS(Sales_Ledger!$J$5:$J$863,Sales_Ledger!$H$5:$H$863,$A49,Sales_Ledger!$D$5:$D$863,2023)</f>
        <v/>
      </c>
      <c r="L49" s="17">
        <f>SUMIFS(Sales_Ledger!$J$5:$J$863,Sales_Ledger!$H$5:$H$863,$A49,Sales_Ledger!$D$5:$D$863,2024)</f>
        <v/>
      </c>
      <c r="M49" s="17">
        <f>SUMIFS(Sales_Ledger!$J$5:$J$863,Sales_Ledger!$H$5:$H$863,$A49,Sales_Ledger!$D$5:$D$863,2025)</f>
        <v/>
      </c>
      <c r="N49" s="17">
        <f>SUM(K49:M49)</f>
        <v/>
      </c>
      <c r="O49" s="15" t="inlineStr">
        <is>
          <t>Client register + Transaction records</t>
        </is>
      </c>
      <c r="P49" s="15" t="inlineStr">
        <is>
          <t>Bought</t>
        </is>
      </c>
      <c r="Q49" s="15" t="inlineStr">
        <is>
          <t>MD</t>
        </is>
      </c>
      <c r="R49" s="15">
        <f>IF(AND(I49&gt;0,N49&gt;I49*1.02),"Receipts exceed register contract value: check for duplicate entries, extra plots or ancillary fees",IF(AND(I49=0,N49&gt;0),"Not in client register: contract value unknown",""))</f>
        <v/>
      </c>
    </row>
    <row r="50">
      <c r="A50" s="15" t="inlineStr">
        <is>
          <t>BP-C0046</t>
        </is>
      </c>
      <c r="B50" s="15" t="inlineStr">
        <is>
          <t>Mr Adesida Raphael Abiodun</t>
        </is>
      </c>
      <c r="C50" s="15" t="n"/>
      <c r="D50" s="15" t="n"/>
      <c r="E50" s="15" t="inlineStr">
        <is>
          <t>Land</t>
        </is>
      </c>
      <c r="F50" s="15" t="inlineStr">
        <is>
          <t>Green City Phase 1 (Ketu-Epe); Green City Phase 1 (Lantaba, Ketu-Epe); Land (estate not stated in source); Land: ancillary charges</t>
        </is>
      </c>
      <c r="G50" s="16" t="n"/>
      <c r="H50" s="16">
        <f>IF(COUNTIF(Sales_Ledger!$H$5:$H$863,A50)=0,"",_xlfn.MINIFS(Sales_Ledger!$B$5:$B$863,Sales_Ledger!$H$5:$H$863,A50))</f>
        <v/>
      </c>
      <c r="I50" s="17">
        <f>SUMIFS(Subscriptions!$I$5:$I$218,Subscriptions!$B$5:$B$218,A50)</f>
        <v/>
      </c>
      <c r="J50" s="17">
        <f>SUMIFS(Subscriptions!$J$5:$J$218,Subscriptions!$B$5:$B$218,A50)</f>
        <v/>
      </c>
      <c r="K50" s="17">
        <f>SUMIFS(Sales_Ledger!$J$5:$J$863,Sales_Ledger!$H$5:$H$863,$A50,Sales_Ledger!$D$5:$D$863,2023)</f>
        <v/>
      </c>
      <c r="L50" s="17">
        <f>SUMIFS(Sales_Ledger!$J$5:$J$863,Sales_Ledger!$H$5:$H$863,$A50,Sales_Ledger!$D$5:$D$863,2024)</f>
        <v/>
      </c>
      <c r="M50" s="17">
        <f>SUMIFS(Sales_Ledger!$J$5:$J$863,Sales_Ledger!$H$5:$H$863,$A50,Sales_Ledger!$D$5:$D$863,2025)</f>
        <v/>
      </c>
      <c r="N50" s="17">
        <f>SUM(K50:M50)</f>
        <v/>
      </c>
      <c r="O50" s="15" t="inlineStr">
        <is>
          <t>Transaction records</t>
        </is>
      </c>
      <c r="P50" s="15" t="n"/>
      <c r="Q50" s="15" t="n"/>
      <c r="R50" s="15">
        <f>IF(AND(I50&gt;0,N50&gt;I50*1.02),"Receipts exceed register contract value: check for duplicate entries, extra plots or ancillary fees",IF(AND(I50=0,N50&gt;0),"Not in client register: contract value unknown",""))</f>
        <v/>
      </c>
    </row>
    <row r="51">
      <c r="A51" s="15" t="inlineStr">
        <is>
          <t>BP-C0047</t>
        </is>
      </c>
      <c r="B51" s="15" t="inlineStr">
        <is>
          <t>Ms Paulina Kehinde Akhere George</t>
        </is>
      </c>
      <c r="C51" s="15" t="n"/>
      <c r="D51" s="15" t="inlineStr">
        <is>
          <t>SENT</t>
        </is>
      </c>
      <c r="E51" s="15" t="inlineStr">
        <is>
          <t>Housing</t>
        </is>
      </c>
      <c r="F51" s="15" t="inlineStr">
        <is>
          <t>Housing unit (project not stated in source); Pacific Court</t>
        </is>
      </c>
      <c r="G51" s="16" t="n">
        <v>45261</v>
      </c>
      <c r="H51" s="16">
        <f>IF(COUNTIF(Sales_Ledger!$H$5:$H$863,A51)=0,"",_xlfn.MINIFS(Sales_Ledger!$B$5:$B$863,Sales_Ledger!$H$5:$H$863,A51))</f>
        <v/>
      </c>
      <c r="I51" s="17">
        <f>SUMIFS(Subscriptions!$I$5:$I$218,Subscriptions!$B$5:$B$218,A51)</f>
        <v/>
      </c>
      <c r="J51" s="17">
        <f>SUMIFS(Subscriptions!$J$5:$J$218,Subscriptions!$B$5:$B$218,A51)</f>
        <v/>
      </c>
      <c r="K51" s="17">
        <f>SUMIFS(Sales_Ledger!$J$5:$J$863,Sales_Ledger!$H$5:$H$863,$A51,Sales_Ledger!$D$5:$D$863,2023)</f>
        <v/>
      </c>
      <c r="L51" s="17">
        <f>SUMIFS(Sales_Ledger!$J$5:$J$863,Sales_Ledger!$H$5:$H$863,$A51,Sales_Ledger!$D$5:$D$863,2024)</f>
        <v/>
      </c>
      <c r="M51" s="17">
        <f>SUMIFS(Sales_Ledger!$J$5:$J$863,Sales_Ledger!$H$5:$H$863,$A51,Sales_Ledger!$D$5:$D$863,2025)</f>
        <v/>
      </c>
      <c r="N51" s="17">
        <f>SUM(K51:M51)</f>
        <v/>
      </c>
      <c r="O51" s="15" t="inlineStr">
        <is>
          <t>Client register + Transaction records</t>
        </is>
      </c>
      <c r="P51" s="15" t="inlineStr">
        <is>
          <t>PAID</t>
        </is>
      </c>
      <c r="Q51" s="15" t="inlineStr">
        <is>
          <t>Barr. Amokeodo</t>
        </is>
      </c>
      <c r="R51" s="15">
        <f>IF(AND(I51&gt;0,N51&gt;I51*1.02),"Receipts exceed register contract value: check for duplicate entries, extra plots or ancillary fees",IF(AND(I51=0,N51&gt;0),"Not in client register: contract value unknown",""))</f>
        <v/>
      </c>
    </row>
    <row r="52">
      <c r="A52" s="15" t="inlineStr">
        <is>
          <t>BP-C0048</t>
        </is>
      </c>
      <c r="B52" s="15" t="inlineStr">
        <is>
          <t>Mr Araokonmi Sodiq Ayinla</t>
        </is>
      </c>
      <c r="C52" s="15" t="inlineStr">
        <is>
          <t>08032726622, 07058447433</t>
        </is>
      </c>
      <c r="D52" s="15" t="inlineStr">
        <is>
          <t>SENT</t>
        </is>
      </c>
      <c r="E52" s="15" t="inlineStr">
        <is>
          <t>Land</t>
        </is>
      </c>
      <c r="F52" s="15" t="inlineStr">
        <is>
          <t>Green City Phase 1 (Lantaba, Ketu-Epe); Land (estate not stated in source)</t>
        </is>
      </c>
      <c r="G52" s="16" t="n">
        <v>45268</v>
      </c>
      <c r="H52" s="16">
        <f>IF(COUNTIF(Sales_Ledger!$H$5:$H$863,A52)=0,"",_xlfn.MINIFS(Sales_Ledger!$B$5:$B$863,Sales_Ledger!$H$5:$H$863,A52))</f>
        <v/>
      </c>
      <c r="I52" s="17">
        <f>SUMIFS(Subscriptions!$I$5:$I$218,Subscriptions!$B$5:$B$218,A52)</f>
        <v/>
      </c>
      <c r="J52" s="17">
        <f>SUMIFS(Subscriptions!$J$5:$J$218,Subscriptions!$B$5:$B$218,A52)</f>
        <v/>
      </c>
      <c r="K52" s="17">
        <f>SUMIFS(Sales_Ledger!$J$5:$J$863,Sales_Ledger!$H$5:$H$863,$A52,Sales_Ledger!$D$5:$D$863,2023)</f>
        <v/>
      </c>
      <c r="L52" s="17">
        <f>SUMIFS(Sales_Ledger!$J$5:$J$863,Sales_Ledger!$H$5:$H$863,$A52,Sales_Ledger!$D$5:$D$863,2024)</f>
        <v/>
      </c>
      <c r="M52" s="17">
        <f>SUMIFS(Sales_Ledger!$J$5:$J$863,Sales_Ledger!$H$5:$H$863,$A52,Sales_Ledger!$D$5:$D$863,2025)</f>
        <v/>
      </c>
      <c r="N52" s="17">
        <f>SUM(K52:M52)</f>
        <v/>
      </c>
      <c r="O52" s="15" t="inlineStr">
        <is>
          <t>Client register + Transaction records</t>
        </is>
      </c>
      <c r="P52" s="15" t="inlineStr">
        <is>
          <t>Bought</t>
        </is>
      </c>
      <c r="Q52" s="15" t="inlineStr">
        <is>
          <t>Yetunde/MD</t>
        </is>
      </c>
      <c r="R52" s="15">
        <f>IF(AND(I52&gt;0,N52&gt;I52*1.02),"Receipts exceed register contract value: check for duplicate entries, extra plots or ancillary fees",IF(AND(I52=0,N52&gt;0),"Not in client register: contract value unknown",""))</f>
        <v/>
      </c>
    </row>
    <row r="53">
      <c r="A53" s="15" t="inlineStr">
        <is>
          <t>BP-C0049</t>
        </is>
      </c>
      <c r="B53" s="15" t="inlineStr">
        <is>
          <t>Mr Ali Ifesinachi Innocent</t>
        </is>
      </c>
      <c r="C53" s="15" t="inlineStr">
        <is>
          <t>8090794894</t>
        </is>
      </c>
      <c r="D53" s="15" t="inlineStr">
        <is>
          <t>SENT</t>
        </is>
      </c>
      <c r="E53" s="15" t="inlineStr">
        <is>
          <t>Land</t>
        </is>
      </c>
      <c r="F53" s="15" t="inlineStr">
        <is>
          <t>Green City Phase 1 (Lantaba, Ketu-Epe); Land (estate not stated in source)</t>
        </is>
      </c>
      <c r="G53" s="16" t="n">
        <v>45271</v>
      </c>
      <c r="H53" s="16">
        <f>IF(COUNTIF(Sales_Ledger!$H$5:$H$863,A53)=0,"",_xlfn.MINIFS(Sales_Ledger!$B$5:$B$863,Sales_Ledger!$H$5:$H$863,A53))</f>
        <v/>
      </c>
      <c r="I53" s="17">
        <f>SUMIFS(Subscriptions!$I$5:$I$218,Subscriptions!$B$5:$B$218,A53)</f>
        <v/>
      </c>
      <c r="J53" s="17">
        <f>SUMIFS(Subscriptions!$J$5:$J$218,Subscriptions!$B$5:$B$218,A53)</f>
        <v/>
      </c>
      <c r="K53" s="17">
        <f>SUMIFS(Sales_Ledger!$J$5:$J$863,Sales_Ledger!$H$5:$H$863,$A53,Sales_Ledger!$D$5:$D$863,2023)</f>
        <v/>
      </c>
      <c r="L53" s="17">
        <f>SUMIFS(Sales_Ledger!$J$5:$J$863,Sales_Ledger!$H$5:$H$863,$A53,Sales_Ledger!$D$5:$D$863,2024)</f>
        <v/>
      </c>
      <c r="M53" s="17">
        <f>SUMIFS(Sales_Ledger!$J$5:$J$863,Sales_Ledger!$H$5:$H$863,$A53,Sales_Ledger!$D$5:$D$863,2025)</f>
        <v/>
      </c>
      <c r="N53" s="17">
        <f>SUM(K53:M53)</f>
        <v/>
      </c>
      <c r="O53" s="15" t="inlineStr">
        <is>
          <t>Client register + Transaction records</t>
        </is>
      </c>
      <c r="P53" s="15" t="inlineStr">
        <is>
          <t>Bought</t>
        </is>
      </c>
      <c r="Q53" s="15" t="inlineStr">
        <is>
          <t>MD</t>
        </is>
      </c>
      <c r="R53" s="15">
        <f>IF(AND(I53&gt;0,N53&gt;I53*1.02),"Receipts exceed register contract value: check for duplicate entries, extra plots or ancillary fees",IF(AND(I53=0,N53&gt;0),"Not in client register: contract value unknown",""))</f>
        <v/>
      </c>
    </row>
    <row r="54">
      <c r="A54" s="15" t="inlineStr">
        <is>
          <t>BP-C0050</t>
        </is>
      </c>
      <c r="B54" s="15" t="inlineStr">
        <is>
          <t>Mr Atuanya Patrick Jideovo</t>
        </is>
      </c>
      <c r="C54" s="15" t="inlineStr">
        <is>
          <t>9080257655</t>
        </is>
      </c>
      <c r="D54" s="15" t="inlineStr">
        <is>
          <t>SENT / patuanya@gmail.com</t>
        </is>
      </c>
      <c r="E54" s="15" t="inlineStr">
        <is>
          <t>Land</t>
        </is>
      </c>
      <c r="F54" s="15" t="inlineStr">
        <is>
          <t>Green City Phase 1 (Ketu-Epe); Green City Phase 1 (Lantaba, Ketu-Epe); Green Hillside; Land (estate not stated in source); Land: ancillary charges</t>
        </is>
      </c>
      <c r="G54" s="16" t="n">
        <v>45274</v>
      </c>
      <c r="H54" s="16">
        <f>IF(COUNTIF(Sales_Ledger!$H$5:$H$863,A54)=0,"",_xlfn.MINIFS(Sales_Ledger!$B$5:$B$863,Sales_Ledger!$H$5:$H$863,A54))</f>
        <v/>
      </c>
      <c r="I54" s="17">
        <f>SUMIFS(Subscriptions!$I$5:$I$218,Subscriptions!$B$5:$B$218,A54)</f>
        <v/>
      </c>
      <c r="J54" s="17">
        <f>SUMIFS(Subscriptions!$J$5:$J$218,Subscriptions!$B$5:$B$218,A54)</f>
        <v/>
      </c>
      <c r="K54" s="17">
        <f>SUMIFS(Sales_Ledger!$J$5:$J$863,Sales_Ledger!$H$5:$H$863,$A54,Sales_Ledger!$D$5:$D$863,2023)</f>
        <v/>
      </c>
      <c r="L54" s="17">
        <f>SUMIFS(Sales_Ledger!$J$5:$J$863,Sales_Ledger!$H$5:$H$863,$A54,Sales_Ledger!$D$5:$D$863,2024)</f>
        <v/>
      </c>
      <c r="M54" s="17">
        <f>SUMIFS(Sales_Ledger!$J$5:$J$863,Sales_Ledger!$H$5:$H$863,$A54,Sales_Ledger!$D$5:$D$863,2025)</f>
        <v/>
      </c>
      <c r="N54" s="17">
        <f>SUM(K54:M54)</f>
        <v/>
      </c>
      <c r="O54" s="15" t="inlineStr">
        <is>
          <t>Client register + Transaction records</t>
        </is>
      </c>
      <c r="P54" s="15" t="inlineStr">
        <is>
          <t>Bought</t>
        </is>
      </c>
      <c r="Q54" s="15" t="inlineStr">
        <is>
          <t>Ms Yetunde, Yetunde/MD</t>
        </is>
      </c>
      <c r="R54" s="15">
        <f>IF(AND(I54&gt;0,N54&gt;I54*1.02),"Receipts exceed register contract value: check for duplicate entries, extra plots or ancillary fees",IF(AND(I54=0,N54&gt;0),"Not in client register: contract value unknown",""))</f>
        <v/>
      </c>
    </row>
    <row r="55">
      <c r="A55" s="15" t="inlineStr">
        <is>
          <t>BP-C0051</t>
        </is>
      </c>
      <c r="B55" s="15" t="inlineStr">
        <is>
          <t>Mr Ogunleye Olumide Victor</t>
        </is>
      </c>
      <c r="C55" s="15" t="inlineStr">
        <is>
          <t>8139122188</t>
        </is>
      </c>
      <c r="D55" s="15" t="inlineStr">
        <is>
          <t>SENT / ogunleyeolumide@gmail.com</t>
        </is>
      </c>
      <c r="E55" s="15" t="inlineStr">
        <is>
          <t>Land</t>
        </is>
      </c>
      <c r="F55" s="15" t="inlineStr">
        <is>
          <t>Green City Agbowa; Green City Phase 1 (Lantaba, Ketu-Epe); Green City Phase 2 (Ketu-Epe); Land (estate not stated in source)</t>
        </is>
      </c>
      <c r="G55" s="16" t="n">
        <v>45280</v>
      </c>
      <c r="H55" s="16">
        <f>IF(COUNTIF(Sales_Ledger!$H$5:$H$863,A55)=0,"",_xlfn.MINIFS(Sales_Ledger!$B$5:$B$863,Sales_Ledger!$H$5:$H$863,A55))</f>
        <v/>
      </c>
      <c r="I55" s="17">
        <f>SUMIFS(Subscriptions!$I$5:$I$218,Subscriptions!$B$5:$B$218,A55)</f>
        <v/>
      </c>
      <c r="J55" s="17">
        <f>SUMIFS(Subscriptions!$J$5:$J$218,Subscriptions!$B$5:$B$218,A55)</f>
        <v/>
      </c>
      <c r="K55" s="17">
        <f>SUMIFS(Sales_Ledger!$J$5:$J$863,Sales_Ledger!$H$5:$H$863,$A55,Sales_Ledger!$D$5:$D$863,2023)</f>
        <v/>
      </c>
      <c r="L55" s="17">
        <f>SUMIFS(Sales_Ledger!$J$5:$J$863,Sales_Ledger!$H$5:$H$863,$A55,Sales_Ledger!$D$5:$D$863,2024)</f>
        <v/>
      </c>
      <c r="M55" s="17">
        <f>SUMIFS(Sales_Ledger!$J$5:$J$863,Sales_Ledger!$H$5:$H$863,$A55,Sales_Ledger!$D$5:$D$863,2025)</f>
        <v/>
      </c>
      <c r="N55" s="17">
        <f>SUM(K55:M55)</f>
        <v/>
      </c>
      <c r="O55" s="15" t="inlineStr">
        <is>
          <t>Client register + Transaction records</t>
        </is>
      </c>
      <c r="P55" s="15" t="inlineStr">
        <is>
          <t>Bought, Paying</t>
        </is>
      </c>
      <c r="Q55" s="15" t="inlineStr">
        <is>
          <t>MD</t>
        </is>
      </c>
      <c r="R55" s="15">
        <f>IF(AND(I55&gt;0,N55&gt;I55*1.02),"Receipts exceed register contract value: check for duplicate entries, extra plots or ancillary fees",IF(AND(I55=0,N55&gt;0),"Not in client register: contract value unknown",""))</f>
        <v/>
      </c>
    </row>
    <row r="56">
      <c r="A56" s="15" t="inlineStr">
        <is>
          <t>BP-C0052</t>
        </is>
      </c>
      <c r="B56" s="15" t="inlineStr">
        <is>
          <t>Mathias Ojoma Lilian</t>
        </is>
      </c>
      <c r="C56" s="15" t="inlineStr">
        <is>
          <t>7056666525</t>
        </is>
      </c>
      <c r="D56" s="15" t="inlineStr">
        <is>
          <t>SENT</t>
        </is>
      </c>
      <c r="E56" s="15" t="inlineStr">
        <is>
          <t>Land</t>
        </is>
      </c>
      <c r="F56" s="15" t="inlineStr">
        <is>
          <t>Green City Phase 1 (Lantaba, Ketu-Epe); Land (estate not stated in source)</t>
        </is>
      </c>
      <c r="G56" s="16" t="n">
        <v>45283</v>
      </c>
      <c r="H56" s="16">
        <f>IF(COUNTIF(Sales_Ledger!$H$5:$H$863,A56)=0,"",_xlfn.MINIFS(Sales_Ledger!$B$5:$B$863,Sales_Ledger!$H$5:$H$863,A56))</f>
        <v/>
      </c>
      <c r="I56" s="17">
        <f>SUMIFS(Subscriptions!$I$5:$I$218,Subscriptions!$B$5:$B$218,A56)</f>
        <v/>
      </c>
      <c r="J56" s="17">
        <f>SUMIFS(Subscriptions!$J$5:$J$218,Subscriptions!$B$5:$B$218,A56)</f>
        <v/>
      </c>
      <c r="K56" s="17">
        <f>SUMIFS(Sales_Ledger!$J$5:$J$863,Sales_Ledger!$H$5:$H$863,$A56,Sales_Ledger!$D$5:$D$863,2023)</f>
        <v/>
      </c>
      <c r="L56" s="17">
        <f>SUMIFS(Sales_Ledger!$J$5:$J$863,Sales_Ledger!$H$5:$H$863,$A56,Sales_Ledger!$D$5:$D$863,2024)</f>
        <v/>
      </c>
      <c r="M56" s="17">
        <f>SUMIFS(Sales_Ledger!$J$5:$J$863,Sales_Ledger!$H$5:$H$863,$A56,Sales_Ledger!$D$5:$D$863,2025)</f>
        <v/>
      </c>
      <c r="N56" s="17">
        <f>SUM(K56:M56)</f>
        <v/>
      </c>
      <c r="O56" s="15" t="inlineStr">
        <is>
          <t>Client register + Transaction records</t>
        </is>
      </c>
      <c r="P56" s="15" t="inlineStr">
        <is>
          <t>Bought</t>
        </is>
      </c>
      <c r="Q56" s="15" t="inlineStr">
        <is>
          <t>Ms Immaculate</t>
        </is>
      </c>
      <c r="R56" s="15">
        <f>IF(AND(I56&gt;0,N56&gt;I56*1.02),"Receipts exceed register contract value: check for duplicate entries, extra plots or ancillary fees",IF(AND(I56=0,N56&gt;0),"Not in client register: contract value unknown",""))</f>
        <v/>
      </c>
    </row>
    <row r="57">
      <c r="A57" s="15" t="inlineStr">
        <is>
          <t>BP-C0053</t>
        </is>
      </c>
      <c r="B57" s="15" t="inlineStr">
        <is>
          <t>Mr Adegbembo Stephen Oluwagbemiga</t>
        </is>
      </c>
      <c r="C57" s="15" t="inlineStr">
        <is>
          <t>447915419823</t>
        </is>
      </c>
      <c r="D57" s="15" t="inlineStr">
        <is>
          <t>SENT</t>
        </is>
      </c>
      <c r="E57" s="15" t="inlineStr">
        <is>
          <t>Land</t>
        </is>
      </c>
      <c r="F57" s="15" t="inlineStr">
        <is>
          <t>Green City Phase 1 (Lantaba, Ketu-Epe); Land (estate not stated in source); Land: ancillary charges</t>
        </is>
      </c>
      <c r="G57" s="16" t="n">
        <v>45286</v>
      </c>
      <c r="H57" s="16">
        <f>IF(COUNTIF(Sales_Ledger!$H$5:$H$863,A57)=0,"",_xlfn.MINIFS(Sales_Ledger!$B$5:$B$863,Sales_Ledger!$H$5:$H$863,A57))</f>
        <v/>
      </c>
      <c r="I57" s="17">
        <f>SUMIFS(Subscriptions!$I$5:$I$218,Subscriptions!$B$5:$B$218,A57)</f>
        <v/>
      </c>
      <c r="J57" s="17">
        <f>SUMIFS(Subscriptions!$J$5:$J$218,Subscriptions!$B$5:$B$218,A57)</f>
        <v/>
      </c>
      <c r="K57" s="17">
        <f>SUMIFS(Sales_Ledger!$J$5:$J$863,Sales_Ledger!$H$5:$H$863,$A57,Sales_Ledger!$D$5:$D$863,2023)</f>
        <v/>
      </c>
      <c r="L57" s="17">
        <f>SUMIFS(Sales_Ledger!$J$5:$J$863,Sales_Ledger!$H$5:$H$863,$A57,Sales_Ledger!$D$5:$D$863,2024)</f>
        <v/>
      </c>
      <c r="M57" s="17">
        <f>SUMIFS(Sales_Ledger!$J$5:$J$863,Sales_Ledger!$H$5:$H$863,$A57,Sales_Ledger!$D$5:$D$863,2025)</f>
        <v/>
      </c>
      <c r="N57" s="17">
        <f>SUM(K57:M57)</f>
        <v/>
      </c>
      <c r="O57" s="15" t="inlineStr">
        <is>
          <t>Client register + Transaction records</t>
        </is>
      </c>
      <c r="P57" s="15" t="inlineStr">
        <is>
          <t>Bought</t>
        </is>
      </c>
      <c r="Q57" s="15" t="inlineStr">
        <is>
          <t>Ms Elizabeth</t>
        </is>
      </c>
      <c r="R57" s="15">
        <f>IF(AND(I57&gt;0,N57&gt;I57*1.02),"Receipts exceed register contract value: check for duplicate entries, extra plots or ancillary fees",IF(AND(I57=0,N57&gt;0),"Not in client register: contract value unknown",""))</f>
        <v/>
      </c>
    </row>
    <row r="58">
      <c r="A58" s="15" t="inlineStr">
        <is>
          <t>BP-C0054</t>
        </is>
      </c>
      <c r="B58" s="15" t="inlineStr">
        <is>
          <t>Mr Ademola Adeniyi</t>
        </is>
      </c>
      <c r="C58" s="15" t="inlineStr">
        <is>
          <t>16475612700</t>
        </is>
      </c>
      <c r="D58" s="15" t="inlineStr">
        <is>
          <t>SENT / demossa2000@gmail.com</t>
        </is>
      </c>
      <c r="E58" s="15" t="inlineStr">
        <is>
          <t>Land</t>
        </is>
      </c>
      <c r="F58" s="15" t="inlineStr">
        <is>
          <t>Green City Phase 1 (Lantaba, Ketu-Epe); Green City Phase 2 (Idobi, Ketu-Epe); Green City Phase 2 (Ketu-Epe); Land (estate not stated in source); Land: ancillary charges</t>
        </is>
      </c>
      <c r="G58" s="16" t="n">
        <v>45288</v>
      </c>
      <c r="H58" s="16">
        <f>IF(COUNTIF(Sales_Ledger!$H$5:$H$863,A58)=0,"",_xlfn.MINIFS(Sales_Ledger!$B$5:$B$863,Sales_Ledger!$H$5:$H$863,A58))</f>
        <v/>
      </c>
      <c r="I58" s="17">
        <f>SUMIFS(Subscriptions!$I$5:$I$218,Subscriptions!$B$5:$B$218,A58)</f>
        <v/>
      </c>
      <c r="J58" s="17">
        <f>SUMIFS(Subscriptions!$J$5:$J$218,Subscriptions!$B$5:$B$218,A58)</f>
        <v/>
      </c>
      <c r="K58" s="17">
        <f>SUMIFS(Sales_Ledger!$J$5:$J$863,Sales_Ledger!$H$5:$H$863,$A58,Sales_Ledger!$D$5:$D$863,2023)</f>
        <v/>
      </c>
      <c r="L58" s="17">
        <f>SUMIFS(Sales_Ledger!$J$5:$J$863,Sales_Ledger!$H$5:$H$863,$A58,Sales_Ledger!$D$5:$D$863,2024)</f>
        <v/>
      </c>
      <c r="M58" s="17">
        <f>SUMIFS(Sales_Ledger!$J$5:$J$863,Sales_Ledger!$H$5:$H$863,$A58,Sales_Ledger!$D$5:$D$863,2025)</f>
        <v/>
      </c>
      <c r="N58" s="17">
        <f>SUM(K58:M58)</f>
        <v/>
      </c>
      <c r="O58" s="15" t="inlineStr">
        <is>
          <t>Client register + Transaction records</t>
        </is>
      </c>
      <c r="P58" s="15" t="inlineStr">
        <is>
          <t>Bought</t>
        </is>
      </c>
      <c r="Q58" s="15" t="inlineStr">
        <is>
          <t>Ms Abimbola</t>
        </is>
      </c>
      <c r="R58" s="15">
        <f>IF(AND(I58&gt;0,N58&gt;I58*1.02),"Receipts exceed register contract value: check for duplicate entries, extra plots or ancillary fees",IF(AND(I58=0,N58&gt;0),"Not in client register: contract value unknown",""))</f>
        <v/>
      </c>
    </row>
    <row r="59">
      <c r="A59" s="15" t="inlineStr">
        <is>
          <t>BP-C0055</t>
        </is>
      </c>
      <c r="B59" s="15" t="inlineStr">
        <is>
          <t>Mr. Adeniji Oluwatosin Ademola</t>
        </is>
      </c>
      <c r="C59" s="15" t="inlineStr">
        <is>
          <t>447375656023</t>
        </is>
      </c>
      <c r="D59" s="15" t="inlineStr">
        <is>
          <t>adenijitosin01@yahoo.com</t>
        </is>
      </c>
      <c r="E59" s="15" t="inlineStr">
        <is>
          <t>Housing, Land</t>
        </is>
      </c>
      <c r="F59" s="15" t="inlineStr">
        <is>
          <t>Baay Foreshore; Green City Phase 1 (Ketu-Epe); Green City Phase 1 (Lantaba, Ketu-Epe); Land (estate not stated in source)</t>
        </is>
      </c>
      <c r="G59" s="16" t="n">
        <v>45875</v>
      </c>
      <c r="H59" s="16">
        <f>IF(COUNTIF(Sales_Ledger!$H$5:$H$863,A59)=0,"",_xlfn.MINIFS(Sales_Ledger!$B$5:$B$863,Sales_Ledger!$H$5:$H$863,A59))</f>
        <v/>
      </c>
      <c r="I59" s="17">
        <f>SUMIFS(Subscriptions!$I$5:$I$218,Subscriptions!$B$5:$B$218,A59)</f>
        <v/>
      </c>
      <c r="J59" s="17">
        <f>SUMIFS(Subscriptions!$J$5:$J$218,Subscriptions!$B$5:$B$218,A59)</f>
        <v/>
      </c>
      <c r="K59" s="17">
        <f>SUMIFS(Sales_Ledger!$J$5:$J$863,Sales_Ledger!$H$5:$H$863,$A59,Sales_Ledger!$D$5:$D$863,2023)</f>
        <v/>
      </c>
      <c r="L59" s="17">
        <f>SUMIFS(Sales_Ledger!$J$5:$J$863,Sales_Ledger!$H$5:$H$863,$A59,Sales_Ledger!$D$5:$D$863,2024)</f>
        <v/>
      </c>
      <c r="M59" s="17">
        <f>SUMIFS(Sales_Ledger!$J$5:$J$863,Sales_Ledger!$H$5:$H$863,$A59,Sales_Ledger!$D$5:$D$863,2025)</f>
        <v/>
      </c>
      <c r="N59" s="17">
        <f>SUM(K59:M59)</f>
        <v/>
      </c>
      <c r="O59" s="15" t="inlineStr">
        <is>
          <t>Client register + Transaction records</t>
        </is>
      </c>
      <c r="P59" s="15" t="inlineStr">
        <is>
          <t>Paying</t>
        </is>
      </c>
      <c r="Q59" s="15" t="inlineStr">
        <is>
          <t>Ms. Tijani Bolanle</t>
        </is>
      </c>
      <c r="R59" s="15">
        <f>IF(AND(I59&gt;0,N59&gt;I59*1.02),"Receipts exceed register contract value: check for duplicate entries, extra plots or ancillary fees",IF(AND(I59=0,N59&gt;0),"Not in client register: contract value unknown",""))</f>
        <v/>
      </c>
    </row>
    <row r="60">
      <c r="A60" s="15" t="inlineStr">
        <is>
          <t>BP-C0056</t>
        </is>
      </c>
      <c r="B60" s="15" t="inlineStr">
        <is>
          <t>Mr Adeuti Olanrewaju Babatunde</t>
        </is>
      </c>
      <c r="C60" s="15" t="inlineStr">
        <is>
          <t>61452614036</t>
        </is>
      </c>
      <c r="D60" s="15" t="inlineStr">
        <is>
          <t>SENT</t>
        </is>
      </c>
      <c r="E60" s="15" t="inlineStr">
        <is>
          <t>Land</t>
        </is>
      </c>
      <c r="F60" s="15" t="inlineStr">
        <is>
          <t>Green City Phase 1 (Lantaba, Ketu-Epe); Land (estate not stated in source); Land: ancillary charges</t>
        </is>
      </c>
      <c r="G60" s="16" t="n">
        <v>45289</v>
      </c>
      <c r="H60" s="16">
        <f>IF(COUNTIF(Sales_Ledger!$H$5:$H$863,A60)=0,"",_xlfn.MINIFS(Sales_Ledger!$B$5:$B$863,Sales_Ledger!$H$5:$H$863,A60))</f>
        <v/>
      </c>
      <c r="I60" s="17">
        <f>SUMIFS(Subscriptions!$I$5:$I$218,Subscriptions!$B$5:$B$218,A60)</f>
        <v/>
      </c>
      <c r="J60" s="17">
        <f>SUMIFS(Subscriptions!$J$5:$J$218,Subscriptions!$B$5:$B$218,A60)</f>
        <v/>
      </c>
      <c r="K60" s="17">
        <f>SUMIFS(Sales_Ledger!$J$5:$J$863,Sales_Ledger!$H$5:$H$863,$A60,Sales_Ledger!$D$5:$D$863,2023)</f>
        <v/>
      </c>
      <c r="L60" s="17">
        <f>SUMIFS(Sales_Ledger!$J$5:$J$863,Sales_Ledger!$H$5:$H$863,$A60,Sales_Ledger!$D$5:$D$863,2024)</f>
        <v/>
      </c>
      <c r="M60" s="17">
        <f>SUMIFS(Sales_Ledger!$J$5:$J$863,Sales_Ledger!$H$5:$H$863,$A60,Sales_Ledger!$D$5:$D$863,2025)</f>
        <v/>
      </c>
      <c r="N60" s="17">
        <f>SUM(K60:M60)</f>
        <v/>
      </c>
      <c r="O60" s="15" t="inlineStr">
        <is>
          <t>Client register + Transaction records</t>
        </is>
      </c>
      <c r="P60" s="15" t="inlineStr">
        <is>
          <t>Bought</t>
        </is>
      </c>
      <c r="Q60" s="15" t="inlineStr">
        <is>
          <t>Ms Abimbola</t>
        </is>
      </c>
      <c r="R60" s="15">
        <f>IF(AND(I60&gt;0,N60&gt;I60*1.02),"Receipts exceed register contract value: check for duplicate entries, extra plots or ancillary fees",IF(AND(I60=0,N60&gt;0),"Not in client register: contract value unknown",""))</f>
        <v/>
      </c>
    </row>
    <row r="61">
      <c r="A61" s="15" t="inlineStr">
        <is>
          <t>BP-C0057</t>
        </is>
      </c>
      <c r="B61" s="15" t="inlineStr">
        <is>
          <t>Mr Oniyide Olalouwa Blessing</t>
        </is>
      </c>
      <c r="C61" s="15" t="n"/>
      <c r="D61" s="15" t="n"/>
      <c r="E61" s="15" t="inlineStr">
        <is>
          <t>Land</t>
        </is>
      </c>
      <c r="F61" s="15" t="inlineStr">
        <is>
          <t>Green City Phase 1 (Lantaba, Ketu-Epe); Land (estate not stated in source)</t>
        </is>
      </c>
      <c r="G61" s="16" t="n"/>
      <c r="H61" s="16">
        <f>IF(COUNTIF(Sales_Ledger!$H$5:$H$863,A61)=0,"",_xlfn.MINIFS(Sales_Ledger!$B$5:$B$863,Sales_Ledger!$H$5:$H$863,A61))</f>
        <v/>
      </c>
      <c r="I61" s="17">
        <f>SUMIFS(Subscriptions!$I$5:$I$218,Subscriptions!$B$5:$B$218,A61)</f>
        <v/>
      </c>
      <c r="J61" s="17">
        <f>SUMIFS(Subscriptions!$J$5:$J$218,Subscriptions!$B$5:$B$218,A61)</f>
        <v/>
      </c>
      <c r="K61" s="17">
        <f>SUMIFS(Sales_Ledger!$J$5:$J$863,Sales_Ledger!$H$5:$H$863,$A61,Sales_Ledger!$D$5:$D$863,2023)</f>
        <v/>
      </c>
      <c r="L61" s="17">
        <f>SUMIFS(Sales_Ledger!$J$5:$J$863,Sales_Ledger!$H$5:$H$863,$A61,Sales_Ledger!$D$5:$D$863,2024)</f>
        <v/>
      </c>
      <c r="M61" s="17">
        <f>SUMIFS(Sales_Ledger!$J$5:$J$863,Sales_Ledger!$H$5:$H$863,$A61,Sales_Ledger!$D$5:$D$863,2025)</f>
        <v/>
      </c>
      <c r="N61" s="17">
        <f>SUM(K61:M61)</f>
        <v/>
      </c>
      <c r="O61" s="15" t="inlineStr">
        <is>
          <t>Transaction records</t>
        </is>
      </c>
      <c r="P61" s="15" t="n"/>
      <c r="Q61" s="15" t="n"/>
      <c r="R61" s="15">
        <f>IF(AND(I61&gt;0,N61&gt;I61*1.02),"Receipts exceed register contract value: check for duplicate entries, extra plots or ancillary fees",IF(AND(I61=0,N61&gt;0),"Not in client register: contract value unknown",""))</f>
        <v/>
      </c>
    </row>
    <row r="62">
      <c r="A62" s="15" t="inlineStr">
        <is>
          <t>BP-C0058</t>
        </is>
      </c>
      <c r="B62" s="15" t="inlineStr">
        <is>
          <t>Mr Oniyide Olaoluwa</t>
        </is>
      </c>
      <c r="C62" s="15" t="inlineStr">
        <is>
          <t>07057815975 08171666974</t>
        </is>
      </c>
      <c r="D62" s="15" t="inlineStr">
        <is>
          <t>SENT</t>
        </is>
      </c>
      <c r="E62" s="15" t="inlineStr">
        <is>
          <t>Land</t>
        </is>
      </c>
      <c r="F62" s="15" t="inlineStr">
        <is>
          <t>Green City Phase 1 (Lantaba, Ketu-Epe); Land (estate not stated in source); Land: ancillary charges</t>
        </is>
      </c>
      <c r="G62" s="16" t="n">
        <v>45289</v>
      </c>
      <c r="H62" s="16">
        <f>IF(COUNTIF(Sales_Ledger!$H$5:$H$863,A62)=0,"",_xlfn.MINIFS(Sales_Ledger!$B$5:$B$863,Sales_Ledger!$H$5:$H$863,A62))</f>
        <v/>
      </c>
      <c r="I62" s="17">
        <f>SUMIFS(Subscriptions!$I$5:$I$218,Subscriptions!$B$5:$B$218,A62)</f>
        <v/>
      </c>
      <c r="J62" s="17">
        <f>SUMIFS(Subscriptions!$J$5:$J$218,Subscriptions!$B$5:$B$218,A62)</f>
        <v/>
      </c>
      <c r="K62" s="17">
        <f>SUMIFS(Sales_Ledger!$J$5:$J$863,Sales_Ledger!$H$5:$H$863,$A62,Sales_Ledger!$D$5:$D$863,2023)</f>
        <v/>
      </c>
      <c r="L62" s="17">
        <f>SUMIFS(Sales_Ledger!$J$5:$J$863,Sales_Ledger!$H$5:$H$863,$A62,Sales_Ledger!$D$5:$D$863,2024)</f>
        <v/>
      </c>
      <c r="M62" s="17">
        <f>SUMIFS(Sales_Ledger!$J$5:$J$863,Sales_Ledger!$H$5:$H$863,$A62,Sales_Ledger!$D$5:$D$863,2025)</f>
        <v/>
      </c>
      <c r="N62" s="17">
        <f>SUM(K62:M62)</f>
        <v/>
      </c>
      <c r="O62" s="15" t="inlineStr">
        <is>
          <t>Client register + Transaction records</t>
        </is>
      </c>
      <c r="P62" s="15" t="inlineStr">
        <is>
          <t>Bought</t>
        </is>
      </c>
      <c r="Q62" s="15" t="inlineStr">
        <is>
          <t>Mr Charles</t>
        </is>
      </c>
      <c r="R62" s="15">
        <f>IF(AND(I62&gt;0,N62&gt;I62*1.02),"Receipts exceed register contract value: check for duplicate entries, extra plots or ancillary fees",IF(AND(I62=0,N62&gt;0),"Not in client register: contract value unknown",""))</f>
        <v/>
      </c>
    </row>
    <row r="63">
      <c r="A63" s="15" t="inlineStr">
        <is>
          <t>BP-C0059</t>
        </is>
      </c>
      <c r="B63" s="15" t="inlineStr">
        <is>
          <t>Elochukwu George</t>
        </is>
      </c>
      <c r="C63" s="15" t="inlineStr">
        <is>
          <t>8132039018</t>
        </is>
      </c>
      <c r="D63" s="15" t="inlineStr">
        <is>
          <t>SENT</t>
        </is>
      </c>
      <c r="E63" s="15" t="inlineStr">
        <is>
          <t>Land</t>
        </is>
      </c>
      <c r="F63" s="15" t="inlineStr">
        <is>
          <t>Green City Phase 1 (Lantaba, Ketu-Epe); Land (estate not stated in source)</t>
        </is>
      </c>
      <c r="G63" s="16" t="n">
        <v>45291</v>
      </c>
      <c r="H63" s="16">
        <f>IF(COUNTIF(Sales_Ledger!$H$5:$H$863,A63)=0,"",_xlfn.MINIFS(Sales_Ledger!$B$5:$B$863,Sales_Ledger!$H$5:$H$863,A63))</f>
        <v/>
      </c>
      <c r="I63" s="17">
        <f>SUMIFS(Subscriptions!$I$5:$I$218,Subscriptions!$B$5:$B$218,A63)</f>
        <v/>
      </c>
      <c r="J63" s="17">
        <f>SUMIFS(Subscriptions!$J$5:$J$218,Subscriptions!$B$5:$B$218,A63)</f>
        <v/>
      </c>
      <c r="K63" s="17">
        <f>SUMIFS(Sales_Ledger!$J$5:$J$863,Sales_Ledger!$H$5:$H$863,$A63,Sales_Ledger!$D$5:$D$863,2023)</f>
        <v/>
      </c>
      <c r="L63" s="17">
        <f>SUMIFS(Sales_Ledger!$J$5:$J$863,Sales_Ledger!$H$5:$H$863,$A63,Sales_Ledger!$D$5:$D$863,2024)</f>
        <v/>
      </c>
      <c r="M63" s="17">
        <f>SUMIFS(Sales_Ledger!$J$5:$J$863,Sales_Ledger!$H$5:$H$863,$A63,Sales_Ledger!$D$5:$D$863,2025)</f>
        <v/>
      </c>
      <c r="N63" s="17">
        <f>SUM(K63:M63)</f>
        <v/>
      </c>
      <c r="O63" s="15" t="inlineStr">
        <is>
          <t>Client register + Transaction records</t>
        </is>
      </c>
      <c r="P63" s="15" t="inlineStr">
        <is>
          <t>Bought</t>
        </is>
      </c>
      <c r="Q63" s="15" t="inlineStr">
        <is>
          <t>Ms Abimbola</t>
        </is>
      </c>
      <c r="R63" s="15">
        <f>IF(AND(I63&gt;0,N63&gt;I63*1.02),"Receipts exceed register contract value: check for duplicate entries, extra plots or ancillary fees",IF(AND(I63=0,N63&gt;0),"Not in client register: contract value unknown",""))</f>
        <v/>
      </c>
    </row>
    <row r="64">
      <c r="A64" s="15" t="inlineStr">
        <is>
          <t>BP-C0060</t>
        </is>
      </c>
      <c r="B64" s="15" t="inlineStr">
        <is>
          <t>Ms Mitchell Jennifer</t>
        </is>
      </c>
      <c r="C64" s="15" t="inlineStr">
        <is>
          <t>13212970320</t>
        </is>
      </c>
      <c r="D64" s="15" t="inlineStr">
        <is>
          <t>jenn.mitchell48@gmail.com</t>
        </is>
      </c>
      <c r="E64" s="15" t="inlineStr">
        <is>
          <t>Land</t>
        </is>
      </c>
      <c r="F64" s="15" t="inlineStr">
        <is>
          <t>Green City Phase 2 (Idobi, Ketu-Epe); Green City Phase 2 (Ketu-Epe); Heritage Garden; Land (estate not stated in source)</t>
        </is>
      </c>
      <c r="G64" s="16" t="n">
        <v>45526</v>
      </c>
      <c r="H64" s="16">
        <f>IF(COUNTIF(Sales_Ledger!$H$5:$H$863,A64)=0,"",_xlfn.MINIFS(Sales_Ledger!$B$5:$B$863,Sales_Ledger!$H$5:$H$863,A64))</f>
        <v/>
      </c>
      <c r="I64" s="17">
        <f>SUMIFS(Subscriptions!$I$5:$I$218,Subscriptions!$B$5:$B$218,A64)</f>
        <v/>
      </c>
      <c r="J64" s="17">
        <f>SUMIFS(Subscriptions!$J$5:$J$218,Subscriptions!$B$5:$B$218,A64)</f>
        <v/>
      </c>
      <c r="K64" s="17">
        <f>SUMIFS(Sales_Ledger!$J$5:$J$863,Sales_Ledger!$H$5:$H$863,$A64,Sales_Ledger!$D$5:$D$863,2023)</f>
        <v/>
      </c>
      <c r="L64" s="17">
        <f>SUMIFS(Sales_Ledger!$J$5:$J$863,Sales_Ledger!$H$5:$H$863,$A64,Sales_Ledger!$D$5:$D$863,2024)</f>
        <v/>
      </c>
      <c r="M64" s="17">
        <f>SUMIFS(Sales_Ledger!$J$5:$J$863,Sales_Ledger!$H$5:$H$863,$A64,Sales_Ledger!$D$5:$D$863,2025)</f>
        <v/>
      </c>
      <c r="N64" s="17">
        <f>SUM(K64:M64)</f>
        <v/>
      </c>
      <c r="O64" s="15" t="inlineStr">
        <is>
          <t>Client register + Transaction records</t>
        </is>
      </c>
      <c r="P64" s="15" t="inlineStr">
        <is>
          <t>Bought</t>
        </is>
      </c>
      <c r="Q64" s="15" t="inlineStr">
        <is>
          <t>Ms Celina</t>
        </is>
      </c>
      <c r="R64" s="15">
        <f>IF(AND(I64&gt;0,N64&gt;I64*1.02),"Receipts exceed register contract value: check for duplicate entries, extra plots or ancillary fees",IF(AND(I64=0,N64&gt;0),"Not in client register: contract value unknown",""))</f>
        <v/>
      </c>
    </row>
    <row r="65">
      <c r="A65" s="15" t="inlineStr">
        <is>
          <t>BP-C0061</t>
        </is>
      </c>
      <c r="B65" s="15" t="inlineStr">
        <is>
          <t>OGUNKOYA EMMANUEL</t>
        </is>
      </c>
      <c r="C65" s="15" t="inlineStr">
        <is>
          <t>8056191865</t>
        </is>
      </c>
      <c r="D65" s="15" t="inlineStr">
        <is>
          <t>nazareth_emmanuel@yahoo.com</t>
        </is>
      </c>
      <c r="E65" s="15" t="inlineStr">
        <is>
          <t>Land</t>
        </is>
      </c>
      <c r="F65" s="15" t="inlineStr">
        <is>
          <t>Green City Phase 2 (Idobi, Ketu-Epe); Green City Phase 2 (Ketu-Epe); Land (estate not stated in source); Land: ancillary charges</t>
        </is>
      </c>
      <c r="G65" s="16" t="n">
        <v>45296</v>
      </c>
      <c r="H65" s="16">
        <f>IF(COUNTIF(Sales_Ledger!$H$5:$H$863,A65)=0,"",_xlfn.MINIFS(Sales_Ledger!$B$5:$B$863,Sales_Ledger!$H$5:$H$863,A65))</f>
        <v/>
      </c>
      <c r="I65" s="17">
        <f>SUMIFS(Subscriptions!$I$5:$I$218,Subscriptions!$B$5:$B$218,A65)</f>
        <v/>
      </c>
      <c r="J65" s="17">
        <f>SUMIFS(Subscriptions!$J$5:$J$218,Subscriptions!$B$5:$B$218,A65)</f>
        <v/>
      </c>
      <c r="K65" s="17">
        <f>SUMIFS(Sales_Ledger!$J$5:$J$863,Sales_Ledger!$H$5:$H$863,$A65,Sales_Ledger!$D$5:$D$863,2023)</f>
        <v/>
      </c>
      <c r="L65" s="17">
        <f>SUMIFS(Sales_Ledger!$J$5:$J$863,Sales_Ledger!$H$5:$H$863,$A65,Sales_Ledger!$D$5:$D$863,2024)</f>
        <v/>
      </c>
      <c r="M65" s="17">
        <f>SUMIFS(Sales_Ledger!$J$5:$J$863,Sales_Ledger!$H$5:$H$863,$A65,Sales_Ledger!$D$5:$D$863,2025)</f>
        <v/>
      </c>
      <c r="N65" s="17">
        <f>SUM(K65:M65)</f>
        <v/>
      </c>
      <c r="O65" s="15" t="inlineStr">
        <is>
          <t>Client register + Transaction records</t>
        </is>
      </c>
      <c r="P65" s="15" t="inlineStr">
        <is>
          <t>bought</t>
        </is>
      </c>
      <c r="Q65" s="15" t="inlineStr">
        <is>
          <t>MD</t>
        </is>
      </c>
      <c r="R65" s="15">
        <f>IF(AND(I65&gt;0,N65&gt;I65*1.02),"Receipts exceed register contract value: check for duplicate entries, extra plots or ancillary fees",IF(AND(I65=0,N65&gt;0),"Not in client register: contract value unknown",""))</f>
        <v/>
      </c>
    </row>
    <row r="66">
      <c r="A66" s="15" t="inlineStr">
        <is>
          <t>BP-C0062</t>
        </is>
      </c>
      <c r="B66" s="15" t="inlineStr">
        <is>
          <t>Mr Agbaje Christopher Usiola</t>
        </is>
      </c>
      <c r="C66" s="15" t="inlineStr">
        <is>
          <t>353879754960</t>
        </is>
      </c>
      <c r="D66" s="15" t="inlineStr">
        <is>
          <t>SENT</t>
        </is>
      </c>
      <c r="E66" s="15" t="inlineStr">
        <is>
          <t>Land</t>
        </is>
      </c>
      <c r="F66" s="15" t="inlineStr">
        <is>
          <t>Green City Phase 1 (Ketu-Epe); Green City Phase 1 (Lantaba, Ketu-Epe)</t>
        </is>
      </c>
      <c r="G66" s="16" t="n">
        <v>45323</v>
      </c>
      <c r="H66" s="16">
        <f>IF(COUNTIF(Sales_Ledger!$H$5:$H$863,A66)=0,"",_xlfn.MINIFS(Sales_Ledger!$B$5:$B$863,Sales_Ledger!$H$5:$H$863,A66))</f>
        <v/>
      </c>
      <c r="I66" s="17">
        <f>SUMIFS(Subscriptions!$I$5:$I$218,Subscriptions!$B$5:$B$218,A66)</f>
        <v/>
      </c>
      <c r="J66" s="17">
        <f>SUMIFS(Subscriptions!$J$5:$J$218,Subscriptions!$B$5:$B$218,A66)</f>
        <v/>
      </c>
      <c r="K66" s="17">
        <f>SUMIFS(Sales_Ledger!$J$5:$J$863,Sales_Ledger!$H$5:$H$863,$A66,Sales_Ledger!$D$5:$D$863,2023)</f>
        <v/>
      </c>
      <c r="L66" s="17">
        <f>SUMIFS(Sales_Ledger!$J$5:$J$863,Sales_Ledger!$H$5:$H$863,$A66,Sales_Ledger!$D$5:$D$863,2024)</f>
        <v/>
      </c>
      <c r="M66" s="17">
        <f>SUMIFS(Sales_Ledger!$J$5:$J$863,Sales_Ledger!$H$5:$H$863,$A66,Sales_Ledger!$D$5:$D$863,2025)</f>
        <v/>
      </c>
      <c r="N66" s="17">
        <f>SUM(K66:M66)</f>
        <v/>
      </c>
      <c r="O66" s="15" t="inlineStr">
        <is>
          <t>Client register + Transaction records</t>
        </is>
      </c>
      <c r="P66" s="15" t="inlineStr">
        <is>
          <t>Bought</t>
        </is>
      </c>
      <c r="Q66" s="15" t="inlineStr">
        <is>
          <t>MD</t>
        </is>
      </c>
      <c r="R66" s="15">
        <f>IF(AND(I66&gt;0,N66&gt;I66*1.02),"Receipts exceed register contract value: check for duplicate entries, extra plots or ancillary fees",IF(AND(I66=0,N66&gt;0),"Not in client register: contract value unknown",""))</f>
        <v/>
      </c>
    </row>
    <row r="67">
      <c r="A67" s="15" t="inlineStr">
        <is>
          <t>BP-C0063</t>
        </is>
      </c>
      <c r="B67" s="15" t="inlineStr">
        <is>
          <t>Omodara Adewale David</t>
        </is>
      </c>
      <c r="C67" s="15" t="inlineStr">
        <is>
          <t>7039678467</t>
        </is>
      </c>
      <c r="D67" s="15" t="inlineStr">
        <is>
          <t>adewaledavid777@gmail.com</t>
        </is>
      </c>
      <c r="E67" s="15" t="inlineStr">
        <is>
          <t>Land</t>
        </is>
      </c>
      <c r="F67" s="15" t="inlineStr">
        <is>
          <t>Green City Phase 2 (Ketu-Epe)</t>
        </is>
      </c>
      <c r="G67" s="16" t="n">
        <v>45326</v>
      </c>
      <c r="H67" s="16">
        <f>IF(COUNTIF(Sales_Ledger!$H$5:$H$863,A67)=0,"",_xlfn.MINIFS(Sales_Ledger!$B$5:$B$863,Sales_Ledger!$H$5:$H$863,A67))</f>
        <v/>
      </c>
      <c r="I67" s="17">
        <f>SUMIFS(Subscriptions!$I$5:$I$218,Subscriptions!$B$5:$B$218,A67)</f>
        <v/>
      </c>
      <c r="J67" s="17">
        <f>SUMIFS(Subscriptions!$J$5:$J$218,Subscriptions!$B$5:$B$218,A67)</f>
        <v/>
      </c>
      <c r="K67" s="17">
        <f>SUMIFS(Sales_Ledger!$J$5:$J$863,Sales_Ledger!$H$5:$H$863,$A67,Sales_Ledger!$D$5:$D$863,2023)</f>
        <v/>
      </c>
      <c r="L67" s="17">
        <f>SUMIFS(Sales_Ledger!$J$5:$J$863,Sales_Ledger!$H$5:$H$863,$A67,Sales_Ledger!$D$5:$D$863,2024)</f>
        <v/>
      </c>
      <c r="M67" s="17">
        <f>SUMIFS(Sales_Ledger!$J$5:$J$863,Sales_Ledger!$H$5:$H$863,$A67,Sales_Ledger!$D$5:$D$863,2025)</f>
        <v/>
      </c>
      <c r="N67" s="17">
        <f>SUM(K67:M67)</f>
        <v/>
      </c>
      <c r="O67" s="15" t="inlineStr">
        <is>
          <t>Client register + Transaction records</t>
        </is>
      </c>
      <c r="P67" s="15" t="inlineStr">
        <is>
          <t>Bought</t>
        </is>
      </c>
      <c r="Q67" s="15" t="inlineStr">
        <is>
          <t>Ms Taiwo Ajibola</t>
        </is>
      </c>
      <c r="R67" s="15">
        <f>IF(AND(I67&gt;0,N67&gt;I67*1.02),"Receipts exceed register contract value: check for duplicate entries, extra plots or ancillary fees",IF(AND(I67=0,N67&gt;0),"Not in client register: contract value unknown",""))</f>
        <v/>
      </c>
    </row>
    <row r="68">
      <c r="A68" s="15" t="inlineStr">
        <is>
          <t>BP-C0064</t>
        </is>
      </c>
      <c r="B68" s="15" t="inlineStr">
        <is>
          <t>Okosun Damian</t>
        </is>
      </c>
      <c r="C68" s="15" t="inlineStr">
        <is>
          <t>8034367176</t>
        </is>
      </c>
      <c r="D68" s="15" t="inlineStr">
        <is>
          <t>damianokosun@gmail.com</t>
        </is>
      </c>
      <c r="E68" s="15" t="inlineStr">
        <is>
          <t>Land</t>
        </is>
      </c>
      <c r="F68" s="15" t="inlineStr">
        <is>
          <t>Green City Phase 2 (Ketu-Epe)</t>
        </is>
      </c>
      <c r="G68" s="16" t="n">
        <v>45327</v>
      </c>
      <c r="H68" s="16">
        <f>IF(COUNTIF(Sales_Ledger!$H$5:$H$863,A68)=0,"",_xlfn.MINIFS(Sales_Ledger!$B$5:$B$863,Sales_Ledger!$H$5:$H$863,A68))</f>
        <v/>
      </c>
      <c r="I68" s="17">
        <f>SUMIFS(Subscriptions!$I$5:$I$218,Subscriptions!$B$5:$B$218,A68)</f>
        <v/>
      </c>
      <c r="J68" s="17">
        <f>SUMIFS(Subscriptions!$J$5:$J$218,Subscriptions!$B$5:$B$218,A68)</f>
        <v/>
      </c>
      <c r="K68" s="17">
        <f>SUMIFS(Sales_Ledger!$J$5:$J$863,Sales_Ledger!$H$5:$H$863,$A68,Sales_Ledger!$D$5:$D$863,2023)</f>
        <v/>
      </c>
      <c r="L68" s="17">
        <f>SUMIFS(Sales_Ledger!$J$5:$J$863,Sales_Ledger!$H$5:$H$863,$A68,Sales_Ledger!$D$5:$D$863,2024)</f>
        <v/>
      </c>
      <c r="M68" s="17">
        <f>SUMIFS(Sales_Ledger!$J$5:$J$863,Sales_Ledger!$H$5:$H$863,$A68,Sales_Ledger!$D$5:$D$863,2025)</f>
        <v/>
      </c>
      <c r="N68" s="17">
        <f>SUM(K68:M68)</f>
        <v/>
      </c>
      <c r="O68" s="15" t="inlineStr">
        <is>
          <t>Client register + Transaction records</t>
        </is>
      </c>
      <c r="P68" s="15" t="inlineStr">
        <is>
          <t>Bought</t>
        </is>
      </c>
      <c r="Q68" s="15" t="inlineStr">
        <is>
          <t>Ms Bolanle</t>
        </is>
      </c>
      <c r="R68" s="15">
        <f>IF(AND(I68&gt;0,N68&gt;I68*1.02),"Receipts exceed register contract value: check for duplicate entries, extra plots or ancillary fees",IF(AND(I68=0,N68&gt;0),"Not in client register: contract value unknown",""))</f>
        <v/>
      </c>
    </row>
    <row r="69">
      <c r="A69" s="15" t="inlineStr">
        <is>
          <t>BP-C0065</t>
        </is>
      </c>
      <c r="B69" s="15" t="inlineStr">
        <is>
          <t>Mr Yusuf Saheed Taiwo</t>
        </is>
      </c>
      <c r="C69" s="15" t="inlineStr">
        <is>
          <t>8102375562</t>
        </is>
      </c>
      <c r="D69" s="15" t="inlineStr">
        <is>
          <t>yusufsaheedtaiwo@gmail.com</t>
        </is>
      </c>
      <c r="E69" s="15" t="inlineStr">
        <is>
          <t>Land</t>
        </is>
      </c>
      <c r="F69" s="15" t="inlineStr">
        <is>
          <t>Green City Phase 2 (Ketu-Epe)</t>
        </is>
      </c>
      <c r="G69" s="16" t="n">
        <v>45328</v>
      </c>
      <c r="H69" s="16">
        <f>IF(COUNTIF(Sales_Ledger!$H$5:$H$863,A69)=0,"",_xlfn.MINIFS(Sales_Ledger!$B$5:$B$863,Sales_Ledger!$H$5:$H$863,A69))</f>
        <v/>
      </c>
      <c r="I69" s="17">
        <f>SUMIFS(Subscriptions!$I$5:$I$218,Subscriptions!$B$5:$B$218,A69)</f>
        <v/>
      </c>
      <c r="J69" s="17">
        <f>SUMIFS(Subscriptions!$J$5:$J$218,Subscriptions!$B$5:$B$218,A69)</f>
        <v/>
      </c>
      <c r="K69" s="17">
        <f>SUMIFS(Sales_Ledger!$J$5:$J$863,Sales_Ledger!$H$5:$H$863,$A69,Sales_Ledger!$D$5:$D$863,2023)</f>
        <v/>
      </c>
      <c r="L69" s="17">
        <f>SUMIFS(Sales_Ledger!$J$5:$J$863,Sales_Ledger!$H$5:$H$863,$A69,Sales_Ledger!$D$5:$D$863,2024)</f>
        <v/>
      </c>
      <c r="M69" s="17">
        <f>SUMIFS(Sales_Ledger!$J$5:$J$863,Sales_Ledger!$H$5:$H$863,$A69,Sales_Ledger!$D$5:$D$863,2025)</f>
        <v/>
      </c>
      <c r="N69" s="17">
        <f>SUM(K69:M69)</f>
        <v/>
      </c>
      <c r="O69" s="15" t="inlineStr">
        <is>
          <t>Client register + Transaction records</t>
        </is>
      </c>
      <c r="P69" s="15" t="inlineStr">
        <is>
          <t>Bought</t>
        </is>
      </c>
      <c r="Q69" s="15" t="inlineStr">
        <is>
          <t>MD</t>
        </is>
      </c>
      <c r="R69" s="15">
        <f>IF(AND(I69&gt;0,N69&gt;I69*1.02),"Receipts exceed register contract value: check for duplicate entries, extra plots or ancillary fees",IF(AND(I69=0,N69&gt;0),"Not in client register: contract value unknown",""))</f>
        <v/>
      </c>
    </row>
    <row r="70">
      <c r="A70" s="15" t="inlineStr">
        <is>
          <t>BP-C0066</t>
        </is>
      </c>
      <c r="B70" s="15" t="inlineStr">
        <is>
          <t>Miss Omosanya Dotun Akeju</t>
        </is>
      </c>
      <c r="C70" s="15" t="inlineStr">
        <is>
          <t>8052506221</t>
        </is>
      </c>
      <c r="D70" s="15" t="inlineStr">
        <is>
          <t>omosanyaakeju4@gmail.com</t>
        </is>
      </c>
      <c r="E70" s="15" t="inlineStr">
        <is>
          <t>Land</t>
        </is>
      </c>
      <c r="F70" s="15" t="inlineStr">
        <is>
          <t>Green City Phase 2 (Ketu-Epe); Green City Phase 3 (Omu-Epe); Land (estate not stated in source); Land: ancillary charges</t>
        </is>
      </c>
      <c r="G70" s="16" t="n">
        <v>45343</v>
      </c>
      <c r="H70" s="16">
        <f>IF(COUNTIF(Sales_Ledger!$H$5:$H$863,A70)=0,"",_xlfn.MINIFS(Sales_Ledger!$B$5:$B$863,Sales_Ledger!$H$5:$H$863,A70))</f>
        <v/>
      </c>
      <c r="I70" s="17">
        <f>SUMIFS(Subscriptions!$I$5:$I$218,Subscriptions!$B$5:$B$218,A70)</f>
        <v/>
      </c>
      <c r="J70" s="17">
        <f>SUMIFS(Subscriptions!$J$5:$J$218,Subscriptions!$B$5:$B$218,A70)</f>
        <v/>
      </c>
      <c r="K70" s="17">
        <f>SUMIFS(Sales_Ledger!$J$5:$J$863,Sales_Ledger!$H$5:$H$863,$A70,Sales_Ledger!$D$5:$D$863,2023)</f>
        <v/>
      </c>
      <c r="L70" s="17">
        <f>SUMIFS(Sales_Ledger!$J$5:$J$863,Sales_Ledger!$H$5:$H$863,$A70,Sales_Ledger!$D$5:$D$863,2024)</f>
        <v/>
      </c>
      <c r="M70" s="17">
        <f>SUMIFS(Sales_Ledger!$J$5:$J$863,Sales_Ledger!$H$5:$H$863,$A70,Sales_Ledger!$D$5:$D$863,2025)</f>
        <v/>
      </c>
      <c r="N70" s="17">
        <f>SUM(K70:M70)</f>
        <v/>
      </c>
      <c r="O70" s="15" t="inlineStr">
        <is>
          <t>Client register + Transaction records</t>
        </is>
      </c>
      <c r="P70" s="15" t="inlineStr">
        <is>
          <t>Bought</t>
        </is>
      </c>
      <c r="Q70" s="15" t="inlineStr">
        <is>
          <t>Ms Bola, Ms Oji Blessing</t>
        </is>
      </c>
      <c r="R70" s="15">
        <f>IF(AND(I70&gt;0,N70&gt;I70*1.02),"Receipts exceed register contract value: check for duplicate entries, extra plots or ancillary fees",IF(AND(I70=0,N70&gt;0),"Not in client register: contract value unknown",""))</f>
        <v/>
      </c>
    </row>
    <row r="71">
      <c r="A71" s="15" t="inlineStr">
        <is>
          <t>BP-C0067</t>
        </is>
      </c>
      <c r="B71" s="15" t="inlineStr">
        <is>
          <t>Mr Odje Theophilus Bamidele</t>
        </is>
      </c>
      <c r="C71" s="15" t="inlineStr">
        <is>
          <t>8164722166</t>
        </is>
      </c>
      <c r="D71" s="15" t="inlineStr">
        <is>
          <t>theoodje@gmail.com</t>
        </is>
      </c>
      <c r="E71" s="15" t="inlineStr">
        <is>
          <t>Land</t>
        </is>
      </c>
      <c r="F71" s="15" t="inlineStr">
        <is>
          <t>Green City Phase 2 (Ketu-Epe)</t>
        </is>
      </c>
      <c r="G71" s="16" t="n">
        <v>45348</v>
      </c>
      <c r="H71" s="16">
        <f>IF(COUNTIF(Sales_Ledger!$H$5:$H$863,A71)=0,"",_xlfn.MINIFS(Sales_Ledger!$B$5:$B$863,Sales_Ledger!$H$5:$H$863,A71))</f>
        <v/>
      </c>
      <c r="I71" s="17">
        <f>SUMIFS(Subscriptions!$I$5:$I$218,Subscriptions!$B$5:$B$218,A71)</f>
        <v/>
      </c>
      <c r="J71" s="17">
        <f>SUMIFS(Subscriptions!$J$5:$J$218,Subscriptions!$B$5:$B$218,A71)</f>
        <v/>
      </c>
      <c r="K71" s="17">
        <f>SUMIFS(Sales_Ledger!$J$5:$J$863,Sales_Ledger!$H$5:$H$863,$A71,Sales_Ledger!$D$5:$D$863,2023)</f>
        <v/>
      </c>
      <c r="L71" s="17">
        <f>SUMIFS(Sales_Ledger!$J$5:$J$863,Sales_Ledger!$H$5:$H$863,$A71,Sales_Ledger!$D$5:$D$863,2024)</f>
        <v/>
      </c>
      <c r="M71" s="17">
        <f>SUMIFS(Sales_Ledger!$J$5:$J$863,Sales_Ledger!$H$5:$H$863,$A71,Sales_Ledger!$D$5:$D$863,2025)</f>
        <v/>
      </c>
      <c r="N71" s="17">
        <f>SUM(K71:M71)</f>
        <v/>
      </c>
      <c r="O71" s="15" t="inlineStr">
        <is>
          <t>Client register + Transaction records</t>
        </is>
      </c>
      <c r="P71" s="15" t="inlineStr">
        <is>
          <t>Bought</t>
        </is>
      </c>
      <c r="Q71" s="15" t="inlineStr">
        <is>
          <t>Mr Praise</t>
        </is>
      </c>
      <c r="R71" s="15">
        <f>IF(AND(I71&gt;0,N71&gt;I71*1.02),"Receipts exceed register contract value: check for duplicate entries, extra plots or ancillary fees",IF(AND(I71=0,N71&gt;0),"Not in client register: contract value unknown",""))</f>
        <v/>
      </c>
    </row>
    <row r="72">
      <c r="A72" s="15" t="inlineStr">
        <is>
          <t>BP-C0068</t>
        </is>
      </c>
      <c r="B72" s="15" t="inlineStr">
        <is>
          <t>Miss Ebhotah Sharon Aisosa</t>
        </is>
      </c>
      <c r="C72" s="15" t="inlineStr">
        <is>
          <t>447947786248</t>
        </is>
      </c>
      <c r="D72" s="15" t="inlineStr">
        <is>
          <t>cadizsharon28@gmail.com</t>
        </is>
      </c>
      <c r="E72" s="15" t="inlineStr">
        <is>
          <t>Land</t>
        </is>
      </c>
      <c r="F72" s="15" t="inlineStr">
        <is>
          <t>Green City Phase 2 (Idobi, Ketu-Epe); Green City Phase 2 (Ketu-Epe); Green City Phase 3 (Omu-Epe); Land (estate not stated in source); Land: ancillary charges</t>
        </is>
      </c>
      <c r="G72" s="16" t="n">
        <v>45350</v>
      </c>
      <c r="H72" s="16">
        <f>IF(COUNTIF(Sales_Ledger!$H$5:$H$863,A72)=0,"",_xlfn.MINIFS(Sales_Ledger!$B$5:$B$863,Sales_Ledger!$H$5:$H$863,A72))</f>
        <v/>
      </c>
      <c r="I72" s="17">
        <f>SUMIFS(Subscriptions!$I$5:$I$218,Subscriptions!$B$5:$B$218,A72)</f>
        <v/>
      </c>
      <c r="J72" s="17">
        <f>SUMIFS(Subscriptions!$J$5:$J$218,Subscriptions!$B$5:$B$218,A72)</f>
        <v/>
      </c>
      <c r="K72" s="17">
        <f>SUMIFS(Sales_Ledger!$J$5:$J$863,Sales_Ledger!$H$5:$H$863,$A72,Sales_Ledger!$D$5:$D$863,2023)</f>
        <v/>
      </c>
      <c r="L72" s="17">
        <f>SUMIFS(Sales_Ledger!$J$5:$J$863,Sales_Ledger!$H$5:$H$863,$A72,Sales_Ledger!$D$5:$D$863,2024)</f>
        <v/>
      </c>
      <c r="M72" s="17">
        <f>SUMIFS(Sales_Ledger!$J$5:$J$863,Sales_Ledger!$H$5:$H$863,$A72,Sales_Ledger!$D$5:$D$863,2025)</f>
        <v/>
      </c>
      <c r="N72" s="17">
        <f>SUM(K72:M72)</f>
        <v/>
      </c>
      <c r="O72" s="15" t="inlineStr">
        <is>
          <t>Client register + Transaction records</t>
        </is>
      </c>
      <c r="P72" s="15" t="inlineStr">
        <is>
          <t>Bought</t>
        </is>
      </c>
      <c r="Q72" s="15" t="inlineStr">
        <is>
          <t>Ms Blessing, Ms blessing</t>
        </is>
      </c>
      <c r="R72" s="15">
        <f>IF(AND(I72&gt;0,N72&gt;I72*1.02),"Receipts exceed register contract value: check for duplicate entries, extra plots or ancillary fees",IF(AND(I72=0,N72&gt;0),"Not in client register: contract value unknown",""))</f>
        <v/>
      </c>
    </row>
    <row r="73">
      <c r="A73" s="15" t="inlineStr">
        <is>
          <t>BP-C0069</t>
        </is>
      </c>
      <c r="B73" s="15" t="inlineStr">
        <is>
          <t>Mr Agbaje Christopher Usiala</t>
        </is>
      </c>
      <c r="C73" s="15" t="n"/>
      <c r="D73" s="15" t="n"/>
      <c r="E73" s="15" t="inlineStr">
        <is>
          <t>Land</t>
        </is>
      </c>
      <c r="F73" s="15" t="inlineStr">
        <is>
          <t>Green City Phase 1 (Lantaba, Ketu-Epe)</t>
        </is>
      </c>
      <c r="G73" s="16" t="n"/>
      <c r="H73" s="16">
        <f>IF(COUNTIF(Sales_Ledger!$H$5:$H$863,A73)=0,"",_xlfn.MINIFS(Sales_Ledger!$B$5:$B$863,Sales_Ledger!$H$5:$H$863,A73))</f>
        <v/>
      </c>
      <c r="I73" s="17">
        <f>SUMIFS(Subscriptions!$I$5:$I$218,Subscriptions!$B$5:$B$218,A73)</f>
        <v/>
      </c>
      <c r="J73" s="17">
        <f>SUMIFS(Subscriptions!$J$5:$J$218,Subscriptions!$B$5:$B$218,A73)</f>
        <v/>
      </c>
      <c r="K73" s="17">
        <f>SUMIFS(Sales_Ledger!$J$5:$J$863,Sales_Ledger!$H$5:$H$863,$A73,Sales_Ledger!$D$5:$D$863,2023)</f>
        <v/>
      </c>
      <c r="L73" s="17">
        <f>SUMIFS(Sales_Ledger!$J$5:$J$863,Sales_Ledger!$H$5:$H$863,$A73,Sales_Ledger!$D$5:$D$863,2024)</f>
        <v/>
      </c>
      <c r="M73" s="17">
        <f>SUMIFS(Sales_Ledger!$J$5:$J$863,Sales_Ledger!$H$5:$H$863,$A73,Sales_Ledger!$D$5:$D$863,2025)</f>
        <v/>
      </c>
      <c r="N73" s="17">
        <f>SUM(K73:M73)</f>
        <v/>
      </c>
      <c r="O73" s="15" t="inlineStr">
        <is>
          <t>Transaction records</t>
        </is>
      </c>
      <c r="P73" s="15" t="n"/>
      <c r="Q73" s="15" t="n"/>
      <c r="R73" s="15">
        <f>IF(AND(I73&gt;0,N73&gt;I73*1.02),"Receipts exceed register contract value: check for duplicate entries, extra plots or ancillary fees",IF(AND(I73=0,N73&gt;0),"Not in client register: contract value unknown",""))</f>
        <v/>
      </c>
    </row>
    <row r="74">
      <c r="A74" s="15" t="inlineStr">
        <is>
          <t>BP-C0070</t>
        </is>
      </c>
      <c r="B74" s="15" t="inlineStr">
        <is>
          <t>Mr Daniel Ayodeji Adeogun</t>
        </is>
      </c>
      <c r="C74" s="15" t="inlineStr">
        <is>
          <t>8143671690</t>
        </is>
      </c>
      <c r="D74" s="15" t="inlineStr">
        <is>
          <t>ayodejimoses96@gmail.com</t>
        </is>
      </c>
      <c r="E74" s="15" t="inlineStr">
        <is>
          <t>Land</t>
        </is>
      </c>
      <c r="F74" s="15" t="inlineStr">
        <is>
          <t>Green City Phase 2 (Ketu-Epe); Land: ancillary charges</t>
        </is>
      </c>
      <c r="G74" s="16" t="n">
        <v>45357</v>
      </c>
      <c r="H74" s="16">
        <f>IF(COUNTIF(Sales_Ledger!$H$5:$H$863,A74)=0,"",_xlfn.MINIFS(Sales_Ledger!$B$5:$B$863,Sales_Ledger!$H$5:$H$863,A74))</f>
        <v/>
      </c>
      <c r="I74" s="17">
        <f>SUMIFS(Subscriptions!$I$5:$I$218,Subscriptions!$B$5:$B$218,A74)</f>
        <v/>
      </c>
      <c r="J74" s="17">
        <f>SUMIFS(Subscriptions!$J$5:$J$218,Subscriptions!$B$5:$B$218,A74)</f>
        <v/>
      </c>
      <c r="K74" s="17">
        <f>SUMIFS(Sales_Ledger!$J$5:$J$863,Sales_Ledger!$H$5:$H$863,$A74,Sales_Ledger!$D$5:$D$863,2023)</f>
        <v/>
      </c>
      <c r="L74" s="17">
        <f>SUMIFS(Sales_Ledger!$J$5:$J$863,Sales_Ledger!$H$5:$H$863,$A74,Sales_Ledger!$D$5:$D$863,2024)</f>
        <v/>
      </c>
      <c r="M74" s="17">
        <f>SUMIFS(Sales_Ledger!$J$5:$J$863,Sales_Ledger!$H$5:$H$863,$A74,Sales_Ledger!$D$5:$D$863,2025)</f>
        <v/>
      </c>
      <c r="N74" s="17">
        <f>SUM(K74:M74)</f>
        <v/>
      </c>
      <c r="O74" s="15" t="inlineStr">
        <is>
          <t>Client register + Transaction records</t>
        </is>
      </c>
      <c r="P74" s="15" t="inlineStr">
        <is>
          <t>Bought</t>
        </is>
      </c>
      <c r="Q74" s="15" t="inlineStr">
        <is>
          <t>Ms Taiwo Ajibola</t>
        </is>
      </c>
      <c r="R74" s="15">
        <f>IF(AND(I74&gt;0,N74&gt;I74*1.02),"Receipts exceed register contract value: check for duplicate entries, extra plots or ancillary fees",IF(AND(I74=0,N74&gt;0),"Not in client register: contract value unknown",""))</f>
        <v/>
      </c>
    </row>
    <row r="75">
      <c r="A75" s="15" t="inlineStr">
        <is>
          <t>BP-C0071</t>
        </is>
      </c>
      <c r="B75" s="15" t="inlineStr">
        <is>
          <t>Miss Oyebola Moyosoreoluwa Boluwatife</t>
        </is>
      </c>
      <c r="C75" s="15" t="inlineStr">
        <is>
          <t>8098338600</t>
        </is>
      </c>
      <c r="D75" s="15" t="inlineStr">
        <is>
          <t>olayinka_oyebola@hotmail.com</t>
        </is>
      </c>
      <c r="E75" s="15" t="inlineStr">
        <is>
          <t>Land</t>
        </is>
      </c>
      <c r="F75" s="15" t="inlineStr">
        <is>
          <t>Green City Phase 2 (Ketu-Epe)</t>
        </is>
      </c>
      <c r="G75" s="16" t="n">
        <v>45359</v>
      </c>
      <c r="H75" s="16">
        <f>IF(COUNTIF(Sales_Ledger!$H$5:$H$863,A75)=0,"",_xlfn.MINIFS(Sales_Ledger!$B$5:$B$863,Sales_Ledger!$H$5:$H$863,A75))</f>
        <v/>
      </c>
      <c r="I75" s="17">
        <f>SUMIFS(Subscriptions!$I$5:$I$218,Subscriptions!$B$5:$B$218,A75)</f>
        <v/>
      </c>
      <c r="J75" s="17">
        <f>SUMIFS(Subscriptions!$J$5:$J$218,Subscriptions!$B$5:$B$218,A75)</f>
        <v/>
      </c>
      <c r="K75" s="17">
        <f>SUMIFS(Sales_Ledger!$J$5:$J$863,Sales_Ledger!$H$5:$H$863,$A75,Sales_Ledger!$D$5:$D$863,2023)</f>
        <v/>
      </c>
      <c r="L75" s="17">
        <f>SUMIFS(Sales_Ledger!$J$5:$J$863,Sales_Ledger!$H$5:$H$863,$A75,Sales_Ledger!$D$5:$D$863,2024)</f>
        <v/>
      </c>
      <c r="M75" s="17">
        <f>SUMIFS(Sales_Ledger!$J$5:$J$863,Sales_Ledger!$H$5:$H$863,$A75,Sales_Ledger!$D$5:$D$863,2025)</f>
        <v/>
      </c>
      <c r="N75" s="17">
        <f>SUM(K75:M75)</f>
        <v/>
      </c>
      <c r="O75" s="15" t="inlineStr">
        <is>
          <t>Client register + Transaction records</t>
        </is>
      </c>
      <c r="P75" s="15" t="inlineStr">
        <is>
          <t>Bought</t>
        </is>
      </c>
      <c r="Q75" s="15" t="inlineStr">
        <is>
          <t>Mr Ayo</t>
        </is>
      </c>
      <c r="R75" s="15">
        <f>IF(AND(I75&gt;0,N75&gt;I75*1.02),"Receipts exceed register contract value: check for duplicate entries, extra plots or ancillary fees",IF(AND(I75=0,N75&gt;0),"Not in client register: contract value unknown",""))</f>
        <v/>
      </c>
    </row>
    <row r="76">
      <c r="A76" s="15" t="inlineStr">
        <is>
          <t>BP-C0072</t>
        </is>
      </c>
      <c r="B76" s="15" t="inlineStr">
        <is>
          <t>Mr Oyebola Ajibola Ayobami</t>
        </is>
      </c>
      <c r="C76" s="15" t="inlineStr">
        <is>
          <t>8098338600</t>
        </is>
      </c>
      <c r="D76" s="15" t="inlineStr">
        <is>
          <t>olayinka_oyebola@hotmail.com</t>
        </is>
      </c>
      <c r="E76" s="15" t="inlineStr">
        <is>
          <t>Land</t>
        </is>
      </c>
      <c r="F76" s="15" t="inlineStr">
        <is>
          <t>Green City Phase 2 (Ketu-Epe); Land: ancillary charges</t>
        </is>
      </c>
      <c r="G76" s="16" t="n">
        <v>45359</v>
      </c>
      <c r="H76" s="16">
        <f>IF(COUNTIF(Sales_Ledger!$H$5:$H$863,A76)=0,"",_xlfn.MINIFS(Sales_Ledger!$B$5:$B$863,Sales_Ledger!$H$5:$H$863,A76))</f>
        <v/>
      </c>
      <c r="I76" s="17">
        <f>SUMIFS(Subscriptions!$I$5:$I$218,Subscriptions!$B$5:$B$218,A76)</f>
        <v/>
      </c>
      <c r="J76" s="17">
        <f>SUMIFS(Subscriptions!$J$5:$J$218,Subscriptions!$B$5:$B$218,A76)</f>
        <v/>
      </c>
      <c r="K76" s="17">
        <f>SUMIFS(Sales_Ledger!$J$5:$J$863,Sales_Ledger!$H$5:$H$863,$A76,Sales_Ledger!$D$5:$D$863,2023)</f>
        <v/>
      </c>
      <c r="L76" s="17">
        <f>SUMIFS(Sales_Ledger!$J$5:$J$863,Sales_Ledger!$H$5:$H$863,$A76,Sales_Ledger!$D$5:$D$863,2024)</f>
        <v/>
      </c>
      <c r="M76" s="17">
        <f>SUMIFS(Sales_Ledger!$J$5:$J$863,Sales_Ledger!$H$5:$H$863,$A76,Sales_Ledger!$D$5:$D$863,2025)</f>
        <v/>
      </c>
      <c r="N76" s="17">
        <f>SUM(K76:M76)</f>
        <v/>
      </c>
      <c r="O76" s="15" t="inlineStr">
        <is>
          <t>Client register + Transaction records</t>
        </is>
      </c>
      <c r="P76" s="15" t="inlineStr">
        <is>
          <t>Bought</t>
        </is>
      </c>
      <c r="Q76" s="15" t="inlineStr">
        <is>
          <t>Mr Ayo</t>
        </is>
      </c>
      <c r="R76" s="15">
        <f>IF(AND(I76&gt;0,N76&gt;I76*1.02),"Receipts exceed register contract value: check for duplicate entries, extra plots or ancillary fees",IF(AND(I76=0,N76&gt;0),"Not in client register: contract value unknown",""))</f>
        <v/>
      </c>
    </row>
    <row r="77">
      <c r="A77" s="15" t="inlineStr">
        <is>
          <t>BP-C0073</t>
        </is>
      </c>
      <c r="B77" s="15" t="inlineStr">
        <is>
          <t>Mr Oyebola Temiloluwa Olayinka</t>
        </is>
      </c>
      <c r="C77" s="15" t="inlineStr">
        <is>
          <t>8098338600</t>
        </is>
      </c>
      <c r="D77" s="15" t="inlineStr">
        <is>
          <t>olayinka_oyebola@hotmail.com</t>
        </is>
      </c>
      <c r="E77" s="15" t="inlineStr">
        <is>
          <t>Land</t>
        </is>
      </c>
      <c r="F77" s="15" t="inlineStr">
        <is>
          <t>Green City Phase 2 (Ketu-Epe)</t>
        </is>
      </c>
      <c r="G77" s="16" t="n">
        <v>45359</v>
      </c>
      <c r="H77" s="16">
        <f>IF(COUNTIF(Sales_Ledger!$H$5:$H$863,A77)=0,"",_xlfn.MINIFS(Sales_Ledger!$B$5:$B$863,Sales_Ledger!$H$5:$H$863,A77))</f>
        <v/>
      </c>
      <c r="I77" s="17">
        <f>SUMIFS(Subscriptions!$I$5:$I$218,Subscriptions!$B$5:$B$218,A77)</f>
        <v/>
      </c>
      <c r="J77" s="17">
        <f>SUMIFS(Subscriptions!$J$5:$J$218,Subscriptions!$B$5:$B$218,A77)</f>
        <v/>
      </c>
      <c r="K77" s="17">
        <f>SUMIFS(Sales_Ledger!$J$5:$J$863,Sales_Ledger!$H$5:$H$863,$A77,Sales_Ledger!$D$5:$D$863,2023)</f>
        <v/>
      </c>
      <c r="L77" s="17">
        <f>SUMIFS(Sales_Ledger!$J$5:$J$863,Sales_Ledger!$H$5:$H$863,$A77,Sales_Ledger!$D$5:$D$863,2024)</f>
        <v/>
      </c>
      <c r="M77" s="17">
        <f>SUMIFS(Sales_Ledger!$J$5:$J$863,Sales_Ledger!$H$5:$H$863,$A77,Sales_Ledger!$D$5:$D$863,2025)</f>
        <v/>
      </c>
      <c r="N77" s="17">
        <f>SUM(K77:M77)</f>
        <v/>
      </c>
      <c r="O77" s="15" t="inlineStr">
        <is>
          <t>Client register + Transaction records</t>
        </is>
      </c>
      <c r="P77" s="15" t="inlineStr">
        <is>
          <t>Bought</t>
        </is>
      </c>
      <c r="Q77" s="15" t="inlineStr">
        <is>
          <t>Mr Ayo</t>
        </is>
      </c>
      <c r="R77" s="15">
        <f>IF(AND(I77&gt;0,N77&gt;I77*1.02),"Receipts exceed register contract value: check for duplicate entries, extra plots or ancillary fees",IF(AND(I77=0,N77&gt;0),"Not in client register: contract value unknown",""))</f>
        <v/>
      </c>
    </row>
    <row r="78">
      <c r="A78" s="15" t="inlineStr">
        <is>
          <t>BP-C0074</t>
        </is>
      </c>
      <c r="B78" s="15" t="inlineStr">
        <is>
          <t>Mrs Oloniluyi Victoria Adetutu Iyabode</t>
        </is>
      </c>
      <c r="C78" s="15" t="inlineStr">
        <is>
          <t>447828073149</t>
        </is>
      </c>
      <c r="D78" s="15" t="inlineStr">
        <is>
          <t>SENT</t>
        </is>
      </c>
      <c r="E78" s="15" t="inlineStr">
        <is>
          <t>Land</t>
        </is>
      </c>
      <c r="F78" s="15" t="inlineStr">
        <is>
          <t>Green City Phase 1 (Lantaba, Ketu-Epe); Land: ancillary charges</t>
        </is>
      </c>
      <c r="G78" s="16" t="n">
        <v>45359</v>
      </c>
      <c r="H78" s="16">
        <f>IF(COUNTIF(Sales_Ledger!$H$5:$H$863,A78)=0,"",_xlfn.MINIFS(Sales_Ledger!$B$5:$B$863,Sales_Ledger!$H$5:$H$863,A78))</f>
        <v/>
      </c>
      <c r="I78" s="17">
        <f>SUMIFS(Subscriptions!$I$5:$I$218,Subscriptions!$B$5:$B$218,A78)</f>
        <v/>
      </c>
      <c r="J78" s="17">
        <f>SUMIFS(Subscriptions!$J$5:$J$218,Subscriptions!$B$5:$B$218,A78)</f>
        <v/>
      </c>
      <c r="K78" s="17">
        <f>SUMIFS(Sales_Ledger!$J$5:$J$863,Sales_Ledger!$H$5:$H$863,$A78,Sales_Ledger!$D$5:$D$863,2023)</f>
        <v/>
      </c>
      <c r="L78" s="17">
        <f>SUMIFS(Sales_Ledger!$J$5:$J$863,Sales_Ledger!$H$5:$H$863,$A78,Sales_Ledger!$D$5:$D$863,2024)</f>
        <v/>
      </c>
      <c r="M78" s="17">
        <f>SUMIFS(Sales_Ledger!$J$5:$J$863,Sales_Ledger!$H$5:$H$863,$A78,Sales_Ledger!$D$5:$D$863,2025)</f>
        <v/>
      </c>
      <c r="N78" s="17">
        <f>SUM(K78:M78)</f>
        <v/>
      </c>
      <c r="O78" s="15" t="inlineStr">
        <is>
          <t>Client register + Transaction records</t>
        </is>
      </c>
      <c r="P78" s="15" t="inlineStr">
        <is>
          <t>Bought</t>
        </is>
      </c>
      <c r="Q78" s="15" t="inlineStr">
        <is>
          <t>MD</t>
        </is>
      </c>
      <c r="R78" s="15">
        <f>IF(AND(I78&gt;0,N78&gt;I78*1.02),"Receipts exceed register contract value: check for duplicate entries, extra plots or ancillary fees",IF(AND(I78=0,N78&gt;0),"Not in client register: contract value unknown",""))</f>
        <v/>
      </c>
    </row>
    <row r="79">
      <c r="A79" s="15" t="inlineStr">
        <is>
          <t>BP-C0075</t>
        </is>
      </c>
      <c r="B79" s="15" t="inlineStr">
        <is>
          <t>Miss Ogidan funmilayo Jumoke</t>
        </is>
      </c>
      <c r="C79" s="15" t="inlineStr">
        <is>
          <t>971543457569</t>
        </is>
      </c>
      <c r="D79" s="15" t="inlineStr">
        <is>
          <t>funmilayojumaika26@gmail.com</t>
        </is>
      </c>
      <c r="E79" s="15" t="inlineStr">
        <is>
          <t>Land</t>
        </is>
      </c>
      <c r="F79" s="15" t="inlineStr">
        <is>
          <t>Green City Phase 2 (Ketu-Epe); Land: ancillary charges</t>
        </is>
      </c>
      <c r="G79" s="16" t="n">
        <v>45360</v>
      </c>
      <c r="H79" s="16">
        <f>IF(COUNTIF(Sales_Ledger!$H$5:$H$863,A79)=0,"",_xlfn.MINIFS(Sales_Ledger!$B$5:$B$863,Sales_Ledger!$H$5:$H$863,A79))</f>
        <v/>
      </c>
      <c r="I79" s="17">
        <f>SUMIFS(Subscriptions!$I$5:$I$218,Subscriptions!$B$5:$B$218,A79)</f>
        <v/>
      </c>
      <c r="J79" s="17">
        <f>SUMIFS(Subscriptions!$J$5:$J$218,Subscriptions!$B$5:$B$218,A79)</f>
        <v/>
      </c>
      <c r="K79" s="17">
        <f>SUMIFS(Sales_Ledger!$J$5:$J$863,Sales_Ledger!$H$5:$H$863,$A79,Sales_Ledger!$D$5:$D$863,2023)</f>
        <v/>
      </c>
      <c r="L79" s="17">
        <f>SUMIFS(Sales_Ledger!$J$5:$J$863,Sales_Ledger!$H$5:$H$863,$A79,Sales_Ledger!$D$5:$D$863,2024)</f>
        <v/>
      </c>
      <c r="M79" s="17">
        <f>SUMIFS(Sales_Ledger!$J$5:$J$863,Sales_Ledger!$H$5:$H$863,$A79,Sales_Ledger!$D$5:$D$863,2025)</f>
        <v/>
      </c>
      <c r="N79" s="17">
        <f>SUM(K79:M79)</f>
        <v/>
      </c>
      <c r="O79" s="15" t="inlineStr">
        <is>
          <t>Client register + Transaction records</t>
        </is>
      </c>
      <c r="P79" s="15" t="inlineStr">
        <is>
          <t>Bought</t>
        </is>
      </c>
      <c r="Q79" s="15" t="inlineStr">
        <is>
          <t>Mr Ogidan Abiodun</t>
        </is>
      </c>
      <c r="R79" s="15">
        <f>IF(AND(I79&gt;0,N79&gt;I79*1.02),"Receipts exceed register contract value: check for duplicate entries, extra plots or ancillary fees",IF(AND(I79=0,N79&gt;0),"Not in client register: contract value unknown",""))</f>
        <v/>
      </c>
    </row>
    <row r="80">
      <c r="A80" s="15" t="inlineStr">
        <is>
          <t>BP-C0076</t>
        </is>
      </c>
      <c r="B80" s="15" t="inlineStr">
        <is>
          <t>Ojo Ayomide Babatunde</t>
        </is>
      </c>
      <c r="C80" s="15" t="inlineStr">
        <is>
          <t>8168964986</t>
        </is>
      </c>
      <c r="D80" s="15" t="inlineStr">
        <is>
          <t>ojobabatunde12@gmail.com</t>
        </is>
      </c>
      <c r="E80" s="15" t="inlineStr">
        <is>
          <t>Land</t>
        </is>
      </c>
      <c r="F80" s="15" t="inlineStr">
        <is>
          <t>Green City Phase 2 (Ketu-Epe); Land: ancillary charges</t>
        </is>
      </c>
      <c r="G80" s="16" t="n">
        <v>45360</v>
      </c>
      <c r="H80" s="16">
        <f>IF(COUNTIF(Sales_Ledger!$H$5:$H$863,A80)=0,"",_xlfn.MINIFS(Sales_Ledger!$B$5:$B$863,Sales_Ledger!$H$5:$H$863,A80))</f>
        <v/>
      </c>
      <c r="I80" s="17">
        <f>SUMIFS(Subscriptions!$I$5:$I$218,Subscriptions!$B$5:$B$218,A80)</f>
        <v/>
      </c>
      <c r="J80" s="17">
        <f>SUMIFS(Subscriptions!$J$5:$J$218,Subscriptions!$B$5:$B$218,A80)</f>
        <v/>
      </c>
      <c r="K80" s="17">
        <f>SUMIFS(Sales_Ledger!$J$5:$J$863,Sales_Ledger!$H$5:$H$863,$A80,Sales_Ledger!$D$5:$D$863,2023)</f>
        <v/>
      </c>
      <c r="L80" s="17">
        <f>SUMIFS(Sales_Ledger!$J$5:$J$863,Sales_Ledger!$H$5:$H$863,$A80,Sales_Ledger!$D$5:$D$863,2024)</f>
        <v/>
      </c>
      <c r="M80" s="17">
        <f>SUMIFS(Sales_Ledger!$J$5:$J$863,Sales_Ledger!$H$5:$H$863,$A80,Sales_Ledger!$D$5:$D$863,2025)</f>
        <v/>
      </c>
      <c r="N80" s="17">
        <f>SUM(K80:M80)</f>
        <v/>
      </c>
      <c r="O80" s="15" t="inlineStr">
        <is>
          <t>Client register + Transaction records</t>
        </is>
      </c>
      <c r="P80" s="15" t="inlineStr">
        <is>
          <t>Bought</t>
        </is>
      </c>
      <c r="Q80" s="15" t="inlineStr">
        <is>
          <t>Ms Olayinka Fasuyi</t>
        </is>
      </c>
      <c r="R80" s="15">
        <f>IF(AND(I80&gt;0,N80&gt;I80*1.02),"Receipts exceed register contract value: check for duplicate entries, extra plots or ancillary fees",IF(AND(I80=0,N80&gt;0),"Not in client register: contract value unknown",""))</f>
        <v/>
      </c>
    </row>
    <row r="81">
      <c r="A81" s="15" t="inlineStr">
        <is>
          <t>BP-C0077</t>
        </is>
      </c>
      <c r="B81" s="15" t="inlineStr">
        <is>
          <t>Mr Uebari Sorbari Godwin</t>
        </is>
      </c>
      <c r="C81" s="15" t="inlineStr">
        <is>
          <t>8103010747</t>
        </is>
      </c>
      <c r="D81" s="15" t="inlineStr">
        <is>
          <t>sorbarigodwin@gmail.com</t>
        </is>
      </c>
      <c r="E81" s="15" t="inlineStr">
        <is>
          <t>Land</t>
        </is>
      </c>
      <c r="F81" s="15" t="inlineStr">
        <is>
          <t>Green City Phase 2 (Ketu-Epe); Green City Phase 3 Extension (Omu-Epe); Land (estate not stated in source)</t>
        </is>
      </c>
      <c r="G81" s="16" t="n">
        <v>45706</v>
      </c>
      <c r="H81" s="16">
        <f>IF(COUNTIF(Sales_Ledger!$H$5:$H$863,A81)=0,"",_xlfn.MINIFS(Sales_Ledger!$B$5:$B$863,Sales_Ledger!$H$5:$H$863,A81))</f>
        <v/>
      </c>
      <c r="I81" s="17">
        <f>SUMIFS(Subscriptions!$I$5:$I$218,Subscriptions!$B$5:$B$218,A81)</f>
        <v/>
      </c>
      <c r="J81" s="17">
        <f>SUMIFS(Subscriptions!$J$5:$J$218,Subscriptions!$B$5:$B$218,A81)</f>
        <v/>
      </c>
      <c r="K81" s="17">
        <f>SUMIFS(Sales_Ledger!$J$5:$J$863,Sales_Ledger!$H$5:$H$863,$A81,Sales_Ledger!$D$5:$D$863,2023)</f>
        <v/>
      </c>
      <c r="L81" s="17">
        <f>SUMIFS(Sales_Ledger!$J$5:$J$863,Sales_Ledger!$H$5:$H$863,$A81,Sales_Ledger!$D$5:$D$863,2024)</f>
        <v/>
      </c>
      <c r="M81" s="17">
        <f>SUMIFS(Sales_Ledger!$J$5:$J$863,Sales_Ledger!$H$5:$H$863,$A81,Sales_Ledger!$D$5:$D$863,2025)</f>
        <v/>
      </c>
      <c r="N81" s="17">
        <f>SUM(K81:M81)</f>
        <v/>
      </c>
      <c r="O81" s="15" t="inlineStr">
        <is>
          <t>Client register + Transaction records</t>
        </is>
      </c>
      <c r="P81" s="15" t="inlineStr">
        <is>
          <t>Bought</t>
        </is>
      </c>
      <c r="Q81" s="15" t="inlineStr">
        <is>
          <t>Ms Elizabeth</t>
        </is>
      </c>
      <c r="R81" s="15">
        <f>IF(AND(I81&gt;0,N81&gt;I81*1.02),"Receipts exceed register contract value: check for duplicate entries, extra plots or ancillary fees",IF(AND(I81=0,N81&gt;0),"Not in client register: contract value unknown",""))</f>
        <v/>
      </c>
    </row>
    <row r="82">
      <c r="A82" s="15" t="inlineStr">
        <is>
          <t>BP-C0078</t>
        </is>
      </c>
      <c r="B82" s="15" t="inlineStr">
        <is>
          <t>Miss Bingham Kendra</t>
        </is>
      </c>
      <c r="C82" s="15" t="inlineStr">
        <is>
          <t>16014151259</t>
        </is>
      </c>
      <c r="D82" s="15" t="inlineStr">
        <is>
          <t>kendrabingham@yhaoo.com</t>
        </is>
      </c>
      <c r="E82" s="15" t="inlineStr">
        <is>
          <t>Land</t>
        </is>
      </c>
      <c r="F82" s="15" t="inlineStr">
        <is>
          <t>Green City Phase 1 (Lantaba, Ketu-Epe); Green City Phase 2 (Ketu-Epe); Land: ancillary charges</t>
        </is>
      </c>
      <c r="G82" s="16" t="n">
        <v>45362</v>
      </c>
      <c r="H82" s="16">
        <f>IF(COUNTIF(Sales_Ledger!$H$5:$H$863,A82)=0,"",_xlfn.MINIFS(Sales_Ledger!$B$5:$B$863,Sales_Ledger!$H$5:$H$863,A82))</f>
        <v/>
      </c>
      <c r="I82" s="17">
        <f>SUMIFS(Subscriptions!$I$5:$I$218,Subscriptions!$B$5:$B$218,A82)</f>
        <v/>
      </c>
      <c r="J82" s="17">
        <f>SUMIFS(Subscriptions!$J$5:$J$218,Subscriptions!$B$5:$B$218,A82)</f>
        <v/>
      </c>
      <c r="K82" s="17">
        <f>SUMIFS(Sales_Ledger!$J$5:$J$863,Sales_Ledger!$H$5:$H$863,$A82,Sales_Ledger!$D$5:$D$863,2023)</f>
        <v/>
      </c>
      <c r="L82" s="17">
        <f>SUMIFS(Sales_Ledger!$J$5:$J$863,Sales_Ledger!$H$5:$H$863,$A82,Sales_Ledger!$D$5:$D$863,2024)</f>
        <v/>
      </c>
      <c r="M82" s="17">
        <f>SUMIFS(Sales_Ledger!$J$5:$J$863,Sales_Ledger!$H$5:$H$863,$A82,Sales_Ledger!$D$5:$D$863,2025)</f>
        <v/>
      </c>
      <c r="N82" s="17">
        <f>SUM(K82:M82)</f>
        <v/>
      </c>
      <c r="O82" s="15" t="inlineStr">
        <is>
          <t>Client register + Transaction records</t>
        </is>
      </c>
      <c r="P82" s="15" t="inlineStr">
        <is>
          <t>Bought</t>
        </is>
      </c>
      <c r="Q82" s="15" t="inlineStr">
        <is>
          <t>Ms Abimbola</t>
        </is>
      </c>
      <c r="R82" s="15">
        <f>IF(AND(I82&gt;0,N82&gt;I82*1.02),"Receipts exceed register contract value: check for duplicate entries, extra plots or ancillary fees",IF(AND(I82=0,N82&gt;0),"Not in client register: contract value unknown",""))</f>
        <v/>
      </c>
    </row>
    <row r="83">
      <c r="A83" s="15" t="inlineStr">
        <is>
          <t>BP-C0079</t>
        </is>
      </c>
      <c r="B83" s="15" t="inlineStr">
        <is>
          <t>Ukachi Florence Oluchi</t>
        </is>
      </c>
      <c r="C83" s="15" t="inlineStr">
        <is>
          <t>8167057304</t>
        </is>
      </c>
      <c r="D83" s="15" t="inlineStr">
        <is>
          <t>florenceukachi0@gmail.com</t>
        </is>
      </c>
      <c r="E83" s="15" t="inlineStr">
        <is>
          <t>Land</t>
        </is>
      </c>
      <c r="F83" s="15" t="inlineStr">
        <is>
          <t>Green City Phase 2 (Ketu-Epe); Land: ancillary charges</t>
        </is>
      </c>
      <c r="G83" s="16" t="n">
        <v>45362</v>
      </c>
      <c r="H83" s="16">
        <f>IF(COUNTIF(Sales_Ledger!$H$5:$H$863,A83)=0,"",_xlfn.MINIFS(Sales_Ledger!$B$5:$B$863,Sales_Ledger!$H$5:$H$863,A83))</f>
        <v/>
      </c>
      <c r="I83" s="17">
        <f>SUMIFS(Subscriptions!$I$5:$I$218,Subscriptions!$B$5:$B$218,A83)</f>
        <v/>
      </c>
      <c r="J83" s="17">
        <f>SUMIFS(Subscriptions!$J$5:$J$218,Subscriptions!$B$5:$B$218,A83)</f>
        <v/>
      </c>
      <c r="K83" s="17">
        <f>SUMIFS(Sales_Ledger!$J$5:$J$863,Sales_Ledger!$H$5:$H$863,$A83,Sales_Ledger!$D$5:$D$863,2023)</f>
        <v/>
      </c>
      <c r="L83" s="17">
        <f>SUMIFS(Sales_Ledger!$J$5:$J$863,Sales_Ledger!$H$5:$H$863,$A83,Sales_Ledger!$D$5:$D$863,2024)</f>
        <v/>
      </c>
      <c r="M83" s="17">
        <f>SUMIFS(Sales_Ledger!$J$5:$J$863,Sales_Ledger!$H$5:$H$863,$A83,Sales_Ledger!$D$5:$D$863,2025)</f>
        <v/>
      </c>
      <c r="N83" s="17">
        <f>SUM(K83:M83)</f>
        <v/>
      </c>
      <c r="O83" s="15" t="inlineStr">
        <is>
          <t>Client register + Transaction records</t>
        </is>
      </c>
      <c r="P83" s="15" t="inlineStr">
        <is>
          <t>Bought</t>
        </is>
      </c>
      <c r="Q83" s="15" t="inlineStr">
        <is>
          <t>Ms Feyi</t>
        </is>
      </c>
      <c r="R83" s="15">
        <f>IF(AND(I83&gt;0,N83&gt;I83*1.02),"Receipts exceed register contract value: check for duplicate entries, extra plots or ancillary fees",IF(AND(I83=0,N83&gt;0),"Not in client register: contract value unknown",""))</f>
        <v/>
      </c>
    </row>
    <row r="84">
      <c r="A84" s="15" t="inlineStr">
        <is>
          <t>BP-C0080</t>
        </is>
      </c>
      <c r="B84" s="15" t="inlineStr">
        <is>
          <t>Dr Ayansola Jeremiah Funso</t>
        </is>
      </c>
      <c r="C84" s="15" t="inlineStr">
        <is>
          <t>8023407834</t>
        </is>
      </c>
      <c r="D84" s="15" t="inlineStr">
        <is>
          <t>funshodunamis2007@gmail.com</t>
        </is>
      </c>
      <c r="E84" s="15" t="inlineStr">
        <is>
          <t>Land</t>
        </is>
      </c>
      <c r="F84" s="15" t="inlineStr">
        <is>
          <t>Green City Phase 2 (Ketu-Epe); Land: ancillary charges</t>
        </is>
      </c>
      <c r="G84" s="16" t="n">
        <v>45363</v>
      </c>
      <c r="H84" s="16">
        <f>IF(COUNTIF(Sales_Ledger!$H$5:$H$863,A84)=0,"",_xlfn.MINIFS(Sales_Ledger!$B$5:$B$863,Sales_Ledger!$H$5:$H$863,A84))</f>
        <v/>
      </c>
      <c r="I84" s="17">
        <f>SUMIFS(Subscriptions!$I$5:$I$218,Subscriptions!$B$5:$B$218,A84)</f>
        <v/>
      </c>
      <c r="J84" s="17">
        <f>SUMIFS(Subscriptions!$J$5:$J$218,Subscriptions!$B$5:$B$218,A84)</f>
        <v/>
      </c>
      <c r="K84" s="17">
        <f>SUMIFS(Sales_Ledger!$J$5:$J$863,Sales_Ledger!$H$5:$H$863,$A84,Sales_Ledger!$D$5:$D$863,2023)</f>
        <v/>
      </c>
      <c r="L84" s="17">
        <f>SUMIFS(Sales_Ledger!$J$5:$J$863,Sales_Ledger!$H$5:$H$863,$A84,Sales_Ledger!$D$5:$D$863,2024)</f>
        <v/>
      </c>
      <c r="M84" s="17">
        <f>SUMIFS(Sales_Ledger!$J$5:$J$863,Sales_Ledger!$H$5:$H$863,$A84,Sales_Ledger!$D$5:$D$863,2025)</f>
        <v/>
      </c>
      <c r="N84" s="17">
        <f>SUM(K84:M84)</f>
        <v/>
      </c>
      <c r="O84" s="15" t="inlineStr">
        <is>
          <t>Client register + Transaction records</t>
        </is>
      </c>
      <c r="P84" s="15" t="inlineStr">
        <is>
          <t>Bought</t>
        </is>
      </c>
      <c r="Q84" s="15" t="inlineStr">
        <is>
          <t>Mr Juwon</t>
        </is>
      </c>
      <c r="R84" s="15">
        <f>IF(AND(I84&gt;0,N84&gt;I84*1.02),"Receipts exceed register contract value: check for duplicate entries, extra plots or ancillary fees",IF(AND(I84=0,N84&gt;0),"Not in client register: contract value unknown",""))</f>
        <v/>
      </c>
    </row>
    <row r="85">
      <c r="A85" s="15" t="inlineStr">
        <is>
          <t>BP-C0081</t>
        </is>
      </c>
      <c r="B85" s="15" t="inlineStr">
        <is>
          <t>Mr Ukachi Godfrey Ndukaku</t>
        </is>
      </c>
      <c r="C85" s="15" t="inlineStr">
        <is>
          <t>8078173804</t>
        </is>
      </c>
      <c r="D85" s="15" t="inlineStr">
        <is>
          <t>bobbyskinnys@gmail.com</t>
        </is>
      </c>
      <c r="E85" s="15" t="inlineStr">
        <is>
          <t>Land</t>
        </is>
      </c>
      <c r="F85" s="15" t="inlineStr">
        <is>
          <t>Green City Phase 2 (Ketu-Epe); Land: ancillary charges</t>
        </is>
      </c>
      <c r="G85" s="16" t="n">
        <v>45363</v>
      </c>
      <c r="H85" s="16">
        <f>IF(COUNTIF(Sales_Ledger!$H$5:$H$863,A85)=0,"",_xlfn.MINIFS(Sales_Ledger!$B$5:$B$863,Sales_Ledger!$H$5:$H$863,A85))</f>
        <v/>
      </c>
      <c r="I85" s="17">
        <f>SUMIFS(Subscriptions!$I$5:$I$218,Subscriptions!$B$5:$B$218,A85)</f>
        <v/>
      </c>
      <c r="J85" s="17">
        <f>SUMIFS(Subscriptions!$J$5:$J$218,Subscriptions!$B$5:$B$218,A85)</f>
        <v/>
      </c>
      <c r="K85" s="17">
        <f>SUMIFS(Sales_Ledger!$J$5:$J$863,Sales_Ledger!$H$5:$H$863,$A85,Sales_Ledger!$D$5:$D$863,2023)</f>
        <v/>
      </c>
      <c r="L85" s="17">
        <f>SUMIFS(Sales_Ledger!$J$5:$J$863,Sales_Ledger!$H$5:$H$863,$A85,Sales_Ledger!$D$5:$D$863,2024)</f>
        <v/>
      </c>
      <c r="M85" s="17">
        <f>SUMIFS(Sales_Ledger!$J$5:$J$863,Sales_Ledger!$H$5:$H$863,$A85,Sales_Ledger!$D$5:$D$863,2025)</f>
        <v/>
      </c>
      <c r="N85" s="17">
        <f>SUM(K85:M85)</f>
        <v/>
      </c>
      <c r="O85" s="15" t="inlineStr">
        <is>
          <t>Client register + Transaction records</t>
        </is>
      </c>
      <c r="P85" s="15" t="inlineStr">
        <is>
          <t>Bought</t>
        </is>
      </c>
      <c r="Q85" s="15" t="inlineStr">
        <is>
          <t>Ms Feyi</t>
        </is>
      </c>
      <c r="R85" s="15">
        <f>IF(AND(I85&gt;0,N85&gt;I85*1.02),"Receipts exceed register contract value: check for duplicate entries, extra plots or ancillary fees",IF(AND(I85=0,N85&gt;0),"Not in client register: contract value unknown",""))</f>
        <v/>
      </c>
    </row>
    <row r="86">
      <c r="A86" s="15" t="inlineStr">
        <is>
          <t>BP-C0082</t>
        </is>
      </c>
      <c r="B86" s="15" t="inlineStr">
        <is>
          <t>Mrs Olarewaju Remilekun Mary</t>
        </is>
      </c>
      <c r="C86" s="15" t="inlineStr">
        <is>
          <t>8031992774</t>
        </is>
      </c>
      <c r="D86" s="15" t="inlineStr">
        <is>
          <t>remzybabie@gmail.com</t>
        </is>
      </c>
      <c r="E86" s="15" t="inlineStr">
        <is>
          <t>Land</t>
        </is>
      </c>
      <c r="F86" s="15" t="inlineStr">
        <is>
          <t>Green City Phase 2 (Ketu-Epe)</t>
        </is>
      </c>
      <c r="G86" s="16" t="n">
        <v>45363</v>
      </c>
      <c r="H86" s="16">
        <f>IF(COUNTIF(Sales_Ledger!$H$5:$H$863,A86)=0,"",_xlfn.MINIFS(Sales_Ledger!$B$5:$B$863,Sales_Ledger!$H$5:$H$863,A86))</f>
        <v/>
      </c>
      <c r="I86" s="17">
        <f>SUMIFS(Subscriptions!$I$5:$I$218,Subscriptions!$B$5:$B$218,A86)</f>
        <v/>
      </c>
      <c r="J86" s="17">
        <f>SUMIFS(Subscriptions!$J$5:$J$218,Subscriptions!$B$5:$B$218,A86)</f>
        <v/>
      </c>
      <c r="K86" s="17">
        <f>SUMIFS(Sales_Ledger!$J$5:$J$863,Sales_Ledger!$H$5:$H$863,$A86,Sales_Ledger!$D$5:$D$863,2023)</f>
        <v/>
      </c>
      <c r="L86" s="17">
        <f>SUMIFS(Sales_Ledger!$J$5:$J$863,Sales_Ledger!$H$5:$H$863,$A86,Sales_Ledger!$D$5:$D$863,2024)</f>
        <v/>
      </c>
      <c r="M86" s="17">
        <f>SUMIFS(Sales_Ledger!$J$5:$J$863,Sales_Ledger!$H$5:$H$863,$A86,Sales_Ledger!$D$5:$D$863,2025)</f>
        <v/>
      </c>
      <c r="N86" s="17">
        <f>SUM(K86:M86)</f>
        <v/>
      </c>
      <c r="O86" s="15" t="inlineStr">
        <is>
          <t>Client register + Transaction records</t>
        </is>
      </c>
      <c r="P86" s="15" t="inlineStr">
        <is>
          <t>Bought</t>
        </is>
      </c>
      <c r="Q86" s="15" t="inlineStr">
        <is>
          <t>Mr Juwon</t>
        </is>
      </c>
      <c r="R86" s="15">
        <f>IF(AND(I86&gt;0,N86&gt;I86*1.02),"Receipts exceed register contract value: check for duplicate entries, extra plots or ancillary fees",IF(AND(I86=0,N86&gt;0),"Not in client register: contract value unknown",""))</f>
        <v/>
      </c>
    </row>
    <row r="87">
      <c r="A87" s="15" t="inlineStr">
        <is>
          <t>BP-C0083</t>
        </is>
      </c>
      <c r="B87" s="15" t="inlineStr">
        <is>
          <t>Mrs Yohanna Victoria</t>
        </is>
      </c>
      <c r="C87" s="15" t="n"/>
      <c r="D87" s="15" t="n"/>
      <c r="E87" s="15" t="inlineStr">
        <is>
          <t>Land</t>
        </is>
      </c>
      <c r="F87" s="15" t="inlineStr">
        <is>
          <t>Green City Phase 1 (Lantaba, Ketu-Epe)</t>
        </is>
      </c>
      <c r="G87" s="16" t="n"/>
      <c r="H87" s="16">
        <f>IF(COUNTIF(Sales_Ledger!$H$5:$H$863,A87)=0,"",_xlfn.MINIFS(Sales_Ledger!$B$5:$B$863,Sales_Ledger!$H$5:$H$863,A87))</f>
        <v/>
      </c>
      <c r="I87" s="17">
        <f>SUMIFS(Subscriptions!$I$5:$I$218,Subscriptions!$B$5:$B$218,A87)</f>
        <v/>
      </c>
      <c r="J87" s="17">
        <f>SUMIFS(Subscriptions!$J$5:$J$218,Subscriptions!$B$5:$B$218,A87)</f>
        <v/>
      </c>
      <c r="K87" s="17">
        <f>SUMIFS(Sales_Ledger!$J$5:$J$863,Sales_Ledger!$H$5:$H$863,$A87,Sales_Ledger!$D$5:$D$863,2023)</f>
        <v/>
      </c>
      <c r="L87" s="17">
        <f>SUMIFS(Sales_Ledger!$J$5:$J$863,Sales_Ledger!$H$5:$H$863,$A87,Sales_Ledger!$D$5:$D$863,2024)</f>
        <v/>
      </c>
      <c r="M87" s="17">
        <f>SUMIFS(Sales_Ledger!$J$5:$J$863,Sales_Ledger!$H$5:$H$863,$A87,Sales_Ledger!$D$5:$D$863,2025)</f>
        <v/>
      </c>
      <c r="N87" s="17">
        <f>SUM(K87:M87)</f>
        <v/>
      </c>
      <c r="O87" s="15" t="inlineStr">
        <is>
          <t>Transaction records</t>
        </is>
      </c>
      <c r="P87" s="15" t="n"/>
      <c r="Q87" s="15" t="n"/>
      <c r="R87" s="15">
        <f>IF(AND(I87&gt;0,N87&gt;I87*1.02),"Receipts exceed register contract value: check for duplicate entries, extra plots or ancillary fees",IF(AND(I87=0,N87&gt;0),"Not in client register: contract value unknown",""))</f>
        <v/>
      </c>
    </row>
    <row r="88">
      <c r="A88" s="15" t="inlineStr">
        <is>
          <t>BP-C0084</t>
        </is>
      </c>
      <c r="B88" s="15" t="inlineStr">
        <is>
          <t>Mr Adegbayemu Ariyo Dennis</t>
        </is>
      </c>
      <c r="C88" s="15" t="inlineStr">
        <is>
          <t>8130147984</t>
        </is>
      </c>
      <c r="D88" s="15" t="inlineStr">
        <is>
          <t>ariyoadegbayemu@gmail.com</t>
        </is>
      </c>
      <c r="E88" s="15" t="inlineStr">
        <is>
          <t>Land</t>
        </is>
      </c>
      <c r="F88" s="15" t="inlineStr">
        <is>
          <t>Green City Phase 2 (Ketu-Epe)</t>
        </is>
      </c>
      <c r="G88" s="16" t="n">
        <v>45376</v>
      </c>
      <c r="H88" s="16">
        <f>IF(COUNTIF(Sales_Ledger!$H$5:$H$863,A88)=0,"",_xlfn.MINIFS(Sales_Ledger!$B$5:$B$863,Sales_Ledger!$H$5:$H$863,A88))</f>
        <v/>
      </c>
      <c r="I88" s="17">
        <f>SUMIFS(Subscriptions!$I$5:$I$218,Subscriptions!$B$5:$B$218,A88)</f>
        <v/>
      </c>
      <c r="J88" s="17">
        <f>SUMIFS(Subscriptions!$J$5:$J$218,Subscriptions!$B$5:$B$218,A88)</f>
        <v/>
      </c>
      <c r="K88" s="17">
        <f>SUMIFS(Sales_Ledger!$J$5:$J$863,Sales_Ledger!$H$5:$H$863,$A88,Sales_Ledger!$D$5:$D$863,2023)</f>
        <v/>
      </c>
      <c r="L88" s="17">
        <f>SUMIFS(Sales_Ledger!$J$5:$J$863,Sales_Ledger!$H$5:$H$863,$A88,Sales_Ledger!$D$5:$D$863,2024)</f>
        <v/>
      </c>
      <c r="M88" s="17">
        <f>SUMIFS(Sales_Ledger!$J$5:$J$863,Sales_Ledger!$H$5:$H$863,$A88,Sales_Ledger!$D$5:$D$863,2025)</f>
        <v/>
      </c>
      <c r="N88" s="17">
        <f>SUM(K88:M88)</f>
        <v/>
      </c>
      <c r="O88" s="15" t="inlineStr">
        <is>
          <t>Client register + Transaction records</t>
        </is>
      </c>
      <c r="P88" s="15" t="inlineStr">
        <is>
          <t>Bought</t>
        </is>
      </c>
      <c r="Q88" s="15" t="inlineStr">
        <is>
          <t>Ms Olayinka Fasuyi</t>
        </is>
      </c>
      <c r="R88" s="15">
        <f>IF(AND(I88&gt;0,N88&gt;I88*1.02),"Receipts exceed register contract value: check for duplicate entries, extra plots or ancillary fees",IF(AND(I88=0,N88&gt;0),"Not in client register: contract value unknown",""))</f>
        <v/>
      </c>
    </row>
    <row r="89">
      <c r="A89" s="15" t="inlineStr">
        <is>
          <t>BP-C0085</t>
        </is>
      </c>
      <c r="B89" s="15" t="inlineStr">
        <is>
          <t>Mr Ayokunu Adegbayemu</t>
        </is>
      </c>
      <c r="C89" s="15" t="n"/>
      <c r="D89" s="15" t="n"/>
      <c r="E89" s="15" t="inlineStr">
        <is>
          <t>Land</t>
        </is>
      </c>
      <c r="F89" s="15" t="inlineStr">
        <is>
          <t>Green City Phase 2 (Ketu-Epe)</t>
        </is>
      </c>
      <c r="G89" s="16" t="n"/>
      <c r="H89" s="16">
        <f>IF(COUNTIF(Sales_Ledger!$H$5:$H$863,A89)=0,"",_xlfn.MINIFS(Sales_Ledger!$B$5:$B$863,Sales_Ledger!$H$5:$H$863,A89))</f>
        <v/>
      </c>
      <c r="I89" s="17">
        <f>SUMIFS(Subscriptions!$I$5:$I$218,Subscriptions!$B$5:$B$218,A89)</f>
        <v/>
      </c>
      <c r="J89" s="17">
        <f>SUMIFS(Subscriptions!$J$5:$J$218,Subscriptions!$B$5:$B$218,A89)</f>
        <v/>
      </c>
      <c r="K89" s="17">
        <f>SUMIFS(Sales_Ledger!$J$5:$J$863,Sales_Ledger!$H$5:$H$863,$A89,Sales_Ledger!$D$5:$D$863,2023)</f>
        <v/>
      </c>
      <c r="L89" s="17">
        <f>SUMIFS(Sales_Ledger!$J$5:$J$863,Sales_Ledger!$H$5:$H$863,$A89,Sales_Ledger!$D$5:$D$863,2024)</f>
        <v/>
      </c>
      <c r="M89" s="17">
        <f>SUMIFS(Sales_Ledger!$J$5:$J$863,Sales_Ledger!$H$5:$H$863,$A89,Sales_Ledger!$D$5:$D$863,2025)</f>
        <v/>
      </c>
      <c r="N89" s="17">
        <f>SUM(K89:M89)</f>
        <v/>
      </c>
      <c r="O89" s="15" t="inlineStr">
        <is>
          <t>Transaction records</t>
        </is>
      </c>
      <c r="P89" s="15" t="n"/>
      <c r="Q89" s="15" t="n"/>
      <c r="R89" s="15">
        <f>IF(AND(I89&gt;0,N89&gt;I89*1.02),"Receipts exceed register contract value: check for duplicate entries, extra plots or ancillary fees",IF(AND(I89=0,N89&gt;0),"Not in client register: contract value unknown",""))</f>
        <v/>
      </c>
    </row>
    <row r="90">
      <c r="A90" s="15" t="inlineStr">
        <is>
          <t>BP-C0086</t>
        </is>
      </c>
      <c r="B90" s="15" t="inlineStr">
        <is>
          <t>Miss Nwobodo Miriam Chioma</t>
        </is>
      </c>
      <c r="C90" s="15" t="inlineStr">
        <is>
          <t>8109706363</t>
        </is>
      </c>
      <c r="D90" s="15" t="inlineStr">
        <is>
          <t>SENT</t>
        </is>
      </c>
      <c r="E90" s="15" t="inlineStr">
        <is>
          <t>Land</t>
        </is>
      </c>
      <c r="F90" s="15" t="inlineStr">
        <is>
          <t>Green City Phase 1 (Lantaba, Ketu-Epe); Land (estate not stated in source)</t>
        </is>
      </c>
      <c r="G90" s="16" t="n">
        <v>45377</v>
      </c>
      <c r="H90" s="16">
        <f>IF(COUNTIF(Sales_Ledger!$H$5:$H$863,A90)=0,"",_xlfn.MINIFS(Sales_Ledger!$B$5:$B$863,Sales_Ledger!$H$5:$H$863,A90))</f>
        <v/>
      </c>
      <c r="I90" s="17">
        <f>SUMIFS(Subscriptions!$I$5:$I$218,Subscriptions!$B$5:$B$218,A90)</f>
        <v/>
      </c>
      <c r="J90" s="17">
        <f>SUMIFS(Subscriptions!$J$5:$J$218,Subscriptions!$B$5:$B$218,A90)</f>
        <v/>
      </c>
      <c r="K90" s="17">
        <f>SUMIFS(Sales_Ledger!$J$5:$J$863,Sales_Ledger!$H$5:$H$863,$A90,Sales_Ledger!$D$5:$D$863,2023)</f>
        <v/>
      </c>
      <c r="L90" s="17">
        <f>SUMIFS(Sales_Ledger!$J$5:$J$863,Sales_Ledger!$H$5:$H$863,$A90,Sales_Ledger!$D$5:$D$863,2024)</f>
        <v/>
      </c>
      <c r="M90" s="17">
        <f>SUMIFS(Sales_Ledger!$J$5:$J$863,Sales_Ledger!$H$5:$H$863,$A90,Sales_Ledger!$D$5:$D$863,2025)</f>
        <v/>
      </c>
      <c r="N90" s="17">
        <f>SUM(K90:M90)</f>
        <v/>
      </c>
      <c r="O90" s="15" t="inlineStr">
        <is>
          <t>Client register + Transaction records</t>
        </is>
      </c>
      <c r="P90" s="15" t="inlineStr">
        <is>
          <t>Bought</t>
        </is>
      </c>
      <c r="Q90" s="15" t="inlineStr">
        <is>
          <t>MD</t>
        </is>
      </c>
      <c r="R90" s="15">
        <f>IF(AND(I90&gt;0,N90&gt;I90*1.02),"Receipts exceed register contract value: check for duplicate entries, extra plots or ancillary fees",IF(AND(I90=0,N90&gt;0),"Not in client register: contract value unknown",""))</f>
        <v/>
      </c>
    </row>
    <row r="91">
      <c r="A91" s="15" t="inlineStr">
        <is>
          <t>BP-C0087</t>
        </is>
      </c>
      <c r="B91" s="15" t="inlineStr">
        <is>
          <t>Mr Okeme Danjuma</t>
        </is>
      </c>
      <c r="C91" s="15" t="inlineStr">
        <is>
          <t>8098482929</t>
        </is>
      </c>
      <c r="D91" s="15" t="inlineStr">
        <is>
          <t>o.christopherd@yahoo.com</t>
        </is>
      </c>
      <c r="E91" s="15" t="inlineStr">
        <is>
          <t>Land</t>
        </is>
      </c>
      <c r="F91" s="15" t="inlineStr">
        <is>
          <t>Green City Phase 2 (Ketu-Epe)</t>
        </is>
      </c>
      <c r="G91" s="16" t="n">
        <v>45385</v>
      </c>
      <c r="H91" s="16">
        <f>IF(COUNTIF(Sales_Ledger!$H$5:$H$863,A91)=0,"",_xlfn.MINIFS(Sales_Ledger!$B$5:$B$863,Sales_Ledger!$H$5:$H$863,A91))</f>
        <v/>
      </c>
      <c r="I91" s="17">
        <f>SUMIFS(Subscriptions!$I$5:$I$218,Subscriptions!$B$5:$B$218,A91)</f>
        <v/>
      </c>
      <c r="J91" s="17">
        <f>SUMIFS(Subscriptions!$J$5:$J$218,Subscriptions!$B$5:$B$218,A91)</f>
        <v/>
      </c>
      <c r="K91" s="17">
        <f>SUMIFS(Sales_Ledger!$J$5:$J$863,Sales_Ledger!$H$5:$H$863,$A91,Sales_Ledger!$D$5:$D$863,2023)</f>
        <v/>
      </c>
      <c r="L91" s="17">
        <f>SUMIFS(Sales_Ledger!$J$5:$J$863,Sales_Ledger!$H$5:$H$863,$A91,Sales_Ledger!$D$5:$D$863,2024)</f>
        <v/>
      </c>
      <c r="M91" s="17">
        <f>SUMIFS(Sales_Ledger!$J$5:$J$863,Sales_Ledger!$H$5:$H$863,$A91,Sales_Ledger!$D$5:$D$863,2025)</f>
        <v/>
      </c>
      <c r="N91" s="17">
        <f>SUM(K91:M91)</f>
        <v/>
      </c>
      <c r="O91" s="15" t="inlineStr">
        <is>
          <t>Client register + Transaction records</t>
        </is>
      </c>
      <c r="P91" s="15" t="inlineStr">
        <is>
          <t>Bought</t>
        </is>
      </c>
      <c r="Q91" s="15" t="inlineStr">
        <is>
          <t>Mr Festus</t>
        </is>
      </c>
      <c r="R91" s="15">
        <f>IF(AND(I91&gt;0,N91&gt;I91*1.02),"Receipts exceed register contract value: check for duplicate entries, extra plots or ancillary fees",IF(AND(I91=0,N91&gt;0),"Not in client register: contract value unknown",""))</f>
        <v/>
      </c>
    </row>
    <row r="92">
      <c r="A92" s="15" t="inlineStr">
        <is>
          <t>BP-C0088</t>
        </is>
      </c>
      <c r="B92" s="15" t="inlineStr">
        <is>
          <t>Mr Komolafe Oluwashola Leonard</t>
        </is>
      </c>
      <c r="C92" s="15" t="inlineStr">
        <is>
          <t>8037704778</t>
        </is>
      </c>
      <c r="D92" s="15" t="inlineStr">
        <is>
          <t>falsonleonard080@gmail.com</t>
        </is>
      </c>
      <c r="E92" s="15" t="inlineStr">
        <is>
          <t>Land</t>
        </is>
      </c>
      <c r="F92" s="15" t="inlineStr">
        <is>
          <t>Green City Phase 2 (Ketu-Epe); Land: ancillary charges</t>
        </is>
      </c>
      <c r="G92" s="16" t="n">
        <v>45391</v>
      </c>
      <c r="H92" s="16">
        <f>IF(COUNTIF(Sales_Ledger!$H$5:$H$863,A92)=0,"",_xlfn.MINIFS(Sales_Ledger!$B$5:$B$863,Sales_Ledger!$H$5:$H$863,A92))</f>
        <v/>
      </c>
      <c r="I92" s="17">
        <f>SUMIFS(Subscriptions!$I$5:$I$218,Subscriptions!$B$5:$B$218,A92)</f>
        <v/>
      </c>
      <c r="J92" s="17">
        <f>SUMIFS(Subscriptions!$J$5:$J$218,Subscriptions!$B$5:$B$218,A92)</f>
        <v/>
      </c>
      <c r="K92" s="17">
        <f>SUMIFS(Sales_Ledger!$J$5:$J$863,Sales_Ledger!$H$5:$H$863,$A92,Sales_Ledger!$D$5:$D$863,2023)</f>
        <v/>
      </c>
      <c r="L92" s="17">
        <f>SUMIFS(Sales_Ledger!$J$5:$J$863,Sales_Ledger!$H$5:$H$863,$A92,Sales_Ledger!$D$5:$D$863,2024)</f>
        <v/>
      </c>
      <c r="M92" s="17">
        <f>SUMIFS(Sales_Ledger!$J$5:$J$863,Sales_Ledger!$H$5:$H$863,$A92,Sales_Ledger!$D$5:$D$863,2025)</f>
        <v/>
      </c>
      <c r="N92" s="17">
        <f>SUM(K92:M92)</f>
        <v/>
      </c>
      <c r="O92" s="15" t="inlineStr">
        <is>
          <t>Client register + Transaction records</t>
        </is>
      </c>
      <c r="P92" s="15" t="inlineStr">
        <is>
          <t>Bought</t>
        </is>
      </c>
      <c r="Q92" s="15" t="inlineStr">
        <is>
          <t>Ms Bolanle</t>
        </is>
      </c>
      <c r="R92" s="15">
        <f>IF(AND(I92&gt;0,N92&gt;I92*1.02),"Receipts exceed register contract value: check for duplicate entries, extra plots or ancillary fees",IF(AND(I92=0,N92&gt;0),"Not in client register: contract value unknown",""))</f>
        <v/>
      </c>
    </row>
    <row r="93">
      <c r="A93" s="15" t="inlineStr">
        <is>
          <t>BP-C0089</t>
        </is>
      </c>
      <c r="B93" s="15" t="inlineStr">
        <is>
          <t>Mr Lawson Oladele Valentino</t>
        </is>
      </c>
      <c r="C93" s="15" t="inlineStr">
        <is>
          <t>8084784807</t>
        </is>
      </c>
      <c r="D93" s="15" t="inlineStr">
        <is>
          <t>silasdele121@gmail.com</t>
        </is>
      </c>
      <c r="E93" s="15" t="inlineStr">
        <is>
          <t>Land</t>
        </is>
      </c>
      <c r="F93" s="15" t="inlineStr">
        <is>
          <t>Green City Phase 2 (Ketu-Epe); Land: ancillary charges</t>
        </is>
      </c>
      <c r="G93" s="16" t="n">
        <v>45398</v>
      </c>
      <c r="H93" s="16">
        <f>IF(COUNTIF(Sales_Ledger!$H$5:$H$863,A93)=0,"",_xlfn.MINIFS(Sales_Ledger!$B$5:$B$863,Sales_Ledger!$H$5:$H$863,A93))</f>
        <v/>
      </c>
      <c r="I93" s="17">
        <f>SUMIFS(Subscriptions!$I$5:$I$218,Subscriptions!$B$5:$B$218,A93)</f>
        <v/>
      </c>
      <c r="J93" s="17">
        <f>SUMIFS(Subscriptions!$J$5:$J$218,Subscriptions!$B$5:$B$218,A93)</f>
        <v/>
      </c>
      <c r="K93" s="17">
        <f>SUMIFS(Sales_Ledger!$J$5:$J$863,Sales_Ledger!$H$5:$H$863,$A93,Sales_Ledger!$D$5:$D$863,2023)</f>
        <v/>
      </c>
      <c r="L93" s="17">
        <f>SUMIFS(Sales_Ledger!$J$5:$J$863,Sales_Ledger!$H$5:$H$863,$A93,Sales_Ledger!$D$5:$D$863,2024)</f>
        <v/>
      </c>
      <c r="M93" s="17">
        <f>SUMIFS(Sales_Ledger!$J$5:$J$863,Sales_Ledger!$H$5:$H$863,$A93,Sales_Ledger!$D$5:$D$863,2025)</f>
        <v/>
      </c>
      <c r="N93" s="17">
        <f>SUM(K93:M93)</f>
        <v/>
      </c>
      <c r="O93" s="15" t="inlineStr">
        <is>
          <t>Client register + Transaction records</t>
        </is>
      </c>
      <c r="P93" s="15" t="inlineStr">
        <is>
          <t>Bought</t>
        </is>
      </c>
      <c r="Q93" s="15" t="inlineStr">
        <is>
          <t>Mr Ayo</t>
        </is>
      </c>
      <c r="R93" s="15">
        <f>IF(AND(I93&gt;0,N93&gt;I93*1.02),"Receipts exceed register contract value: check for duplicate entries, extra plots or ancillary fees",IF(AND(I93=0,N93&gt;0),"Not in client register: contract value unknown",""))</f>
        <v/>
      </c>
    </row>
    <row r="94">
      <c r="A94" s="15" t="inlineStr">
        <is>
          <t>BP-C0090</t>
        </is>
      </c>
      <c r="B94" s="15" t="inlineStr">
        <is>
          <t>Mr Ajiva Lubem Barnabas</t>
        </is>
      </c>
      <c r="C94" s="15" t="inlineStr">
        <is>
          <t>8169064127</t>
        </is>
      </c>
      <c r="D94" s="15" t="inlineStr">
        <is>
          <t>lubemajiva@gmail.com</t>
        </is>
      </c>
      <c r="E94" s="15" t="inlineStr">
        <is>
          <t>Land</t>
        </is>
      </c>
      <c r="F94" s="15" t="inlineStr">
        <is>
          <t>Green City Phase 2 (Idobi, Ketu-Epe); Green City Phase 2 (Ketu-Epe); Land (estate not stated in source); Land: ancillary charges</t>
        </is>
      </c>
      <c r="G94" s="16" t="n">
        <v>45441</v>
      </c>
      <c r="H94" s="16">
        <f>IF(COUNTIF(Sales_Ledger!$H$5:$H$863,A94)=0,"",_xlfn.MINIFS(Sales_Ledger!$B$5:$B$863,Sales_Ledger!$H$5:$H$863,A94))</f>
        <v/>
      </c>
      <c r="I94" s="17">
        <f>SUMIFS(Subscriptions!$I$5:$I$218,Subscriptions!$B$5:$B$218,A94)</f>
        <v/>
      </c>
      <c r="J94" s="17">
        <f>SUMIFS(Subscriptions!$J$5:$J$218,Subscriptions!$B$5:$B$218,A94)</f>
        <v/>
      </c>
      <c r="K94" s="17">
        <f>SUMIFS(Sales_Ledger!$J$5:$J$863,Sales_Ledger!$H$5:$H$863,$A94,Sales_Ledger!$D$5:$D$863,2023)</f>
        <v/>
      </c>
      <c r="L94" s="17">
        <f>SUMIFS(Sales_Ledger!$J$5:$J$863,Sales_Ledger!$H$5:$H$863,$A94,Sales_Ledger!$D$5:$D$863,2024)</f>
        <v/>
      </c>
      <c r="M94" s="17">
        <f>SUMIFS(Sales_Ledger!$J$5:$J$863,Sales_Ledger!$H$5:$H$863,$A94,Sales_Ledger!$D$5:$D$863,2025)</f>
        <v/>
      </c>
      <c r="N94" s="17">
        <f>SUM(K94:M94)</f>
        <v/>
      </c>
      <c r="O94" s="15" t="inlineStr">
        <is>
          <t>Client register + Transaction records</t>
        </is>
      </c>
      <c r="P94" s="15" t="inlineStr">
        <is>
          <t>Bought</t>
        </is>
      </c>
      <c r="Q94" s="15" t="inlineStr">
        <is>
          <t>Ms Olayinka Fasuyi</t>
        </is>
      </c>
      <c r="R94" s="15">
        <f>IF(AND(I94&gt;0,N94&gt;I94*1.02),"Receipts exceed register contract value: check for duplicate entries, extra plots or ancillary fees",IF(AND(I94=0,N94&gt;0),"Not in client register: contract value unknown",""))</f>
        <v/>
      </c>
    </row>
    <row r="95">
      <c r="A95" s="15" t="inlineStr">
        <is>
          <t>BP-C0091</t>
        </is>
      </c>
      <c r="B95" s="15" t="inlineStr">
        <is>
          <t>Mr Ojo Olugbenga Daniel &amp; Mrs Ojo Omolola Oyewunmi</t>
        </is>
      </c>
      <c r="C95" s="15" t="inlineStr">
        <is>
          <t>7721719614</t>
        </is>
      </c>
      <c r="D95" s="15" t="inlineStr">
        <is>
          <t>gbengamce@gmail.com</t>
        </is>
      </c>
      <c r="E95" s="15" t="inlineStr">
        <is>
          <t>Land</t>
        </is>
      </c>
      <c r="F95" s="15" t="inlineStr">
        <is>
          <t>Green City Phase 2 (Idobi, Ketu-Epe); Green City Phase 2 (Ketu-Epe); Land: ancillary charges</t>
        </is>
      </c>
      <c r="G95" s="16" t="n">
        <v>45424</v>
      </c>
      <c r="H95" s="16">
        <f>IF(COUNTIF(Sales_Ledger!$H$5:$H$863,A95)=0,"",_xlfn.MINIFS(Sales_Ledger!$B$5:$B$863,Sales_Ledger!$H$5:$H$863,A95))</f>
        <v/>
      </c>
      <c r="I95" s="17">
        <f>SUMIFS(Subscriptions!$I$5:$I$218,Subscriptions!$B$5:$B$218,A95)</f>
        <v/>
      </c>
      <c r="J95" s="17">
        <f>SUMIFS(Subscriptions!$J$5:$J$218,Subscriptions!$B$5:$B$218,A95)</f>
        <v/>
      </c>
      <c r="K95" s="17">
        <f>SUMIFS(Sales_Ledger!$J$5:$J$863,Sales_Ledger!$H$5:$H$863,$A95,Sales_Ledger!$D$5:$D$863,2023)</f>
        <v/>
      </c>
      <c r="L95" s="17">
        <f>SUMIFS(Sales_Ledger!$J$5:$J$863,Sales_Ledger!$H$5:$H$863,$A95,Sales_Ledger!$D$5:$D$863,2024)</f>
        <v/>
      </c>
      <c r="M95" s="17">
        <f>SUMIFS(Sales_Ledger!$J$5:$J$863,Sales_Ledger!$H$5:$H$863,$A95,Sales_Ledger!$D$5:$D$863,2025)</f>
        <v/>
      </c>
      <c r="N95" s="17">
        <f>SUM(K95:M95)</f>
        <v/>
      </c>
      <c r="O95" s="15" t="inlineStr">
        <is>
          <t>Client register + Transaction records</t>
        </is>
      </c>
      <c r="P95" s="15" t="inlineStr">
        <is>
          <t>Bought</t>
        </is>
      </c>
      <c r="Q95" s="15" t="inlineStr">
        <is>
          <t>Ms Abimbola</t>
        </is>
      </c>
      <c r="R95" s="15">
        <f>IF(AND(I95&gt;0,N95&gt;I95*1.02),"Receipts exceed register contract value: check for duplicate entries, extra plots or ancillary fees",IF(AND(I95=0,N95&gt;0),"Not in client register: contract value unknown",""))</f>
        <v/>
      </c>
    </row>
    <row r="96">
      <c r="A96" s="15" t="inlineStr">
        <is>
          <t>BP-C0092</t>
        </is>
      </c>
      <c r="B96" s="15" t="inlineStr">
        <is>
          <t>Mr Oriakhi Osemudiamen Peter</t>
        </is>
      </c>
      <c r="C96" s="15" t="inlineStr">
        <is>
          <t>7032875683</t>
        </is>
      </c>
      <c r="D96" s="15" t="inlineStr">
        <is>
          <t>osemudiamenoriakhi@gmail.com</t>
        </is>
      </c>
      <c r="E96" s="15" t="inlineStr">
        <is>
          <t>Land</t>
        </is>
      </c>
      <c r="F96" s="15" t="inlineStr">
        <is>
          <t>Green City Phase 2 (Idobi, Ketu-Epe); Green City Phase 2 (Ketu-Epe); Land (estate not stated in source); Land: ancillary charges</t>
        </is>
      </c>
      <c r="G96" s="16" t="n">
        <v>45429</v>
      </c>
      <c r="H96" s="16">
        <f>IF(COUNTIF(Sales_Ledger!$H$5:$H$863,A96)=0,"",_xlfn.MINIFS(Sales_Ledger!$B$5:$B$863,Sales_Ledger!$H$5:$H$863,A96))</f>
        <v/>
      </c>
      <c r="I96" s="17">
        <f>SUMIFS(Subscriptions!$I$5:$I$218,Subscriptions!$B$5:$B$218,A96)</f>
        <v/>
      </c>
      <c r="J96" s="17">
        <f>SUMIFS(Subscriptions!$J$5:$J$218,Subscriptions!$B$5:$B$218,A96)</f>
        <v/>
      </c>
      <c r="K96" s="17">
        <f>SUMIFS(Sales_Ledger!$J$5:$J$863,Sales_Ledger!$H$5:$H$863,$A96,Sales_Ledger!$D$5:$D$863,2023)</f>
        <v/>
      </c>
      <c r="L96" s="17">
        <f>SUMIFS(Sales_Ledger!$J$5:$J$863,Sales_Ledger!$H$5:$H$863,$A96,Sales_Ledger!$D$5:$D$863,2024)</f>
        <v/>
      </c>
      <c r="M96" s="17">
        <f>SUMIFS(Sales_Ledger!$J$5:$J$863,Sales_Ledger!$H$5:$H$863,$A96,Sales_Ledger!$D$5:$D$863,2025)</f>
        <v/>
      </c>
      <c r="N96" s="17">
        <f>SUM(K96:M96)</f>
        <v/>
      </c>
      <c r="O96" s="15" t="inlineStr">
        <is>
          <t>Client register + Transaction records</t>
        </is>
      </c>
      <c r="P96" s="15" t="inlineStr">
        <is>
          <t>Bought</t>
        </is>
      </c>
      <c r="Q96" s="15" t="inlineStr">
        <is>
          <t>Ms Blessing</t>
        </is>
      </c>
      <c r="R96" s="15">
        <f>IF(AND(I96&gt;0,N96&gt;I96*1.02),"Receipts exceed register contract value: check for duplicate entries, extra plots or ancillary fees",IF(AND(I96=0,N96&gt;0),"Not in client register: contract value unknown",""))</f>
        <v/>
      </c>
    </row>
    <row r="97">
      <c r="A97" s="15" t="inlineStr">
        <is>
          <t>BP-C0093</t>
        </is>
      </c>
      <c r="B97" s="15" t="inlineStr">
        <is>
          <t>Mr Okuneye Oluwakayode Oluwaseyi</t>
        </is>
      </c>
      <c r="C97" s="15" t="inlineStr">
        <is>
          <t>8143520076</t>
        </is>
      </c>
      <c r="D97" s="15" t="inlineStr">
        <is>
          <t>okuneyekayode0@gmail.com</t>
        </is>
      </c>
      <c r="E97" s="15" t="inlineStr">
        <is>
          <t>Land</t>
        </is>
      </c>
      <c r="F97" s="15" t="inlineStr">
        <is>
          <t>Green City Phase 2 (Idobi, Ketu-Epe); Green City Phase 2 (Ketu-Epe); Land: ancillary charges</t>
        </is>
      </c>
      <c r="G97" s="16" t="n">
        <v>45433</v>
      </c>
      <c r="H97" s="16">
        <f>IF(COUNTIF(Sales_Ledger!$H$5:$H$863,A97)=0,"",_xlfn.MINIFS(Sales_Ledger!$B$5:$B$863,Sales_Ledger!$H$5:$H$863,A97))</f>
        <v/>
      </c>
      <c r="I97" s="17">
        <f>SUMIFS(Subscriptions!$I$5:$I$218,Subscriptions!$B$5:$B$218,A97)</f>
        <v/>
      </c>
      <c r="J97" s="17">
        <f>SUMIFS(Subscriptions!$J$5:$J$218,Subscriptions!$B$5:$B$218,A97)</f>
        <v/>
      </c>
      <c r="K97" s="17">
        <f>SUMIFS(Sales_Ledger!$J$5:$J$863,Sales_Ledger!$H$5:$H$863,$A97,Sales_Ledger!$D$5:$D$863,2023)</f>
        <v/>
      </c>
      <c r="L97" s="17">
        <f>SUMIFS(Sales_Ledger!$J$5:$J$863,Sales_Ledger!$H$5:$H$863,$A97,Sales_Ledger!$D$5:$D$863,2024)</f>
        <v/>
      </c>
      <c r="M97" s="17">
        <f>SUMIFS(Sales_Ledger!$J$5:$J$863,Sales_Ledger!$H$5:$H$863,$A97,Sales_Ledger!$D$5:$D$863,2025)</f>
        <v/>
      </c>
      <c r="N97" s="17">
        <f>SUM(K97:M97)</f>
        <v/>
      </c>
      <c r="O97" s="15" t="inlineStr">
        <is>
          <t>Client register + Transaction records</t>
        </is>
      </c>
      <c r="P97" s="15" t="inlineStr">
        <is>
          <t>Bought</t>
        </is>
      </c>
      <c r="Q97" s="15" t="inlineStr">
        <is>
          <t>Ms Bolanle</t>
        </is>
      </c>
      <c r="R97" s="15">
        <f>IF(AND(I97&gt;0,N97&gt;I97*1.02),"Receipts exceed register contract value: check for duplicate entries, extra plots or ancillary fees",IF(AND(I97=0,N97&gt;0),"Not in client register: contract value unknown",""))</f>
        <v/>
      </c>
    </row>
    <row r="98">
      <c r="A98" s="15" t="inlineStr">
        <is>
          <t>BP-C0094</t>
        </is>
      </c>
      <c r="B98" s="15" t="inlineStr">
        <is>
          <t>Mr Ajayi Oluwadunsin Babatunde</t>
        </is>
      </c>
      <c r="C98" s="15" t="n"/>
      <c r="D98" s="15" t="n"/>
      <c r="E98" s="15" t="inlineStr">
        <is>
          <t>Land</t>
        </is>
      </c>
      <c r="F98" s="15" t="inlineStr">
        <is>
          <t>Green City Phase 2 (Ketu-Epe)</t>
        </is>
      </c>
      <c r="G98" s="16" t="n"/>
      <c r="H98" s="16">
        <f>IF(COUNTIF(Sales_Ledger!$H$5:$H$863,A98)=0,"",_xlfn.MINIFS(Sales_Ledger!$B$5:$B$863,Sales_Ledger!$H$5:$H$863,A98))</f>
        <v/>
      </c>
      <c r="I98" s="17">
        <f>SUMIFS(Subscriptions!$I$5:$I$218,Subscriptions!$B$5:$B$218,A98)</f>
        <v/>
      </c>
      <c r="J98" s="17">
        <f>SUMIFS(Subscriptions!$J$5:$J$218,Subscriptions!$B$5:$B$218,A98)</f>
        <v/>
      </c>
      <c r="K98" s="17">
        <f>SUMIFS(Sales_Ledger!$J$5:$J$863,Sales_Ledger!$H$5:$H$863,$A98,Sales_Ledger!$D$5:$D$863,2023)</f>
        <v/>
      </c>
      <c r="L98" s="17">
        <f>SUMIFS(Sales_Ledger!$J$5:$J$863,Sales_Ledger!$H$5:$H$863,$A98,Sales_Ledger!$D$5:$D$863,2024)</f>
        <v/>
      </c>
      <c r="M98" s="17">
        <f>SUMIFS(Sales_Ledger!$J$5:$J$863,Sales_Ledger!$H$5:$H$863,$A98,Sales_Ledger!$D$5:$D$863,2025)</f>
        <v/>
      </c>
      <c r="N98" s="17">
        <f>SUM(K98:M98)</f>
        <v/>
      </c>
      <c r="O98" s="15" t="inlineStr">
        <is>
          <t>Transaction records</t>
        </is>
      </c>
      <c r="P98" s="15" t="n"/>
      <c r="Q98" s="15" t="n"/>
      <c r="R98" s="15">
        <f>IF(AND(I98&gt;0,N98&gt;I98*1.02),"Receipts exceed register contract value: check for duplicate entries, extra plots or ancillary fees",IF(AND(I98=0,N98&gt;0),"Not in client register: contract value unknown",""))</f>
        <v/>
      </c>
    </row>
    <row r="99">
      <c r="A99" s="15" t="inlineStr">
        <is>
          <t>BP-C0095</t>
        </is>
      </c>
      <c r="B99" s="15" t="inlineStr">
        <is>
          <t>Miss Ebhotan Sharon Aisosa</t>
        </is>
      </c>
      <c r="C99" s="15" t="n"/>
      <c r="D99" s="15" t="n"/>
      <c r="E99" s="15" t="inlineStr">
        <is>
          <t>Land</t>
        </is>
      </c>
      <c r="F99" s="15" t="inlineStr">
        <is>
          <t>Green City Phase 2 (Ketu-Epe)</t>
        </is>
      </c>
      <c r="G99" s="16" t="n"/>
      <c r="H99" s="16">
        <f>IF(COUNTIF(Sales_Ledger!$H$5:$H$863,A99)=0,"",_xlfn.MINIFS(Sales_Ledger!$B$5:$B$863,Sales_Ledger!$H$5:$H$863,A99))</f>
        <v/>
      </c>
      <c r="I99" s="17">
        <f>SUMIFS(Subscriptions!$I$5:$I$218,Subscriptions!$B$5:$B$218,A99)</f>
        <v/>
      </c>
      <c r="J99" s="17">
        <f>SUMIFS(Subscriptions!$J$5:$J$218,Subscriptions!$B$5:$B$218,A99)</f>
        <v/>
      </c>
      <c r="K99" s="17">
        <f>SUMIFS(Sales_Ledger!$J$5:$J$863,Sales_Ledger!$H$5:$H$863,$A99,Sales_Ledger!$D$5:$D$863,2023)</f>
        <v/>
      </c>
      <c r="L99" s="17">
        <f>SUMIFS(Sales_Ledger!$J$5:$J$863,Sales_Ledger!$H$5:$H$863,$A99,Sales_Ledger!$D$5:$D$863,2024)</f>
        <v/>
      </c>
      <c r="M99" s="17">
        <f>SUMIFS(Sales_Ledger!$J$5:$J$863,Sales_Ledger!$H$5:$H$863,$A99,Sales_Ledger!$D$5:$D$863,2025)</f>
        <v/>
      </c>
      <c r="N99" s="17">
        <f>SUM(K99:M99)</f>
        <v/>
      </c>
      <c r="O99" s="15" t="inlineStr">
        <is>
          <t>Transaction records</t>
        </is>
      </c>
      <c r="P99" s="15" t="n"/>
      <c r="Q99" s="15" t="n"/>
      <c r="R99" s="15">
        <f>IF(AND(I99&gt;0,N99&gt;I99*1.02),"Receipts exceed register contract value: check for duplicate entries, extra plots or ancillary fees",IF(AND(I99=0,N99&gt;0),"Not in client register: contract value unknown",""))</f>
        <v/>
      </c>
    </row>
    <row r="100">
      <c r="A100" s="15" t="inlineStr">
        <is>
          <t>BP-C0096</t>
        </is>
      </c>
      <c r="B100" s="15" t="inlineStr">
        <is>
          <t>Mrs Lawani Opemipo Oluwatobi Lasode</t>
        </is>
      </c>
      <c r="C100" s="15" t="inlineStr">
        <is>
          <t>8168572880</t>
        </is>
      </c>
      <c r="D100" s="15" t="inlineStr">
        <is>
          <t>lasodeo@yahoo.com</t>
        </is>
      </c>
      <c r="E100" s="15" t="inlineStr">
        <is>
          <t>Land</t>
        </is>
      </c>
      <c r="F100" s="15" t="inlineStr">
        <is>
          <t>Green City Phase 2 (Idobi, Ketu-Epe); Green City Phase 2 (Ketu-Epe); Land (estate not stated in source); Land: ancillary charges</t>
        </is>
      </c>
      <c r="G100" s="16" t="n">
        <v>45452</v>
      </c>
      <c r="H100" s="16">
        <f>IF(COUNTIF(Sales_Ledger!$H$5:$H$863,A100)=0,"",_xlfn.MINIFS(Sales_Ledger!$B$5:$B$863,Sales_Ledger!$H$5:$H$863,A100))</f>
        <v/>
      </c>
      <c r="I100" s="17">
        <f>SUMIFS(Subscriptions!$I$5:$I$218,Subscriptions!$B$5:$B$218,A100)</f>
        <v/>
      </c>
      <c r="J100" s="17">
        <f>SUMIFS(Subscriptions!$J$5:$J$218,Subscriptions!$B$5:$B$218,A100)</f>
        <v/>
      </c>
      <c r="K100" s="17">
        <f>SUMIFS(Sales_Ledger!$J$5:$J$863,Sales_Ledger!$H$5:$H$863,$A100,Sales_Ledger!$D$5:$D$863,2023)</f>
        <v/>
      </c>
      <c r="L100" s="17">
        <f>SUMIFS(Sales_Ledger!$J$5:$J$863,Sales_Ledger!$H$5:$H$863,$A100,Sales_Ledger!$D$5:$D$863,2024)</f>
        <v/>
      </c>
      <c r="M100" s="17">
        <f>SUMIFS(Sales_Ledger!$J$5:$J$863,Sales_Ledger!$H$5:$H$863,$A100,Sales_Ledger!$D$5:$D$863,2025)</f>
        <v/>
      </c>
      <c r="N100" s="17">
        <f>SUM(K100:M100)</f>
        <v/>
      </c>
      <c r="O100" s="15" t="inlineStr">
        <is>
          <t>Client register + Transaction records</t>
        </is>
      </c>
      <c r="P100" s="15" t="inlineStr">
        <is>
          <t>Bought</t>
        </is>
      </c>
      <c r="Q100" s="15" t="inlineStr">
        <is>
          <t>Ms Fisayo</t>
        </is>
      </c>
      <c r="R100" s="15">
        <f>IF(AND(I100&gt;0,N100&gt;I100*1.02),"Receipts exceed register contract value: check for duplicate entries, extra plots or ancillary fees",IF(AND(I100=0,N100&gt;0),"Not in client register: contract value unknown",""))</f>
        <v/>
      </c>
    </row>
    <row r="101">
      <c r="A101" s="15" t="inlineStr">
        <is>
          <t>BP-C0097</t>
        </is>
      </c>
      <c r="B101" s="15" t="inlineStr">
        <is>
          <t>Engr Fagbulu Taiwo Olubunmi</t>
        </is>
      </c>
      <c r="C101" s="15" t="inlineStr">
        <is>
          <t>8038180011</t>
        </is>
      </c>
      <c r="D101" s="15" t="inlineStr">
        <is>
          <t>taiwofagbulu@gmail.com</t>
        </is>
      </c>
      <c r="E101" s="15" t="inlineStr">
        <is>
          <t>Land</t>
        </is>
      </c>
      <c r="F101" s="15" t="inlineStr">
        <is>
          <t>Green City Phase 2 (Idobi, Ketu-Epe); Green City Phase 2 (Ketu-Epe); Land (estate not stated in source); Land: ancillary charges</t>
        </is>
      </c>
      <c r="G101" s="16" t="n">
        <v>45454</v>
      </c>
      <c r="H101" s="16">
        <f>IF(COUNTIF(Sales_Ledger!$H$5:$H$863,A101)=0,"",_xlfn.MINIFS(Sales_Ledger!$B$5:$B$863,Sales_Ledger!$H$5:$H$863,A101))</f>
        <v/>
      </c>
      <c r="I101" s="17">
        <f>SUMIFS(Subscriptions!$I$5:$I$218,Subscriptions!$B$5:$B$218,A101)</f>
        <v/>
      </c>
      <c r="J101" s="17">
        <f>SUMIFS(Subscriptions!$J$5:$J$218,Subscriptions!$B$5:$B$218,A101)</f>
        <v/>
      </c>
      <c r="K101" s="17">
        <f>SUMIFS(Sales_Ledger!$J$5:$J$863,Sales_Ledger!$H$5:$H$863,$A101,Sales_Ledger!$D$5:$D$863,2023)</f>
        <v/>
      </c>
      <c r="L101" s="17">
        <f>SUMIFS(Sales_Ledger!$J$5:$J$863,Sales_Ledger!$H$5:$H$863,$A101,Sales_Ledger!$D$5:$D$863,2024)</f>
        <v/>
      </c>
      <c r="M101" s="17">
        <f>SUMIFS(Sales_Ledger!$J$5:$J$863,Sales_Ledger!$H$5:$H$863,$A101,Sales_Ledger!$D$5:$D$863,2025)</f>
        <v/>
      </c>
      <c r="N101" s="17">
        <f>SUM(K101:M101)</f>
        <v/>
      </c>
      <c r="O101" s="15" t="inlineStr">
        <is>
          <t>Client register + Transaction records</t>
        </is>
      </c>
      <c r="P101" s="15" t="inlineStr">
        <is>
          <t>Bought</t>
        </is>
      </c>
      <c r="Q101" s="15" t="inlineStr">
        <is>
          <t>Mr Henry</t>
        </is>
      </c>
      <c r="R101" s="15">
        <f>IF(AND(I101&gt;0,N101&gt;I101*1.02),"Receipts exceed register contract value: check for duplicate entries, extra plots or ancillary fees",IF(AND(I101=0,N101&gt;0),"Not in client register: contract value unknown",""))</f>
        <v/>
      </c>
    </row>
    <row r="102">
      <c r="A102" s="15" t="inlineStr">
        <is>
          <t>BP-C0098</t>
        </is>
      </c>
      <c r="B102" s="15" t="inlineStr">
        <is>
          <t>Mr Alli Ifesinachi Innocent</t>
        </is>
      </c>
      <c r="C102" s="15" t="n"/>
      <c r="D102" s="15" t="n"/>
      <c r="E102" s="15" t="inlineStr">
        <is>
          <t>Land</t>
        </is>
      </c>
      <c r="F102" s="15" t="inlineStr">
        <is>
          <t>Land: ancillary charges</t>
        </is>
      </c>
      <c r="G102" s="16" t="n"/>
      <c r="H102" s="16">
        <f>IF(COUNTIF(Sales_Ledger!$H$5:$H$863,A102)=0,"",_xlfn.MINIFS(Sales_Ledger!$B$5:$B$863,Sales_Ledger!$H$5:$H$863,A102))</f>
        <v/>
      </c>
      <c r="I102" s="17">
        <f>SUMIFS(Subscriptions!$I$5:$I$218,Subscriptions!$B$5:$B$218,A102)</f>
        <v/>
      </c>
      <c r="J102" s="17">
        <f>SUMIFS(Subscriptions!$J$5:$J$218,Subscriptions!$B$5:$B$218,A102)</f>
        <v/>
      </c>
      <c r="K102" s="17">
        <f>SUMIFS(Sales_Ledger!$J$5:$J$863,Sales_Ledger!$H$5:$H$863,$A102,Sales_Ledger!$D$5:$D$863,2023)</f>
        <v/>
      </c>
      <c r="L102" s="17">
        <f>SUMIFS(Sales_Ledger!$J$5:$J$863,Sales_Ledger!$H$5:$H$863,$A102,Sales_Ledger!$D$5:$D$863,2024)</f>
        <v/>
      </c>
      <c r="M102" s="17">
        <f>SUMIFS(Sales_Ledger!$J$5:$J$863,Sales_Ledger!$H$5:$H$863,$A102,Sales_Ledger!$D$5:$D$863,2025)</f>
        <v/>
      </c>
      <c r="N102" s="17">
        <f>SUM(K102:M102)</f>
        <v/>
      </c>
      <c r="O102" s="15" t="inlineStr">
        <is>
          <t>Transaction records</t>
        </is>
      </c>
      <c r="P102" s="15" t="n"/>
      <c r="Q102" s="15" t="n"/>
      <c r="R102" s="15">
        <f>IF(AND(I102&gt;0,N102&gt;I102*1.02),"Receipts exceed register contract value: check for duplicate entries, extra plots or ancillary fees",IF(AND(I102=0,N102&gt;0),"Not in client register: contract value unknown",""))</f>
        <v/>
      </c>
    </row>
    <row r="103">
      <c r="A103" s="15" t="inlineStr">
        <is>
          <t>BP-C0099</t>
        </is>
      </c>
      <c r="B103" s="15" t="inlineStr">
        <is>
          <t>Mr Olatunde Adesua Samuel</t>
        </is>
      </c>
      <c r="C103" s="15" t="inlineStr">
        <is>
          <t>9050625278</t>
        </is>
      </c>
      <c r="D103" s="15" t="inlineStr">
        <is>
          <t>SENT</t>
        </is>
      </c>
      <c r="E103" s="15" t="inlineStr">
        <is>
          <t>Land</t>
        </is>
      </c>
      <c r="F103" s="15" t="inlineStr">
        <is>
          <t>Green City Phase 1 (Lantaba, Ketu-Epe); Land: ancillary charges</t>
        </is>
      </c>
      <c r="G103" s="16" t="n">
        <v>45457</v>
      </c>
      <c r="H103" s="16">
        <f>IF(COUNTIF(Sales_Ledger!$H$5:$H$863,A103)=0,"",_xlfn.MINIFS(Sales_Ledger!$B$5:$B$863,Sales_Ledger!$H$5:$H$863,A103))</f>
        <v/>
      </c>
      <c r="I103" s="17">
        <f>SUMIFS(Subscriptions!$I$5:$I$218,Subscriptions!$B$5:$B$218,A103)</f>
        <v/>
      </c>
      <c r="J103" s="17">
        <f>SUMIFS(Subscriptions!$J$5:$J$218,Subscriptions!$B$5:$B$218,A103)</f>
        <v/>
      </c>
      <c r="K103" s="17">
        <f>SUMIFS(Sales_Ledger!$J$5:$J$863,Sales_Ledger!$H$5:$H$863,$A103,Sales_Ledger!$D$5:$D$863,2023)</f>
        <v/>
      </c>
      <c r="L103" s="17">
        <f>SUMIFS(Sales_Ledger!$J$5:$J$863,Sales_Ledger!$H$5:$H$863,$A103,Sales_Ledger!$D$5:$D$863,2024)</f>
        <v/>
      </c>
      <c r="M103" s="17">
        <f>SUMIFS(Sales_Ledger!$J$5:$J$863,Sales_Ledger!$H$5:$H$863,$A103,Sales_Ledger!$D$5:$D$863,2025)</f>
        <v/>
      </c>
      <c r="N103" s="17">
        <f>SUM(K103:M103)</f>
        <v/>
      </c>
      <c r="O103" s="15" t="inlineStr">
        <is>
          <t>Client register + Transaction records</t>
        </is>
      </c>
      <c r="P103" s="15" t="inlineStr">
        <is>
          <t>Bought</t>
        </is>
      </c>
      <c r="Q103" s="15" t="inlineStr">
        <is>
          <t>Ms Adenike</t>
        </is>
      </c>
      <c r="R103" s="15">
        <f>IF(AND(I103&gt;0,N103&gt;I103*1.02),"Receipts exceed register contract value: check for duplicate entries, extra plots or ancillary fees",IF(AND(I103=0,N103&gt;0),"Not in client register: contract value unknown",""))</f>
        <v/>
      </c>
    </row>
    <row r="104">
      <c r="A104" s="15" t="inlineStr">
        <is>
          <t>BP-C0100</t>
        </is>
      </c>
      <c r="B104" s="15" t="inlineStr">
        <is>
          <t>Mr Braimoh Ayomide Favour</t>
        </is>
      </c>
      <c r="C104" s="15" t="inlineStr">
        <is>
          <t>12566929341</t>
        </is>
      </c>
      <c r="D104" s="15" t="inlineStr">
        <is>
          <t>braimohayomide005@gmail.com</t>
        </is>
      </c>
      <c r="E104" s="15" t="inlineStr">
        <is>
          <t>Land</t>
        </is>
      </c>
      <c r="F104" s="15" t="inlineStr">
        <is>
          <t>Green City Phase 2 (Idobi, Ketu-Epe); Green City Phase 2 (Ketu-Epe); Land (estate not stated in source); Land: ancillary charges</t>
        </is>
      </c>
      <c r="G104" s="16" t="n">
        <v>45458</v>
      </c>
      <c r="H104" s="16">
        <f>IF(COUNTIF(Sales_Ledger!$H$5:$H$863,A104)=0,"",_xlfn.MINIFS(Sales_Ledger!$B$5:$B$863,Sales_Ledger!$H$5:$H$863,A104))</f>
        <v/>
      </c>
      <c r="I104" s="17">
        <f>SUMIFS(Subscriptions!$I$5:$I$218,Subscriptions!$B$5:$B$218,A104)</f>
        <v/>
      </c>
      <c r="J104" s="17">
        <f>SUMIFS(Subscriptions!$J$5:$J$218,Subscriptions!$B$5:$B$218,A104)</f>
        <v/>
      </c>
      <c r="K104" s="17">
        <f>SUMIFS(Sales_Ledger!$J$5:$J$863,Sales_Ledger!$H$5:$H$863,$A104,Sales_Ledger!$D$5:$D$863,2023)</f>
        <v/>
      </c>
      <c r="L104" s="17">
        <f>SUMIFS(Sales_Ledger!$J$5:$J$863,Sales_Ledger!$H$5:$H$863,$A104,Sales_Ledger!$D$5:$D$863,2024)</f>
        <v/>
      </c>
      <c r="M104" s="17">
        <f>SUMIFS(Sales_Ledger!$J$5:$J$863,Sales_Ledger!$H$5:$H$863,$A104,Sales_Ledger!$D$5:$D$863,2025)</f>
        <v/>
      </c>
      <c r="N104" s="17">
        <f>SUM(K104:M104)</f>
        <v/>
      </c>
      <c r="O104" s="15" t="inlineStr">
        <is>
          <t>Client register + Transaction records</t>
        </is>
      </c>
      <c r="P104" s="15" t="inlineStr">
        <is>
          <t>Bought</t>
        </is>
      </c>
      <c r="Q104" s="15" t="inlineStr">
        <is>
          <t>Ms Mayowa</t>
        </is>
      </c>
      <c r="R104" s="15">
        <f>IF(AND(I104&gt;0,N104&gt;I104*1.02),"Receipts exceed register contract value: check for duplicate entries, extra plots or ancillary fees",IF(AND(I104=0,N104&gt;0),"Not in client register: contract value unknown",""))</f>
        <v/>
      </c>
    </row>
    <row r="105">
      <c r="A105" s="15" t="inlineStr">
        <is>
          <t>BP-C0101</t>
        </is>
      </c>
      <c r="B105" s="15" t="inlineStr">
        <is>
          <t>Miss Ojochegbe Success Danjuma</t>
        </is>
      </c>
      <c r="C105" s="15" t="n"/>
      <c r="D105" s="15" t="n"/>
      <c r="E105" s="15" t="inlineStr">
        <is>
          <t>Land</t>
        </is>
      </c>
      <c r="F105" s="15" t="inlineStr">
        <is>
          <t>Land: ancillary charges</t>
        </is>
      </c>
      <c r="G105" s="16" t="n"/>
      <c r="H105" s="16">
        <f>IF(COUNTIF(Sales_Ledger!$H$5:$H$863,A105)=0,"",_xlfn.MINIFS(Sales_Ledger!$B$5:$B$863,Sales_Ledger!$H$5:$H$863,A105))</f>
        <v/>
      </c>
      <c r="I105" s="17">
        <f>SUMIFS(Subscriptions!$I$5:$I$218,Subscriptions!$B$5:$B$218,A105)</f>
        <v/>
      </c>
      <c r="J105" s="17">
        <f>SUMIFS(Subscriptions!$J$5:$J$218,Subscriptions!$B$5:$B$218,A105)</f>
        <v/>
      </c>
      <c r="K105" s="17">
        <f>SUMIFS(Sales_Ledger!$J$5:$J$863,Sales_Ledger!$H$5:$H$863,$A105,Sales_Ledger!$D$5:$D$863,2023)</f>
        <v/>
      </c>
      <c r="L105" s="17">
        <f>SUMIFS(Sales_Ledger!$J$5:$J$863,Sales_Ledger!$H$5:$H$863,$A105,Sales_Ledger!$D$5:$D$863,2024)</f>
        <v/>
      </c>
      <c r="M105" s="17">
        <f>SUMIFS(Sales_Ledger!$J$5:$J$863,Sales_Ledger!$H$5:$H$863,$A105,Sales_Ledger!$D$5:$D$863,2025)</f>
        <v/>
      </c>
      <c r="N105" s="17">
        <f>SUM(K105:M105)</f>
        <v/>
      </c>
      <c r="O105" s="15" t="inlineStr">
        <is>
          <t>Transaction records</t>
        </is>
      </c>
      <c r="P105" s="15" t="n"/>
      <c r="Q105" s="15" t="n"/>
      <c r="R105" s="15">
        <f>IF(AND(I105&gt;0,N105&gt;I105*1.02),"Receipts exceed register contract value: check for duplicate entries, extra plots or ancillary fees",IF(AND(I105=0,N105&gt;0),"Not in client register: contract value unknown",""))</f>
        <v/>
      </c>
    </row>
    <row r="106">
      <c r="A106" s="15" t="inlineStr">
        <is>
          <t>BP-C0102</t>
        </is>
      </c>
      <c r="B106" s="15" t="inlineStr">
        <is>
          <t>Miss Odeyemi Testimony Patricia</t>
        </is>
      </c>
      <c r="C106" s="15" t="inlineStr">
        <is>
          <t>2247048557</t>
        </is>
      </c>
      <c r="D106" s="15" t="inlineStr">
        <is>
          <t>testimonyodeyemi@yahoo.com</t>
        </is>
      </c>
      <c r="E106" s="15" t="inlineStr">
        <is>
          <t>Land</t>
        </is>
      </c>
      <c r="F106" s="15" t="inlineStr">
        <is>
          <t>Green City Phase 2 (Ketu-Epe)</t>
        </is>
      </c>
      <c r="G106" s="16" t="n">
        <v>45464</v>
      </c>
      <c r="H106" s="16">
        <f>IF(COUNTIF(Sales_Ledger!$H$5:$H$863,A106)=0,"",_xlfn.MINIFS(Sales_Ledger!$B$5:$B$863,Sales_Ledger!$H$5:$H$863,A106))</f>
        <v/>
      </c>
      <c r="I106" s="17">
        <f>SUMIFS(Subscriptions!$I$5:$I$218,Subscriptions!$B$5:$B$218,A106)</f>
        <v/>
      </c>
      <c r="J106" s="17">
        <f>SUMIFS(Subscriptions!$J$5:$J$218,Subscriptions!$B$5:$B$218,A106)</f>
        <v/>
      </c>
      <c r="K106" s="17">
        <f>SUMIFS(Sales_Ledger!$J$5:$J$863,Sales_Ledger!$H$5:$H$863,$A106,Sales_Ledger!$D$5:$D$863,2023)</f>
        <v/>
      </c>
      <c r="L106" s="17">
        <f>SUMIFS(Sales_Ledger!$J$5:$J$863,Sales_Ledger!$H$5:$H$863,$A106,Sales_Ledger!$D$5:$D$863,2024)</f>
        <v/>
      </c>
      <c r="M106" s="17">
        <f>SUMIFS(Sales_Ledger!$J$5:$J$863,Sales_Ledger!$H$5:$H$863,$A106,Sales_Ledger!$D$5:$D$863,2025)</f>
        <v/>
      </c>
      <c r="N106" s="17">
        <f>SUM(K106:M106)</f>
        <v/>
      </c>
      <c r="O106" s="15" t="inlineStr">
        <is>
          <t>Client register + Transaction records</t>
        </is>
      </c>
      <c r="P106" s="15" t="inlineStr">
        <is>
          <t>Paying</t>
        </is>
      </c>
      <c r="Q106" s="15" t="inlineStr">
        <is>
          <t>Ms Abimbola</t>
        </is>
      </c>
      <c r="R106" s="15">
        <f>IF(AND(I106&gt;0,N106&gt;I106*1.02),"Receipts exceed register contract value: check for duplicate entries, extra plots or ancillary fees",IF(AND(I106=0,N106&gt;0),"Not in client register: contract value unknown",""))</f>
        <v/>
      </c>
    </row>
    <row r="107">
      <c r="A107" s="15" t="inlineStr">
        <is>
          <t>BP-C0103</t>
        </is>
      </c>
      <c r="B107" s="15" t="inlineStr">
        <is>
          <t>Miss Danjuma Ojotule Faith</t>
        </is>
      </c>
      <c r="C107" s="15" t="inlineStr">
        <is>
          <t>8098482929</t>
        </is>
      </c>
      <c r="D107" s="15" t="inlineStr">
        <is>
          <t>o.christopherd@yahoo.com</t>
        </is>
      </c>
      <c r="E107" s="15" t="inlineStr">
        <is>
          <t>Land</t>
        </is>
      </c>
      <c r="F107" s="15" t="inlineStr">
        <is>
          <t>Green City Phase 2 (Idobi, Ketu-Epe); Green City Phase 2 (Ketu-Epe); Land (estate not stated in source)</t>
        </is>
      </c>
      <c r="G107" s="16" t="n">
        <v>45465</v>
      </c>
      <c r="H107" s="16">
        <f>IF(COUNTIF(Sales_Ledger!$H$5:$H$863,A107)=0,"",_xlfn.MINIFS(Sales_Ledger!$B$5:$B$863,Sales_Ledger!$H$5:$H$863,A107))</f>
        <v/>
      </c>
      <c r="I107" s="17">
        <f>SUMIFS(Subscriptions!$I$5:$I$218,Subscriptions!$B$5:$B$218,A107)</f>
        <v/>
      </c>
      <c r="J107" s="17">
        <f>SUMIFS(Subscriptions!$J$5:$J$218,Subscriptions!$B$5:$B$218,A107)</f>
        <v/>
      </c>
      <c r="K107" s="17">
        <f>SUMIFS(Sales_Ledger!$J$5:$J$863,Sales_Ledger!$H$5:$H$863,$A107,Sales_Ledger!$D$5:$D$863,2023)</f>
        <v/>
      </c>
      <c r="L107" s="17">
        <f>SUMIFS(Sales_Ledger!$J$5:$J$863,Sales_Ledger!$H$5:$H$863,$A107,Sales_Ledger!$D$5:$D$863,2024)</f>
        <v/>
      </c>
      <c r="M107" s="17">
        <f>SUMIFS(Sales_Ledger!$J$5:$J$863,Sales_Ledger!$H$5:$H$863,$A107,Sales_Ledger!$D$5:$D$863,2025)</f>
        <v/>
      </c>
      <c r="N107" s="17">
        <f>SUM(K107:M107)</f>
        <v/>
      </c>
      <c r="O107" s="15" t="inlineStr">
        <is>
          <t>Client register + Transaction records</t>
        </is>
      </c>
      <c r="P107" s="15" t="inlineStr">
        <is>
          <t>REFUND</t>
        </is>
      </c>
      <c r="Q107" s="15" t="inlineStr">
        <is>
          <t>Mr Festus</t>
        </is>
      </c>
      <c r="R107" s="15">
        <f>IF(AND(I107&gt;0,N107&gt;I107*1.02),"Receipts exceed register contract value: check for duplicate entries, extra plots or ancillary fees",IF(AND(I107=0,N107&gt;0),"Not in client register: contract value unknown",""))</f>
        <v/>
      </c>
    </row>
    <row r="108">
      <c r="A108" s="15" t="inlineStr">
        <is>
          <t>BP-C0104</t>
        </is>
      </c>
      <c r="B108" s="15" t="inlineStr">
        <is>
          <t>Mr Abiodun Olasunkanmi Enoch</t>
        </is>
      </c>
      <c r="C108" s="15" t="inlineStr">
        <is>
          <t>7025874226</t>
        </is>
      </c>
      <c r="D108" s="15" t="inlineStr">
        <is>
          <t>heskay1234@gmail.com</t>
        </is>
      </c>
      <c r="E108" s="15" t="inlineStr">
        <is>
          <t>Land</t>
        </is>
      </c>
      <c r="F108" s="15" t="inlineStr">
        <is>
          <t>Green City Phase 2 (Ketu-Epe)</t>
        </is>
      </c>
      <c r="G108" s="16" t="n">
        <v>45468</v>
      </c>
      <c r="H108" s="16">
        <f>IF(COUNTIF(Sales_Ledger!$H$5:$H$863,A108)=0,"",_xlfn.MINIFS(Sales_Ledger!$B$5:$B$863,Sales_Ledger!$H$5:$H$863,A108))</f>
        <v/>
      </c>
      <c r="I108" s="17">
        <f>SUMIFS(Subscriptions!$I$5:$I$218,Subscriptions!$B$5:$B$218,A108)</f>
        <v/>
      </c>
      <c r="J108" s="17">
        <f>SUMIFS(Subscriptions!$J$5:$J$218,Subscriptions!$B$5:$B$218,A108)</f>
        <v/>
      </c>
      <c r="K108" s="17">
        <f>SUMIFS(Sales_Ledger!$J$5:$J$863,Sales_Ledger!$H$5:$H$863,$A108,Sales_Ledger!$D$5:$D$863,2023)</f>
        <v/>
      </c>
      <c r="L108" s="17">
        <f>SUMIFS(Sales_Ledger!$J$5:$J$863,Sales_Ledger!$H$5:$H$863,$A108,Sales_Ledger!$D$5:$D$863,2024)</f>
        <v/>
      </c>
      <c r="M108" s="17">
        <f>SUMIFS(Sales_Ledger!$J$5:$J$863,Sales_Ledger!$H$5:$H$863,$A108,Sales_Ledger!$D$5:$D$863,2025)</f>
        <v/>
      </c>
      <c r="N108" s="17">
        <f>SUM(K108:M108)</f>
        <v/>
      </c>
      <c r="O108" s="15" t="inlineStr">
        <is>
          <t>Client register + Transaction records</t>
        </is>
      </c>
      <c r="P108" s="15" t="inlineStr">
        <is>
          <t>Paying</t>
        </is>
      </c>
      <c r="Q108" s="15" t="inlineStr">
        <is>
          <t>Ms Abimbola</t>
        </is>
      </c>
      <c r="R108" s="15">
        <f>IF(AND(I108&gt;0,N108&gt;I108*1.02),"Receipts exceed register contract value: check for duplicate entries, extra plots or ancillary fees",IF(AND(I108=0,N108&gt;0),"Not in client register: contract value unknown",""))</f>
        <v/>
      </c>
    </row>
    <row r="109">
      <c r="A109" s="15" t="inlineStr">
        <is>
          <t>BP-C0105</t>
        </is>
      </c>
      <c r="B109" s="15" t="inlineStr">
        <is>
          <t>Mr Omodara Addewale</t>
        </is>
      </c>
      <c r="C109" s="15" t="n"/>
      <c r="D109" s="15" t="n"/>
      <c r="E109" s="15" t="inlineStr">
        <is>
          <t>Land</t>
        </is>
      </c>
      <c r="F109" s="15" t="inlineStr">
        <is>
          <t>Land: ancillary charges</t>
        </is>
      </c>
      <c r="G109" s="16" t="n"/>
      <c r="H109" s="16">
        <f>IF(COUNTIF(Sales_Ledger!$H$5:$H$863,A109)=0,"",_xlfn.MINIFS(Sales_Ledger!$B$5:$B$863,Sales_Ledger!$H$5:$H$863,A109))</f>
        <v/>
      </c>
      <c r="I109" s="17">
        <f>SUMIFS(Subscriptions!$I$5:$I$218,Subscriptions!$B$5:$B$218,A109)</f>
        <v/>
      </c>
      <c r="J109" s="17">
        <f>SUMIFS(Subscriptions!$J$5:$J$218,Subscriptions!$B$5:$B$218,A109)</f>
        <v/>
      </c>
      <c r="K109" s="17">
        <f>SUMIFS(Sales_Ledger!$J$5:$J$863,Sales_Ledger!$H$5:$H$863,$A109,Sales_Ledger!$D$5:$D$863,2023)</f>
        <v/>
      </c>
      <c r="L109" s="17">
        <f>SUMIFS(Sales_Ledger!$J$5:$J$863,Sales_Ledger!$H$5:$H$863,$A109,Sales_Ledger!$D$5:$D$863,2024)</f>
        <v/>
      </c>
      <c r="M109" s="17">
        <f>SUMIFS(Sales_Ledger!$J$5:$J$863,Sales_Ledger!$H$5:$H$863,$A109,Sales_Ledger!$D$5:$D$863,2025)</f>
        <v/>
      </c>
      <c r="N109" s="17">
        <f>SUM(K109:M109)</f>
        <v/>
      </c>
      <c r="O109" s="15" t="inlineStr">
        <is>
          <t>Transaction records</t>
        </is>
      </c>
      <c r="P109" s="15" t="n"/>
      <c r="Q109" s="15" t="n"/>
      <c r="R109" s="15">
        <f>IF(AND(I109&gt;0,N109&gt;I109*1.02),"Receipts exceed register contract value: check for duplicate entries, extra plots or ancillary fees",IF(AND(I109=0,N109&gt;0),"Not in client register: contract value unknown",""))</f>
        <v/>
      </c>
    </row>
    <row r="110">
      <c r="A110" s="15" t="inlineStr">
        <is>
          <t>BP-C0106</t>
        </is>
      </c>
      <c r="B110" s="15" t="inlineStr">
        <is>
          <t>Mr Adebowale Pelumi Joseph</t>
        </is>
      </c>
      <c r="C110" s="15" t="n"/>
      <c r="D110" s="15" t="n"/>
      <c r="E110" s="15" t="inlineStr">
        <is>
          <t>Land</t>
        </is>
      </c>
      <c r="F110" s="15" t="inlineStr">
        <is>
          <t>Land: ancillary charges</t>
        </is>
      </c>
      <c r="G110" s="16" t="n"/>
      <c r="H110" s="16">
        <f>IF(COUNTIF(Sales_Ledger!$H$5:$H$863,A110)=0,"",_xlfn.MINIFS(Sales_Ledger!$B$5:$B$863,Sales_Ledger!$H$5:$H$863,A110))</f>
        <v/>
      </c>
      <c r="I110" s="17">
        <f>SUMIFS(Subscriptions!$I$5:$I$218,Subscriptions!$B$5:$B$218,A110)</f>
        <v/>
      </c>
      <c r="J110" s="17">
        <f>SUMIFS(Subscriptions!$J$5:$J$218,Subscriptions!$B$5:$B$218,A110)</f>
        <v/>
      </c>
      <c r="K110" s="17">
        <f>SUMIFS(Sales_Ledger!$J$5:$J$863,Sales_Ledger!$H$5:$H$863,$A110,Sales_Ledger!$D$5:$D$863,2023)</f>
        <v/>
      </c>
      <c r="L110" s="17">
        <f>SUMIFS(Sales_Ledger!$J$5:$J$863,Sales_Ledger!$H$5:$H$863,$A110,Sales_Ledger!$D$5:$D$863,2024)</f>
        <v/>
      </c>
      <c r="M110" s="17">
        <f>SUMIFS(Sales_Ledger!$J$5:$J$863,Sales_Ledger!$H$5:$H$863,$A110,Sales_Ledger!$D$5:$D$863,2025)</f>
        <v/>
      </c>
      <c r="N110" s="17">
        <f>SUM(K110:M110)</f>
        <v/>
      </c>
      <c r="O110" s="15" t="inlineStr">
        <is>
          <t>Transaction records</t>
        </is>
      </c>
      <c r="P110" s="15" t="n"/>
      <c r="Q110" s="15" t="n"/>
      <c r="R110" s="15">
        <f>IF(AND(I110&gt;0,N110&gt;I110*1.02),"Receipts exceed register contract value: check for duplicate entries, extra plots or ancillary fees",IF(AND(I110=0,N110&gt;0),"Not in client register: contract value unknown",""))</f>
        <v/>
      </c>
    </row>
    <row r="111">
      <c r="A111" s="15" t="inlineStr">
        <is>
          <t>BP-C0107</t>
        </is>
      </c>
      <c r="B111" s="15" t="inlineStr">
        <is>
          <t>Mr Salaudeen Baqi Boladale</t>
        </is>
      </c>
      <c r="C111" s="15" t="inlineStr">
        <is>
          <t>9090499577</t>
        </is>
      </c>
      <c r="D111" s="15" t="inlineStr">
        <is>
          <t>salaudeenbakkey777@gmail.com</t>
        </is>
      </c>
      <c r="E111" s="15" t="inlineStr">
        <is>
          <t>Land</t>
        </is>
      </c>
      <c r="F111" s="15" t="inlineStr">
        <is>
          <t>Heritage Garden</t>
        </is>
      </c>
      <c r="G111" s="16" t="n">
        <v>45482</v>
      </c>
      <c r="H111" s="16">
        <f>IF(COUNTIF(Sales_Ledger!$H$5:$H$863,A111)=0,"",_xlfn.MINIFS(Sales_Ledger!$B$5:$B$863,Sales_Ledger!$H$5:$H$863,A111))</f>
        <v/>
      </c>
      <c r="I111" s="17">
        <f>SUMIFS(Subscriptions!$I$5:$I$218,Subscriptions!$B$5:$B$218,A111)</f>
        <v/>
      </c>
      <c r="J111" s="17">
        <f>SUMIFS(Subscriptions!$J$5:$J$218,Subscriptions!$B$5:$B$218,A111)</f>
        <v/>
      </c>
      <c r="K111" s="17">
        <f>SUMIFS(Sales_Ledger!$J$5:$J$863,Sales_Ledger!$H$5:$H$863,$A111,Sales_Ledger!$D$5:$D$863,2023)</f>
        <v/>
      </c>
      <c r="L111" s="17">
        <f>SUMIFS(Sales_Ledger!$J$5:$J$863,Sales_Ledger!$H$5:$H$863,$A111,Sales_Ledger!$D$5:$D$863,2024)</f>
        <v/>
      </c>
      <c r="M111" s="17">
        <f>SUMIFS(Sales_Ledger!$J$5:$J$863,Sales_Ledger!$H$5:$H$863,$A111,Sales_Ledger!$D$5:$D$863,2025)</f>
        <v/>
      </c>
      <c r="N111" s="17">
        <f>SUM(K111:M111)</f>
        <v/>
      </c>
      <c r="O111" s="15" t="inlineStr">
        <is>
          <t>Client register</t>
        </is>
      </c>
      <c r="P111" s="15" t="inlineStr">
        <is>
          <t>Bought</t>
        </is>
      </c>
      <c r="Q111" s="15" t="inlineStr">
        <is>
          <t>Mr Baqi</t>
        </is>
      </c>
      <c r="R111" s="15">
        <f>IF(AND(I111&gt;0,N111&gt;I111*1.02),"Receipts exceed register contract value: check for duplicate entries, extra plots or ancillary fees",IF(AND(I111=0,N111&gt;0),"Not in client register: contract value unknown",""))</f>
        <v/>
      </c>
    </row>
    <row r="112">
      <c r="A112" s="15" t="inlineStr">
        <is>
          <t>BP-C0108</t>
        </is>
      </c>
      <c r="B112" s="15" t="inlineStr">
        <is>
          <t>Mr Salawudeen Baqi Boladele</t>
        </is>
      </c>
      <c r="C112" s="15" t="n"/>
      <c r="D112" s="15" t="n"/>
      <c r="E112" s="15" t="inlineStr">
        <is>
          <t>Land</t>
        </is>
      </c>
      <c r="F112" s="15" t="inlineStr">
        <is>
          <t>Heritage Garden</t>
        </is>
      </c>
      <c r="G112" s="16" t="n"/>
      <c r="H112" s="16">
        <f>IF(COUNTIF(Sales_Ledger!$H$5:$H$863,A112)=0,"",_xlfn.MINIFS(Sales_Ledger!$B$5:$B$863,Sales_Ledger!$H$5:$H$863,A112))</f>
        <v/>
      </c>
      <c r="I112" s="17">
        <f>SUMIFS(Subscriptions!$I$5:$I$218,Subscriptions!$B$5:$B$218,A112)</f>
        <v/>
      </c>
      <c r="J112" s="17">
        <f>SUMIFS(Subscriptions!$J$5:$J$218,Subscriptions!$B$5:$B$218,A112)</f>
        <v/>
      </c>
      <c r="K112" s="17">
        <f>SUMIFS(Sales_Ledger!$J$5:$J$863,Sales_Ledger!$H$5:$H$863,$A112,Sales_Ledger!$D$5:$D$863,2023)</f>
        <v/>
      </c>
      <c r="L112" s="17">
        <f>SUMIFS(Sales_Ledger!$J$5:$J$863,Sales_Ledger!$H$5:$H$863,$A112,Sales_Ledger!$D$5:$D$863,2024)</f>
        <v/>
      </c>
      <c r="M112" s="17">
        <f>SUMIFS(Sales_Ledger!$J$5:$J$863,Sales_Ledger!$H$5:$H$863,$A112,Sales_Ledger!$D$5:$D$863,2025)</f>
        <v/>
      </c>
      <c r="N112" s="17">
        <f>SUM(K112:M112)</f>
        <v/>
      </c>
      <c r="O112" s="15" t="inlineStr">
        <is>
          <t>Transaction records</t>
        </is>
      </c>
      <c r="P112" s="15" t="n"/>
      <c r="Q112" s="15" t="n"/>
      <c r="R112" s="15">
        <f>IF(AND(I112&gt;0,N112&gt;I112*1.02),"Receipts exceed register contract value: check for duplicate entries, extra plots or ancillary fees",IF(AND(I112=0,N112&gt;0),"Not in client register: contract value unknown",""))</f>
        <v/>
      </c>
    </row>
    <row r="113">
      <c r="A113" s="15" t="inlineStr">
        <is>
          <t>BP-C0109</t>
        </is>
      </c>
      <c r="B113" s="15" t="inlineStr">
        <is>
          <t>Dr Okeyedun Taiwo Akinbami</t>
        </is>
      </c>
      <c r="C113" s="15" t="inlineStr">
        <is>
          <t>15879377761, 08165662400</t>
        </is>
      </c>
      <c r="D113" s="15" t="inlineStr">
        <is>
          <t>okeyedunt@gmail.com</t>
        </is>
      </c>
      <c r="E113" s="15" t="inlineStr">
        <is>
          <t>Land</t>
        </is>
      </c>
      <c r="F113" s="15" t="inlineStr">
        <is>
          <t>Green City Phase 3 (Omu-Epe)</t>
        </is>
      </c>
      <c r="G113" s="16" t="n">
        <v>45492</v>
      </c>
      <c r="H113" s="16">
        <f>IF(COUNTIF(Sales_Ledger!$H$5:$H$863,A113)=0,"",_xlfn.MINIFS(Sales_Ledger!$B$5:$B$863,Sales_Ledger!$H$5:$H$863,A113))</f>
        <v/>
      </c>
      <c r="I113" s="17">
        <f>SUMIFS(Subscriptions!$I$5:$I$218,Subscriptions!$B$5:$B$218,A113)</f>
        <v/>
      </c>
      <c r="J113" s="17">
        <f>SUMIFS(Subscriptions!$J$5:$J$218,Subscriptions!$B$5:$B$218,A113)</f>
        <v/>
      </c>
      <c r="K113" s="17">
        <f>SUMIFS(Sales_Ledger!$J$5:$J$863,Sales_Ledger!$H$5:$H$863,$A113,Sales_Ledger!$D$5:$D$863,2023)</f>
        <v/>
      </c>
      <c r="L113" s="17">
        <f>SUMIFS(Sales_Ledger!$J$5:$J$863,Sales_Ledger!$H$5:$H$863,$A113,Sales_Ledger!$D$5:$D$863,2024)</f>
        <v/>
      </c>
      <c r="M113" s="17">
        <f>SUMIFS(Sales_Ledger!$J$5:$J$863,Sales_Ledger!$H$5:$H$863,$A113,Sales_Ledger!$D$5:$D$863,2025)</f>
        <v/>
      </c>
      <c r="N113" s="17">
        <f>SUM(K113:M113)</f>
        <v/>
      </c>
      <c r="O113" s="15" t="inlineStr">
        <is>
          <t>Client register + Transaction records</t>
        </is>
      </c>
      <c r="P113" s="15" t="inlineStr">
        <is>
          <t>Paying</t>
        </is>
      </c>
      <c r="Q113" s="15" t="inlineStr">
        <is>
          <t>MD</t>
        </is>
      </c>
      <c r="R113" s="15">
        <f>IF(AND(I113&gt;0,N113&gt;I113*1.02),"Receipts exceed register contract value: check for duplicate entries, extra plots or ancillary fees",IF(AND(I113=0,N113&gt;0),"Not in client register: contract value unknown",""))</f>
        <v/>
      </c>
    </row>
    <row r="114">
      <c r="A114" s="15" t="inlineStr">
        <is>
          <t>BP-C0110</t>
        </is>
      </c>
      <c r="B114" s="15" t="inlineStr">
        <is>
          <t>Mr Adeyemi Kayode</t>
        </is>
      </c>
      <c r="C114" s="15" t="inlineStr">
        <is>
          <t>9080350279</t>
        </is>
      </c>
      <c r="D114" s="15" t="inlineStr">
        <is>
          <t>k4y0d3@hotmail.com</t>
        </is>
      </c>
      <c r="E114" s="15" t="inlineStr">
        <is>
          <t>Land</t>
        </is>
      </c>
      <c r="F114" s="15" t="inlineStr">
        <is>
          <t>Green City Phase 3 (Omu-Epe); Land (estate not stated in source); Land: ancillary charges</t>
        </is>
      </c>
      <c r="G114" s="16" t="n">
        <v>45496</v>
      </c>
      <c r="H114" s="16">
        <f>IF(COUNTIF(Sales_Ledger!$H$5:$H$863,A114)=0,"",_xlfn.MINIFS(Sales_Ledger!$B$5:$B$863,Sales_Ledger!$H$5:$H$863,A114))</f>
        <v/>
      </c>
      <c r="I114" s="17">
        <f>SUMIFS(Subscriptions!$I$5:$I$218,Subscriptions!$B$5:$B$218,A114)</f>
        <v/>
      </c>
      <c r="J114" s="17">
        <f>SUMIFS(Subscriptions!$J$5:$J$218,Subscriptions!$B$5:$B$218,A114)</f>
        <v/>
      </c>
      <c r="K114" s="17">
        <f>SUMIFS(Sales_Ledger!$J$5:$J$863,Sales_Ledger!$H$5:$H$863,$A114,Sales_Ledger!$D$5:$D$863,2023)</f>
        <v/>
      </c>
      <c r="L114" s="17">
        <f>SUMIFS(Sales_Ledger!$J$5:$J$863,Sales_Ledger!$H$5:$H$863,$A114,Sales_Ledger!$D$5:$D$863,2024)</f>
        <v/>
      </c>
      <c r="M114" s="17">
        <f>SUMIFS(Sales_Ledger!$J$5:$J$863,Sales_Ledger!$H$5:$H$863,$A114,Sales_Ledger!$D$5:$D$863,2025)</f>
        <v/>
      </c>
      <c r="N114" s="17">
        <f>SUM(K114:M114)</f>
        <v/>
      </c>
      <c r="O114" s="15" t="inlineStr">
        <is>
          <t>Client register + Transaction records</t>
        </is>
      </c>
      <c r="P114" s="15" t="inlineStr">
        <is>
          <t>Bought</t>
        </is>
      </c>
      <c r="Q114" s="15" t="inlineStr">
        <is>
          <t>Ms Bola</t>
        </is>
      </c>
      <c r="R114" s="15">
        <f>IF(AND(I114&gt;0,N114&gt;I114*1.02),"Receipts exceed register contract value: check for duplicate entries, extra plots or ancillary fees",IF(AND(I114=0,N114&gt;0),"Not in client register: contract value unknown",""))</f>
        <v/>
      </c>
    </row>
    <row r="115">
      <c r="A115" s="15" t="inlineStr">
        <is>
          <t>BP-C0111</t>
        </is>
      </c>
      <c r="B115" s="15" t="inlineStr">
        <is>
          <t>Mr Adenuga Lukman Ebenezer</t>
        </is>
      </c>
      <c r="C115" s="15" t="inlineStr">
        <is>
          <t>08162114151, +447876896057</t>
        </is>
      </c>
      <c r="D115" s="15" t="inlineStr">
        <is>
          <t>dammiep@gmail.com</t>
        </is>
      </c>
      <c r="E115" s="15" t="inlineStr">
        <is>
          <t>Land</t>
        </is>
      </c>
      <c r="F115" s="15" t="inlineStr">
        <is>
          <t>Green City Phase 3 (Omu-Epe); Land: ancillary charges</t>
        </is>
      </c>
      <c r="G115" s="16" t="n">
        <v>45506</v>
      </c>
      <c r="H115" s="16">
        <f>IF(COUNTIF(Sales_Ledger!$H$5:$H$863,A115)=0,"",_xlfn.MINIFS(Sales_Ledger!$B$5:$B$863,Sales_Ledger!$H$5:$H$863,A115))</f>
        <v/>
      </c>
      <c r="I115" s="17">
        <f>SUMIFS(Subscriptions!$I$5:$I$218,Subscriptions!$B$5:$B$218,A115)</f>
        <v/>
      </c>
      <c r="J115" s="17">
        <f>SUMIFS(Subscriptions!$J$5:$J$218,Subscriptions!$B$5:$B$218,A115)</f>
        <v/>
      </c>
      <c r="K115" s="17">
        <f>SUMIFS(Sales_Ledger!$J$5:$J$863,Sales_Ledger!$H$5:$H$863,$A115,Sales_Ledger!$D$5:$D$863,2023)</f>
        <v/>
      </c>
      <c r="L115" s="17">
        <f>SUMIFS(Sales_Ledger!$J$5:$J$863,Sales_Ledger!$H$5:$H$863,$A115,Sales_Ledger!$D$5:$D$863,2024)</f>
        <v/>
      </c>
      <c r="M115" s="17">
        <f>SUMIFS(Sales_Ledger!$J$5:$J$863,Sales_Ledger!$H$5:$H$863,$A115,Sales_Ledger!$D$5:$D$863,2025)</f>
        <v/>
      </c>
      <c r="N115" s="17">
        <f>SUM(K115:M115)</f>
        <v/>
      </c>
      <c r="O115" s="15" t="inlineStr">
        <is>
          <t>Client register + Transaction records</t>
        </is>
      </c>
      <c r="P115" s="15" t="inlineStr">
        <is>
          <t>Bought</t>
        </is>
      </c>
      <c r="Q115" s="15" t="inlineStr">
        <is>
          <t>Ms Adenike</t>
        </is>
      </c>
      <c r="R115" s="15">
        <f>IF(AND(I115&gt;0,N115&gt;I115*1.02),"Receipts exceed register contract value: check for duplicate entries, extra plots or ancillary fees",IF(AND(I115=0,N115&gt;0),"Not in client register: contract value unknown",""))</f>
        <v/>
      </c>
    </row>
    <row r="116">
      <c r="A116" s="15" t="inlineStr">
        <is>
          <t>BP-C0112</t>
        </is>
      </c>
      <c r="B116" s="15" t="inlineStr">
        <is>
          <t>Mr Lawson Albert Olumide</t>
        </is>
      </c>
      <c r="C116" s="15" t="inlineStr">
        <is>
          <t>8035089300</t>
        </is>
      </c>
      <c r="D116" s="15" t="inlineStr">
        <is>
          <t>SENT</t>
        </is>
      </c>
      <c r="E116" s="15" t="inlineStr">
        <is>
          <t>Housing</t>
        </is>
      </c>
      <c r="F116" s="15" t="inlineStr">
        <is>
          <t>Housing unit (project not stated in source); Pacific Court</t>
        </is>
      </c>
      <c r="G116" s="16" t="n">
        <v>45512</v>
      </c>
      <c r="H116" s="16">
        <f>IF(COUNTIF(Sales_Ledger!$H$5:$H$863,A116)=0,"",_xlfn.MINIFS(Sales_Ledger!$B$5:$B$863,Sales_Ledger!$H$5:$H$863,A116))</f>
        <v/>
      </c>
      <c r="I116" s="17">
        <f>SUMIFS(Subscriptions!$I$5:$I$218,Subscriptions!$B$5:$B$218,A116)</f>
        <v/>
      </c>
      <c r="J116" s="17">
        <f>SUMIFS(Subscriptions!$J$5:$J$218,Subscriptions!$B$5:$B$218,A116)</f>
        <v/>
      </c>
      <c r="K116" s="17">
        <f>SUMIFS(Sales_Ledger!$J$5:$J$863,Sales_Ledger!$H$5:$H$863,$A116,Sales_Ledger!$D$5:$D$863,2023)</f>
        <v/>
      </c>
      <c r="L116" s="17">
        <f>SUMIFS(Sales_Ledger!$J$5:$J$863,Sales_Ledger!$H$5:$H$863,$A116,Sales_Ledger!$D$5:$D$863,2024)</f>
        <v/>
      </c>
      <c r="M116" s="17">
        <f>SUMIFS(Sales_Ledger!$J$5:$J$863,Sales_Ledger!$H$5:$H$863,$A116,Sales_Ledger!$D$5:$D$863,2025)</f>
        <v/>
      </c>
      <c r="N116" s="17">
        <f>SUM(K116:M116)</f>
        <v/>
      </c>
      <c r="O116" s="15" t="inlineStr">
        <is>
          <t>Client register + Transaction records</t>
        </is>
      </c>
      <c r="P116" s="15" t="inlineStr">
        <is>
          <t>PAID</t>
        </is>
      </c>
      <c r="Q116" s="15" t="inlineStr">
        <is>
          <t>Mr Ayo</t>
        </is>
      </c>
      <c r="R116" s="15">
        <f>IF(AND(I116&gt;0,N116&gt;I116*1.02),"Receipts exceed register contract value: check for duplicate entries, extra plots or ancillary fees",IF(AND(I116=0,N116&gt;0),"Not in client register: contract value unknown",""))</f>
        <v/>
      </c>
    </row>
    <row r="117">
      <c r="A117" s="15" t="inlineStr">
        <is>
          <t>BP-C0113</t>
        </is>
      </c>
      <c r="B117" s="15" t="inlineStr">
        <is>
          <t>Mr Udoezi Paul</t>
        </is>
      </c>
      <c r="C117" s="15" t="inlineStr">
        <is>
          <t>393510025679</t>
        </is>
      </c>
      <c r="D117" s="15" t="inlineStr">
        <is>
          <t>paludoezi10@gmail.com</t>
        </is>
      </c>
      <c r="E117" s="15" t="inlineStr">
        <is>
          <t>Land</t>
        </is>
      </c>
      <c r="F117" s="15" t="inlineStr">
        <is>
          <t>Green City Phase 3 (Omu-Epe)</t>
        </is>
      </c>
      <c r="G117" s="16" t="n">
        <v>45516</v>
      </c>
      <c r="H117" s="16">
        <f>IF(COUNTIF(Sales_Ledger!$H$5:$H$863,A117)=0,"",_xlfn.MINIFS(Sales_Ledger!$B$5:$B$863,Sales_Ledger!$H$5:$H$863,A117))</f>
        <v/>
      </c>
      <c r="I117" s="17">
        <f>SUMIFS(Subscriptions!$I$5:$I$218,Subscriptions!$B$5:$B$218,A117)</f>
        <v/>
      </c>
      <c r="J117" s="17">
        <f>SUMIFS(Subscriptions!$J$5:$J$218,Subscriptions!$B$5:$B$218,A117)</f>
        <v/>
      </c>
      <c r="K117" s="17">
        <f>SUMIFS(Sales_Ledger!$J$5:$J$863,Sales_Ledger!$H$5:$H$863,$A117,Sales_Ledger!$D$5:$D$863,2023)</f>
        <v/>
      </c>
      <c r="L117" s="17">
        <f>SUMIFS(Sales_Ledger!$J$5:$J$863,Sales_Ledger!$H$5:$H$863,$A117,Sales_Ledger!$D$5:$D$863,2024)</f>
        <v/>
      </c>
      <c r="M117" s="17">
        <f>SUMIFS(Sales_Ledger!$J$5:$J$863,Sales_Ledger!$H$5:$H$863,$A117,Sales_Ledger!$D$5:$D$863,2025)</f>
        <v/>
      </c>
      <c r="N117" s="17">
        <f>SUM(K117:M117)</f>
        <v/>
      </c>
      <c r="O117" s="15" t="inlineStr">
        <is>
          <t>Client register + Transaction records</t>
        </is>
      </c>
      <c r="P117" s="15" t="inlineStr">
        <is>
          <t>Paying</t>
        </is>
      </c>
      <c r="Q117" s="15" t="inlineStr">
        <is>
          <t>Ms Blessing</t>
        </is>
      </c>
      <c r="R117" s="15">
        <f>IF(AND(I117&gt;0,N117&gt;I117*1.02),"Receipts exceed register contract value: check for duplicate entries, extra plots or ancillary fees",IF(AND(I117=0,N117&gt;0),"Not in client register: contract value unknown",""))</f>
        <v/>
      </c>
    </row>
    <row r="118">
      <c r="A118" s="15" t="inlineStr">
        <is>
          <t>BP-C0114</t>
        </is>
      </c>
      <c r="B118" s="15" t="inlineStr">
        <is>
          <t>Miss Ohaego Ijeoma Goodness</t>
        </is>
      </c>
      <c r="C118" s="15" t="inlineStr">
        <is>
          <t>08150836083, 971589863630 09026912389</t>
        </is>
      </c>
      <c r="D118" s="15" t="inlineStr">
        <is>
          <t>ohaegoijeoma@gmail.com</t>
        </is>
      </c>
      <c r="E118" s="15" t="inlineStr">
        <is>
          <t>Land</t>
        </is>
      </c>
      <c r="F118" s="15" t="inlineStr">
        <is>
          <t>Green City Phase 3 (Omu-Epe); Land (estate not stated in source); Land: ancillary charges</t>
        </is>
      </c>
      <c r="G118" s="16" t="n">
        <v>45520</v>
      </c>
      <c r="H118" s="16">
        <f>IF(COUNTIF(Sales_Ledger!$H$5:$H$863,A118)=0,"",_xlfn.MINIFS(Sales_Ledger!$B$5:$B$863,Sales_Ledger!$H$5:$H$863,A118))</f>
        <v/>
      </c>
      <c r="I118" s="17">
        <f>SUMIFS(Subscriptions!$I$5:$I$218,Subscriptions!$B$5:$B$218,A118)</f>
        <v/>
      </c>
      <c r="J118" s="17">
        <f>SUMIFS(Subscriptions!$J$5:$J$218,Subscriptions!$B$5:$B$218,A118)</f>
        <v/>
      </c>
      <c r="K118" s="17">
        <f>SUMIFS(Sales_Ledger!$J$5:$J$863,Sales_Ledger!$H$5:$H$863,$A118,Sales_Ledger!$D$5:$D$863,2023)</f>
        <v/>
      </c>
      <c r="L118" s="17">
        <f>SUMIFS(Sales_Ledger!$J$5:$J$863,Sales_Ledger!$H$5:$H$863,$A118,Sales_Ledger!$D$5:$D$863,2024)</f>
        <v/>
      </c>
      <c r="M118" s="17">
        <f>SUMIFS(Sales_Ledger!$J$5:$J$863,Sales_Ledger!$H$5:$H$863,$A118,Sales_Ledger!$D$5:$D$863,2025)</f>
        <v/>
      </c>
      <c r="N118" s="17">
        <f>SUM(K118:M118)</f>
        <v/>
      </c>
      <c r="O118" s="15" t="inlineStr">
        <is>
          <t>Client register + Transaction records</t>
        </is>
      </c>
      <c r="P118" s="15" t="inlineStr">
        <is>
          <t>Bought</t>
        </is>
      </c>
      <c r="Q118" s="15" t="inlineStr">
        <is>
          <t>Ms Oji Blessing</t>
        </is>
      </c>
      <c r="R118" s="15">
        <f>IF(AND(I118&gt;0,N118&gt;I118*1.02),"Receipts exceed register contract value: check for duplicate entries, extra plots or ancillary fees",IF(AND(I118=0,N118&gt;0),"Not in client register: contract value unknown",""))</f>
        <v/>
      </c>
    </row>
    <row r="119">
      <c r="A119" s="15" t="inlineStr">
        <is>
          <t>BP-C0115</t>
        </is>
      </c>
      <c r="B119" s="15" t="inlineStr">
        <is>
          <t>Mrs King Lavonda (LAVONDA RENA KING FAMILY &amp; TOCHUWKU CHRISTIAN EJIOFOR</t>
        </is>
      </c>
      <c r="C119" s="15" t="inlineStr">
        <is>
          <t>02144638460</t>
        </is>
      </c>
      <c r="D119" s="15" t="inlineStr">
        <is>
          <t>3kingsleasing@gmail.com</t>
        </is>
      </c>
      <c r="E119" s="15" t="inlineStr">
        <is>
          <t>Land</t>
        </is>
      </c>
      <c r="F119" s="15" t="inlineStr">
        <is>
          <t>Green City Phase 3 (Omu-Epe); Land: ancillary charges</t>
        </is>
      </c>
      <c r="G119" s="16" t="n">
        <v>45521</v>
      </c>
      <c r="H119" s="16">
        <f>IF(COUNTIF(Sales_Ledger!$H$5:$H$863,A119)=0,"",_xlfn.MINIFS(Sales_Ledger!$B$5:$B$863,Sales_Ledger!$H$5:$H$863,A119))</f>
        <v/>
      </c>
      <c r="I119" s="17">
        <f>SUMIFS(Subscriptions!$I$5:$I$218,Subscriptions!$B$5:$B$218,A119)</f>
        <v/>
      </c>
      <c r="J119" s="17">
        <f>SUMIFS(Subscriptions!$J$5:$J$218,Subscriptions!$B$5:$B$218,A119)</f>
        <v/>
      </c>
      <c r="K119" s="17">
        <f>SUMIFS(Sales_Ledger!$J$5:$J$863,Sales_Ledger!$H$5:$H$863,$A119,Sales_Ledger!$D$5:$D$863,2023)</f>
        <v/>
      </c>
      <c r="L119" s="17">
        <f>SUMIFS(Sales_Ledger!$J$5:$J$863,Sales_Ledger!$H$5:$H$863,$A119,Sales_Ledger!$D$5:$D$863,2024)</f>
        <v/>
      </c>
      <c r="M119" s="17">
        <f>SUMIFS(Sales_Ledger!$J$5:$J$863,Sales_Ledger!$H$5:$H$863,$A119,Sales_Ledger!$D$5:$D$863,2025)</f>
        <v/>
      </c>
      <c r="N119" s="17">
        <f>SUM(K119:M119)</f>
        <v/>
      </c>
      <c r="O119" s="15" t="inlineStr">
        <is>
          <t>Client register + Transaction records</t>
        </is>
      </c>
      <c r="P119" s="15" t="inlineStr">
        <is>
          <t>Bought</t>
        </is>
      </c>
      <c r="Q119" s="15" t="inlineStr">
        <is>
          <t>Mrs Abimbola</t>
        </is>
      </c>
      <c r="R119" s="15">
        <f>IF(AND(I119&gt;0,N119&gt;I119*1.02),"Receipts exceed register contract value: check for duplicate entries, extra plots or ancillary fees",IF(AND(I119=0,N119&gt;0),"Not in client register: contract value unknown",""))</f>
        <v/>
      </c>
    </row>
    <row r="120">
      <c r="A120" s="15" t="inlineStr">
        <is>
          <t>BP-C0116</t>
        </is>
      </c>
      <c r="B120" s="15" t="inlineStr">
        <is>
          <t>Miss Okorie Rachael Mmesomachi</t>
        </is>
      </c>
      <c r="C120" s="15" t="inlineStr">
        <is>
          <t>09025863980, 971552581706</t>
        </is>
      </c>
      <c r="D120" s="15" t="inlineStr">
        <is>
          <t>okorierachael2019@gmail.com</t>
        </is>
      </c>
      <c r="E120" s="15" t="inlineStr">
        <is>
          <t>Land</t>
        </is>
      </c>
      <c r="F120" s="15" t="inlineStr">
        <is>
          <t>Green City Phase 3 (Omu-Epe); Land: ancillary charges</t>
        </is>
      </c>
      <c r="G120" s="16" t="n">
        <v>45522</v>
      </c>
      <c r="H120" s="16">
        <f>IF(COUNTIF(Sales_Ledger!$H$5:$H$863,A120)=0,"",_xlfn.MINIFS(Sales_Ledger!$B$5:$B$863,Sales_Ledger!$H$5:$H$863,A120))</f>
        <v/>
      </c>
      <c r="I120" s="17">
        <f>SUMIFS(Subscriptions!$I$5:$I$218,Subscriptions!$B$5:$B$218,A120)</f>
        <v/>
      </c>
      <c r="J120" s="17">
        <f>SUMIFS(Subscriptions!$J$5:$J$218,Subscriptions!$B$5:$B$218,A120)</f>
        <v/>
      </c>
      <c r="K120" s="17">
        <f>SUMIFS(Sales_Ledger!$J$5:$J$863,Sales_Ledger!$H$5:$H$863,$A120,Sales_Ledger!$D$5:$D$863,2023)</f>
        <v/>
      </c>
      <c r="L120" s="17">
        <f>SUMIFS(Sales_Ledger!$J$5:$J$863,Sales_Ledger!$H$5:$H$863,$A120,Sales_Ledger!$D$5:$D$863,2024)</f>
        <v/>
      </c>
      <c r="M120" s="17">
        <f>SUMIFS(Sales_Ledger!$J$5:$J$863,Sales_Ledger!$H$5:$H$863,$A120,Sales_Ledger!$D$5:$D$863,2025)</f>
        <v/>
      </c>
      <c r="N120" s="17">
        <f>SUM(K120:M120)</f>
        <v/>
      </c>
      <c r="O120" s="15" t="inlineStr">
        <is>
          <t>Client register + Transaction records</t>
        </is>
      </c>
      <c r="P120" s="15" t="inlineStr">
        <is>
          <t>Bought</t>
        </is>
      </c>
      <c r="Q120" s="15" t="inlineStr">
        <is>
          <t>Ms Oji Blessing</t>
        </is>
      </c>
      <c r="R120" s="15">
        <f>IF(AND(I120&gt;0,N120&gt;I120*1.02),"Receipts exceed register contract value: check for duplicate entries, extra plots or ancillary fees",IF(AND(I120=0,N120&gt;0),"Not in client register: contract value unknown",""))</f>
        <v/>
      </c>
    </row>
    <row r="121">
      <c r="A121" s="15" t="inlineStr">
        <is>
          <t>BP-C0117</t>
        </is>
      </c>
      <c r="B121" s="15" t="inlineStr">
        <is>
          <t>Mr Ikechukwu Jeremiah Kingsley</t>
        </is>
      </c>
      <c r="C121" s="15" t="n"/>
      <c r="D121" s="15" t="n"/>
      <c r="E121" s="15" t="inlineStr">
        <is>
          <t>Land</t>
        </is>
      </c>
      <c r="F121" s="15" t="inlineStr">
        <is>
          <t>Green City Phase 3 (Omu-Epe)</t>
        </is>
      </c>
      <c r="G121" s="16" t="n"/>
      <c r="H121" s="16">
        <f>IF(COUNTIF(Sales_Ledger!$H$5:$H$863,A121)=0,"",_xlfn.MINIFS(Sales_Ledger!$B$5:$B$863,Sales_Ledger!$H$5:$H$863,A121))</f>
        <v/>
      </c>
      <c r="I121" s="17">
        <f>SUMIFS(Subscriptions!$I$5:$I$218,Subscriptions!$B$5:$B$218,A121)</f>
        <v/>
      </c>
      <c r="J121" s="17">
        <f>SUMIFS(Subscriptions!$J$5:$J$218,Subscriptions!$B$5:$B$218,A121)</f>
        <v/>
      </c>
      <c r="K121" s="17">
        <f>SUMIFS(Sales_Ledger!$J$5:$J$863,Sales_Ledger!$H$5:$H$863,$A121,Sales_Ledger!$D$5:$D$863,2023)</f>
        <v/>
      </c>
      <c r="L121" s="17">
        <f>SUMIFS(Sales_Ledger!$J$5:$J$863,Sales_Ledger!$H$5:$H$863,$A121,Sales_Ledger!$D$5:$D$863,2024)</f>
        <v/>
      </c>
      <c r="M121" s="17">
        <f>SUMIFS(Sales_Ledger!$J$5:$J$863,Sales_Ledger!$H$5:$H$863,$A121,Sales_Ledger!$D$5:$D$863,2025)</f>
        <v/>
      </c>
      <c r="N121" s="17">
        <f>SUM(K121:M121)</f>
        <v/>
      </c>
      <c r="O121" s="15" t="inlineStr">
        <is>
          <t>Transaction records</t>
        </is>
      </c>
      <c r="P121" s="15" t="n"/>
      <c r="Q121" s="15" t="n"/>
      <c r="R121" s="15">
        <f>IF(AND(I121&gt;0,N121&gt;I121*1.02),"Receipts exceed register contract value: check for duplicate entries, extra plots or ancillary fees",IF(AND(I121=0,N121&gt;0),"Not in client register: contract value unknown",""))</f>
        <v/>
      </c>
    </row>
    <row r="122">
      <c r="A122" s="15" t="inlineStr">
        <is>
          <t>BP-C0118</t>
        </is>
      </c>
      <c r="B122" s="15" t="inlineStr">
        <is>
          <t>Pastor Ikechukwu Kingsley &amp; Deaconess Ikechukwu Rose Uju</t>
        </is>
      </c>
      <c r="C122" s="15" t="inlineStr">
        <is>
          <t>07067925840, 08066220348</t>
        </is>
      </c>
      <c r="D122" s="15" t="inlineStr">
        <is>
          <t>jeremiahikechukwu28@gmail.com</t>
        </is>
      </c>
      <c r="E122" s="15" t="inlineStr">
        <is>
          <t>Land</t>
        </is>
      </c>
      <c r="F122" s="15" t="inlineStr">
        <is>
          <t>Green City Phase 3 (Omu-Epe); Land (estate not stated in source)</t>
        </is>
      </c>
      <c r="G122" s="16" t="n">
        <v>45527</v>
      </c>
      <c r="H122" s="16">
        <f>IF(COUNTIF(Sales_Ledger!$H$5:$H$863,A122)=0,"",_xlfn.MINIFS(Sales_Ledger!$B$5:$B$863,Sales_Ledger!$H$5:$H$863,A122))</f>
        <v/>
      </c>
      <c r="I122" s="17">
        <f>SUMIFS(Subscriptions!$I$5:$I$218,Subscriptions!$B$5:$B$218,A122)</f>
        <v/>
      </c>
      <c r="J122" s="17">
        <f>SUMIFS(Subscriptions!$J$5:$J$218,Subscriptions!$B$5:$B$218,A122)</f>
        <v/>
      </c>
      <c r="K122" s="17">
        <f>SUMIFS(Sales_Ledger!$J$5:$J$863,Sales_Ledger!$H$5:$H$863,$A122,Sales_Ledger!$D$5:$D$863,2023)</f>
        <v/>
      </c>
      <c r="L122" s="17">
        <f>SUMIFS(Sales_Ledger!$J$5:$J$863,Sales_Ledger!$H$5:$H$863,$A122,Sales_Ledger!$D$5:$D$863,2024)</f>
        <v/>
      </c>
      <c r="M122" s="17">
        <f>SUMIFS(Sales_Ledger!$J$5:$J$863,Sales_Ledger!$H$5:$H$863,$A122,Sales_Ledger!$D$5:$D$863,2025)</f>
        <v/>
      </c>
      <c r="N122" s="17">
        <f>SUM(K122:M122)</f>
        <v/>
      </c>
      <c r="O122" s="15" t="inlineStr">
        <is>
          <t>Client register + Transaction records</t>
        </is>
      </c>
      <c r="P122" s="15" t="inlineStr">
        <is>
          <t>Bought</t>
        </is>
      </c>
      <c r="Q122" s="15" t="inlineStr">
        <is>
          <t>Ms Adenike</t>
        </is>
      </c>
      <c r="R122" s="15">
        <f>IF(AND(I122&gt;0,N122&gt;I122*1.02),"Receipts exceed register contract value: check for duplicate entries, extra plots or ancillary fees",IF(AND(I122=0,N122&gt;0),"Not in client register: contract value unknown",""))</f>
        <v/>
      </c>
    </row>
    <row r="123">
      <c r="A123" s="15" t="inlineStr">
        <is>
          <t>BP-C0119</t>
        </is>
      </c>
      <c r="B123" s="15" t="inlineStr">
        <is>
          <t>Mr Adedapo Adekunle Solomon</t>
        </is>
      </c>
      <c r="C123" s="15" t="inlineStr">
        <is>
          <t>8087596205</t>
        </is>
      </c>
      <c r="D123" s="15" t="inlineStr">
        <is>
          <t>adedaposolomon4@gmail.com</t>
        </is>
      </c>
      <c r="E123" s="15" t="inlineStr">
        <is>
          <t>Land</t>
        </is>
      </c>
      <c r="F123" s="15" t="inlineStr">
        <is>
          <t>Green City Phase 3 (Omu-Epe); Land (estate not stated in source); Land: ancillary charges</t>
        </is>
      </c>
      <c r="G123" s="16" t="n">
        <v>45532</v>
      </c>
      <c r="H123" s="16">
        <f>IF(COUNTIF(Sales_Ledger!$H$5:$H$863,A123)=0,"",_xlfn.MINIFS(Sales_Ledger!$B$5:$B$863,Sales_Ledger!$H$5:$H$863,A123))</f>
        <v/>
      </c>
      <c r="I123" s="17">
        <f>SUMIFS(Subscriptions!$I$5:$I$218,Subscriptions!$B$5:$B$218,A123)</f>
        <v/>
      </c>
      <c r="J123" s="17">
        <f>SUMIFS(Subscriptions!$J$5:$J$218,Subscriptions!$B$5:$B$218,A123)</f>
        <v/>
      </c>
      <c r="K123" s="17">
        <f>SUMIFS(Sales_Ledger!$J$5:$J$863,Sales_Ledger!$H$5:$H$863,$A123,Sales_Ledger!$D$5:$D$863,2023)</f>
        <v/>
      </c>
      <c r="L123" s="17">
        <f>SUMIFS(Sales_Ledger!$J$5:$J$863,Sales_Ledger!$H$5:$H$863,$A123,Sales_Ledger!$D$5:$D$863,2024)</f>
        <v/>
      </c>
      <c r="M123" s="17">
        <f>SUMIFS(Sales_Ledger!$J$5:$J$863,Sales_Ledger!$H$5:$H$863,$A123,Sales_Ledger!$D$5:$D$863,2025)</f>
        <v/>
      </c>
      <c r="N123" s="17">
        <f>SUM(K123:M123)</f>
        <v/>
      </c>
      <c r="O123" s="15" t="inlineStr">
        <is>
          <t>Client register + Transaction records</t>
        </is>
      </c>
      <c r="P123" s="15" t="inlineStr">
        <is>
          <t>Bought</t>
        </is>
      </c>
      <c r="Q123" s="15" t="inlineStr">
        <is>
          <t>Ms Taiwo</t>
        </is>
      </c>
      <c r="R123" s="15">
        <f>IF(AND(I123&gt;0,N123&gt;I123*1.02),"Receipts exceed register contract value: check for duplicate entries, extra plots or ancillary fees",IF(AND(I123=0,N123&gt;0),"Not in client register: contract value unknown",""))</f>
        <v/>
      </c>
    </row>
    <row r="124">
      <c r="A124" s="15" t="inlineStr">
        <is>
          <t>BP-C0120</t>
        </is>
      </c>
      <c r="B124" s="15" t="inlineStr">
        <is>
          <t>Mr Olusegun Dare Michael</t>
        </is>
      </c>
      <c r="C124" s="15" t="n"/>
      <c r="D124" s="15" t="n"/>
      <c r="E124" s="15" t="inlineStr">
        <is>
          <t>Land</t>
        </is>
      </c>
      <c r="F124" s="15" t="inlineStr">
        <is>
          <t>Green City Phase 3 (Omu-Epe); Land: ancillary charges</t>
        </is>
      </c>
      <c r="G124" s="16" t="n"/>
      <c r="H124" s="16">
        <f>IF(COUNTIF(Sales_Ledger!$H$5:$H$863,A124)=0,"",_xlfn.MINIFS(Sales_Ledger!$B$5:$B$863,Sales_Ledger!$H$5:$H$863,A124))</f>
        <v/>
      </c>
      <c r="I124" s="17">
        <f>SUMIFS(Subscriptions!$I$5:$I$218,Subscriptions!$B$5:$B$218,A124)</f>
        <v/>
      </c>
      <c r="J124" s="17">
        <f>SUMIFS(Subscriptions!$J$5:$J$218,Subscriptions!$B$5:$B$218,A124)</f>
        <v/>
      </c>
      <c r="K124" s="17">
        <f>SUMIFS(Sales_Ledger!$J$5:$J$863,Sales_Ledger!$H$5:$H$863,$A124,Sales_Ledger!$D$5:$D$863,2023)</f>
        <v/>
      </c>
      <c r="L124" s="17">
        <f>SUMIFS(Sales_Ledger!$J$5:$J$863,Sales_Ledger!$H$5:$H$863,$A124,Sales_Ledger!$D$5:$D$863,2024)</f>
        <v/>
      </c>
      <c r="M124" s="17">
        <f>SUMIFS(Sales_Ledger!$J$5:$J$863,Sales_Ledger!$H$5:$H$863,$A124,Sales_Ledger!$D$5:$D$863,2025)</f>
        <v/>
      </c>
      <c r="N124" s="17">
        <f>SUM(K124:M124)</f>
        <v/>
      </c>
      <c r="O124" s="15" t="inlineStr">
        <is>
          <t>Transaction records</t>
        </is>
      </c>
      <c r="P124" s="15" t="n"/>
      <c r="Q124" s="15" t="n"/>
      <c r="R124" s="15">
        <f>IF(AND(I124&gt;0,N124&gt;I124*1.02),"Receipts exceed register contract value: check for duplicate entries, extra plots or ancillary fees",IF(AND(I124=0,N124&gt;0),"Not in client register: contract value unknown",""))</f>
        <v/>
      </c>
    </row>
    <row r="125">
      <c r="A125" s="15" t="inlineStr">
        <is>
          <t>BP-C0121</t>
        </is>
      </c>
      <c r="B125" s="15" t="inlineStr">
        <is>
          <t>Mr Nweze Valentine Oluebube</t>
        </is>
      </c>
      <c r="C125" s="15" t="inlineStr">
        <is>
          <t>8020600519, 09036119426</t>
        </is>
      </c>
      <c r="D125" s="15" t="inlineStr">
        <is>
          <t>nwezevalentineoluebube@gmail.com</t>
        </is>
      </c>
      <c r="E125" s="15" t="inlineStr">
        <is>
          <t>Land</t>
        </is>
      </c>
      <c r="F125" s="15" t="inlineStr">
        <is>
          <t>Green City Phase 3 (Omu-Epe); Land: ancillary charges</t>
        </is>
      </c>
      <c r="G125" s="16" t="n">
        <v>45544</v>
      </c>
      <c r="H125" s="16">
        <f>IF(COUNTIF(Sales_Ledger!$H$5:$H$863,A125)=0,"",_xlfn.MINIFS(Sales_Ledger!$B$5:$B$863,Sales_Ledger!$H$5:$H$863,A125))</f>
        <v/>
      </c>
      <c r="I125" s="17">
        <f>SUMIFS(Subscriptions!$I$5:$I$218,Subscriptions!$B$5:$B$218,A125)</f>
        <v/>
      </c>
      <c r="J125" s="17">
        <f>SUMIFS(Subscriptions!$J$5:$J$218,Subscriptions!$B$5:$B$218,A125)</f>
        <v/>
      </c>
      <c r="K125" s="17">
        <f>SUMIFS(Sales_Ledger!$J$5:$J$863,Sales_Ledger!$H$5:$H$863,$A125,Sales_Ledger!$D$5:$D$863,2023)</f>
        <v/>
      </c>
      <c r="L125" s="17">
        <f>SUMIFS(Sales_Ledger!$J$5:$J$863,Sales_Ledger!$H$5:$H$863,$A125,Sales_Ledger!$D$5:$D$863,2024)</f>
        <v/>
      </c>
      <c r="M125" s="17">
        <f>SUMIFS(Sales_Ledger!$J$5:$J$863,Sales_Ledger!$H$5:$H$863,$A125,Sales_Ledger!$D$5:$D$863,2025)</f>
        <v/>
      </c>
      <c r="N125" s="17">
        <f>SUM(K125:M125)</f>
        <v/>
      </c>
      <c r="O125" s="15" t="inlineStr">
        <is>
          <t>Client register + Transaction records</t>
        </is>
      </c>
      <c r="P125" s="15" t="inlineStr">
        <is>
          <t>Bought</t>
        </is>
      </c>
      <c r="Q125" s="15" t="inlineStr">
        <is>
          <t>Ms Bolanle</t>
        </is>
      </c>
      <c r="R125" s="15">
        <f>IF(AND(I125&gt;0,N125&gt;I125*1.02),"Receipts exceed register contract value: check for duplicate entries, extra plots or ancillary fees",IF(AND(I125=0,N125&gt;0),"Not in client register: contract value unknown",""))</f>
        <v/>
      </c>
    </row>
    <row r="126">
      <c r="A126" s="15" t="inlineStr">
        <is>
          <t>BP-C0122</t>
        </is>
      </c>
      <c r="B126" s="15" t="inlineStr">
        <is>
          <t>Mr Olusegun Dare Micheal</t>
        </is>
      </c>
      <c r="C126" s="15" t="inlineStr">
        <is>
          <t>7034383167</t>
        </is>
      </c>
      <c r="D126" s="15" t="inlineStr">
        <is>
          <t>michaelolusegun990@gmail.com</t>
        </is>
      </c>
      <c r="E126" s="15" t="inlineStr">
        <is>
          <t>Land</t>
        </is>
      </c>
      <c r="F126" s="15" t="inlineStr">
        <is>
          <t>Green City Phase 3 (Omu-Epe)</t>
        </is>
      </c>
      <c r="G126" s="16" t="n">
        <v>45544</v>
      </c>
      <c r="H126" s="16">
        <f>IF(COUNTIF(Sales_Ledger!$H$5:$H$863,A126)=0,"",_xlfn.MINIFS(Sales_Ledger!$B$5:$B$863,Sales_Ledger!$H$5:$H$863,A126))</f>
        <v/>
      </c>
      <c r="I126" s="17">
        <f>SUMIFS(Subscriptions!$I$5:$I$218,Subscriptions!$B$5:$B$218,A126)</f>
        <v/>
      </c>
      <c r="J126" s="17">
        <f>SUMIFS(Subscriptions!$J$5:$J$218,Subscriptions!$B$5:$B$218,A126)</f>
        <v/>
      </c>
      <c r="K126" s="17">
        <f>SUMIFS(Sales_Ledger!$J$5:$J$863,Sales_Ledger!$H$5:$H$863,$A126,Sales_Ledger!$D$5:$D$863,2023)</f>
        <v/>
      </c>
      <c r="L126" s="17">
        <f>SUMIFS(Sales_Ledger!$J$5:$J$863,Sales_Ledger!$H$5:$H$863,$A126,Sales_Ledger!$D$5:$D$863,2024)</f>
        <v/>
      </c>
      <c r="M126" s="17">
        <f>SUMIFS(Sales_Ledger!$J$5:$J$863,Sales_Ledger!$H$5:$H$863,$A126,Sales_Ledger!$D$5:$D$863,2025)</f>
        <v/>
      </c>
      <c r="N126" s="17">
        <f>SUM(K126:M126)</f>
        <v/>
      </c>
      <c r="O126" s="15" t="inlineStr">
        <is>
          <t>Client register</t>
        </is>
      </c>
      <c r="P126" s="15" t="inlineStr">
        <is>
          <t>Bought</t>
        </is>
      </c>
      <c r="Q126" s="15" t="inlineStr">
        <is>
          <t>Ms Bolanle</t>
        </is>
      </c>
      <c r="R126" s="15">
        <f>IF(AND(I126&gt;0,N126&gt;I126*1.02),"Receipts exceed register contract value: check for duplicate entries, extra plots or ancillary fees",IF(AND(I126=0,N126&gt;0),"Not in client register: contract value unknown",""))</f>
        <v/>
      </c>
    </row>
    <row r="127">
      <c r="A127" s="15" t="inlineStr">
        <is>
          <t>BP-C0123</t>
        </is>
      </c>
      <c r="B127" s="15" t="inlineStr">
        <is>
          <t>Mr Olaogun Samuel Oriyomi</t>
        </is>
      </c>
      <c r="C127" s="15" t="inlineStr">
        <is>
          <t>9126694377</t>
        </is>
      </c>
      <c r="D127" s="15" t="inlineStr">
        <is>
          <t>samuelolaogun161@gmail.com</t>
        </is>
      </c>
      <c r="E127" s="15" t="inlineStr">
        <is>
          <t>Land</t>
        </is>
      </c>
      <c r="F127" s="15" t="inlineStr">
        <is>
          <t>Green City Phase 3 (Omu-Epe)</t>
        </is>
      </c>
      <c r="G127" s="16" t="n">
        <v>45548</v>
      </c>
      <c r="H127" s="16">
        <f>IF(COUNTIF(Sales_Ledger!$H$5:$H$863,A127)=0,"",_xlfn.MINIFS(Sales_Ledger!$B$5:$B$863,Sales_Ledger!$H$5:$H$863,A127))</f>
        <v/>
      </c>
      <c r="I127" s="17">
        <f>SUMIFS(Subscriptions!$I$5:$I$218,Subscriptions!$B$5:$B$218,A127)</f>
        <v/>
      </c>
      <c r="J127" s="17">
        <f>SUMIFS(Subscriptions!$J$5:$J$218,Subscriptions!$B$5:$B$218,A127)</f>
        <v/>
      </c>
      <c r="K127" s="17">
        <f>SUMIFS(Sales_Ledger!$J$5:$J$863,Sales_Ledger!$H$5:$H$863,$A127,Sales_Ledger!$D$5:$D$863,2023)</f>
        <v/>
      </c>
      <c r="L127" s="17">
        <f>SUMIFS(Sales_Ledger!$J$5:$J$863,Sales_Ledger!$H$5:$H$863,$A127,Sales_Ledger!$D$5:$D$863,2024)</f>
        <v/>
      </c>
      <c r="M127" s="17">
        <f>SUMIFS(Sales_Ledger!$J$5:$J$863,Sales_Ledger!$H$5:$H$863,$A127,Sales_Ledger!$D$5:$D$863,2025)</f>
        <v/>
      </c>
      <c r="N127" s="17">
        <f>SUM(K127:M127)</f>
        <v/>
      </c>
      <c r="O127" s="15" t="inlineStr">
        <is>
          <t>Client register + Transaction records</t>
        </is>
      </c>
      <c r="P127" s="15" t="inlineStr">
        <is>
          <t>Bought</t>
        </is>
      </c>
      <c r="Q127" s="15" t="inlineStr">
        <is>
          <t>Mr Rapheal</t>
        </is>
      </c>
      <c r="R127" s="15">
        <f>IF(AND(I127&gt;0,N127&gt;I127*1.02),"Receipts exceed register contract value: check for duplicate entries, extra plots or ancillary fees",IF(AND(I127=0,N127&gt;0),"Not in client register: contract value unknown",""))</f>
        <v/>
      </c>
    </row>
    <row r="128">
      <c r="A128" s="15" t="inlineStr">
        <is>
          <t>BP-C0124</t>
        </is>
      </c>
      <c r="B128" s="15" t="inlineStr">
        <is>
          <t>Miss Thomas Oluwabukola Comfort</t>
        </is>
      </c>
      <c r="C128" s="15" t="inlineStr">
        <is>
          <t>9068909056</t>
        </is>
      </c>
      <c r="D128" s="15" t="inlineStr">
        <is>
          <t>kehindefatoki33@gmail.com</t>
        </is>
      </c>
      <c r="E128" s="15" t="inlineStr">
        <is>
          <t>Land</t>
        </is>
      </c>
      <c r="F128" s="15" t="inlineStr">
        <is>
          <t>Green City Phase 3 (Omu-Epe); Green City Phase 3 Extension (Omu-Epe); Land (estate not stated in source)</t>
        </is>
      </c>
      <c r="G128" s="16" t="n">
        <v>45883</v>
      </c>
      <c r="H128" s="16">
        <f>IF(COUNTIF(Sales_Ledger!$H$5:$H$863,A128)=0,"",_xlfn.MINIFS(Sales_Ledger!$B$5:$B$863,Sales_Ledger!$H$5:$H$863,A128))</f>
        <v/>
      </c>
      <c r="I128" s="17">
        <f>SUMIFS(Subscriptions!$I$5:$I$218,Subscriptions!$B$5:$B$218,A128)</f>
        <v/>
      </c>
      <c r="J128" s="17">
        <f>SUMIFS(Subscriptions!$J$5:$J$218,Subscriptions!$B$5:$B$218,A128)</f>
        <v/>
      </c>
      <c r="K128" s="17">
        <f>SUMIFS(Sales_Ledger!$J$5:$J$863,Sales_Ledger!$H$5:$H$863,$A128,Sales_Ledger!$D$5:$D$863,2023)</f>
        <v/>
      </c>
      <c r="L128" s="17">
        <f>SUMIFS(Sales_Ledger!$J$5:$J$863,Sales_Ledger!$H$5:$H$863,$A128,Sales_Ledger!$D$5:$D$863,2024)</f>
        <v/>
      </c>
      <c r="M128" s="17">
        <f>SUMIFS(Sales_Ledger!$J$5:$J$863,Sales_Ledger!$H$5:$H$863,$A128,Sales_Ledger!$D$5:$D$863,2025)</f>
        <v/>
      </c>
      <c r="N128" s="17">
        <f>SUM(K128:M128)</f>
        <v/>
      </c>
      <c r="O128" s="15" t="inlineStr">
        <is>
          <t>Client register + Transaction records</t>
        </is>
      </c>
      <c r="P128" s="15" t="inlineStr">
        <is>
          <t>Bought</t>
        </is>
      </c>
      <c r="Q128" s="15" t="inlineStr">
        <is>
          <t>Mr. Ezekiel</t>
        </is>
      </c>
      <c r="R128" s="15">
        <f>IF(AND(I128&gt;0,N128&gt;I128*1.02),"Receipts exceed register contract value: check for duplicate entries, extra plots or ancillary fees",IF(AND(I128=0,N128&gt;0),"Not in client register: contract value unknown",""))</f>
        <v/>
      </c>
    </row>
    <row r="129">
      <c r="A129" s="15" t="inlineStr">
        <is>
          <t>BP-C0125</t>
        </is>
      </c>
      <c r="B129" s="15" t="inlineStr">
        <is>
          <t>Mrs Adelaja-Idowu Mosebolatan Tomilayo &amp; Mr Tse Mike Terzungwe</t>
        </is>
      </c>
      <c r="C129" s="15" t="inlineStr">
        <is>
          <t>09063570799, 09120824557</t>
        </is>
      </c>
      <c r="D129" s="15" t="inlineStr">
        <is>
          <t>adelajamosebola@gmail.com miketse4@gmail.com</t>
        </is>
      </c>
      <c r="E129" s="15" t="inlineStr">
        <is>
          <t>Land</t>
        </is>
      </c>
      <c r="F129" s="15" t="inlineStr">
        <is>
          <t>Green City Phase 2 (Idobi, Ketu-Epe); Green City Phase 2 (Ketu-Epe); Land (estate not stated in source)</t>
        </is>
      </c>
      <c r="G129" s="16" t="n">
        <v>45552</v>
      </c>
      <c r="H129" s="16">
        <f>IF(COUNTIF(Sales_Ledger!$H$5:$H$863,A129)=0,"",_xlfn.MINIFS(Sales_Ledger!$B$5:$B$863,Sales_Ledger!$H$5:$H$863,A129))</f>
        <v/>
      </c>
      <c r="I129" s="17">
        <f>SUMIFS(Subscriptions!$I$5:$I$218,Subscriptions!$B$5:$B$218,A129)</f>
        <v/>
      </c>
      <c r="J129" s="17">
        <f>SUMIFS(Subscriptions!$J$5:$J$218,Subscriptions!$B$5:$B$218,A129)</f>
        <v/>
      </c>
      <c r="K129" s="17">
        <f>SUMIFS(Sales_Ledger!$J$5:$J$863,Sales_Ledger!$H$5:$H$863,$A129,Sales_Ledger!$D$5:$D$863,2023)</f>
        <v/>
      </c>
      <c r="L129" s="17">
        <f>SUMIFS(Sales_Ledger!$J$5:$J$863,Sales_Ledger!$H$5:$H$863,$A129,Sales_Ledger!$D$5:$D$863,2024)</f>
        <v/>
      </c>
      <c r="M129" s="17">
        <f>SUMIFS(Sales_Ledger!$J$5:$J$863,Sales_Ledger!$H$5:$H$863,$A129,Sales_Ledger!$D$5:$D$863,2025)</f>
        <v/>
      </c>
      <c r="N129" s="17">
        <f>SUM(K129:M129)</f>
        <v/>
      </c>
      <c r="O129" s="15" t="inlineStr">
        <is>
          <t>Client register + Transaction records</t>
        </is>
      </c>
      <c r="P129" s="15" t="inlineStr">
        <is>
          <t>Bought</t>
        </is>
      </c>
      <c r="Q129" s="15" t="inlineStr">
        <is>
          <t>Mr Ogidan Abiodun</t>
        </is>
      </c>
      <c r="R129" s="15">
        <f>IF(AND(I129&gt;0,N129&gt;I129*1.02),"Receipts exceed register contract value: check for duplicate entries, extra plots or ancillary fees",IF(AND(I129=0,N129&gt;0),"Not in client register: contract value unknown",""))</f>
        <v/>
      </c>
    </row>
    <row r="130">
      <c r="A130" s="15" t="inlineStr">
        <is>
          <t>BP-C0126</t>
        </is>
      </c>
      <c r="B130" s="15" t="inlineStr">
        <is>
          <t>Miss Ogundipe Motunrayo Fransisca</t>
        </is>
      </c>
      <c r="C130" s="15" t="inlineStr">
        <is>
          <t>447760848936</t>
        </is>
      </c>
      <c r="D130" s="15" t="inlineStr">
        <is>
          <t>motunrayoogundipe09@gmail.com</t>
        </is>
      </c>
      <c r="E130" s="15" t="inlineStr">
        <is>
          <t>Land</t>
        </is>
      </c>
      <c r="F130" s="15" t="inlineStr">
        <is>
          <t>Green City Phase 2 (Idobi, Ketu-Epe); Green City Phase 2 (Ketu-Epe); Land (estate not stated in source)</t>
        </is>
      </c>
      <c r="G130" s="16" t="n">
        <v>45561</v>
      </c>
      <c r="H130" s="16">
        <f>IF(COUNTIF(Sales_Ledger!$H$5:$H$863,A130)=0,"",_xlfn.MINIFS(Sales_Ledger!$B$5:$B$863,Sales_Ledger!$H$5:$H$863,A130))</f>
        <v/>
      </c>
      <c r="I130" s="17">
        <f>SUMIFS(Subscriptions!$I$5:$I$218,Subscriptions!$B$5:$B$218,A130)</f>
        <v/>
      </c>
      <c r="J130" s="17">
        <f>SUMIFS(Subscriptions!$J$5:$J$218,Subscriptions!$B$5:$B$218,A130)</f>
        <v/>
      </c>
      <c r="K130" s="17">
        <f>SUMIFS(Sales_Ledger!$J$5:$J$863,Sales_Ledger!$H$5:$H$863,$A130,Sales_Ledger!$D$5:$D$863,2023)</f>
        <v/>
      </c>
      <c r="L130" s="17">
        <f>SUMIFS(Sales_Ledger!$J$5:$J$863,Sales_Ledger!$H$5:$H$863,$A130,Sales_Ledger!$D$5:$D$863,2024)</f>
        <v/>
      </c>
      <c r="M130" s="17">
        <f>SUMIFS(Sales_Ledger!$J$5:$J$863,Sales_Ledger!$H$5:$H$863,$A130,Sales_Ledger!$D$5:$D$863,2025)</f>
        <v/>
      </c>
      <c r="N130" s="17">
        <f>SUM(K130:M130)</f>
        <v/>
      </c>
      <c r="O130" s="15" t="inlineStr">
        <is>
          <t>Client register + Transaction records</t>
        </is>
      </c>
      <c r="P130" s="15" t="inlineStr">
        <is>
          <t>Bought</t>
        </is>
      </c>
      <c r="Q130" s="15" t="inlineStr">
        <is>
          <t>MD</t>
        </is>
      </c>
      <c r="R130" s="15">
        <f>IF(AND(I130&gt;0,N130&gt;I130*1.02),"Receipts exceed register contract value: check for duplicate entries, extra plots or ancillary fees",IF(AND(I130=0,N130&gt;0),"Not in client register: contract value unknown",""))</f>
        <v/>
      </c>
    </row>
    <row r="131">
      <c r="A131" s="15" t="inlineStr">
        <is>
          <t>BP-C0127</t>
        </is>
      </c>
      <c r="B131" s="15" t="inlineStr">
        <is>
          <t>Mr Adigun Muyiwa &amp; Mrs Adigun Folashade</t>
        </is>
      </c>
      <c r="C131" s="15" t="inlineStr">
        <is>
          <t>8060424983</t>
        </is>
      </c>
      <c r="D131" s="15" t="inlineStr">
        <is>
          <t>muyiwadanieladigun@gmail.com</t>
        </is>
      </c>
      <c r="E131" s="15" t="inlineStr">
        <is>
          <t>Land</t>
        </is>
      </c>
      <c r="F131" s="15" t="inlineStr">
        <is>
          <t>Green City Phase 3 (Omu-Epe); Land (estate not stated in source)</t>
        </is>
      </c>
      <c r="G131" s="16" t="n">
        <v>45562</v>
      </c>
      <c r="H131" s="16">
        <f>IF(COUNTIF(Sales_Ledger!$H$5:$H$863,A131)=0,"",_xlfn.MINIFS(Sales_Ledger!$B$5:$B$863,Sales_Ledger!$H$5:$H$863,A131))</f>
        <v/>
      </c>
      <c r="I131" s="17">
        <f>SUMIFS(Subscriptions!$I$5:$I$218,Subscriptions!$B$5:$B$218,A131)</f>
        <v/>
      </c>
      <c r="J131" s="17">
        <f>SUMIFS(Subscriptions!$J$5:$J$218,Subscriptions!$B$5:$B$218,A131)</f>
        <v/>
      </c>
      <c r="K131" s="17">
        <f>SUMIFS(Sales_Ledger!$J$5:$J$863,Sales_Ledger!$H$5:$H$863,$A131,Sales_Ledger!$D$5:$D$863,2023)</f>
        <v/>
      </c>
      <c r="L131" s="17">
        <f>SUMIFS(Sales_Ledger!$J$5:$J$863,Sales_Ledger!$H$5:$H$863,$A131,Sales_Ledger!$D$5:$D$863,2024)</f>
        <v/>
      </c>
      <c r="M131" s="17">
        <f>SUMIFS(Sales_Ledger!$J$5:$J$863,Sales_Ledger!$H$5:$H$863,$A131,Sales_Ledger!$D$5:$D$863,2025)</f>
        <v/>
      </c>
      <c r="N131" s="17">
        <f>SUM(K131:M131)</f>
        <v/>
      </c>
      <c r="O131" s="15" t="inlineStr">
        <is>
          <t>Client register + Transaction records</t>
        </is>
      </c>
      <c r="P131" s="15" t="inlineStr">
        <is>
          <t>Bought</t>
        </is>
      </c>
      <c r="Q131" s="15" t="inlineStr">
        <is>
          <t>Mr Mayowa Ayeni</t>
        </is>
      </c>
      <c r="R131" s="15">
        <f>IF(AND(I131&gt;0,N131&gt;I131*1.02),"Receipts exceed register contract value: check for duplicate entries, extra plots or ancillary fees",IF(AND(I131=0,N131&gt;0),"Not in client register: contract value unknown",""))</f>
        <v/>
      </c>
    </row>
    <row r="132">
      <c r="A132" s="15" t="inlineStr">
        <is>
          <t>BP-C0128</t>
        </is>
      </c>
      <c r="B132" s="15" t="inlineStr">
        <is>
          <t>Mr Afolabi Samuel Safe &amp; Mrs Afolabi Temitope Iyanuoluwa</t>
        </is>
      </c>
      <c r="C132" s="15" t="inlineStr">
        <is>
          <t>447443968358</t>
        </is>
      </c>
      <c r="D132" s="15" t="inlineStr">
        <is>
          <t>samuel.afolabi09@gmail.com</t>
        </is>
      </c>
      <c r="E132" s="15" t="inlineStr">
        <is>
          <t>Land</t>
        </is>
      </c>
      <c r="F132" s="15" t="inlineStr">
        <is>
          <t>Green City Phase 2 (Idobi, Ketu-Epe); Green City Phase 2 (Ketu-Epe)</t>
        </is>
      </c>
      <c r="G132" s="16" t="n">
        <v>45562</v>
      </c>
      <c r="H132" s="16">
        <f>IF(COUNTIF(Sales_Ledger!$H$5:$H$863,A132)=0,"",_xlfn.MINIFS(Sales_Ledger!$B$5:$B$863,Sales_Ledger!$H$5:$H$863,A132))</f>
        <v/>
      </c>
      <c r="I132" s="17">
        <f>SUMIFS(Subscriptions!$I$5:$I$218,Subscriptions!$B$5:$B$218,A132)</f>
        <v/>
      </c>
      <c r="J132" s="17">
        <f>SUMIFS(Subscriptions!$J$5:$J$218,Subscriptions!$B$5:$B$218,A132)</f>
        <v/>
      </c>
      <c r="K132" s="17">
        <f>SUMIFS(Sales_Ledger!$J$5:$J$863,Sales_Ledger!$H$5:$H$863,$A132,Sales_Ledger!$D$5:$D$863,2023)</f>
        <v/>
      </c>
      <c r="L132" s="17">
        <f>SUMIFS(Sales_Ledger!$J$5:$J$863,Sales_Ledger!$H$5:$H$863,$A132,Sales_Ledger!$D$5:$D$863,2024)</f>
        <v/>
      </c>
      <c r="M132" s="17">
        <f>SUMIFS(Sales_Ledger!$J$5:$J$863,Sales_Ledger!$H$5:$H$863,$A132,Sales_Ledger!$D$5:$D$863,2025)</f>
        <v/>
      </c>
      <c r="N132" s="17">
        <f>SUM(K132:M132)</f>
        <v/>
      </c>
      <c r="O132" s="15" t="inlineStr">
        <is>
          <t>Client register + Transaction records</t>
        </is>
      </c>
      <c r="P132" s="15" t="inlineStr">
        <is>
          <t>Bought</t>
        </is>
      </c>
      <c r="Q132" s="15" t="inlineStr">
        <is>
          <t>MD</t>
        </is>
      </c>
      <c r="R132" s="15">
        <f>IF(AND(I132&gt;0,N132&gt;I132*1.02),"Receipts exceed register contract value: check for duplicate entries, extra plots or ancillary fees",IF(AND(I132=0,N132&gt;0),"Not in client register: contract value unknown",""))</f>
        <v/>
      </c>
    </row>
    <row r="133">
      <c r="A133" s="15" t="inlineStr">
        <is>
          <t>BP-C0129</t>
        </is>
      </c>
      <c r="B133" s="15" t="inlineStr">
        <is>
          <t>Mr Tedunjaye Michael Ilerioluwa</t>
        </is>
      </c>
      <c r="C133" s="15" t="inlineStr">
        <is>
          <t>08058093936, 09152340869</t>
        </is>
      </c>
      <c r="D133" s="15" t="inlineStr">
        <is>
          <t>michaeltedunjaye@gmail.com</t>
        </is>
      </c>
      <c r="E133" s="15" t="inlineStr">
        <is>
          <t>Land</t>
        </is>
      </c>
      <c r="F133" s="15" t="inlineStr">
        <is>
          <t>Heritage Garden</t>
        </is>
      </c>
      <c r="G133" s="16" t="n">
        <v>45562</v>
      </c>
      <c r="H133" s="16">
        <f>IF(COUNTIF(Sales_Ledger!$H$5:$H$863,A133)=0,"",_xlfn.MINIFS(Sales_Ledger!$B$5:$B$863,Sales_Ledger!$H$5:$H$863,A133))</f>
        <v/>
      </c>
      <c r="I133" s="17">
        <f>SUMIFS(Subscriptions!$I$5:$I$218,Subscriptions!$B$5:$B$218,A133)</f>
        <v/>
      </c>
      <c r="J133" s="17">
        <f>SUMIFS(Subscriptions!$J$5:$J$218,Subscriptions!$B$5:$B$218,A133)</f>
        <v/>
      </c>
      <c r="K133" s="17">
        <f>SUMIFS(Sales_Ledger!$J$5:$J$863,Sales_Ledger!$H$5:$H$863,$A133,Sales_Ledger!$D$5:$D$863,2023)</f>
        <v/>
      </c>
      <c r="L133" s="17">
        <f>SUMIFS(Sales_Ledger!$J$5:$J$863,Sales_Ledger!$H$5:$H$863,$A133,Sales_Ledger!$D$5:$D$863,2024)</f>
        <v/>
      </c>
      <c r="M133" s="17">
        <f>SUMIFS(Sales_Ledger!$J$5:$J$863,Sales_Ledger!$H$5:$H$863,$A133,Sales_Ledger!$D$5:$D$863,2025)</f>
        <v/>
      </c>
      <c r="N133" s="17">
        <f>SUM(K133:M133)</f>
        <v/>
      </c>
      <c r="O133" s="15" t="inlineStr">
        <is>
          <t>Client register + Transaction records</t>
        </is>
      </c>
      <c r="P133" s="15" t="inlineStr">
        <is>
          <t>Bought</t>
        </is>
      </c>
      <c r="Q133" s="15" t="inlineStr">
        <is>
          <t>Ms Tobi</t>
        </is>
      </c>
      <c r="R133" s="15">
        <f>IF(AND(I133&gt;0,N133&gt;I133*1.02),"Receipts exceed register contract value: check for duplicate entries, extra plots or ancillary fees",IF(AND(I133=0,N133&gt;0),"Not in client register: contract value unknown",""))</f>
        <v/>
      </c>
    </row>
    <row r="134">
      <c r="A134" s="15" t="inlineStr">
        <is>
          <t>BP-C0130</t>
        </is>
      </c>
      <c r="B134" s="15" t="inlineStr">
        <is>
          <t>Mrs Akindele Felicia Oluwatoyin</t>
        </is>
      </c>
      <c r="C134" s="15" t="inlineStr">
        <is>
          <t>07035505274, 09116314167</t>
        </is>
      </c>
      <c r="D134" s="15" t="inlineStr">
        <is>
          <t>feliciaoyelade0@gmail.com</t>
        </is>
      </c>
      <c r="E134" s="15" t="inlineStr">
        <is>
          <t>Land</t>
        </is>
      </c>
      <c r="F134" s="15" t="inlineStr">
        <is>
          <t>Heritage Garden; Land (estate not stated in source)</t>
        </is>
      </c>
      <c r="G134" s="16" t="n">
        <v>45562</v>
      </c>
      <c r="H134" s="16">
        <f>IF(COUNTIF(Sales_Ledger!$H$5:$H$863,A134)=0,"",_xlfn.MINIFS(Sales_Ledger!$B$5:$B$863,Sales_Ledger!$H$5:$H$863,A134))</f>
        <v/>
      </c>
      <c r="I134" s="17">
        <f>SUMIFS(Subscriptions!$I$5:$I$218,Subscriptions!$B$5:$B$218,A134)</f>
        <v/>
      </c>
      <c r="J134" s="17">
        <f>SUMIFS(Subscriptions!$J$5:$J$218,Subscriptions!$B$5:$B$218,A134)</f>
        <v/>
      </c>
      <c r="K134" s="17">
        <f>SUMIFS(Sales_Ledger!$J$5:$J$863,Sales_Ledger!$H$5:$H$863,$A134,Sales_Ledger!$D$5:$D$863,2023)</f>
        <v/>
      </c>
      <c r="L134" s="17">
        <f>SUMIFS(Sales_Ledger!$J$5:$J$863,Sales_Ledger!$H$5:$H$863,$A134,Sales_Ledger!$D$5:$D$863,2024)</f>
        <v/>
      </c>
      <c r="M134" s="17">
        <f>SUMIFS(Sales_Ledger!$J$5:$J$863,Sales_Ledger!$H$5:$H$863,$A134,Sales_Ledger!$D$5:$D$863,2025)</f>
        <v/>
      </c>
      <c r="N134" s="17">
        <f>SUM(K134:M134)</f>
        <v/>
      </c>
      <c r="O134" s="15" t="inlineStr">
        <is>
          <t>Client register + Transaction records</t>
        </is>
      </c>
      <c r="P134" s="15" t="inlineStr">
        <is>
          <t>Bought</t>
        </is>
      </c>
      <c r="Q134" s="15" t="inlineStr">
        <is>
          <t>Ms Fisayo</t>
        </is>
      </c>
      <c r="R134" s="15">
        <f>IF(AND(I134&gt;0,N134&gt;I134*1.02),"Receipts exceed register contract value: check for duplicate entries, extra plots or ancillary fees",IF(AND(I134=0,N134&gt;0),"Not in client register: contract value unknown",""))</f>
        <v/>
      </c>
    </row>
    <row r="135">
      <c r="A135" s="15" t="inlineStr">
        <is>
          <t>BP-C0131</t>
        </is>
      </c>
      <c r="B135" s="15" t="inlineStr">
        <is>
          <t>Scrapays Technologies Ltd</t>
        </is>
      </c>
      <c r="C135" s="15" t="n"/>
      <c r="D135" s="15" t="n"/>
      <c r="E135" s="15" t="inlineStr">
        <is>
          <t>Land</t>
        </is>
      </c>
      <c r="F135" s="15" t="inlineStr">
        <is>
          <t>Green City Phase 3 (Omu-Epe)</t>
        </is>
      </c>
      <c r="G135" s="16" t="n"/>
      <c r="H135" s="16">
        <f>IF(COUNTIF(Sales_Ledger!$H$5:$H$863,A135)=0,"",_xlfn.MINIFS(Sales_Ledger!$B$5:$B$863,Sales_Ledger!$H$5:$H$863,A135))</f>
        <v/>
      </c>
      <c r="I135" s="17">
        <f>SUMIFS(Subscriptions!$I$5:$I$218,Subscriptions!$B$5:$B$218,A135)</f>
        <v/>
      </c>
      <c r="J135" s="17">
        <f>SUMIFS(Subscriptions!$J$5:$J$218,Subscriptions!$B$5:$B$218,A135)</f>
        <v/>
      </c>
      <c r="K135" s="17">
        <f>SUMIFS(Sales_Ledger!$J$5:$J$863,Sales_Ledger!$H$5:$H$863,$A135,Sales_Ledger!$D$5:$D$863,2023)</f>
        <v/>
      </c>
      <c r="L135" s="17">
        <f>SUMIFS(Sales_Ledger!$J$5:$J$863,Sales_Ledger!$H$5:$H$863,$A135,Sales_Ledger!$D$5:$D$863,2024)</f>
        <v/>
      </c>
      <c r="M135" s="17">
        <f>SUMIFS(Sales_Ledger!$J$5:$J$863,Sales_Ledger!$H$5:$H$863,$A135,Sales_Ledger!$D$5:$D$863,2025)</f>
        <v/>
      </c>
      <c r="N135" s="17">
        <f>SUM(K135:M135)</f>
        <v/>
      </c>
      <c r="O135" s="15" t="inlineStr">
        <is>
          <t>Transaction records</t>
        </is>
      </c>
      <c r="P135" s="15" t="n"/>
      <c r="Q135" s="15" t="n"/>
      <c r="R135" s="15">
        <f>IF(AND(I135&gt;0,N135&gt;I135*1.02),"Receipts exceed register contract value: check for duplicate entries, extra plots or ancillary fees",IF(AND(I135=0,N135&gt;0),"Not in client register: contract value unknown",""))</f>
        <v/>
      </c>
    </row>
    <row r="136">
      <c r="A136" s="15" t="inlineStr">
        <is>
          <t>BP-C0132</t>
        </is>
      </c>
      <c r="B136" s="15" t="inlineStr">
        <is>
          <t>Mr Ajayi Adekunle Temitope</t>
        </is>
      </c>
      <c r="C136" s="15" t="inlineStr">
        <is>
          <t>8064359691</t>
        </is>
      </c>
      <c r="D136" s="15" t="inlineStr">
        <is>
          <t>dekunle15@yahoo.com / Dekunle15@yahoo.com</t>
        </is>
      </c>
      <c r="E136" s="15" t="inlineStr">
        <is>
          <t>Housing, Land</t>
        </is>
      </c>
      <c r="F136" s="15" t="inlineStr">
        <is>
          <t>Baay Foreshore; Green City Ibadan (Akinyele-Moniya); Green City Phase 3 (Omu-Epe); Land (estate not stated in source); Land: ancillary charges</t>
        </is>
      </c>
      <c r="G136" s="16" t="n">
        <v>45565</v>
      </c>
      <c r="H136" s="16">
        <f>IF(COUNTIF(Sales_Ledger!$H$5:$H$863,A136)=0,"",_xlfn.MINIFS(Sales_Ledger!$B$5:$B$863,Sales_Ledger!$H$5:$H$863,A136))</f>
        <v/>
      </c>
      <c r="I136" s="17">
        <f>SUMIFS(Subscriptions!$I$5:$I$218,Subscriptions!$B$5:$B$218,A136)</f>
        <v/>
      </c>
      <c r="J136" s="17">
        <f>SUMIFS(Subscriptions!$J$5:$J$218,Subscriptions!$B$5:$B$218,A136)</f>
        <v/>
      </c>
      <c r="K136" s="17">
        <f>SUMIFS(Sales_Ledger!$J$5:$J$863,Sales_Ledger!$H$5:$H$863,$A136,Sales_Ledger!$D$5:$D$863,2023)</f>
        <v/>
      </c>
      <c r="L136" s="17">
        <f>SUMIFS(Sales_Ledger!$J$5:$J$863,Sales_Ledger!$H$5:$H$863,$A136,Sales_Ledger!$D$5:$D$863,2024)</f>
        <v/>
      </c>
      <c r="M136" s="17">
        <f>SUMIFS(Sales_Ledger!$J$5:$J$863,Sales_Ledger!$H$5:$H$863,$A136,Sales_Ledger!$D$5:$D$863,2025)</f>
        <v/>
      </c>
      <c r="N136" s="17">
        <f>SUM(K136:M136)</f>
        <v/>
      </c>
      <c r="O136" s="15" t="inlineStr">
        <is>
          <t>Client register + Transaction records</t>
        </is>
      </c>
      <c r="P136" s="15" t="inlineStr">
        <is>
          <t>Bought, Paid</t>
        </is>
      </c>
      <c r="Q136" s="15" t="inlineStr">
        <is>
          <t>Ms Opeyemi</t>
        </is>
      </c>
      <c r="R136" s="15">
        <f>IF(AND(I136&gt;0,N136&gt;I136*1.02),"Receipts exceed register contract value: check for duplicate entries, extra plots or ancillary fees",IF(AND(I136=0,N136&gt;0),"Not in client register: contract value unknown",""))</f>
        <v/>
      </c>
    </row>
    <row r="137">
      <c r="A137" s="15" t="inlineStr">
        <is>
          <t>BP-C0133</t>
        </is>
      </c>
      <c r="B137" s="15" t="inlineStr">
        <is>
          <t>Mr Olagbende Oluwashina Oluwaseun</t>
        </is>
      </c>
      <c r="C137" s="15" t="inlineStr">
        <is>
          <t>8028602551, 08032425113 / 8028602551</t>
        </is>
      </c>
      <c r="D137" s="15" t="inlineStr">
        <is>
          <t>legalclimate76@gmail.com / legalclimate76@yahoo.com</t>
        </is>
      </c>
      <c r="E137" s="15" t="inlineStr">
        <is>
          <t>Housing, Land</t>
        </is>
      </c>
      <c r="F137" s="15" t="inlineStr">
        <is>
          <t>Green City Phase 3 (Omu-Epe); Housing unit (project not stated in source); Land (estate not stated in source); Land: ancillary charges; Pacific Apartment</t>
        </is>
      </c>
      <c r="G137" s="16" t="n">
        <v>45565</v>
      </c>
      <c r="H137" s="16">
        <f>IF(COUNTIF(Sales_Ledger!$H$5:$H$863,A137)=0,"",_xlfn.MINIFS(Sales_Ledger!$B$5:$B$863,Sales_Ledger!$H$5:$H$863,A137))</f>
        <v/>
      </c>
      <c r="I137" s="17">
        <f>SUMIFS(Subscriptions!$I$5:$I$218,Subscriptions!$B$5:$B$218,A137)</f>
        <v/>
      </c>
      <c r="J137" s="17">
        <f>SUMIFS(Subscriptions!$J$5:$J$218,Subscriptions!$B$5:$B$218,A137)</f>
        <v/>
      </c>
      <c r="K137" s="17">
        <f>SUMIFS(Sales_Ledger!$J$5:$J$863,Sales_Ledger!$H$5:$H$863,$A137,Sales_Ledger!$D$5:$D$863,2023)</f>
        <v/>
      </c>
      <c r="L137" s="17">
        <f>SUMIFS(Sales_Ledger!$J$5:$J$863,Sales_Ledger!$H$5:$H$863,$A137,Sales_Ledger!$D$5:$D$863,2024)</f>
        <v/>
      </c>
      <c r="M137" s="17">
        <f>SUMIFS(Sales_Ledger!$J$5:$J$863,Sales_Ledger!$H$5:$H$863,$A137,Sales_Ledger!$D$5:$D$863,2025)</f>
        <v/>
      </c>
      <c r="N137" s="17">
        <f>SUM(K137:M137)</f>
        <v/>
      </c>
      <c r="O137" s="15" t="inlineStr">
        <is>
          <t>Client register + Transaction records</t>
        </is>
      </c>
      <c r="P137" s="15" t="inlineStr">
        <is>
          <t>Bought, Paying</t>
        </is>
      </c>
      <c r="Q137" s="15" t="inlineStr">
        <is>
          <t>Ms Mayowa Awonorin, Ms Mayowa Awonorin (Team Taiwo)</t>
        </is>
      </c>
      <c r="R137" s="15">
        <f>IF(AND(I137&gt;0,N137&gt;I137*1.02),"Receipts exceed register contract value: check for duplicate entries, extra plots or ancillary fees",IF(AND(I137=0,N137&gt;0),"Not in client register: contract value unknown",""))</f>
        <v/>
      </c>
    </row>
    <row r="138">
      <c r="A138" s="15" t="inlineStr">
        <is>
          <t>BP-C0134</t>
        </is>
      </c>
      <c r="B138" s="15" t="inlineStr">
        <is>
          <t>Mr Salawudeen Bakkey</t>
        </is>
      </c>
      <c r="C138" s="15" t="n"/>
      <c r="D138" s="15" t="n"/>
      <c r="E138" s="15" t="inlineStr">
        <is>
          <t>Land</t>
        </is>
      </c>
      <c r="F138" s="15" t="inlineStr">
        <is>
          <t>Heritage Garden</t>
        </is>
      </c>
      <c r="G138" s="16" t="n"/>
      <c r="H138" s="16">
        <f>IF(COUNTIF(Sales_Ledger!$H$5:$H$863,A138)=0,"",_xlfn.MINIFS(Sales_Ledger!$B$5:$B$863,Sales_Ledger!$H$5:$H$863,A138))</f>
        <v/>
      </c>
      <c r="I138" s="17">
        <f>SUMIFS(Subscriptions!$I$5:$I$218,Subscriptions!$B$5:$B$218,A138)</f>
        <v/>
      </c>
      <c r="J138" s="17">
        <f>SUMIFS(Subscriptions!$J$5:$J$218,Subscriptions!$B$5:$B$218,A138)</f>
        <v/>
      </c>
      <c r="K138" s="17">
        <f>SUMIFS(Sales_Ledger!$J$5:$J$863,Sales_Ledger!$H$5:$H$863,$A138,Sales_Ledger!$D$5:$D$863,2023)</f>
        <v/>
      </c>
      <c r="L138" s="17">
        <f>SUMIFS(Sales_Ledger!$J$5:$J$863,Sales_Ledger!$H$5:$H$863,$A138,Sales_Ledger!$D$5:$D$863,2024)</f>
        <v/>
      </c>
      <c r="M138" s="17">
        <f>SUMIFS(Sales_Ledger!$J$5:$J$863,Sales_Ledger!$H$5:$H$863,$A138,Sales_Ledger!$D$5:$D$863,2025)</f>
        <v/>
      </c>
      <c r="N138" s="17">
        <f>SUM(K138:M138)</f>
        <v/>
      </c>
      <c r="O138" s="15" t="inlineStr">
        <is>
          <t>Transaction records</t>
        </is>
      </c>
      <c r="P138" s="15" t="n"/>
      <c r="Q138" s="15" t="n"/>
      <c r="R138" s="15">
        <f>IF(AND(I138&gt;0,N138&gt;I138*1.02),"Receipts exceed register contract value: check for duplicate entries, extra plots or ancillary fees",IF(AND(I138=0,N138&gt;0),"Not in client register: contract value unknown",""))</f>
        <v/>
      </c>
    </row>
    <row r="139">
      <c r="A139" s="15" t="inlineStr">
        <is>
          <t>BP-C0135</t>
        </is>
      </c>
      <c r="B139" s="15" t="inlineStr">
        <is>
          <t>Mr Okanrende Kazeem Olamilekan</t>
        </is>
      </c>
      <c r="C139" s="15" t="inlineStr">
        <is>
          <t>09015656705, 08135359400</t>
        </is>
      </c>
      <c r="D139" s="15" t="inlineStr">
        <is>
          <t>kazeemokanrende@yahoo.com</t>
        </is>
      </c>
      <c r="E139" s="15" t="inlineStr">
        <is>
          <t>Land</t>
        </is>
      </c>
      <c r="F139" s="15" t="inlineStr">
        <is>
          <t>Green City Phase 3 (Omu-Epe)</t>
        </is>
      </c>
      <c r="G139" s="16" t="n">
        <v>45573</v>
      </c>
      <c r="H139" s="16">
        <f>IF(COUNTIF(Sales_Ledger!$H$5:$H$863,A139)=0,"",_xlfn.MINIFS(Sales_Ledger!$B$5:$B$863,Sales_Ledger!$H$5:$H$863,A139))</f>
        <v/>
      </c>
      <c r="I139" s="17">
        <f>SUMIFS(Subscriptions!$I$5:$I$218,Subscriptions!$B$5:$B$218,A139)</f>
        <v/>
      </c>
      <c r="J139" s="17">
        <f>SUMIFS(Subscriptions!$J$5:$J$218,Subscriptions!$B$5:$B$218,A139)</f>
        <v/>
      </c>
      <c r="K139" s="17">
        <f>SUMIFS(Sales_Ledger!$J$5:$J$863,Sales_Ledger!$H$5:$H$863,$A139,Sales_Ledger!$D$5:$D$863,2023)</f>
        <v/>
      </c>
      <c r="L139" s="17">
        <f>SUMIFS(Sales_Ledger!$J$5:$J$863,Sales_Ledger!$H$5:$H$863,$A139,Sales_Ledger!$D$5:$D$863,2024)</f>
        <v/>
      </c>
      <c r="M139" s="17">
        <f>SUMIFS(Sales_Ledger!$J$5:$J$863,Sales_Ledger!$H$5:$H$863,$A139,Sales_Ledger!$D$5:$D$863,2025)</f>
        <v/>
      </c>
      <c r="N139" s="17">
        <f>SUM(K139:M139)</f>
        <v/>
      </c>
      <c r="O139" s="15" t="inlineStr">
        <is>
          <t>Client register + Transaction records</t>
        </is>
      </c>
      <c r="P139" s="15" t="inlineStr">
        <is>
          <t>Bought</t>
        </is>
      </c>
      <c r="Q139" s="15" t="inlineStr">
        <is>
          <t>MD/MS YETUNDE</t>
        </is>
      </c>
      <c r="R139" s="15">
        <f>IF(AND(I139&gt;0,N139&gt;I139*1.02),"Receipts exceed register contract value: check for duplicate entries, extra plots or ancillary fees",IF(AND(I139=0,N139&gt;0),"Not in client register: contract value unknown",""))</f>
        <v/>
      </c>
    </row>
    <row r="140">
      <c r="A140" s="15" t="inlineStr">
        <is>
          <t>BP-C0136</t>
        </is>
      </c>
      <c r="B140" s="15" t="inlineStr">
        <is>
          <t>Mr Isibor Godwin</t>
        </is>
      </c>
      <c r="C140" s="15" t="inlineStr">
        <is>
          <t>08053331725, 08099856616</t>
        </is>
      </c>
      <c r="D140" s="15" t="inlineStr">
        <is>
          <t>godwyn.smile@gmail.com</t>
        </is>
      </c>
      <c r="E140" s="15" t="inlineStr">
        <is>
          <t>Land</t>
        </is>
      </c>
      <c r="F140" s="15" t="inlineStr">
        <is>
          <t>Green City Phase 3 (Omu-Epe); Land (estate not stated in source)</t>
        </is>
      </c>
      <c r="G140" s="16" t="n">
        <v>45576</v>
      </c>
      <c r="H140" s="16">
        <f>IF(COUNTIF(Sales_Ledger!$H$5:$H$863,A140)=0,"",_xlfn.MINIFS(Sales_Ledger!$B$5:$B$863,Sales_Ledger!$H$5:$H$863,A140))</f>
        <v/>
      </c>
      <c r="I140" s="17">
        <f>SUMIFS(Subscriptions!$I$5:$I$218,Subscriptions!$B$5:$B$218,A140)</f>
        <v/>
      </c>
      <c r="J140" s="17">
        <f>SUMIFS(Subscriptions!$J$5:$J$218,Subscriptions!$B$5:$B$218,A140)</f>
        <v/>
      </c>
      <c r="K140" s="17">
        <f>SUMIFS(Sales_Ledger!$J$5:$J$863,Sales_Ledger!$H$5:$H$863,$A140,Sales_Ledger!$D$5:$D$863,2023)</f>
        <v/>
      </c>
      <c r="L140" s="17">
        <f>SUMIFS(Sales_Ledger!$J$5:$J$863,Sales_Ledger!$H$5:$H$863,$A140,Sales_Ledger!$D$5:$D$863,2024)</f>
        <v/>
      </c>
      <c r="M140" s="17">
        <f>SUMIFS(Sales_Ledger!$J$5:$J$863,Sales_Ledger!$H$5:$H$863,$A140,Sales_Ledger!$D$5:$D$863,2025)</f>
        <v/>
      </c>
      <c r="N140" s="17">
        <f>SUM(K140:M140)</f>
        <v/>
      </c>
      <c r="O140" s="15" t="inlineStr">
        <is>
          <t>Client register + Transaction records</t>
        </is>
      </c>
      <c r="P140" s="15" t="inlineStr">
        <is>
          <t>Bought</t>
        </is>
      </c>
      <c r="Q140" s="15" t="inlineStr">
        <is>
          <t>Ms Tobi</t>
        </is>
      </c>
      <c r="R140" s="15">
        <f>IF(AND(I140&gt;0,N140&gt;I140*1.02),"Receipts exceed register contract value: check for duplicate entries, extra plots or ancillary fees",IF(AND(I140=0,N140&gt;0),"Not in client register: contract value unknown",""))</f>
        <v/>
      </c>
    </row>
    <row r="141">
      <c r="A141" s="15" t="inlineStr">
        <is>
          <t>BP-C0137</t>
        </is>
      </c>
      <c r="B141" s="15" t="inlineStr">
        <is>
          <t>Mr Boyejo Abiodun</t>
        </is>
      </c>
      <c r="C141" s="15" t="inlineStr">
        <is>
          <t>4447830988895</t>
        </is>
      </c>
      <c r="D141" s="15" t="inlineStr">
        <is>
          <t>benjaminking707@gmail.com</t>
        </is>
      </c>
      <c r="E141" s="15" t="inlineStr">
        <is>
          <t>Land</t>
        </is>
      </c>
      <c r="F141" s="15" t="inlineStr">
        <is>
          <t>Heritage Garden</t>
        </is>
      </c>
      <c r="G141" s="16" t="n">
        <v>45583</v>
      </c>
      <c r="H141" s="16">
        <f>IF(COUNTIF(Sales_Ledger!$H$5:$H$863,A141)=0,"",_xlfn.MINIFS(Sales_Ledger!$B$5:$B$863,Sales_Ledger!$H$5:$H$863,A141))</f>
        <v/>
      </c>
      <c r="I141" s="17">
        <f>SUMIFS(Subscriptions!$I$5:$I$218,Subscriptions!$B$5:$B$218,A141)</f>
        <v/>
      </c>
      <c r="J141" s="17">
        <f>SUMIFS(Subscriptions!$J$5:$J$218,Subscriptions!$B$5:$B$218,A141)</f>
        <v/>
      </c>
      <c r="K141" s="17">
        <f>SUMIFS(Sales_Ledger!$J$5:$J$863,Sales_Ledger!$H$5:$H$863,$A141,Sales_Ledger!$D$5:$D$863,2023)</f>
        <v/>
      </c>
      <c r="L141" s="17">
        <f>SUMIFS(Sales_Ledger!$J$5:$J$863,Sales_Ledger!$H$5:$H$863,$A141,Sales_Ledger!$D$5:$D$863,2024)</f>
        <v/>
      </c>
      <c r="M141" s="17">
        <f>SUMIFS(Sales_Ledger!$J$5:$J$863,Sales_Ledger!$H$5:$H$863,$A141,Sales_Ledger!$D$5:$D$863,2025)</f>
        <v/>
      </c>
      <c r="N141" s="17">
        <f>SUM(K141:M141)</f>
        <v/>
      </c>
      <c r="O141" s="15" t="inlineStr">
        <is>
          <t>Client register + Transaction records</t>
        </is>
      </c>
      <c r="P141" s="15" t="inlineStr">
        <is>
          <t>Bought</t>
        </is>
      </c>
      <c r="Q141" s="15" t="inlineStr">
        <is>
          <t>Ms Bolanle</t>
        </is>
      </c>
      <c r="R141" s="15">
        <f>IF(AND(I141&gt;0,N141&gt;I141*1.02),"Receipts exceed register contract value: check for duplicate entries, extra plots or ancillary fees",IF(AND(I141=0,N141&gt;0),"Not in client register: contract value unknown",""))</f>
        <v/>
      </c>
    </row>
    <row r="142">
      <c r="A142" s="15" t="inlineStr">
        <is>
          <t>BP-C0138</t>
        </is>
      </c>
      <c r="B142" s="15" t="inlineStr">
        <is>
          <t>Mr. Olowodagba Olatunde Selim</t>
        </is>
      </c>
      <c r="C142" s="15" t="inlineStr">
        <is>
          <t>08106931570, 09132045414</t>
        </is>
      </c>
      <c r="D142" s="15" t="inlineStr">
        <is>
          <t>olowodagbaolatunde@gmail.com</t>
        </is>
      </c>
      <c r="E142" s="15" t="inlineStr">
        <is>
          <t>Land</t>
        </is>
      </c>
      <c r="F142" s="15" t="inlineStr">
        <is>
          <t>Green City Ibadan (Akinyele-Moniya); Green Hillside; Land (estate not stated in source)</t>
        </is>
      </c>
      <c r="G142" s="16" t="n">
        <v>45583</v>
      </c>
      <c r="H142" s="16">
        <f>IF(COUNTIF(Sales_Ledger!$H$5:$H$863,A142)=0,"",_xlfn.MINIFS(Sales_Ledger!$B$5:$B$863,Sales_Ledger!$H$5:$H$863,A142))</f>
        <v/>
      </c>
      <c r="I142" s="17">
        <f>SUMIFS(Subscriptions!$I$5:$I$218,Subscriptions!$B$5:$B$218,A142)</f>
        <v/>
      </c>
      <c r="J142" s="17">
        <f>SUMIFS(Subscriptions!$J$5:$J$218,Subscriptions!$B$5:$B$218,A142)</f>
        <v/>
      </c>
      <c r="K142" s="17">
        <f>SUMIFS(Sales_Ledger!$J$5:$J$863,Sales_Ledger!$H$5:$H$863,$A142,Sales_Ledger!$D$5:$D$863,2023)</f>
        <v/>
      </c>
      <c r="L142" s="17">
        <f>SUMIFS(Sales_Ledger!$J$5:$J$863,Sales_Ledger!$H$5:$H$863,$A142,Sales_Ledger!$D$5:$D$863,2024)</f>
        <v/>
      </c>
      <c r="M142" s="17">
        <f>SUMIFS(Sales_Ledger!$J$5:$J$863,Sales_Ledger!$H$5:$H$863,$A142,Sales_Ledger!$D$5:$D$863,2025)</f>
        <v/>
      </c>
      <c r="N142" s="17">
        <f>SUM(K142:M142)</f>
        <v/>
      </c>
      <c r="O142" s="15" t="inlineStr">
        <is>
          <t>Client register + Transaction records</t>
        </is>
      </c>
      <c r="P142" s="15" t="inlineStr">
        <is>
          <t>Bought</t>
        </is>
      </c>
      <c r="Q142" s="15" t="inlineStr">
        <is>
          <t>Mr Ogidan, Mr William Ogidan</t>
        </is>
      </c>
      <c r="R142" s="15">
        <f>IF(AND(I142&gt;0,N142&gt;I142*1.02),"Receipts exceed register contract value: check for duplicate entries, extra plots or ancillary fees",IF(AND(I142=0,N142&gt;0),"Not in client register: contract value unknown",""))</f>
        <v/>
      </c>
    </row>
    <row r="143">
      <c r="A143" s="15" t="inlineStr">
        <is>
          <t>BP-C0139</t>
        </is>
      </c>
      <c r="B143" s="15" t="inlineStr">
        <is>
          <t>Mr Felix Oluwatobi Adejumo</t>
        </is>
      </c>
      <c r="C143" s="15" t="n"/>
      <c r="D143" s="15" t="n"/>
      <c r="E143" s="15" t="inlineStr">
        <is>
          <t>Land</t>
        </is>
      </c>
      <c r="F143" s="15" t="inlineStr">
        <is>
          <t>Green City Phase 3 (Omu-Epe)</t>
        </is>
      </c>
      <c r="G143" s="16" t="n"/>
      <c r="H143" s="16">
        <f>IF(COUNTIF(Sales_Ledger!$H$5:$H$863,A143)=0,"",_xlfn.MINIFS(Sales_Ledger!$B$5:$B$863,Sales_Ledger!$H$5:$H$863,A143))</f>
        <v/>
      </c>
      <c r="I143" s="17">
        <f>SUMIFS(Subscriptions!$I$5:$I$218,Subscriptions!$B$5:$B$218,A143)</f>
        <v/>
      </c>
      <c r="J143" s="17">
        <f>SUMIFS(Subscriptions!$J$5:$J$218,Subscriptions!$B$5:$B$218,A143)</f>
        <v/>
      </c>
      <c r="K143" s="17">
        <f>SUMIFS(Sales_Ledger!$J$5:$J$863,Sales_Ledger!$H$5:$H$863,$A143,Sales_Ledger!$D$5:$D$863,2023)</f>
        <v/>
      </c>
      <c r="L143" s="17">
        <f>SUMIFS(Sales_Ledger!$J$5:$J$863,Sales_Ledger!$H$5:$H$863,$A143,Sales_Ledger!$D$5:$D$863,2024)</f>
        <v/>
      </c>
      <c r="M143" s="17">
        <f>SUMIFS(Sales_Ledger!$J$5:$J$863,Sales_Ledger!$H$5:$H$863,$A143,Sales_Ledger!$D$5:$D$863,2025)</f>
        <v/>
      </c>
      <c r="N143" s="17">
        <f>SUM(K143:M143)</f>
        <v/>
      </c>
      <c r="O143" s="15" t="inlineStr">
        <is>
          <t>Transaction records</t>
        </is>
      </c>
      <c r="P143" s="15" t="n"/>
      <c r="Q143" s="15" t="n"/>
      <c r="R143" s="15">
        <f>IF(AND(I143&gt;0,N143&gt;I143*1.02),"Receipts exceed register contract value: check for duplicate entries, extra plots or ancillary fees",IF(AND(I143=0,N143&gt;0),"Not in client register: contract value unknown",""))</f>
        <v/>
      </c>
    </row>
    <row r="144">
      <c r="A144" s="15" t="inlineStr">
        <is>
          <t>BP-C0140</t>
        </is>
      </c>
      <c r="B144" s="15" t="inlineStr">
        <is>
          <t>Mr Balogun Akeem Tokunbo</t>
        </is>
      </c>
      <c r="C144" s="15" t="inlineStr">
        <is>
          <t>08033348231, 09098926630 / 8033348231, 09098926630</t>
        </is>
      </c>
      <c r="D144" s="15" t="inlineStr">
        <is>
          <t>akeembalogun@hotmail.com</t>
        </is>
      </c>
      <c r="E144" s="15" t="inlineStr">
        <is>
          <t>Housing, Land</t>
        </is>
      </c>
      <c r="F144" s="15" t="inlineStr">
        <is>
          <t>Green City Phase 3 (Omu-Epe); Land (estate not stated in source); Pacific Apartment</t>
        </is>
      </c>
      <c r="G144" s="16" t="n">
        <v>45588</v>
      </c>
      <c r="H144" s="16">
        <f>IF(COUNTIF(Sales_Ledger!$H$5:$H$863,A144)=0,"",_xlfn.MINIFS(Sales_Ledger!$B$5:$B$863,Sales_Ledger!$H$5:$H$863,A144))</f>
        <v/>
      </c>
      <c r="I144" s="17">
        <f>SUMIFS(Subscriptions!$I$5:$I$218,Subscriptions!$B$5:$B$218,A144)</f>
        <v/>
      </c>
      <c r="J144" s="17">
        <f>SUMIFS(Subscriptions!$J$5:$J$218,Subscriptions!$B$5:$B$218,A144)</f>
        <v/>
      </c>
      <c r="K144" s="17">
        <f>SUMIFS(Sales_Ledger!$J$5:$J$863,Sales_Ledger!$H$5:$H$863,$A144,Sales_Ledger!$D$5:$D$863,2023)</f>
        <v/>
      </c>
      <c r="L144" s="17">
        <f>SUMIFS(Sales_Ledger!$J$5:$J$863,Sales_Ledger!$H$5:$H$863,$A144,Sales_Ledger!$D$5:$D$863,2024)</f>
        <v/>
      </c>
      <c r="M144" s="17">
        <f>SUMIFS(Sales_Ledger!$J$5:$J$863,Sales_Ledger!$H$5:$H$863,$A144,Sales_Ledger!$D$5:$D$863,2025)</f>
        <v/>
      </c>
      <c r="N144" s="17">
        <f>SUM(K144:M144)</f>
        <v/>
      </c>
      <c r="O144" s="15" t="inlineStr">
        <is>
          <t>Client register + Transaction records</t>
        </is>
      </c>
      <c r="P144" s="15" t="inlineStr">
        <is>
          <t>Bought</t>
        </is>
      </c>
      <c r="Q144" s="15" t="inlineStr">
        <is>
          <t>Client Relations/Marketing, Clients Relations/Accounts</t>
        </is>
      </c>
      <c r="R144" s="15">
        <f>IF(AND(I144&gt;0,N144&gt;I144*1.02),"Receipts exceed register contract value: check for duplicate entries, extra plots or ancillary fees",IF(AND(I144=0,N144&gt;0),"Not in client register: contract value unknown",""))</f>
        <v/>
      </c>
    </row>
    <row r="145">
      <c r="A145" s="15" t="inlineStr">
        <is>
          <t>BP-C0141</t>
        </is>
      </c>
      <c r="B145" s="15" t="inlineStr">
        <is>
          <t>Mr Aremu Kayode Sarafa</t>
        </is>
      </c>
      <c r="C145" s="15" t="inlineStr">
        <is>
          <t>08028388684, 08161170005</t>
        </is>
      </c>
      <c r="D145" s="15" t="inlineStr">
        <is>
          <t>aremukayode25@gmail.com</t>
        </is>
      </c>
      <c r="E145" s="15" t="inlineStr">
        <is>
          <t>Land</t>
        </is>
      </c>
      <c r="F145" s="15" t="inlineStr">
        <is>
          <t>Green City Phase 2 (Ketu-Epe); Land (estate not stated in source)</t>
        </is>
      </c>
      <c r="G145" s="16" t="n">
        <v>45595</v>
      </c>
      <c r="H145" s="16">
        <f>IF(COUNTIF(Sales_Ledger!$H$5:$H$863,A145)=0,"",_xlfn.MINIFS(Sales_Ledger!$B$5:$B$863,Sales_Ledger!$H$5:$H$863,A145))</f>
        <v/>
      </c>
      <c r="I145" s="17">
        <f>SUMIFS(Subscriptions!$I$5:$I$218,Subscriptions!$B$5:$B$218,A145)</f>
        <v/>
      </c>
      <c r="J145" s="17">
        <f>SUMIFS(Subscriptions!$J$5:$J$218,Subscriptions!$B$5:$B$218,A145)</f>
        <v/>
      </c>
      <c r="K145" s="17">
        <f>SUMIFS(Sales_Ledger!$J$5:$J$863,Sales_Ledger!$H$5:$H$863,$A145,Sales_Ledger!$D$5:$D$863,2023)</f>
        <v/>
      </c>
      <c r="L145" s="17">
        <f>SUMIFS(Sales_Ledger!$J$5:$J$863,Sales_Ledger!$H$5:$H$863,$A145,Sales_Ledger!$D$5:$D$863,2024)</f>
        <v/>
      </c>
      <c r="M145" s="17">
        <f>SUMIFS(Sales_Ledger!$J$5:$J$863,Sales_Ledger!$H$5:$H$863,$A145,Sales_Ledger!$D$5:$D$863,2025)</f>
        <v/>
      </c>
      <c r="N145" s="17">
        <f>SUM(K145:M145)</f>
        <v/>
      </c>
      <c r="O145" s="15" t="inlineStr">
        <is>
          <t>Client register + Transaction records</t>
        </is>
      </c>
      <c r="P145" s="15" t="inlineStr">
        <is>
          <t>Bought</t>
        </is>
      </c>
      <c r="Q145" s="15" t="inlineStr">
        <is>
          <t>Mr Ogidan Abiodun</t>
        </is>
      </c>
      <c r="R145" s="15">
        <f>IF(AND(I145&gt;0,N145&gt;I145*1.02),"Receipts exceed register contract value: check for duplicate entries, extra plots or ancillary fees",IF(AND(I145=0,N145&gt;0),"Not in client register: contract value unknown",""))</f>
        <v/>
      </c>
    </row>
    <row r="146">
      <c r="A146" s="15" t="inlineStr">
        <is>
          <t>BP-C0142</t>
        </is>
      </c>
      <c r="B146" s="15" t="inlineStr">
        <is>
          <t>Mr Simien Samuel &amp; Mrs Simien Oyindamola Adekunle</t>
        </is>
      </c>
      <c r="C146" s="15" t="n"/>
      <c r="D146" s="15" t="n"/>
      <c r="E146" s="15" t="inlineStr">
        <is>
          <t>Housing</t>
        </is>
      </c>
      <c r="F146" s="15" t="inlineStr">
        <is>
          <t>Pacific Apartment</t>
        </is>
      </c>
      <c r="G146" s="16" t="n"/>
      <c r="H146" s="16">
        <f>IF(COUNTIF(Sales_Ledger!$H$5:$H$863,A146)=0,"",_xlfn.MINIFS(Sales_Ledger!$B$5:$B$863,Sales_Ledger!$H$5:$H$863,A146))</f>
        <v/>
      </c>
      <c r="I146" s="17">
        <f>SUMIFS(Subscriptions!$I$5:$I$218,Subscriptions!$B$5:$B$218,A146)</f>
        <v/>
      </c>
      <c r="J146" s="17">
        <f>SUMIFS(Subscriptions!$J$5:$J$218,Subscriptions!$B$5:$B$218,A146)</f>
        <v/>
      </c>
      <c r="K146" s="17">
        <f>SUMIFS(Sales_Ledger!$J$5:$J$863,Sales_Ledger!$H$5:$H$863,$A146,Sales_Ledger!$D$5:$D$863,2023)</f>
        <v/>
      </c>
      <c r="L146" s="17">
        <f>SUMIFS(Sales_Ledger!$J$5:$J$863,Sales_Ledger!$H$5:$H$863,$A146,Sales_Ledger!$D$5:$D$863,2024)</f>
        <v/>
      </c>
      <c r="M146" s="17">
        <f>SUMIFS(Sales_Ledger!$J$5:$J$863,Sales_Ledger!$H$5:$H$863,$A146,Sales_Ledger!$D$5:$D$863,2025)</f>
        <v/>
      </c>
      <c r="N146" s="17">
        <f>SUM(K146:M146)</f>
        <v/>
      </c>
      <c r="O146" s="15" t="inlineStr">
        <is>
          <t>Transaction records</t>
        </is>
      </c>
      <c r="P146" s="15" t="n"/>
      <c r="Q146" s="15" t="n"/>
      <c r="R146" s="15">
        <f>IF(AND(I146&gt;0,N146&gt;I146*1.02),"Receipts exceed register contract value: check for duplicate entries, extra plots or ancillary fees",IF(AND(I146=0,N146&gt;0),"Not in client register: contract value unknown",""))</f>
        <v/>
      </c>
    </row>
    <row r="147">
      <c r="A147" s="15" t="inlineStr">
        <is>
          <t>BP-C0143</t>
        </is>
      </c>
      <c r="B147" s="15" t="inlineStr">
        <is>
          <t>Mrs Oyindamola Duntoye Adekunle</t>
        </is>
      </c>
      <c r="C147" s="15" t="inlineStr">
        <is>
          <t>8167135621</t>
        </is>
      </c>
      <c r="D147" s="15" t="inlineStr">
        <is>
          <t>oyinda.simien@yahoo.com</t>
        </is>
      </c>
      <c r="E147" s="15" t="inlineStr">
        <is>
          <t>Housing</t>
        </is>
      </c>
      <c r="F147" s="15" t="inlineStr">
        <is>
          <t>Pacific Apartment</t>
        </is>
      </c>
      <c r="G147" s="16" t="n">
        <v>45595</v>
      </c>
      <c r="H147" s="16">
        <f>IF(COUNTIF(Sales_Ledger!$H$5:$H$863,A147)=0,"",_xlfn.MINIFS(Sales_Ledger!$B$5:$B$863,Sales_Ledger!$H$5:$H$863,A147))</f>
        <v/>
      </c>
      <c r="I147" s="17">
        <f>SUMIFS(Subscriptions!$I$5:$I$218,Subscriptions!$B$5:$B$218,A147)</f>
        <v/>
      </c>
      <c r="J147" s="17">
        <f>SUMIFS(Subscriptions!$J$5:$J$218,Subscriptions!$B$5:$B$218,A147)</f>
        <v/>
      </c>
      <c r="K147" s="17">
        <f>SUMIFS(Sales_Ledger!$J$5:$J$863,Sales_Ledger!$H$5:$H$863,$A147,Sales_Ledger!$D$5:$D$863,2023)</f>
        <v/>
      </c>
      <c r="L147" s="17">
        <f>SUMIFS(Sales_Ledger!$J$5:$J$863,Sales_Ledger!$H$5:$H$863,$A147,Sales_Ledger!$D$5:$D$863,2024)</f>
        <v/>
      </c>
      <c r="M147" s="17">
        <f>SUMIFS(Sales_Ledger!$J$5:$J$863,Sales_Ledger!$H$5:$H$863,$A147,Sales_Ledger!$D$5:$D$863,2025)</f>
        <v/>
      </c>
      <c r="N147" s="17">
        <f>SUM(K147:M147)</f>
        <v/>
      </c>
      <c r="O147" s="15" t="inlineStr">
        <is>
          <t>Client register + Transaction records</t>
        </is>
      </c>
      <c r="P147" s="15" t="inlineStr">
        <is>
          <t>Bought</t>
        </is>
      </c>
      <c r="Q147" s="15" t="inlineStr">
        <is>
          <t>Clients Relation/Accounts</t>
        </is>
      </c>
      <c r="R147" s="15">
        <f>IF(AND(I147&gt;0,N147&gt;I147*1.02),"Receipts exceed register contract value: check for duplicate entries, extra plots or ancillary fees",IF(AND(I147=0,N147&gt;0),"Not in client register: contract value unknown",""))</f>
        <v/>
      </c>
    </row>
    <row r="148">
      <c r="A148" s="15" t="inlineStr">
        <is>
          <t>BP-C0144</t>
        </is>
      </c>
      <c r="B148" s="15" t="inlineStr">
        <is>
          <t>Miss Thomas Bukola Comfort</t>
        </is>
      </c>
      <c r="C148" s="15" t="n"/>
      <c r="D148" s="15" t="n"/>
      <c r="E148" s="15" t="inlineStr">
        <is>
          <t>Land</t>
        </is>
      </c>
      <c r="F148" s="15" t="inlineStr">
        <is>
          <t>Green City Phase 3 (Omu-Epe)</t>
        </is>
      </c>
      <c r="G148" s="16" t="n"/>
      <c r="H148" s="16">
        <f>IF(COUNTIF(Sales_Ledger!$H$5:$H$863,A148)=0,"",_xlfn.MINIFS(Sales_Ledger!$B$5:$B$863,Sales_Ledger!$H$5:$H$863,A148))</f>
        <v/>
      </c>
      <c r="I148" s="17">
        <f>SUMIFS(Subscriptions!$I$5:$I$218,Subscriptions!$B$5:$B$218,A148)</f>
        <v/>
      </c>
      <c r="J148" s="17">
        <f>SUMIFS(Subscriptions!$J$5:$J$218,Subscriptions!$B$5:$B$218,A148)</f>
        <v/>
      </c>
      <c r="K148" s="17">
        <f>SUMIFS(Sales_Ledger!$J$5:$J$863,Sales_Ledger!$H$5:$H$863,$A148,Sales_Ledger!$D$5:$D$863,2023)</f>
        <v/>
      </c>
      <c r="L148" s="17">
        <f>SUMIFS(Sales_Ledger!$J$5:$J$863,Sales_Ledger!$H$5:$H$863,$A148,Sales_Ledger!$D$5:$D$863,2024)</f>
        <v/>
      </c>
      <c r="M148" s="17">
        <f>SUMIFS(Sales_Ledger!$J$5:$J$863,Sales_Ledger!$H$5:$H$863,$A148,Sales_Ledger!$D$5:$D$863,2025)</f>
        <v/>
      </c>
      <c r="N148" s="17">
        <f>SUM(K148:M148)</f>
        <v/>
      </c>
      <c r="O148" s="15" t="inlineStr">
        <is>
          <t>Transaction records</t>
        </is>
      </c>
      <c r="P148" s="15" t="n"/>
      <c r="Q148" s="15" t="n"/>
      <c r="R148" s="15">
        <f>IF(AND(I148&gt;0,N148&gt;I148*1.02),"Receipts exceed register contract value: check for duplicate entries, extra plots or ancillary fees",IF(AND(I148=0,N148&gt;0),"Not in client register: contract value unknown",""))</f>
        <v/>
      </c>
    </row>
    <row r="149">
      <c r="A149" s="15" t="inlineStr">
        <is>
          <t>BP-C0145</t>
        </is>
      </c>
      <c r="B149" s="15" t="inlineStr">
        <is>
          <t>Barr Keshinro Phebe Oluwatunmise</t>
        </is>
      </c>
      <c r="C149" s="15" t="inlineStr">
        <is>
          <t>8031557468</t>
        </is>
      </c>
      <c r="D149" s="15" t="inlineStr">
        <is>
          <t>keshinro.phebe@gmail.com</t>
        </is>
      </c>
      <c r="E149" s="15" t="inlineStr">
        <is>
          <t>Housing</t>
        </is>
      </c>
      <c r="F149" s="15" t="inlineStr">
        <is>
          <t>Pacific Apartment</t>
        </is>
      </c>
      <c r="G149" s="16" t="n">
        <v>45605</v>
      </c>
      <c r="H149" s="16">
        <f>IF(COUNTIF(Sales_Ledger!$H$5:$H$863,A149)=0,"",_xlfn.MINIFS(Sales_Ledger!$B$5:$B$863,Sales_Ledger!$H$5:$H$863,A149))</f>
        <v/>
      </c>
      <c r="I149" s="17">
        <f>SUMIFS(Subscriptions!$I$5:$I$218,Subscriptions!$B$5:$B$218,A149)</f>
        <v/>
      </c>
      <c r="J149" s="17">
        <f>SUMIFS(Subscriptions!$J$5:$J$218,Subscriptions!$B$5:$B$218,A149)</f>
        <v/>
      </c>
      <c r="K149" s="17">
        <f>SUMIFS(Sales_Ledger!$J$5:$J$863,Sales_Ledger!$H$5:$H$863,$A149,Sales_Ledger!$D$5:$D$863,2023)</f>
        <v/>
      </c>
      <c r="L149" s="17">
        <f>SUMIFS(Sales_Ledger!$J$5:$J$863,Sales_Ledger!$H$5:$H$863,$A149,Sales_Ledger!$D$5:$D$863,2024)</f>
        <v/>
      </c>
      <c r="M149" s="17">
        <f>SUMIFS(Sales_Ledger!$J$5:$J$863,Sales_Ledger!$H$5:$H$863,$A149,Sales_Ledger!$D$5:$D$863,2025)</f>
        <v/>
      </c>
      <c r="N149" s="17">
        <f>SUM(K149:M149)</f>
        <v/>
      </c>
      <c r="O149" s="15" t="inlineStr">
        <is>
          <t>Client register + Transaction records</t>
        </is>
      </c>
      <c r="P149" s="15" t="inlineStr">
        <is>
          <t>Paying</t>
        </is>
      </c>
      <c r="Q149" s="15" t="inlineStr">
        <is>
          <t>Mr Charles</t>
        </is>
      </c>
      <c r="R149" s="15">
        <f>IF(AND(I149&gt;0,N149&gt;I149*1.02),"Receipts exceed register contract value: check for duplicate entries, extra plots or ancillary fees",IF(AND(I149=0,N149&gt;0),"Not in client register: contract value unknown",""))</f>
        <v/>
      </c>
    </row>
    <row r="150">
      <c r="A150" s="15" t="inlineStr">
        <is>
          <t>BP-C0146</t>
        </is>
      </c>
      <c r="B150" s="15" t="inlineStr">
        <is>
          <t>Mrs Tijani Tawa Motunrayo</t>
        </is>
      </c>
      <c r="C150" s="15" t="inlineStr">
        <is>
          <t>09119149931, 07062291891</t>
        </is>
      </c>
      <c r="D150" s="15" t="inlineStr">
        <is>
          <t>lekanborty@gmail.com</t>
        </is>
      </c>
      <c r="E150" s="15" t="inlineStr">
        <is>
          <t>Land</t>
        </is>
      </c>
      <c r="F150" s="15" t="inlineStr">
        <is>
          <t>Green City Phase 3 (Omu-Epe); Land (estate not stated in source)</t>
        </is>
      </c>
      <c r="G150" s="16" t="n">
        <v>45610</v>
      </c>
      <c r="H150" s="16">
        <f>IF(COUNTIF(Sales_Ledger!$H$5:$H$863,A150)=0,"",_xlfn.MINIFS(Sales_Ledger!$B$5:$B$863,Sales_Ledger!$H$5:$H$863,A150))</f>
        <v/>
      </c>
      <c r="I150" s="17">
        <f>SUMIFS(Subscriptions!$I$5:$I$218,Subscriptions!$B$5:$B$218,A150)</f>
        <v/>
      </c>
      <c r="J150" s="17">
        <f>SUMIFS(Subscriptions!$J$5:$J$218,Subscriptions!$B$5:$B$218,A150)</f>
        <v/>
      </c>
      <c r="K150" s="17">
        <f>SUMIFS(Sales_Ledger!$J$5:$J$863,Sales_Ledger!$H$5:$H$863,$A150,Sales_Ledger!$D$5:$D$863,2023)</f>
        <v/>
      </c>
      <c r="L150" s="17">
        <f>SUMIFS(Sales_Ledger!$J$5:$J$863,Sales_Ledger!$H$5:$H$863,$A150,Sales_Ledger!$D$5:$D$863,2024)</f>
        <v/>
      </c>
      <c r="M150" s="17">
        <f>SUMIFS(Sales_Ledger!$J$5:$J$863,Sales_Ledger!$H$5:$H$863,$A150,Sales_Ledger!$D$5:$D$863,2025)</f>
        <v/>
      </c>
      <c r="N150" s="17">
        <f>SUM(K150:M150)</f>
        <v/>
      </c>
      <c r="O150" s="15" t="inlineStr">
        <is>
          <t>Client register + Transaction records</t>
        </is>
      </c>
      <c r="P150" s="15" t="inlineStr">
        <is>
          <t>Bought</t>
        </is>
      </c>
      <c r="Q150" s="15" t="inlineStr">
        <is>
          <t>Ms Mayowa Awonorin</t>
        </is>
      </c>
      <c r="R150" s="15">
        <f>IF(AND(I150&gt;0,N150&gt;I150*1.02),"Receipts exceed register contract value: check for duplicate entries, extra plots or ancillary fees",IF(AND(I150=0,N150&gt;0),"Not in client register: contract value unknown",""))</f>
        <v/>
      </c>
    </row>
    <row r="151">
      <c r="A151" s="15" t="inlineStr">
        <is>
          <t>BP-C0147</t>
        </is>
      </c>
      <c r="B151" s="15" t="inlineStr">
        <is>
          <t>Pastor Ikechukwu Jeremiah &amp; Deaconess Ikechukwu Rose Iju</t>
        </is>
      </c>
      <c r="C151" s="15" t="n"/>
      <c r="D151" s="15" t="n"/>
      <c r="E151" s="15" t="inlineStr">
        <is>
          <t>Land</t>
        </is>
      </c>
      <c r="F151" s="15" t="inlineStr">
        <is>
          <t>Land: ancillary charges</t>
        </is>
      </c>
      <c r="G151" s="16" t="n"/>
      <c r="H151" s="16">
        <f>IF(COUNTIF(Sales_Ledger!$H$5:$H$863,A151)=0,"",_xlfn.MINIFS(Sales_Ledger!$B$5:$B$863,Sales_Ledger!$H$5:$H$863,A151))</f>
        <v/>
      </c>
      <c r="I151" s="17">
        <f>SUMIFS(Subscriptions!$I$5:$I$218,Subscriptions!$B$5:$B$218,A151)</f>
        <v/>
      </c>
      <c r="J151" s="17">
        <f>SUMIFS(Subscriptions!$J$5:$J$218,Subscriptions!$B$5:$B$218,A151)</f>
        <v/>
      </c>
      <c r="K151" s="17">
        <f>SUMIFS(Sales_Ledger!$J$5:$J$863,Sales_Ledger!$H$5:$H$863,$A151,Sales_Ledger!$D$5:$D$863,2023)</f>
        <v/>
      </c>
      <c r="L151" s="17">
        <f>SUMIFS(Sales_Ledger!$J$5:$J$863,Sales_Ledger!$H$5:$H$863,$A151,Sales_Ledger!$D$5:$D$863,2024)</f>
        <v/>
      </c>
      <c r="M151" s="17">
        <f>SUMIFS(Sales_Ledger!$J$5:$J$863,Sales_Ledger!$H$5:$H$863,$A151,Sales_Ledger!$D$5:$D$863,2025)</f>
        <v/>
      </c>
      <c r="N151" s="17">
        <f>SUM(K151:M151)</f>
        <v/>
      </c>
      <c r="O151" s="15" t="inlineStr">
        <is>
          <t>Transaction records</t>
        </is>
      </c>
      <c r="P151" s="15" t="n"/>
      <c r="Q151" s="15" t="n"/>
      <c r="R151" s="15">
        <f>IF(AND(I151&gt;0,N151&gt;I151*1.02),"Receipts exceed register contract value: check for duplicate entries, extra plots or ancillary fees",IF(AND(I151=0,N151&gt;0),"Not in client register: contract value unknown",""))</f>
        <v/>
      </c>
    </row>
    <row r="152">
      <c r="A152" s="15" t="inlineStr">
        <is>
          <t>BP-C0148</t>
        </is>
      </c>
      <c r="B152" s="15" t="inlineStr">
        <is>
          <t>Mr Akinsete Michael Abayomi</t>
        </is>
      </c>
      <c r="C152" s="15" t="inlineStr">
        <is>
          <t>9031616467</t>
        </is>
      </c>
      <c r="D152" s="15" t="inlineStr">
        <is>
          <t>mike.akinsete@gmail.com</t>
        </is>
      </c>
      <c r="E152" s="15" t="inlineStr">
        <is>
          <t>Land</t>
        </is>
      </c>
      <c r="F152" s="15" t="inlineStr">
        <is>
          <t>Green City Phase 2 (Ketu-Epe); Land (estate not stated in source)</t>
        </is>
      </c>
      <c r="G152" s="16" t="n">
        <v>45625</v>
      </c>
      <c r="H152" s="16">
        <f>IF(COUNTIF(Sales_Ledger!$H$5:$H$863,A152)=0,"",_xlfn.MINIFS(Sales_Ledger!$B$5:$B$863,Sales_Ledger!$H$5:$H$863,A152))</f>
        <v/>
      </c>
      <c r="I152" s="17">
        <f>SUMIFS(Subscriptions!$I$5:$I$218,Subscriptions!$B$5:$B$218,A152)</f>
        <v/>
      </c>
      <c r="J152" s="17">
        <f>SUMIFS(Subscriptions!$J$5:$J$218,Subscriptions!$B$5:$B$218,A152)</f>
        <v/>
      </c>
      <c r="K152" s="17">
        <f>SUMIFS(Sales_Ledger!$J$5:$J$863,Sales_Ledger!$H$5:$H$863,$A152,Sales_Ledger!$D$5:$D$863,2023)</f>
        <v/>
      </c>
      <c r="L152" s="17">
        <f>SUMIFS(Sales_Ledger!$J$5:$J$863,Sales_Ledger!$H$5:$H$863,$A152,Sales_Ledger!$D$5:$D$863,2024)</f>
        <v/>
      </c>
      <c r="M152" s="17">
        <f>SUMIFS(Sales_Ledger!$J$5:$J$863,Sales_Ledger!$H$5:$H$863,$A152,Sales_Ledger!$D$5:$D$863,2025)</f>
        <v/>
      </c>
      <c r="N152" s="17">
        <f>SUM(K152:M152)</f>
        <v/>
      </c>
      <c r="O152" s="15" t="inlineStr">
        <is>
          <t>Client register + Transaction records</t>
        </is>
      </c>
      <c r="P152" s="15" t="inlineStr">
        <is>
          <t>Paying</t>
        </is>
      </c>
      <c r="Q152" s="15" t="inlineStr">
        <is>
          <t>MD</t>
        </is>
      </c>
      <c r="R152" s="15">
        <f>IF(AND(I152&gt;0,N152&gt;I152*1.02),"Receipts exceed register contract value: check for duplicate entries, extra plots or ancillary fees",IF(AND(I152=0,N152&gt;0),"Not in client register: contract value unknown",""))</f>
        <v/>
      </c>
    </row>
    <row r="153">
      <c r="A153" s="15" t="inlineStr">
        <is>
          <t>BP-C0149</t>
        </is>
      </c>
      <c r="B153" s="15" t="inlineStr">
        <is>
          <t>Mr Uneze Grant Chetanna</t>
        </is>
      </c>
      <c r="C153" s="15" t="inlineStr">
        <is>
          <t>7015040484, +447376355823</t>
        </is>
      </c>
      <c r="D153" s="15" t="inlineStr">
        <is>
          <t>grantuneze@gmail.com</t>
        </is>
      </c>
      <c r="E153" s="15" t="inlineStr">
        <is>
          <t>Land</t>
        </is>
      </c>
      <c r="F153" s="15" t="inlineStr">
        <is>
          <t>Green City Phase 3 (Omu-Epe)</t>
        </is>
      </c>
      <c r="G153" s="16" t="n">
        <v>45625</v>
      </c>
      <c r="H153" s="16">
        <f>IF(COUNTIF(Sales_Ledger!$H$5:$H$863,A153)=0,"",_xlfn.MINIFS(Sales_Ledger!$B$5:$B$863,Sales_Ledger!$H$5:$H$863,A153))</f>
        <v/>
      </c>
      <c r="I153" s="17">
        <f>SUMIFS(Subscriptions!$I$5:$I$218,Subscriptions!$B$5:$B$218,A153)</f>
        <v/>
      </c>
      <c r="J153" s="17">
        <f>SUMIFS(Subscriptions!$J$5:$J$218,Subscriptions!$B$5:$B$218,A153)</f>
        <v/>
      </c>
      <c r="K153" s="17">
        <f>SUMIFS(Sales_Ledger!$J$5:$J$863,Sales_Ledger!$H$5:$H$863,$A153,Sales_Ledger!$D$5:$D$863,2023)</f>
        <v/>
      </c>
      <c r="L153" s="17">
        <f>SUMIFS(Sales_Ledger!$J$5:$J$863,Sales_Ledger!$H$5:$H$863,$A153,Sales_Ledger!$D$5:$D$863,2024)</f>
        <v/>
      </c>
      <c r="M153" s="17">
        <f>SUMIFS(Sales_Ledger!$J$5:$J$863,Sales_Ledger!$H$5:$H$863,$A153,Sales_Ledger!$D$5:$D$863,2025)</f>
        <v/>
      </c>
      <c r="N153" s="17">
        <f>SUM(K153:M153)</f>
        <v/>
      </c>
      <c r="O153" s="15" t="inlineStr">
        <is>
          <t>Client register + Transaction records</t>
        </is>
      </c>
      <c r="P153" s="15" t="inlineStr">
        <is>
          <t>Bought</t>
        </is>
      </c>
      <c r="Q153" s="15" t="inlineStr">
        <is>
          <t>Ms Samuella</t>
        </is>
      </c>
      <c r="R153" s="15">
        <f>IF(AND(I153&gt;0,N153&gt;I153*1.02),"Receipts exceed register contract value: check for duplicate entries, extra plots or ancillary fees",IF(AND(I153=0,N153&gt;0),"Not in client register: contract value unknown",""))</f>
        <v/>
      </c>
    </row>
    <row r="154">
      <c r="A154" s="15" t="inlineStr">
        <is>
          <t>BP-C0150</t>
        </is>
      </c>
      <c r="B154" s="15" t="inlineStr">
        <is>
          <t>Mr Ajiboso Damilare Moses &amp; Mrs Ajiboso Gbemisola Rachael</t>
        </is>
      </c>
      <c r="C154" s="15" t="inlineStr">
        <is>
          <t>447405232994, 07404542894</t>
        </is>
      </c>
      <c r="D154" s="15" t="inlineStr">
        <is>
          <t>ajibosodamilare@gmail.com</t>
        </is>
      </c>
      <c r="E154" s="15" t="inlineStr">
        <is>
          <t>Land</t>
        </is>
      </c>
      <c r="F154" s="15" t="inlineStr">
        <is>
          <t>Green City Phase 3 (Omu-Epe); Land (estate not stated in source)</t>
        </is>
      </c>
      <c r="G154" s="16" t="n">
        <v>45626</v>
      </c>
      <c r="H154" s="16">
        <f>IF(COUNTIF(Sales_Ledger!$H$5:$H$863,A154)=0,"",_xlfn.MINIFS(Sales_Ledger!$B$5:$B$863,Sales_Ledger!$H$5:$H$863,A154))</f>
        <v/>
      </c>
      <c r="I154" s="17">
        <f>SUMIFS(Subscriptions!$I$5:$I$218,Subscriptions!$B$5:$B$218,A154)</f>
        <v/>
      </c>
      <c r="J154" s="17">
        <f>SUMIFS(Subscriptions!$J$5:$J$218,Subscriptions!$B$5:$B$218,A154)</f>
        <v/>
      </c>
      <c r="K154" s="17">
        <f>SUMIFS(Sales_Ledger!$J$5:$J$863,Sales_Ledger!$H$5:$H$863,$A154,Sales_Ledger!$D$5:$D$863,2023)</f>
        <v/>
      </c>
      <c r="L154" s="17">
        <f>SUMIFS(Sales_Ledger!$J$5:$J$863,Sales_Ledger!$H$5:$H$863,$A154,Sales_Ledger!$D$5:$D$863,2024)</f>
        <v/>
      </c>
      <c r="M154" s="17">
        <f>SUMIFS(Sales_Ledger!$J$5:$J$863,Sales_Ledger!$H$5:$H$863,$A154,Sales_Ledger!$D$5:$D$863,2025)</f>
        <v/>
      </c>
      <c r="N154" s="17">
        <f>SUM(K154:M154)</f>
        <v/>
      </c>
      <c r="O154" s="15" t="inlineStr">
        <is>
          <t>Client register + Transaction records</t>
        </is>
      </c>
      <c r="P154" s="15" t="inlineStr">
        <is>
          <t>Bought</t>
        </is>
      </c>
      <c r="Q154" s="15" t="inlineStr">
        <is>
          <t>Ms Adenike</t>
        </is>
      </c>
      <c r="R154" s="15">
        <f>IF(AND(I154&gt;0,N154&gt;I154*1.02),"Receipts exceed register contract value: check for duplicate entries, extra plots or ancillary fees",IF(AND(I154=0,N154&gt;0),"Not in client register: contract value unknown",""))</f>
        <v/>
      </c>
    </row>
    <row r="155">
      <c r="A155" s="15" t="inlineStr">
        <is>
          <t>BP-C0151</t>
        </is>
      </c>
      <c r="B155" s="15" t="inlineStr">
        <is>
          <t>Mrs Shotonwa Olamide Abosede</t>
        </is>
      </c>
      <c r="C155" s="15" t="inlineStr">
        <is>
          <t>081306000172, 07014973091</t>
        </is>
      </c>
      <c r="D155" s="15" t="inlineStr">
        <is>
          <t>shotonwaolamide@gmail.com</t>
        </is>
      </c>
      <c r="E155" s="15" t="inlineStr">
        <is>
          <t>Land</t>
        </is>
      </c>
      <c r="F155" s="15" t="inlineStr">
        <is>
          <t>Green City Phase 3 (Omu-Epe); Land (estate not stated in source)</t>
        </is>
      </c>
      <c r="G155" s="16" t="n">
        <v>45626</v>
      </c>
      <c r="H155" s="16">
        <f>IF(COUNTIF(Sales_Ledger!$H$5:$H$863,A155)=0,"",_xlfn.MINIFS(Sales_Ledger!$B$5:$B$863,Sales_Ledger!$H$5:$H$863,A155))</f>
        <v/>
      </c>
      <c r="I155" s="17">
        <f>SUMIFS(Subscriptions!$I$5:$I$218,Subscriptions!$B$5:$B$218,A155)</f>
        <v/>
      </c>
      <c r="J155" s="17">
        <f>SUMIFS(Subscriptions!$J$5:$J$218,Subscriptions!$B$5:$B$218,A155)</f>
        <v/>
      </c>
      <c r="K155" s="17">
        <f>SUMIFS(Sales_Ledger!$J$5:$J$863,Sales_Ledger!$H$5:$H$863,$A155,Sales_Ledger!$D$5:$D$863,2023)</f>
        <v/>
      </c>
      <c r="L155" s="17">
        <f>SUMIFS(Sales_Ledger!$J$5:$J$863,Sales_Ledger!$H$5:$H$863,$A155,Sales_Ledger!$D$5:$D$863,2024)</f>
        <v/>
      </c>
      <c r="M155" s="17">
        <f>SUMIFS(Sales_Ledger!$J$5:$J$863,Sales_Ledger!$H$5:$H$863,$A155,Sales_Ledger!$D$5:$D$863,2025)</f>
        <v/>
      </c>
      <c r="N155" s="17">
        <f>SUM(K155:M155)</f>
        <v/>
      </c>
      <c r="O155" s="15" t="inlineStr">
        <is>
          <t>Client register + Transaction records</t>
        </is>
      </c>
      <c r="P155" s="15" t="inlineStr">
        <is>
          <t>Bought</t>
        </is>
      </c>
      <c r="Q155" s="15" t="inlineStr">
        <is>
          <t>Ms Adenike</t>
        </is>
      </c>
      <c r="R155" s="15">
        <f>IF(AND(I155&gt;0,N155&gt;I155*1.02),"Receipts exceed register contract value: check for duplicate entries, extra plots or ancillary fees",IF(AND(I155=0,N155&gt;0),"Not in client register: contract value unknown",""))</f>
        <v/>
      </c>
    </row>
    <row r="156">
      <c r="A156" s="15" t="inlineStr">
        <is>
          <t>BP-C0152</t>
        </is>
      </c>
      <c r="B156" s="15" t="inlineStr">
        <is>
          <t>Mr Iyama Godsauthority Chinedu</t>
        </is>
      </c>
      <c r="C156" s="15" t="inlineStr">
        <is>
          <t>08109402253, 09134901279</t>
        </is>
      </c>
      <c r="D156" s="15" t="inlineStr">
        <is>
          <t>godsauthorityiyama@gmail.com</t>
        </is>
      </c>
      <c r="E156" s="15" t="inlineStr">
        <is>
          <t>Land</t>
        </is>
      </c>
      <c r="F156" s="15" t="inlineStr">
        <is>
          <t>Green City Phase 3 Extension (Omu-Epe)</t>
        </is>
      </c>
      <c r="G156" s="16" t="n">
        <v>45630</v>
      </c>
      <c r="H156" s="16">
        <f>IF(COUNTIF(Sales_Ledger!$H$5:$H$863,A156)=0,"",_xlfn.MINIFS(Sales_Ledger!$B$5:$B$863,Sales_Ledger!$H$5:$H$863,A156))</f>
        <v/>
      </c>
      <c r="I156" s="17">
        <f>SUMIFS(Subscriptions!$I$5:$I$218,Subscriptions!$B$5:$B$218,A156)</f>
        <v/>
      </c>
      <c r="J156" s="17">
        <f>SUMIFS(Subscriptions!$J$5:$J$218,Subscriptions!$B$5:$B$218,A156)</f>
        <v/>
      </c>
      <c r="K156" s="17">
        <f>SUMIFS(Sales_Ledger!$J$5:$J$863,Sales_Ledger!$H$5:$H$863,$A156,Sales_Ledger!$D$5:$D$863,2023)</f>
        <v/>
      </c>
      <c r="L156" s="17">
        <f>SUMIFS(Sales_Ledger!$J$5:$J$863,Sales_Ledger!$H$5:$H$863,$A156,Sales_Ledger!$D$5:$D$863,2024)</f>
        <v/>
      </c>
      <c r="M156" s="17">
        <f>SUMIFS(Sales_Ledger!$J$5:$J$863,Sales_Ledger!$H$5:$H$863,$A156,Sales_Ledger!$D$5:$D$863,2025)</f>
        <v/>
      </c>
      <c r="N156" s="17">
        <f>SUM(K156:M156)</f>
        <v/>
      </c>
      <c r="O156" s="15" t="inlineStr">
        <is>
          <t>Client register</t>
        </is>
      </c>
      <c r="P156" s="15" t="inlineStr">
        <is>
          <t>REFUND</t>
        </is>
      </c>
      <c r="Q156" s="15" t="inlineStr">
        <is>
          <t>Mr Daniel</t>
        </is>
      </c>
      <c r="R156" s="15">
        <f>IF(AND(I156&gt;0,N156&gt;I156*1.02),"Receipts exceed register contract value: check for duplicate entries, extra plots or ancillary fees",IF(AND(I156=0,N156&gt;0),"Not in client register: contract value unknown",""))</f>
        <v/>
      </c>
    </row>
    <row r="157">
      <c r="A157" s="15" t="inlineStr">
        <is>
          <t>BP-C0153</t>
        </is>
      </c>
      <c r="B157" s="15" t="inlineStr">
        <is>
          <t>Miss Ademakinwa Abosede Wuraola</t>
        </is>
      </c>
      <c r="C157" s="15" t="inlineStr">
        <is>
          <t>07015779671, 08106836680</t>
        </is>
      </c>
      <c r="D157" s="15" t="inlineStr">
        <is>
          <t>ademakinwaabosede123@gmail.com</t>
        </is>
      </c>
      <c r="E157" s="15" t="inlineStr">
        <is>
          <t>Land</t>
        </is>
      </c>
      <c r="F157" s="15" t="inlineStr">
        <is>
          <t>Green City Ibadan (Akinyele-Moniya); Land (estate not stated in source)</t>
        </is>
      </c>
      <c r="G157" s="16" t="n">
        <v>45641</v>
      </c>
      <c r="H157" s="16">
        <f>IF(COUNTIF(Sales_Ledger!$H$5:$H$863,A157)=0,"",_xlfn.MINIFS(Sales_Ledger!$B$5:$B$863,Sales_Ledger!$H$5:$H$863,A157))</f>
        <v/>
      </c>
      <c r="I157" s="17">
        <f>SUMIFS(Subscriptions!$I$5:$I$218,Subscriptions!$B$5:$B$218,A157)</f>
        <v/>
      </c>
      <c r="J157" s="17">
        <f>SUMIFS(Subscriptions!$J$5:$J$218,Subscriptions!$B$5:$B$218,A157)</f>
        <v/>
      </c>
      <c r="K157" s="17">
        <f>SUMIFS(Sales_Ledger!$J$5:$J$863,Sales_Ledger!$H$5:$H$863,$A157,Sales_Ledger!$D$5:$D$863,2023)</f>
        <v/>
      </c>
      <c r="L157" s="17">
        <f>SUMIFS(Sales_Ledger!$J$5:$J$863,Sales_Ledger!$H$5:$H$863,$A157,Sales_Ledger!$D$5:$D$863,2024)</f>
        <v/>
      </c>
      <c r="M157" s="17">
        <f>SUMIFS(Sales_Ledger!$J$5:$J$863,Sales_Ledger!$H$5:$H$863,$A157,Sales_Ledger!$D$5:$D$863,2025)</f>
        <v/>
      </c>
      <c r="N157" s="17">
        <f>SUM(K157:M157)</f>
        <v/>
      </c>
      <c r="O157" s="15" t="inlineStr">
        <is>
          <t>Client register + Transaction records</t>
        </is>
      </c>
      <c r="P157" s="15" t="inlineStr">
        <is>
          <t>Bought</t>
        </is>
      </c>
      <c r="Q157" s="15" t="inlineStr">
        <is>
          <t>Miss Abosede (Team Taiwo)</t>
        </is>
      </c>
      <c r="R157" s="15">
        <f>IF(AND(I157&gt;0,N157&gt;I157*1.02),"Receipts exceed register contract value: check for duplicate entries, extra plots or ancillary fees",IF(AND(I157=0,N157&gt;0),"Not in client register: contract value unknown",""))</f>
        <v/>
      </c>
    </row>
    <row r="158">
      <c r="A158" s="15" t="inlineStr">
        <is>
          <t>BP-C0154</t>
        </is>
      </c>
      <c r="B158" s="15" t="inlineStr">
        <is>
          <t>Mr Adepoju Adewale Emmanuel</t>
        </is>
      </c>
      <c r="C158" s="15" t="inlineStr">
        <is>
          <t>08056367523, 09174021220</t>
        </is>
      </c>
      <c r="D158" s="15" t="inlineStr">
        <is>
          <t>wayles77@gmail.com</t>
        </is>
      </c>
      <c r="E158" s="15" t="inlineStr">
        <is>
          <t>Land</t>
        </is>
      </c>
      <c r="F158" s="15" t="inlineStr">
        <is>
          <t>Green City Ibadan (Akinyele-Moniya); Land (estate not stated in source)</t>
        </is>
      </c>
      <c r="G158" s="16" t="n">
        <v>45641</v>
      </c>
      <c r="H158" s="16">
        <f>IF(COUNTIF(Sales_Ledger!$H$5:$H$863,A158)=0,"",_xlfn.MINIFS(Sales_Ledger!$B$5:$B$863,Sales_Ledger!$H$5:$H$863,A158))</f>
        <v/>
      </c>
      <c r="I158" s="17">
        <f>SUMIFS(Subscriptions!$I$5:$I$218,Subscriptions!$B$5:$B$218,A158)</f>
        <v/>
      </c>
      <c r="J158" s="17">
        <f>SUMIFS(Subscriptions!$J$5:$J$218,Subscriptions!$B$5:$B$218,A158)</f>
        <v/>
      </c>
      <c r="K158" s="17">
        <f>SUMIFS(Sales_Ledger!$J$5:$J$863,Sales_Ledger!$H$5:$H$863,$A158,Sales_Ledger!$D$5:$D$863,2023)</f>
        <v/>
      </c>
      <c r="L158" s="17">
        <f>SUMIFS(Sales_Ledger!$J$5:$J$863,Sales_Ledger!$H$5:$H$863,$A158,Sales_Ledger!$D$5:$D$863,2024)</f>
        <v/>
      </c>
      <c r="M158" s="17">
        <f>SUMIFS(Sales_Ledger!$J$5:$J$863,Sales_Ledger!$H$5:$H$863,$A158,Sales_Ledger!$D$5:$D$863,2025)</f>
        <v/>
      </c>
      <c r="N158" s="17">
        <f>SUM(K158:M158)</f>
        <v/>
      </c>
      <c r="O158" s="15" t="inlineStr">
        <is>
          <t>Client register + Transaction records</t>
        </is>
      </c>
      <c r="P158" s="15" t="inlineStr">
        <is>
          <t>Bought</t>
        </is>
      </c>
      <c r="Q158" s="15" t="inlineStr">
        <is>
          <t>Ms Abosede (Team Taiwo</t>
        </is>
      </c>
      <c r="R158" s="15">
        <f>IF(AND(I158&gt;0,N158&gt;I158*1.02),"Receipts exceed register contract value: check for duplicate entries, extra plots or ancillary fees",IF(AND(I158=0,N158&gt;0),"Not in client register: contract value unknown",""))</f>
        <v/>
      </c>
    </row>
    <row r="159">
      <c r="A159" s="15" t="inlineStr">
        <is>
          <t>BP-C0155</t>
        </is>
      </c>
      <c r="B159" s="15" t="inlineStr">
        <is>
          <t>Mr Adeyanju Adebayo Samson</t>
        </is>
      </c>
      <c r="C159" s="15" t="inlineStr">
        <is>
          <t>447827524089, 08024212920</t>
        </is>
      </c>
      <c r="D159" s="15" t="inlineStr">
        <is>
          <t>baayanju@yahoo.com</t>
        </is>
      </c>
      <c r="E159" s="15" t="inlineStr">
        <is>
          <t>Land</t>
        </is>
      </c>
      <c r="F159" s="15" t="inlineStr">
        <is>
          <t>Green City Ibadan (Akinyele-Moniya); Land (estate not stated in source)</t>
        </is>
      </c>
      <c r="G159" s="16" t="n">
        <v>45641</v>
      </c>
      <c r="H159" s="16">
        <f>IF(COUNTIF(Sales_Ledger!$H$5:$H$863,A159)=0,"",_xlfn.MINIFS(Sales_Ledger!$B$5:$B$863,Sales_Ledger!$H$5:$H$863,A159))</f>
        <v/>
      </c>
      <c r="I159" s="17">
        <f>SUMIFS(Subscriptions!$I$5:$I$218,Subscriptions!$B$5:$B$218,A159)</f>
        <v/>
      </c>
      <c r="J159" s="17">
        <f>SUMIFS(Subscriptions!$J$5:$J$218,Subscriptions!$B$5:$B$218,A159)</f>
        <v/>
      </c>
      <c r="K159" s="17">
        <f>SUMIFS(Sales_Ledger!$J$5:$J$863,Sales_Ledger!$H$5:$H$863,$A159,Sales_Ledger!$D$5:$D$863,2023)</f>
        <v/>
      </c>
      <c r="L159" s="17">
        <f>SUMIFS(Sales_Ledger!$J$5:$J$863,Sales_Ledger!$H$5:$H$863,$A159,Sales_Ledger!$D$5:$D$863,2024)</f>
        <v/>
      </c>
      <c r="M159" s="17">
        <f>SUMIFS(Sales_Ledger!$J$5:$J$863,Sales_Ledger!$H$5:$H$863,$A159,Sales_Ledger!$D$5:$D$863,2025)</f>
        <v/>
      </c>
      <c r="N159" s="17">
        <f>SUM(K159:M159)</f>
        <v/>
      </c>
      <c r="O159" s="15" t="inlineStr">
        <is>
          <t>Client register + Transaction records</t>
        </is>
      </c>
      <c r="P159" s="15" t="inlineStr">
        <is>
          <t>Bought</t>
        </is>
      </c>
      <c r="Q159" s="15" t="inlineStr">
        <is>
          <t>Miss Abosede (Team Taiwo)</t>
        </is>
      </c>
      <c r="R159" s="15">
        <f>IF(AND(I159&gt;0,N159&gt;I159*1.02),"Receipts exceed register contract value: check for duplicate entries, extra plots or ancillary fees",IF(AND(I159=0,N159&gt;0),"Not in client register: contract value unknown",""))</f>
        <v/>
      </c>
    </row>
    <row r="160">
      <c r="A160" s="15" t="inlineStr">
        <is>
          <t>BP-C0156</t>
        </is>
      </c>
      <c r="B160" s="15" t="inlineStr">
        <is>
          <t>Mr Simien Sauel &amp; Mrs Simien Oyindamola Adekunle</t>
        </is>
      </c>
      <c r="C160" s="15" t="n"/>
      <c r="D160" s="15" t="n"/>
      <c r="E160" s="15" t="inlineStr">
        <is>
          <t>Housing</t>
        </is>
      </c>
      <c r="F160" s="15" t="inlineStr">
        <is>
          <t>Pacific Apartment</t>
        </is>
      </c>
      <c r="G160" s="16" t="n"/>
      <c r="H160" s="16">
        <f>IF(COUNTIF(Sales_Ledger!$H$5:$H$863,A160)=0,"",_xlfn.MINIFS(Sales_Ledger!$B$5:$B$863,Sales_Ledger!$H$5:$H$863,A160))</f>
        <v/>
      </c>
      <c r="I160" s="17">
        <f>SUMIFS(Subscriptions!$I$5:$I$218,Subscriptions!$B$5:$B$218,A160)</f>
        <v/>
      </c>
      <c r="J160" s="17">
        <f>SUMIFS(Subscriptions!$J$5:$J$218,Subscriptions!$B$5:$B$218,A160)</f>
        <v/>
      </c>
      <c r="K160" s="17">
        <f>SUMIFS(Sales_Ledger!$J$5:$J$863,Sales_Ledger!$H$5:$H$863,$A160,Sales_Ledger!$D$5:$D$863,2023)</f>
        <v/>
      </c>
      <c r="L160" s="17">
        <f>SUMIFS(Sales_Ledger!$J$5:$J$863,Sales_Ledger!$H$5:$H$863,$A160,Sales_Ledger!$D$5:$D$863,2024)</f>
        <v/>
      </c>
      <c r="M160" s="17">
        <f>SUMIFS(Sales_Ledger!$J$5:$J$863,Sales_Ledger!$H$5:$H$863,$A160,Sales_Ledger!$D$5:$D$863,2025)</f>
        <v/>
      </c>
      <c r="N160" s="17">
        <f>SUM(K160:M160)</f>
        <v/>
      </c>
      <c r="O160" s="15" t="inlineStr">
        <is>
          <t>Transaction records</t>
        </is>
      </c>
      <c r="P160" s="15" t="n"/>
      <c r="Q160" s="15" t="n"/>
      <c r="R160" s="15">
        <f>IF(AND(I160&gt;0,N160&gt;I160*1.02),"Receipts exceed register contract value: check for duplicate entries, extra plots or ancillary fees",IF(AND(I160=0,N160&gt;0),"Not in client register: contract value unknown",""))</f>
        <v/>
      </c>
    </row>
    <row r="161">
      <c r="A161" s="15" t="inlineStr">
        <is>
          <t>BP-C0157</t>
        </is>
      </c>
      <c r="B161" s="15" t="inlineStr">
        <is>
          <t>Mrs Adepoju Adebola Adeniran</t>
        </is>
      </c>
      <c r="C161" s="15" t="inlineStr">
        <is>
          <t>16146488230, 08056367523</t>
        </is>
      </c>
      <c r="D161" s="15" t="inlineStr">
        <is>
          <t>lizbol2001@yahoo.com</t>
        </is>
      </c>
      <c r="E161" s="15" t="inlineStr">
        <is>
          <t>Land</t>
        </is>
      </c>
      <c r="F161" s="15" t="inlineStr">
        <is>
          <t>Green City Ibadan (Akinyele-Moniya); Land (estate not stated in source)</t>
        </is>
      </c>
      <c r="G161" s="16" t="n">
        <v>45641</v>
      </c>
      <c r="H161" s="16">
        <f>IF(COUNTIF(Sales_Ledger!$H$5:$H$863,A161)=0,"",_xlfn.MINIFS(Sales_Ledger!$B$5:$B$863,Sales_Ledger!$H$5:$H$863,A161))</f>
        <v/>
      </c>
      <c r="I161" s="17">
        <f>SUMIFS(Subscriptions!$I$5:$I$218,Subscriptions!$B$5:$B$218,A161)</f>
        <v/>
      </c>
      <c r="J161" s="17">
        <f>SUMIFS(Subscriptions!$J$5:$J$218,Subscriptions!$B$5:$B$218,A161)</f>
        <v/>
      </c>
      <c r="K161" s="17">
        <f>SUMIFS(Sales_Ledger!$J$5:$J$863,Sales_Ledger!$H$5:$H$863,$A161,Sales_Ledger!$D$5:$D$863,2023)</f>
        <v/>
      </c>
      <c r="L161" s="17">
        <f>SUMIFS(Sales_Ledger!$J$5:$J$863,Sales_Ledger!$H$5:$H$863,$A161,Sales_Ledger!$D$5:$D$863,2024)</f>
        <v/>
      </c>
      <c r="M161" s="17">
        <f>SUMIFS(Sales_Ledger!$J$5:$J$863,Sales_Ledger!$H$5:$H$863,$A161,Sales_Ledger!$D$5:$D$863,2025)</f>
        <v/>
      </c>
      <c r="N161" s="17">
        <f>SUM(K161:M161)</f>
        <v/>
      </c>
      <c r="O161" s="15" t="inlineStr">
        <is>
          <t>Client register + Transaction records</t>
        </is>
      </c>
      <c r="P161" s="15" t="inlineStr">
        <is>
          <t>Bought</t>
        </is>
      </c>
      <c r="Q161" s="15" t="inlineStr">
        <is>
          <t>Ms Abosede (Team Taiwo</t>
        </is>
      </c>
      <c r="R161" s="15">
        <f>IF(AND(I161&gt;0,N161&gt;I161*1.02),"Receipts exceed register contract value: check for duplicate entries, extra plots or ancillary fees",IF(AND(I161=0,N161&gt;0),"Not in client register: contract value unknown",""))</f>
        <v/>
      </c>
    </row>
    <row r="162">
      <c r="A162" s="15" t="inlineStr">
        <is>
          <t>BP-C0158</t>
        </is>
      </c>
      <c r="B162" s="15" t="inlineStr">
        <is>
          <t>Mr. Shino Precious Vincent</t>
        </is>
      </c>
      <c r="C162" s="15" t="inlineStr">
        <is>
          <t>09074686436, 08072047253 / 9074686436</t>
        </is>
      </c>
      <c r="D162" s="15" t="inlineStr">
        <is>
          <t>shinovin234@gmail.com / shinovin324@gmail.com</t>
        </is>
      </c>
      <c r="E162" s="15" t="inlineStr">
        <is>
          <t>Land</t>
        </is>
      </c>
      <c r="F162" s="15" t="inlineStr">
        <is>
          <t>Green City Phase 3 (Omu-Epe); Green City Phase 3 Extension (Omu-Epe); Heritage Garden; Land (estate not stated in source)</t>
        </is>
      </c>
      <c r="G162" s="16" t="n">
        <v>45646</v>
      </c>
      <c r="H162" s="16">
        <f>IF(COUNTIF(Sales_Ledger!$H$5:$H$863,A162)=0,"",_xlfn.MINIFS(Sales_Ledger!$B$5:$B$863,Sales_Ledger!$H$5:$H$863,A162))</f>
        <v/>
      </c>
      <c r="I162" s="17">
        <f>SUMIFS(Subscriptions!$I$5:$I$218,Subscriptions!$B$5:$B$218,A162)</f>
        <v/>
      </c>
      <c r="J162" s="17">
        <f>SUMIFS(Subscriptions!$J$5:$J$218,Subscriptions!$B$5:$B$218,A162)</f>
        <v/>
      </c>
      <c r="K162" s="17">
        <f>SUMIFS(Sales_Ledger!$J$5:$J$863,Sales_Ledger!$H$5:$H$863,$A162,Sales_Ledger!$D$5:$D$863,2023)</f>
        <v/>
      </c>
      <c r="L162" s="17">
        <f>SUMIFS(Sales_Ledger!$J$5:$J$863,Sales_Ledger!$H$5:$H$863,$A162,Sales_Ledger!$D$5:$D$863,2024)</f>
        <v/>
      </c>
      <c r="M162" s="17">
        <f>SUMIFS(Sales_Ledger!$J$5:$J$863,Sales_Ledger!$H$5:$H$863,$A162,Sales_Ledger!$D$5:$D$863,2025)</f>
        <v/>
      </c>
      <c r="N162" s="17">
        <f>SUM(K162:M162)</f>
        <v/>
      </c>
      <c r="O162" s="15" t="inlineStr">
        <is>
          <t>Client register + Transaction records</t>
        </is>
      </c>
      <c r="P162" s="15" t="inlineStr">
        <is>
          <t>Bought, Migrated</t>
        </is>
      </c>
      <c r="Q162" s="15" t="inlineStr">
        <is>
          <t>Adeoye Daniel, Mr Daniel (Team Pelumi)</t>
        </is>
      </c>
      <c r="R162" s="15">
        <f>IF(AND(I162&gt;0,N162&gt;I162*1.02),"Receipts exceed register contract value: check for duplicate entries, extra plots or ancillary fees",IF(AND(I162=0,N162&gt;0),"Not in client register: contract value unknown",""))</f>
        <v/>
      </c>
    </row>
    <row r="163">
      <c r="A163" s="15" t="inlineStr">
        <is>
          <t>BP-C0159</t>
        </is>
      </c>
      <c r="B163" s="15" t="inlineStr">
        <is>
          <t>Miss Etefe Ava Ogheneyorhe</t>
        </is>
      </c>
      <c r="C163" s="15" t="inlineStr">
        <is>
          <t>07059827896, 09051727253</t>
        </is>
      </c>
      <c r="D163" s="15" t="inlineStr">
        <is>
          <t>precz090@gmail.com</t>
        </is>
      </c>
      <c r="E163" s="15" t="inlineStr">
        <is>
          <t>Land</t>
        </is>
      </c>
      <c r="F163" s="15" t="inlineStr">
        <is>
          <t>Heritage Garden; Land (estate not stated in source)</t>
        </is>
      </c>
      <c r="G163" s="16" t="n">
        <v>45650</v>
      </c>
      <c r="H163" s="16">
        <f>IF(COUNTIF(Sales_Ledger!$H$5:$H$863,A163)=0,"",_xlfn.MINIFS(Sales_Ledger!$B$5:$B$863,Sales_Ledger!$H$5:$H$863,A163))</f>
        <v/>
      </c>
      <c r="I163" s="17">
        <f>SUMIFS(Subscriptions!$I$5:$I$218,Subscriptions!$B$5:$B$218,A163)</f>
        <v/>
      </c>
      <c r="J163" s="17">
        <f>SUMIFS(Subscriptions!$J$5:$J$218,Subscriptions!$B$5:$B$218,A163)</f>
        <v/>
      </c>
      <c r="K163" s="17">
        <f>SUMIFS(Sales_Ledger!$J$5:$J$863,Sales_Ledger!$H$5:$H$863,$A163,Sales_Ledger!$D$5:$D$863,2023)</f>
        <v/>
      </c>
      <c r="L163" s="17">
        <f>SUMIFS(Sales_Ledger!$J$5:$J$863,Sales_Ledger!$H$5:$H$863,$A163,Sales_Ledger!$D$5:$D$863,2024)</f>
        <v/>
      </c>
      <c r="M163" s="17">
        <f>SUMIFS(Sales_Ledger!$J$5:$J$863,Sales_Ledger!$H$5:$H$863,$A163,Sales_Ledger!$D$5:$D$863,2025)</f>
        <v/>
      </c>
      <c r="N163" s="17">
        <f>SUM(K163:M163)</f>
        <v/>
      </c>
      <c r="O163" s="15" t="inlineStr">
        <is>
          <t>Client register + Transaction records</t>
        </is>
      </c>
      <c r="P163" s="15" t="inlineStr">
        <is>
          <t>Paying</t>
        </is>
      </c>
      <c r="Q163" s="15" t="inlineStr">
        <is>
          <t>Ms Elizabeth</t>
        </is>
      </c>
      <c r="R163" s="15">
        <f>IF(AND(I163&gt;0,N163&gt;I163*1.02),"Receipts exceed register contract value: check for duplicate entries, extra plots or ancillary fees",IF(AND(I163=0,N163&gt;0),"Not in client register: contract value unknown",""))</f>
        <v/>
      </c>
    </row>
    <row r="164">
      <c r="A164" s="15" t="inlineStr">
        <is>
          <t>BP-C0160</t>
        </is>
      </c>
      <c r="B164" s="15" t="inlineStr">
        <is>
          <t>Mr Okenla Olugboyega Gabriel</t>
        </is>
      </c>
      <c r="C164" s="15" t="inlineStr">
        <is>
          <t>8037253052, 08179039312</t>
        </is>
      </c>
      <c r="D164" s="15" t="inlineStr">
        <is>
          <t>okenlagabriel@yahoo.com</t>
        </is>
      </c>
      <c r="E164" s="15" t="inlineStr">
        <is>
          <t>Housing</t>
        </is>
      </c>
      <c r="F164" s="15" t="inlineStr">
        <is>
          <t>Pacific Apartment</t>
        </is>
      </c>
      <c r="G164" s="16" t="n">
        <v>45653</v>
      </c>
      <c r="H164" s="16">
        <f>IF(COUNTIF(Sales_Ledger!$H$5:$H$863,A164)=0,"",_xlfn.MINIFS(Sales_Ledger!$B$5:$B$863,Sales_Ledger!$H$5:$H$863,A164))</f>
        <v/>
      </c>
      <c r="I164" s="17">
        <f>SUMIFS(Subscriptions!$I$5:$I$218,Subscriptions!$B$5:$B$218,A164)</f>
        <v/>
      </c>
      <c r="J164" s="17">
        <f>SUMIFS(Subscriptions!$J$5:$J$218,Subscriptions!$B$5:$B$218,A164)</f>
        <v/>
      </c>
      <c r="K164" s="17">
        <f>SUMIFS(Sales_Ledger!$J$5:$J$863,Sales_Ledger!$H$5:$H$863,$A164,Sales_Ledger!$D$5:$D$863,2023)</f>
        <v/>
      </c>
      <c r="L164" s="17">
        <f>SUMIFS(Sales_Ledger!$J$5:$J$863,Sales_Ledger!$H$5:$H$863,$A164,Sales_Ledger!$D$5:$D$863,2024)</f>
        <v/>
      </c>
      <c r="M164" s="17">
        <f>SUMIFS(Sales_Ledger!$J$5:$J$863,Sales_Ledger!$H$5:$H$863,$A164,Sales_Ledger!$D$5:$D$863,2025)</f>
        <v/>
      </c>
      <c r="N164" s="17">
        <f>SUM(K164:M164)</f>
        <v/>
      </c>
      <c r="O164" s="15" t="inlineStr">
        <is>
          <t>Client register + Transaction records</t>
        </is>
      </c>
      <c r="P164" s="15" t="inlineStr">
        <is>
          <t>Paying</t>
        </is>
      </c>
      <c r="Q164" s="15" t="inlineStr">
        <is>
          <t>Ms Moffat</t>
        </is>
      </c>
      <c r="R164" s="15">
        <f>IF(AND(I164&gt;0,N164&gt;I164*1.02),"Receipts exceed register contract value: check for duplicate entries, extra plots or ancillary fees",IF(AND(I164=0,N164&gt;0),"Not in client register: contract value unknown",""))</f>
        <v/>
      </c>
    </row>
    <row r="165">
      <c r="A165" s="15" t="inlineStr">
        <is>
          <t>BP-C0161</t>
        </is>
      </c>
      <c r="B165" s="15" t="inlineStr">
        <is>
          <t>Miss Uthman Alimot Modupe</t>
        </is>
      </c>
      <c r="C165" s="15" t="n"/>
      <c r="D165" s="15" t="n"/>
      <c r="E165" s="15" t="inlineStr">
        <is>
          <t>Land</t>
        </is>
      </c>
      <c r="F165" s="15" t="inlineStr">
        <is>
          <t>Green City Phase 3 Extension (Omu-Epe)</t>
        </is>
      </c>
      <c r="G165" s="16" t="n"/>
      <c r="H165" s="16">
        <f>IF(COUNTIF(Sales_Ledger!$H$5:$H$863,A165)=0,"",_xlfn.MINIFS(Sales_Ledger!$B$5:$B$863,Sales_Ledger!$H$5:$H$863,A165))</f>
        <v/>
      </c>
      <c r="I165" s="17">
        <f>SUMIFS(Subscriptions!$I$5:$I$218,Subscriptions!$B$5:$B$218,A165)</f>
        <v/>
      </c>
      <c r="J165" s="17">
        <f>SUMIFS(Subscriptions!$J$5:$J$218,Subscriptions!$B$5:$B$218,A165)</f>
        <v/>
      </c>
      <c r="K165" s="17">
        <f>SUMIFS(Sales_Ledger!$J$5:$J$863,Sales_Ledger!$H$5:$H$863,$A165,Sales_Ledger!$D$5:$D$863,2023)</f>
        <v/>
      </c>
      <c r="L165" s="17">
        <f>SUMIFS(Sales_Ledger!$J$5:$J$863,Sales_Ledger!$H$5:$H$863,$A165,Sales_Ledger!$D$5:$D$863,2024)</f>
        <v/>
      </c>
      <c r="M165" s="17">
        <f>SUMIFS(Sales_Ledger!$J$5:$J$863,Sales_Ledger!$H$5:$H$863,$A165,Sales_Ledger!$D$5:$D$863,2025)</f>
        <v/>
      </c>
      <c r="N165" s="17">
        <f>SUM(K165:M165)</f>
        <v/>
      </c>
      <c r="O165" s="15" t="inlineStr">
        <is>
          <t>Transaction records</t>
        </is>
      </c>
      <c r="P165" s="15" t="n"/>
      <c r="Q165" s="15" t="n"/>
      <c r="R165" s="15">
        <f>IF(AND(I165&gt;0,N165&gt;I165*1.02),"Receipts exceed register contract value: check for duplicate entries, extra plots or ancillary fees",IF(AND(I165=0,N165&gt;0),"Not in client register: contract value unknown",""))</f>
        <v/>
      </c>
    </row>
    <row r="166">
      <c r="A166" s="15" t="inlineStr">
        <is>
          <t>BP-C0162</t>
        </is>
      </c>
      <c r="B166" s="15" t="inlineStr">
        <is>
          <t>Miss Uthman Alimat Modupe</t>
        </is>
      </c>
      <c r="C166" s="15" t="inlineStr">
        <is>
          <t>08084119658, 08035174216</t>
        </is>
      </c>
      <c r="D166" s="15" t="inlineStr">
        <is>
          <t>alimatuthman123@gmail.com</t>
        </is>
      </c>
      <c r="E166" s="15" t="inlineStr">
        <is>
          <t>Land</t>
        </is>
      </c>
      <c r="F166" s="15" t="inlineStr">
        <is>
          <t>Green City Phase 3 Extension (Omu-Epe)</t>
        </is>
      </c>
      <c r="G166" s="16" t="n">
        <v>45657</v>
      </c>
      <c r="H166" s="16">
        <f>IF(COUNTIF(Sales_Ledger!$H$5:$H$863,A166)=0,"",_xlfn.MINIFS(Sales_Ledger!$B$5:$B$863,Sales_Ledger!$H$5:$H$863,A166))</f>
        <v/>
      </c>
      <c r="I166" s="17">
        <f>SUMIFS(Subscriptions!$I$5:$I$218,Subscriptions!$B$5:$B$218,A166)</f>
        <v/>
      </c>
      <c r="J166" s="17">
        <f>SUMIFS(Subscriptions!$J$5:$J$218,Subscriptions!$B$5:$B$218,A166)</f>
        <v/>
      </c>
      <c r="K166" s="17">
        <f>SUMIFS(Sales_Ledger!$J$5:$J$863,Sales_Ledger!$H$5:$H$863,$A166,Sales_Ledger!$D$5:$D$863,2023)</f>
        <v/>
      </c>
      <c r="L166" s="17">
        <f>SUMIFS(Sales_Ledger!$J$5:$J$863,Sales_Ledger!$H$5:$H$863,$A166,Sales_Ledger!$D$5:$D$863,2024)</f>
        <v/>
      </c>
      <c r="M166" s="17">
        <f>SUMIFS(Sales_Ledger!$J$5:$J$863,Sales_Ledger!$H$5:$H$863,$A166,Sales_Ledger!$D$5:$D$863,2025)</f>
        <v/>
      </c>
      <c r="N166" s="17">
        <f>SUM(K166:M166)</f>
        <v/>
      </c>
      <c r="O166" s="15" t="inlineStr">
        <is>
          <t>Client register</t>
        </is>
      </c>
      <c r="P166" s="15" t="inlineStr">
        <is>
          <t>REFUND</t>
        </is>
      </c>
      <c r="Q166" s="15" t="inlineStr">
        <is>
          <t>Ms Tobi</t>
        </is>
      </c>
      <c r="R166" s="15">
        <f>IF(AND(I166&gt;0,N166&gt;I166*1.02),"Receipts exceed register contract value: check for duplicate entries, extra plots or ancillary fees",IF(AND(I166=0,N166&gt;0),"Not in client register: contract value unknown",""))</f>
        <v/>
      </c>
    </row>
    <row r="167">
      <c r="A167" s="15" t="inlineStr">
        <is>
          <t>BP-C0163</t>
        </is>
      </c>
      <c r="B167" s="15" t="inlineStr">
        <is>
          <t>Mr Ajagbe James Olatayo</t>
        </is>
      </c>
      <c r="C167" s="15" t="inlineStr">
        <is>
          <t>08130308027, 08142184471</t>
        </is>
      </c>
      <c r="D167" s="15" t="inlineStr">
        <is>
          <t>samsonolawale69@gmail.com</t>
        </is>
      </c>
      <c r="E167" s="15" t="inlineStr">
        <is>
          <t>Land</t>
        </is>
      </c>
      <c r="F167" s="15" t="inlineStr">
        <is>
          <t>Heritage Garden; Land: ancillary charges</t>
        </is>
      </c>
      <c r="G167" s="16" t="n">
        <v>45657</v>
      </c>
      <c r="H167" s="16">
        <f>IF(COUNTIF(Sales_Ledger!$H$5:$H$863,A167)=0,"",_xlfn.MINIFS(Sales_Ledger!$B$5:$B$863,Sales_Ledger!$H$5:$H$863,A167))</f>
        <v/>
      </c>
      <c r="I167" s="17">
        <f>SUMIFS(Subscriptions!$I$5:$I$218,Subscriptions!$B$5:$B$218,A167)</f>
        <v/>
      </c>
      <c r="J167" s="17">
        <f>SUMIFS(Subscriptions!$J$5:$J$218,Subscriptions!$B$5:$B$218,A167)</f>
        <v/>
      </c>
      <c r="K167" s="17">
        <f>SUMIFS(Sales_Ledger!$J$5:$J$863,Sales_Ledger!$H$5:$H$863,$A167,Sales_Ledger!$D$5:$D$863,2023)</f>
        <v/>
      </c>
      <c r="L167" s="17">
        <f>SUMIFS(Sales_Ledger!$J$5:$J$863,Sales_Ledger!$H$5:$H$863,$A167,Sales_Ledger!$D$5:$D$863,2024)</f>
        <v/>
      </c>
      <c r="M167" s="17">
        <f>SUMIFS(Sales_Ledger!$J$5:$J$863,Sales_Ledger!$H$5:$H$863,$A167,Sales_Ledger!$D$5:$D$863,2025)</f>
        <v/>
      </c>
      <c r="N167" s="17">
        <f>SUM(K167:M167)</f>
        <v/>
      </c>
      <c r="O167" s="15" t="inlineStr">
        <is>
          <t>Client register + Transaction records</t>
        </is>
      </c>
      <c r="P167" s="15" t="inlineStr">
        <is>
          <t>Bought</t>
        </is>
      </c>
      <c r="Q167" s="15" t="inlineStr">
        <is>
          <t>Mr Baqi</t>
        </is>
      </c>
      <c r="R167" s="15">
        <f>IF(AND(I167&gt;0,N167&gt;I167*1.02),"Receipts exceed register contract value: check for duplicate entries, extra plots or ancillary fees",IF(AND(I167=0,N167&gt;0),"Not in client register: contract value unknown",""))</f>
        <v/>
      </c>
    </row>
    <row r="168">
      <c r="A168" s="15" t="inlineStr">
        <is>
          <t>BP-C0164</t>
        </is>
      </c>
      <c r="B168" s="15" t="inlineStr">
        <is>
          <t>Miss Arogundade Motunrayo Azeezat</t>
        </is>
      </c>
      <c r="C168" s="15" t="inlineStr">
        <is>
          <t>08038378722, 07019089122</t>
        </is>
      </c>
      <c r="D168" s="15" t="inlineStr">
        <is>
          <t>motunrayoarogundade2@gmail.com</t>
        </is>
      </c>
      <c r="E168" s="15" t="inlineStr">
        <is>
          <t>Land</t>
        </is>
      </c>
      <c r="F168" s="15" t="inlineStr">
        <is>
          <t>Heritage Garden</t>
        </is>
      </c>
      <c r="G168" s="16" t="n">
        <v>45659</v>
      </c>
      <c r="H168" s="16">
        <f>IF(COUNTIF(Sales_Ledger!$H$5:$H$863,A168)=0,"",_xlfn.MINIFS(Sales_Ledger!$B$5:$B$863,Sales_Ledger!$H$5:$H$863,A168))</f>
        <v/>
      </c>
      <c r="I168" s="17">
        <f>SUMIFS(Subscriptions!$I$5:$I$218,Subscriptions!$B$5:$B$218,A168)</f>
        <v/>
      </c>
      <c r="J168" s="17">
        <f>SUMIFS(Subscriptions!$J$5:$J$218,Subscriptions!$B$5:$B$218,A168)</f>
        <v/>
      </c>
      <c r="K168" s="17">
        <f>SUMIFS(Sales_Ledger!$J$5:$J$863,Sales_Ledger!$H$5:$H$863,$A168,Sales_Ledger!$D$5:$D$863,2023)</f>
        <v/>
      </c>
      <c r="L168" s="17">
        <f>SUMIFS(Sales_Ledger!$J$5:$J$863,Sales_Ledger!$H$5:$H$863,$A168,Sales_Ledger!$D$5:$D$863,2024)</f>
        <v/>
      </c>
      <c r="M168" s="17">
        <f>SUMIFS(Sales_Ledger!$J$5:$J$863,Sales_Ledger!$H$5:$H$863,$A168,Sales_Ledger!$D$5:$D$863,2025)</f>
        <v/>
      </c>
      <c r="N168" s="17">
        <f>SUM(K168:M168)</f>
        <v/>
      </c>
      <c r="O168" s="15" t="inlineStr">
        <is>
          <t>Client register + Transaction records</t>
        </is>
      </c>
      <c r="P168" s="15" t="inlineStr">
        <is>
          <t>Bought</t>
        </is>
      </c>
      <c r="Q168" s="15" t="inlineStr">
        <is>
          <t>Mr Ibukun (Team Taiwo)</t>
        </is>
      </c>
      <c r="R168" s="15">
        <f>IF(AND(I168&gt;0,N168&gt;I168*1.02),"Receipts exceed register contract value: check for duplicate entries, extra plots or ancillary fees",IF(AND(I168=0,N168&gt;0),"Not in client register: contract value unknown",""))</f>
        <v/>
      </c>
    </row>
    <row r="169">
      <c r="A169" s="15" t="inlineStr">
        <is>
          <t>BP-C0165</t>
        </is>
      </c>
      <c r="B169" s="15" t="inlineStr">
        <is>
          <t>Mr Ebosele Sunday Osabhue</t>
        </is>
      </c>
      <c r="C169" s="15" t="inlineStr">
        <is>
          <t>13477224217</t>
        </is>
      </c>
      <c r="D169" s="15" t="inlineStr">
        <is>
          <t>sunday_ebosele@yahoo.com</t>
        </is>
      </c>
      <c r="E169" s="15" t="inlineStr">
        <is>
          <t>Housing</t>
        </is>
      </c>
      <c r="F169" s="15" t="inlineStr">
        <is>
          <t>Gorge View Court (GVC Gbagada)</t>
        </is>
      </c>
      <c r="G169" s="16" t="n">
        <v>45677</v>
      </c>
      <c r="H169" s="16">
        <f>IF(COUNTIF(Sales_Ledger!$H$5:$H$863,A169)=0,"",_xlfn.MINIFS(Sales_Ledger!$B$5:$B$863,Sales_Ledger!$H$5:$H$863,A169))</f>
        <v/>
      </c>
      <c r="I169" s="17">
        <f>SUMIFS(Subscriptions!$I$5:$I$218,Subscriptions!$B$5:$B$218,A169)</f>
        <v/>
      </c>
      <c r="J169" s="17">
        <f>SUMIFS(Subscriptions!$J$5:$J$218,Subscriptions!$B$5:$B$218,A169)</f>
        <v/>
      </c>
      <c r="K169" s="17">
        <f>SUMIFS(Sales_Ledger!$J$5:$J$863,Sales_Ledger!$H$5:$H$863,$A169,Sales_Ledger!$D$5:$D$863,2023)</f>
        <v/>
      </c>
      <c r="L169" s="17">
        <f>SUMIFS(Sales_Ledger!$J$5:$J$863,Sales_Ledger!$H$5:$H$863,$A169,Sales_Ledger!$D$5:$D$863,2024)</f>
        <v/>
      </c>
      <c r="M169" s="17">
        <f>SUMIFS(Sales_Ledger!$J$5:$J$863,Sales_Ledger!$H$5:$H$863,$A169,Sales_Ledger!$D$5:$D$863,2025)</f>
        <v/>
      </c>
      <c r="N169" s="17">
        <f>SUM(K169:M169)</f>
        <v/>
      </c>
      <c r="O169" s="15" t="inlineStr">
        <is>
          <t>Client register + Transaction records</t>
        </is>
      </c>
      <c r="P169" s="15" t="inlineStr">
        <is>
          <t>Bought</t>
        </is>
      </c>
      <c r="Q169" s="15" t="inlineStr">
        <is>
          <t>Ms Adebomi</t>
        </is>
      </c>
      <c r="R169" s="15">
        <f>IF(AND(I169&gt;0,N169&gt;I169*1.02),"Receipts exceed register contract value: check for duplicate entries, extra plots or ancillary fees",IF(AND(I169=0,N169&gt;0),"Not in client register: contract value unknown",""))</f>
        <v/>
      </c>
    </row>
    <row r="170">
      <c r="A170" s="15" t="inlineStr">
        <is>
          <t>BP-C0166</t>
        </is>
      </c>
      <c r="B170" s="15" t="inlineStr">
        <is>
          <t>Mr Showande Lateef Olawale</t>
        </is>
      </c>
      <c r="C170" s="15" t="inlineStr">
        <is>
          <t>07087380898, 09067125703</t>
        </is>
      </c>
      <c r="D170" s="15" t="inlineStr">
        <is>
          <t>olawalefados11@gmail.com</t>
        </is>
      </c>
      <c r="E170" s="15" t="inlineStr">
        <is>
          <t>Land</t>
        </is>
      </c>
      <c r="F170" s="15" t="inlineStr">
        <is>
          <t>Green City Phase 3 (Omu-Epe); Land (estate not stated in source)</t>
        </is>
      </c>
      <c r="G170" s="16" t="n">
        <v>45680</v>
      </c>
      <c r="H170" s="16">
        <f>IF(COUNTIF(Sales_Ledger!$H$5:$H$863,A170)=0,"",_xlfn.MINIFS(Sales_Ledger!$B$5:$B$863,Sales_Ledger!$H$5:$H$863,A170))</f>
        <v/>
      </c>
      <c r="I170" s="17">
        <f>SUMIFS(Subscriptions!$I$5:$I$218,Subscriptions!$B$5:$B$218,A170)</f>
        <v/>
      </c>
      <c r="J170" s="17">
        <f>SUMIFS(Subscriptions!$J$5:$J$218,Subscriptions!$B$5:$B$218,A170)</f>
        <v/>
      </c>
      <c r="K170" s="17">
        <f>SUMIFS(Sales_Ledger!$J$5:$J$863,Sales_Ledger!$H$5:$H$863,$A170,Sales_Ledger!$D$5:$D$863,2023)</f>
        <v/>
      </c>
      <c r="L170" s="17">
        <f>SUMIFS(Sales_Ledger!$J$5:$J$863,Sales_Ledger!$H$5:$H$863,$A170,Sales_Ledger!$D$5:$D$863,2024)</f>
        <v/>
      </c>
      <c r="M170" s="17">
        <f>SUMIFS(Sales_Ledger!$J$5:$J$863,Sales_Ledger!$H$5:$H$863,$A170,Sales_Ledger!$D$5:$D$863,2025)</f>
        <v/>
      </c>
      <c r="N170" s="17">
        <f>SUM(K170:M170)</f>
        <v/>
      </c>
      <c r="O170" s="15" t="inlineStr">
        <is>
          <t>Client register + Transaction records</t>
        </is>
      </c>
      <c r="P170" s="15" t="inlineStr">
        <is>
          <t>Closed</t>
        </is>
      </c>
      <c r="Q170" s="15" t="inlineStr">
        <is>
          <t>Mr Ogidan Williams</t>
        </is>
      </c>
      <c r="R170" s="15">
        <f>IF(AND(I170&gt;0,N170&gt;I170*1.02),"Receipts exceed register contract value: check for duplicate entries, extra plots or ancillary fees",IF(AND(I170=0,N170&gt;0),"Not in client register: contract value unknown",""))</f>
        <v/>
      </c>
    </row>
    <row r="171">
      <c r="A171" s="15" t="inlineStr">
        <is>
          <t>BP-C0167</t>
        </is>
      </c>
      <c r="B171" s="15" t="inlineStr">
        <is>
          <t>Mr Uneze Grant Chetana</t>
        </is>
      </c>
      <c r="C171" s="15" t="n"/>
      <c r="D171" s="15" t="n"/>
      <c r="E171" s="15" t="inlineStr">
        <is>
          <t>Land</t>
        </is>
      </c>
      <c r="F171" s="15" t="inlineStr">
        <is>
          <t>Land (estate not stated in source)</t>
        </is>
      </c>
      <c r="G171" s="16" t="n"/>
      <c r="H171" s="16">
        <f>IF(COUNTIF(Sales_Ledger!$H$5:$H$863,A171)=0,"",_xlfn.MINIFS(Sales_Ledger!$B$5:$B$863,Sales_Ledger!$H$5:$H$863,A171))</f>
        <v/>
      </c>
      <c r="I171" s="17">
        <f>SUMIFS(Subscriptions!$I$5:$I$218,Subscriptions!$B$5:$B$218,A171)</f>
        <v/>
      </c>
      <c r="J171" s="17">
        <f>SUMIFS(Subscriptions!$J$5:$J$218,Subscriptions!$B$5:$B$218,A171)</f>
        <v/>
      </c>
      <c r="K171" s="17">
        <f>SUMIFS(Sales_Ledger!$J$5:$J$863,Sales_Ledger!$H$5:$H$863,$A171,Sales_Ledger!$D$5:$D$863,2023)</f>
        <v/>
      </c>
      <c r="L171" s="17">
        <f>SUMIFS(Sales_Ledger!$J$5:$J$863,Sales_Ledger!$H$5:$H$863,$A171,Sales_Ledger!$D$5:$D$863,2024)</f>
        <v/>
      </c>
      <c r="M171" s="17">
        <f>SUMIFS(Sales_Ledger!$J$5:$J$863,Sales_Ledger!$H$5:$H$863,$A171,Sales_Ledger!$D$5:$D$863,2025)</f>
        <v/>
      </c>
      <c r="N171" s="17">
        <f>SUM(K171:M171)</f>
        <v/>
      </c>
      <c r="O171" s="15" t="inlineStr">
        <is>
          <t>Transaction records</t>
        </is>
      </c>
      <c r="P171" s="15" t="n"/>
      <c r="Q171" s="15" t="n"/>
      <c r="R171" s="15">
        <f>IF(AND(I171&gt;0,N171&gt;I171*1.02),"Receipts exceed register contract value: check for duplicate entries, extra plots or ancillary fees",IF(AND(I171=0,N171&gt;0),"Not in client register: contract value unknown",""))</f>
        <v/>
      </c>
    </row>
    <row r="172">
      <c r="A172" s="15" t="inlineStr">
        <is>
          <t>BP-C0168</t>
        </is>
      </c>
      <c r="B172" s="15" t="inlineStr">
        <is>
          <t>Mrs Adenuga Damilola Grace</t>
        </is>
      </c>
      <c r="C172" s="15" t="inlineStr">
        <is>
          <t>8162114151, +447876896057</t>
        </is>
      </c>
      <c r="D172" s="15" t="inlineStr">
        <is>
          <t>dammiep@gmail.com</t>
        </is>
      </c>
      <c r="E172" s="15" t="inlineStr">
        <is>
          <t>Land</t>
        </is>
      </c>
      <c r="F172" s="15" t="inlineStr">
        <is>
          <t>Green City Phase 3 Extension (Omu-Epe); Land (estate not stated in source)</t>
        </is>
      </c>
      <c r="G172" s="16" t="n">
        <v>45692</v>
      </c>
      <c r="H172" s="16">
        <f>IF(COUNTIF(Sales_Ledger!$H$5:$H$863,A172)=0,"",_xlfn.MINIFS(Sales_Ledger!$B$5:$B$863,Sales_Ledger!$H$5:$H$863,A172))</f>
        <v/>
      </c>
      <c r="I172" s="17">
        <f>SUMIFS(Subscriptions!$I$5:$I$218,Subscriptions!$B$5:$B$218,A172)</f>
        <v/>
      </c>
      <c r="J172" s="17">
        <f>SUMIFS(Subscriptions!$J$5:$J$218,Subscriptions!$B$5:$B$218,A172)</f>
        <v/>
      </c>
      <c r="K172" s="17">
        <f>SUMIFS(Sales_Ledger!$J$5:$J$863,Sales_Ledger!$H$5:$H$863,$A172,Sales_Ledger!$D$5:$D$863,2023)</f>
        <v/>
      </c>
      <c r="L172" s="17">
        <f>SUMIFS(Sales_Ledger!$J$5:$J$863,Sales_Ledger!$H$5:$H$863,$A172,Sales_Ledger!$D$5:$D$863,2024)</f>
        <v/>
      </c>
      <c r="M172" s="17">
        <f>SUMIFS(Sales_Ledger!$J$5:$J$863,Sales_Ledger!$H$5:$H$863,$A172,Sales_Ledger!$D$5:$D$863,2025)</f>
        <v/>
      </c>
      <c r="N172" s="17">
        <f>SUM(K172:M172)</f>
        <v/>
      </c>
      <c r="O172" s="15" t="inlineStr">
        <is>
          <t>Client register + Transaction records</t>
        </is>
      </c>
      <c r="P172" s="15" t="inlineStr">
        <is>
          <t>Bought</t>
        </is>
      </c>
      <c r="Q172" s="15" t="inlineStr">
        <is>
          <t>Ms Adenike</t>
        </is>
      </c>
      <c r="R172" s="15">
        <f>IF(AND(I172&gt;0,N172&gt;I172*1.02),"Receipts exceed register contract value: check for duplicate entries, extra plots or ancillary fees",IF(AND(I172=0,N172&gt;0),"Not in client register: contract value unknown",""))</f>
        <v/>
      </c>
    </row>
    <row r="173">
      <c r="A173" s="15" t="inlineStr">
        <is>
          <t>BP-C0169</t>
        </is>
      </c>
      <c r="B173" s="15" t="inlineStr">
        <is>
          <t>Miss Isawumi Daniella Mojoyin</t>
        </is>
      </c>
      <c r="C173" s="15" t="inlineStr">
        <is>
          <t>09017248116, 07026905379</t>
        </is>
      </c>
      <c r="D173" s="15" t="inlineStr">
        <is>
          <t>isawumidaniella4@gmail.com</t>
        </is>
      </c>
      <c r="E173" s="15" t="inlineStr">
        <is>
          <t>Land</t>
        </is>
      </c>
      <c r="F173" s="15" t="inlineStr">
        <is>
          <t>Heritage Garden</t>
        </is>
      </c>
      <c r="G173" s="16" t="n">
        <v>45693</v>
      </c>
      <c r="H173" s="16">
        <f>IF(COUNTIF(Sales_Ledger!$H$5:$H$863,A173)=0,"",_xlfn.MINIFS(Sales_Ledger!$B$5:$B$863,Sales_Ledger!$H$5:$H$863,A173))</f>
        <v/>
      </c>
      <c r="I173" s="17">
        <f>SUMIFS(Subscriptions!$I$5:$I$218,Subscriptions!$B$5:$B$218,A173)</f>
        <v/>
      </c>
      <c r="J173" s="17">
        <f>SUMIFS(Subscriptions!$J$5:$J$218,Subscriptions!$B$5:$B$218,A173)</f>
        <v/>
      </c>
      <c r="K173" s="17">
        <f>SUMIFS(Sales_Ledger!$J$5:$J$863,Sales_Ledger!$H$5:$H$863,$A173,Sales_Ledger!$D$5:$D$863,2023)</f>
        <v/>
      </c>
      <c r="L173" s="17">
        <f>SUMIFS(Sales_Ledger!$J$5:$J$863,Sales_Ledger!$H$5:$H$863,$A173,Sales_Ledger!$D$5:$D$863,2024)</f>
        <v/>
      </c>
      <c r="M173" s="17">
        <f>SUMIFS(Sales_Ledger!$J$5:$J$863,Sales_Ledger!$H$5:$H$863,$A173,Sales_Ledger!$D$5:$D$863,2025)</f>
        <v/>
      </c>
      <c r="N173" s="17">
        <f>SUM(K173:M173)</f>
        <v/>
      </c>
      <c r="O173" s="15" t="inlineStr">
        <is>
          <t>Client register</t>
        </is>
      </c>
      <c r="P173" s="15" t="inlineStr">
        <is>
          <t>Paying</t>
        </is>
      </c>
      <c r="Q173" s="15" t="inlineStr">
        <is>
          <t>Ms Daniella</t>
        </is>
      </c>
      <c r="R173" s="15">
        <f>IF(AND(I173&gt;0,N173&gt;I173*1.02),"Receipts exceed register contract value: check for duplicate entries, extra plots or ancillary fees",IF(AND(I173=0,N173&gt;0),"Not in client register: contract value unknown",""))</f>
        <v/>
      </c>
    </row>
    <row r="174">
      <c r="A174" s="15" t="inlineStr">
        <is>
          <t>BP-C0170</t>
        </is>
      </c>
      <c r="B174" s="15" t="inlineStr">
        <is>
          <t>Mr Owomoyela Abiodun Michael</t>
        </is>
      </c>
      <c r="C174" s="15" t="n"/>
      <c r="D174" s="15" t="n"/>
      <c r="E174" s="15" t="inlineStr">
        <is>
          <t>Land</t>
        </is>
      </c>
      <c r="F174" s="15" t="inlineStr">
        <is>
          <t>Land (estate not stated in source)</t>
        </is>
      </c>
      <c r="G174" s="16" t="n"/>
      <c r="H174" s="16">
        <f>IF(COUNTIF(Sales_Ledger!$H$5:$H$863,A174)=0,"",_xlfn.MINIFS(Sales_Ledger!$B$5:$B$863,Sales_Ledger!$H$5:$H$863,A174))</f>
        <v/>
      </c>
      <c r="I174" s="17">
        <f>SUMIFS(Subscriptions!$I$5:$I$218,Subscriptions!$B$5:$B$218,A174)</f>
        <v/>
      </c>
      <c r="J174" s="17">
        <f>SUMIFS(Subscriptions!$J$5:$J$218,Subscriptions!$B$5:$B$218,A174)</f>
        <v/>
      </c>
      <c r="K174" s="17">
        <f>SUMIFS(Sales_Ledger!$J$5:$J$863,Sales_Ledger!$H$5:$H$863,$A174,Sales_Ledger!$D$5:$D$863,2023)</f>
        <v/>
      </c>
      <c r="L174" s="17">
        <f>SUMIFS(Sales_Ledger!$J$5:$J$863,Sales_Ledger!$H$5:$H$863,$A174,Sales_Ledger!$D$5:$D$863,2024)</f>
        <v/>
      </c>
      <c r="M174" s="17">
        <f>SUMIFS(Sales_Ledger!$J$5:$J$863,Sales_Ledger!$H$5:$H$863,$A174,Sales_Ledger!$D$5:$D$863,2025)</f>
        <v/>
      </c>
      <c r="N174" s="17">
        <f>SUM(K174:M174)</f>
        <v/>
      </c>
      <c r="O174" s="15" t="inlineStr">
        <is>
          <t>Transaction records</t>
        </is>
      </c>
      <c r="P174" s="15" t="n"/>
      <c r="Q174" s="15" t="n"/>
      <c r="R174" s="15">
        <f>IF(AND(I174&gt;0,N174&gt;I174*1.02),"Receipts exceed register contract value: check for duplicate entries, extra plots or ancillary fees",IF(AND(I174=0,N174&gt;0),"Not in client register: contract value unknown",""))</f>
        <v/>
      </c>
    </row>
    <row r="175">
      <c r="A175" s="15" t="inlineStr">
        <is>
          <t>BP-C0171</t>
        </is>
      </c>
      <c r="B175" s="15" t="inlineStr">
        <is>
          <t>Mr Owomoyela Abiodun Micheal</t>
        </is>
      </c>
      <c r="C175" s="15" t="inlineStr">
        <is>
          <t>9163570306, +27845740756</t>
        </is>
      </c>
      <c r="D175" s="15" t="inlineStr">
        <is>
          <t>Kingkunta1011@gmail.com</t>
        </is>
      </c>
      <c r="E175" s="15" t="inlineStr">
        <is>
          <t>Land</t>
        </is>
      </c>
      <c r="F175" s="15" t="inlineStr">
        <is>
          <t>Green City Phase 3 Extension (Omu-Epe)</t>
        </is>
      </c>
      <c r="G175" s="16" t="n">
        <v>45694</v>
      </c>
      <c r="H175" s="16">
        <f>IF(COUNTIF(Sales_Ledger!$H$5:$H$863,A175)=0,"",_xlfn.MINIFS(Sales_Ledger!$B$5:$B$863,Sales_Ledger!$H$5:$H$863,A175))</f>
        <v/>
      </c>
      <c r="I175" s="17">
        <f>SUMIFS(Subscriptions!$I$5:$I$218,Subscriptions!$B$5:$B$218,A175)</f>
        <v/>
      </c>
      <c r="J175" s="17">
        <f>SUMIFS(Subscriptions!$J$5:$J$218,Subscriptions!$B$5:$B$218,A175)</f>
        <v/>
      </c>
      <c r="K175" s="17">
        <f>SUMIFS(Sales_Ledger!$J$5:$J$863,Sales_Ledger!$H$5:$H$863,$A175,Sales_Ledger!$D$5:$D$863,2023)</f>
        <v/>
      </c>
      <c r="L175" s="17">
        <f>SUMIFS(Sales_Ledger!$J$5:$J$863,Sales_Ledger!$H$5:$H$863,$A175,Sales_Ledger!$D$5:$D$863,2024)</f>
        <v/>
      </c>
      <c r="M175" s="17">
        <f>SUMIFS(Sales_Ledger!$J$5:$J$863,Sales_Ledger!$H$5:$H$863,$A175,Sales_Ledger!$D$5:$D$863,2025)</f>
        <v/>
      </c>
      <c r="N175" s="17">
        <f>SUM(K175:M175)</f>
        <v/>
      </c>
      <c r="O175" s="15" t="inlineStr">
        <is>
          <t>Client register</t>
        </is>
      </c>
      <c r="P175" s="15" t="inlineStr">
        <is>
          <t>Bought</t>
        </is>
      </c>
      <c r="Q175" s="15" t="inlineStr">
        <is>
          <t>Ms Abisola (Team Tobi)</t>
        </is>
      </c>
      <c r="R175" s="15">
        <f>IF(AND(I175&gt;0,N175&gt;I175*1.02),"Receipts exceed register contract value: check for duplicate entries, extra plots or ancillary fees",IF(AND(I175=0,N175&gt;0),"Not in client register: contract value unknown",""))</f>
        <v/>
      </c>
    </row>
    <row r="176">
      <c r="A176" s="15" t="inlineStr">
        <is>
          <t>BP-C0172</t>
        </is>
      </c>
      <c r="B176" s="15" t="inlineStr">
        <is>
          <t>Mr Peter Chidera Eteng</t>
        </is>
      </c>
      <c r="C176" s="15" t="n"/>
      <c r="D176" s="15" t="n"/>
      <c r="E176" s="15" t="inlineStr">
        <is>
          <t>Land</t>
        </is>
      </c>
      <c r="F176" s="15" t="inlineStr">
        <is>
          <t>Land (estate not stated in source)</t>
        </is>
      </c>
      <c r="G176" s="16" t="n"/>
      <c r="H176" s="16">
        <f>IF(COUNTIF(Sales_Ledger!$H$5:$H$863,A176)=0,"",_xlfn.MINIFS(Sales_Ledger!$B$5:$B$863,Sales_Ledger!$H$5:$H$863,A176))</f>
        <v/>
      </c>
      <c r="I176" s="17">
        <f>SUMIFS(Subscriptions!$I$5:$I$218,Subscriptions!$B$5:$B$218,A176)</f>
        <v/>
      </c>
      <c r="J176" s="17">
        <f>SUMIFS(Subscriptions!$J$5:$J$218,Subscriptions!$B$5:$B$218,A176)</f>
        <v/>
      </c>
      <c r="K176" s="17">
        <f>SUMIFS(Sales_Ledger!$J$5:$J$863,Sales_Ledger!$H$5:$H$863,$A176,Sales_Ledger!$D$5:$D$863,2023)</f>
        <v/>
      </c>
      <c r="L176" s="17">
        <f>SUMIFS(Sales_Ledger!$J$5:$J$863,Sales_Ledger!$H$5:$H$863,$A176,Sales_Ledger!$D$5:$D$863,2024)</f>
        <v/>
      </c>
      <c r="M176" s="17">
        <f>SUMIFS(Sales_Ledger!$J$5:$J$863,Sales_Ledger!$H$5:$H$863,$A176,Sales_Ledger!$D$5:$D$863,2025)</f>
        <v/>
      </c>
      <c r="N176" s="17">
        <f>SUM(K176:M176)</f>
        <v/>
      </c>
      <c r="O176" s="15" t="inlineStr">
        <is>
          <t>Transaction records</t>
        </is>
      </c>
      <c r="P176" s="15" t="n"/>
      <c r="Q176" s="15" t="n"/>
      <c r="R176" s="15">
        <f>IF(AND(I176&gt;0,N176&gt;I176*1.02),"Receipts exceed register contract value: check for duplicate entries, extra plots or ancillary fees",IF(AND(I176=0,N176&gt;0),"Not in client register: contract value unknown",""))</f>
        <v/>
      </c>
    </row>
    <row r="177">
      <c r="A177" s="15" t="inlineStr">
        <is>
          <t>BP-C0173</t>
        </is>
      </c>
      <c r="B177" s="15" t="inlineStr">
        <is>
          <t>Miss Julian-Nwadi Hephzibah Chisom</t>
        </is>
      </c>
      <c r="C177" s="15" t="inlineStr">
        <is>
          <t>08138479659, 08067636002</t>
        </is>
      </c>
      <c r="D177" s="15" t="inlineStr">
        <is>
          <t>juliannwadi@gmail.com</t>
        </is>
      </c>
      <c r="E177" s="15" t="inlineStr">
        <is>
          <t>Land</t>
        </is>
      </c>
      <c r="F177" s="15" t="inlineStr">
        <is>
          <t>Heritage Garden; Land (estate not stated in source)</t>
        </is>
      </c>
      <c r="G177" s="16" t="n">
        <v>45702</v>
      </c>
      <c r="H177" s="16">
        <f>IF(COUNTIF(Sales_Ledger!$H$5:$H$863,A177)=0,"",_xlfn.MINIFS(Sales_Ledger!$B$5:$B$863,Sales_Ledger!$H$5:$H$863,A177))</f>
        <v/>
      </c>
      <c r="I177" s="17">
        <f>SUMIFS(Subscriptions!$I$5:$I$218,Subscriptions!$B$5:$B$218,A177)</f>
        <v/>
      </c>
      <c r="J177" s="17">
        <f>SUMIFS(Subscriptions!$J$5:$J$218,Subscriptions!$B$5:$B$218,A177)</f>
        <v/>
      </c>
      <c r="K177" s="17">
        <f>SUMIFS(Sales_Ledger!$J$5:$J$863,Sales_Ledger!$H$5:$H$863,$A177,Sales_Ledger!$D$5:$D$863,2023)</f>
        <v/>
      </c>
      <c r="L177" s="17">
        <f>SUMIFS(Sales_Ledger!$J$5:$J$863,Sales_Ledger!$H$5:$H$863,$A177,Sales_Ledger!$D$5:$D$863,2024)</f>
        <v/>
      </c>
      <c r="M177" s="17">
        <f>SUMIFS(Sales_Ledger!$J$5:$J$863,Sales_Ledger!$H$5:$H$863,$A177,Sales_Ledger!$D$5:$D$863,2025)</f>
        <v/>
      </c>
      <c r="N177" s="17">
        <f>SUM(K177:M177)</f>
        <v/>
      </c>
      <c r="O177" s="15" t="inlineStr">
        <is>
          <t>Client register + Transaction records</t>
        </is>
      </c>
      <c r="P177" s="15" t="inlineStr">
        <is>
          <t>Bought</t>
        </is>
      </c>
      <c r="Q177" s="15" t="inlineStr">
        <is>
          <t>Ms Rosemary</t>
        </is>
      </c>
      <c r="R177" s="15">
        <f>IF(AND(I177&gt;0,N177&gt;I177*1.02),"Receipts exceed register contract value: check for duplicate entries, extra plots or ancillary fees",IF(AND(I177=0,N177&gt;0),"Not in client register: contract value unknown",""))</f>
        <v/>
      </c>
    </row>
    <row r="178">
      <c r="A178" s="15" t="inlineStr">
        <is>
          <t>BP-C0174</t>
        </is>
      </c>
      <c r="B178" s="15" t="inlineStr">
        <is>
          <t>Mr Kafidipe Oladimeji Ayomikusibe</t>
        </is>
      </c>
      <c r="C178" s="15" t="inlineStr">
        <is>
          <t>9035216961</t>
        </is>
      </c>
      <c r="D178" s="15" t="inlineStr">
        <is>
          <t>oladimejikafidipe@yahoo.com</t>
        </is>
      </c>
      <c r="E178" s="15" t="inlineStr">
        <is>
          <t>Land</t>
        </is>
      </c>
      <c r="F178" s="15" t="inlineStr">
        <is>
          <t>Green Hillside; Land (estate not stated in source)</t>
        </is>
      </c>
      <c r="G178" s="16" t="n">
        <v>45713</v>
      </c>
      <c r="H178" s="16">
        <f>IF(COUNTIF(Sales_Ledger!$H$5:$H$863,A178)=0,"",_xlfn.MINIFS(Sales_Ledger!$B$5:$B$863,Sales_Ledger!$H$5:$H$863,A178))</f>
        <v/>
      </c>
      <c r="I178" s="17">
        <f>SUMIFS(Subscriptions!$I$5:$I$218,Subscriptions!$B$5:$B$218,A178)</f>
        <v/>
      </c>
      <c r="J178" s="17">
        <f>SUMIFS(Subscriptions!$J$5:$J$218,Subscriptions!$B$5:$B$218,A178)</f>
        <v/>
      </c>
      <c r="K178" s="17">
        <f>SUMIFS(Sales_Ledger!$J$5:$J$863,Sales_Ledger!$H$5:$H$863,$A178,Sales_Ledger!$D$5:$D$863,2023)</f>
        <v/>
      </c>
      <c r="L178" s="17">
        <f>SUMIFS(Sales_Ledger!$J$5:$J$863,Sales_Ledger!$H$5:$H$863,$A178,Sales_Ledger!$D$5:$D$863,2024)</f>
        <v/>
      </c>
      <c r="M178" s="17">
        <f>SUMIFS(Sales_Ledger!$J$5:$J$863,Sales_Ledger!$H$5:$H$863,$A178,Sales_Ledger!$D$5:$D$863,2025)</f>
        <v/>
      </c>
      <c r="N178" s="17">
        <f>SUM(K178:M178)</f>
        <v/>
      </c>
      <c r="O178" s="15" t="inlineStr">
        <is>
          <t>Client register + Transaction records</t>
        </is>
      </c>
      <c r="P178" s="15" t="inlineStr">
        <is>
          <t>Bought</t>
        </is>
      </c>
      <c r="Q178" s="15" t="inlineStr">
        <is>
          <t>Ms Olabisi</t>
        </is>
      </c>
      <c r="R178" s="15">
        <f>IF(AND(I178&gt;0,N178&gt;I178*1.02),"Receipts exceed register contract value: check for duplicate entries, extra plots or ancillary fees",IF(AND(I178=0,N178&gt;0),"Not in client register: contract value unknown",""))</f>
        <v/>
      </c>
    </row>
    <row r="179">
      <c r="A179" s="15" t="inlineStr">
        <is>
          <t>BP-C0175</t>
        </is>
      </c>
      <c r="B179" s="15" t="inlineStr">
        <is>
          <t>Mr Marizu Precious Chisom</t>
        </is>
      </c>
      <c r="C179" s="15" t="inlineStr">
        <is>
          <t>8037475848, 08035251271</t>
        </is>
      </c>
      <c r="D179" s="15" t="inlineStr">
        <is>
          <t>preciousmarizu@gmail.com</t>
        </is>
      </c>
      <c r="E179" s="15" t="inlineStr">
        <is>
          <t>Land</t>
        </is>
      </c>
      <c r="F179" s="15" t="inlineStr">
        <is>
          <t>Green City Phase 3 Extension (Omu-Epe); Land (estate not stated in source)</t>
        </is>
      </c>
      <c r="G179" s="16" t="n">
        <v>45716</v>
      </c>
      <c r="H179" s="16">
        <f>IF(COUNTIF(Sales_Ledger!$H$5:$H$863,A179)=0,"",_xlfn.MINIFS(Sales_Ledger!$B$5:$B$863,Sales_Ledger!$H$5:$H$863,A179))</f>
        <v/>
      </c>
      <c r="I179" s="17">
        <f>SUMIFS(Subscriptions!$I$5:$I$218,Subscriptions!$B$5:$B$218,A179)</f>
        <v/>
      </c>
      <c r="J179" s="17">
        <f>SUMIFS(Subscriptions!$J$5:$J$218,Subscriptions!$B$5:$B$218,A179)</f>
        <v/>
      </c>
      <c r="K179" s="17">
        <f>SUMIFS(Sales_Ledger!$J$5:$J$863,Sales_Ledger!$H$5:$H$863,$A179,Sales_Ledger!$D$5:$D$863,2023)</f>
        <v/>
      </c>
      <c r="L179" s="17">
        <f>SUMIFS(Sales_Ledger!$J$5:$J$863,Sales_Ledger!$H$5:$H$863,$A179,Sales_Ledger!$D$5:$D$863,2024)</f>
        <v/>
      </c>
      <c r="M179" s="17">
        <f>SUMIFS(Sales_Ledger!$J$5:$J$863,Sales_Ledger!$H$5:$H$863,$A179,Sales_Ledger!$D$5:$D$863,2025)</f>
        <v/>
      </c>
      <c r="N179" s="17">
        <f>SUM(K179:M179)</f>
        <v/>
      </c>
      <c r="O179" s="15" t="inlineStr">
        <is>
          <t>Client register + Transaction records</t>
        </is>
      </c>
      <c r="P179" s="15" t="inlineStr">
        <is>
          <t>Bought</t>
        </is>
      </c>
      <c r="Q179" s="15" t="inlineStr">
        <is>
          <t>Mr Daniel</t>
        </is>
      </c>
      <c r="R179" s="15">
        <f>IF(AND(I179&gt;0,N179&gt;I179*1.02),"Receipts exceed register contract value: check for duplicate entries, extra plots or ancillary fees",IF(AND(I179=0,N179&gt;0),"Not in client register: contract value unknown",""))</f>
        <v/>
      </c>
    </row>
    <row r="180">
      <c r="A180" s="15" t="inlineStr">
        <is>
          <t>BP-C0176</t>
        </is>
      </c>
      <c r="B180" s="15" t="inlineStr">
        <is>
          <t>Mrs Marizu Geraldine Ijeoma</t>
        </is>
      </c>
      <c r="C180" s="15" t="inlineStr">
        <is>
          <t>8065501731, 08035251271</t>
        </is>
      </c>
      <c r="D180" s="15" t="inlineStr">
        <is>
          <t>ijeomamarizu@gmail.com</t>
        </is>
      </c>
      <c r="E180" s="15" t="inlineStr">
        <is>
          <t>Land</t>
        </is>
      </c>
      <c r="F180" s="15" t="inlineStr">
        <is>
          <t>Green City Phase 3 Extension (Omu-Epe); Land (estate not stated in source)</t>
        </is>
      </c>
      <c r="G180" s="16" t="n">
        <v>45716</v>
      </c>
      <c r="H180" s="16">
        <f>IF(COUNTIF(Sales_Ledger!$H$5:$H$863,A180)=0,"",_xlfn.MINIFS(Sales_Ledger!$B$5:$B$863,Sales_Ledger!$H$5:$H$863,A180))</f>
        <v/>
      </c>
      <c r="I180" s="17">
        <f>SUMIFS(Subscriptions!$I$5:$I$218,Subscriptions!$B$5:$B$218,A180)</f>
        <v/>
      </c>
      <c r="J180" s="17">
        <f>SUMIFS(Subscriptions!$J$5:$J$218,Subscriptions!$B$5:$B$218,A180)</f>
        <v/>
      </c>
      <c r="K180" s="17">
        <f>SUMIFS(Sales_Ledger!$J$5:$J$863,Sales_Ledger!$H$5:$H$863,$A180,Sales_Ledger!$D$5:$D$863,2023)</f>
        <v/>
      </c>
      <c r="L180" s="17">
        <f>SUMIFS(Sales_Ledger!$J$5:$J$863,Sales_Ledger!$H$5:$H$863,$A180,Sales_Ledger!$D$5:$D$863,2024)</f>
        <v/>
      </c>
      <c r="M180" s="17">
        <f>SUMIFS(Sales_Ledger!$J$5:$J$863,Sales_Ledger!$H$5:$H$863,$A180,Sales_Ledger!$D$5:$D$863,2025)</f>
        <v/>
      </c>
      <c r="N180" s="17">
        <f>SUM(K180:M180)</f>
        <v/>
      </c>
      <c r="O180" s="15" t="inlineStr">
        <is>
          <t>Client register + Transaction records</t>
        </is>
      </c>
      <c r="P180" s="15" t="inlineStr">
        <is>
          <t>Bought</t>
        </is>
      </c>
      <c r="Q180" s="15" t="inlineStr">
        <is>
          <t>Mr Daniel</t>
        </is>
      </c>
      <c r="R180" s="15">
        <f>IF(AND(I180&gt;0,N180&gt;I180*1.02),"Receipts exceed register contract value: check for duplicate entries, extra plots or ancillary fees",IF(AND(I180=0,N180&gt;0),"Not in client register: contract value unknown",""))</f>
        <v/>
      </c>
    </row>
    <row r="181">
      <c r="A181" s="15" t="inlineStr">
        <is>
          <t>BP-C0177</t>
        </is>
      </c>
      <c r="B181" s="15" t="inlineStr">
        <is>
          <t>Mrs. Osobu Olufunke</t>
        </is>
      </c>
      <c r="C181" s="15" t="n"/>
      <c r="D181" s="15" t="n"/>
      <c r="E181" s="15" t="inlineStr">
        <is>
          <t>Housing</t>
        </is>
      </c>
      <c r="F181" s="15" t="inlineStr">
        <is>
          <t>Baay Foreshore</t>
        </is>
      </c>
      <c r="G181" s="16" t="n"/>
      <c r="H181" s="16">
        <f>IF(COUNTIF(Sales_Ledger!$H$5:$H$863,A181)=0,"",_xlfn.MINIFS(Sales_Ledger!$B$5:$B$863,Sales_Ledger!$H$5:$H$863,A181))</f>
        <v/>
      </c>
      <c r="I181" s="17">
        <f>SUMIFS(Subscriptions!$I$5:$I$218,Subscriptions!$B$5:$B$218,A181)</f>
        <v/>
      </c>
      <c r="J181" s="17">
        <f>SUMIFS(Subscriptions!$J$5:$J$218,Subscriptions!$B$5:$B$218,A181)</f>
        <v/>
      </c>
      <c r="K181" s="17">
        <f>SUMIFS(Sales_Ledger!$J$5:$J$863,Sales_Ledger!$H$5:$H$863,$A181,Sales_Ledger!$D$5:$D$863,2023)</f>
        <v/>
      </c>
      <c r="L181" s="17">
        <f>SUMIFS(Sales_Ledger!$J$5:$J$863,Sales_Ledger!$H$5:$H$863,$A181,Sales_Ledger!$D$5:$D$863,2024)</f>
        <v/>
      </c>
      <c r="M181" s="17">
        <f>SUMIFS(Sales_Ledger!$J$5:$J$863,Sales_Ledger!$H$5:$H$863,$A181,Sales_Ledger!$D$5:$D$863,2025)</f>
        <v/>
      </c>
      <c r="N181" s="17">
        <f>SUM(K181:M181)</f>
        <v/>
      </c>
      <c r="O181" s="15" t="inlineStr">
        <is>
          <t>Transaction records</t>
        </is>
      </c>
      <c r="P181" s="15" t="n"/>
      <c r="Q181" s="15" t="n"/>
      <c r="R181" s="15">
        <f>IF(AND(I181&gt;0,N181&gt;I181*1.02),"Receipts exceed register contract value: check for duplicate entries, extra plots or ancillary fees",IF(AND(I181=0,N181&gt;0),"Not in client register: contract value unknown",""))</f>
        <v/>
      </c>
    </row>
    <row r="182">
      <c r="A182" s="15" t="inlineStr">
        <is>
          <t>BP-C0178</t>
        </is>
      </c>
      <c r="B182" s="15" t="inlineStr">
        <is>
          <t>Mrs Ajiri-Odeh Chioma Cynthia</t>
        </is>
      </c>
      <c r="C182" s="15" t="inlineStr">
        <is>
          <t>8103504017, 09130978220</t>
        </is>
      </c>
      <c r="D182" s="15" t="inlineStr">
        <is>
          <t>chiomaajiriodeh12345@gmail.com</t>
        </is>
      </c>
      <c r="E182" s="15" t="inlineStr">
        <is>
          <t>Land</t>
        </is>
      </c>
      <c r="F182" s="15" t="inlineStr">
        <is>
          <t>Heritage Garden; Land (estate not stated in source)</t>
        </is>
      </c>
      <c r="G182" s="16" t="n">
        <v>45719</v>
      </c>
      <c r="H182" s="16">
        <f>IF(COUNTIF(Sales_Ledger!$H$5:$H$863,A182)=0,"",_xlfn.MINIFS(Sales_Ledger!$B$5:$B$863,Sales_Ledger!$H$5:$H$863,A182))</f>
        <v/>
      </c>
      <c r="I182" s="17">
        <f>SUMIFS(Subscriptions!$I$5:$I$218,Subscriptions!$B$5:$B$218,A182)</f>
        <v/>
      </c>
      <c r="J182" s="17">
        <f>SUMIFS(Subscriptions!$J$5:$J$218,Subscriptions!$B$5:$B$218,A182)</f>
        <v/>
      </c>
      <c r="K182" s="17">
        <f>SUMIFS(Sales_Ledger!$J$5:$J$863,Sales_Ledger!$H$5:$H$863,$A182,Sales_Ledger!$D$5:$D$863,2023)</f>
        <v/>
      </c>
      <c r="L182" s="17">
        <f>SUMIFS(Sales_Ledger!$J$5:$J$863,Sales_Ledger!$H$5:$H$863,$A182,Sales_Ledger!$D$5:$D$863,2024)</f>
        <v/>
      </c>
      <c r="M182" s="17">
        <f>SUMIFS(Sales_Ledger!$J$5:$J$863,Sales_Ledger!$H$5:$H$863,$A182,Sales_Ledger!$D$5:$D$863,2025)</f>
        <v/>
      </c>
      <c r="N182" s="17">
        <f>SUM(K182:M182)</f>
        <v/>
      </c>
      <c r="O182" s="15" t="inlineStr">
        <is>
          <t>Client register + Transaction records</t>
        </is>
      </c>
      <c r="P182" s="15" t="inlineStr">
        <is>
          <t>Bought</t>
        </is>
      </c>
      <c r="Q182" s="15" t="inlineStr">
        <is>
          <t>Ms Jennifer (Team Kenny Bruce</t>
        </is>
      </c>
      <c r="R182" s="15">
        <f>IF(AND(I182&gt;0,N182&gt;I182*1.02),"Receipts exceed register contract value: check for duplicate entries, extra plots or ancillary fees",IF(AND(I182=0,N182&gt;0),"Not in client register: contract value unknown",""))</f>
        <v/>
      </c>
    </row>
    <row r="183">
      <c r="A183" s="15" t="inlineStr">
        <is>
          <t>BP-C0179</t>
        </is>
      </c>
      <c r="B183" s="15" t="inlineStr">
        <is>
          <t>Mr Olajide Afeez</t>
        </is>
      </c>
      <c r="C183" s="15" t="n"/>
      <c r="D183" s="15" t="n"/>
      <c r="E183" s="15" t="inlineStr">
        <is>
          <t>Housing</t>
        </is>
      </c>
      <c r="F183" s="15" t="inlineStr">
        <is>
          <t>Pacific Apartment</t>
        </is>
      </c>
      <c r="G183" s="16" t="n"/>
      <c r="H183" s="16">
        <f>IF(COUNTIF(Sales_Ledger!$H$5:$H$863,A183)=0,"",_xlfn.MINIFS(Sales_Ledger!$B$5:$B$863,Sales_Ledger!$H$5:$H$863,A183))</f>
        <v/>
      </c>
      <c r="I183" s="17">
        <f>SUMIFS(Subscriptions!$I$5:$I$218,Subscriptions!$B$5:$B$218,A183)</f>
        <v/>
      </c>
      <c r="J183" s="17">
        <f>SUMIFS(Subscriptions!$J$5:$J$218,Subscriptions!$B$5:$B$218,A183)</f>
        <v/>
      </c>
      <c r="K183" s="17">
        <f>SUMIFS(Sales_Ledger!$J$5:$J$863,Sales_Ledger!$H$5:$H$863,$A183,Sales_Ledger!$D$5:$D$863,2023)</f>
        <v/>
      </c>
      <c r="L183" s="17">
        <f>SUMIFS(Sales_Ledger!$J$5:$J$863,Sales_Ledger!$H$5:$H$863,$A183,Sales_Ledger!$D$5:$D$863,2024)</f>
        <v/>
      </c>
      <c r="M183" s="17">
        <f>SUMIFS(Sales_Ledger!$J$5:$J$863,Sales_Ledger!$H$5:$H$863,$A183,Sales_Ledger!$D$5:$D$863,2025)</f>
        <v/>
      </c>
      <c r="N183" s="17">
        <f>SUM(K183:M183)</f>
        <v/>
      </c>
      <c r="O183" s="15" t="inlineStr">
        <is>
          <t>Transaction records</t>
        </is>
      </c>
      <c r="P183" s="15" t="n"/>
      <c r="Q183" s="15" t="n"/>
      <c r="R183" s="15">
        <f>IF(AND(I183&gt;0,N183&gt;I183*1.02),"Receipts exceed register contract value: check for duplicate entries, extra plots or ancillary fees",IF(AND(I183=0,N183&gt;0),"Not in client register: contract value unknown",""))</f>
        <v/>
      </c>
    </row>
    <row r="184">
      <c r="A184" s="15" t="inlineStr">
        <is>
          <t>BP-C0180</t>
        </is>
      </c>
      <c r="B184" s="15" t="inlineStr">
        <is>
          <t>Mr Olajide Hafeez olakunle</t>
        </is>
      </c>
      <c r="C184" s="15" t="inlineStr">
        <is>
          <t>8034777397</t>
        </is>
      </c>
      <c r="D184" s="15" t="inlineStr">
        <is>
          <t>hafeezolajide@yahoo.com</t>
        </is>
      </c>
      <c r="E184" s="15" t="inlineStr">
        <is>
          <t>Housing</t>
        </is>
      </c>
      <c r="F184" s="15" t="inlineStr">
        <is>
          <t>Pacific Apartment</t>
        </is>
      </c>
      <c r="G184" s="16" t="n">
        <v>45722</v>
      </c>
      <c r="H184" s="16">
        <f>IF(COUNTIF(Sales_Ledger!$H$5:$H$863,A184)=0,"",_xlfn.MINIFS(Sales_Ledger!$B$5:$B$863,Sales_Ledger!$H$5:$H$863,A184))</f>
        <v/>
      </c>
      <c r="I184" s="17">
        <f>SUMIFS(Subscriptions!$I$5:$I$218,Subscriptions!$B$5:$B$218,A184)</f>
        <v/>
      </c>
      <c r="J184" s="17">
        <f>SUMIFS(Subscriptions!$J$5:$J$218,Subscriptions!$B$5:$B$218,A184)</f>
        <v/>
      </c>
      <c r="K184" s="17">
        <f>SUMIFS(Sales_Ledger!$J$5:$J$863,Sales_Ledger!$H$5:$H$863,$A184,Sales_Ledger!$D$5:$D$863,2023)</f>
        <v/>
      </c>
      <c r="L184" s="17">
        <f>SUMIFS(Sales_Ledger!$J$5:$J$863,Sales_Ledger!$H$5:$H$863,$A184,Sales_Ledger!$D$5:$D$863,2024)</f>
        <v/>
      </c>
      <c r="M184" s="17">
        <f>SUMIFS(Sales_Ledger!$J$5:$J$863,Sales_Ledger!$H$5:$H$863,$A184,Sales_Ledger!$D$5:$D$863,2025)</f>
        <v/>
      </c>
      <c r="N184" s="17">
        <f>SUM(K184:M184)</f>
        <v/>
      </c>
      <c r="O184" s="15" t="inlineStr">
        <is>
          <t>Client register</t>
        </is>
      </c>
      <c r="P184" s="15" t="inlineStr">
        <is>
          <t>Bought</t>
        </is>
      </c>
      <c r="Q184" s="15" t="inlineStr">
        <is>
          <t>MD</t>
        </is>
      </c>
      <c r="R184" s="15">
        <f>IF(AND(I184&gt;0,N184&gt;I184*1.02),"Receipts exceed register contract value: check for duplicate entries, extra plots or ancillary fees",IF(AND(I184=0,N184&gt;0),"Not in client register: contract value unknown",""))</f>
        <v/>
      </c>
    </row>
    <row r="185">
      <c r="A185" s="15" t="inlineStr">
        <is>
          <t>BP-C0181</t>
        </is>
      </c>
      <c r="B185" s="15" t="inlineStr">
        <is>
          <t>Miss Joshua Fortune Ufot</t>
        </is>
      </c>
      <c r="C185" s="15" t="inlineStr">
        <is>
          <t>8065097815, 09019795100</t>
        </is>
      </c>
      <c r="D185" s="15" t="inlineStr">
        <is>
          <t>fortunatusreal3@gmail.com</t>
        </is>
      </c>
      <c r="E185" s="15" t="inlineStr">
        <is>
          <t>Land</t>
        </is>
      </c>
      <c r="F185" s="15" t="inlineStr">
        <is>
          <t>Green Hillside; Land (estate not stated in source)</t>
        </is>
      </c>
      <c r="G185" s="16" t="n">
        <v>45728</v>
      </c>
      <c r="H185" s="16">
        <f>IF(COUNTIF(Sales_Ledger!$H$5:$H$863,A185)=0,"",_xlfn.MINIFS(Sales_Ledger!$B$5:$B$863,Sales_Ledger!$H$5:$H$863,A185))</f>
        <v/>
      </c>
      <c r="I185" s="17">
        <f>SUMIFS(Subscriptions!$I$5:$I$218,Subscriptions!$B$5:$B$218,A185)</f>
        <v/>
      </c>
      <c r="J185" s="17">
        <f>SUMIFS(Subscriptions!$J$5:$J$218,Subscriptions!$B$5:$B$218,A185)</f>
        <v/>
      </c>
      <c r="K185" s="17">
        <f>SUMIFS(Sales_Ledger!$J$5:$J$863,Sales_Ledger!$H$5:$H$863,$A185,Sales_Ledger!$D$5:$D$863,2023)</f>
        <v/>
      </c>
      <c r="L185" s="17">
        <f>SUMIFS(Sales_Ledger!$J$5:$J$863,Sales_Ledger!$H$5:$H$863,$A185,Sales_Ledger!$D$5:$D$863,2024)</f>
        <v/>
      </c>
      <c r="M185" s="17">
        <f>SUMIFS(Sales_Ledger!$J$5:$J$863,Sales_Ledger!$H$5:$H$863,$A185,Sales_Ledger!$D$5:$D$863,2025)</f>
        <v/>
      </c>
      <c r="N185" s="17">
        <f>SUM(K185:M185)</f>
        <v/>
      </c>
      <c r="O185" s="15" t="inlineStr">
        <is>
          <t>Client register + Transaction records</t>
        </is>
      </c>
      <c r="P185" s="15" t="inlineStr">
        <is>
          <t>Bought</t>
        </is>
      </c>
      <c r="Q185" s="15" t="inlineStr">
        <is>
          <t>Ms Praise</t>
        </is>
      </c>
      <c r="R185" s="15">
        <f>IF(AND(I185&gt;0,N185&gt;I185*1.02),"Receipts exceed register contract value: check for duplicate entries, extra plots or ancillary fees",IF(AND(I185=0,N185&gt;0),"Not in client register: contract value unknown",""))</f>
        <v/>
      </c>
    </row>
    <row r="186">
      <c r="A186" s="15" t="inlineStr">
        <is>
          <t>BP-C0182</t>
        </is>
      </c>
      <c r="B186" s="15" t="inlineStr">
        <is>
          <t>Mr Adebayo Adetunji Yusuff</t>
        </is>
      </c>
      <c r="C186" s="15" t="inlineStr">
        <is>
          <t>8146833679, 07063003795</t>
        </is>
      </c>
      <c r="D186" s="15" t="inlineStr">
        <is>
          <t>ADEBAYOADETUNJI313@GMAIL.COM</t>
        </is>
      </c>
      <c r="E186" s="15" t="inlineStr">
        <is>
          <t>Land</t>
        </is>
      </c>
      <c r="F186" s="15" t="inlineStr">
        <is>
          <t>Green Hillside</t>
        </is>
      </c>
      <c r="G186" s="16" t="n">
        <v>45728</v>
      </c>
      <c r="H186" s="16">
        <f>IF(COUNTIF(Sales_Ledger!$H$5:$H$863,A186)=0,"",_xlfn.MINIFS(Sales_Ledger!$B$5:$B$863,Sales_Ledger!$H$5:$H$863,A186))</f>
        <v/>
      </c>
      <c r="I186" s="17">
        <f>SUMIFS(Subscriptions!$I$5:$I$218,Subscriptions!$B$5:$B$218,A186)</f>
        <v/>
      </c>
      <c r="J186" s="17">
        <f>SUMIFS(Subscriptions!$J$5:$J$218,Subscriptions!$B$5:$B$218,A186)</f>
        <v/>
      </c>
      <c r="K186" s="17">
        <f>SUMIFS(Sales_Ledger!$J$5:$J$863,Sales_Ledger!$H$5:$H$863,$A186,Sales_Ledger!$D$5:$D$863,2023)</f>
        <v/>
      </c>
      <c r="L186" s="17">
        <f>SUMIFS(Sales_Ledger!$J$5:$J$863,Sales_Ledger!$H$5:$H$863,$A186,Sales_Ledger!$D$5:$D$863,2024)</f>
        <v/>
      </c>
      <c r="M186" s="17">
        <f>SUMIFS(Sales_Ledger!$J$5:$J$863,Sales_Ledger!$H$5:$H$863,$A186,Sales_Ledger!$D$5:$D$863,2025)</f>
        <v/>
      </c>
      <c r="N186" s="17">
        <f>SUM(K186:M186)</f>
        <v/>
      </c>
      <c r="O186" s="15" t="inlineStr">
        <is>
          <t>Client register</t>
        </is>
      </c>
      <c r="P186" s="15" t="inlineStr">
        <is>
          <t>Paying</t>
        </is>
      </c>
      <c r="Q186" s="15" t="inlineStr">
        <is>
          <t>Mr Adetunji Yusuf (Team Praise)</t>
        </is>
      </c>
      <c r="R186" s="15">
        <f>IF(AND(I186&gt;0,N186&gt;I186*1.02),"Receipts exceed register contract value: check for duplicate entries, extra plots or ancillary fees",IF(AND(I186=0,N186&gt;0),"Not in client register: contract value unknown",""))</f>
        <v/>
      </c>
    </row>
    <row r="187">
      <c r="A187" s="15" t="inlineStr">
        <is>
          <t>BP-C0183</t>
        </is>
      </c>
      <c r="B187" s="15" t="inlineStr">
        <is>
          <t>Salem Real Estate (Mr Atoyebi Isaac Jesuloba)</t>
        </is>
      </c>
      <c r="C187" s="15" t="n"/>
      <c r="D187" s="15" t="n"/>
      <c r="E187" s="15" t="inlineStr">
        <is>
          <t>Housing</t>
        </is>
      </c>
      <c r="F187" s="15" t="inlineStr">
        <is>
          <t>Pacific Apartment</t>
        </is>
      </c>
      <c r="G187" s="16" t="n"/>
      <c r="H187" s="16">
        <f>IF(COUNTIF(Sales_Ledger!$H$5:$H$863,A187)=0,"",_xlfn.MINIFS(Sales_Ledger!$B$5:$B$863,Sales_Ledger!$H$5:$H$863,A187))</f>
        <v/>
      </c>
      <c r="I187" s="17">
        <f>SUMIFS(Subscriptions!$I$5:$I$218,Subscriptions!$B$5:$B$218,A187)</f>
        <v/>
      </c>
      <c r="J187" s="17">
        <f>SUMIFS(Subscriptions!$J$5:$J$218,Subscriptions!$B$5:$B$218,A187)</f>
        <v/>
      </c>
      <c r="K187" s="17">
        <f>SUMIFS(Sales_Ledger!$J$5:$J$863,Sales_Ledger!$H$5:$H$863,$A187,Sales_Ledger!$D$5:$D$863,2023)</f>
        <v/>
      </c>
      <c r="L187" s="17">
        <f>SUMIFS(Sales_Ledger!$J$5:$J$863,Sales_Ledger!$H$5:$H$863,$A187,Sales_Ledger!$D$5:$D$863,2024)</f>
        <v/>
      </c>
      <c r="M187" s="17">
        <f>SUMIFS(Sales_Ledger!$J$5:$J$863,Sales_Ledger!$H$5:$H$863,$A187,Sales_Ledger!$D$5:$D$863,2025)</f>
        <v/>
      </c>
      <c r="N187" s="17">
        <f>SUM(K187:M187)</f>
        <v/>
      </c>
      <c r="O187" s="15" t="inlineStr">
        <is>
          <t>Transaction records</t>
        </is>
      </c>
      <c r="P187" s="15" t="n"/>
      <c r="Q187" s="15" t="n"/>
      <c r="R187" s="15">
        <f>IF(AND(I187&gt;0,N187&gt;I187*1.02),"Receipts exceed register contract value: check for duplicate entries, extra plots or ancillary fees",IF(AND(I187=0,N187&gt;0),"Not in client register: contract value unknown",""))</f>
        <v/>
      </c>
    </row>
    <row r="188">
      <c r="A188" s="15" t="inlineStr">
        <is>
          <t>BP-C0184</t>
        </is>
      </c>
      <c r="B188" s="15" t="inlineStr">
        <is>
          <t>Mr Klu Jeremiah</t>
        </is>
      </c>
      <c r="C188" s="15" t="inlineStr">
        <is>
          <t>09130415985, 09133940546</t>
        </is>
      </c>
      <c r="D188" s="15" t="inlineStr">
        <is>
          <t>klujeremiah517@gmail.com</t>
        </is>
      </c>
      <c r="E188" s="15" t="inlineStr">
        <is>
          <t>Land</t>
        </is>
      </c>
      <c r="F188" s="15" t="inlineStr">
        <is>
          <t>Heritage Garden; Land (estate not stated in source)</t>
        </is>
      </c>
      <c r="G188" s="16" t="n">
        <v>45734</v>
      </c>
      <c r="H188" s="16">
        <f>IF(COUNTIF(Sales_Ledger!$H$5:$H$863,A188)=0,"",_xlfn.MINIFS(Sales_Ledger!$B$5:$B$863,Sales_Ledger!$H$5:$H$863,A188))</f>
        <v/>
      </c>
      <c r="I188" s="17">
        <f>SUMIFS(Subscriptions!$I$5:$I$218,Subscriptions!$B$5:$B$218,A188)</f>
        <v/>
      </c>
      <c r="J188" s="17">
        <f>SUMIFS(Subscriptions!$J$5:$J$218,Subscriptions!$B$5:$B$218,A188)</f>
        <v/>
      </c>
      <c r="K188" s="17">
        <f>SUMIFS(Sales_Ledger!$J$5:$J$863,Sales_Ledger!$H$5:$H$863,$A188,Sales_Ledger!$D$5:$D$863,2023)</f>
        <v/>
      </c>
      <c r="L188" s="17">
        <f>SUMIFS(Sales_Ledger!$J$5:$J$863,Sales_Ledger!$H$5:$H$863,$A188,Sales_Ledger!$D$5:$D$863,2024)</f>
        <v/>
      </c>
      <c r="M188" s="17">
        <f>SUMIFS(Sales_Ledger!$J$5:$J$863,Sales_Ledger!$H$5:$H$863,$A188,Sales_Ledger!$D$5:$D$863,2025)</f>
        <v/>
      </c>
      <c r="N188" s="17">
        <f>SUM(K188:M188)</f>
        <v/>
      </c>
      <c r="O188" s="15" t="inlineStr">
        <is>
          <t>Client register + Transaction records</t>
        </is>
      </c>
      <c r="P188" s="15" t="inlineStr">
        <is>
          <t>Bought</t>
        </is>
      </c>
      <c r="Q188" s="15" t="inlineStr">
        <is>
          <t>Ms Bolanle</t>
        </is>
      </c>
      <c r="R188" s="15">
        <f>IF(AND(I188&gt;0,N188&gt;I188*1.02),"Receipts exceed register contract value: check for duplicate entries, extra plots or ancillary fees",IF(AND(I188=0,N188&gt;0),"Not in client register: contract value unknown",""))</f>
        <v/>
      </c>
    </row>
    <row r="189">
      <c r="A189" s="15" t="inlineStr">
        <is>
          <t>BP-C0185</t>
        </is>
      </c>
      <c r="B189" s="15" t="inlineStr">
        <is>
          <t>Mr Onwuegbuna Ikechukwu Emmanuel</t>
        </is>
      </c>
      <c r="C189" s="15" t="n"/>
      <c r="D189" s="15" t="n"/>
      <c r="E189" s="15" t="inlineStr">
        <is>
          <t>Housing</t>
        </is>
      </c>
      <c r="F189" s="15" t="inlineStr">
        <is>
          <t>Pacific Court 2</t>
        </is>
      </c>
      <c r="G189" s="16" t="n"/>
      <c r="H189" s="16">
        <f>IF(COUNTIF(Sales_Ledger!$H$5:$H$863,A189)=0,"",_xlfn.MINIFS(Sales_Ledger!$B$5:$B$863,Sales_Ledger!$H$5:$H$863,A189))</f>
        <v/>
      </c>
      <c r="I189" s="17">
        <f>SUMIFS(Subscriptions!$I$5:$I$218,Subscriptions!$B$5:$B$218,A189)</f>
        <v/>
      </c>
      <c r="J189" s="17">
        <f>SUMIFS(Subscriptions!$J$5:$J$218,Subscriptions!$B$5:$B$218,A189)</f>
        <v/>
      </c>
      <c r="K189" s="17">
        <f>SUMIFS(Sales_Ledger!$J$5:$J$863,Sales_Ledger!$H$5:$H$863,$A189,Sales_Ledger!$D$5:$D$863,2023)</f>
        <v/>
      </c>
      <c r="L189" s="17">
        <f>SUMIFS(Sales_Ledger!$J$5:$J$863,Sales_Ledger!$H$5:$H$863,$A189,Sales_Ledger!$D$5:$D$863,2024)</f>
        <v/>
      </c>
      <c r="M189" s="17">
        <f>SUMIFS(Sales_Ledger!$J$5:$J$863,Sales_Ledger!$H$5:$H$863,$A189,Sales_Ledger!$D$5:$D$863,2025)</f>
        <v/>
      </c>
      <c r="N189" s="17">
        <f>SUM(K189:M189)</f>
        <v/>
      </c>
      <c r="O189" s="15" t="inlineStr">
        <is>
          <t>Transaction records</t>
        </is>
      </c>
      <c r="P189" s="15" t="n"/>
      <c r="Q189" s="15" t="n"/>
      <c r="R189" s="15">
        <f>IF(AND(I189&gt;0,N189&gt;I189*1.02),"Receipts exceed register contract value: check for duplicate entries, extra plots or ancillary fees",IF(AND(I189=0,N189&gt;0),"Not in client register: contract value unknown",""))</f>
        <v/>
      </c>
    </row>
    <row r="190">
      <c r="A190" s="15" t="inlineStr">
        <is>
          <t>BP-C0186</t>
        </is>
      </c>
      <c r="B190" s="15" t="inlineStr">
        <is>
          <t>Mrs Omoko Onora Helen (Salem Real Estate Development</t>
        </is>
      </c>
      <c r="C190" s="15" t="inlineStr">
        <is>
          <t>08037105310, 4407535848203</t>
        </is>
      </c>
      <c r="D190" s="15" t="inlineStr">
        <is>
          <t>helenomoko@yahoo.com</t>
        </is>
      </c>
      <c r="E190" s="15" t="inlineStr">
        <is>
          <t>Housing</t>
        </is>
      </c>
      <c r="F190" s="15" t="inlineStr">
        <is>
          <t>Pacific Apartment</t>
        </is>
      </c>
      <c r="G190" s="16" t="n">
        <v>45737</v>
      </c>
      <c r="H190" s="16">
        <f>IF(COUNTIF(Sales_Ledger!$H$5:$H$863,A190)=0,"",_xlfn.MINIFS(Sales_Ledger!$B$5:$B$863,Sales_Ledger!$H$5:$H$863,A190))</f>
        <v/>
      </c>
      <c r="I190" s="17">
        <f>SUMIFS(Subscriptions!$I$5:$I$218,Subscriptions!$B$5:$B$218,A190)</f>
        <v/>
      </c>
      <c r="J190" s="17">
        <f>SUMIFS(Subscriptions!$J$5:$J$218,Subscriptions!$B$5:$B$218,A190)</f>
        <v/>
      </c>
      <c r="K190" s="17">
        <f>SUMIFS(Sales_Ledger!$J$5:$J$863,Sales_Ledger!$H$5:$H$863,$A190,Sales_Ledger!$D$5:$D$863,2023)</f>
        <v/>
      </c>
      <c r="L190" s="17">
        <f>SUMIFS(Sales_Ledger!$J$5:$J$863,Sales_Ledger!$H$5:$H$863,$A190,Sales_Ledger!$D$5:$D$863,2024)</f>
        <v/>
      </c>
      <c r="M190" s="17">
        <f>SUMIFS(Sales_Ledger!$J$5:$J$863,Sales_Ledger!$H$5:$H$863,$A190,Sales_Ledger!$D$5:$D$863,2025)</f>
        <v/>
      </c>
      <c r="N190" s="17">
        <f>SUM(K190:M190)</f>
        <v/>
      </c>
      <c r="O190" s="15" t="inlineStr">
        <is>
          <t>Client register + Transaction records</t>
        </is>
      </c>
      <c r="P190" s="15" t="inlineStr">
        <is>
          <t>Paying</t>
        </is>
      </c>
      <c r="Q190" s="15" t="inlineStr">
        <is>
          <t>Salem Real Estate</t>
        </is>
      </c>
      <c r="R190" s="15">
        <f>IF(AND(I190&gt;0,N190&gt;I190*1.02),"Receipts exceed register contract value: check for duplicate entries, extra plots or ancillary fees",IF(AND(I190=0,N190&gt;0),"Not in client register: contract value unknown",""))</f>
        <v/>
      </c>
    </row>
    <row r="191">
      <c r="A191" s="15" t="inlineStr">
        <is>
          <t>BP-C0187</t>
        </is>
      </c>
      <c r="B191" s="15" t="inlineStr">
        <is>
          <t>Miss Olotu Tabitha Olamide</t>
        </is>
      </c>
      <c r="C191" s="15" t="inlineStr">
        <is>
          <t>9110166354</t>
        </is>
      </c>
      <c r="D191" s="15" t="inlineStr">
        <is>
          <t>ifeolamideolotu@gmail.com</t>
        </is>
      </c>
      <c r="E191" s="15" t="inlineStr">
        <is>
          <t>Land</t>
        </is>
      </c>
      <c r="F191" s="15" t="inlineStr">
        <is>
          <t>Green Hillside; Land (estate not stated in source)</t>
        </is>
      </c>
      <c r="G191" s="16" t="n">
        <v>45740</v>
      </c>
      <c r="H191" s="16">
        <f>IF(COUNTIF(Sales_Ledger!$H$5:$H$863,A191)=0,"",_xlfn.MINIFS(Sales_Ledger!$B$5:$B$863,Sales_Ledger!$H$5:$H$863,A191))</f>
        <v/>
      </c>
      <c r="I191" s="17">
        <f>SUMIFS(Subscriptions!$I$5:$I$218,Subscriptions!$B$5:$B$218,A191)</f>
        <v/>
      </c>
      <c r="J191" s="17">
        <f>SUMIFS(Subscriptions!$J$5:$J$218,Subscriptions!$B$5:$B$218,A191)</f>
        <v/>
      </c>
      <c r="K191" s="17">
        <f>SUMIFS(Sales_Ledger!$J$5:$J$863,Sales_Ledger!$H$5:$H$863,$A191,Sales_Ledger!$D$5:$D$863,2023)</f>
        <v/>
      </c>
      <c r="L191" s="17">
        <f>SUMIFS(Sales_Ledger!$J$5:$J$863,Sales_Ledger!$H$5:$H$863,$A191,Sales_Ledger!$D$5:$D$863,2024)</f>
        <v/>
      </c>
      <c r="M191" s="17">
        <f>SUMIFS(Sales_Ledger!$J$5:$J$863,Sales_Ledger!$H$5:$H$863,$A191,Sales_Ledger!$D$5:$D$863,2025)</f>
        <v/>
      </c>
      <c r="N191" s="17">
        <f>SUM(K191:M191)</f>
        <v/>
      </c>
      <c r="O191" s="15" t="inlineStr">
        <is>
          <t>Client register + Transaction records</t>
        </is>
      </c>
      <c r="P191" s="15" t="inlineStr">
        <is>
          <t>Bought</t>
        </is>
      </c>
      <c r="Q191" s="15" t="inlineStr">
        <is>
          <t>Ms Okiki (Team Ope)</t>
        </is>
      </c>
      <c r="R191" s="15">
        <f>IF(AND(I191&gt;0,N191&gt;I191*1.02),"Receipts exceed register contract value: check for duplicate entries, extra plots or ancillary fees",IF(AND(I191=0,N191&gt;0),"Not in client register: contract value unknown",""))</f>
        <v/>
      </c>
    </row>
    <row r="192">
      <c r="A192" s="15" t="inlineStr">
        <is>
          <t>BP-C0188</t>
        </is>
      </c>
      <c r="B192" s="15" t="inlineStr">
        <is>
          <t>Mrs Kazeem Mariam Omotunde</t>
        </is>
      </c>
      <c r="C192" s="15" t="inlineStr">
        <is>
          <t>12243346865, 12244909111</t>
        </is>
      </c>
      <c r="D192" s="15" t="inlineStr">
        <is>
          <t>mariamkazeem25@gmail.com</t>
        </is>
      </c>
      <c r="E192" s="15" t="inlineStr">
        <is>
          <t>Land</t>
        </is>
      </c>
      <c r="F192" s="15" t="inlineStr">
        <is>
          <t>Green City Phase 3 Extension (Omu-Epe); Land (estate not stated in source)</t>
        </is>
      </c>
      <c r="G192" s="16" t="n">
        <v>45745</v>
      </c>
      <c r="H192" s="16">
        <f>IF(COUNTIF(Sales_Ledger!$H$5:$H$863,A192)=0,"",_xlfn.MINIFS(Sales_Ledger!$B$5:$B$863,Sales_Ledger!$H$5:$H$863,A192))</f>
        <v/>
      </c>
      <c r="I192" s="17">
        <f>SUMIFS(Subscriptions!$I$5:$I$218,Subscriptions!$B$5:$B$218,A192)</f>
        <v/>
      </c>
      <c r="J192" s="17">
        <f>SUMIFS(Subscriptions!$J$5:$J$218,Subscriptions!$B$5:$B$218,A192)</f>
        <v/>
      </c>
      <c r="K192" s="17">
        <f>SUMIFS(Sales_Ledger!$J$5:$J$863,Sales_Ledger!$H$5:$H$863,$A192,Sales_Ledger!$D$5:$D$863,2023)</f>
        <v/>
      </c>
      <c r="L192" s="17">
        <f>SUMIFS(Sales_Ledger!$J$5:$J$863,Sales_Ledger!$H$5:$H$863,$A192,Sales_Ledger!$D$5:$D$863,2024)</f>
        <v/>
      </c>
      <c r="M192" s="17">
        <f>SUMIFS(Sales_Ledger!$J$5:$J$863,Sales_Ledger!$H$5:$H$863,$A192,Sales_Ledger!$D$5:$D$863,2025)</f>
        <v/>
      </c>
      <c r="N192" s="17">
        <f>SUM(K192:M192)</f>
        <v/>
      </c>
      <c r="O192" s="15" t="inlineStr">
        <is>
          <t>Client register + Transaction records</t>
        </is>
      </c>
      <c r="P192" s="15" t="inlineStr">
        <is>
          <t>Bought</t>
        </is>
      </c>
      <c r="Q192" s="15" t="inlineStr">
        <is>
          <t>Ms Samuella (Team Pelumi)</t>
        </is>
      </c>
      <c r="R192" s="15">
        <f>IF(AND(I192&gt;0,N192&gt;I192*1.02),"Receipts exceed register contract value: check for duplicate entries, extra plots or ancillary fees",IF(AND(I192=0,N192&gt;0),"Not in client register: contract value unknown",""))</f>
        <v/>
      </c>
    </row>
    <row r="193">
      <c r="A193" s="15" t="inlineStr">
        <is>
          <t>BP-C0189</t>
        </is>
      </c>
      <c r="B193" s="15" t="inlineStr">
        <is>
          <t>Mr &amp; Mrs Olowodagba Ganiyu</t>
        </is>
      </c>
      <c r="C193" s="15" t="inlineStr">
        <is>
          <t>08063054481, 09168871681</t>
        </is>
      </c>
      <c r="D193" s="15" t="inlineStr">
        <is>
          <t>ganiyuolowodagba@gmail.com</t>
        </is>
      </c>
      <c r="E193" s="15" t="inlineStr">
        <is>
          <t>Land</t>
        </is>
      </c>
      <c r="F193" s="15" t="inlineStr">
        <is>
          <t>Green Hillside; Land (estate not stated in source)</t>
        </is>
      </c>
      <c r="G193" s="16" t="n">
        <v>45747</v>
      </c>
      <c r="H193" s="16">
        <f>IF(COUNTIF(Sales_Ledger!$H$5:$H$863,A193)=0,"",_xlfn.MINIFS(Sales_Ledger!$B$5:$B$863,Sales_Ledger!$H$5:$H$863,A193))</f>
        <v/>
      </c>
      <c r="I193" s="17">
        <f>SUMIFS(Subscriptions!$I$5:$I$218,Subscriptions!$B$5:$B$218,A193)</f>
        <v/>
      </c>
      <c r="J193" s="17">
        <f>SUMIFS(Subscriptions!$J$5:$J$218,Subscriptions!$B$5:$B$218,A193)</f>
        <v/>
      </c>
      <c r="K193" s="17">
        <f>SUMIFS(Sales_Ledger!$J$5:$J$863,Sales_Ledger!$H$5:$H$863,$A193,Sales_Ledger!$D$5:$D$863,2023)</f>
        <v/>
      </c>
      <c r="L193" s="17">
        <f>SUMIFS(Sales_Ledger!$J$5:$J$863,Sales_Ledger!$H$5:$H$863,$A193,Sales_Ledger!$D$5:$D$863,2024)</f>
        <v/>
      </c>
      <c r="M193" s="17">
        <f>SUMIFS(Sales_Ledger!$J$5:$J$863,Sales_Ledger!$H$5:$H$863,$A193,Sales_Ledger!$D$5:$D$863,2025)</f>
        <v/>
      </c>
      <c r="N193" s="17">
        <f>SUM(K193:M193)</f>
        <v/>
      </c>
      <c r="O193" s="15" t="inlineStr">
        <is>
          <t>Client register + Transaction records</t>
        </is>
      </c>
      <c r="P193" s="15" t="inlineStr">
        <is>
          <t>Bought</t>
        </is>
      </c>
      <c r="Q193" s="15" t="inlineStr">
        <is>
          <t>Mr William Ogidan</t>
        </is>
      </c>
      <c r="R193" s="15">
        <f>IF(AND(I193&gt;0,N193&gt;I193*1.02),"Receipts exceed register contract value: check for duplicate entries, extra plots or ancillary fees",IF(AND(I193=0,N193&gt;0),"Not in client register: contract value unknown",""))</f>
        <v/>
      </c>
    </row>
    <row r="194">
      <c r="A194" s="15" t="inlineStr">
        <is>
          <t>BP-C0190</t>
        </is>
      </c>
      <c r="B194" s="15" t="inlineStr">
        <is>
          <t>Mr Olaiya Oluwatobi Emmanuel</t>
        </is>
      </c>
      <c r="C194" s="15" t="inlineStr">
        <is>
          <t>08168018315, 08160177604</t>
        </is>
      </c>
      <c r="D194" s="15" t="inlineStr">
        <is>
          <t>olaiyatobiemmanuel@yahoo.com</t>
        </is>
      </c>
      <c r="E194" s="15" t="inlineStr">
        <is>
          <t>Land</t>
        </is>
      </c>
      <c r="F194" s="15" t="inlineStr">
        <is>
          <t>Green City Phase 3 Extension (Omu-Epe); Land (estate not stated in source)</t>
        </is>
      </c>
      <c r="G194" s="16" t="n">
        <v>45747</v>
      </c>
      <c r="H194" s="16">
        <f>IF(COUNTIF(Sales_Ledger!$H$5:$H$863,A194)=0,"",_xlfn.MINIFS(Sales_Ledger!$B$5:$B$863,Sales_Ledger!$H$5:$H$863,A194))</f>
        <v/>
      </c>
      <c r="I194" s="17">
        <f>SUMIFS(Subscriptions!$I$5:$I$218,Subscriptions!$B$5:$B$218,A194)</f>
        <v/>
      </c>
      <c r="J194" s="17">
        <f>SUMIFS(Subscriptions!$J$5:$J$218,Subscriptions!$B$5:$B$218,A194)</f>
        <v/>
      </c>
      <c r="K194" s="17">
        <f>SUMIFS(Sales_Ledger!$J$5:$J$863,Sales_Ledger!$H$5:$H$863,$A194,Sales_Ledger!$D$5:$D$863,2023)</f>
        <v/>
      </c>
      <c r="L194" s="17">
        <f>SUMIFS(Sales_Ledger!$J$5:$J$863,Sales_Ledger!$H$5:$H$863,$A194,Sales_Ledger!$D$5:$D$863,2024)</f>
        <v/>
      </c>
      <c r="M194" s="17">
        <f>SUMIFS(Sales_Ledger!$J$5:$J$863,Sales_Ledger!$H$5:$H$863,$A194,Sales_Ledger!$D$5:$D$863,2025)</f>
        <v/>
      </c>
      <c r="N194" s="17">
        <f>SUM(K194:M194)</f>
        <v/>
      </c>
      <c r="O194" s="15" t="inlineStr">
        <is>
          <t>Client register + Transaction records</t>
        </is>
      </c>
      <c r="P194" s="15" t="inlineStr">
        <is>
          <t>Paying</t>
        </is>
      </c>
      <c r="Q194" s="15" t="inlineStr">
        <is>
          <t>Ms Mayowa (Team Taiwo)</t>
        </is>
      </c>
      <c r="R194" s="15">
        <f>IF(AND(I194&gt;0,N194&gt;I194*1.02),"Receipts exceed register contract value: check for duplicate entries, extra plots or ancillary fees",IF(AND(I194=0,N194&gt;0),"Not in client register: contract value unknown",""))</f>
        <v/>
      </c>
    </row>
    <row r="195">
      <c r="A195" s="15" t="inlineStr">
        <is>
          <t>BP-C0191</t>
        </is>
      </c>
      <c r="B195" s="15" t="inlineStr">
        <is>
          <t>Mrs Oduomah Jumoke Olantun</t>
        </is>
      </c>
      <c r="C195" s="15" t="inlineStr">
        <is>
          <t>08145280755, 08164535386</t>
        </is>
      </c>
      <c r="D195" s="15" t="inlineStr">
        <is>
          <t>adeyemijumokeolantun@gmail.com</t>
        </is>
      </c>
      <c r="E195" s="15" t="inlineStr">
        <is>
          <t>Land</t>
        </is>
      </c>
      <c r="F195" s="15" t="inlineStr">
        <is>
          <t>Green Hillside; Land (estate not stated in source)</t>
        </is>
      </c>
      <c r="G195" s="16" t="n">
        <v>45747</v>
      </c>
      <c r="H195" s="16">
        <f>IF(COUNTIF(Sales_Ledger!$H$5:$H$863,A195)=0,"",_xlfn.MINIFS(Sales_Ledger!$B$5:$B$863,Sales_Ledger!$H$5:$H$863,A195))</f>
        <v/>
      </c>
      <c r="I195" s="17">
        <f>SUMIFS(Subscriptions!$I$5:$I$218,Subscriptions!$B$5:$B$218,A195)</f>
        <v/>
      </c>
      <c r="J195" s="17">
        <f>SUMIFS(Subscriptions!$J$5:$J$218,Subscriptions!$B$5:$B$218,A195)</f>
        <v/>
      </c>
      <c r="K195" s="17">
        <f>SUMIFS(Sales_Ledger!$J$5:$J$863,Sales_Ledger!$H$5:$H$863,$A195,Sales_Ledger!$D$5:$D$863,2023)</f>
        <v/>
      </c>
      <c r="L195" s="17">
        <f>SUMIFS(Sales_Ledger!$J$5:$J$863,Sales_Ledger!$H$5:$H$863,$A195,Sales_Ledger!$D$5:$D$863,2024)</f>
        <v/>
      </c>
      <c r="M195" s="17">
        <f>SUMIFS(Sales_Ledger!$J$5:$J$863,Sales_Ledger!$H$5:$H$863,$A195,Sales_Ledger!$D$5:$D$863,2025)</f>
        <v/>
      </c>
      <c r="N195" s="17">
        <f>SUM(K195:M195)</f>
        <v/>
      </c>
      <c r="O195" s="15" t="inlineStr">
        <is>
          <t>Client register + Transaction records</t>
        </is>
      </c>
      <c r="P195" s="15" t="inlineStr">
        <is>
          <t>Bought</t>
        </is>
      </c>
      <c r="Q195" s="15" t="inlineStr">
        <is>
          <t>Mr Kenny Bruce</t>
        </is>
      </c>
      <c r="R195" s="15">
        <f>IF(AND(I195&gt;0,N195&gt;I195*1.02),"Receipts exceed register contract value: check for duplicate entries, extra plots or ancillary fees",IF(AND(I195=0,N195&gt;0),"Not in client register: contract value unknown",""))</f>
        <v/>
      </c>
    </row>
    <row r="196">
      <c r="A196" s="15" t="inlineStr">
        <is>
          <t>BP-C0192</t>
        </is>
      </c>
      <c r="B196" s="15" t="inlineStr">
        <is>
          <t>Dr Wilson Esangbedo</t>
        </is>
      </c>
      <c r="C196" s="15" t="inlineStr">
        <is>
          <t>8033018765</t>
        </is>
      </c>
      <c r="D196" s="15" t="inlineStr">
        <is>
          <t>sonedo2000@yahoo.com</t>
        </is>
      </c>
      <c r="E196" s="15" t="inlineStr">
        <is>
          <t>Housing</t>
        </is>
      </c>
      <c r="F196" s="15" t="inlineStr">
        <is>
          <t>Pacific Apartment</t>
        </is>
      </c>
      <c r="G196" s="16" t="n">
        <v>45752</v>
      </c>
      <c r="H196" s="16">
        <f>IF(COUNTIF(Sales_Ledger!$H$5:$H$863,A196)=0,"",_xlfn.MINIFS(Sales_Ledger!$B$5:$B$863,Sales_Ledger!$H$5:$H$863,A196))</f>
        <v/>
      </c>
      <c r="I196" s="17">
        <f>SUMIFS(Subscriptions!$I$5:$I$218,Subscriptions!$B$5:$B$218,A196)</f>
        <v/>
      </c>
      <c r="J196" s="17">
        <f>SUMIFS(Subscriptions!$J$5:$J$218,Subscriptions!$B$5:$B$218,A196)</f>
        <v/>
      </c>
      <c r="K196" s="17">
        <f>SUMIFS(Sales_Ledger!$J$5:$J$863,Sales_Ledger!$H$5:$H$863,$A196,Sales_Ledger!$D$5:$D$863,2023)</f>
        <v/>
      </c>
      <c r="L196" s="17">
        <f>SUMIFS(Sales_Ledger!$J$5:$J$863,Sales_Ledger!$H$5:$H$863,$A196,Sales_Ledger!$D$5:$D$863,2024)</f>
        <v/>
      </c>
      <c r="M196" s="17">
        <f>SUMIFS(Sales_Ledger!$J$5:$J$863,Sales_Ledger!$H$5:$H$863,$A196,Sales_Ledger!$D$5:$D$863,2025)</f>
        <v/>
      </c>
      <c r="N196" s="17">
        <f>SUM(K196:M196)</f>
        <v/>
      </c>
      <c r="O196" s="15" t="inlineStr">
        <is>
          <t>Client register + Transaction records</t>
        </is>
      </c>
      <c r="P196" s="15" t="inlineStr">
        <is>
          <t>Paying</t>
        </is>
      </c>
      <c r="Q196" s="15" t="inlineStr">
        <is>
          <t>Ms Moffat</t>
        </is>
      </c>
      <c r="R196" s="15">
        <f>IF(AND(I196&gt;0,N196&gt;I196*1.02),"Receipts exceed register contract value: check for duplicate entries, extra plots or ancillary fees",IF(AND(I196=0,N196&gt;0),"Not in client register: contract value unknown",""))</f>
        <v/>
      </c>
    </row>
    <row r="197">
      <c r="A197" s="15" t="inlineStr">
        <is>
          <t>BP-C0193</t>
        </is>
      </c>
      <c r="B197" s="15" t="inlineStr">
        <is>
          <t>Mr Emmanuel Famous Chinenye</t>
        </is>
      </c>
      <c r="C197" s="15" t="n"/>
      <c r="D197" s="15" t="n"/>
      <c r="E197" s="15" t="inlineStr">
        <is>
          <t>Land</t>
        </is>
      </c>
      <c r="F197" s="15" t="inlineStr">
        <is>
          <t>Land (estate not stated in source)</t>
        </is>
      </c>
      <c r="G197" s="16" t="n"/>
      <c r="H197" s="16">
        <f>IF(COUNTIF(Sales_Ledger!$H$5:$H$863,A197)=0,"",_xlfn.MINIFS(Sales_Ledger!$B$5:$B$863,Sales_Ledger!$H$5:$H$863,A197))</f>
        <v/>
      </c>
      <c r="I197" s="17">
        <f>SUMIFS(Subscriptions!$I$5:$I$218,Subscriptions!$B$5:$B$218,A197)</f>
        <v/>
      </c>
      <c r="J197" s="17">
        <f>SUMIFS(Subscriptions!$J$5:$J$218,Subscriptions!$B$5:$B$218,A197)</f>
        <v/>
      </c>
      <c r="K197" s="17">
        <f>SUMIFS(Sales_Ledger!$J$5:$J$863,Sales_Ledger!$H$5:$H$863,$A197,Sales_Ledger!$D$5:$D$863,2023)</f>
        <v/>
      </c>
      <c r="L197" s="17">
        <f>SUMIFS(Sales_Ledger!$J$5:$J$863,Sales_Ledger!$H$5:$H$863,$A197,Sales_Ledger!$D$5:$D$863,2024)</f>
        <v/>
      </c>
      <c r="M197" s="17">
        <f>SUMIFS(Sales_Ledger!$J$5:$J$863,Sales_Ledger!$H$5:$H$863,$A197,Sales_Ledger!$D$5:$D$863,2025)</f>
        <v/>
      </c>
      <c r="N197" s="17">
        <f>SUM(K197:M197)</f>
        <v/>
      </c>
      <c r="O197" s="15" t="inlineStr">
        <is>
          <t>Transaction records</t>
        </is>
      </c>
      <c r="P197" s="15" t="n"/>
      <c r="Q197" s="15" t="n"/>
      <c r="R197" s="15">
        <f>IF(AND(I197&gt;0,N197&gt;I197*1.02),"Receipts exceed register contract value: check for duplicate entries, extra plots or ancillary fees",IF(AND(I197=0,N197&gt;0),"Not in client register: contract value unknown",""))</f>
        <v/>
      </c>
    </row>
    <row r="198">
      <c r="A198" s="15" t="inlineStr">
        <is>
          <t>BP-C0194</t>
        </is>
      </c>
      <c r="B198" s="15" t="inlineStr">
        <is>
          <t>Mrs Enitan Pine</t>
        </is>
      </c>
      <c r="C198" s="15" t="inlineStr">
        <is>
          <t>12027177128</t>
        </is>
      </c>
      <c r="D198" s="15" t="inlineStr">
        <is>
          <t>rr9itajoe@gmail.com</t>
        </is>
      </c>
      <c r="E198" s="15" t="inlineStr">
        <is>
          <t>Housing</t>
        </is>
      </c>
      <c r="F198" s="15" t="inlineStr">
        <is>
          <t>Housing unit (project not stated in source); Pacific Apartment</t>
        </is>
      </c>
      <c r="G198" s="16" t="n">
        <v>45759</v>
      </c>
      <c r="H198" s="16">
        <f>IF(COUNTIF(Sales_Ledger!$H$5:$H$863,A198)=0,"",_xlfn.MINIFS(Sales_Ledger!$B$5:$B$863,Sales_Ledger!$H$5:$H$863,A198))</f>
        <v/>
      </c>
      <c r="I198" s="17">
        <f>SUMIFS(Subscriptions!$I$5:$I$218,Subscriptions!$B$5:$B$218,A198)</f>
        <v/>
      </c>
      <c r="J198" s="17">
        <f>SUMIFS(Subscriptions!$J$5:$J$218,Subscriptions!$B$5:$B$218,A198)</f>
        <v/>
      </c>
      <c r="K198" s="17">
        <f>SUMIFS(Sales_Ledger!$J$5:$J$863,Sales_Ledger!$H$5:$H$863,$A198,Sales_Ledger!$D$5:$D$863,2023)</f>
        <v/>
      </c>
      <c r="L198" s="17">
        <f>SUMIFS(Sales_Ledger!$J$5:$J$863,Sales_Ledger!$H$5:$H$863,$A198,Sales_Ledger!$D$5:$D$863,2024)</f>
        <v/>
      </c>
      <c r="M198" s="17">
        <f>SUMIFS(Sales_Ledger!$J$5:$J$863,Sales_Ledger!$H$5:$H$863,$A198,Sales_Ledger!$D$5:$D$863,2025)</f>
        <v/>
      </c>
      <c r="N198" s="17">
        <f>SUM(K198:M198)</f>
        <v/>
      </c>
      <c r="O198" s="15" t="inlineStr">
        <is>
          <t>Client register + Transaction records</t>
        </is>
      </c>
      <c r="P198" s="15" t="inlineStr">
        <is>
          <t>Paying</t>
        </is>
      </c>
      <c r="Q198" s="15" t="inlineStr">
        <is>
          <t>MD</t>
        </is>
      </c>
      <c r="R198" s="15">
        <f>IF(AND(I198&gt;0,N198&gt;I198*1.02),"Receipts exceed register contract value: check for duplicate entries, extra plots or ancillary fees",IF(AND(I198=0,N198&gt;0),"Not in client register: contract value unknown",""))</f>
        <v/>
      </c>
    </row>
    <row r="199">
      <c r="A199" s="15" t="inlineStr">
        <is>
          <t>BP-C0195</t>
        </is>
      </c>
      <c r="B199" s="15" t="inlineStr">
        <is>
          <t>Mr Haruna Adekunle Waheed</t>
        </is>
      </c>
      <c r="C199" s="15" t="inlineStr">
        <is>
          <t>8034238704</t>
        </is>
      </c>
      <c r="D199" s="15" t="inlineStr">
        <is>
          <t>kunleharuna@gmail.com</t>
        </is>
      </c>
      <c r="E199" s="15" t="inlineStr">
        <is>
          <t>Land</t>
        </is>
      </c>
      <c r="F199" s="15" t="inlineStr">
        <is>
          <t>Green City Phase 3 (Omu-Epe); Land (estate not stated in source)</t>
        </is>
      </c>
      <c r="G199" s="16" t="n">
        <v>45792</v>
      </c>
      <c r="H199" s="16">
        <f>IF(COUNTIF(Sales_Ledger!$H$5:$H$863,A199)=0,"",_xlfn.MINIFS(Sales_Ledger!$B$5:$B$863,Sales_Ledger!$H$5:$H$863,A199))</f>
        <v/>
      </c>
      <c r="I199" s="17">
        <f>SUMIFS(Subscriptions!$I$5:$I$218,Subscriptions!$B$5:$B$218,A199)</f>
        <v/>
      </c>
      <c r="J199" s="17">
        <f>SUMIFS(Subscriptions!$J$5:$J$218,Subscriptions!$B$5:$B$218,A199)</f>
        <v/>
      </c>
      <c r="K199" s="17">
        <f>SUMIFS(Sales_Ledger!$J$5:$J$863,Sales_Ledger!$H$5:$H$863,$A199,Sales_Ledger!$D$5:$D$863,2023)</f>
        <v/>
      </c>
      <c r="L199" s="17">
        <f>SUMIFS(Sales_Ledger!$J$5:$J$863,Sales_Ledger!$H$5:$H$863,$A199,Sales_Ledger!$D$5:$D$863,2024)</f>
        <v/>
      </c>
      <c r="M199" s="17">
        <f>SUMIFS(Sales_Ledger!$J$5:$J$863,Sales_Ledger!$H$5:$H$863,$A199,Sales_Ledger!$D$5:$D$863,2025)</f>
        <v/>
      </c>
      <c r="N199" s="17">
        <f>SUM(K199:M199)</f>
        <v/>
      </c>
      <c r="O199" s="15" t="inlineStr">
        <is>
          <t>Client register + Transaction records</t>
        </is>
      </c>
      <c r="P199" s="15" t="inlineStr">
        <is>
          <t>Bought</t>
        </is>
      </c>
      <c r="Q199" s="15" t="inlineStr">
        <is>
          <t>Ms Abimbola</t>
        </is>
      </c>
      <c r="R199" s="15">
        <f>IF(AND(I199&gt;0,N199&gt;I199*1.02),"Receipts exceed register contract value: check for duplicate entries, extra plots or ancillary fees",IF(AND(I199=0,N199&gt;0),"Not in client register: contract value unknown",""))</f>
        <v/>
      </c>
    </row>
    <row r="200">
      <c r="A200" s="15" t="inlineStr">
        <is>
          <t>BP-C0196</t>
        </is>
      </c>
      <c r="B200" s="15" t="inlineStr">
        <is>
          <t>Mr Agbim Ikechukwu Godson</t>
        </is>
      </c>
      <c r="C200" s="15" t="inlineStr">
        <is>
          <t>9042018673, 08148365338 / 2348148365338</t>
        </is>
      </c>
      <c r="D200" s="15" t="inlineStr">
        <is>
          <t>SENT / agbimikechukwu54</t>
        </is>
      </c>
      <c r="E200" s="15" t="inlineStr">
        <is>
          <t>Land</t>
        </is>
      </c>
      <c r="F200" s="15" t="inlineStr">
        <is>
          <t>Green City Phase 1 (Lantaba, Ketu-Epe); Green City Phase 3 (Omu-Epe); Land (estate not stated in source)</t>
        </is>
      </c>
      <c r="G200" s="16" t="n">
        <v>45819</v>
      </c>
      <c r="H200" s="16">
        <f>IF(COUNTIF(Sales_Ledger!$H$5:$H$863,A200)=0,"",_xlfn.MINIFS(Sales_Ledger!$B$5:$B$863,Sales_Ledger!$H$5:$H$863,A200))</f>
        <v/>
      </c>
      <c r="I200" s="17">
        <f>SUMIFS(Subscriptions!$I$5:$I$218,Subscriptions!$B$5:$B$218,A200)</f>
        <v/>
      </c>
      <c r="J200" s="17">
        <f>SUMIFS(Subscriptions!$J$5:$J$218,Subscriptions!$B$5:$B$218,A200)</f>
        <v/>
      </c>
      <c r="K200" s="17">
        <f>SUMIFS(Sales_Ledger!$J$5:$J$863,Sales_Ledger!$H$5:$H$863,$A200,Sales_Ledger!$D$5:$D$863,2023)</f>
        <v/>
      </c>
      <c r="L200" s="17">
        <f>SUMIFS(Sales_Ledger!$J$5:$J$863,Sales_Ledger!$H$5:$H$863,$A200,Sales_Ledger!$D$5:$D$863,2024)</f>
        <v/>
      </c>
      <c r="M200" s="17">
        <f>SUMIFS(Sales_Ledger!$J$5:$J$863,Sales_Ledger!$H$5:$H$863,$A200,Sales_Ledger!$D$5:$D$863,2025)</f>
        <v/>
      </c>
      <c r="N200" s="17">
        <f>SUM(K200:M200)</f>
        <v/>
      </c>
      <c r="O200" s="15" t="inlineStr">
        <is>
          <t>Client register + Transaction records</t>
        </is>
      </c>
      <c r="P200" s="15" t="inlineStr">
        <is>
          <t>Paying, bought</t>
        </is>
      </c>
      <c r="Q200" s="15" t="inlineStr">
        <is>
          <t>Ms Abimbola</t>
        </is>
      </c>
      <c r="R200" s="15">
        <f>IF(AND(I200&gt;0,N200&gt;I200*1.02),"Receipts exceed register contract value: check for duplicate entries, extra plots or ancillary fees",IF(AND(I200=0,N200&gt;0),"Not in client register: contract value unknown",""))</f>
        <v/>
      </c>
    </row>
    <row r="201">
      <c r="A201" s="15" t="inlineStr">
        <is>
          <t>BP-C0197</t>
        </is>
      </c>
      <c r="B201" s="15" t="inlineStr">
        <is>
          <t>Miss Awonorin Oluwamayowa Aduragbemi</t>
        </is>
      </c>
      <c r="C201" s="15" t="inlineStr">
        <is>
          <t>7046270771</t>
        </is>
      </c>
      <c r="D201" s="15" t="inlineStr">
        <is>
          <t>awomayor1@gmail.com</t>
        </is>
      </c>
      <c r="E201" s="15" t="inlineStr">
        <is>
          <t>Land</t>
        </is>
      </c>
      <c r="F201" s="15" t="inlineStr">
        <is>
          <t>Green City Ibadan (Akinyele-Moniya)</t>
        </is>
      </c>
      <c r="G201" s="16" t="n">
        <v>45835</v>
      </c>
      <c r="H201" s="16">
        <f>IF(COUNTIF(Sales_Ledger!$H$5:$H$863,A201)=0,"",_xlfn.MINIFS(Sales_Ledger!$B$5:$B$863,Sales_Ledger!$H$5:$H$863,A201))</f>
        <v/>
      </c>
      <c r="I201" s="17">
        <f>SUMIFS(Subscriptions!$I$5:$I$218,Subscriptions!$B$5:$B$218,A201)</f>
        <v/>
      </c>
      <c r="J201" s="17">
        <f>SUMIFS(Subscriptions!$J$5:$J$218,Subscriptions!$B$5:$B$218,A201)</f>
        <v/>
      </c>
      <c r="K201" s="17">
        <f>SUMIFS(Sales_Ledger!$J$5:$J$863,Sales_Ledger!$H$5:$H$863,$A201,Sales_Ledger!$D$5:$D$863,2023)</f>
        <v/>
      </c>
      <c r="L201" s="17">
        <f>SUMIFS(Sales_Ledger!$J$5:$J$863,Sales_Ledger!$H$5:$H$863,$A201,Sales_Ledger!$D$5:$D$863,2024)</f>
        <v/>
      </c>
      <c r="M201" s="17">
        <f>SUMIFS(Sales_Ledger!$J$5:$J$863,Sales_Ledger!$H$5:$H$863,$A201,Sales_Ledger!$D$5:$D$863,2025)</f>
        <v/>
      </c>
      <c r="N201" s="17">
        <f>SUM(K201:M201)</f>
        <v/>
      </c>
      <c r="O201" s="15" t="inlineStr">
        <is>
          <t>Client register</t>
        </is>
      </c>
      <c r="P201" s="15" t="inlineStr">
        <is>
          <t>Bought</t>
        </is>
      </c>
      <c r="Q201" s="15" t="inlineStr">
        <is>
          <t>MD</t>
        </is>
      </c>
      <c r="R201" s="15">
        <f>IF(AND(I201&gt;0,N201&gt;I201*1.02),"Receipts exceed register contract value: check for duplicate entries, extra plots or ancillary fees",IF(AND(I201=0,N201&gt;0),"Not in client register: contract value unknown",""))</f>
        <v/>
      </c>
    </row>
    <row r="202">
      <c r="A202" s="15" t="inlineStr">
        <is>
          <t>BP-C0198</t>
        </is>
      </c>
      <c r="B202" s="15" t="inlineStr">
        <is>
          <t>Mr Akinruntan Adeyinka Benson</t>
        </is>
      </c>
      <c r="C202" s="15" t="inlineStr">
        <is>
          <t>9073364482</t>
        </is>
      </c>
      <c r="D202" s="15" t="inlineStr">
        <is>
          <t>bensonadeyink@gmail.com</t>
        </is>
      </c>
      <c r="E202" s="15" t="inlineStr">
        <is>
          <t>Land</t>
        </is>
      </c>
      <c r="F202" s="15" t="inlineStr">
        <is>
          <t>Green Hillside; Land (estate not stated in source)</t>
        </is>
      </c>
      <c r="G202" s="16" t="n">
        <v>45854</v>
      </c>
      <c r="H202" s="16">
        <f>IF(COUNTIF(Sales_Ledger!$H$5:$H$863,A202)=0,"",_xlfn.MINIFS(Sales_Ledger!$B$5:$B$863,Sales_Ledger!$H$5:$H$863,A202))</f>
        <v/>
      </c>
      <c r="I202" s="17">
        <f>SUMIFS(Subscriptions!$I$5:$I$218,Subscriptions!$B$5:$B$218,A202)</f>
        <v/>
      </c>
      <c r="J202" s="17">
        <f>SUMIFS(Subscriptions!$J$5:$J$218,Subscriptions!$B$5:$B$218,A202)</f>
        <v/>
      </c>
      <c r="K202" s="17">
        <f>SUMIFS(Sales_Ledger!$J$5:$J$863,Sales_Ledger!$H$5:$H$863,$A202,Sales_Ledger!$D$5:$D$863,2023)</f>
        <v/>
      </c>
      <c r="L202" s="17">
        <f>SUMIFS(Sales_Ledger!$J$5:$J$863,Sales_Ledger!$H$5:$H$863,$A202,Sales_Ledger!$D$5:$D$863,2024)</f>
        <v/>
      </c>
      <c r="M202" s="17">
        <f>SUMIFS(Sales_Ledger!$J$5:$J$863,Sales_Ledger!$H$5:$H$863,$A202,Sales_Ledger!$D$5:$D$863,2025)</f>
        <v/>
      </c>
      <c r="N202" s="17">
        <f>SUM(K202:M202)</f>
        <v/>
      </c>
      <c r="O202" s="15" t="inlineStr">
        <is>
          <t>Client register + Transaction records</t>
        </is>
      </c>
      <c r="P202" s="15" t="inlineStr">
        <is>
          <t>Bought</t>
        </is>
      </c>
      <c r="Q202" s="15" t="inlineStr">
        <is>
          <t>Ms Praise</t>
        </is>
      </c>
      <c r="R202" s="15">
        <f>IF(AND(I202&gt;0,N202&gt;I202*1.02),"Receipts exceed register contract value: check for duplicate entries, extra plots or ancillary fees",IF(AND(I202=0,N202&gt;0),"Not in client register: contract value unknown",""))</f>
        <v/>
      </c>
    </row>
    <row r="203">
      <c r="A203" s="15" t="inlineStr">
        <is>
          <t>BP-C0199</t>
        </is>
      </c>
      <c r="B203" s="15" t="inlineStr">
        <is>
          <t>Landnest Homes (Mrs Abimbola)</t>
        </is>
      </c>
      <c r="C203" s="15" t="n"/>
      <c r="D203" s="15" t="n"/>
      <c r="E203" s="15" t="inlineStr">
        <is>
          <t>Housing</t>
        </is>
      </c>
      <c r="F203" s="15" t="inlineStr">
        <is>
          <t>Baay Foreshore</t>
        </is>
      </c>
      <c r="G203" s="16" t="n"/>
      <c r="H203" s="16">
        <f>IF(COUNTIF(Sales_Ledger!$H$5:$H$863,A203)=0,"",_xlfn.MINIFS(Sales_Ledger!$B$5:$B$863,Sales_Ledger!$H$5:$H$863,A203))</f>
        <v/>
      </c>
      <c r="I203" s="17">
        <f>SUMIFS(Subscriptions!$I$5:$I$218,Subscriptions!$B$5:$B$218,A203)</f>
        <v/>
      </c>
      <c r="J203" s="17">
        <f>SUMIFS(Subscriptions!$J$5:$J$218,Subscriptions!$B$5:$B$218,A203)</f>
        <v/>
      </c>
      <c r="K203" s="17">
        <f>SUMIFS(Sales_Ledger!$J$5:$J$863,Sales_Ledger!$H$5:$H$863,$A203,Sales_Ledger!$D$5:$D$863,2023)</f>
        <v/>
      </c>
      <c r="L203" s="17">
        <f>SUMIFS(Sales_Ledger!$J$5:$J$863,Sales_Ledger!$H$5:$H$863,$A203,Sales_Ledger!$D$5:$D$863,2024)</f>
        <v/>
      </c>
      <c r="M203" s="17">
        <f>SUMIFS(Sales_Ledger!$J$5:$J$863,Sales_Ledger!$H$5:$H$863,$A203,Sales_Ledger!$D$5:$D$863,2025)</f>
        <v/>
      </c>
      <c r="N203" s="17">
        <f>SUM(K203:M203)</f>
        <v/>
      </c>
      <c r="O203" s="15" t="inlineStr">
        <is>
          <t>Transaction records</t>
        </is>
      </c>
      <c r="P203" s="15" t="n"/>
      <c r="Q203" s="15" t="n"/>
      <c r="R203" s="15">
        <f>IF(AND(I203&gt;0,N203&gt;I203*1.02),"Receipts exceed register contract value: check for duplicate entries, extra plots or ancillary fees",IF(AND(I203=0,N203&gt;0),"Not in client register: contract value unknown",""))</f>
        <v/>
      </c>
    </row>
    <row r="204">
      <c r="A204" s="15" t="inlineStr">
        <is>
          <t>BP-C0200</t>
        </is>
      </c>
      <c r="B204" s="15" t="inlineStr">
        <is>
          <t>Landnest Homes and Properties (Dr. Oladeji Ifeoluwa)</t>
        </is>
      </c>
      <c r="C204" s="15" t="inlineStr">
        <is>
          <t>9066989877</t>
        </is>
      </c>
      <c r="D204" s="15" t="inlineStr">
        <is>
          <t>landnesthomesandpeoperties@gmail.com</t>
        </is>
      </c>
      <c r="E204" s="15" t="inlineStr">
        <is>
          <t>Housing</t>
        </is>
      </c>
      <c r="F204" s="15" t="inlineStr">
        <is>
          <t>Baay Foreshore</t>
        </is>
      </c>
      <c r="G204" s="16" t="n">
        <v>45864</v>
      </c>
      <c r="H204" s="16">
        <f>IF(COUNTIF(Sales_Ledger!$H$5:$H$863,A204)=0,"",_xlfn.MINIFS(Sales_Ledger!$B$5:$B$863,Sales_Ledger!$H$5:$H$863,A204))</f>
        <v/>
      </c>
      <c r="I204" s="17">
        <f>SUMIFS(Subscriptions!$I$5:$I$218,Subscriptions!$B$5:$B$218,A204)</f>
        <v/>
      </c>
      <c r="J204" s="17">
        <f>SUMIFS(Subscriptions!$J$5:$J$218,Subscriptions!$B$5:$B$218,A204)</f>
        <v/>
      </c>
      <c r="K204" s="17">
        <f>SUMIFS(Sales_Ledger!$J$5:$J$863,Sales_Ledger!$H$5:$H$863,$A204,Sales_Ledger!$D$5:$D$863,2023)</f>
        <v/>
      </c>
      <c r="L204" s="17">
        <f>SUMIFS(Sales_Ledger!$J$5:$J$863,Sales_Ledger!$H$5:$H$863,$A204,Sales_Ledger!$D$5:$D$863,2024)</f>
        <v/>
      </c>
      <c r="M204" s="17">
        <f>SUMIFS(Sales_Ledger!$J$5:$J$863,Sales_Ledger!$H$5:$H$863,$A204,Sales_Ledger!$D$5:$D$863,2025)</f>
        <v/>
      </c>
      <c r="N204" s="17">
        <f>SUM(K204:M204)</f>
        <v/>
      </c>
      <c r="O204" s="15" t="inlineStr">
        <is>
          <t>Client register + Transaction records</t>
        </is>
      </c>
      <c r="P204" s="15" t="inlineStr">
        <is>
          <t>Paying</t>
        </is>
      </c>
      <c r="Q204" s="15" t="inlineStr">
        <is>
          <t>Landnest</t>
        </is>
      </c>
      <c r="R204" s="15">
        <f>IF(AND(I204&gt;0,N204&gt;I204*1.02),"Receipts exceed register contract value: check for duplicate entries, extra plots or ancillary fees",IF(AND(I204=0,N204&gt;0),"Not in client register: contract value unknown",""))</f>
        <v/>
      </c>
    </row>
    <row r="205">
      <c r="A205" s="15" t="inlineStr">
        <is>
          <t>BP-C0201</t>
        </is>
      </c>
      <c r="B205" s="15" t="inlineStr">
        <is>
          <t>Landnest Homes and Properties (Mrs. Abimbola)</t>
        </is>
      </c>
      <c r="C205" s="15" t="inlineStr">
        <is>
          <t>9066989877</t>
        </is>
      </c>
      <c r="D205" s="15" t="inlineStr">
        <is>
          <t>landnesthomesandpeoperties@gmail.com</t>
        </is>
      </c>
      <c r="E205" s="15" t="inlineStr">
        <is>
          <t>Housing</t>
        </is>
      </c>
      <c r="F205" s="15" t="inlineStr">
        <is>
          <t>Baay Foreshore</t>
        </is>
      </c>
      <c r="G205" s="16" t="n">
        <v>45860</v>
      </c>
      <c r="H205" s="16">
        <f>IF(COUNTIF(Sales_Ledger!$H$5:$H$863,A205)=0,"",_xlfn.MINIFS(Sales_Ledger!$B$5:$B$863,Sales_Ledger!$H$5:$H$863,A205))</f>
        <v/>
      </c>
      <c r="I205" s="17">
        <f>SUMIFS(Subscriptions!$I$5:$I$218,Subscriptions!$B$5:$B$218,A205)</f>
        <v/>
      </c>
      <c r="J205" s="17">
        <f>SUMIFS(Subscriptions!$J$5:$J$218,Subscriptions!$B$5:$B$218,A205)</f>
        <v/>
      </c>
      <c r="K205" s="17">
        <f>SUMIFS(Sales_Ledger!$J$5:$J$863,Sales_Ledger!$H$5:$H$863,$A205,Sales_Ledger!$D$5:$D$863,2023)</f>
        <v/>
      </c>
      <c r="L205" s="17">
        <f>SUMIFS(Sales_Ledger!$J$5:$J$863,Sales_Ledger!$H$5:$H$863,$A205,Sales_Ledger!$D$5:$D$863,2024)</f>
        <v/>
      </c>
      <c r="M205" s="17">
        <f>SUMIFS(Sales_Ledger!$J$5:$J$863,Sales_Ledger!$H$5:$H$863,$A205,Sales_Ledger!$D$5:$D$863,2025)</f>
        <v/>
      </c>
      <c r="N205" s="17">
        <f>SUM(K205:M205)</f>
        <v/>
      </c>
      <c r="O205" s="15" t="inlineStr">
        <is>
          <t>Client register</t>
        </is>
      </c>
      <c r="P205" s="15" t="inlineStr">
        <is>
          <t>Paying</t>
        </is>
      </c>
      <c r="Q205" s="15" t="inlineStr">
        <is>
          <t>Landnest</t>
        </is>
      </c>
      <c r="R205" s="15">
        <f>IF(AND(I205&gt;0,N205&gt;I205*1.02),"Receipts exceed register contract value: check for duplicate entries, extra plots or ancillary fees",IF(AND(I205=0,N205&gt;0),"Not in client register: contract value unknown",""))</f>
        <v/>
      </c>
    </row>
    <row r="206">
      <c r="A206" s="15" t="inlineStr">
        <is>
          <t>BP-C0202</t>
        </is>
      </c>
      <c r="B206" s="15" t="inlineStr">
        <is>
          <t>Miss Yesher Yakubu &amp; Miss Hadassah Yakubu</t>
        </is>
      </c>
      <c r="C206" s="15" t="inlineStr">
        <is>
          <t>08033351916, 09070323563</t>
        </is>
      </c>
      <c r="D206" s="15" t="inlineStr">
        <is>
          <t>elizabeth.yakubu@gmail.com</t>
        </is>
      </c>
      <c r="E206" s="15" t="inlineStr">
        <is>
          <t>Housing</t>
        </is>
      </c>
      <c r="F206" s="15" t="inlineStr">
        <is>
          <t>Baay Foreshore; Pacific Apartment</t>
        </is>
      </c>
      <c r="G206" s="16" t="n">
        <v>45862</v>
      </c>
      <c r="H206" s="16">
        <f>IF(COUNTIF(Sales_Ledger!$H$5:$H$863,A206)=0,"",_xlfn.MINIFS(Sales_Ledger!$B$5:$B$863,Sales_Ledger!$H$5:$H$863,A206))</f>
        <v/>
      </c>
      <c r="I206" s="17">
        <f>SUMIFS(Subscriptions!$I$5:$I$218,Subscriptions!$B$5:$B$218,A206)</f>
        <v/>
      </c>
      <c r="J206" s="17">
        <f>SUMIFS(Subscriptions!$J$5:$J$218,Subscriptions!$B$5:$B$218,A206)</f>
        <v/>
      </c>
      <c r="K206" s="17">
        <f>SUMIFS(Sales_Ledger!$J$5:$J$863,Sales_Ledger!$H$5:$H$863,$A206,Sales_Ledger!$D$5:$D$863,2023)</f>
        <v/>
      </c>
      <c r="L206" s="17">
        <f>SUMIFS(Sales_Ledger!$J$5:$J$863,Sales_Ledger!$H$5:$H$863,$A206,Sales_Ledger!$D$5:$D$863,2024)</f>
        <v/>
      </c>
      <c r="M206" s="17">
        <f>SUMIFS(Sales_Ledger!$J$5:$J$863,Sales_Ledger!$H$5:$H$863,$A206,Sales_Ledger!$D$5:$D$863,2025)</f>
        <v/>
      </c>
      <c r="N206" s="17">
        <f>SUM(K206:M206)</f>
        <v/>
      </c>
      <c r="O206" s="15" t="inlineStr">
        <is>
          <t>Client register + Transaction records</t>
        </is>
      </c>
      <c r="P206" s="15" t="inlineStr">
        <is>
          <t>COMPLETED</t>
        </is>
      </c>
      <c r="Q206" s="15" t="inlineStr">
        <is>
          <t>Ms Moffat</t>
        </is>
      </c>
      <c r="R206" s="15">
        <f>IF(AND(I206&gt;0,N206&gt;I206*1.02),"Receipts exceed register contract value: check for duplicate entries, extra plots or ancillary fees",IF(AND(I206=0,N206&gt;0),"Not in client register: contract value unknown",""))</f>
        <v/>
      </c>
    </row>
    <row r="207">
      <c r="A207" s="15" t="inlineStr">
        <is>
          <t>BP-C0203</t>
        </is>
      </c>
      <c r="B207" s="15" t="inlineStr">
        <is>
          <t>Mr Ogbomah Ebi Wilfred</t>
        </is>
      </c>
      <c r="C207" s="15" t="n"/>
      <c r="D207" s="15" t="inlineStr">
        <is>
          <t>bra.dat@hotmail.com</t>
        </is>
      </c>
      <c r="E207" s="15" t="inlineStr">
        <is>
          <t>Housing</t>
        </is>
      </c>
      <c r="F207" s="15" t="inlineStr">
        <is>
          <t>Pacific Apartment</t>
        </is>
      </c>
      <c r="G207" s="16" t="n">
        <v>45862</v>
      </c>
      <c r="H207" s="16">
        <f>IF(COUNTIF(Sales_Ledger!$H$5:$H$863,A207)=0,"",_xlfn.MINIFS(Sales_Ledger!$B$5:$B$863,Sales_Ledger!$H$5:$H$863,A207))</f>
        <v/>
      </c>
      <c r="I207" s="17">
        <f>SUMIFS(Subscriptions!$I$5:$I$218,Subscriptions!$B$5:$B$218,A207)</f>
        <v/>
      </c>
      <c r="J207" s="17">
        <f>SUMIFS(Subscriptions!$J$5:$J$218,Subscriptions!$B$5:$B$218,A207)</f>
        <v/>
      </c>
      <c r="K207" s="17">
        <f>SUMIFS(Sales_Ledger!$J$5:$J$863,Sales_Ledger!$H$5:$H$863,$A207,Sales_Ledger!$D$5:$D$863,2023)</f>
        <v/>
      </c>
      <c r="L207" s="17">
        <f>SUMIFS(Sales_Ledger!$J$5:$J$863,Sales_Ledger!$H$5:$H$863,$A207,Sales_Ledger!$D$5:$D$863,2024)</f>
        <v/>
      </c>
      <c r="M207" s="17">
        <f>SUMIFS(Sales_Ledger!$J$5:$J$863,Sales_Ledger!$H$5:$H$863,$A207,Sales_Ledger!$D$5:$D$863,2025)</f>
        <v/>
      </c>
      <c r="N207" s="17">
        <f>SUM(K207:M207)</f>
        <v/>
      </c>
      <c r="O207" s="15" t="inlineStr">
        <is>
          <t>Client register + Transaction records</t>
        </is>
      </c>
      <c r="P207" s="15" t="inlineStr">
        <is>
          <t>COMPLETED</t>
        </is>
      </c>
      <c r="Q207" s="15" t="inlineStr">
        <is>
          <t>Ms Moffat</t>
        </is>
      </c>
      <c r="R207" s="15">
        <f>IF(AND(I207&gt;0,N207&gt;I207*1.02),"Receipts exceed register contract value: check for duplicate entries, extra plots or ancillary fees",IF(AND(I207=0,N207&gt;0),"Not in client register: contract value unknown",""))</f>
        <v/>
      </c>
    </row>
    <row r="208">
      <c r="A208" s="15" t="inlineStr">
        <is>
          <t>BP-C0204</t>
        </is>
      </c>
      <c r="B208" s="15" t="inlineStr">
        <is>
          <t>Mr Akinjogunla Isaac Ogooluwa</t>
        </is>
      </c>
      <c r="C208" s="15" t="inlineStr">
        <is>
          <t>08070323565, 08060692770</t>
        </is>
      </c>
      <c r="D208" s="15" t="inlineStr">
        <is>
          <t>ogooluwaakinjogunla@yahoo.com</t>
        </is>
      </c>
      <c r="E208" s="15" t="inlineStr">
        <is>
          <t>Housing</t>
        </is>
      </c>
      <c r="F208" s="15" t="inlineStr">
        <is>
          <t>Baay Foreshore; Pacific Apartment</t>
        </is>
      </c>
      <c r="G208" s="16" t="n">
        <v>45863</v>
      </c>
      <c r="H208" s="16">
        <f>IF(COUNTIF(Sales_Ledger!$H$5:$H$863,A208)=0,"",_xlfn.MINIFS(Sales_Ledger!$B$5:$B$863,Sales_Ledger!$H$5:$H$863,A208))</f>
        <v/>
      </c>
      <c r="I208" s="17">
        <f>SUMIFS(Subscriptions!$I$5:$I$218,Subscriptions!$B$5:$B$218,A208)</f>
        <v/>
      </c>
      <c r="J208" s="17">
        <f>SUMIFS(Subscriptions!$J$5:$J$218,Subscriptions!$B$5:$B$218,A208)</f>
        <v/>
      </c>
      <c r="K208" s="17">
        <f>SUMIFS(Sales_Ledger!$J$5:$J$863,Sales_Ledger!$H$5:$H$863,$A208,Sales_Ledger!$D$5:$D$863,2023)</f>
        <v/>
      </c>
      <c r="L208" s="17">
        <f>SUMIFS(Sales_Ledger!$J$5:$J$863,Sales_Ledger!$H$5:$H$863,$A208,Sales_Ledger!$D$5:$D$863,2024)</f>
        <v/>
      </c>
      <c r="M208" s="17">
        <f>SUMIFS(Sales_Ledger!$J$5:$J$863,Sales_Ledger!$H$5:$H$863,$A208,Sales_Ledger!$D$5:$D$863,2025)</f>
        <v/>
      </c>
      <c r="N208" s="17">
        <f>SUM(K208:M208)</f>
        <v/>
      </c>
      <c r="O208" s="15" t="inlineStr">
        <is>
          <t>Client register + Transaction records</t>
        </is>
      </c>
      <c r="P208" s="15" t="inlineStr">
        <is>
          <t>Paying</t>
        </is>
      </c>
      <c r="Q208" s="15" t="inlineStr">
        <is>
          <t>Ms Moffat</t>
        </is>
      </c>
      <c r="R208" s="15">
        <f>IF(AND(I208&gt;0,N208&gt;I208*1.02),"Receipts exceed register contract value: check for duplicate entries, extra plots or ancillary fees",IF(AND(I208=0,N208&gt;0),"Not in client register: contract value unknown",""))</f>
        <v/>
      </c>
    </row>
    <row r="209">
      <c r="A209" s="15" t="inlineStr">
        <is>
          <t>BP-C0205</t>
        </is>
      </c>
      <c r="B209" s="15" t="inlineStr">
        <is>
          <t>Landnest Homes (Mrs Lukoh)</t>
        </is>
      </c>
      <c r="C209" s="15" t="n"/>
      <c r="D209" s="15" t="n"/>
      <c r="E209" s="15" t="inlineStr">
        <is>
          <t>Housing</t>
        </is>
      </c>
      <c r="F209" s="15" t="inlineStr">
        <is>
          <t>Baay Foreshore</t>
        </is>
      </c>
      <c r="G209" s="16" t="n"/>
      <c r="H209" s="16">
        <f>IF(COUNTIF(Sales_Ledger!$H$5:$H$863,A209)=0,"",_xlfn.MINIFS(Sales_Ledger!$B$5:$B$863,Sales_Ledger!$H$5:$H$863,A209))</f>
        <v/>
      </c>
      <c r="I209" s="17">
        <f>SUMIFS(Subscriptions!$I$5:$I$218,Subscriptions!$B$5:$B$218,A209)</f>
        <v/>
      </c>
      <c r="J209" s="17">
        <f>SUMIFS(Subscriptions!$J$5:$J$218,Subscriptions!$B$5:$B$218,A209)</f>
        <v/>
      </c>
      <c r="K209" s="17">
        <f>SUMIFS(Sales_Ledger!$J$5:$J$863,Sales_Ledger!$H$5:$H$863,$A209,Sales_Ledger!$D$5:$D$863,2023)</f>
        <v/>
      </c>
      <c r="L209" s="17">
        <f>SUMIFS(Sales_Ledger!$J$5:$J$863,Sales_Ledger!$H$5:$H$863,$A209,Sales_Ledger!$D$5:$D$863,2024)</f>
        <v/>
      </c>
      <c r="M209" s="17">
        <f>SUMIFS(Sales_Ledger!$J$5:$J$863,Sales_Ledger!$H$5:$H$863,$A209,Sales_Ledger!$D$5:$D$863,2025)</f>
        <v/>
      </c>
      <c r="N209" s="17">
        <f>SUM(K209:M209)</f>
        <v/>
      </c>
      <c r="O209" s="15" t="inlineStr">
        <is>
          <t>Transaction records</t>
        </is>
      </c>
      <c r="P209" s="15" t="n"/>
      <c r="Q209" s="15" t="n"/>
      <c r="R209" s="15">
        <f>IF(AND(I209&gt;0,N209&gt;I209*1.02),"Receipts exceed register contract value: check for duplicate entries, extra plots or ancillary fees",IF(AND(I209=0,N209&gt;0),"Not in client register: contract value unknown",""))</f>
        <v/>
      </c>
    </row>
    <row r="210">
      <c r="A210" s="15" t="inlineStr">
        <is>
          <t>BP-C0206</t>
        </is>
      </c>
      <c r="B210" s="15" t="inlineStr">
        <is>
          <t>Landnest Homes and Properties(Mrs. Beatrice)</t>
        </is>
      </c>
      <c r="C210" s="15" t="inlineStr">
        <is>
          <t>9066989877</t>
        </is>
      </c>
      <c r="D210" s="15" t="inlineStr">
        <is>
          <t>landnesthomesandpeoperties@gmail.com</t>
        </is>
      </c>
      <c r="E210" s="15" t="inlineStr">
        <is>
          <t>Housing</t>
        </is>
      </c>
      <c r="F210" s="15" t="inlineStr">
        <is>
          <t>Baay Foreshore</t>
        </is>
      </c>
      <c r="G210" s="16" t="n">
        <v>45864</v>
      </c>
      <c r="H210" s="16">
        <f>IF(COUNTIF(Sales_Ledger!$H$5:$H$863,A210)=0,"",_xlfn.MINIFS(Sales_Ledger!$B$5:$B$863,Sales_Ledger!$H$5:$H$863,A210))</f>
        <v/>
      </c>
      <c r="I210" s="17">
        <f>SUMIFS(Subscriptions!$I$5:$I$218,Subscriptions!$B$5:$B$218,A210)</f>
        <v/>
      </c>
      <c r="J210" s="17">
        <f>SUMIFS(Subscriptions!$J$5:$J$218,Subscriptions!$B$5:$B$218,A210)</f>
        <v/>
      </c>
      <c r="K210" s="17">
        <f>SUMIFS(Sales_Ledger!$J$5:$J$863,Sales_Ledger!$H$5:$H$863,$A210,Sales_Ledger!$D$5:$D$863,2023)</f>
        <v/>
      </c>
      <c r="L210" s="17">
        <f>SUMIFS(Sales_Ledger!$J$5:$J$863,Sales_Ledger!$H$5:$H$863,$A210,Sales_Ledger!$D$5:$D$863,2024)</f>
        <v/>
      </c>
      <c r="M210" s="17">
        <f>SUMIFS(Sales_Ledger!$J$5:$J$863,Sales_Ledger!$H$5:$H$863,$A210,Sales_Ledger!$D$5:$D$863,2025)</f>
        <v/>
      </c>
      <c r="N210" s="17">
        <f>SUM(K210:M210)</f>
        <v/>
      </c>
      <c r="O210" s="15" t="inlineStr">
        <is>
          <t>Client register</t>
        </is>
      </c>
      <c r="P210" s="15" t="inlineStr">
        <is>
          <t>Paying</t>
        </is>
      </c>
      <c r="Q210" s="15" t="inlineStr">
        <is>
          <t>Landnest</t>
        </is>
      </c>
      <c r="R210" s="15">
        <f>IF(AND(I210&gt;0,N210&gt;I210*1.02),"Receipts exceed register contract value: check for duplicate entries, extra plots or ancillary fees",IF(AND(I210=0,N210&gt;0),"Not in client register: contract value unknown",""))</f>
        <v/>
      </c>
    </row>
    <row r="211">
      <c r="A211" s="15" t="inlineStr">
        <is>
          <t>BP-C0207</t>
        </is>
      </c>
      <c r="B211" s="15" t="inlineStr">
        <is>
          <t>Landnest Homes (Mrs Beatrice)</t>
        </is>
      </c>
      <c r="C211" s="15" t="n"/>
      <c r="D211" s="15" t="n"/>
      <c r="E211" s="15" t="inlineStr">
        <is>
          <t>Housing</t>
        </is>
      </c>
      <c r="F211" s="15" t="inlineStr">
        <is>
          <t>Baay Foreshore</t>
        </is>
      </c>
      <c r="G211" s="16" t="n"/>
      <c r="H211" s="16">
        <f>IF(COUNTIF(Sales_Ledger!$H$5:$H$863,A211)=0,"",_xlfn.MINIFS(Sales_Ledger!$B$5:$B$863,Sales_Ledger!$H$5:$H$863,A211))</f>
        <v/>
      </c>
      <c r="I211" s="17">
        <f>SUMIFS(Subscriptions!$I$5:$I$218,Subscriptions!$B$5:$B$218,A211)</f>
        <v/>
      </c>
      <c r="J211" s="17">
        <f>SUMIFS(Subscriptions!$J$5:$J$218,Subscriptions!$B$5:$B$218,A211)</f>
        <v/>
      </c>
      <c r="K211" s="17">
        <f>SUMIFS(Sales_Ledger!$J$5:$J$863,Sales_Ledger!$H$5:$H$863,$A211,Sales_Ledger!$D$5:$D$863,2023)</f>
        <v/>
      </c>
      <c r="L211" s="17">
        <f>SUMIFS(Sales_Ledger!$J$5:$J$863,Sales_Ledger!$H$5:$H$863,$A211,Sales_Ledger!$D$5:$D$863,2024)</f>
        <v/>
      </c>
      <c r="M211" s="17">
        <f>SUMIFS(Sales_Ledger!$J$5:$J$863,Sales_Ledger!$H$5:$H$863,$A211,Sales_Ledger!$D$5:$D$863,2025)</f>
        <v/>
      </c>
      <c r="N211" s="17">
        <f>SUM(K211:M211)</f>
        <v/>
      </c>
      <c r="O211" s="15" t="inlineStr">
        <is>
          <t>Transaction records</t>
        </is>
      </c>
      <c r="P211" s="15" t="n"/>
      <c r="Q211" s="15" t="n"/>
      <c r="R211" s="15">
        <f>IF(AND(I211&gt;0,N211&gt;I211*1.02),"Receipts exceed register contract value: check for duplicate entries, extra plots or ancillary fees",IF(AND(I211=0,N211&gt;0),"Not in client register: contract value unknown",""))</f>
        <v/>
      </c>
    </row>
    <row r="212">
      <c r="A212" s="15" t="inlineStr">
        <is>
          <t>BP-C0208</t>
        </is>
      </c>
      <c r="B212" s="15" t="inlineStr">
        <is>
          <t>Landnest Homes and Properties (Dr, Olusola Areo)</t>
        </is>
      </c>
      <c r="C212" s="15" t="inlineStr">
        <is>
          <t>9066989877</t>
        </is>
      </c>
      <c r="D212" s="15" t="inlineStr">
        <is>
          <t>landnesthomesandpeoperties@gmail.com</t>
        </is>
      </c>
      <c r="E212" s="15" t="inlineStr">
        <is>
          <t>Housing</t>
        </is>
      </c>
      <c r="F212" s="15" t="inlineStr">
        <is>
          <t>Baay Foreshore</t>
        </is>
      </c>
      <c r="G212" s="16" t="n">
        <v>45867</v>
      </c>
      <c r="H212" s="16">
        <f>IF(COUNTIF(Sales_Ledger!$H$5:$H$863,A212)=0,"",_xlfn.MINIFS(Sales_Ledger!$B$5:$B$863,Sales_Ledger!$H$5:$H$863,A212))</f>
        <v/>
      </c>
      <c r="I212" s="17">
        <f>SUMIFS(Subscriptions!$I$5:$I$218,Subscriptions!$B$5:$B$218,A212)</f>
        <v/>
      </c>
      <c r="J212" s="17">
        <f>SUMIFS(Subscriptions!$J$5:$J$218,Subscriptions!$B$5:$B$218,A212)</f>
        <v/>
      </c>
      <c r="K212" s="17">
        <f>SUMIFS(Sales_Ledger!$J$5:$J$863,Sales_Ledger!$H$5:$H$863,$A212,Sales_Ledger!$D$5:$D$863,2023)</f>
        <v/>
      </c>
      <c r="L212" s="17">
        <f>SUMIFS(Sales_Ledger!$J$5:$J$863,Sales_Ledger!$H$5:$H$863,$A212,Sales_Ledger!$D$5:$D$863,2024)</f>
        <v/>
      </c>
      <c r="M212" s="17">
        <f>SUMIFS(Sales_Ledger!$J$5:$J$863,Sales_Ledger!$H$5:$H$863,$A212,Sales_Ledger!$D$5:$D$863,2025)</f>
        <v/>
      </c>
      <c r="N212" s="17">
        <f>SUM(K212:M212)</f>
        <v/>
      </c>
      <c r="O212" s="15" t="inlineStr">
        <is>
          <t>Client register + Transaction records</t>
        </is>
      </c>
      <c r="P212" s="15" t="inlineStr">
        <is>
          <t>Paying</t>
        </is>
      </c>
      <c r="Q212" s="15" t="inlineStr">
        <is>
          <t>Landnest</t>
        </is>
      </c>
      <c r="R212" s="15">
        <f>IF(AND(I212&gt;0,N212&gt;I212*1.02),"Receipts exceed register contract value: check for duplicate entries, extra plots or ancillary fees",IF(AND(I212=0,N212&gt;0),"Not in client register: contract value unknown",""))</f>
        <v/>
      </c>
    </row>
    <row r="213">
      <c r="A213" s="15" t="inlineStr">
        <is>
          <t>BP-C0209</t>
        </is>
      </c>
      <c r="B213" s="15" t="inlineStr">
        <is>
          <t>Landnest Homes and Properties(Mrs. Lukoh)</t>
        </is>
      </c>
      <c r="C213" s="15" t="inlineStr">
        <is>
          <t>9066989877</t>
        </is>
      </c>
      <c r="D213" s="15" t="inlineStr">
        <is>
          <t>landnesthomesandpeoperties@gmail.com</t>
        </is>
      </c>
      <c r="E213" s="15" t="inlineStr">
        <is>
          <t>Housing</t>
        </is>
      </c>
      <c r="F213" s="15" t="inlineStr">
        <is>
          <t>Baay Foreshore</t>
        </is>
      </c>
      <c r="G213" s="16" t="n">
        <v>45867</v>
      </c>
      <c r="H213" s="16">
        <f>IF(COUNTIF(Sales_Ledger!$H$5:$H$863,A213)=0,"",_xlfn.MINIFS(Sales_Ledger!$B$5:$B$863,Sales_Ledger!$H$5:$H$863,A213))</f>
        <v/>
      </c>
      <c r="I213" s="17">
        <f>SUMIFS(Subscriptions!$I$5:$I$218,Subscriptions!$B$5:$B$218,A213)</f>
        <v/>
      </c>
      <c r="J213" s="17">
        <f>SUMIFS(Subscriptions!$J$5:$J$218,Subscriptions!$B$5:$B$218,A213)</f>
        <v/>
      </c>
      <c r="K213" s="17">
        <f>SUMIFS(Sales_Ledger!$J$5:$J$863,Sales_Ledger!$H$5:$H$863,$A213,Sales_Ledger!$D$5:$D$863,2023)</f>
        <v/>
      </c>
      <c r="L213" s="17">
        <f>SUMIFS(Sales_Ledger!$J$5:$J$863,Sales_Ledger!$H$5:$H$863,$A213,Sales_Ledger!$D$5:$D$863,2024)</f>
        <v/>
      </c>
      <c r="M213" s="17">
        <f>SUMIFS(Sales_Ledger!$J$5:$J$863,Sales_Ledger!$H$5:$H$863,$A213,Sales_Ledger!$D$5:$D$863,2025)</f>
        <v/>
      </c>
      <c r="N213" s="17">
        <f>SUM(K213:M213)</f>
        <v/>
      </c>
      <c r="O213" s="15" t="inlineStr">
        <is>
          <t>Client register</t>
        </is>
      </c>
      <c r="P213" s="15" t="inlineStr">
        <is>
          <t>Paid</t>
        </is>
      </c>
      <c r="Q213" s="15" t="inlineStr">
        <is>
          <t>Landnest</t>
        </is>
      </c>
      <c r="R213" s="15">
        <f>IF(AND(I213&gt;0,N213&gt;I213*1.02),"Receipts exceed register contract value: check for duplicate entries, extra plots or ancillary fees",IF(AND(I213=0,N213&gt;0),"Not in client register: contract value unknown",""))</f>
        <v/>
      </c>
    </row>
    <row r="214">
      <c r="A214" s="15" t="inlineStr">
        <is>
          <t>BP-C0210</t>
        </is>
      </c>
      <c r="B214" s="15" t="inlineStr">
        <is>
          <t>Mrs Pine Ritajoe Egbede</t>
        </is>
      </c>
      <c r="C214" s="15" t="n"/>
      <c r="D214" s="15" t="n"/>
      <c r="E214" s="15" t="inlineStr">
        <is>
          <t>Housing</t>
        </is>
      </c>
      <c r="F214" s="15" t="inlineStr">
        <is>
          <t>Housing unit (project not stated in source)</t>
        </is>
      </c>
      <c r="G214" s="16" t="n"/>
      <c r="H214" s="16">
        <f>IF(COUNTIF(Sales_Ledger!$H$5:$H$863,A214)=0,"",_xlfn.MINIFS(Sales_Ledger!$B$5:$B$863,Sales_Ledger!$H$5:$H$863,A214))</f>
        <v/>
      </c>
      <c r="I214" s="17">
        <f>SUMIFS(Subscriptions!$I$5:$I$218,Subscriptions!$B$5:$B$218,A214)</f>
        <v/>
      </c>
      <c r="J214" s="17">
        <f>SUMIFS(Subscriptions!$J$5:$J$218,Subscriptions!$B$5:$B$218,A214)</f>
        <v/>
      </c>
      <c r="K214" s="17">
        <f>SUMIFS(Sales_Ledger!$J$5:$J$863,Sales_Ledger!$H$5:$H$863,$A214,Sales_Ledger!$D$5:$D$863,2023)</f>
        <v/>
      </c>
      <c r="L214" s="17">
        <f>SUMIFS(Sales_Ledger!$J$5:$J$863,Sales_Ledger!$H$5:$H$863,$A214,Sales_Ledger!$D$5:$D$863,2024)</f>
        <v/>
      </c>
      <c r="M214" s="17">
        <f>SUMIFS(Sales_Ledger!$J$5:$J$863,Sales_Ledger!$H$5:$H$863,$A214,Sales_Ledger!$D$5:$D$863,2025)</f>
        <v/>
      </c>
      <c r="N214" s="17">
        <f>SUM(K214:M214)</f>
        <v/>
      </c>
      <c r="O214" s="15" t="inlineStr">
        <is>
          <t>Transaction records</t>
        </is>
      </c>
      <c r="P214" s="15" t="n"/>
      <c r="Q214" s="15" t="n"/>
      <c r="R214" s="15">
        <f>IF(AND(I214&gt;0,N214&gt;I214*1.02),"Receipts exceed register contract value: check for duplicate entries, extra plots or ancillary fees",IF(AND(I214=0,N214&gt;0),"Not in client register: contract value unknown",""))</f>
        <v/>
      </c>
    </row>
    <row r="215">
      <c r="A215" s="15" t="inlineStr">
        <is>
          <t>BP-C0211</t>
        </is>
      </c>
      <c r="B215" s="15" t="inlineStr">
        <is>
          <t>Landnest Homes &amp; Properties (Mrs Abiodun Ayomipo Hannah)</t>
        </is>
      </c>
      <c r="C215" s="15" t="n"/>
      <c r="D215" s="15" t="n"/>
      <c r="E215" s="15" t="inlineStr">
        <is>
          <t>Housing</t>
        </is>
      </c>
      <c r="F215" s="15" t="inlineStr">
        <is>
          <t>Baay Foreshore</t>
        </is>
      </c>
      <c r="G215" s="16" t="n">
        <v>45888</v>
      </c>
      <c r="H215" s="16">
        <f>IF(COUNTIF(Sales_Ledger!$H$5:$H$863,A215)=0,"",_xlfn.MINIFS(Sales_Ledger!$B$5:$B$863,Sales_Ledger!$H$5:$H$863,A215))</f>
        <v/>
      </c>
      <c r="I215" s="17">
        <f>SUMIFS(Subscriptions!$I$5:$I$218,Subscriptions!$B$5:$B$218,A215)</f>
        <v/>
      </c>
      <c r="J215" s="17">
        <f>SUMIFS(Subscriptions!$J$5:$J$218,Subscriptions!$B$5:$B$218,A215)</f>
        <v/>
      </c>
      <c r="K215" s="17">
        <f>SUMIFS(Sales_Ledger!$J$5:$J$863,Sales_Ledger!$H$5:$H$863,$A215,Sales_Ledger!$D$5:$D$863,2023)</f>
        <v/>
      </c>
      <c r="L215" s="17">
        <f>SUMIFS(Sales_Ledger!$J$5:$J$863,Sales_Ledger!$H$5:$H$863,$A215,Sales_Ledger!$D$5:$D$863,2024)</f>
        <v/>
      </c>
      <c r="M215" s="17">
        <f>SUMIFS(Sales_Ledger!$J$5:$J$863,Sales_Ledger!$H$5:$H$863,$A215,Sales_Ledger!$D$5:$D$863,2025)</f>
        <v/>
      </c>
      <c r="N215" s="17">
        <f>SUM(K215:M215)</f>
        <v/>
      </c>
      <c r="O215" s="15" t="inlineStr">
        <is>
          <t>Client register</t>
        </is>
      </c>
      <c r="P215" s="15" t="inlineStr">
        <is>
          <t>Paying</t>
        </is>
      </c>
      <c r="Q215" s="15" t="n"/>
      <c r="R215" s="15">
        <f>IF(AND(I215&gt;0,N215&gt;I215*1.02),"Receipts exceed register contract value: check for duplicate entries, extra plots or ancillary fees",IF(AND(I215=0,N215&gt;0),"Not in client register: contract value unknown",""))</f>
        <v/>
      </c>
    </row>
    <row r="216">
      <c r="A216" s="15" t="inlineStr">
        <is>
          <t>BP-C0212</t>
        </is>
      </c>
      <c r="B216" s="15" t="inlineStr">
        <is>
          <t>Landnest Homes and Properties (Mrs. Ayomiposi)</t>
        </is>
      </c>
      <c r="C216" s="15" t="inlineStr">
        <is>
          <t>9066989877</t>
        </is>
      </c>
      <c r="D216" s="15" t="inlineStr">
        <is>
          <t>landnesthomesandpeoperties@gmail.com</t>
        </is>
      </c>
      <c r="E216" s="15" t="inlineStr">
        <is>
          <t>Housing</t>
        </is>
      </c>
      <c r="F216" s="15" t="inlineStr">
        <is>
          <t>Baay Foreshore</t>
        </is>
      </c>
      <c r="G216" s="16" t="n">
        <v>45888</v>
      </c>
      <c r="H216" s="16">
        <f>IF(COUNTIF(Sales_Ledger!$H$5:$H$863,A216)=0,"",_xlfn.MINIFS(Sales_Ledger!$B$5:$B$863,Sales_Ledger!$H$5:$H$863,A216))</f>
        <v/>
      </c>
      <c r="I216" s="17">
        <f>SUMIFS(Subscriptions!$I$5:$I$218,Subscriptions!$B$5:$B$218,A216)</f>
        <v/>
      </c>
      <c r="J216" s="17">
        <f>SUMIFS(Subscriptions!$J$5:$J$218,Subscriptions!$B$5:$B$218,A216)</f>
        <v/>
      </c>
      <c r="K216" s="17">
        <f>SUMIFS(Sales_Ledger!$J$5:$J$863,Sales_Ledger!$H$5:$H$863,$A216,Sales_Ledger!$D$5:$D$863,2023)</f>
        <v/>
      </c>
      <c r="L216" s="17">
        <f>SUMIFS(Sales_Ledger!$J$5:$J$863,Sales_Ledger!$H$5:$H$863,$A216,Sales_Ledger!$D$5:$D$863,2024)</f>
        <v/>
      </c>
      <c r="M216" s="17">
        <f>SUMIFS(Sales_Ledger!$J$5:$J$863,Sales_Ledger!$H$5:$H$863,$A216,Sales_Ledger!$D$5:$D$863,2025)</f>
        <v/>
      </c>
      <c r="N216" s="17">
        <f>SUM(K216:M216)</f>
        <v/>
      </c>
      <c r="O216" s="15" t="inlineStr">
        <is>
          <t>Client register</t>
        </is>
      </c>
      <c r="P216" s="15" t="inlineStr">
        <is>
          <t>Paying</t>
        </is>
      </c>
      <c r="Q216" s="15" t="inlineStr">
        <is>
          <t>Landnest</t>
        </is>
      </c>
      <c r="R216" s="15">
        <f>IF(AND(I216&gt;0,N216&gt;I216*1.02),"Receipts exceed register contract value: check for duplicate entries, extra plots or ancillary fees",IF(AND(I216=0,N216&gt;0),"Not in client register: contract value unknown",""))</f>
        <v/>
      </c>
    </row>
    <row r="217">
      <c r="A217" s="15" t="inlineStr">
        <is>
          <t>BP-C0213</t>
        </is>
      </c>
      <c r="B217" s="15" t="inlineStr">
        <is>
          <t>Mr. Adelani Ibrahim Akinkunmi</t>
        </is>
      </c>
      <c r="C217" s="15" t="inlineStr">
        <is>
          <t>447717049384</t>
        </is>
      </c>
      <c r="D217" s="15" t="inlineStr">
        <is>
          <t>akin4burningfire@gmail.com</t>
        </is>
      </c>
      <c r="E217" s="15" t="inlineStr">
        <is>
          <t>Housing</t>
        </is>
      </c>
      <c r="F217" s="15" t="inlineStr">
        <is>
          <t>Baay Foreshore</t>
        </is>
      </c>
      <c r="G217" s="16" t="n">
        <v>45895</v>
      </c>
      <c r="H217" s="16">
        <f>IF(COUNTIF(Sales_Ledger!$H$5:$H$863,A217)=0,"",_xlfn.MINIFS(Sales_Ledger!$B$5:$B$863,Sales_Ledger!$H$5:$H$863,A217))</f>
        <v/>
      </c>
      <c r="I217" s="17">
        <f>SUMIFS(Subscriptions!$I$5:$I$218,Subscriptions!$B$5:$B$218,A217)</f>
        <v/>
      </c>
      <c r="J217" s="17">
        <f>SUMIFS(Subscriptions!$J$5:$J$218,Subscriptions!$B$5:$B$218,A217)</f>
        <v/>
      </c>
      <c r="K217" s="17">
        <f>SUMIFS(Sales_Ledger!$J$5:$J$863,Sales_Ledger!$H$5:$H$863,$A217,Sales_Ledger!$D$5:$D$863,2023)</f>
        <v/>
      </c>
      <c r="L217" s="17">
        <f>SUMIFS(Sales_Ledger!$J$5:$J$863,Sales_Ledger!$H$5:$H$863,$A217,Sales_Ledger!$D$5:$D$863,2024)</f>
        <v/>
      </c>
      <c r="M217" s="17">
        <f>SUMIFS(Sales_Ledger!$J$5:$J$863,Sales_Ledger!$H$5:$H$863,$A217,Sales_Ledger!$D$5:$D$863,2025)</f>
        <v/>
      </c>
      <c r="N217" s="17">
        <f>SUM(K217:M217)</f>
        <v/>
      </c>
      <c r="O217" s="15" t="inlineStr">
        <is>
          <t>Client register + Transaction records</t>
        </is>
      </c>
      <c r="P217" s="15" t="inlineStr">
        <is>
          <t>Paying</t>
        </is>
      </c>
      <c r="Q217" s="15" t="inlineStr">
        <is>
          <t>Ms. Tijani Bolanle</t>
        </is>
      </c>
      <c r="R217" s="15">
        <f>IF(AND(I217&gt;0,N217&gt;I217*1.02),"Receipts exceed register contract value: check for duplicate entries, extra plots or ancillary fees",IF(AND(I217=0,N217&gt;0),"Not in client register: contract value unknown",""))</f>
        <v/>
      </c>
    </row>
    <row r="218">
      <c r="A218" s="15" t="inlineStr">
        <is>
          <t>BP-C0214</t>
        </is>
      </c>
      <c r="B218" s="15" t="inlineStr">
        <is>
          <t>Mrs. Taiwo Adeyinka</t>
        </is>
      </c>
      <c r="C218" s="15" t="inlineStr">
        <is>
          <t>17739431598</t>
        </is>
      </c>
      <c r="D218" s="15" t="inlineStr">
        <is>
          <t>flakiejones@gmail.com</t>
        </is>
      </c>
      <c r="E218" s="15" t="inlineStr">
        <is>
          <t>Housing</t>
        </is>
      </c>
      <c r="F218" s="15" t="inlineStr">
        <is>
          <t>Baay Foreshore</t>
        </is>
      </c>
      <c r="G218" s="16" t="n">
        <v>45892</v>
      </c>
      <c r="H218" s="16">
        <f>IF(COUNTIF(Sales_Ledger!$H$5:$H$863,A218)=0,"",_xlfn.MINIFS(Sales_Ledger!$B$5:$B$863,Sales_Ledger!$H$5:$H$863,A218))</f>
        <v/>
      </c>
      <c r="I218" s="17">
        <f>SUMIFS(Subscriptions!$I$5:$I$218,Subscriptions!$B$5:$B$218,A218)</f>
        <v/>
      </c>
      <c r="J218" s="17">
        <f>SUMIFS(Subscriptions!$J$5:$J$218,Subscriptions!$B$5:$B$218,A218)</f>
        <v/>
      </c>
      <c r="K218" s="17">
        <f>SUMIFS(Sales_Ledger!$J$5:$J$863,Sales_Ledger!$H$5:$H$863,$A218,Sales_Ledger!$D$5:$D$863,2023)</f>
        <v/>
      </c>
      <c r="L218" s="17">
        <f>SUMIFS(Sales_Ledger!$J$5:$J$863,Sales_Ledger!$H$5:$H$863,$A218,Sales_Ledger!$D$5:$D$863,2024)</f>
        <v/>
      </c>
      <c r="M218" s="17">
        <f>SUMIFS(Sales_Ledger!$J$5:$J$863,Sales_Ledger!$H$5:$H$863,$A218,Sales_Ledger!$D$5:$D$863,2025)</f>
        <v/>
      </c>
      <c r="N218" s="17">
        <f>SUM(K218:M218)</f>
        <v/>
      </c>
      <c r="O218" s="15" t="inlineStr">
        <is>
          <t>Client register + Transaction records</t>
        </is>
      </c>
      <c r="P218" s="15" t="inlineStr">
        <is>
          <t>Paying</t>
        </is>
      </c>
      <c r="Q218" s="15" t="inlineStr">
        <is>
          <t>Ms. Tijani Bolanle</t>
        </is>
      </c>
      <c r="R218" s="15">
        <f>IF(AND(I218&gt;0,N218&gt;I218*1.02),"Receipts exceed register contract value: check for duplicate entries, extra plots or ancillary fees",IF(AND(I218=0,N218&gt;0),"Not in client register: contract value unknown",""))</f>
        <v/>
      </c>
    </row>
    <row r="219">
      <c r="A219" s="15" t="inlineStr">
        <is>
          <t>BP-C0215</t>
        </is>
      </c>
      <c r="B219" s="15" t="inlineStr">
        <is>
          <t>Landnest (Mrs Lukoh)</t>
        </is>
      </c>
      <c r="C219" s="15" t="n"/>
      <c r="D219" s="15" t="n"/>
      <c r="E219" s="15" t="inlineStr">
        <is>
          <t>Housing</t>
        </is>
      </c>
      <c r="F219" s="15" t="inlineStr">
        <is>
          <t>Baay Foreshore</t>
        </is>
      </c>
      <c r="G219" s="16" t="n"/>
      <c r="H219" s="16">
        <f>IF(COUNTIF(Sales_Ledger!$H$5:$H$863,A219)=0,"",_xlfn.MINIFS(Sales_Ledger!$B$5:$B$863,Sales_Ledger!$H$5:$H$863,A219))</f>
        <v/>
      </c>
      <c r="I219" s="17">
        <f>SUMIFS(Subscriptions!$I$5:$I$218,Subscriptions!$B$5:$B$218,A219)</f>
        <v/>
      </c>
      <c r="J219" s="17">
        <f>SUMIFS(Subscriptions!$J$5:$J$218,Subscriptions!$B$5:$B$218,A219)</f>
        <v/>
      </c>
      <c r="K219" s="17">
        <f>SUMIFS(Sales_Ledger!$J$5:$J$863,Sales_Ledger!$H$5:$H$863,$A219,Sales_Ledger!$D$5:$D$863,2023)</f>
        <v/>
      </c>
      <c r="L219" s="17">
        <f>SUMIFS(Sales_Ledger!$J$5:$J$863,Sales_Ledger!$H$5:$H$863,$A219,Sales_Ledger!$D$5:$D$863,2024)</f>
        <v/>
      </c>
      <c r="M219" s="17">
        <f>SUMIFS(Sales_Ledger!$J$5:$J$863,Sales_Ledger!$H$5:$H$863,$A219,Sales_Ledger!$D$5:$D$863,2025)</f>
        <v/>
      </c>
      <c r="N219" s="17">
        <f>SUM(K219:M219)</f>
        <v/>
      </c>
      <c r="O219" s="15" t="inlineStr">
        <is>
          <t>Transaction records</t>
        </is>
      </c>
      <c r="P219" s="15" t="n"/>
      <c r="Q219" s="15" t="n"/>
      <c r="R219" s="15">
        <f>IF(AND(I219&gt;0,N219&gt;I219*1.02),"Receipts exceed register contract value: check for duplicate entries, extra plots or ancillary fees",IF(AND(I219=0,N219&gt;0),"Not in client register: contract value unknown",""))</f>
        <v/>
      </c>
    </row>
    <row r="220">
      <c r="A220" s="15" t="inlineStr">
        <is>
          <t>BP-C0216</t>
        </is>
      </c>
      <c r="B220" s="15" t="inlineStr">
        <is>
          <t>Mrs Oluwagbemiro Olajumoke Oluwakemi</t>
        </is>
      </c>
      <c r="C220" s="15" t="inlineStr">
        <is>
          <t>8026001511, 09137257637</t>
        </is>
      </c>
      <c r="D220" s="15" t="inlineStr">
        <is>
          <t>jumoke.oj@gmail.com</t>
        </is>
      </c>
      <c r="E220" s="15" t="inlineStr">
        <is>
          <t>Land</t>
        </is>
      </c>
      <c r="F220" s="15" t="inlineStr">
        <is>
          <t>Green City Ibadan (Akinyele-Moniya); Land (estate not stated in source)</t>
        </is>
      </c>
      <c r="G220" s="16" t="n">
        <v>45933</v>
      </c>
      <c r="H220" s="16">
        <f>IF(COUNTIF(Sales_Ledger!$H$5:$H$863,A220)=0,"",_xlfn.MINIFS(Sales_Ledger!$B$5:$B$863,Sales_Ledger!$H$5:$H$863,A220))</f>
        <v/>
      </c>
      <c r="I220" s="17">
        <f>SUMIFS(Subscriptions!$I$5:$I$218,Subscriptions!$B$5:$B$218,A220)</f>
        <v/>
      </c>
      <c r="J220" s="17">
        <f>SUMIFS(Subscriptions!$J$5:$J$218,Subscriptions!$B$5:$B$218,A220)</f>
        <v/>
      </c>
      <c r="K220" s="17">
        <f>SUMIFS(Sales_Ledger!$J$5:$J$863,Sales_Ledger!$H$5:$H$863,$A220,Sales_Ledger!$D$5:$D$863,2023)</f>
        <v/>
      </c>
      <c r="L220" s="17">
        <f>SUMIFS(Sales_Ledger!$J$5:$J$863,Sales_Ledger!$H$5:$H$863,$A220,Sales_Ledger!$D$5:$D$863,2024)</f>
        <v/>
      </c>
      <c r="M220" s="17">
        <f>SUMIFS(Sales_Ledger!$J$5:$J$863,Sales_Ledger!$H$5:$H$863,$A220,Sales_Ledger!$D$5:$D$863,2025)</f>
        <v/>
      </c>
      <c r="N220" s="17">
        <f>SUM(K220:M220)</f>
        <v/>
      </c>
      <c r="O220" s="15" t="inlineStr">
        <is>
          <t>Client register + Transaction records</t>
        </is>
      </c>
      <c r="P220" s="15" t="inlineStr">
        <is>
          <t>Bought</t>
        </is>
      </c>
      <c r="Q220" s="15" t="inlineStr">
        <is>
          <t>Mr Rere (Team Tobi)</t>
        </is>
      </c>
      <c r="R220" s="15">
        <f>IF(AND(I220&gt;0,N220&gt;I220*1.02),"Receipts exceed register contract value: check for duplicate entries, extra plots or ancillary fees",IF(AND(I220=0,N220&gt;0),"Not in client register: contract value unknown",""))</f>
        <v/>
      </c>
    </row>
    <row r="221">
      <c r="A221" s="15" t="inlineStr">
        <is>
          <t>BP-C0217</t>
        </is>
      </c>
      <c r="B221" s="15" t="inlineStr">
        <is>
          <t>Mr Akinsola Joseph Mofoluwaso</t>
        </is>
      </c>
      <c r="C221" s="15" t="inlineStr">
        <is>
          <t>9092370766</t>
        </is>
      </c>
      <c r="D221" s="15" t="inlineStr">
        <is>
          <t>JosephAkinsola730@gmail.com</t>
        </is>
      </c>
      <c r="E221" s="15" t="inlineStr">
        <is>
          <t>Housing</t>
        </is>
      </c>
      <c r="F221" s="15" t="inlineStr">
        <is>
          <t>Gorge View Court (GVC Gbagada)</t>
        </is>
      </c>
      <c r="G221" s="16" t="n">
        <v>45972</v>
      </c>
      <c r="H221" s="16">
        <f>IF(COUNTIF(Sales_Ledger!$H$5:$H$863,A221)=0,"",_xlfn.MINIFS(Sales_Ledger!$B$5:$B$863,Sales_Ledger!$H$5:$H$863,A221))</f>
        <v/>
      </c>
      <c r="I221" s="17">
        <f>SUMIFS(Subscriptions!$I$5:$I$218,Subscriptions!$B$5:$B$218,A221)</f>
        <v/>
      </c>
      <c r="J221" s="17">
        <f>SUMIFS(Subscriptions!$J$5:$J$218,Subscriptions!$B$5:$B$218,A221)</f>
        <v/>
      </c>
      <c r="K221" s="17">
        <f>SUMIFS(Sales_Ledger!$J$5:$J$863,Sales_Ledger!$H$5:$H$863,$A221,Sales_Ledger!$D$5:$D$863,2023)</f>
        <v/>
      </c>
      <c r="L221" s="17">
        <f>SUMIFS(Sales_Ledger!$J$5:$J$863,Sales_Ledger!$H$5:$H$863,$A221,Sales_Ledger!$D$5:$D$863,2024)</f>
        <v/>
      </c>
      <c r="M221" s="17">
        <f>SUMIFS(Sales_Ledger!$J$5:$J$863,Sales_Ledger!$H$5:$H$863,$A221,Sales_Ledger!$D$5:$D$863,2025)</f>
        <v/>
      </c>
      <c r="N221" s="17">
        <f>SUM(K221:M221)</f>
        <v/>
      </c>
      <c r="O221" s="15" t="inlineStr">
        <is>
          <t>Client register + Transaction records</t>
        </is>
      </c>
      <c r="P221" s="15" t="inlineStr">
        <is>
          <t>COMPLETED</t>
        </is>
      </c>
      <c r="Q221" s="15" t="inlineStr">
        <is>
          <t>Md</t>
        </is>
      </c>
      <c r="R221" s="15">
        <f>IF(AND(I221&gt;0,N221&gt;I221*1.02),"Receipts exceed register contract value: check for duplicate entries, extra plots or ancillary fees",IF(AND(I221=0,N221&gt;0),"Not in client register: contract value unknown",""))</f>
        <v/>
      </c>
    </row>
    <row r="222">
      <c r="A222" s="15" t="inlineStr">
        <is>
          <t>BP-C0218</t>
        </is>
      </c>
      <c r="B222" s="15" t="inlineStr">
        <is>
          <t>Landnest Homes (Mrs Ayomipo)</t>
        </is>
      </c>
      <c r="C222" s="15" t="n"/>
      <c r="D222" s="15" t="n"/>
      <c r="E222" s="15" t="inlineStr">
        <is>
          <t>Housing</t>
        </is>
      </c>
      <c r="F222" s="15" t="inlineStr">
        <is>
          <t>Baay Foreshore</t>
        </is>
      </c>
      <c r="G222" s="16" t="n"/>
      <c r="H222" s="16">
        <f>IF(COUNTIF(Sales_Ledger!$H$5:$H$863,A222)=0,"",_xlfn.MINIFS(Sales_Ledger!$B$5:$B$863,Sales_Ledger!$H$5:$H$863,A222))</f>
        <v/>
      </c>
      <c r="I222" s="17">
        <f>SUMIFS(Subscriptions!$I$5:$I$218,Subscriptions!$B$5:$B$218,A222)</f>
        <v/>
      </c>
      <c r="J222" s="17">
        <f>SUMIFS(Subscriptions!$J$5:$J$218,Subscriptions!$B$5:$B$218,A222)</f>
        <v/>
      </c>
      <c r="K222" s="17">
        <f>SUMIFS(Sales_Ledger!$J$5:$J$863,Sales_Ledger!$H$5:$H$863,$A222,Sales_Ledger!$D$5:$D$863,2023)</f>
        <v/>
      </c>
      <c r="L222" s="17">
        <f>SUMIFS(Sales_Ledger!$J$5:$J$863,Sales_Ledger!$H$5:$H$863,$A222,Sales_Ledger!$D$5:$D$863,2024)</f>
        <v/>
      </c>
      <c r="M222" s="17">
        <f>SUMIFS(Sales_Ledger!$J$5:$J$863,Sales_Ledger!$H$5:$H$863,$A222,Sales_Ledger!$D$5:$D$863,2025)</f>
        <v/>
      </c>
      <c r="N222" s="17">
        <f>SUM(K222:M222)</f>
        <v/>
      </c>
      <c r="O222" s="15" t="inlineStr">
        <is>
          <t>Transaction records</t>
        </is>
      </c>
      <c r="P222" s="15" t="n"/>
      <c r="Q222" s="15" t="n"/>
      <c r="R222" s="15">
        <f>IF(AND(I222&gt;0,N222&gt;I222*1.02),"Receipts exceed register contract value: check for duplicate entries, extra plots or ancillary fees",IF(AND(I222=0,N222&gt;0),"Not in client register: contract value unknown",""))</f>
        <v/>
      </c>
    </row>
    <row r="223">
      <c r="A223" s="15" t="inlineStr">
        <is>
          <t>BP-C0219</t>
        </is>
      </c>
      <c r="B223" s="15" t="inlineStr">
        <is>
          <t>Mr Ali Sunday Patrick</t>
        </is>
      </c>
      <c r="C223" s="15" t="inlineStr">
        <is>
          <t>08124100945, 07030681703</t>
        </is>
      </c>
      <c r="D223" s="15" t="inlineStr">
        <is>
          <t>alipatrick.sunny@gmail</t>
        </is>
      </c>
      <c r="E223" s="15" t="inlineStr">
        <is>
          <t>Housing</t>
        </is>
      </c>
      <c r="F223" s="15" t="inlineStr">
        <is>
          <t>Baay Foreshore</t>
        </is>
      </c>
      <c r="G223" s="16" t="n">
        <v>45982</v>
      </c>
      <c r="H223" s="16">
        <f>IF(COUNTIF(Sales_Ledger!$H$5:$H$863,A223)=0,"",_xlfn.MINIFS(Sales_Ledger!$B$5:$B$863,Sales_Ledger!$H$5:$H$863,A223))</f>
        <v/>
      </c>
      <c r="I223" s="17">
        <f>SUMIFS(Subscriptions!$I$5:$I$218,Subscriptions!$B$5:$B$218,A223)</f>
        <v/>
      </c>
      <c r="J223" s="17">
        <f>SUMIFS(Subscriptions!$J$5:$J$218,Subscriptions!$B$5:$B$218,A223)</f>
        <v/>
      </c>
      <c r="K223" s="17">
        <f>SUMIFS(Sales_Ledger!$J$5:$J$863,Sales_Ledger!$H$5:$H$863,$A223,Sales_Ledger!$D$5:$D$863,2023)</f>
        <v/>
      </c>
      <c r="L223" s="17">
        <f>SUMIFS(Sales_Ledger!$J$5:$J$863,Sales_Ledger!$H$5:$H$863,$A223,Sales_Ledger!$D$5:$D$863,2024)</f>
        <v/>
      </c>
      <c r="M223" s="17">
        <f>SUMIFS(Sales_Ledger!$J$5:$J$863,Sales_Ledger!$H$5:$H$863,$A223,Sales_Ledger!$D$5:$D$863,2025)</f>
        <v/>
      </c>
      <c r="N223" s="17">
        <f>SUM(K223:M223)</f>
        <v/>
      </c>
      <c r="O223" s="15" t="inlineStr">
        <is>
          <t>Client register + Transaction records</t>
        </is>
      </c>
      <c r="P223" s="15" t="inlineStr">
        <is>
          <t>Paying</t>
        </is>
      </c>
      <c r="Q223" s="15" t="inlineStr">
        <is>
          <t>Ms Braimoh Anointing</t>
        </is>
      </c>
      <c r="R223" s="15">
        <f>IF(AND(I223&gt;0,N223&gt;I223*1.02),"Receipts exceed register contract value: check for duplicate entries, extra plots or ancillary fees",IF(AND(I223=0,N223&gt;0),"Not in client register: contract value unknown",""))</f>
        <v/>
      </c>
    </row>
    <row r="224">
      <c r="A224" s="15" t="inlineStr">
        <is>
          <t>BP-C0220</t>
        </is>
      </c>
      <c r="B224" s="15" t="inlineStr">
        <is>
          <t>Mr Ayeni Mayowa &amp; Mrs Ayeni Olumide Ibitayo Mercy</t>
        </is>
      </c>
      <c r="C224" s="15" t="inlineStr">
        <is>
          <t>08029932902, 07045113528</t>
        </is>
      </c>
      <c r="D224" s="15" t="inlineStr">
        <is>
          <t>slimmayo2015@gmail.com</t>
        </is>
      </c>
      <c r="E224" s="15" t="inlineStr">
        <is>
          <t>Land</t>
        </is>
      </c>
      <c r="F224" s="15" t="inlineStr">
        <is>
          <t>Heritage Garden; Land (estate not stated in source)</t>
        </is>
      </c>
      <c r="G224" s="16" t="n">
        <v>45996</v>
      </c>
      <c r="H224" s="16">
        <f>IF(COUNTIF(Sales_Ledger!$H$5:$H$863,A224)=0,"",_xlfn.MINIFS(Sales_Ledger!$B$5:$B$863,Sales_Ledger!$H$5:$H$863,A224))</f>
        <v/>
      </c>
      <c r="I224" s="17">
        <f>SUMIFS(Subscriptions!$I$5:$I$218,Subscriptions!$B$5:$B$218,A224)</f>
        <v/>
      </c>
      <c r="J224" s="17">
        <f>SUMIFS(Subscriptions!$J$5:$J$218,Subscriptions!$B$5:$B$218,A224)</f>
        <v/>
      </c>
      <c r="K224" s="17">
        <f>SUMIFS(Sales_Ledger!$J$5:$J$863,Sales_Ledger!$H$5:$H$863,$A224,Sales_Ledger!$D$5:$D$863,2023)</f>
        <v/>
      </c>
      <c r="L224" s="17">
        <f>SUMIFS(Sales_Ledger!$J$5:$J$863,Sales_Ledger!$H$5:$H$863,$A224,Sales_Ledger!$D$5:$D$863,2024)</f>
        <v/>
      </c>
      <c r="M224" s="17">
        <f>SUMIFS(Sales_Ledger!$J$5:$J$863,Sales_Ledger!$H$5:$H$863,$A224,Sales_Ledger!$D$5:$D$863,2025)</f>
        <v/>
      </c>
      <c r="N224" s="17">
        <f>SUM(K224:M224)</f>
        <v/>
      </c>
      <c r="O224" s="15" t="inlineStr">
        <is>
          <t>Client register + Transaction records</t>
        </is>
      </c>
      <c r="P224" s="15" t="inlineStr">
        <is>
          <t>Bought</t>
        </is>
      </c>
      <c r="Q224" s="15" t="inlineStr">
        <is>
          <t>Mayowa Ayeni</t>
        </is>
      </c>
      <c r="R224" s="15">
        <f>IF(AND(I224&gt;0,N224&gt;I224*1.02),"Receipts exceed register contract value: check for duplicate entries, extra plots or ancillary fees",IF(AND(I224=0,N224&gt;0),"Not in client register: contract value unknown",""))</f>
        <v/>
      </c>
    </row>
    <row r="225">
      <c r="A225" s="15" t="inlineStr">
        <is>
          <t>BP-C0221</t>
        </is>
      </c>
      <c r="B225" s="15" t="inlineStr">
        <is>
          <t>Mr Opeodu Ayodele &amp; Mr Daisi Omokoya</t>
        </is>
      </c>
      <c r="C225" s="15" t="n"/>
      <c r="D225" s="15" t="n"/>
      <c r="E225" s="15" t="inlineStr">
        <is>
          <t>Housing</t>
        </is>
      </c>
      <c r="F225" s="15" t="inlineStr">
        <is>
          <t>Gorge View Court (GVC Gbagada)</t>
        </is>
      </c>
      <c r="G225" s="16" t="n"/>
      <c r="H225" s="16">
        <f>IF(COUNTIF(Sales_Ledger!$H$5:$H$863,A225)=0,"",_xlfn.MINIFS(Sales_Ledger!$B$5:$B$863,Sales_Ledger!$H$5:$H$863,A225))</f>
        <v/>
      </c>
      <c r="I225" s="17">
        <f>SUMIFS(Subscriptions!$I$5:$I$218,Subscriptions!$B$5:$B$218,A225)</f>
        <v/>
      </c>
      <c r="J225" s="17">
        <f>SUMIFS(Subscriptions!$J$5:$J$218,Subscriptions!$B$5:$B$218,A225)</f>
        <v/>
      </c>
      <c r="K225" s="17">
        <f>SUMIFS(Sales_Ledger!$J$5:$J$863,Sales_Ledger!$H$5:$H$863,$A225,Sales_Ledger!$D$5:$D$863,2023)</f>
        <v/>
      </c>
      <c r="L225" s="17">
        <f>SUMIFS(Sales_Ledger!$J$5:$J$863,Sales_Ledger!$H$5:$H$863,$A225,Sales_Ledger!$D$5:$D$863,2024)</f>
        <v/>
      </c>
      <c r="M225" s="17">
        <f>SUMIFS(Sales_Ledger!$J$5:$J$863,Sales_Ledger!$H$5:$H$863,$A225,Sales_Ledger!$D$5:$D$863,2025)</f>
        <v/>
      </c>
      <c r="N225" s="17">
        <f>SUM(K225:M225)</f>
        <v/>
      </c>
      <c r="O225" s="15" t="inlineStr">
        <is>
          <t>Transaction records</t>
        </is>
      </c>
      <c r="P225" s="15" t="n"/>
      <c r="Q225" s="15" t="n"/>
      <c r="R225" s="15">
        <f>IF(AND(I225&gt;0,N225&gt;I225*1.02),"Receipts exceed register contract value: check for duplicate entries, extra plots or ancillary fees",IF(AND(I225=0,N225&gt;0),"Not in client register: contract value unknown",""))</f>
        <v/>
      </c>
    </row>
    <row r="226">
      <c r="A226" s="15" t="inlineStr">
        <is>
          <t>BP-C0222</t>
        </is>
      </c>
      <c r="B226" s="15" t="inlineStr">
        <is>
          <t>Mr Omodele Oluseye Johnson</t>
        </is>
      </c>
      <c r="C226" s="15" t="inlineStr">
        <is>
          <t>61403063455</t>
        </is>
      </c>
      <c r="D226" s="15" t="inlineStr">
        <is>
          <t>Johnsonomodele72@gmail.com</t>
        </is>
      </c>
      <c r="E226" s="15" t="inlineStr">
        <is>
          <t>Housing</t>
        </is>
      </c>
      <c r="F226" s="15" t="inlineStr">
        <is>
          <t>Baay Foreshore</t>
        </is>
      </c>
      <c r="G226" s="16" t="n">
        <v>46010</v>
      </c>
      <c r="H226" s="16">
        <f>IF(COUNTIF(Sales_Ledger!$H$5:$H$863,A226)=0,"",_xlfn.MINIFS(Sales_Ledger!$B$5:$B$863,Sales_Ledger!$H$5:$H$863,A226))</f>
        <v/>
      </c>
      <c r="I226" s="17">
        <f>SUMIFS(Subscriptions!$I$5:$I$218,Subscriptions!$B$5:$B$218,A226)</f>
        <v/>
      </c>
      <c r="J226" s="17">
        <f>SUMIFS(Subscriptions!$J$5:$J$218,Subscriptions!$B$5:$B$218,A226)</f>
        <v/>
      </c>
      <c r="K226" s="17">
        <f>SUMIFS(Sales_Ledger!$J$5:$J$863,Sales_Ledger!$H$5:$H$863,$A226,Sales_Ledger!$D$5:$D$863,2023)</f>
        <v/>
      </c>
      <c r="L226" s="17">
        <f>SUMIFS(Sales_Ledger!$J$5:$J$863,Sales_Ledger!$H$5:$H$863,$A226,Sales_Ledger!$D$5:$D$863,2024)</f>
        <v/>
      </c>
      <c r="M226" s="17">
        <f>SUMIFS(Sales_Ledger!$J$5:$J$863,Sales_Ledger!$H$5:$H$863,$A226,Sales_Ledger!$D$5:$D$863,2025)</f>
        <v/>
      </c>
      <c r="N226" s="17">
        <f>SUM(K226:M226)</f>
        <v/>
      </c>
      <c r="O226" s="15" t="inlineStr">
        <is>
          <t>Client register + Transaction records</t>
        </is>
      </c>
      <c r="P226" s="15" t="inlineStr">
        <is>
          <t>Paid</t>
        </is>
      </c>
      <c r="Q226" s="15" t="inlineStr">
        <is>
          <t>Ms Ojumefor</t>
        </is>
      </c>
      <c r="R226" s="15">
        <f>IF(AND(I226&gt;0,N226&gt;I226*1.02),"Receipts exceed register contract value: check for duplicate entries, extra plots or ancillary fees",IF(AND(I226=0,N226&gt;0),"Not in client register: contract value unknown",""))</f>
        <v/>
      </c>
    </row>
    <row r="227">
      <c r="A227" s="15" t="inlineStr">
        <is>
          <t>BP-C0223</t>
        </is>
      </c>
      <c r="B227" s="15" t="inlineStr">
        <is>
          <t>Mr Ojediran Oluwatosin James</t>
        </is>
      </c>
      <c r="C227" s="15" t="inlineStr">
        <is>
          <t>8037063770</t>
        </is>
      </c>
      <c r="D227" s="15" t="inlineStr">
        <is>
          <t>tosinojediran14@gmail.com</t>
        </is>
      </c>
      <c r="E227" s="15" t="inlineStr">
        <is>
          <t>Land</t>
        </is>
      </c>
      <c r="F227" s="15" t="inlineStr">
        <is>
          <t>Green City Phase 3 Extension (Omu-Epe)</t>
        </is>
      </c>
      <c r="G227" s="16" t="n">
        <v>46013</v>
      </c>
      <c r="H227" s="16">
        <f>IF(COUNTIF(Sales_Ledger!$H$5:$H$863,A227)=0,"",_xlfn.MINIFS(Sales_Ledger!$B$5:$B$863,Sales_Ledger!$H$5:$H$863,A227))</f>
        <v/>
      </c>
      <c r="I227" s="17">
        <f>SUMIFS(Subscriptions!$I$5:$I$218,Subscriptions!$B$5:$B$218,A227)</f>
        <v/>
      </c>
      <c r="J227" s="17">
        <f>SUMIFS(Subscriptions!$J$5:$J$218,Subscriptions!$B$5:$B$218,A227)</f>
        <v/>
      </c>
      <c r="K227" s="17">
        <f>SUMIFS(Sales_Ledger!$J$5:$J$863,Sales_Ledger!$H$5:$H$863,$A227,Sales_Ledger!$D$5:$D$863,2023)</f>
        <v/>
      </c>
      <c r="L227" s="17">
        <f>SUMIFS(Sales_Ledger!$J$5:$J$863,Sales_Ledger!$H$5:$H$863,$A227,Sales_Ledger!$D$5:$D$863,2024)</f>
        <v/>
      </c>
      <c r="M227" s="17">
        <f>SUMIFS(Sales_Ledger!$J$5:$J$863,Sales_Ledger!$H$5:$H$863,$A227,Sales_Ledger!$D$5:$D$863,2025)</f>
        <v/>
      </c>
      <c r="N227" s="17">
        <f>SUM(K227:M227)</f>
        <v/>
      </c>
      <c r="O227" s="15" t="inlineStr">
        <is>
          <t>Client register</t>
        </is>
      </c>
      <c r="P227" s="15" t="inlineStr">
        <is>
          <t>Paying</t>
        </is>
      </c>
      <c r="Q227" s="15" t="inlineStr">
        <is>
          <t>MD</t>
        </is>
      </c>
      <c r="R227" s="15">
        <f>IF(AND(I227&gt;0,N227&gt;I227*1.02),"Receipts exceed register contract value: check for duplicate entries, extra plots or ancillary fees",IF(AND(I227=0,N227&gt;0),"Not in client register: contract value unknown",""))</f>
        <v/>
      </c>
    </row>
    <row r="228">
      <c r="A228" s="15" t="inlineStr">
        <is>
          <t>BP-C0224</t>
        </is>
      </c>
      <c r="B228" s="15" t="inlineStr">
        <is>
          <t>Mr Adebowale Oyindamola Adewunmi</t>
        </is>
      </c>
      <c r="C228" s="15" t="inlineStr">
        <is>
          <t>8119910961</t>
        </is>
      </c>
      <c r="D228" s="15" t="inlineStr">
        <is>
          <t>oyindamolaadebowale@gmail.com</t>
        </is>
      </c>
      <c r="E228" s="15" t="inlineStr">
        <is>
          <t>Housing</t>
        </is>
      </c>
      <c r="F228" s="15" t="inlineStr">
        <is>
          <t>Pacific Apartment</t>
        </is>
      </c>
      <c r="G228" s="16" t="n">
        <v>46015</v>
      </c>
      <c r="H228" s="16">
        <f>IF(COUNTIF(Sales_Ledger!$H$5:$H$863,A228)=0,"",_xlfn.MINIFS(Sales_Ledger!$B$5:$B$863,Sales_Ledger!$H$5:$H$863,A228))</f>
        <v/>
      </c>
      <c r="I228" s="17">
        <f>SUMIFS(Subscriptions!$I$5:$I$218,Subscriptions!$B$5:$B$218,A228)</f>
        <v/>
      </c>
      <c r="J228" s="17">
        <f>SUMIFS(Subscriptions!$J$5:$J$218,Subscriptions!$B$5:$B$218,A228)</f>
        <v/>
      </c>
      <c r="K228" s="17">
        <f>SUMIFS(Sales_Ledger!$J$5:$J$863,Sales_Ledger!$H$5:$H$863,$A228,Sales_Ledger!$D$5:$D$863,2023)</f>
        <v/>
      </c>
      <c r="L228" s="17">
        <f>SUMIFS(Sales_Ledger!$J$5:$J$863,Sales_Ledger!$H$5:$H$863,$A228,Sales_Ledger!$D$5:$D$863,2024)</f>
        <v/>
      </c>
      <c r="M228" s="17">
        <f>SUMIFS(Sales_Ledger!$J$5:$J$863,Sales_Ledger!$H$5:$H$863,$A228,Sales_Ledger!$D$5:$D$863,2025)</f>
        <v/>
      </c>
      <c r="N228" s="17">
        <f>SUM(K228:M228)</f>
        <v/>
      </c>
      <c r="O228" s="15" t="inlineStr">
        <is>
          <t>Client register + Transaction records</t>
        </is>
      </c>
      <c r="P228" s="15" t="inlineStr">
        <is>
          <t>Paying</t>
        </is>
      </c>
      <c r="Q228" s="15" t="inlineStr">
        <is>
          <t>Salem Real Estate</t>
        </is>
      </c>
      <c r="R228" s="15">
        <f>IF(AND(I228&gt;0,N228&gt;I228*1.02),"Receipts exceed register contract value: check for duplicate entries, extra plots or ancillary fees",IF(AND(I228=0,N228&gt;0),"Not in client register: contract value unknown",""))</f>
        <v/>
      </c>
    </row>
    <row r="229">
      <c r="A229" s="15" t="inlineStr">
        <is>
          <t>BP-C0225</t>
        </is>
      </c>
      <c r="B229" s="15" t="inlineStr">
        <is>
          <t>Mr Akinsode Adebowale Peter</t>
        </is>
      </c>
      <c r="C229" s="15" t="inlineStr">
        <is>
          <t>12405348198</t>
        </is>
      </c>
      <c r="D229" s="15" t="inlineStr">
        <is>
          <t>peterakinsode@gmail.com</t>
        </is>
      </c>
      <c r="E229" s="15" t="inlineStr">
        <is>
          <t>Housing</t>
        </is>
      </c>
      <c r="F229" s="15" t="inlineStr">
        <is>
          <t>Baay Foreshore</t>
        </is>
      </c>
      <c r="G229" s="16" t="n">
        <v>46015</v>
      </c>
      <c r="H229" s="16">
        <f>IF(COUNTIF(Sales_Ledger!$H$5:$H$863,A229)=0,"",_xlfn.MINIFS(Sales_Ledger!$B$5:$B$863,Sales_Ledger!$H$5:$H$863,A229))</f>
        <v/>
      </c>
      <c r="I229" s="17">
        <f>SUMIFS(Subscriptions!$I$5:$I$218,Subscriptions!$B$5:$B$218,A229)</f>
        <v/>
      </c>
      <c r="J229" s="17">
        <f>SUMIFS(Subscriptions!$J$5:$J$218,Subscriptions!$B$5:$B$218,A229)</f>
        <v/>
      </c>
      <c r="K229" s="17">
        <f>SUMIFS(Sales_Ledger!$J$5:$J$863,Sales_Ledger!$H$5:$H$863,$A229,Sales_Ledger!$D$5:$D$863,2023)</f>
        <v/>
      </c>
      <c r="L229" s="17">
        <f>SUMIFS(Sales_Ledger!$J$5:$J$863,Sales_Ledger!$H$5:$H$863,$A229,Sales_Ledger!$D$5:$D$863,2024)</f>
        <v/>
      </c>
      <c r="M229" s="17">
        <f>SUMIFS(Sales_Ledger!$J$5:$J$863,Sales_Ledger!$H$5:$H$863,$A229,Sales_Ledger!$D$5:$D$863,2025)</f>
        <v/>
      </c>
      <c r="N229" s="17">
        <f>SUM(K229:M229)</f>
        <v/>
      </c>
      <c r="O229" s="15" t="inlineStr">
        <is>
          <t>Client register</t>
        </is>
      </c>
      <c r="P229" s="15" t="inlineStr">
        <is>
          <t>Paying</t>
        </is>
      </c>
      <c r="Q229" s="15" t="inlineStr">
        <is>
          <t>Ms Wuraola</t>
        </is>
      </c>
      <c r="R229" s="15">
        <f>IF(AND(I229&gt;0,N229&gt;I229*1.02),"Receipts exceed register contract value: check for duplicate entries, extra plots or ancillary fees",IF(AND(I229=0,N229&gt;0),"Not in client register: contract value unknown",""))</f>
        <v/>
      </c>
    </row>
    <row r="230">
      <c r="A230" s="15" t="inlineStr">
        <is>
          <t>BP-C0226</t>
        </is>
      </c>
      <c r="B230" s="15" t="inlineStr">
        <is>
          <t>Agbaje Achristopher</t>
        </is>
      </c>
      <c r="C230" s="15" t="n"/>
      <c r="D230" s="15" t="n"/>
      <c r="E230" s="15" t="inlineStr">
        <is>
          <t>Land</t>
        </is>
      </c>
      <c r="F230" s="15" t="inlineStr">
        <is>
          <t>Land (estate not stated in source)</t>
        </is>
      </c>
      <c r="G230" s="16" t="n"/>
      <c r="H230" s="16">
        <f>IF(COUNTIF(Sales_Ledger!$H$5:$H$863,A230)=0,"",_xlfn.MINIFS(Sales_Ledger!$B$5:$B$863,Sales_Ledger!$H$5:$H$863,A230))</f>
        <v/>
      </c>
      <c r="I230" s="17">
        <f>SUMIFS(Subscriptions!$I$5:$I$218,Subscriptions!$B$5:$B$218,A230)</f>
        <v/>
      </c>
      <c r="J230" s="17">
        <f>SUMIFS(Subscriptions!$J$5:$J$218,Subscriptions!$B$5:$B$218,A230)</f>
        <v/>
      </c>
      <c r="K230" s="17">
        <f>SUMIFS(Sales_Ledger!$J$5:$J$863,Sales_Ledger!$H$5:$H$863,$A230,Sales_Ledger!$D$5:$D$863,2023)</f>
        <v/>
      </c>
      <c r="L230" s="17">
        <f>SUMIFS(Sales_Ledger!$J$5:$J$863,Sales_Ledger!$H$5:$H$863,$A230,Sales_Ledger!$D$5:$D$863,2024)</f>
        <v/>
      </c>
      <c r="M230" s="17">
        <f>SUMIFS(Sales_Ledger!$J$5:$J$863,Sales_Ledger!$H$5:$H$863,$A230,Sales_Ledger!$D$5:$D$863,2025)</f>
        <v/>
      </c>
      <c r="N230" s="17">
        <f>SUM(K230:M230)</f>
        <v/>
      </c>
      <c r="O230" s="15" t="inlineStr">
        <is>
          <t>Commission records only (exceptions tab)</t>
        </is>
      </c>
      <c r="P230" s="15" t="n"/>
      <c r="Q230" s="15" t="n"/>
      <c r="R230" s="15">
        <f>IF(AND(I230&gt;0,N230&gt;I230*1.02),"Receipts exceed register contract value: check for duplicate entries, extra plots or ancillary fees",IF(AND(I230=0,N230&gt;0),"Not in client register: contract value unknown",""))</f>
        <v/>
      </c>
    </row>
    <row r="231">
      <c r="A231" s="15" t="inlineStr">
        <is>
          <t>BP-C0227</t>
        </is>
      </c>
      <c r="B231" s="15" t="inlineStr">
        <is>
          <t>Mitchel Jennifer</t>
        </is>
      </c>
      <c r="C231" s="15" t="n"/>
      <c r="D231" s="15" t="n"/>
      <c r="E231" s="15" t="inlineStr">
        <is>
          <t>Land</t>
        </is>
      </c>
      <c r="F231" s="15" t="inlineStr">
        <is>
          <t>Land (estate not stated in source)</t>
        </is>
      </c>
      <c r="G231" s="16" t="n"/>
      <c r="H231" s="16">
        <f>IF(COUNTIF(Sales_Ledger!$H$5:$H$863,A231)=0,"",_xlfn.MINIFS(Sales_Ledger!$B$5:$B$863,Sales_Ledger!$H$5:$H$863,A231))</f>
        <v/>
      </c>
      <c r="I231" s="17">
        <f>SUMIFS(Subscriptions!$I$5:$I$218,Subscriptions!$B$5:$B$218,A231)</f>
        <v/>
      </c>
      <c r="J231" s="17">
        <f>SUMIFS(Subscriptions!$J$5:$J$218,Subscriptions!$B$5:$B$218,A231)</f>
        <v/>
      </c>
      <c r="K231" s="17">
        <f>SUMIFS(Sales_Ledger!$J$5:$J$863,Sales_Ledger!$H$5:$H$863,$A231,Sales_Ledger!$D$5:$D$863,2023)</f>
        <v/>
      </c>
      <c r="L231" s="17">
        <f>SUMIFS(Sales_Ledger!$J$5:$J$863,Sales_Ledger!$H$5:$H$863,$A231,Sales_Ledger!$D$5:$D$863,2024)</f>
        <v/>
      </c>
      <c r="M231" s="17">
        <f>SUMIFS(Sales_Ledger!$J$5:$J$863,Sales_Ledger!$H$5:$H$863,$A231,Sales_Ledger!$D$5:$D$863,2025)</f>
        <v/>
      </c>
      <c r="N231" s="17">
        <f>SUM(K231:M231)</f>
        <v/>
      </c>
      <c r="O231" s="15" t="inlineStr">
        <is>
          <t>Commission records only (exceptions tab)</t>
        </is>
      </c>
      <c r="P231" s="15" t="n"/>
      <c r="Q231" s="15" t="n"/>
      <c r="R231" s="15">
        <f>IF(AND(I231&gt;0,N231&gt;I231*1.02),"Receipts exceed register contract value: check for duplicate entries, extra plots or ancillary fees",IF(AND(I231=0,N231&gt;0),"Not in client register: contract value unknown",""))</f>
        <v/>
      </c>
    </row>
    <row r="232">
      <c r="A232" s="15" t="inlineStr">
        <is>
          <t>BP-C0228</t>
        </is>
      </c>
      <c r="B232" s="15" t="inlineStr">
        <is>
          <t>Mr Adegbembo Oluwagbemiga Adesin</t>
        </is>
      </c>
      <c r="C232" s="15" t="n"/>
      <c r="D232" s="15" t="n"/>
      <c r="E232" s="15" t="inlineStr">
        <is>
          <t>Land</t>
        </is>
      </c>
      <c r="F232" s="15" t="inlineStr">
        <is>
          <t>Land (estate not stated in source)</t>
        </is>
      </c>
      <c r="G232" s="16" t="n"/>
      <c r="H232" s="16">
        <f>IF(COUNTIF(Sales_Ledger!$H$5:$H$863,A232)=0,"",_xlfn.MINIFS(Sales_Ledger!$B$5:$B$863,Sales_Ledger!$H$5:$H$863,A232))</f>
        <v/>
      </c>
      <c r="I232" s="17">
        <f>SUMIFS(Subscriptions!$I$5:$I$218,Subscriptions!$B$5:$B$218,A232)</f>
        <v/>
      </c>
      <c r="J232" s="17">
        <f>SUMIFS(Subscriptions!$J$5:$J$218,Subscriptions!$B$5:$B$218,A232)</f>
        <v/>
      </c>
      <c r="K232" s="17">
        <f>SUMIFS(Sales_Ledger!$J$5:$J$863,Sales_Ledger!$H$5:$H$863,$A232,Sales_Ledger!$D$5:$D$863,2023)</f>
        <v/>
      </c>
      <c r="L232" s="17">
        <f>SUMIFS(Sales_Ledger!$J$5:$J$863,Sales_Ledger!$H$5:$H$863,$A232,Sales_Ledger!$D$5:$D$863,2024)</f>
        <v/>
      </c>
      <c r="M232" s="17">
        <f>SUMIFS(Sales_Ledger!$J$5:$J$863,Sales_Ledger!$H$5:$H$863,$A232,Sales_Ledger!$D$5:$D$863,2025)</f>
        <v/>
      </c>
      <c r="N232" s="17">
        <f>SUM(K232:M232)</f>
        <v/>
      </c>
      <c r="O232" s="15" t="inlineStr">
        <is>
          <t>Commission records only (exceptions tab)</t>
        </is>
      </c>
      <c r="P232" s="15" t="n"/>
      <c r="Q232" s="15" t="n"/>
      <c r="R232" s="15">
        <f>IF(AND(I232&gt;0,N232&gt;I232*1.02),"Receipts exceed register contract value: check for duplicate entries, extra plots or ancillary fees",IF(AND(I232=0,N232&gt;0),"Not in client register: contract value unknown",""))</f>
        <v/>
      </c>
    </row>
    <row r="233">
      <c r="A233" s="15" t="inlineStr">
        <is>
          <t>BP-C0229</t>
        </is>
      </c>
      <c r="B233" s="15" t="inlineStr">
        <is>
          <t>Mr Adeyanju/Mr Adepoju &amp; Mrs Adepoju</t>
        </is>
      </c>
      <c r="C233" s="15" t="n"/>
      <c r="D233" s="15" t="n"/>
      <c r="E233" s="15" t="inlineStr">
        <is>
          <t>Land</t>
        </is>
      </c>
      <c r="F233" s="15" t="inlineStr">
        <is>
          <t>Land (estate not stated in source)</t>
        </is>
      </c>
      <c r="G233" s="16" t="n"/>
      <c r="H233" s="16">
        <f>IF(COUNTIF(Sales_Ledger!$H$5:$H$863,A233)=0,"",_xlfn.MINIFS(Sales_Ledger!$B$5:$B$863,Sales_Ledger!$H$5:$H$863,A233))</f>
        <v/>
      </c>
      <c r="I233" s="17">
        <f>SUMIFS(Subscriptions!$I$5:$I$218,Subscriptions!$B$5:$B$218,A233)</f>
        <v/>
      </c>
      <c r="J233" s="17">
        <f>SUMIFS(Subscriptions!$J$5:$J$218,Subscriptions!$B$5:$B$218,A233)</f>
        <v/>
      </c>
      <c r="K233" s="17">
        <f>SUMIFS(Sales_Ledger!$J$5:$J$863,Sales_Ledger!$H$5:$H$863,$A233,Sales_Ledger!$D$5:$D$863,2023)</f>
        <v/>
      </c>
      <c r="L233" s="17">
        <f>SUMIFS(Sales_Ledger!$J$5:$J$863,Sales_Ledger!$H$5:$H$863,$A233,Sales_Ledger!$D$5:$D$863,2024)</f>
        <v/>
      </c>
      <c r="M233" s="17">
        <f>SUMIFS(Sales_Ledger!$J$5:$J$863,Sales_Ledger!$H$5:$H$863,$A233,Sales_Ledger!$D$5:$D$863,2025)</f>
        <v/>
      </c>
      <c r="N233" s="17">
        <f>SUM(K233:M233)</f>
        <v/>
      </c>
      <c r="O233" s="15" t="inlineStr">
        <is>
          <t>Commission records only (exceptions tab)</t>
        </is>
      </c>
      <c r="P233" s="15" t="n"/>
      <c r="Q233" s="15" t="n"/>
      <c r="R233" s="15">
        <f>IF(AND(I233&gt;0,N233&gt;I233*1.02),"Receipts exceed register contract value: check for duplicate entries, extra plots or ancillary fees",IF(AND(I233=0,N233&gt;0),"Not in client register: contract value unknown",""))</f>
        <v/>
      </c>
    </row>
    <row r="234">
      <c r="A234" s="15" t="inlineStr">
        <is>
          <t>BP-C0230</t>
        </is>
      </c>
      <c r="B234" s="15" t="inlineStr">
        <is>
          <t>Mr Jude</t>
        </is>
      </c>
      <c r="C234" s="15" t="inlineStr">
        <is>
          <t>44794473337</t>
        </is>
      </c>
      <c r="D234" s="15" t="n"/>
      <c r="E234" s="15" t="inlineStr">
        <is>
          <t>Housing</t>
        </is>
      </c>
      <c r="F234" s="15" t="inlineStr">
        <is>
          <t>Pacific Court</t>
        </is>
      </c>
      <c r="G234" s="16" t="n"/>
      <c r="H234" s="16">
        <f>IF(COUNTIF(Sales_Ledger!$H$5:$H$863,A234)=0,"",_xlfn.MINIFS(Sales_Ledger!$B$5:$B$863,Sales_Ledger!$H$5:$H$863,A234))</f>
        <v/>
      </c>
      <c r="I234" s="17">
        <f>SUMIFS(Subscriptions!$I$5:$I$218,Subscriptions!$B$5:$B$218,A234)</f>
        <v/>
      </c>
      <c r="J234" s="17">
        <f>SUMIFS(Subscriptions!$J$5:$J$218,Subscriptions!$B$5:$B$218,A234)</f>
        <v/>
      </c>
      <c r="K234" s="17">
        <f>SUMIFS(Sales_Ledger!$J$5:$J$863,Sales_Ledger!$H$5:$H$863,$A234,Sales_Ledger!$D$5:$D$863,2023)</f>
        <v/>
      </c>
      <c r="L234" s="17">
        <f>SUMIFS(Sales_Ledger!$J$5:$J$863,Sales_Ledger!$H$5:$H$863,$A234,Sales_Ledger!$D$5:$D$863,2024)</f>
        <v/>
      </c>
      <c r="M234" s="17">
        <f>SUMIFS(Sales_Ledger!$J$5:$J$863,Sales_Ledger!$H$5:$H$863,$A234,Sales_Ledger!$D$5:$D$863,2025)</f>
        <v/>
      </c>
      <c r="N234" s="17">
        <f>SUM(K234:M234)</f>
        <v/>
      </c>
      <c r="O234" s="15" t="inlineStr">
        <is>
          <t>Client register</t>
        </is>
      </c>
      <c r="P234" s="15" t="inlineStr">
        <is>
          <t>ALMOST BOUGHT</t>
        </is>
      </c>
      <c r="Q234" s="15" t="n"/>
      <c r="R234" s="15">
        <f>IF(AND(I234&gt;0,N234&gt;I234*1.02),"Receipts exceed register contract value: check for duplicate entries, extra plots or ancillary fees",IF(AND(I234=0,N234&gt;0),"Not in client register: contract value unknown",""))</f>
        <v/>
      </c>
    </row>
    <row r="235">
      <c r="A235" s="15" t="inlineStr">
        <is>
          <t>BP-C0231</t>
        </is>
      </c>
      <c r="B235" s="15" t="inlineStr">
        <is>
          <t>Mr Ojo Ayomidde</t>
        </is>
      </c>
      <c r="C235" s="15" t="n"/>
      <c r="D235" s="15" t="n"/>
      <c r="E235" s="15" t="inlineStr">
        <is>
          <t>Land</t>
        </is>
      </c>
      <c r="F235" s="15" t="inlineStr">
        <is>
          <t>Land (estate not stated in source)</t>
        </is>
      </c>
      <c r="G235" s="16" t="n"/>
      <c r="H235" s="16">
        <f>IF(COUNTIF(Sales_Ledger!$H$5:$H$863,A235)=0,"",_xlfn.MINIFS(Sales_Ledger!$B$5:$B$863,Sales_Ledger!$H$5:$H$863,A235))</f>
        <v/>
      </c>
      <c r="I235" s="17">
        <f>SUMIFS(Subscriptions!$I$5:$I$218,Subscriptions!$B$5:$B$218,A235)</f>
        <v/>
      </c>
      <c r="J235" s="17">
        <f>SUMIFS(Subscriptions!$J$5:$J$218,Subscriptions!$B$5:$B$218,A235)</f>
        <v/>
      </c>
      <c r="K235" s="17">
        <f>SUMIFS(Sales_Ledger!$J$5:$J$863,Sales_Ledger!$H$5:$H$863,$A235,Sales_Ledger!$D$5:$D$863,2023)</f>
        <v/>
      </c>
      <c r="L235" s="17">
        <f>SUMIFS(Sales_Ledger!$J$5:$J$863,Sales_Ledger!$H$5:$H$863,$A235,Sales_Ledger!$D$5:$D$863,2024)</f>
        <v/>
      </c>
      <c r="M235" s="17">
        <f>SUMIFS(Sales_Ledger!$J$5:$J$863,Sales_Ledger!$H$5:$H$863,$A235,Sales_Ledger!$D$5:$D$863,2025)</f>
        <v/>
      </c>
      <c r="N235" s="17">
        <f>SUM(K235:M235)</f>
        <v/>
      </c>
      <c r="O235" s="15" t="inlineStr">
        <is>
          <t>Commission records only (exceptions tab)</t>
        </is>
      </c>
      <c r="P235" s="15" t="n"/>
      <c r="Q235" s="15" t="n"/>
      <c r="R235" s="15">
        <f>IF(AND(I235&gt;0,N235&gt;I235*1.02),"Receipts exceed register contract value: check for duplicate entries, extra plots or ancillary fees",IF(AND(I235=0,N235&gt;0),"Not in client register: contract value unknown",""))</f>
        <v/>
      </c>
    </row>
    <row r="236">
      <c r="A236" s="15" t="inlineStr">
        <is>
          <t>BP-C0232</t>
        </is>
      </c>
      <c r="B236" s="15" t="inlineStr">
        <is>
          <t>Mrs Adefila Oluwabukola Ibukunoluwa</t>
        </is>
      </c>
      <c r="C236" s="15" t="inlineStr">
        <is>
          <t>08084349239, 07037742021</t>
        </is>
      </c>
      <c r="D236" s="15" t="inlineStr">
        <is>
          <t>damselibk@yahoo.com</t>
        </is>
      </c>
      <c r="E236" s="15" t="inlineStr">
        <is>
          <t>Housing</t>
        </is>
      </c>
      <c r="F236" s="15" t="inlineStr">
        <is>
          <t>Pacific Apartment</t>
        </is>
      </c>
      <c r="G236" s="16" t="n"/>
      <c r="H236" s="16">
        <f>IF(COUNTIF(Sales_Ledger!$H$5:$H$863,A236)=0,"",_xlfn.MINIFS(Sales_Ledger!$B$5:$B$863,Sales_Ledger!$H$5:$H$863,A236))</f>
        <v/>
      </c>
      <c r="I236" s="17">
        <f>SUMIFS(Subscriptions!$I$5:$I$218,Subscriptions!$B$5:$B$218,A236)</f>
        <v/>
      </c>
      <c r="J236" s="17">
        <f>SUMIFS(Subscriptions!$J$5:$J$218,Subscriptions!$B$5:$B$218,A236)</f>
        <v/>
      </c>
      <c r="K236" s="17">
        <f>SUMIFS(Sales_Ledger!$J$5:$J$863,Sales_Ledger!$H$5:$H$863,$A236,Sales_Ledger!$D$5:$D$863,2023)</f>
        <v/>
      </c>
      <c r="L236" s="17">
        <f>SUMIFS(Sales_Ledger!$J$5:$J$863,Sales_Ledger!$H$5:$H$863,$A236,Sales_Ledger!$D$5:$D$863,2024)</f>
        <v/>
      </c>
      <c r="M236" s="17">
        <f>SUMIFS(Sales_Ledger!$J$5:$J$863,Sales_Ledger!$H$5:$H$863,$A236,Sales_Ledger!$D$5:$D$863,2025)</f>
        <v/>
      </c>
      <c r="N236" s="17">
        <f>SUM(K236:M236)</f>
        <v/>
      </c>
      <c r="O236" s="15" t="inlineStr">
        <is>
          <t>Client register</t>
        </is>
      </c>
      <c r="P236" s="15" t="inlineStr">
        <is>
          <t>Paying</t>
        </is>
      </c>
      <c r="Q236" s="15" t="inlineStr">
        <is>
          <t>MD</t>
        </is>
      </c>
      <c r="R236" s="15">
        <f>IF(AND(I236&gt;0,N236&gt;I236*1.02),"Receipts exceed register contract value: check for duplicate entries, extra plots or ancillary fees",IF(AND(I236=0,N236&gt;0),"Not in client register: contract value unknown",""))</f>
        <v/>
      </c>
    </row>
    <row r="237">
      <c r="A237" s="15" t="inlineStr">
        <is>
          <t>BP-C0233</t>
        </is>
      </c>
      <c r="B237" s="15" t="inlineStr">
        <is>
          <t>Mrs and Mr Bidemi</t>
        </is>
      </c>
      <c r="C237" s="15" t="inlineStr">
        <is>
          <t>13147759807</t>
        </is>
      </c>
      <c r="D237" s="15" t="n"/>
      <c r="E237" s="15" t="inlineStr">
        <is>
          <t>Housing</t>
        </is>
      </c>
      <c r="F237" s="15" t="inlineStr">
        <is>
          <t>Pacific Court</t>
        </is>
      </c>
      <c r="G237" s="16" t="n"/>
      <c r="H237" s="16">
        <f>IF(COUNTIF(Sales_Ledger!$H$5:$H$863,A237)=0,"",_xlfn.MINIFS(Sales_Ledger!$B$5:$B$863,Sales_Ledger!$H$5:$H$863,A237))</f>
        <v/>
      </c>
      <c r="I237" s="17">
        <f>SUMIFS(Subscriptions!$I$5:$I$218,Subscriptions!$B$5:$B$218,A237)</f>
        <v/>
      </c>
      <c r="J237" s="17">
        <f>SUMIFS(Subscriptions!$J$5:$J$218,Subscriptions!$B$5:$B$218,A237)</f>
        <v/>
      </c>
      <c r="K237" s="17">
        <f>SUMIFS(Sales_Ledger!$J$5:$J$863,Sales_Ledger!$H$5:$H$863,$A237,Sales_Ledger!$D$5:$D$863,2023)</f>
        <v/>
      </c>
      <c r="L237" s="17">
        <f>SUMIFS(Sales_Ledger!$J$5:$J$863,Sales_Ledger!$H$5:$H$863,$A237,Sales_Ledger!$D$5:$D$863,2024)</f>
        <v/>
      </c>
      <c r="M237" s="17">
        <f>SUMIFS(Sales_Ledger!$J$5:$J$863,Sales_Ledger!$H$5:$H$863,$A237,Sales_Ledger!$D$5:$D$863,2025)</f>
        <v/>
      </c>
      <c r="N237" s="17">
        <f>SUM(K237:M237)</f>
        <v/>
      </c>
      <c r="O237" s="15" t="inlineStr">
        <is>
          <t>Client register</t>
        </is>
      </c>
      <c r="P237" s="15" t="inlineStr">
        <is>
          <t>ALMOST BOUGHT</t>
        </is>
      </c>
      <c r="Q237" s="15" t="n"/>
      <c r="R237" s="15">
        <f>IF(AND(I237&gt;0,N237&gt;I237*1.02),"Receipts exceed register contract value: check for duplicate entries, extra plots or ancillary fees",IF(AND(I237=0,N237&gt;0),"Not in client register: contract value unknown",""))</f>
        <v/>
      </c>
    </row>
    <row r="238">
      <c r="A238" s="15" t="inlineStr">
        <is>
          <t>BP-C0234</t>
        </is>
      </c>
      <c r="B238" s="15" t="inlineStr">
        <is>
          <t>Okorie Rachael Mmesoma</t>
        </is>
      </c>
      <c r="C238" s="15" t="n"/>
      <c r="D238" s="15" t="n"/>
      <c r="E238" s="15" t="inlineStr">
        <is>
          <t>Land</t>
        </is>
      </c>
      <c r="F238" s="15" t="inlineStr">
        <is>
          <t>Land (estate not stated in source)</t>
        </is>
      </c>
      <c r="G238" s="16" t="n"/>
      <c r="H238" s="16">
        <f>IF(COUNTIF(Sales_Ledger!$H$5:$H$863,A238)=0,"",_xlfn.MINIFS(Sales_Ledger!$B$5:$B$863,Sales_Ledger!$H$5:$H$863,A238))</f>
        <v/>
      </c>
      <c r="I238" s="17">
        <f>SUMIFS(Subscriptions!$I$5:$I$218,Subscriptions!$B$5:$B$218,A238)</f>
        <v/>
      </c>
      <c r="J238" s="17">
        <f>SUMIFS(Subscriptions!$J$5:$J$218,Subscriptions!$B$5:$B$218,A238)</f>
        <v/>
      </c>
      <c r="K238" s="17">
        <f>SUMIFS(Sales_Ledger!$J$5:$J$863,Sales_Ledger!$H$5:$H$863,$A238,Sales_Ledger!$D$5:$D$863,2023)</f>
        <v/>
      </c>
      <c r="L238" s="17">
        <f>SUMIFS(Sales_Ledger!$J$5:$J$863,Sales_Ledger!$H$5:$H$863,$A238,Sales_Ledger!$D$5:$D$863,2024)</f>
        <v/>
      </c>
      <c r="M238" s="17">
        <f>SUMIFS(Sales_Ledger!$J$5:$J$863,Sales_Ledger!$H$5:$H$863,$A238,Sales_Ledger!$D$5:$D$863,2025)</f>
        <v/>
      </c>
      <c r="N238" s="17">
        <f>SUM(K238:M238)</f>
        <v/>
      </c>
      <c r="O238" s="15" t="inlineStr">
        <is>
          <t>Commission records only (exceptions tab)</t>
        </is>
      </c>
      <c r="P238" s="15" t="n"/>
      <c r="Q238" s="15" t="n"/>
      <c r="R238" s="15">
        <f>IF(AND(I238&gt;0,N238&gt;I238*1.02),"Receipts exceed register contract value: check for duplicate entries, extra plots or ancillary fees",IF(AND(I238=0,N238&gt;0),"Not in client register: contract value unknown",""))</f>
        <v/>
      </c>
    </row>
    <row r="239">
      <c r="A239" s="15" t="inlineStr">
        <is>
          <t>BP-C0235</t>
        </is>
      </c>
      <c r="B239" s="15" t="inlineStr">
        <is>
          <t>Sharon Aisosa Ebholah</t>
        </is>
      </c>
      <c r="C239" s="15" t="n"/>
      <c r="D239" s="15" t="n"/>
      <c r="E239" s="15" t="inlineStr">
        <is>
          <t>Land</t>
        </is>
      </c>
      <c r="F239" s="15" t="inlineStr">
        <is>
          <t>Land (estate not stated in source)</t>
        </is>
      </c>
      <c r="G239" s="16" t="n"/>
      <c r="H239" s="16">
        <f>IF(COUNTIF(Sales_Ledger!$H$5:$H$863,A239)=0,"",_xlfn.MINIFS(Sales_Ledger!$B$5:$B$863,Sales_Ledger!$H$5:$H$863,A239))</f>
        <v/>
      </c>
      <c r="I239" s="17">
        <f>SUMIFS(Subscriptions!$I$5:$I$218,Subscriptions!$B$5:$B$218,A239)</f>
        <v/>
      </c>
      <c r="J239" s="17">
        <f>SUMIFS(Subscriptions!$J$5:$J$218,Subscriptions!$B$5:$B$218,A239)</f>
        <v/>
      </c>
      <c r="K239" s="17">
        <f>SUMIFS(Sales_Ledger!$J$5:$J$863,Sales_Ledger!$H$5:$H$863,$A239,Sales_Ledger!$D$5:$D$863,2023)</f>
        <v/>
      </c>
      <c r="L239" s="17">
        <f>SUMIFS(Sales_Ledger!$J$5:$J$863,Sales_Ledger!$H$5:$H$863,$A239,Sales_Ledger!$D$5:$D$863,2024)</f>
        <v/>
      </c>
      <c r="M239" s="17">
        <f>SUMIFS(Sales_Ledger!$J$5:$J$863,Sales_Ledger!$H$5:$H$863,$A239,Sales_Ledger!$D$5:$D$863,2025)</f>
        <v/>
      </c>
      <c r="N239" s="17">
        <f>SUM(K239:M239)</f>
        <v/>
      </c>
      <c r="O239" s="15" t="inlineStr">
        <is>
          <t>Commission records only (exceptions tab)</t>
        </is>
      </c>
      <c r="P239" s="15" t="n"/>
      <c r="Q239" s="15" t="n"/>
      <c r="R239" s="15">
        <f>IF(AND(I239&gt;0,N239&gt;I239*1.02),"Receipts exceed register contract value: check for duplicate entries, extra plots or ancillary fees",IF(AND(I239=0,N239&gt;0),"Not in client register: contract value unknown",""))</f>
        <v/>
      </c>
    </row>
    <row r="240">
      <c r="A240" s="15" t="inlineStr">
        <is>
          <t>BP-C0236</t>
        </is>
      </c>
      <c r="B240" s="15" t="inlineStr">
        <is>
          <t>Yusuff Saheed</t>
        </is>
      </c>
      <c r="C240" s="15" t="n"/>
      <c r="D240" s="15" t="n"/>
      <c r="E240" s="15" t="inlineStr">
        <is>
          <t>Land</t>
        </is>
      </c>
      <c r="F240" s="15" t="inlineStr">
        <is>
          <t>Land (estate not stated in source)</t>
        </is>
      </c>
      <c r="G240" s="16" t="n"/>
      <c r="H240" s="16">
        <f>IF(COUNTIF(Sales_Ledger!$H$5:$H$863,A240)=0,"",_xlfn.MINIFS(Sales_Ledger!$B$5:$B$863,Sales_Ledger!$H$5:$H$863,A240))</f>
        <v/>
      </c>
      <c r="I240" s="17">
        <f>SUMIFS(Subscriptions!$I$5:$I$218,Subscriptions!$B$5:$B$218,A240)</f>
        <v/>
      </c>
      <c r="J240" s="17">
        <f>SUMIFS(Subscriptions!$J$5:$J$218,Subscriptions!$B$5:$B$218,A240)</f>
        <v/>
      </c>
      <c r="K240" s="17">
        <f>SUMIFS(Sales_Ledger!$J$5:$J$863,Sales_Ledger!$H$5:$H$863,$A240,Sales_Ledger!$D$5:$D$863,2023)</f>
        <v/>
      </c>
      <c r="L240" s="17">
        <f>SUMIFS(Sales_Ledger!$J$5:$J$863,Sales_Ledger!$H$5:$H$863,$A240,Sales_Ledger!$D$5:$D$863,2024)</f>
        <v/>
      </c>
      <c r="M240" s="17">
        <f>SUMIFS(Sales_Ledger!$J$5:$J$863,Sales_Ledger!$H$5:$H$863,$A240,Sales_Ledger!$D$5:$D$863,2025)</f>
        <v/>
      </c>
      <c r="N240" s="17">
        <f>SUM(K240:M240)</f>
        <v/>
      </c>
      <c r="O240" s="15" t="inlineStr">
        <is>
          <t>Commission records only (exceptions tab)</t>
        </is>
      </c>
      <c r="P240" s="15" t="n"/>
      <c r="Q240" s="15" t="n"/>
      <c r="R240" s="15">
        <f>IF(AND(I240&gt;0,N240&gt;I240*1.02),"Receipts exceed register contract value: check for duplicate entries, extra plots or ancillary fees",IF(AND(I240=0,N240&gt;0),"Not in client register: contract value unknown",""))</f>
        <v/>
      </c>
    </row>
    <row r="241">
      <c r="B241" s="18" t="inlineStr">
        <is>
          <t>Total</t>
        </is>
      </c>
      <c r="I241" s="19">
        <f>SUBTOTAL(9,I5:I240)</f>
        <v/>
      </c>
      <c r="J241" s="19">
        <f>SUBTOTAL(9,J5:J240)</f>
        <v/>
      </c>
      <c r="K241" s="19">
        <f>SUBTOTAL(9,K5:K240)</f>
        <v/>
      </c>
      <c r="L241" s="19">
        <f>SUBTOTAL(9,L5:L240)</f>
        <v/>
      </c>
      <c r="M241" s="19">
        <f>SUBTOTAL(9,M5:M240)</f>
        <v/>
      </c>
      <c r="N241" s="19">
        <f>SUBTOTAL(9,N5:N240)</f>
        <v/>
      </c>
    </row>
  </sheetData>
  <autoFilter ref="A4:R240"/>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L109"/>
  <sheetViews>
    <sheetView zoomScaleNormal="10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ColWidth="8.6328125" defaultRowHeight="14.5"/>
  <cols>
    <col width="9" customWidth="1" min="1" max="1"/>
    <col width="12" customWidth="1" min="2" max="2"/>
    <col width="11" customWidth="1" min="3" max="3"/>
    <col width="7" customWidth="1" min="4" max="4"/>
    <col width="34" customWidth="1" min="5" max="5"/>
    <col width="15" customWidth="1" min="6" max="6"/>
    <col width="22" customWidth="1" min="7" max="7"/>
    <col width="60" customWidth="1" min="8" max="8"/>
    <col width="34" customWidth="1" min="9" max="9"/>
    <col width="22" customWidth="1" min="10" max="10"/>
    <col width="8" customWidth="1" min="11" max="11"/>
    <col width="13" customWidth="1" min="12" max="12"/>
  </cols>
  <sheetData>
    <row r="1" ht="18" customHeight="1">
      <c r="A1" s="1" t="inlineStr">
        <is>
          <t>Items in the source registers that are not land/housing/construction sales</t>
        </is>
      </c>
    </row>
    <row r="2">
      <c r="A2" s="2" t="inlineStr">
        <is>
          <t>Kept here (not deleted) so the source sheet totals still reconcile. Commission-record duplicates of the same item across sheets are shown once.</t>
        </is>
      </c>
    </row>
    <row r="4" ht="30" customHeight="1">
      <c r="A4" s="14" t="inlineStr">
        <is>
          <t>Ref</t>
        </is>
      </c>
      <c r="B4" s="14" t="inlineStr">
        <is>
          <t>Date</t>
        </is>
      </c>
      <c r="C4" s="14" t="inlineStr">
        <is>
          <t>Reporting month</t>
        </is>
      </c>
      <c r="D4" s="14" t="inlineStr">
        <is>
          <t>Year</t>
        </is>
      </c>
      <c r="E4" s="14" t="inlineStr">
        <is>
          <t>Customer</t>
        </is>
      </c>
      <c r="F4" s="14" t="inlineStr">
        <is>
          <t>Amount (₦)</t>
        </is>
      </c>
      <c r="G4" s="14" t="inlineStr">
        <is>
          <t>Category in source</t>
        </is>
      </c>
      <c r="H4" s="14" t="inlineStr">
        <is>
          <t>Reason excluded</t>
        </is>
      </c>
      <c r="I4" s="14" t="inlineStr">
        <is>
          <t>Source file</t>
        </is>
      </c>
      <c r="J4" s="14" t="inlineStr">
        <is>
          <t>Source sheet</t>
        </is>
      </c>
      <c r="K4" s="14" t="inlineStr">
        <is>
          <t>Source row</t>
        </is>
      </c>
      <c r="L4" s="14" t="inlineStr">
        <is>
          <t>Date as recorded</t>
        </is>
      </c>
    </row>
    <row r="5">
      <c r="A5" s="15" t="inlineStr">
        <is>
          <t>EX001</t>
        </is>
      </c>
      <c r="B5" s="16" t="n">
        <v>45355</v>
      </c>
      <c r="C5" s="15" t="inlineStr">
        <is>
          <t>2024-03</t>
        </is>
      </c>
      <c r="D5" s="15" t="n">
        <v>2024</v>
      </c>
      <c r="E5" s="15" t="inlineStr">
        <is>
          <t>Miss Oji Blessing</t>
        </is>
      </c>
      <c r="F5" s="17" t="n">
        <v>175000</v>
      </c>
      <c r="G5" s="15" t="inlineStr">
        <is>
          <t>Credit Memo</t>
        </is>
      </c>
      <c r="H5" s="15" t="inlineStr">
        <is>
          <t>Credit memo: non-cash transfer of an earlier payment between products; not a new receipt</t>
        </is>
      </c>
      <c r="I5" s="15" t="inlineStr">
        <is>
          <t>BAAY PROJECTS FINANCIALS 2024.xlsx</t>
        </is>
      </c>
      <c r="J5" s="15" t="inlineStr">
        <is>
          <t>MARCH TURNOVER</t>
        </is>
      </c>
      <c r="K5" s="15" t="n">
        <v>12</v>
      </c>
      <c r="L5" s="15" t="inlineStr">
        <is>
          <t>2024-04-03</t>
        </is>
      </c>
    </row>
    <row r="6">
      <c r="A6" s="15" t="inlineStr">
        <is>
          <t>EX002</t>
        </is>
      </c>
      <c r="B6" s="16" t="n">
        <v>45379</v>
      </c>
      <c r="C6" s="15" t="inlineStr">
        <is>
          <t>2024-03</t>
        </is>
      </c>
      <c r="D6" s="15" t="n">
        <v>2024</v>
      </c>
      <c r="E6" s="15" t="inlineStr">
        <is>
          <t>Miss Oji Blessing</t>
        </is>
      </c>
      <c r="F6" s="17" t="n">
        <v>85000</v>
      </c>
      <c r="G6" s="15" t="inlineStr">
        <is>
          <t>Credit Memo</t>
        </is>
      </c>
      <c r="H6" s="15" t="inlineStr">
        <is>
          <t>Credit memo: non-cash transfer of an earlier payment between products; not a new receipt</t>
        </is>
      </c>
      <c r="I6" s="15" t="inlineStr">
        <is>
          <t>BAAY PROJECTS FINANCIALS 2024.xlsx</t>
        </is>
      </c>
      <c r="J6" s="15" t="inlineStr">
        <is>
          <t>MARCH TURNOVER</t>
        </is>
      </c>
      <c r="K6" s="15" t="n">
        <v>58</v>
      </c>
      <c r="L6" s="15" t="inlineStr">
        <is>
          <t>28/03/2024</t>
        </is>
      </c>
    </row>
    <row r="7">
      <c r="A7" s="15" t="inlineStr">
        <is>
          <t>EX003</t>
        </is>
      </c>
      <c r="B7" s="16" t="n">
        <v>45447</v>
      </c>
      <c r="C7" s="15" t="inlineStr">
        <is>
          <t>2024-06</t>
        </is>
      </c>
      <c r="D7" s="15" t="n">
        <v>2024</v>
      </c>
      <c r="E7" s="15" t="inlineStr">
        <is>
          <t>Mr Salawudeen Yusuf Olayemi</t>
        </is>
      </c>
      <c r="F7" s="17" t="n">
        <v>1000000</v>
      </c>
      <c r="G7" s="15" t="inlineStr">
        <is>
          <t>Co-ownership</t>
        </is>
      </c>
      <c r="H7" s="15" t="inlineStr">
        <is>
          <t>Co-ownership investment receipt: fixed-return product, not a sale of land/housing</t>
        </is>
      </c>
      <c r="I7" s="15" t="inlineStr">
        <is>
          <t>BAAY PROJECTS FINANCIALS 2024.xlsx</t>
        </is>
      </c>
      <c r="J7" s="15" t="inlineStr">
        <is>
          <t>JUNE TURNOVER</t>
        </is>
      </c>
      <c r="K7" s="15" t="n">
        <v>9</v>
      </c>
      <c r="L7" s="15" t="inlineStr">
        <is>
          <t>2024-04-06</t>
        </is>
      </c>
    </row>
    <row r="8">
      <c r="A8" s="15" t="inlineStr">
        <is>
          <t>EX004</t>
        </is>
      </c>
      <c r="B8" s="16" t="n">
        <v>45455</v>
      </c>
      <c r="C8" s="15" t="inlineStr">
        <is>
          <t>2024-06</t>
        </is>
      </c>
      <c r="D8" s="15" t="n">
        <v>2024</v>
      </c>
      <c r="E8" s="15" t="inlineStr">
        <is>
          <t>Mr Ademola Adeniran</t>
        </is>
      </c>
      <c r="F8" s="17" t="n">
        <v>1000000</v>
      </c>
      <c r="G8" s="15" t="inlineStr">
        <is>
          <t>Co-ownership</t>
        </is>
      </c>
      <c r="H8" s="15" t="inlineStr">
        <is>
          <t>Co-ownership investment receipt: fixed-return product, not a sale of land/housing</t>
        </is>
      </c>
      <c r="I8" s="15" t="inlineStr">
        <is>
          <t>BAAY PROJECTS FINANCIALS 2024.xlsx</t>
        </is>
      </c>
      <c r="J8" s="15" t="inlineStr">
        <is>
          <t>JUNE TURNOVER</t>
        </is>
      </c>
      <c r="K8" s="15" t="n">
        <v>22</v>
      </c>
      <c r="L8" s="15" t="inlineStr">
        <is>
          <t>12/06/0204</t>
        </is>
      </c>
    </row>
    <row r="9">
      <c r="A9" s="15" t="inlineStr">
        <is>
          <t>EX005</t>
        </is>
      </c>
      <c r="B9" s="16" t="n">
        <v>45467</v>
      </c>
      <c r="C9" s="15" t="inlineStr">
        <is>
          <t>2024-06</t>
        </is>
      </c>
      <c r="D9" s="15" t="n">
        <v>2024</v>
      </c>
      <c r="E9" s="15" t="inlineStr">
        <is>
          <t>Mr Taiwo John Adeleye</t>
        </is>
      </c>
      <c r="F9" s="17" t="n">
        <v>1000000</v>
      </c>
      <c r="G9" s="15" t="inlineStr">
        <is>
          <t>Co-ownership</t>
        </is>
      </c>
      <c r="H9" s="15" t="inlineStr">
        <is>
          <t>Co-ownership investment receipt: fixed-return product, not a sale of land/housing</t>
        </is>
      </c>
      <c r="I9" s="15" t="inlineStr">
        <is>
          <t>BAAY PROJECTS FINANCIALS 2024.xlsx</t>
        </is>
      </c>
      <c r="J9" s="15" t="inlineStr">
        <is>
          <t>JUNE TURNOVER</t>
        </is>
      </c>
      <c r="K9" s="15" t="n">
        <v>35</v>
      </c>
      <c r="L9" s="15" t="inlineStr">
        <is>
          <t>24/06/2024</t>
        </is>
      </c>
    </row>
    <row r="10">
      <c r="A10" s="15" t="inlineStr">
        <is>
          <t>EX006</t>
        </is>
      </c>
      <c r="B10" s="16" t="n">
        <v>45469</v>
      </c>
      <c r="C10" s="15" t="inlineStr">
        <is>
          <t>2024-06</t>
        </is>
      </c>
      <c r="D10" s="15" t="n">
        <v>2024</v>
      </c>
      <c r="E10" s="15" t="inlineStr">
        <is>
          <t>Mr Ademola Adeniran</t>
        </is>
      </c>
      <c r="F10" s="17" t="n">
        <v>1000000</v>
      </c>
      <c r="G10" s="15" t="inlineStr">
        <is>
          <t>Co-ownership</t>
        </is>
      </c>
      <c r="H10" s="15" t="inlineStr">
        <is>
          <t>Co-ownership investment receipt: fixed-return product, not a sale of land/housing</t>
        </is>
      </c>
      <c r="I10" s="15" t="inlineStr">
        <is>
          <t>BAAY PROJECTS FINANCIALS 2024.xlsx</t>
        </is>
      </c>
      <c r="J10" s="15" t="inlineStr">
        <is>
          <t>JUNE TURNOVER</t>
        </is>
      </c>
      <c r="K10" s="15" t="n">
        <v>39</v>
      </c>
      <c r="L10" s="15" t="inlineStr">
        <is>
          <t>26/06/2024</t>
        </is>
      </c>
    </row>
    <row r="11">
      <c r="A11" s="15" t="inlineStr">
        <is>
          <t>EX007</t>
        </is>
      </c>
      <c r="B11" s="16" t="n">
        <v>45469</v>
      </c>
      <c r="C11" s="15" t="inlineStr">
        <is>
          <t>2024-06</t>
        </is>
      </c>
      <c r="D11" s="15" t="n">
        <v>2024</v>
      </c>
      <c r="E11" s="15" t="inlineStr">
        <is>
          <t>Mr Taiwo John Adeleye</t>
        </is>
      </c>
      <c r="F11" s="17" t="n">
        <v>1000000</v>
      </c>
      <c r="G11" s="15" t="inlineStr">
        <is>
          <t>Co-ownership</t>
        </is>
      </c>
      <c r="H11" s="15" t="inlineStr">
        <is>
          <t>Co-ownership investment receipt: fixed-return product, not a sale of land/housing</t>
        </is>
      </c>
      <c r="I11" s="15" t="inlineStr">
        <is>
          <t>BAAY PROJECTS FINANCIALS 2024.xlsx</t>
        </is>
      </c>
      <c r="J11" s="15" t="inlineStr">
        <is>
          <t>JUNE TURNOVER</t>
        </is>
      </c>
      <c r="K11" s="15" t="n">
        <v>40</v>
      </c>
      <c r="L11" s="15" t="inlineStr">
        <is>
          <t>26/06/2024</t>
        </is>
      </c>
    </row>
    <row r="12">
      <c r="A12" s="15" t="inlineStr">
        <is>
          <t>EX008</t>
        </is>
      </c>
      <c r="B12" s="16" t="n">
        <v>45474</v>
      </c>
      <c r="C12" s="15" t="inlineStr">
        <is>
          <t>2024-07</t>
        </is>
      </c>
      <c r="D12" s="15" t="n">
        <v>2024</v>
      </c>
      <c r="E12" s="15" t="inlineStr">
        <is>
          <t>Mr Taiwo John Adeleye</t>
        </is>
      </c>
      <c r="F12" s="17" t="n">
        <v>1000000</v>
      </c>
      <c r="G12" s="15" t="inlineStr">
        <is>
          <t>(blank)</t>
        </is>
      </c>
      <c r="H12" s="15" t="inlineStr">
        <is>
          <t>Co-ownership investment receipt: fixed-return product, not a sale of land/housing</t>
        </is>
      </c>
      <c r="I12" s="15" t="inlineStr">
        <is>
          <t>BAAY PROJECTS SALES EXPENSES (COMMISSION) RECORDS (1)</t>
        </is>
      </c>
      <c r="J12" s="15" t="inlineStr">
        <is>
          <t>MS JOCHEBED</t>
        </is>
      </c>
      <c r="K12" s="15" t="n">
        <v>13</v>
      </c>
      <c r="L12" s="15" t="inlineStr">
        <is>
          <t>2024-01-07</t>
        </is>
      </c>
    </row>
    <row r="13">
      <c r="A13" s="15" t="inlineStr">
        <is>
          <t>EX009</t>
        </is>
      </c>
      <c r="B13" s="16" t="n">
        <v>45488</v>
      </c>
      <c r="C13" s="15" t="inlineStr">
        <is>
          <t>2024-07</t>
        </is>
      </c>
      <c r="D13" s="15" t="n">
        <v>2024</v>
      </c>
      <c r="E13" s="15" t="inlineStr">
        <is>
          <t>Ferderick Jennifer</t>
        </is>
      </c>
      <c r="F13" s="17" t="n">
        <v>220000</v>
      </c>
      <c r="G13" s="15" t="inlineStr">
        <is>
          <t>(blank)</t>
        </is>
      </c>
      <c r="H13" s="15" t="inlineStr">
        <is>
          <t>Co-ownership investment receipt: fixed-return product, not a sale of land/housing</t>
        </is>
      </c>
      <c r="I13" s="15" t="inlineStr">
        <is>
          <t>BAAY PROJECTS SALES EXPENSES (COMMISSION) RECORDS (1)</t>
        </is>
      </c>
      <c r="J13" s="15" t="inlineStr">
        <is>
          <t>MS TOBI AJAYI</t>
        </is>
      </c>
      <c r="K13" s="15" t="n">
        <v>3</v>
      </c>
      <c r="L13" s="15" t="inlineStr">
        <is>
          <t>15/07/2024</t>
        </is>
      </c>
    </row>
    <row r="14">
      <c r="A14" s="15" t="inlineStr">
        <is>
          <t>EX010</t>
        </is>
      </c>
      <c r="B14" s="16" t="n">
        <v>45490</v>
      </c>
      <c r="C14" s="15" t="inlineStr">
        <is>
          <t>2024-07</t>
        </is>
      </c>
      <c r="D14" s="15" t="n">
        <v>2024</v>
      </c>
      <c r="E14" s="15" t="inlineStr">
        <is>
          <t>Mrs Ogunbowale Oluwaseun Mausi</t>
        </is>
      </c>
      <c r="F14" s="17" t="n">
        <v>1000000</v>
      </c>
      <c r="G14" s="15" t="inlineStr">
        <is>
          <t>Co-ownership</t>
        </is>
      </c>
      <c r="H14" s="15" t="inlineStr">
        <is>
          <t>Co-ownership investment receipt: fixed-return product, not a sale of land/housing</t>
        </is>
      </c>
      <c r="I14" s="15" t="inlineStr">
        <is>
          <t>BAAY PROJECTS FINANCIALS 2024.xlsx</t>
        </is>
      </c>
      <c r="J14" s="15" t="inlineStr">
        <is>
          <t>JULY TURNOVER</t>
        </is>
      </c>
      <c r="K14" s="15" t="n">
        <v>24</v>
      </c>
      <c r="L14" s="15" t="inlineStr">
        <is>
          <t>17/07/2024</t>
        </is>
      </c>
    </row>
    <row r="15">
      <c r="A15" s="15" t="inlineStr">
        <is>
          <t>EX011</t>
        </is>
      </c>
      <c r="B15" s="16" t="n">
        <v>45498</v>
      </c>
      <c r="C15" s="15" t="inlineStr">
        <is>
          <t>2024-07</t>
        </is>
      </c>
      <c r="D15" s="15" t="n">
        <v>2024</v>
      </c>
      <c r="E15" s="15" t="inlineStr">
        <is>
          <t>Mr Taiwo John Adeleye</t>
        </is>
      </c>
      <c r="F15" s="17" t="n">
        <v>1000000</v>
      </c>
      <c r="G15" s="15" t="inlineStr">
        <is>
          <t>Co-ownership</t>
        </is>
      </c>
      <c r="H15" s="15" t="inlineStr">
        <is>
          <t>Co-ownership investment receipt: fixed-return product, not a sale of land/housing</t>
        </is>
      </c>
      <c r="I15" s="15" t="inlineStr">
        <is>
          <t>BAAY PROJECTS FINANCIALS 2024.xlsx</t>
        </is>
      </c>
      <c r="J15" s="15" t="inlineStr">
        <is>
          <t>JULY TURNOVER</t>
        </is>
      </c>
      <c r="K15" s="15" t="n">
        <v>11</v>
      </c>
      <c r="L15" s="15" t="inlineStr">
        <is>
          <t>25/07/2024</t>
        </is>
      </c>
    </row>
    <row r="16">
      <c r="A16" s="15" t="inlineStr">
        <is>
          <t>EX012</t>
        </is>
      </c>
      <c r="B16" s="16" t="n">
        <v>45501</v>
      </c>
      <c r="C16" s="15" t="inlineStr">
        <is>
          <t>2024-07</t>
        </is>
      </c>
      <c r="D16" s="15" t="n">
        <v>2024</v>
      </c>
      <c r="E16" s="15" t="inlineStr">
        <is>
          <t>Mr Adetona Abayomi</t>
        </is>
      </c>
      <c r="F16" s="17" t="n">
        <v>200000</v>
      </c>
      <c r="G16" s="15" t="inlineStr">
        <is>
          <t>Co-ownership</t>
        </is>
      </c>
      <c r="H16" s="15" t="inlineStr">
        <is>
          <t>Co-ownership investment receipt: fixed-return product, not a sale of land/housing</t>
        </is>
      </c>
      <c r="I16" s="15" t="inlineStr">
        <is>
          <t>BAAY PROJECTS FINANCIALS 2024.xlsx</t>
        </is>
      </c>
      <c r="J16" s="15" t="inlineStr">
        <is>
          <t>JULY TURNOVER</t>
        </is>
      </c>
      <c r="K16" s="15" t="n">
        <v>31</v>
      </c>
      <c r="L16" s="15" t="inlineStr">
        <is>
          <t>28/07/2024</t>
        </is>
      </c>
    </row>
    <row r="17">
      <c r="A17" s="15" t="inlineStr">
        <is>
          <t>EX013</t>
        </is>
      </c>
      <c r="B17" s="16" t="n">
        <v>45501</v>
      </c>
      <c r="C17" s="15" t="inlineStr">
        <is>
          <t>2024-07</t>
        </is>
      </c>
      <c r="D17" s="15" t="n">
        <v>2024</v>
      </c>
      <c r="E17" s="15" t="inlineStr">
        <is>
          <t>Mr Adeniran</t>
        </is>
      </c>
      <c r="F17" s="17" t="n">
        <v>3500000</v>
      </c>
      <c r="G17" s="15" t="inlineStr">
        <is>
          <t>Co-ownership</t>
        </is>
      </c>
      <c r="H17" s="15" t="inlineStr">
        <is>
          <t>Co-ownership investment receipt: fixed-return product, not a sale of land/housing</t>
        </is>
      </c>
      <c r="I17" s="15" t="inlineStr">
        <is>
          <t>BAAY PROJECTS FINANCIALS 2024.xlsx</t>
        </is>
      </c>
      <c r="J17" s="15" t="inlineStr">
        <is>
          <t>JULY TURNOVER</t>
        </is>
      </c>
      <c r="K17" s="15" t="n">
        <v>32</v>
      </c>
      <c r="L17" s="15" t="inlineStr">
        <is>
          <t>28/07/2024</t>
        </is>
      </c>
    </row>
    <row r="18">
      <c r="A18" s="15" t="inlineStr">
        <is>
          <t>EX014</t>
        </is>
      </c>
      <c r="B18" s="16" t="n">
        <v>45509</v>
      </c>
      <c r="C18" s="15" t="inlineStr">
        <is>
          <t>2024-08</t>
        </is>
      </c>
      <c r="D18" s="15" t="n">
        <v>2024</v>
      </c>
      <c r="E18" s="15" t="inlineStr">
        <is>
          <t>Mrs Ojelabi Abimbola Adejumoke</t>
        </is>
      </c>
      <c r="F18" s="17" t="n">
        <v>300000</v>
      </c>
      <c r="G18" s="15" t="inlineStr">
        <is>
          <t>Co-ownership</t>
        </is>
      </c>
      <c r="H18" s="15" t="inlineStr">
        <is>
          <t>Co-ownership investment receipt: fixed-return product, not a sale of land/housing</t>
        </is>
      </c>
      <c r="I18" s="15" t="inlineStr">
        <is>
          <t>BAAY PROJECTS FINANCIALS 2024.xlsx</t>
        </is>
      </c>
      <c r="J18" s="15" t="inlineStr">
        <is>
          <t>AUGUST TURNOVER</t>
        </is>
      </c>
      <c r="K18" s="15" t="n">
        <v>12</v>
      </c>
      <c r="L18" s="15" t="inlineStr">
        <is>
          <t>2024-05-08</t>
        </is>
      </c>
    </row>
    <row r="19">
      <c r="A19" s="15" t="inlineStr">
        <is>
          <t>EX015</t>
        </is>
      </c>
      <c r="B19" s="16" t="n">
        <v>45512</v>
      </c>
      <c r="C19" s="15" t="inlineStr">
        <is>
          <t>2024-08</t>
        </is>
      </c>
      <c r="D19" s="15" t="n">
        <v>2024</v>
      </c>
      <c r="E19" s="15" t="inlineStr">
        <is>
          <t>Olatunji Balikis</t>
        </is>
      </c>
      <c r="F19" s="17" t="n">
        <v>500000</v>
      </c>
      <c r="G19" s="15" t="inlineStr">
        <is>
          <t>Co-ownership</t>
        </is>
      </c>
      <c r="H19" s="15" t="inlineStr">
        <is>
          <t>Co-ownership investment receipt: fixed-return product, not a sale of land/housing</t>
        </is>
      </c>
      <c r="I19" s="15" t="inlineStr">
        <is>
          <t>BAAY PROJECTS FINANCIALS 2024.xlsx</t>
        </is>
      </c>
      <c r="J19" s="15" t="inlineStr">
        <is>
          <t>AUGUST TURNOVER</t>
        </is>
      </c>
      <c r="K19" s="15" t="n">
        <v>16</v>
      </c>
      <c r="L19" s="15" t="inlineStr">
        <is>
          <t>2024-08-08</t>
        </is>
      </c>
    </row>
    <row r="20">
      <c r="A20" s="15" t="inlineStr">
        <is>
          <t>EX016</t>
        </is>
      </c>
      <c r="B20" s="16" t="n">
        <v>45519</v>
      </c>
      <c r="C20" s="15" t="inlineStr">
        <is>
          <t>2024-08</t>
        </is>
      </c>
      <c r="D20" s="15" t="n">
        <v>2024</v>
      </c>
      <c r="E20" s="15" t="inlineStr">
        <is>
          <t>Mr Boluwatife Arewa</t>
        </is>
      </c>
      <c r="F20" s="17" t="n">
        <v>500000</v>
      </c>
      <c r="G20" s="15" t="inlineStr">
        <is>
          <t>Service Engagement</t>
        </is>
      </c>
      <c r="H20" s="15" t="inlineStr">
        <is>
          <t>Service/engagement income: not a land, housing or construction sale</t>
        </is>
      </c>
      <c r="I20" s="15" t="inlineStr">
        <is>
          <t>BAAY PROJECTS FINANCIALS 2024.xlsx</t>
        </is>
      </c>
      <c r="J20" s="15" t="inlineStr">
        <is>
          <t>AUGUST TURNOVER</t>
        </is>
      </c>
      <c r="K20" s="15" t="n">
        <v>19</v>
      </c>
      <c r="L20" s="15" t="inlineStr">
        <is>
          <t>15/08/2024</t>
        </is>
      </c>
    </row>
    <row r="21">
      <c r="A21" s="15" t="inlineStr">
        <is>
          <t>EX017</t>
        </is>
      </c>
      <c r="B21" s="16" t="n">
        <v>45541</v>
      </c>
      <c r="C21" s="15" t="inlineStr">
        <is>
          <t>2024-09</t>
        </is>
      </c>
      <c r="D21" s="15" t="n">
        <v>2024</v>
      </c>
      <c r="E21" s="15" t="inlineStr">
        <is>
          <t>Pastor Jude Usifoh</t>
        </is>
      </c>
      <c r="F21" s="17" t="n">
        <v>100000</v>
      </c>
      <c r="G21" s="15" t="inlineStr">
        <is>
          <t>Engagement Service</t>
        </is>
      </c>
      <c r="H21" s="15" t="inlineStr">
        <is>
          <t>Service/engagement income: not a land, housing or construction sale</t>
        </is>
      </c>
      <c r="I21" s="15" t="inlineStr">
        <is>
          <t>BAAY PROJECTS FINANCIALS 2024.xlsx</t>
        </is>
      </c>
      <c r="J21" s="15" t="inlineStr">
        <is>
          <t>SEPTEMBER TURNOVER</t>
        </is>
      </c>
      <c r="K21" s="15" t="n">
        <v>14</v>
      </c>
      <c r="L21" s="15" t="inlineStr">
        <is>
          <t>2024-06-09</t>
        </is>
      </c>
    </row>
    <row r="22">
      <c r="A22" s="15" t="inlineStr">
        <is>
          <t>EX018</t>
        </is>
      </c>
      <c r="B22" s="16" t="n">
        <v>45546</v>
      </c>
      <c r="C22" s="15" t="inlineStr">
        <is>
          <t>2024-09</t>
        </is>
      </c>
      <c r="D22" s="15" t="n">
        <v>2024</v>
      </c>
      <c r="E22" s="15" t="inlineStr">
        <is>
          <t>Mr Adenusi David Olamide</t>
        </is>
      </c>
      <c r="F22" s="17" t="n">
        <v>200000</v>
      </c>
      <c r="G22" s="15" t="inlineStr">
        <is>
          <t>Co-ownership</t>
        </is>
      </c>
      <c r="H22" s="15" t="inlineStr">
        <is>
          <t>Co-ownership investment receipt: fixed-return product, not a sale of land/housing</t>
        </is>
      </c>
      <c r="I22" s="15" t="inlineStr">
        <is>
          <t>BAAY PROJECTS FINANCIALS 2024.xlsx</t>
        </is>
      </c>
      <c r="J22" s="15" t="inlineStr">
        <is>
          <t>SEPTEMBER TURNOVER</t>
        </is>
      </c>
      <c r="K22" s="15" t="n">
        <v>10</v>
      </c>
      <c r="L22" s="15" t="inlineStr">
        <is>
          <t>2024-11-09</t>
        </is>
      </c>
    </row>
    <row r="23">
      <c r="A23" s="15" t="inlineStr">
        <is>
          <t>EX019</t>
        </is>
      </c>
      <c r="B23" s="16" t="n">
        <v>45562</v>
      </c>
      <c r="C23" s="15" t="inlineStr">
        <is>
          <t>2024-09</t>
        </is>
      </c>
      <c r="D23" s="15" t="n">
        <v>2024</v>
      </c>
      <c r="E23" s="15" t="inlineStr">
        <is>
          <t>Scrapays Technologies Ltd</t>
        </is>
      </c>
      <c r="F23" s="17" t="n">
        <v>1450000</v>
      </c>
      <c r="G23" s="15" t="inlineStr">
        <is>
          <t>Engagement Service</t>
        </is>
      </c>
      <c r="H23" s="15" t="inlineStr">
        <is>
          <t>Service/engagement income: not a land, housing or construction sale</t>
        </is>
      </c>
      <c r="I23" s="15" t="inlineStr">
        <is>
          <t>BAAY PROJECTS FINANCIALS 2024.xlsx</t>
        </is>
      </c>
      <c r="J23" s="15" t="inlineStr">
        <is>
          <t>SEPTEMBER TURNOVER</t>
        </is>
      </c>
      <c r="K23" s="15" t="n">
        <v>35</v>
      </c>
      <c r="L23" s="15" t="inlineStr">
        <is>
          <t>27/09/2024</t>
        </is>
      </c>
    </row>
    <row r="24">
      <c r="A24" s="15" t="inlineStr">
        <is>
          <t>EX020</t>
        </is>
      </c>
      <c r="B24" s="16" t="n">
        <v>45565</v>
      </c>
      <c r="C24" s="15" t="inlineStr">
        <is>
          <t>2024-09</t>
        </is>
      </c>
      <c r="D24" s="15" t="n">
        <v>2024</v>
      </c>
      <c r="E24" s="15" t="inlineStr">
        <is>
          <t>Mr Oloro Sunday Irewole</t>
        </is>
      </c>
      <c r="F24" s="17" t="n">
        <v>500000</v>
      </c>
      <c r="G24" s="15" t="inlineStr">
        <is>
          <t>Co-ownership</t>
        </is>
      </c>
      <c r="H24" s="15" t="inlineStr">
        <is>
          <t>Co-ownership investment receipt: fixed-return product, not a sale of land/housing</t>
        </is>
      </c>
      <c r="I24" s="15" t="inlineStr">
        <is>
          <t>BAAY PROJECTS FINANCIALS 2024.xlsx</t>
        </is>
      </c>
      <c r="J24" s="15" t="inlineStr">
        <is>
          <t>SEPTEMBER TURNOVER</t>
        </is>
      </c>
      <c r="K24" s="15" t="n">
        <v>37</v>
      </c>
      <c r="L24" s="15" t="inlineStr">
        <is>
          <t>30/09/2024</t>
        </is>
      </c>
    </row>
    <row r="25">
      <c r="A25" s="15" t="inlineStr">
        <is>
          <t>EX021</t>
        </is>
      </c>
      <c r="B25" s="16" t="n">
        <v>45568</v>
      </c>
      <c r="C25" s="15" t="inlineStr">
        <is>
          <t>2024-10</t>
        </is>
      </c>
      <c r="D25" s="15" t="n">
        <v>2024</v>
      </c>
      <c r="E25" s="15" t="inlineStr">
        <is>
          <t>Mr Agunloye Praise Ayomide</t>
        </is>
      </c>
      <c r="F25" s="17" t="n">
        <v>1000000</v>
      </c>
      <c r="G25" s="15" t="inlineStr">
        <is>
          <t>Co-ownership</t>
        </is>
      </c>
      <c r="H25" s="15" t="inlineStr">
        <is>
          <t>Co-ownership investment receipt: fixed-return product, not a sale of land/housing</t>
        </is>
      </c>
      <c r="I25" s="15" t="inlineStr">
        <is>
          <t>BAAY PROJECTS FINANCIALS 2024.xlsx</t>
        </is>
      </c>
      <c r="J25" s="15" t="inlineStr">
        <is>
          <t>OCTOBER TURNOVER</t>
        </is>
      </c>
      <c r="K25" s="15" t="n">
        <v>8</v>
      </c>
      <c r="L25" s="15" t="inlineStr">
        <is>
          <t>2024-03-10</t>
        </is>
      </c>
    </row>
    <row r="26">
      <c r="A26" s="15" t="inlineStr">
        <is>
          <t>EX022</t>
        </is>
      </c>
      <c r="B26" s="16" t="n">
        <v>45583</v>
      </c>
      <c r="C26" s="15" t="inlineStr">
        <is>
          <t>2024-10</t>
        </is>
      </c>
      <c r="D26" s="15" t="n">
        <v>2024</v>
      </c>
      <c r="E26" s="15" t="inlineStr">
        <is>
          <t>Scrapays Technologies</t>
        </is>
      </c>
      <c r="F26" s="17" t="n">
        <v>600000</v>
      </c>
      <c r="G26" s="15" t="inlineStr">
        <is>
          <t>Survey</t>
        </is>
      </c>
      <c r="H26" s="15" t="inlineStr">
        <is>
          <t>Service/engagement income: not a land, housing or construction sale</t>
        </is>
      </c>
      <c r="I26" s="15" t="inlineStr">
        <is>
          <t>BAAY PROJECTS FINANCIALS 2024.xlsx</t>
        </is>
      </c>
      <c r="J26" s="15" t="inlineStr">
        <is>
          <t>OCTOBER TURNOVER</t>
        </is>
      </c>
      <c r="K26" s="15" t="n">
        <v>18</v>
      </c>
      <c r="L26" s="15" t="inlineStr">
        <is>
          <t>18/10/2024</t>
        </is>
      </c>
    </row>
    <row r="27">
      <c r="A27" s="15" t="inlineStr">
        <is>
          <t>EX023</t>
        </is>
      </c>
      <c r="B27" s="16" t="n">
        <v>45590</v>
      </c>
      <c r="C27" s="15" t="inlineStr">
        <is>
          <t>2024-10</t>
        </is>
      </c>
      <c r="D27" s="15" t="n">
        <v>2024</v>
      </c>
      <c r="E27" s="15" t="inlineStr">
        <is>
          <t>Miss Keshinro Phebe Oluwatunmise</t>
        </is>
      </c>
      <c r="F27" s="17" t="n">
        <v>1000000</v>
      </c>
      <c r="G27" s="15" t="inlineStr">
        <is>
          <t>Co-ownership</t>
        </is>
      </c>
      <c r="H27" s="15" t="inlineStr">
        <is>
          <t>Co-ownership investment receipt: fixed-return product, not a sale of land/housing</t>
        </is>
      </c>
      <c r="I27" s="15" t="inlineStr">
        <is>
          <t>BAAY PROJECTS FINANCIALS 2024.xlsx</t>
        </is>
      </c>
      <c r="J27" s="15" t="inlineStr">
        <is>
          <t>OCTOBER TURNOVER</t>
        </is>
      </c>
      <c r="K27" s="15" t="n">
        <v>16</v>
      </c>
      <c r="L27" s="15" t="inlineStr">
        <is>
          <t>25/10/2024</t>
        </is>
      </c>
    </row>
    <row r="28">
      <c r="A28" s="15" t="inlineStr">
        <is>
          <t>EX024</t>
        </is>
      </c>
      <c r="B28" s="16" t="n">
        <v>45591</v>
      </c>
      <c r="C28" s="15" t="inlineStr">
        <is>
          <t>2024-10</t>
        </is>
      </c>
      <c r="D28" s="15" t="n">
        <v>2024</v>
      </c>
      <c r="E28" s="15" t="inlineStr">
        <is>
          <t>Miss Keshinro Phebe Oluwatunmise</t>
        </is>
      </c>
      <c r="F28" s="17" t="n">
        <v>1000000</v>
      </c>
      <c r="G28" s="15" t="inlineStr">
        <is>
          <t>Co-ownership</t>
        </is>
      </c>
      <c r="H28" s="15" t="inlineStr">
        <is>
          <t>Co-ownership investment receipt: fixed-return product, not a sale of land/housing</t>
        </is>
      </c>
      <c r="I28" s="15" t="inlineStr">
        <is>
          <t>BAAY PROJECTS FINANCIALS 2024.xlsx</t>
        </is>
      </c>
      <c r="J28" s="15" t="inlineStr">
        <is>
          <t>OCTOBER TURNOVER</t>
        </is>
      </c>
      <c r="K28" s="15" t="n">
        <v>19</v>
      </c>
      <c r="L28" s="15" t="inlineStr">
        <is>
          <t>26/10/2024</t>
        </is>
      </c>
    </row>
    <row r="29">
      <c r="A29" s="15" t="inlineStr">
        <is>
          <t>EX025</t>
        </is>
      </c>
      <c r="B29" s="16" t="n">
        <v>45596</v>
      </c>
      <c r="C29" s="15" t="inlineStr">
        <is>
          <t>2024-10</t>
        </is>
      </c>
      <c r="D29" s="15" t="n">
        <v>2024</v>
      </c>
      <c r="E29" s="15" t="inlineStr">
        <is>
          <t>Mr Seun</t>
        </is>
      </c>
      <c r="F29" s="17" t="n">
        <v>5000000</v>
      </c>
      <c r="G29" s="15" t="inlineStr">
        <is>
          <t>Co-ownership</t>
        </is>
      </c>
      <c r="H29" s="15" t="inlineStr">
        <is>
          <t>Co-ownership investment receipt: fixed-return product, not a sale of land/housing</t>
        </is>
      </c>
      <c r="I29" s="15" t="inlineStr">
        <is>
          <t>BAAY PROJECTS FINANCIALS 2024.xlsx</t>
        </is>
      </c>
      <c r="J29" s="15" t="inlineStr">
        <is>
          <t>OCTOBER TURNOVER</t>
        </is>
      </c>
      <c r="K29" s="15" t="n">
        <v>31</v>
      </c>
      <c r="L29" s="15" t="inlineStr">
        <is>
          <t>31/10/2024</t>
        </is>
      </c>
    </row>
    <row r="30">
      <c r="A30" s="15" t="inlineStr">
        <is>
          <t>EX026</t>
        </is>
      </c>
      <c r="B30" s="16" t="n">
        <v>45597</v>
      </c>
      <c r="C30" s="15" t="inlineStr">
        <is>
          <t>2024-11</t>
        </is>
      </c>
      <c r="D30" s="15" t="n">
        <v>2024</v>
      </c>
      <c r="E30" s="15" t="inlineStr">
        <is>
          <t>Mr Shobola Michael Olakunle</t>
        </is>
      </c>
      <c r="F30" s="17" t="n">
        <v>1000000</v>
      </c>
      <c r="G30" s="15" t="inlineStr">
        <is>
          <t>Co-ownership</t>
        </is>
      </c>
      <c r="H30" s="15" t="inlineStr">
        <is>
          <t>Co-ownership investment receipt: fixed-return product, not a sale of land/housing</t>
        </is>
      </c>
      <c r="I30" s="15" t="inlineStr">
        <is>
          <t>BAAY PROJECTS FINANCIALS 2024.xlsx</t>
        </is>
      </c>
      <c r="J30" s="15" t="inlineStr">
        <is>
          <t>NOVEMBER TURNOVER</t>
        </is>
      </c>
      <c r="K30" s="15" t="n">
        <v>7</v>
      </c>
      <c r="L30" s="15" t="inlineStr">
        <is>
          <t>2024-01-11</t>
        </is>
      </c>
    </row>
    <row r="31">
      <c r="A31" s="15" t="inlineStr">
        <is>
          <t>EX027</t>
        </is>
      </c>
      <c r="B31" s="16" t="n">
        <v>45597</v>
      </c>
      <c r="C31" s="15" t="inlineStr">
        <is>
          <t>2024-11</t>
        </is>
      </c>
      <c r="D31" s="15" t="n">
        <v>2024</v>
      </c>
      <c r="E31" s="15" t="inlineStr">
        <is>
          <t>Miss Dada Grace Oluwaseun</t>
        </is>
      </c>
      <c r="F31" s="17" t="n">
        <v>1000000</v>
      </c>
      <c r="G31" s="15" t="inlineStr">
        <is>
          <t>Co-ownership</t>
        </is>
      </c>
      <c r="H31" s="15" t="inlineStr">
        <is>
          <t>Co-ownership investment receipt: fixed-return product, not a sale of land/housing</t>
        </is>
      </c>
      <c r="I31" s="15" t="inlineStr">
        <is>
          <t>BAAY PROJECTS FINANCIALS 2024.xlsx</t>
        </is>
      </c>
      <c r="J31" s="15" t="inlineStr">
        <is>
          <t>NOVEMBER TURNOVER</t>
        </is>
      </c>
      <c r="K31" s="15" t="n">
        <v>7</v>
      </c>
      <c r="L31" s="15" t="inlineStr">
        <is>
          <t>2024-01-11</t>
        </is>
      </c>
    </row>
    <row r="32">
      <c r="A32" s="15" t="inlineStr">
        <is>
          <t>EX028</t>
        </is>
      </c>
      <c r="B32" s="16" t="n">
        <v>45628</v>
      </c>
      <c r="C32" s="15" t="inlineStr">
        <is>
          <t>2024-12</t>
        </is>
      </c>
      <c r="D32" s="15" t="n">
        <v>2024</v>
      </c>
      <c r="E32" s="15" t="inlineStr">
        <is>
          <t>Miss Oji Blessing Mary</t>
        </is>
      </c>
      <c r="F32" s="17" t="n">
        <v>153250</v>
      </c>
      <c r="G32" s="15" t="inlineStr">
        <is>
          <t>Credit Memo (Omu-Epe)</t>
        </is>
      </c>
      <c r="H32" s="15" t="inlineStr">
        <is>
          <t>Credit memo: non-cash transfer of an earlier payment between products; not a new receipt</t>
        </is>
      </c>
      <c r="I32" s="15" t="inlineStr">
        <is>
          <t>BAAY PROJECTS FINANCIALS 2024.xlsx</t>
        </is>
      </c>
      <c r="J32" s="15" t="inlineStr">
        <is>
          <t>DECEMBER TURNOVER</t>
        </is>
      </c>
      <c r="K32" s="15" t="n">
        <v>8</v>
      </c>
      <c r="L32" s="15" t="inlineStr">
        <is>
          <t>2024-02-12</t>
        </is>
      </c>
    </row>
    <row r="33">
      <c r="A33" s="15" t="inlineStr">
        <is>
          <t>EX029</t>
        </is>
      </c>
      <c r="B33" s="16" t="n">
        <v>45657</v>
      </c>
      <c r="C33" s="15" t="inlineStr">
        <is>
          <t>2024-12</t>
        </is>
      </c>
      <c r="D33" s="15" t="n">
        <v>2024</v>
      </c>
      <c r="E33" s="15" t="inlineStr">
        <is>
          <t>Miss Uthman Alimot Modupe</t>
        </is>
      </c>
      <c r="F33" s="17" t="n">
        <v>200000</v>
      </c>
      <c r="G33" s="15" t="inlineStr">
        <is>
          <t>Credit Memo (Omu-Epe)</t>
        </is>
      </c>
      <c r="H33" s="15" t="inlineStr">
        <is>
          <t>Credit memo: non-cash transfer of an earlier payment between products; not a new receipt</t>
        </is>
      </c>
      <c r="I33" s="15" t="inlineStr">
        <is>
          <t>BAAY PROJECTS FINANCIALS 2024.xlsx</t>
        </is>
      </c>
      <c r="J33" s="15" t="inlineStr">
        <is>
          <t>DECEMBER TURNOVER</t>
        </is>
      </c>
      <c r="K33" s="15" t="n">
        <v>30</v>
      </c>
      <c r="L33" s="15" t="inlineStr">
        <is>
          <t>31/12/2024</t>
        </is>
      </c>
    </row>
    <row r="34">
      <c r="A34" s="15" t="inlineStr">
        <is>
          <t>EX030</t>
        </is>
      </c>
      <c r="B34" s="16" t="n">
        <v>45658</v>
      </c>
      <c r="C34" s="15" t="inlineStr">
        <is>
          <t>2025-01</t>
        </is>
      </c>
      <c r="D34" s="15" t="n">
        <v>2025</v>
      </c>
      <c r="E34" s="15" t="inlineStr">
        <is>
          <t>Okonji Tobechukwu Favour</t>
        </is>
      </c>
      <c r="F34" s="17" t="n">
        <v>200000</v>
      </c>
      <c r="G34" s="15" t="inlineStr">
        <is>
          <t>CO-OWNNERSHIP</t>
        </is>
      </c>
      <c r="H34" s="15" t="inlineStr">
        <is>
          <t>Co-ownership investment receipt: fixed-return product, not a sale of land/housing</t>
        </is>
      </c>
      <c r="I34" s="15" t="inlineStr">
        <is>
          <t>BAAY PROJECTS SALES EXPENSES (COMMISSION) RECORDS (1)</t>
        </is>
      </c>
      <c r="J34" s="15" t="inlineStr">
        <is>
          <t>MS FAITH</t>
        </is>
      </c>
      <c r="K34" s="15" t="n">
        <v>2</v>
      </c>
      <c r="L34" s="15" t="inlineStr">
        <is>
          <t>2025-01-01</t>
        </is>
      </c>
    </row>
    <row r="35">
      <c r="A35" s="15" t="inlineStr">
        <is>
          <t>EX031</t>
        </is>
      </c>
      <c r="B35" s="16" t="n">
        <v>45662</v>
      </c>
      <c r="C35" s="15" t="inlineStr">
        <is>
          <t>2025-01</t>
        </is>
      </c>
      <c r="D35" s="15" t="n">
        <v>2025</v>
      </c>
      <c r="E35" s="15" t="inlineStr">
        <is>
          <t>Miss Dada Gift Moyosoreoluwa</t>
        </is>
      </c>
      <c r="F35" s="17" t="n">
        <v>500000</v>
      </c>
      <c r="G35" s="15" t="inlineStr">
        <is>
          <t>CO-OWNERSHIP</t>
        </is>
      </c>
      <c r="H35" s="15" t="inlineStr">
        <is>
          <t>Co-ownership investment receipt: fixed-return product, not a sale of land/housing</t>
        </is>
      </c>
      <c r="I35" s="15" t="inlineStr">
        <is>
          <t>BAAY PROJECTS SALES EXPENSES (COMMISSION) RECORDS (1)</t>
        </is>
      </c>
      <c r="J35" s="15" t="inlineStr">
        <is>
          <t>MS OPEYEMI ADEGOKE</t>
        </is>
      </c>
      <c r="K35" s="15" t="n">
        <v>18</v>
      </c>
      <c r="L35" s="15" t="inlineStr">
        <is>
          <t>2025-05-01</t>
        </is>
      </c>
    </row>
    <row r="36">
      <c r="A36" s="15" t="inlineStr">
        <is>
          <t>EX032</t>
        </is>
      </c>
      <c r="B36" s="16" t="n">
        <v>45673</v>
      </c>
      <c r="C36" s="15" t="inlineStr">
        <is>
          <t>2025-01</t>
        </is>
      </c>
      <c r="D36" s="15" t="n">
        <v>2025</v>
      </c>
      <c r="E36" s="15" t="inlineStr">
        <is>
          <t>Mr Adeniran Ibrahim Ademola</t>
        </is>
      </c>
      <c r="F36" s="17" t="n">
        <v>4000000</v>
      </c>
      <c r="G36" s="15" t="inlineStr">
        <is>
          <t>CO-OWNERSHIP</t>
        </is>
      </c>
      <c r="H36" s="15" t="inlineStr">
        <is>
          <t>Co-ownership investment receipt: fixed-return product, not a sale of land/housing</t>
        </is>
      </c>
      <c r="I36" s="15" t="inlineStr">
        <is>
          <t>BAAY PROJECTS SALES EXPENSES (COMMISSION) RECORDS (1)</t>
        </is>
      </c>
      <c r="J36" s="15" t="inlineStr">
        <is>
          <t>MD</t>
        </is>
      </c>
      <c r="K36" s="15" t="n">
        <v>105</v>
      </c>
      <c r="L36" s="15" t="inlineStr">
        <is>
          <t>16/01/2025</t>
        </is>
      </c>
    </row>
    <row r="37">
      <c r="A37" s="15" t="inlineStr">
        <is>
          <t>EX033</t>
        </is>
      </c>
      <c r="B37" s="16" t="n">
        <v>45681</v>
      </c>
      <c r="C37" s="15" t="inlineStr">
        <is>
          <t>2025-01</t>
        </is>
      </c>
      <c r="D37" s="15" t="n">
        <v>2025</v>
      </c>
      <c r="E37" s="15" t="inlineStr">
        <is>
          <t>Mr Shobola Michael Olakunle</t>
        </is>
      </c>
      <c r="F37" s="17" t="n">
        <v>1000000</v>
      </c>
      <c r="G37" s="15" t="inlineStr">
        <is>
          <t>CO-OWNERSHIP</t>
        </is>
      </c>
      <c r="H37" s="15" t="inlineStr">
        <is>
          <t>Co-ownership investment receipt: fixed-return product, not a sale of land/housing</t>
        </is>
      </c>
      <c r="I37" s="15" t="inlineStr">
        <is>
          <t>BAAY PROJECTS SALES EXPENSES (COMMISSION) RECORDS (1)</t>
        </is>
      </c>
      <c r="J37" s="15" t="inlineStr">
        <is>
          <t>MD</t>
        </is>
      </c>
      <c r="K37" s="15" t="n">
        <v>110</v>
      </c>
      <c r="L37" s="15" t="inlineStr">
        <is>
          <t>24/01/2025</t>
        </is>
      </c>
    </row>
    <row r="38">
      <c r="A38" s="15" t="inlineStr">
        <is>
          <t>EX034</t>
        </is>
      </c>
      <c r="B38" s="16" t="n">
        <v>45684</v>
      </c>
      <c r="C38" s="15" t="inlineStr">
        <is>
          <t>2025-01</t>
        </is>
      </c>
      <c r="D38" s="15" t="n">
        <v>2025</v>
      </c>
      <c r="E38" s="15" t="inlineStr">
        <is>
          <t>Mr Owolabi Taiwo Goodness</t>
        </is>
      </c>
      <c r="F38" s="17" t="n">
        <v>550000</v>
      </c>
      <c r="G38" s="15" t="inlineStr">
        <is>
          <t>Co-ownership</t>
        </is>
      </c>
      <c r="H38" s="15" t="inlineStr">
        <is>
          <t>Co-ownership investment receipt: fixed-return product, not a sale of land/housing</t>
        </is>
      </c>
      <c r="I38" s="15" t="inlineStr">
        <is>
          <t>BAAY PROJECTS SALES EXPENSES (COMMISSION) RECORDS (1)</t>
        </is>
      </c>
      <c r="J38" s="15" t="inlineStr">
        <is>
          <t>MR CHARLES</t>
        </is>
      </c>
      <c r="K38" s="15" t="n">
        <v>139</v>
      </c>
      <c r="L38" s="15" t="inlineStr">
        <is>
          <t>27/01/2025</t>
        </is>
      </c>
    </row>
    <row r="39">
      <c r="A39" s="15" t="inlineStr">
        <is>
          <t>EX035</t>
        </is>
      </c>
      <c r="B39" s="16" t="n">
        <v>45702</v>
      </c>
      <c r="C39" s="15" t="inlineStr">
        <is>
          <t>2025-02</t>
        </is>
      </c>
      <c r="D39" s="15" t="n">
        <v>2025</v>
      </c>
      <c r="E39" s="15" t="inlineStr">
        <is>
          <t>Mr Adeyera Augustine Adegoke</t>
        </is>
      </c>
      <c r="F39" s="17" t="n">
        <v>1000000</v>
      </c>
      <c r="G39" s="15" t="inlineStr">
        <is>
          <t>CO-OWNERSHIP</t>
        </is>
      </c>
      <c r="H39" s="15" t="inlineStr">
        <is>
          <t>Co-ownership investment receipt: fixed-return product, not a sale of land/housing</t>
        </is>
      </c>
      <c r="I39" s="15" t="inlineStr">
        <is>
          <t>BAAY PROJECTS SALES EXPENSES (COMMISSION) RECORDS (1)</t>
        </is>
      </c>
      <c r="J39" s="15" t="inlineStr">
        <is>
          <t>MS CELINA</t>
        </is>
      </c>
      <c r="K39" s="15" t="n">
        <v>30</v>
      </c>
      <c r="L39" s="15" t="inlineStr">
        <is>
          <t>14/02/2025</t>
        </is>
      </c>
    </row>
    <row r="40">
      <c r="A40" s="15" t="inlineStr">
        <is>
          <t>EX036</t>
        </is>
      </c>
      <c r="B40" s="16" t="n">
        <v>45705</v>
      </c>
      <c r="C40" s="15" t="inlineStr">
        <is>
          <t>2025-02</t>
        </is>
      </c>
      <c r="D40" s="15" t="n">
        <v>2025</v>
      </c>
      <c r="E40" s="15" t="inlineStr">
        <is>
          <t>Mr Mmezi Benjamin</t>
        </is>
      </c>
      <c r="F40" s="17" t="n">
        <v>400000</v>
      </c>
      <c r="G40" s="15" t="inlineStr">
        <is>
          <t>CO-OWNERSHIP</t>
        </is>
      </c>
      <c r="H40" s="15" t="inlineStr">
        <is>
          <t>Co-ownership investment receipt: fixed-return product, not a sale of land/housing</t>
        </is>
      </c>
      <c r="I40" s="15" t="inlineStr">
        <is>
          <t>BAAY PROJECTS SALES EXPENSES (COMMISSION) RECORDS (1)</t>
        </is>
      </c>
      <c r="J40" s="15" t="inlineStr">
        <is>
          <t>MS ROSEMARY</t>
        </is>
      </c>
      <c r="K40" s="15" t="n">
        <v>3</v>
      </c>
      <c r="L40" s="15" t="inlineStr">
        <is>
          <t>17/02/2025</t>
        </is>
      </c>
    </row>
    <row r="41">
      <c r="A41" s="15" t="inlineStr">
        <is>
          <t>EX037</t>
        </is>
      </c>
      <c r="B41" s="16" t="n">
        <v>45721</v>
      </c>
      <c r="C41" s="15" t="inlineStr">
        <is>
          <t>2025-03</t>
        </is>
      </c>
      <c r="D41" s="15" t="n">
        <v>2025</v>
      </c>
      <c r="E41" s="15" t="inlineStr">
        <is>
          <t>Mr Olawepo Toheeb Olamilekan</t>
        </is>
      </c>
      <c r="F41" s="17" t="n">
        <v>500000</v>
      </c>
      <c r="G41" s="15" t="inlineStr">
        <is>
          <t>CO-OWNERSHIP</t>
        </is>
      </c>
      <c r="H41" s="15" t="inlineStr">
        <is>
          <t>Co-ownership investment receipt: fixed-return product, not a sale of land/housing</t>
        </is>
      </c>
      <c r="I41" s="15" t="inlineStr">
        <is>
          <t>BAAY PROJECTS SALES EXPENSES (COMMISSION) RECORDS (1)</t>
        </is>
      </c>
      <c r="J41" s="15" t="inlineStr">
        <is>
          <t>MR AFUN SOGO</t>
        </is>
      </c>
      <c r="K41" s="15" t="n">
        <v>2</v>
      </c>
      <c r="L41" s="15" t="inlineStr">
        <is>
          <t>2025-05-03</t>
        </is>
      </c>
    </row>
    <row r="42">
      <c r="A42" s="15" t="inlineStr">
        <is>
          <t>EX038</t>
        </is>
      </c>
      <c r="B42" s="16" t="n">
        <v>45725</v>
      </c>
      <c r="C42" s="15" t="inlineStr">
        <is>
          <t>2025-03</t>
        </is>
      </c>
      <c r="D42" s="15" t="n">
        <v>2025</v>
      </c>
      <c r="E42" s="15" t="inlineStr">
        <is>
          <t>Mr Adekunle Temitope Ajayi</t>
        </is>
      </c>
      <c r="F42" s="17" t="n">
        <v>3000000</v>
      </c>
      <c r="G42" s="15" t="inlineStr">
        <is>
          <t>CO-OWNEERSHIP</t>
        </is>
      </c>
      <c r="H42" s="15" t="inlineStr">
        <is>
          <t>Co-ownership investment receipt: fixed-return product, not a sale of land/housing</t>
        </is>
      </c>
      <c r="I42" s="15" t="inlineStr">
        <is>
          <t>BAAY PROJECTS SALES EXPENSES (COMMISSION) RECORDS (1)</t>
        </is>
      </c>
      <c r="J42" s="15" t="inlineStr">
        <is>
          <t>MD</t>
        </is>
      </c>
      <c r="K42" s="15" t="n">
        <v>150</v>
      </c>
      <c r="L42" s="15" t="inlineStr">
        <is>
          <t>2025-09-03</t>
        </is>
      </c>
    </row>
    <row r="43">
      <c r="A43" s="15" t="inlineStr">
        <is>
          <t>EX039</t>
        </is>
      </c>
      <c r="B43" s="16" t="n">
        <v>45727</v>
      </c>
      <c r="C43" s="15" t="inlineStr">
        <is>
          <t>2025-03</t>
        </is>
      </c>
      <c r="D43" s="15" t="n">
        <v>2025</v>
      </c>
      <c r="E43" s="15" t="inlineStr">
        <is>
          <t>Miss Olotu Tabitha Olamide</t>
        </is>
      </c>
      <c r="F43" s="17" t="n">
        <v>500000</v>
      </c>
      <c r="G43" s="15" t="inlineStr">
        <is>
          <t>CO-OWNERSHIP</t>
        </is>
      </c>
      <c r="H43" s="15" t="inlineStr">
        <is>
          <t>Co-ownership investment receipt: fixed-return product, not a sale of land/housing</t>
        </is>
      </c>
      <c r="I43" s="15" t="inlineStr">
        <is>
          <t>BAAY PROJECTS SALES EXPENSES (COMMISSION) RECORDS (1)</t>
        </is>
      </c>
      <c r="J43" s="15" t="inlineStr">
        <is>
          <t>MS OKIKIOLA</t>
        </is>
      </c>
      <c r="K43" s="15" t="n">
        <v>2</v>
      </c>
      <c r="L43" s="15" t="inlineStr">
        <is>
          <t>2025-11-03</t>
        </is>
      </c>
    </row>
    <row r="44">
      <c r="A44" s="15" t="inlineStr">
        <is>
          <t>EX040</t>
        </is>
      </c>
      <c r="B44" s="16" t="n">
        <v>45728</v>
      </c>
      <c r="C44" s="15" t="inlineStr">
        <is>
          <t>2025-03</t>
        </is>
      </c>
      <c r="D44" s="15" t="n">
        <v>2025</v>
      </c>
      <c r="E44" s="15" t="inlineStr">
        <is>
          <t>Mr Adenusi David Olamide</t>
        </is>
      </c>
      <c r="F44" s="17" t="n">
        <v>274000</v>
      </c>
      <c r="G44" s="15" t="inlineStr">
        <is>
          <t>CO-OWNERSHIP</t>
        </is>
      </c>
      <c r="H44" s="15" t="inlineStr">
        <is>
          <t>Co-ownership investment receipt: fixed-return product, not a sale of land/housing</t>
        </is>
      </c>
      <c r="I44" s="15" t="inlineStr">
        <is>
          <t>BAAY PROJECTS SALES EXPENSES (COMMISSION) RECORDS (1)</t>
        </is>
      </c>
      <c r="J44" s="15" t="inlineStr">
        <is>
          <t>MS TAIWO</t>
        </is>
      </c>
      <c r="K44" s="15" t="n">
        <v>92</v>
      </c>
      <c r="L44" s="15" t="inlineStr">
        <is>
          <t>2025-12-03</t>
        </is>
      </c>
    </row>
    <row r="45">
      <c r="A45" s="15" t="inlineStr">
        <is>
          <t>EX041</t>
        </is>
      </c>
      <c r="B45" s="16" t="n">
        <v>45734</v>
      </c>
      <c r="C45" s="15" t="inlineStr">
        <is>
          <t>2025-03</t>
        </is>
      </c>
      <c r="D45" s="15" t="n">
        <v>2025</v>
      </c>
      <c r="E45" s="15" t="inlineStr">
        <is>
          <t>Mr Oniyide Olaoluwa</t>
        </is>
      </c>
      <c r="F45" s="17" t="n">
        <v>6006000</v>
      </c>
      <c r="G45" s="15" t="inlineStr">
        <is>
          <t>CO-OWNEERSHIP</t>
        </is>
      </c>
      <c r="H45" s="15" t="inlineStr">
        <is>
          <t>Co-ownership investment receipt: fixed-return product, not a sale of land/housing</t>
        </is>
      </c>
      <c r="I45" s="15" t="inlineStr">
        <is>
          <t>BAAY PROJECTS SALES EXPENSES (COMMISSION) RECORDS (1)</t>
        </is>
      </c>
      <c r="J45" s="15" t="inlineStr">
        <is>
          <t>MD</t>
        </is>
      </c>
      <c r="K45" s="15" t="n">
        <v>148</v>
      </c>
      <c r="L45" s="15" t="inlineStr">
        <is>
          <t>18/03/2025</t>
        </is>
      </c>
    </row>
    <row r="46">
      <c r="A46" s="15" t="inlineStr">
        <is>
          <t>EX042</t>
        </is>
      </c>
      <c r="B46" s="16" t="n">
        <v>45736</v>
      </c>
      <c r="C46" s="15" t="inlineStr">
        <is>
          <t>2025-03</t>
        </is>
      </c>
      <c r="D46" s="15" t="n">
        <v>2025</v>
      </c>
      <c r="E46" s="15" t="inlineStr">
        <is>
          <t>Mr Oniyide Olaoluwa</t>
        </is>
      </c>
      <c r="F46" s="17" t="n">
        <v>4004000</v>
      </c>
      <c r="G46" s="15" t="inlineStr">
        <is>
          <t>CO-OWNEERSHIP</t>
        </is>
      </c>
      <c r="H46" s="15" t="inlineStr">
        <is>
          <t>Co-ownership investment receipt: fixed-return product, not a sale of land/housing</t>
        </is>
      </c>
      <c r="I46" s="15" t="inlineStr">
        <is>
          <t>BAAY PROJECTS SALES EXPENSES (COMMISSION) RECORDS (1)</t>
        </is>
      </c>
      <c r="J46" s="15" t="inlineStr">
        <is>
          <t>MD</t>
        </is>
      </c>
      <c r="K46" s="15" t="n">
        <v>149</v>
      </c>
      <c r="L46" s="15" t="inlineStr">
        <is>
          <t>20/03/2025</t>
        </is>
      </c>
    </row>
    <row r="47">
      <c r="A47" s="15" t="inlineStr">
        <is>
          <t>EX043</t>
        </is>
      </c>
      <c r="B47" s="16" t="n">
        <v>45740</v>
      </c>
      <c r="C47" s="15" t="inlineStr">
        <is>
          <t>2025-03</t>
        </is>
      </c>
      <c r="D47" s="15" t="n">
        <v>2025</v>
      </c>
      <c r="E47" s="15" t="inlineStr">
        <is>
          <t>Miss Obilor Uchechukwu Samuella</t>
        </is>
      </c>
      <c r="F47" s="17" t="n">
        <v>1000000</v>
      </c>
      <c r="G47" s="15" t="inlineStr">
        <is>
          <t>CO-OWNERSHIP</t>
        </is>
      </c>
      <c r="H47" s="15" t="inlineStr">
        <is>
          <t>Co-ownership investment receipt: fixed-return product, not a sale of land/housing</t>
        </is>
      </c>
      <c r="I47" s="15" t="inlineStr">
        <is>
          <t>BAAY PROJECTS SALES EXPENSES (COMMISSION) RECORDS (1)</t>
        </is>
      </c>
      <c r="J47" s="15" t="inlineStr">
        <is>
          <t>MS SAMUELLA</t>
        </is>
      </c>
      <c r="K47" s="15" t="n">
        <v>25</v>
      </c>
      <c r="L47" s="15" t="inlineStr">
        <is>
          <t>24/03/2025</t>
        </is>
      </c>
    </row>
    <row r="48">
      <c r="A48" s="15" t="inlineStr">
        <is>
          <t>EX044</t>
        </is>
      </c>
      <c r="B48" s="16" t="n">
        <v>45741</v>
      </c>
      <c r="C48" s="15" t="inlineStr">
        <is>
          <t>2025-03</t>
        </is>
      </c>
      <c r="D48" s="15" t="n">
        <v>2025</v>
      </c>
      <c r="E48" s="15" t="inlineStr">
        <is>
          <t>Mrs Adenekan Opeyemi Kafayat</t>
        </is>
      </c>
      <c r="F48" s="17" t="n">
        <v>500000</v>
      </c>
      <c r="G48" s="15" t="inlineStr">
        <is>
          <t>CO-OWNERSHIP</t>
        </is>
      </c>
      <c r="H48" s="15" t="inlineStr">
        <is>
          <t>Co-ownership investment receipt: fixed-return product, not a sale of land/housing</t>
        </is>
      </c>
      <c r="I48" s="15" t="inlineStr">
        <is>
          <t>BAAY PROJECTS SALES EXPENSES (COMMISSION) RECORDS (1)</t>
        </is>
      </c>
      <c r="J48" s="15" t="inlineStr">
        <is>
          <t>MS OKIKIOLA</t>
        </is>
      </c>
      <c r="K48" s="15" t="n">
        <v>4</v>
      </c>
      <c r="L48" s="15" t="inlineStr">
        <is>
          <t>25/03/2025</t>
        </is>
      </c>
    </row>
    <row r="49">
      <c r="A49" s="15" t="inlineStr">
        <is>
          <t>EX045</t>
        </is>
      </c>
      <c r="B49" s="16" t="n">
        <v>45742</v>
      </c>
      <c r="C49" s="15" t="inlineStr">
        <is>
          <t>2025-03</t>
        </is>
      </c>
      <c r="D49" s="15" t="n">
        <v>2025</v>
      </c>
      <c r="E49" s="15" t="inlineStr">
        <is>
          <t>Mr Ajibola Oluwatobi Adedamola</t>
        </is>
      </c>
      <c r="F49" s="17" t="n">
        <v>18018000</v>
      </c>
      <c r="G49" s="15" t="inlineStr">
        <is>
          <t>CO-OWNEERSHIP</t>
        </is>
      </c>
      <c r="H49" s="15" t="inlineStr">
        <is>
          <t>Co-ownership investment receipt: fixed-return product, not a sale of land/housing</t>
        </is>
      </c>
      <c r="I49" s="15" t="inlineStr">
        <is>
          <t>BAAY PROJECTS SALES EXPENSES (COMMISSION) RECORDS (1)</t>
        </is>
      </c>
      <c r="J49" s="15" t="inlineStr">
        <is>
          <t>MD</t>
        </is>
      </c>
      <c r="K49" s="15" t="n">
        <v>153</v>
      </c>
      <c r="L49" s="15" t="inlineStr">
        <is>
          <t>26/03/2025</t>
        </is>
      </c>
    </row>
    <row r="50">
      <c r="A50" s="15" t="inlineStr">
        <is>
          <t>EX046</t>
        </is>
      </c>
      <c r="B50" s="16" t="n">
        <v>45755</v>
      </c>
      <c r="C50" s="15" t="inlineStr">
        <is>
          <t>2025-04</t>
        </is>
      </c>
      <c r="D50" s="15" t="n">
        <v>2025</v>
      </c>
      <c r="E50" s="15" t="inlineStr">
        <is>
          <t>Mrs Ajibola Abosede F.</t>
        </is>
      </c>
      <c r="F50" s="17" t="n">
        <v>700000</v>
      </c>
      <c r="G50" s="15" t="inlineStr">
        <is>
          <t>CO-OWNERSHIP</t>
        </is>
      </c>
      <c r="H50" s="15" t="inlineStr">
        <is>
          <t>Co-ownership investment receipt: fixed-return product, not a sale of land/housing</t>
        </is>
      </c>
      <c r="I50" s="15" t="inlineStr">
        <is>
          <t>BAAY PROJECTS SALES EXPENSES (COMMISSION) RECORDS (1)</t>
        </is>
      </c>
      <c r="J50" s="15" t="inlineStr">
        <is>
          <t>MS ADENIKE</t>
        </is>
      </c>
      <c r="K50" s="15" t="n">
        <v>52</v>
      </c>
      <c r="L50" s="15" t="inlineStr">
        <is>
          <t>2025-08-04</t>
        </is>
      </c>
    </row>
    <row r="51">
      <c r="A51" s="15" t="inlineStr">
        <is>
          <t>EX047</t>
        </is>
      </c>
      <c r="B51" s="16" t="n">
        <v>45758</v>
      </c>
      <c r="C51" s="15" t="inlineStr">
        <is>
          <t>2025-04</t>
        </is>
      </c>
      <c r="D51" s="15" t="n">
        <v>2025</v>
      </c>
      <c r="E51" s="15" t="inlineStr">
        <is>
          <t>Mrs Okeleke Elizabeth adeola Adejoke</t>
        </is>
      </c>
      <c r="F51" s="17" t="n">
        <v>1000000</v>
      </c>
      <c r="G51" s="15" t="inlineStr">
        <is>
          <t>CO-OWNEERSHIP</t>
        </is>
      </c>
      <c r="H51" s="15" t="inlineStr">
        <is>
          <t>Co-ownership investment receipt: fixed-return product, not a sale of land/housing</t>
        </is>
      </c>
      <c r="I51" s="15" t="inlineStr">
        <is>
          <t>BAAY PROJECTS SALES EXPENSES (COMMISSION) RECORDS (1)</t>
        </is>
      </c>
      <c r="J51" s="15" t="inlineStr">
        <is>
          <t>MD</t>
        </is>
      </c>
      <c r="K51" s="15" t="n">
        <v>164</v>
      </c>
      <c r="L51" s="15" t="inlineStr">
        <is>
          <t>2025-11-04</t>
        </is>
      </c>
    </row>
    <row r="52">
      <c r="A52" s="15" t="inlineStr">
        <is>
          <t>EX048</t>
        </is>
      </c>
      <c r="B52" s="16" t="n">
        <v>45763</v>
      </c>
      <c r="C52" s="15" t="inlineStr">
        <is>
          <t>2025-04</t>
        </is>
      </c>
      <c r="D52" s="15" t="n">
        <v>2025</v>
      </c>
      <c r="E52" s="15" t="inlineStr">
        <is>
          <t>Mr Olatunde Selim Olowodagba</t>
        </is>
      </c>
      <c r="F52" s="17" t="n">
        <v>1400000</v>
      </c>
      <c r="G52" s="15" t="inlineStr">
        <is>
          <t>CO-OWNERSHIP</t>
        </is>
      </c>
      <c r="H52" s="15" t="inlineStr">
        <is>
          <t>Co-ownership investment receipt: fixed-return product, not a sale of land/housing</t>
        </is>
      </c>
      <c r="I52" s="15" t="inlineStr">
        <is>
          <t>BAAY PROJECTS SALES EXPENSES (COMMISSION) RECORDS (1)</t>
        </is>
      </c>
      <c r="J52" s="15" t="inlineStr">
        <is>
          <t>OGIDAN</t>
        </is>
      </c>
      <c r="K52" s="15" t="n">
        <v>117</v>
      </c>
      <c r="L52" s="15" t="inlineStr">
        <is>
          <t>16/04/2025</t>
        </is>
      </c>
    </row>
    <row r="53">
      <c r="A53" s="15" t="inlineStr">
        <is>
          <t>EX049</t>
        </is>
      </c>
      <c r="B53" s="16" t="n">
        <v>45769</v>
      </c>
      <c r="C53" s="15" t="inlineStr">
        <is>
          <t>2025-04</t>
        </is>
      </c>
      <c r="D53" s="15" t="n">
        <v>2025</v>
      </c>
      <c r="E53" s="15" t="inlineStr">
        <is>
          <t>Mr Olajide Afeez</t>
        </is>
      </c>
      <c r="F53" s="17" t="n">
        <v>5000000</v>
      </c>
      <c r="G53" s="15" t="inlineStr">
        <is>
          <t>CO-OWNEERSHIP</t>
        </is>
      </c>
      <c r="H53" s="15" t="inlineStr">
        <is>
          <t>Co-ownership investment receipt: fixed-return product, not a sale of land/housing</t>
        </is>
      </c>
      <c r="I53" s="15" t="inlineStr">
        <is>
          <t>BAAY PROJECTS SALES EXPENSES (COMMISSION) RECORDS (1)</t>
        </is>
      </c>
      <c r="J53" s="15" t="inlineStr">
        <is>
          <t>MD</t>
        </is>
      </c>
      <c r="K53" s="15" t="n">
        <v>161</v>
      </c>
      <c r="L53" s="15" t="inlineStr">
        <is>
          <t>22/04/2025</t>
        </is>
      </c>
    </row>
    <row r="54">
      <c r="A54" s="15" t="inlineStr">
        <is>
          <t>EX050</t>
        </is>
      </c>
      <c r="B54" s="16" t="n">
        <v>45770</v>
      </c>
      <c r="C54" s="15" t="inlineStr">
        <is>
          <t>2025-04</t>
        </is>
      </c>
      <c r="D54" s="15" t="n">
        <v>2025</v>
      </c>
      <c r="E54" s="15" t="inlineStr">
        <is>
          <t>Mr Obilor Udochukwu Justice</t>
        </is>
      </c>
      <c r="F54" s="17" t="n">
        <v>4000000</v>
      </c>
      <c r="G54" s="15" t="inlineStr">
        <is>
          <t>CO-OWNERSHIP</t>
        </is>
      </c>
      <c r="H54" s="15" t="inlineStr">
        <is>
          <t>Co-ownership investment receipt: fixed-return product, not a sale of land/housing</t>
        </is>
      </c>
      <c r="I54" s="15" t="inlineStr">
        <is>
          <t>BAAY PROJECTS SALES EXPENSES (COMMISSION) RECORDS (1)</t>
        </is>
      </c>
      <c r="J54" s="15" t="inlineStr">
        <is>
          <t>MS SAMUELLA</t>
        </is>
      </c>
      <c r="K54" s="15" t="n">
        <v>33</v>
      </c>
      <c r="L54" s="15" t="inlineStr">
        <is>
          <t>23/04/2025</t>
        </is>
      </c>
    </row>
    <row r="55">
      <c r="A55" s="15" t="inlineStr">
        <is>
          <t>EX051</t>
        </is>
      </c>
      <c r="B55" s="16" t="n">
        <v>45772</v>
      </c>
      <c r="C55" s="15" t="inlineStr">
        <is>
          <t>2025-04</t>
        </is>
      </c>
      <c r="D55" s="15" t="n">
        <v>2025</v>
      </c>
      <c r="E55" s="15" t="inlineStr">
        <is>
          <t>Ms Ajayi Oluwatobi Tomilola</t>
        </is>
      </c>
      <c r="F55" s="17" t="n">
        <v>500000</v>
      </c>
      <c r="G55" s="15" t="inlineStr">
        <is>
          <t>CO-OWNERSHIP</t>
        </is>
      </c>
      <c r="H55" s="15" t="inlineStr">
        <is>
          <t>Co-ownership investment receipt: fixed-return product, not a sale of land/housing</t>
        </is>
      </c>
      <c r="I55" s="15" t="inlineStr">
        <is>
          <t>BAAY PROJECTS SALES EXPENSES (COMMISSION) RECORDS (1)</t>
        </is>
      </c>
      <c r="J55" s="15" t="inlineStr">
        <is>
          <t>MS TOBI AJAYI</t>
        </is>
      </c>
      <c r="K55" s="15" t="n">
        <v>70</v>
      </c>
      <c r="L55" s="15" t="inlineStr">
        <is>
          <t>25/04/2025</t>
        </is>
      </c>
    </row>
    <row r="56">
      <c r="A56" s="15" t="inlineStr">
        <is>
          <t>EX052</t>
        </is>
      </c>
      <c r="B56" s="16" t="n">
        <v>45778</v>
      </c>
      <c r="C56" s="15" t="inlineStr">
        <is>
          <t>2025-05</t>
        </is>
      </c>
      <c r="D56" s="15" t="n">
        <v>2025</v>
      </c>
      <c r="E56" s="15" t="inlineStr">
        <is>
          <t>Mrs Olatunde Adeyinka Mojisola</t>
        </is>
      </c>
      <c r="F56" s="17" t="n">
        <v>500000</v>
      </c>
      <c r="G56" s="15" t="inlineStr">
        <is>
          <t>CO-OWNERSHIP</t>
        </is>
      </c>
      <c r="H56" s="15" t="inlineStr">
        <is>
          <t>Co-ownership investment receipt: fixed-return product, not a sale of land/housing</t>
        </is>
      </c>
      <c r="I56" s="15" t="inlineStr">
        <is>
          <t>BAAY PROJECTS SALES EXPENSES (COMMISSION) RECORDS (1)</t>
        </is>
      </c>
      <c r="J56" s="15" t="inlineStr">
        <is>
          <t>MS ADENIKE</t>
        </is>
      </c>
      <c r="K56" s="15" t="n">
        <v>59</v>
      </c>
      <c r="L56" s="15" t="inlineStr">
        <is>
          <t>2025-01-05</t>
        </is>
      </c>
    </row>
    <row r="57">
      <c r="A57" s="15" t="inlineStr">
        <is>
          <t>EX053</t>
        </is>
      </c>
      <c r="B57" s="16" t="n">
        <v>45801</v>
      </c>
      <c r="C57" s="15" t="inlineStr">
        <is>
          <t>2025-05</t>
        </is>
      </c>
      <c r="D57" s="15" t="n">
        <v>2025</v>
      </c>
      <c r="E57" s="15" t="inlineStr">
        <is>
          <t>Mrs Braimoh Salimot Ajoke</t>
        </is>
      </c>
      <c r="F57" s="17" t="n">
        <v>500000</v>
      </c>
      <c r="G57" s="15" t="inlineStr">
        <is>
          <t>CO-OWNERSHIP</t>
        </is>
      </c>
      <c r="H57" s="15" t="inlineStr">
        <is>
          <t>Co-ownership investment receipt: fixed-return product, not a sale of land/housing</t>
        </is>
      </c>
      <c r="I57" s="15" t="inlineStr">
        <is>
          <t>BAAY PROJECTS SALES EXPENSES (COMMISSION) RECORDS (1)</t>
        </is>
      </c>
      <c r="J57" s="15" t="inlineStr">
        <is>
          <t>MS MAYOWA BRAIMOH</t>
        </is>
      </c>
      <c r="K57" s="15" t="n">
        <v>73</v>
      </c>
      <c r="L57" s="15" t="inlineStr">
        <is>
          <t>24/05/2025</t>
        </is>
      </c>
    </row>
    <row r="58">
      <c r="A58" s="15" t="inlineStr">
        <is>
          <t>EX054</t>
        </is>
      </c>
      <c r="B58" s="16" t="n">
        <v>45803</v>
      </c>
      <c r="C58" s="15" t="inlineStr">
        <is>
          <t>2025-05</t>
        </is>
      </c>
      <c r="D58" s="15" t="n">
        <v>2025</v>
      </c>
      <c r="E58" s="15" t="inlineStr">
        <is>
          <t>Mr Ogbu Pius Ejaka</t>
        </is>
      </c>
      <c r="F58" s="17" t="n">
        <v>1000000</v>
      </c>
      <c r="G58" s="15" t="inlineStr">
        <is>
          <t>CO-OWNERSHIP</t>
        </is>
      </c>
      <c r="H58" s="15" t="inlineStr">
        <is>
          <t>Co-ownership investment receipt: fixed-return product, not a sale of land/housing</t>
        </is>
      </c>
      <c r="I58" s="15" t="inlineStr">
        <is>
          <t>BAAY PROJECTS SALES EXPENSES (COMMISSION) RECORDS (1)</t>
        </is>
      </c>
      <c r="J58" s="15" t="inlineStr">
        <is>
          <t>MS MAYOWA BRAIMOH</t>
        </is>
      </c>
      <c r="K58" s="15" t="n">
        <v>74</v>
      </c>
      <c r="L58" s="15" t="inlineStr">
        <is>
          <t>26/05/2025</t>
        </is>
      </c>
    </row>
    <row r="59">
      <c r="A59" s="15" t="inlineStr">
        <is>
          <t>EX055</t>
        </is>
      </c>
      <c r="B59" s="16" t="n">
        <v>45803</v>
      </c>
      <c r="C59" s="15" t="inlineStr">
        <is>
          <t>2025-05</t>
        </is>
      </c>
      <c r="D59" s="15" t="n">
        <v>2025</v>
      </c>
      <c r="E59" s="15" t="inlineStr">
        <is>
          <t>Mr Obilor Udochukwu Justice</t>
        </is>
      </c>
      <c r="F59" s="17" t="n">
        <v>1000000</v>
      </c>
      <c r="G59" s="15" t="inlineStr">
        <is>
          <t>CO-OWNERSHIP</t>
        </is>
      </c>
      <c r="H59" s="15" t="inlineStr">
        <is>
          <t>Co-ownership investment receipt: fixed-return product, not a sale of land/housing</t>
        </is>
      </c>
      <c r="I59" s="15" t="inlineStr">
        <is>
          <t>BAAY PROJECTS SALES EXPENSES (COMMISSION) RECORDS (1)</t>
        </is>
      </c>
      <c r="J59" s="15" t="inlineStr">
        <is>
          <t>MS SAMUELLA</t>
        </is>
      </c>
      <c r="K59" s="15" t="n">
        <v>40</v>
      </c>
      <c r="L59" s="15" t="inlineStr">
        <is>
          <t>26/05/2025</t>
        </is>
      </c>
    </row>
    <row r="60">
      <c r="A60" s="15" t="inlineStr">
        <is>
          <t>EX056</t>
        </is>
      </c>
      <c r="B60" s="16" t="n">
        <v>45811</v>
      </c>
      <c r="C60" s="15" t="inlineStr">
        <is>
          <t>2025-06</t>
        </is>
      </c>
      <c r="D60" s="15" t="n">
        <v>2025</v>
      </c>
      <c r="E60" s="15" t="inlineStr">
        <is>
          <t>Mr Olafusi Oladapo Alexander</t>
        </is>
      </c>
      <c r="F60" s="17" t="n">
        <v>500000</v>
      </c>
      <c r="G60" s="15" t="inlineStr">
        <is>
          <t>CO-OWNERSHIP</t>
        </is>
      </c>
      <c r="H60" s="15" t="inlineStr">
        <is>
          <t>Co-ownership investment receipt: fixed-return product, not a sale of land/housing</t>
        </is>
      </c>
      <c r="I60" s="15" t="inlineStr">
        <is>
          <t>BAAY PROJECTS SALES EXPENSES (COMMISSION) RECORDS (1)</t>
        </is>
      </c>
      <c r="J60" s="15" t="inlineStr">
        <is>
          <t>MR ALEX OLAFUSI</t>
        </is>
      </c>
      <c r="K60" s="15" t="n">
        <v>2</v>
      </c>
      <c r="L60" s="15" t="inlineStr">
        <is>
          <t>2025-03-06</t>
        </is>
      </c>
    </row>
    <row r="61">
      <c r="A61" s="15" t="inlineStr">
        <is>
          <t>EX057</t>
        </is>
      </c>
      <c r="B61" s="16" t="n">
        <v>45811</v>
      </c>
      <c r="C61" s="15" t="inlineStr">
        <is>
          <t>2025-06</t>
        </is>
      </c>
      <c r="D61" s="15" t="n">
        <v>2025</v>
      </c>
      <c r="E61" s="15" t="inlineStr">
        <is>
          <t>Miss Olotu Oyinkansola Comfort</t>
        </is>
      </c>
      <c r="F61" s="17" t="n">
        <v>1000000</v>
      </c>
      <c r="G61" s="15" t="inlineStr">
        <is>
          <t>CO-OWNERSHIP</t>
        </is>
      </c>
      <c r="H61" s="15" t="inlineStr">
        <is>
          <t>Co-ownership investment receipt: fixed-return product, not a sale of land/housing</t>
        </is>
      </c>
      <c r="I61" s="15" t="inlineStr">
        <is>
          <t>BAAY PROJECTS SALES EXPENSES (COMMISSION) RECORDS (1)</t>
        </is>
      </c>
      <c r="J61" s="15" t="inlineStr">
        <is>
          <t>MS TABITHA OLOTU</t>
        </is>
      </c>
      <c r="K61" s="15" t="n">
        <v>2</v>
      </c>
      <c r="L61" s="15" t="inlineStr">
        <is>
          <t>2025-03-06</t>
        </is>
      </c>
    </row>
    <row r="62">
      <c r="A62" s="15" t="inlineStr">
        <is>
          <t>EX058</t>
        </is>
      </c>
      <c r="B62" s="16" t="n">
        <v>45813</v>
      </c>
      <c r="C62" s="15" t="inlineStr">
        <is>
          <t>2025-06</t>
        </is>
      </c>
      <c r="D62" s="15" t="n">
        <v>2025</v>
      </c>
      <c r="E62" s="15" t="inlineStr">
        <is>
          <t>Mr Salami Babatunde</t>
        </is>
      </c>
      <c r="F62" s="17" t="n">
        <v>2000000</v>
      </c>
      <c r="G62" s="15" t="inlineStr">
        <is>
          <t>CO-OWNEERSHIP</t>
        </is>
      </c>
      <c r="H62" s="15" t="inlineStr">
        <is>
          <t>Co-ownership investment receipt: fixed-return product, not a sale of land/housing</t>
        </is>
      </c>
      <c r="I62" s="15" t="inlineStr">
        <is>
          <t>BAAY PROJECTS SALES EXPENSES (COMMISSION) RECORDS (1)</t>
        </is>
      </c>
      <c r="J62" s="15" t="inlineStr">
        <is>
          <t>MD</t>
        </is>
      </c>
      <c r="K62" s="15" t="n">
        <v>176</v>
      </c>
      <c r="L62" s="15" t="inlineStr">
        <is>
          <t>2025-05-06</t>
        </is>
      </c>
    </row>
    <row r="63">
      <c r="A63" s="15" t="inlineStr">
        <is>
          <t>EX059</t>
        </is>
      </c>
      <c r="B63" s="16" t="n">
        <v>45821</v>
      </c>
      <c r="C63" s="15" t="inlineStr">
        <is>
          <t>2025-06</t>
        </is>
      </c>
      <c r="D63" s="15" t="n">
        <v>2025</v>
      </c>
      <c r="E63" s="15" t="inlineStr">
        <is>
          <t>Dr Afowowe Tosin Oladipo</t>
        </is>
      </c>
      <c r="F63" s="17" t="n">
        <v>1000000</v>
      </c>
      <c r="G63" s="15" t="inlineStr">
        <is>
          <t>CO-OWNERSHIP</t>
        </is>
      </c>
      <c r="H63" s="15" t="inlineStr">
        <is>
          <t>Co-ownership investment receipt: fixed-return product, not a sale of land/housing</t>
        </is>
      </c>
      <c r="I63" s="15" t="inlineStr">
        <is>
          <t>BAAY PROJECTS SALES EXPENSES (COMMISSION) RECORDS (1)</t>
        </is>
      </c>
      <c r="J63" s="15" t="inlineStr">
        <is>
          <t>MS PRAISE</t>
        </is>
      </c>
      <c r="K63" s="15" t="n">
        <v>20</v>
      </c>
      <c r="L63" s="15" t="inlineStr">
        <is>
          <t>13/06/2025</t>
        </is>
      </c>
    </row>
    <row r="64">
      <c r="A64" s="15" t="inlineStr">
        <is>
          <t>EX060</t>
        </is>
      </c>
      <c r="B64" s="16" t="n">
        <v>45824</v>
      </c>
      <c r="C64" s="15" t="inlineStr">
        <is>
          <t>2025-06</t>
        </is>
      </c>
      <c r="D64" s="15" t="n">
        <v>2025</v>
      </c>
      <c r="E64" s="15" t="inlineStr">
        <is>
          <t>Mrs Albert Chinelo Gift</t>
        </is>
      </c>
      <c r="F64" s="17" t="n">
        <v>500000</v>
      </c>
      <c r="G64" s="15" t="inlineStr">
        <is>
          <t>CO-OWNERSHIP</t>
        </is>
      </c>
      <c r="H64" s="15" t="inlineStr">
        <is>
          <t>Co-ownership investment receipt: fixed-return product, not a sale of land/housing</t>
        </is>
      </c>
      <c r="I64" s="15" t="inlineStr">
        <is>
          <t>BAAY PROJECTS SALES EXPENSES (COMMISSION) RECORDS (1)</t>
        </is>
      </c>
      <c r="J64" s="15" t="inlineStr">
        <is>
          <t>MS ADENIKE</t>
        </is>
      </c>
      <c r="K64" s="15" t="n">
        <v>67</v>
      </c>
      <c r="L64" s="15" t="inlineStr">
        <is>
          <t>16/06/2025</t>
        </is>
      </c>
    </row>
    <row r="65">
      <c r="A65" s="15" t="inlineStr">
        <is>
          <t>EX061</t>
        </is>
      </c>
      <c r="B65" s="16" t="n">
        <v>45827</v>
      </c>
      <c r="C65" s="15" t="inlineStr">
        <is>
          <t>2025-06</t>
        </is>
      </c>
      <c r="D65" s="15" t="n">
        <v>2025</v>
      </c>
      <c r="E65" s="15" t="inlineStr">
        <is>
          <t>Mrs Oluwagbemiro Olajumoke Oluwakemi</t>
        </is>
      </c>
      <c r="F65" s="17" t="n">
        <v>500000</v>
      </c>
      <c r="G65" s="15" t="inlineStr">
        <is>
          <t>CO-OWNERSHIP</t>
        </is>
      </c>
      <c r="H65" s="15" t="inlineStr">
        <is>
          <t>Co-ownership investment receipt: fixed-return product, not a sale of land/housing</t>
        </is>
      </c>
      <c r="I65" s="15" t="inlineStr">
        <is>
          <t>BAAY PROJECTS SALES EXPENSES (COMMISSION) RECORDS (1)</t>
        </is>
      </c>
      <c r="J65" s="15" t="inlineStr">
        <is>
          <t>MS TOBI AJAYI</t>
        </is>
      </c>
      <c r="K65" s="15" t="n">
        <v>78</v>
      </c>
      <c r="L65" s="15" t="inlineStr">
        <is>
          <t>19/06/2025</t>
        </is>
      </c>
    </row>
    <row r="66">
      <c r="A66" s="15" t="inlineStr">
        <is>
          <t>EX062</t>
        </is>
      </c>
      <c r="B66" s="16" t="n">
        <v>45828</v>
      </c>
      <c r="C66" s="15" t="inlineStr">
        <is>
          <t>2025-06</t>
        </is>
      </c>
      <c r="D66" s="15" t="n">
        <v>2025</v>
      </c>
      <c r="E66" s="15" t="inlineStr">
        <is>
          <t>Mr Omoria Emmanuel Osaikweme</t>
        </is>
      </c>
      <c r="F66" s="17" t="n">
        <v>500000</v>
      </c>
      <c r="G66" s="15" t="inlineStr">
        <is>
          <t>CO-OWNERSHIP</t>
        </is>
      </c>
      <c r="H66" s="15" t="inlineStr">
        <is>
          <t>Co-ownership investment receipt: fixed-return product, not a sale of land/housing</t>
        </is>
      </c>
      <c r="I66" s="15" t="inlineStr">
        <is>
          <t>BAAY PROJECTS SALES EXPENSES (COMMISSION) RECORDS (1)</t>
        </is>
      </c>
      <c r="J66" s="15" t="inlineStr">
        <is>
          <t>MS DORCAS</t>
        </is>
      </c>
      <c r="K66" s="15" t="n">
        <v>2</v>
      </c>
      <c r="L66" s="15" t="inlineStr">
        <is>
          <t>20/06/2025</t>
        </is>
      </c>
    </row>
    <row r="67">
      <c r="A67" s="15" t="inlineStr">
        <is>
          <t>EX063</t>
        </is>
      </c>
      <c r="B67" s="16" t="n">
        <v>45831</v>
      </c>
      <c r="C67" s="15" t="inlineStr">
        <is>
          <t>2025-06</t>
        </is>
      </c>
      <c r="D67" s="15" t="n">
        <v>2025</v>
      </c>
      <c r="E67" s="15" t="inlineStr">
        <is>
          <t>Mrs Ezeh Amaka Nnenna</t>
        </is>
      </c>
      <c r="F67" s="17" t="n">
        <v>1000000</v>
      </c>
      <c r="G67" s="15" t="inlineStr">
        <is>
          <t>CO-OWNERSHIP</t>
        </is>
      </c>
      <c r="H67" s="15" t="inlineStr">
        <is>
          <t>Co-ownership investment receipt: fixed-return product, not a sale of land/housing</t>
        </is>
      </c>
      <c r="I67" s="15" t="inlineStr">
        <is>
          <t>BAAY PROJECTS SALES EXPENSES (COMMISSION) RECORDS (1)</t>
        </is>
      </c>
      <c r="J67" s="15" t="inlineStr">
        <is>
          <t>MS AMAKA</t>
        </is>
      </c>
      <c r="K67" s="15" t="n">
        <v>2</v>
      </c>
      <c r="L67" s="15" t="inlineStr">
        <is>
          <t>23/06/2025</t>
        </is>
      </c>
    </row>
    <row r="68">
      <c r="A68" s="15" t="inlineStr">
        <is>
          <t>EX064</t>
        </is>
      </c>
      <c r="B68" s="16" t="n">
        <v>45835</v>
      </c>
      <c r="C68" s="15" t="inlineStr">
        <is>
          <t>2025-06</t>
        </is>
      </c>
      <c r="D68" s="15" t="n">
        <v>2025</v>
      </c>
      <c r="E68" s="15" t="inlineStr">
        <is>
          <t>Mr Owolabi Taiwo Goodness</t>
        </is>
      </c>
      <c r="F68" s="17" t="n">
        <v>500000</v>
      </c>
      <c r="G68" s="15" t="inlineStr">
        <is>
          <t>Co-ownership</t>
        </is>
      </c>
      <c r="H68" s="15" t="inlineStr">
        <is>
          <t>Co-ownership investment receipt: fixed-return product, not a sale of land/housing</t>
        </is>
      </c>
      <c r="I68" s="15" t="inlineStr">
        <is>
          <t>BAAY PROJECTS SALES EXPENSES (COMMISSION) RECORDS (1)</t>
        </is>
      </c>
      <c r="J68" s="15" t="inlineStr">
        <is>
          <t>MR CHARLES</t>
        </is>
      </c>
      <c r="K68" s="15" t="n">
        <v>101</v>
      </c>
      <c r="L68" s="15" t="inlineStr">
        <is>
          <t>27/06/2025</t>
        </is>
      </c>
    </row>
    <row r="69">
      <c r="A69" s="15" t="inlineStr">
        <is>
          <t>EX065</t>
        </is>
      </c>
      <c r="B69" s="16" t="n">
        <v>45835</v>
      </c>
      <c r="C69" s="15" t="inlineStr">
        <is>
          <t>2025-06</t>
        </is>
      </c>
      <c r="D69" s="15" t="n">
        <v>2025</v>
      </c>
      <c r="E69" s="15" t="inlineStr">
        <is>
          <t>Mr Dada Oladele John</t>
        </is>
      </c>
      <c r="F69" s="17" t="n">
        <v>29000000</v>
      </c>
      <c r="G69" s="15" t="inlineStr">
        <is>
          <t>CO-OWNEERSHIP</t>
        </is>
      </c>
      <c r="H69" s="15" t="inlineStr">
        <is>
          <t>Co-ownership investment receipt: fixed-return product, not a sale of land/housing</t>
        </is>
      </c>
      <c r="I69" s="15" t="inlineStr">
        <is>
          <t>BAAY PROJECTS SALES EXPENSES (COMMISSION) RECORDS (1)</t>
        </is>
      </c>
      <c r="J69" s="15" t="inlineStr">
        <is>
          <t>MD</t>
        </is>
      </c>
      <c r="K69" s="15" t="n">
        <v>181</v>
      </c>
      <c r="L69" s="15" t="inlineStr">
        <is>
          <t>27/06/2025</t>
        </is>
      </c>
    </row>
    <row r="70">
      <c r="A70" s="15" t="inlineStr">
        <is>
          <t>EX066</t>
        </is>
      </c>
      <c r="B70" s="16" t="n">
        <v>45835</v>
      </c>
      <c r="C70" s="15" t="inlineStr">
        <is>
          <t>2025-06</t>
        </is>
      </c>
      <c r="D70" s="15" t="n">
        <v>2025</v>
      </c>
      <c r="E70" s="15" t="inlineStr">
        <is>
          <t>Mr Ogunleye Oladapo Johnson</t>
        </is>
      </c>
      <c r="F70" s="17" t="n">
        <v>1000000</v>
      </c>
      <c r="G70" s="15" t="inlineStr">
        <is>
          <t>CO-OWNEERSHIP</t>
        </is>
      </c>
      <c r="H70" s="15" t="inlineStr">
        <is>
          <t>Co-ownership investment receipt: fixed-return product, not a sale of land/housing</t>
        </is>
      </c>
      <c r="I70" s="15" t="inlineStr">
        <is>
          <t>BAAY PROJECTS SALES EXPENSES (COMMISSION) RECORDS (1)</t>
        </is>
      </c>
      <c r="J70" s="15" t="inlineStr">
        <is>
          <t>MD</t>
        </is>
      </c>
      <c r="K70" s="15" t="n">
        <v>182</v>
      </c>
      <c r="L70" s="15" t="inlineStr">
        <is>
          <t>27/06/2025</t>
        </is>
      </c>
    </row>
    <row r="71">
      <c r="A71" s="15" t="inlineStr">
        <is>
          <t>EX067</t>
        </is>
      </c>
      <c r="B71" s="16" t="n">
        <v>45841</v>
      </c>
      <c r="C71" s="15" t="inlineStr">
        <is>
          <t>2025-07</t>
        </is>
      </c>
      <c r="D71" s="15" t="n">
        <v>2025</v>
      </c>
      <c r="E71" s="15" t="inlineStr">
        <is>
          <t>Mrs Ezeh Amaka Ajoke Nnenna</t>
        </is>
      </c>
      <c r="F71" s="17" t="n">
        <v>500000</v>
      </c>
      <c r="G71" s="15" t="inlineStr">
        <is>
          <t>CO-OWNERSHIP</t>
        </is>
      </c>
      <c r="H71" s="15" t="inlineStr">
        <is>
          <t>Co-ownership investment receipt: fixed-return product, not a sale of land/housing</t>
        </is>
      </c>
      <c r="I71" s="15" t="inlineStr">
        <is>
          <t>BAAY PROJECTS SALES EXPENSES (COMMISSION) RECORDS (1)</t>
        </is>
      </c>
      <c r="J71" s="15" t="inlineStr">
        <is>
          <t>MS AMAKA</t>
        </is>
      </c>
      <c r="K71" s="15" t="n">
        <v>10</v>
      </c>
      <c r="L71" s="15" t="inlineStr">
        <is>
          <t>2025-03-07</t>
        </is>
      </c>
    </row>
    <row r="72">
      <c r="A72" s="15" t="inlineStr">
        <is>
          <t>EX068</t>
        </is>
      </c>
      <c r="B72" s="16" t="n">
        <v>45849</v>
      </c>
      <c r="C72" s="15" t="inlineStr">
        <is>
          <t>2025-07</t>
        </is>
      </c>
      <c r="D72" s="15" t="n">
        <v>2025</v>
      </c>
      <c r="E72" s="15" t="inlineStr">
        <is>
          <t>Miss Omotoso Cathrine Ayobami</t>
        </is>
      </c>
      <c r="F72" s="17" t="n">
        <v>1800000</v>
      </c>
      <c r="G72" s="15" t="inlineStr">
        <is>
          <t>CO-OWNERSHIP</t>
        </is>
      </c>
      <c r="H72" s="15" t="inlineStr">
        <is>
          <t>Co-ownership investment receipt: fixed-return product, not a sale of land/housing</t>
        </is>
      </c>
      <c r="I72" s="15" t="inlineStr">
        <is>
          <t>BAAY PROJECTS SALES EXPENSES (COMMISSION) RECORDS (1)</t>
        </is>
      </c>
      <c r="J72" s="15" t="inlineStr">
        <is>
          <t>MS ADENIKE</t>
        </is>
      </c>
      <c r="K72" s="15" t="n">
        <v>74</v>
      </c>
      <c r="L72" s="15" t="inlineStr">
        <is>
          <t>2025-11-07</t>
        </is>
      </c>
    </row>
    <row r="73">
      <c r="A73" s="15" t="inlineStr">
        <is>
          <t>EX069</t>
        </is>
      </c>
      <c r="B73" s="16" t="n">
        <v>45851</v>
      </c>
      <c r="C73" s="15" t="inlineStr">
        <is>
          <t>2025-07</t>
        </is>
      </c>
      <c r="D73" s="15" t="n">
        <v>2025</v>
      </c>
      <c r="E73" s="15" t="inlineStr">
        <is>
          <t>Mrs Sonuga Morenike Oluwayemisi</t>
        </is>
      </c>
      <c r="F73" s="17" t="n">
        <v>1000000</v>
      </c>
      <c r="G73" s="15" t="inlineStr">
        <is>
          <t>CO-OWNERSHIP</t>
        </is>
      </c>
      <c r="H73" s="15" t="inlineStr">
        <is>
          <t>Co-ownership investment receipt: fixed-return product, not a sale of land/housing</t>
        </is>
      </c>
      <c r="I73" s="15" t="inlineStr">
        <is>
          <t>BAAY PROJECTS SALES EXPENSES (COMMISSION) RECORDS (1)</t>
        </is>
      </c>
      <c r="J73" s="15" t="inlineStr">
        <is>
          <t>MS ADENIKE</t>
        </is>
      </c>
      <c r="K73" s="15" t="n">
        <v>75</v>
      </c>
      <c r="L73" s="15" t="inlineStr">
        <is>
          <t>13/07/2025</t>
        </is>
      </c>
    </row>
    <row r="74">
      <c r="A74" s="15" t="inlineStr">
        <is>
          <t>EX070</t>
        </is>
      </c>
      <c r="B74" s="16" t="n">
        <v>45855</v>
      </c>
      <c r="C74" s="15" t="inlineStr">
        <is>
          <t>2025-07</t>
        </is>
      </c>
      <c r="D74" s="15" t="n">
        <v>2025</v>
      </c>
      <c r="E74" s="15" t="inlineStr">
        <is>
          <t>Mrs Akinsanya Adebimpe Idowu</t>
        </is>
      </c>
      <c r="F74" s="17" t="n">
        <v>20000000</v>
      </c>
      <c r="G74" s="15" t="inlineStr">
        <is>
          <t>CO-OWNERSHIP</t>
        </is>
      </c>
      <c r="H74" s="15" t="inlineStr">
        <is>
          <t>Co-ownership investment receipt: fixed-return product, not a sale of land/housing</t>
        </is>
      </c>
      <c r="I74" s="15" t="inlineStr">
        <is>
          <t>BAAY PROJECTS SALES EXPENSES (COMMISSION) RECORDS (1)</t>
        </is>
      </c>
      <c r="J74" s="15" t="inlineStr">
        <is>
          <t>MAMA ADEBIMPE</t>
        </is>
      </c>
      <c r="K74" s="15" t="n">
        <v>225</v>
      </c>
      <c r="L74" s="15" t="inlineStr">
        <is>
          <t>17/07/2025</t>
        </is>
      </c>
    </row>
    <row r="75">
      <c r="A75" s="15" t="inlineStr">
        <is>
          <t>EX071</t>
        </is>
      </c>
      <c r="B75" s="16" t="n">
        <v>45860</v>
      </c>
      <c r="C75" s="15" t="inlineStr">
        <is>
          <t>2025-07</t>
        </is>
      </c>
      <c r="D75" s="15" t="n">
        <v>2025</v>
      </c>
      <c r="E75" s="15" t="inlineStr">
        <is>
          <t>Mrs Akinsanya Adebimpe Idowu</t>
        </is>
      </c>
      <c r="F75" s="17" t="n">
        <v>2000000</v>
      </c>
      <c r="G75" s="15" t="inlineStr">
        <is>
          <t>CO-OWNERSHIP</t>
        </is>
      </c>
      <c r="H75" s="15" t="inlineStr">
        <is>
          <t>Co-ownership investment receipt: fixed-return product, not a sale of land/housing</t>
        </is>
      </c>
      <c r="I75" s="15" t="inlineStr">
        <is>
          <t>BAAY PROJECTS SALES EXPENSES (COMMISSION) RECORDS (1)</t>
        </is>
      </c>
      <c r="J75" s="15" t="inlineStr">
        <is>
          <t>MAMA ADEBIMPE</t>
        </is>
      </c>
      <c r="K75" s="15" t="n">
        <v>231</v>
      </c>
      <c r="L75" s="15" t="inlineStr">
        <is>
          <t>22/07/2025</t>
        </is>
      </c>
    </row>
    <row r="76">
      <c r="A76" s="15" t="inlineStr">
        <is>
          <t>EX072</t>
        </is>
      </c>
      <c r="B76" s="16" t="n">
        <v>45863</v>
      </c>
      <c r="C76" s="15" t="inlineStr">
        <is>
          <t>2025-07</t>
        </is>
      </c>
      <c r="D76" s="15" t="n">
        <v>2025</v>
      </c>
      <c r="E76" s="15" t="inlineStr">
        <is>
          <t>Mrs Akinsanya Adebimpe Idowu</t>
        </is>
      </c>
      <c r="F76" s="17" t="n">
        <v>3000000</v>
      </c>
      <c r="G76" s="15" t="inlineStr">
        <is>
          <t>CO-OWNERSHIP</t>
        </is>
      </c>
      <c r="H76" s="15" t="inlineStr">
        <is>
          <t>Co-ownership investment receipt: fixed-return product, not a sale of land/housing</t>
        </is>
      </c>
      <c r="I76" s="15" t="inlineStr">
        <is>
          <t>BAAY PROJECTS SALES EXPENSES (COMMISSION) RECORDS (1)</t>
        </is>
      </c>
      <c r="J76" s="15" t="inlineStr">
        <is>
          <t>MAMA ADEBIMPE</t>
        </is>
      </c>
      <c r="K76" s="15" t="n">
        <v>232</v>
      </c>
      <c r="L76" s="15" t="inlineStr">
        <is>
          <t>25/07/2025</t>
        </is>
      </c>
    </row>
    <row r="77">
      <c r="A77" s="15" t="inlineStr">
        <is>
          <t>EX073</t>
        </is>
      </c>
      <c r="B77" s="16" t="n">
        <v>45867</v>
      </c>
      <c r="C77" s="15" t="inlineStr">
        <is>
          <t>2025-07</t>
        </is>
      </c>
      <c r="D77" s="15" t="n">
        <v>2025</v>
      </c>
      <c r="E77" s="15" t="inlineStr">
        <is>
          <t>Mrs Akinsanya Adebimpe Idowu</t>
        </is>
      </c>
      <c r="F77" s="17" t="n">
        <v>20000000</v>
      </c>
      <c r="G77" s="15" t="inlineStr">
        <is>
          <t>CO-OWNERSHIP</t>
        </is>
      </c>
      <c r="H77" s="15" t="inlineStr">
        <is>
          <t>Co-ownership investment receipt: fixed-return product, not a sale of land/housing</t>
        </is>
      </c>
      <c r="I77" s="15" t="inlineStr">
        <is>
          <t>BAAY PROJECTS SALES EXPENSES (COMMISSION) RECORDS (1)</t>
        </is>
      </c>
      <c r="J77" s="15" t="inlineStr">
        <is>
          <t>MAMA ADEBIMPE</t>
        </is>
      </c>
      <c r="K77" s="15" t="n">
        <v>244</v>
      </c>
      <c r="L77" s="15" t="inlineStr">
        <is>
          <t>29/07/2025</t>
        </is>
      </c>
    </row>
    <row r="78">
      <c r="A78" s="15" t="inlineStr">
        <is>
          <t>EX074</t>
        </is>
      </c>
      <c r="B78" s="16" t="n">
        <v>45870</v>
      </c>
      <c r="C78" s="15" t="inlineStr">
        <is>
          <t>2025-08</t>
        </is>
      </c>
      <c r="D78" s="15" t="n">
        <v>2025</v>
      </c>
      <c r="E78" s="15" t="inlineStr">
        <is>
          <t>Ms Uzochukwu Adaeze Keren</t>
        </is>
      </c>
      <c r="F78" s="17" t="n">
        <v>2000000</v>
      </c>
      <c r="G78" s="15" t="inlineStr">
        <is>
          <t>CO-OWNERSHIP</t>
        </is>
      </c>
      <c r="H78" s="15" t="inlineStr">
        <is>
          <t>Co-ownership investment receipt: fixed-return product, not a sale of land/housing</t>
        </is>
      </c>
      <c r="I78" s="15" t="inlineStr">
        <is>
          <t>BAAY PROJECTS SALES EXPENSES (COMMISSION) RECORDS (1)</t>
        </is>
      </c>
      <c r="J78" s="15" t="inlineStr">
        <is>
          <t>MS MAYOWA BRAIMOH</t>
        </is>
      </c>
      <c r="K78" s="15" t="n">
        <v>80</v>
      </c>
      <c r="L78" s="15" t="inlineStr">
        <is>
          <t>2025-01-08</t>
        </is>
      </c>
    </row>
    <row r="79">
      <c r="A79" s="15" t="inlineStr">
        <is>
          <t>EX075</t>
        </is>
      </c>
      <c r="B79" s="16" t="n">
        <v>45879</v>
      </c>
      <c r="C79" s="15" t="inlineStr">
        <is>
          <t>2025-08</t>
        </is>
      </c>
      <c r="D79" s="15" t="n">
        <v>2025</v>
      </c>
      <c r="E79" s="15" t="inlineStr">
        <is>
          <t>Miss Olotu Oyinkansola Comfort</t>
        </is>
      </c>
      <c r="F79" s="17" t="n">
        <v>500000</v>
      </c>
      <c r="G79" s="15" t="inlineStr">
        <is>
          <t>CO-OWNERSHIP</t>
        </is>
      </c>
      <c r="H79" s="15" t="inlineStr">
        <is>
          <t>Co-ownership investment receipt: fixed-return product, not a sale of land/housing</t>
        </is>
      </c>
      <c r="I79" s="15" t="inlineStr">
        <is>
          <t>BAAY PROJECTS SALES EXPENSES (COMMISSION) RECORDS (1)</t>
        </is>
      </c>
      <c r="J79" s="15" t="inlineStr">
        <is>
          <t>MS TABITHA OLOTU</t>
        </is>
      </c>
      <c r="K79" s="15" t="n">
        <v>9</v>
      </c>
      <c r="L79" s="15" t="inlineStr">
        <is>
          <t>2025-10-08</t>
        </is>
      </c>
    </row>
    <row r="80">
      <c r="A80" s="15" t="inlineStr">
        <is>
          <t>EX076</t>
        </is>
      </c>
      <c r="B80" s="16" t="n">
        <v>45883</v>
      </c>
      <c r="C80" s="15" t="inlineStr">
        <is>
          <t>2025-08</t>
        </is>
      </c>
      <c r="D80" s="15" t="n">
        <v>2025</v>
      </c>
      <c r="E80" s="15" t="inlineStr">
        <is>
          <t>Miss Olotu Oyinkansola Comfort</t>
        </is>
      </c>
      <c r="F80" s="17" t="n">
        <v>500000</v>
      </c>
      <c r="G80" s="15" t="inlineStr">
        <is>
          <t>CO-OWNERSHIP</t>
        </is>
      </c>
      <c r="H80" s="15" t="inlineStr">
        <is>
          <t>Co-ownership investment receipt: fixed-return product, not a sale of land/housing</t>
        </is>
      </c>
      <c r="I80" s="15" t="inlineStr">
        <is>
          <t>BAAY PROJECTS SALES EXPENSES (COMMISSION) RECORDS (1)</t>
        </is>
      </c>
      <c r="J80" s="15" t="inlineStr">
        <is>
          <t>MS TABITHA OLOTU</t>
        </is>
      </c>
      <c r="K80" s="15" t="n">
        <v>10</v>
      </c>
      <c r="L80" s="15" t="inlineStr">
        <is>
          <t>14/08/2025</t>
        </is>
      </c>
    </row>
    <row r="81">
      <c r="A81" s="15" t="inlineStr">
        <is>
          <t>EX077</t>
        </is>
      </c>
      <c r="B81" s="16" t="n">
        <v>45887</v>
      </c>
      <c r="C81" s="15" t="inlineStr">
        <is>
          <t>2025-08</t>
        </is>
      </c>
      <c r="D81" s="15" t="n">
        <v>2025</v>
      </c>
      <c r="E81" s="15" t="inlineStr">
        <is>
          <t>Engr Ogungbamigbe Samuel Oluwagbemisola</t>
        </is>
      </c>
      <c r="F81" s="17" t="n">
        <v>1000000</v>
      </c>
      <c r="G81" s="15" t="inlineStr">
        <is>
          <t>CO-OWNERSHIP</t>
        </is>
      </c>
      <c r="H81" s="15" t="inlineStr">
        <is>
          <t>Co-ownership investment receipt: fixed-return product, not a sale of land/housing</t>
        </is>
      </c>
      <c r="I81" s="15" t="inlineStr">
        <is>
          <t>BAAY PROJECTS SALES EXPENSES (COMMISSION) RECORDS (1)</t>
        </is>
      </c>
      <c r="J81" s="15" t="inlineStr">
        <is>
          <t>MS DORCAS</t>
        </is>
      </c>
      <c r="K81" s="15" t="n">
        <v>9</v>
      </c>
      <c r="L81" s="15" t="inlineStr">
        <is>
          <t>18/08/2025</t>
        </is>
      </c>
    </row>
    <row r="82">
      <c r="A82" s="15" t="inlineStr">
        <is>
          <t>EX078</t>
        </is>
      </c>
      <c r="B82" s="16" t="n">
        <v>45896</v>
      </c>
      <c r="C82" s="15" t="inlineStr">
        <is>
          <t>2025-08</t>
        </is>
      </c>
      <c r="D82" s="15" t="n">
        <v>2025</v>
      </c>
      <c r="E82" s="15" t="inlineStr">
        <is>
          <t>Mr Adeyera Augustine Adegoke</t>
        </is>
      </c>
      <c r="F82" s="17" t="n">
        <v>500000</v>
      </c>
      <c r="G82" s="15" t="inlineStr">
        <is>
          <t>CO-OWNERSHIP</t>
        </is>
      </c>
      <c r="H82" s="15" t="inlineStr">
        <is>
          <t>Co-ownership investment receipt: fixed-return product, not a sale of land/housing</t>
        </is>
      </c>
      <c r="I82" s="15" t="inlineStr">
        <is>
          <t>BAAY PROJECTS SALES EXPENSES (COMMISSION) RECORDS (1)</t>
        </is>
      </c>
      <c r="J82" s="15" t="inlineStr">
        <is>
          <t>MS CELINA</t>
        </is>
      </c>
      <c r="K82" s="15" t="n">
        <v>37</v>
      </c>
      <c r="L82" s="15" t="inlineStr">
        <is>
          <t>27/08/2025</t>
        </is>
      </c>
    </row>
    <row r="83">
      <c r="A83" s="15" t="inlineStr">
        <is>
          <t>EX079</t>
        </is>
      </c>
      <c r="B83" s="16" t="n">
        <v>45897</v>
      </c>
      <c r="C83" s="15" t="inlineStr">
        <is>
          <t>2025-08</t>
        </is>
      </c>
      <c r="D83" s="15" t="n">
        <v>2025</v>
      </c>
      <c r="E83" s="15" t="inlineStr">
        <is>
          <t>Miss Oyedele Christianah Omofoyeke</t>
        </is>
      </c>
      <c r="F83" s="17" t="n">
        <v>500000</v>
      </c>
      <c r="G83" s="15" t="inlineStr">
        <is>
          <t>CO-OWNERSHIP</t>
        </is>
      </c>
      <c r="H83" s="15" t="inlineStr">
        <is>
          <t>Co-ownership investment receipt: fixed-return product, not a sale of land/housing</t>
        </is>
      </c>
      <c r="I83" s="15" t="inlineStr">
        <is>
          <t>BAAY PROJECTS SALES EXPENSES (COMMISSION) RECORDS (1)</t>
        </is>
      </c>
      <c r="J83" s="15" t="inlineStr">
        <is>
          <t>MR PELUMI</t>
        </is>
      </c>
      <c r="K83" s="15" t="n">
        <v>33</v>
      </c>
      <c r="L83" s="15" t="inlineStr">
        <is>
          <t>28/08/2025</t>
        </is>
      </c>
    </row>
    <row r="84">
      <c r="A84" s="15" t="inlineStr">
        <is>
          <t>EX080</t>
        </is>
      </c>
      <c r="B84" s="16" t="n">
        <v>45897</v>
      </c>
      <c r="C84" s="15" t="inlineStr">
        <is>
          <t>2025-08</t>
        </is>
      </c>
      <c r="D84" s="15" t="n">
        <v>2025</v>
      </c>
      <c r="E84" s="15" t="inlineStr">
        <is>
          <t>Miss Oyedele Christianah Omofoyeke</t>
        </is>
      </c>
      <c r="F84" s="17" t="n">
        <v>1000000</v>
      </c>
      <c r="G84" s="15" t="inlineStr">
        <is>
          <t>CO-OWNERSHIP</t>
        </is>
      </c>
      <c r="H84" s="15" t="inlineStr">
        <is>
          <t>Co-ownership investment receipt: fixed-return product, not a sale of land/housing</t>
        </is>
      </c>
      <c r="I84" s="15" t="inlineStr">
        <is>
          <t>BAAY PROJECTS SALES EXPENSES (COMMISSION) RECORDS (1)</t>
        </is>
      </c>
      <c r="J84" s="15" t="inlineStr">
        <is>
          <t>MS CELINA</t>
        </is>
      </c>
      <c r="K84" s="15" t="n">
        <v>38</v>
      </c>
      <c r="L84" s="15" t="inlineStr">
        <is>
          <t>28/08/2025</t>
        </is>
      </c>
    </row>
    <row r="85">
      <c r="A85" s="15" t="inlineStr">
        <is>
          <t>EX081</t>
        </is>
      </c>
      <c r="B85" s="16" t="n">
        <v>45901</v>
      </c>
      <c r="C85" s="15" t="inlineStr">
        <is>
          <t>2025-09</t>
        </is>
      </c>
      <c r="D85" s="15" t="n">
        <v>2025</v>
      </c>
      <c r="E85" s="15" t="inlineStr">
        <is>
          <t>Zaynab Oyewo</t>
        </is>
      </c>
      <c r="F85" s="17" t="n">
        <v>6000000</v>
      </c>
      <c r="G85" s="15" t="inlineStr">
        <is>
          <t>CO-OWNERSHIP</t>
        </is>
      </c>
      <c r="H85" s="15" t="inlineStr">
        <is>
          <t>Co-ownership investment receipt: fixed-return product, not a sale of land/housing</t>
        </is>
      </c>
      <c r="I85" s="15" t="inlineStr">
        <is>
          <t>BAAY PROJECTS SALES EXPENSES (COMMISSION) RECORDS (1)</t>
        </is>
      </c>
      <c r="J85" s="15" t="inlineStr">
        <is>
          <t>MD</t>
        </is>
      </c>
      <c r="K85" s="15" t="n">
        <v>202</v>
      </c>
      <c r="L85" s="15" t="inlineStr">
        <is>
          <t>2025-01-09</t>
        </is>
      </c>
    </row>
    <row r="86">
      <c r="A86" s="15" t="inlineStr">
        <is>
          <t>EX082</t>
        </is>
      </c>
      <c r="B86" s="16" t="n">
        <v>45902</v>
      </c>
      <c r="C86" s="15" t="inlineStr">
        <is>
          <t>2025-09</t>
        </is>
      </c>
      <c r="D86" s="15" t="n">
        <v>2025</v>
      </c>
      <c r="E86" s="15" t="inlineStr">
        <is>
          <t>Mr Agunloye Praise Ayodeji</t>
        </is>
      </c>
      <c r="F86" s="17" t="n">
        <v>1000000</v>
      </c>
      <c r="G86" s="15" t="inlineStr">
        <is>
          <t>CO-OWNERSHIP</t>
        </is>
      </c>
      <c r="H86" s="15" t="inlineStr">
        <is>
          <t>Co-ownership investment receipt: fixed-return product, not a sale of land/housing</t>
        </is>
      </c>
      <c r="I86" s="15" t="inlineStr">
        <is>
          <t>BAAY PROJECTS SALES EXPENSES (COMMISSION) RECORDS (1)</t>
        </is>
      </c>
      <c r="J86" s="15" t="inlineStr">
        <is>
          <t>MR PRAISE</t>
        </is>
      </c>
      <c r="K86" s="15" t="n">
        <v>18</v>
      </c>
      <c r="L86" s="15" t="inlineStr">
        <is>
          <t>2025-02-09</t>
        </is>
      </c>
    </row>
    <row r="87">
      <c r="A87" s="15" t="inlineStr">
        <is>
          <t>EX083</t>
        </is>
      </c>
      <c r="B87" s="16" t="n">
        <v>45902</v>
      </c>
      <c r="C87" s="15" t="inlineStr">
        <is>
          <t>2025-09</t>
        </is>
      </c>
      <c r="D87" s="15" t="n">
        <v>2025</v>
      </c>
      <c r="E87" s="15" t="inlineStr">
        <is>
          <t>Mr Salawudeen Yusuff Olayemi</t>
        </is>
      </c>
      <c r="F87" s="17" t="n">
        <v>200000</v>
      </c>
      <c r="G87" s="15" t="inlineStr">
        <is>
          <t>CO-OWNERSHIP</t>
        </is>
      </c>
      <c r="H87" s="15" t="inlineStr">
        <is>
          <t>Co-ownership investment receipt: fixed-return product, not a sale of land/housing</t>
        </is>
      </c>
      <c r="I87" s="15" t="inlineStr">
        <is>
          <t>BAAY PROJECTS SALES EXPENSES (COMMISSION) RECORDS (1)</t>
        </is>
      </c>
      <c r="J87" s="15" t="inlineStr">
        <is>
          <t>MR BAKI</t>
        </is>
      </c>
      <c r="K87" s="15" t="n">
        <v>29</v>
      </c>
      <c r="L87" s="15" t="inlineStr">
        <is>
          <t>2025-02-09</t>
        </is>
      </c>
    </row>
    <row r="88">
      <c r="A88" s="15" t="inlineStr">
        <is>
          <t>EX084</t>
        </is>
      </c>
      <c r="B88" s="16" t="n">
        <v>45902</v>
      </c>
      <c r="C88" s="15" t="inlineStr">
        <is>
          <t>2025-09</t>
        </is>
      </c>
      <c r="D88" s="15" t="n">
        <v>2025</v>
      </c>
      <c r="E88" s="15" t="inlineStr">
        <is>
          <t>Zaynab Oyewo</t>
        </is>
      </c>
      <c r="F88" s="17" t="n">
        <v>2000000</v>
      </c>
      <c r="G88" s="15" t="inlineStr">
        <is>
          <t>CO-OWNERSHIP</t>
        </is>
      </c>
      <c r="H88" s="15" t="inlineStr">
        <is>
          <t>Co-ownership investment receipt: fixed-return product, not a sale of land/housing</t>
        </is>
      </c>
      <c r="I88" s="15" t="inlineStr">
        <is>
          <t>BAAY PROJECTS SALES EXPENSES (COMMISSION) RECORDS (1)</t>
        </is>
      </c>
      <c r="J88" s="15" t="inlineStr">
        <is>
          <t>MD</t>
        </is>
      </c>
      <c r="K88" s="15" t="n">
        <v>203</v>
      </c>
      <c r="L88" s="15" t="inlineStr">
        <is>
          <t>2025-02-09</t>
        </is>
      </c>
    </row>
    <row r="89">
      <c r="A89" s="15" t="inlineStr">
        <is>
          <t>EX085</t>
        </is>
      </c>
      <c r="B89" s="16" t="n">
        <v>45919</v>
      </c>
      <c r="C89" s="15" t="inlineStr">
        <is>
          <t>2025-09</t>
        </is>
      </c>
      <c r="D89" s="15" t="n">
        <v>2025</v>
      </c>
      <c r="E89" s="15" t="inlineStr">
        <is>
          <t>Mr Okelezo David Emmanuel</t>
        </is>
      </c>
      <c r="F89" s="17" t="n">
        <v>500000</v>
      </c>
      <c r="G89" s="15" t="inlineStr">
        <is>
          <t>CO-OWNERSHIP</t>
        </is>
      </c>
      <c r="H89" s="15" t="inlineStr">
        <is>
          <t>Co-ownership investment receipt: fixed-return product, not a sale of land/housing</t>
        </is>
      </c>
      <c r="I89" s="15" t="inlineStr">
        <is>
          <t>BAAY PROJECTS SALES EXPENSES (COMMISSION) RECORDS (1)</t>
        </is>
      </c>
      <c r="J89" s="15" t="inlineStr">
        <is>
          <t>MS ADENIKE</t>
        </is>
      </c>
      <c r="K89" s="15" t="n">
        <v>82</v>
      </c>
      <c r="L89" s="15" t="inlineStr">
        <is>
          <t>19/09/2025</t>
        </is>
      </c>
    </row>
    <row r="90">
      <c r="A90" s="15" t="inlineStr">
        <is>
          <t>EX086</t>
        </is>
      </c>
      <c r="B90" s="16" t="n">
        <v>45920</v>
      </c>
      <c r="C90" s="15" t="inlineStr">
        <is>
          <t>2025-09</t>
        </is>
      </c>
      <c r="D90" s="15" t="n">
        <v>2025</v>
      </c>
      <c r="E90" s="15" t="inlineStr">
        <is>
          <t>Mr Kolawole babatunde Olupona</t>
        </is>
      </c>
      <c r="F90" s="17" t="n">
        <v>1000000</v>
      </c>
      <c r="G90" s="15" t="inlineStr">
        <is>
          <t>CO-OWNERSHIP</t>
        </is>
      </c>
      <c r="H90" s="15" t="inlineStr">
        <is>
          <t>Co-ownership investment receipt: fixed-return product, not a sale of land/housing</t>
        </is>
      </c>
      <c r="I90" s="15" t="inlineStr">
        <is>
          <t>BAAY PROJECTS SALES EXPENSES (COMMISSION) RECORDS (1)</t>
        </is>
      </c>
      <c r="J90" s="15" t="inlineStr">
        <is>
          <t>MR ALEX OLAFUSI</t>
        </is>
      </c>
      <c r="K90" s="15" t="n">
        <v>9</v>
      </c>
      <c r="L90" s="15" t="inlineStr">
        <is>
          <t>20/09/2025</t>
        </is>
      </c>
    </row>
    <row r="91">
      <c r="A91" s="15" t="inlineStr">
        <is>
          <t>EX087</t>
        </is>
      </c>
      <c r="B91" s="16" t="n">
        <v>45922</v>
      </c>
      <c r="C91" s="15" t="inlineStr">
        <is>
          <t>2025-09</t>
        </is>
      </c>
      <c r="D91" s="15" t="n">
        <v>2025</v>
      </c>
      <c r="E91" s="15" t="inlineStr">
        <is>
          <t>Mr Kolawole babatunde Olupona</t>
        </is>
      </c>
      <c r="F91" s="17" t="n">
        <v>1000000</v>
      </c>
      <c r="G91" s="15" t="inlineStr">
        <is>
          <t>CO-OWNERSHIP</t>
        </is>
      </c>
      <c r="H91" s="15" t="inlineStr">
        <is>
          <t>Co-ownership investment receipt: fixed-return product, not a sale of land/housing</t>
        </is>
      </c>
      <c r="I91" s="15" t="inlineStr">
        <is>
          <t>BAAY PROJECTS SALES EXPENSES (COMMISSION) RECORDS (1)</t>
        </is>
      </c>
      <c r="J91" s="15" t="inlineStr">
        <is>
          <t>MR ALEX OLAFUSI</t>
        </is>
      </c>
      <c r="K91" s="15" t="n">
        <v>10</v>
      </c>
      <c r="L91" s="15" t="inlineStr">
        <is>
          <t>22/09/2025</t>
        </is>
      </c>
    </row>
    <row r="92">
      <c r="A92" s="15" t="inlineStr">
        <is>
          <t>EX088</t>
        </is>
      </c>
      <c r="B92" s="16" t="n">
        <v>45922</v>
      </c>
      <c r="C92" s="15" t="inlineStr">
        <is>
          <t>2025-09</t>
        </is>
      </c>
      <c r="D92" s="15" t="n">
        <v>2025</v>
      </c>
      <c r="E92" s="15" t="inlineStr">
        <is>
          <t>Miss Olotu Oyinkansola Comfort</t>
        </is>
      </c>
      <c r="F92" s="17" t="n">
        <v>2500000</v>
      </c>
      <c r="G92" s="15" t="inlineStr">
        <is>
          <t>CO-OWNERSHIP</t>
        </is>
      </c>
      <c r="H92" s="15" t="inlineStr">
        <is>
          <t>Co-ownership investment receipt: fixed-return product, not a sale of land/housing</t>
        </is>
      </c>
      <c r="I92" s="15" t="inlineStr">
        <is>
          <t>BAAY PROJECTS SALES EXPENSES (COMMISSION) RECORDS (1)</t>
        </is>
      </c>
      <c r="J92" s="15" t="inlineStr">
        <is>
          <t>MS TABITHA OLOTU</t>
        </is>
      </c>
      <c r="K92" s="15" t="n">
        <v>17</v>
      </c>
      <c r="L92" s="15" t="inlineStr">
        <is>
          <t>22/09/2025</t>
        </is>
      </c>
    </row>
    <row r="93">
      <c r="A93" s="15" t="inlineStr">
        <is>
          <t>EX089</t>
        </is>
      </c>
      <c r="B93" s="16" t="n">
        <v>45923</v>
      </c>
      <c r="C93" s="15" t="inlineStr">
        <is>
          <t>2025-09</t>
        </is>
      </c>
      <c r="D93" s="15" t="n">
        <v>2025</v>
      </c>
      <c r="E93" s="15" t="inlineStr">
        <is>
          <t>Mr Kolawole babatunde Olupona</t>
        </is>
      </c>
      <c r="F93" s="17" t="n">
        <v>1000000</v>
      </c>
      <c r="G93" s="15" t="inlineStr">
        <is>
          <t>CO-OWNERSHIP</t>
        </is>
      </c>
      <c r="H93" s="15" t="inlineStr">
        <is>
          <t>Co-ownership investment receipt: fixed-return product, not a sale of land/housing</t>
        </is>
      </c>
      <c r="I93" s="15" t="inlineStr">
        <is>
          <t>BAAY PROJECTS SALES EXPENSES (COMMISSION) RECORDS (1)</t>
        </is>
      </c>
      <c r="J93" s="15" t="inlineStr">
        <is>
          <t>MR ALEX OLAFUSI</t>
        </is>
      </c>
      <c r="K93" s="15" t="n">
        <v>11</v>
      </c>
      <c r="L93" s="15" t="inlineStr">
        <is>
          <t>23/09/2025</t>
        </is>
      </c>
    </row>
    <row r="94">
      <c r="A94" s="15" t="inlineStr">
        <is>
          <t>EX090</t>
        </is>
      </c>
      <c r="B94" s="16" t="n">
        <v>45926</v>
      </c>
      <c r="C94" s="15" t="inlineStr">
        <is>
          <t>2025-09</t>
        </is>
      </c>
      <c r="D94" s="15" t="n">
        <v>2025</v>
      </c>
      <c r="E94" s="15" t="inlineStr">
        <is>
          <t>Mr Sholagbade Mustapha</t>
        </is>
      </c>
      <c r="F94" s="17" t="n">
        <v>500000</v>
      </c>
      <c r="G94" s="15" t="inlineStr">
        <is>
          <t>CO-OWNERSHIP</t>
        </is>
      </c>
      <c r="H94" s="15" t="inlineStr">
        <is>
          <t>Co-ownership investment receipt: fixed-return product, not a sale of land/housing</t>
        </is>
      </c>
      <c r="I94" s="15" t="inlineStr">
        <is>
          <t>BAAY PROJECTS SALES EXPENSES (COMMISSION) RECORDS (1)</t>
        </is>
      </c>
      <c r="J94" s="15" t="inlineStr">
        <is>
          <t>MS KENNY MARKETING ODUSANYA</t>
        </is>
      </c>
      <c r="K94" s="15" t="n">
        <v>2</v>
      </c>
      <c r="L94" s="15" t="inlineStr">
        <is>
          <t>26/09/2025</t>
        </is>
      </c>
    </row>
    <row r="95">
      <c r="A95" s="15" t="inlineStr">
        <is>
          <t>EX091</t>
        </is>
      </c>
      <c r="B95" s="16" t="n">
        <v>45944</v>
      </c>
      <c r="C95" s="15" t="inlineStr">
        <is>
          <t>2025-10</t>
        </is>
      </c>
      <c r="D95" s="15" t="n">
        <v>2025</v>
      </c>
      <c r="E95" s="15" t="inlineStr">
        <is>
          <t>Mr Oloro Sunday Irewole</t>
        </is>
      </c>
      <c r="F95" s="17" t="n">
        <v>1000000</v>
      </c>
      <c r="G95" s="15" t="inlineStr">
        <is>
          <t>CO-OWNERSHIP</t>
        </is>
      </c>
      <c r="H95" s="15" t="inlineStr">
        <is>
          <t>Co-ownership investment receipt: fixed-return product, not a sale of land/housing</t>
        </is>
      </c>
      <c r="I95" s="15" t="inlineStr">
        <is>
          <t>BAAY PROJECTS SALES EXPENSES (COMMISSION) RECORDS (1)</t>
        </is>
      </c>
      <c r="J95" s="15" t="inlineStr">
        <is>
          <t>MRS ABIMBOLA</t>
        </is>
      </c>
      <c r="K95" s="15" t="n">
        <v>248</v>
      </c>
      <c r="L95" s="15" t="inlineStr">
        <is>
          <t>14/10/2025</t>
        </is>
      </c>
    </row>
    <row r="96">
      <c r="A96" s="15" t="inlineStr">
        <is>
          <t>EX092</t>
        </is>
      </c>
      <c r="B96" s="16" t="n">
        <v>45954</v>
      </c>
      <c r="C96" s="15" t="inlineStr">
        <is>
          <t>2025-10</t>
        </is>
      </c>
      <c r="D96" s="15" t="n">
        <v>2025</v>
      </c>
      <c r="E96" s="15" t="inlineStr">
        <is>
          <t>Mr Ogbu Pius Ejaka</t>
        </is>
      </c>
      <c r="F96" s="17" t="n">
        <v>1000000</v>
      </c>
      <c r="G96" s="15" t="inlineStr">
        <is>
          <t>CO-OWNERSHIP</t>
        </is>
      </c>
      <c r="H96" s="15" t="inlineStr">
        <is>
          <t>Co-ownership investment receipt: fixed-return product, not a sale of land/housing</t>
        </is>
      </c>
      <c r="I96" s="15" t="inlineStr">
        <is>
          <t>BAAY PROJECTS SALES EXPENSES (COMMISSION) RECORDS (1)</t>
        </is>
      </c>
      <c r="J96" s="15" t="inlineStr">
        <is>
          <t>MS MAYOWA BRAIMOH</t>
        </is>
      </c>
      <c r="K96" s="15" t="n">
        <v>86</v>
      </c>
      <c r="L96" s="15" t="inlineStr">
        <is>
          <t>24/10/2025</t>
        </is>
      </c>
    </row>
    <row r="97">
      <c r="A97" s="15" t="inlineStr">
        <is>
          <t>EX093</t>
        </is>
      </c>
      <c r="B97" s="16" t="n">
        <v>45961</v>
      </c>
      <c r="C97" s="15" t="inlineStr">
        <is>
          <t>2025-10</t>
        </is>
      </c>
      <c r="D97" s="15" t="n">
        <v>2025</v>
      </c>
      <c r="E97" s="15" t="inlineStr">
        <is>
          <t>Miss Uzochukwu Adaeze Keren</t>
        </is>
      </c>
      <c r="F97" s="17" t="n">
        <v>2000000</v>
      </c>
      <c r="G97" s="15" t="inlineStr">
        <is>
          <t>CO-OWNERSHIP</t>
        </is>
      </c>
      <c r="H97" s="15" t="inlineStr">
        <is>
          <t>Co-ownership investment receipt: fixed-return product, not a sale of land/housing</t>
        </is>
      </c>
      <c r="I97" s="15" t="inlineStr">
        <is>
          <t>BAAY PROJECTS SALES EXPENSES (COMMISSION) RECORDS (1)</t>
        </is>
      </c>
      <c r="J97" s="15" t="inlineStr">
        <is>
          <t>MS MAYOWA BRAIMOH</t>
        </is>
      </c>
      <c r="K97" s="15" t="n">
        <v>87</v>
      </c>
      <c r="L97" s="15" t="inlineStr">
        <is>
          <t>31/10/2025</t>
        </is>
      </c>
    </row>
    <row r="98">
      <c r="A98" s="15" t="inlineStr">
        <is>
          <t>EX094</t>
        </is>
      </c>
      <c r="B98" s="16" t="n">
        <v>45966</v>
      </c>
      <c r="C98" s="15" t="inlineStr">
        <is>
          <t>2025-11</t>
        </is>
      </c>
      <c r="D98" s="15" t="n">
        <v>2025</v>
      </c>
      <c r="E98" s="15" t="inlineStr">
        <is>
          <t>Mr William-Ogidan Abiodun</t>
        </is>
      </c>
      <c r="F98" s="17" t="n">
        <v>1200000</v>
      </c>
      <c r="G98" s="15" t="inlineStr">
        <is>
          <t>CO-OWNERSHIP</t>
        </is>
      </c>
      <c r="H98" s="15" t="inlineStr">
        <is>
          <t>Co-ownership investment receipt: fixed-return product, not a sale of land/housing</t>
        </is>
      </c>
      <c r="I98" s="15" t="inlineStr">
        <is>
          <t>BAAY PROJECTS SALES EXPENSES (COMMISSION) RECORDS (1)</t>
        </is>
      </c>
      <c r="J98" s="15" t="inlineStr">
        <is>
          <t>OGIDAN</t>
        </is>
      </c>
      <c r="K98" s="15" t="n">
        <v>123</v>
      </c>
      <c r="L98" s="15" t="inlineStr">
        <is>
          <t>2025-05-11</t>
        </is>
      </c>
    </row>
    <row r="99">
      <c r="A99" s="15" t="inlineStr">
        <is>
          <t>EX095</t>
        </is>
      </c>
      <c r="B99" s="16" t="n">
        <v>45971</v>
      </c>
      <c r="C99" s="15" t="inlineStr">
        <is>
          <t>2025-11</t>
        </is>
      </c>
      <c r="D99" s="15" t="n">
        <v>2025</v>
      </c>
      <c r="E99" s="15" t="inlineStr">
        <is>
          <t>Miss Ezeribeaku Chinenye Andaline</t>
        </is>
      </c>
      <c r="F99" s="17" t="n">
        <v>3000000</v>
      </c>
      <c r="G99" s="15" t="inlineStr">
        <is>
          <t>CO-OWNERSHIP</t>
        </is>
      </c>
      <c r="H99" s="15" t="inlineStr">
        <is>
          <t>Co-ownership investment receipt: fixed-return product, not a sale of land/housing</t>
        </is>
      </c>
      <c r="I99" s="15" t="inlineStr">
        <is>
          <t>BAAY PROJECTS SALES EXPENSES (COMMISSION) RECORDS (1)</t>
        </is>
      </c>
      <c r="J99" s="15" t="inlineStr">
        <is>
          <t>MS BLESSING</t>
        </is>
      </c>
      <c r="K99" s="15" t="n">
        <v>145</v>
      </c>
      <c r="L99" s="15" t="inlineStr">
        <is>
          <t>2025-10-11</t>
        </is>
      </c>
    </row>
    <row r="100">
      <c r="A100" s="15" t="inlineStr">
        <is>
          <t>EX096</t>
        </is>
      </c>
      <c r="B100" s="16" t="n">
        <v>45971</v>
      </c>
      <c r="C100" s="15" t="inlineStr">
        <is>
          <t>2025-11</t>
        </is>
      </c>
      <c r="D100" s="15" t="n">
        <v>2025</v>
      </c>
      <c r="E100" s="15" t="inlineStr">
        <is>
          <t>Sanni Balqis Ometere</t>
        </is>
      </c>
      <c r="F100" s="17" t="n">
        <v>200000</v>
      </c>
      <c r="G100" s="15" t="inlineStr">
        <is>
          <t>CO-OWNERSHIP</t>
        </is>
      </c>
      <c r="H100" s="15" t="inlineStr">
        <is>
          <t>Co-ownership investment receipt: fixed-return product, not a sale of land/housing</t>
        </is>
      </c>
      <c r="I100" s="15" t="inlineStr">
        <is>
          <t>BAAY PROJECTS SALES EXPENSES (COMMISSION) RECORDS (1)</t>
        </is>
      </c>
      <c r="J100" s="15" t="inlineStr">
        <is>
          <t>BALQIS OMOTERE</t>
        </is>
      </c>
      <c r="K100" s="15" t="n">
        <v>2</v>
      </c>
      <c r="L100" s="15" t="inlineStr">
        <is>
          <t>2025-10-11</t>
        </is>
      </c>
    </row>
    <row r="101">
      <c r="A101" s="15" t="inlineStr">
        <is>
          <t>EX097</t>
        </is>
      </c>
      <c r="B101" s="16" t="n">
        <v>45989</v>
      </c>
      <c r="C101" s="15" t="inlineStr">
        <is>
          <t>2025-11</t>
        </is>
      </c>
      <c r="D101" s="15" t="n">
        <v>2025</v>
      </c>
      <c r="E101" s="15" t="inlineStr">
        <is>
          <t>Mr Ogbu Pius Ejaka</t>
        </is>
      </c>
      <c r="F101" s="17" t="n">
        <v>4000000</v>
      </c>
      <c r="G101" s="15" t="inlineStr">
        <is>
          <t>CO-OWNERSHIP</t>
        </is>
      </c>
      <c r="H101" s="15" t="inlineStr">
        <is>
          <t>Co-ownership investment receipt: fixed-return product, not a sale of land/housing</t>
        </is>
      </c>
      <c r="I101" s="15" t="inlineStr">
        <is>
          <t>BAAY PROJECTS SALES EXPENSES (COMMISSION) RECORDS (1)</t>
        </is>
      </c>
      <c r="J101" s="15" t="inlineStr">
        <is>
          <t>MS MAYOWA BRAIMOH</t>
        </is>
      </c>
      <c r="K101" s="15" t="n">
        <v>93</v>
      </c>
      <c r="L101" s="15" t="inlineStr">
        <is>
          <t>28/11/2025</t>
        </is>
      </c>
    </row>
    <row r="102">
      <c r="A102" s="15" t="inlineStr">
        <is>
          <t>EX098</t>
        </is>
      </c>
      <c r="B102" s="16" t="n">
        <v>46013</v>
      </c>
      <c r="C102" s="15" t="inlineStr">
        <is>
          <t>2025-12</t>
        </is>
      </c>
      <c r="D102" s="15" t="n">
        <v>2025</v>
      </c>
      <c r="E102" s="15" t="inlineStr">
        <is>
          <t>Ms Oluwadolapo Osobu</t>
        </is>
      </c>
      <c r="F102" s="17" t="n">
        <v>10098500</v>
      </c>
      <c r="G102" s="15" t="inlineStr">
        <is>
          <t>CO-OWNERSHIP</t>
        </is>
      </c>
      <c r="H102" s="15" t="inlineStr">
        <is>
          <t>Co-ownership investment receipt: fixed-return product, not a sale of land/housing</t>
        </is>
      </c>
      <c r="I102" s="15" t="inlineStr">
        <is>
          <t>BAAY PROJECTS SALES EXPENSES (COMMISSION) RECORDS (1)</t>
        </is>
      </c>
      <c r="J102" s="15" t="inlineStr">
        <is>
          <t>MD</t>
        </is>
      </c>
      <c r="K102" s="15" t="n">
        <v>218</v>
      </c>
      <c r="L102" s="15" t="inlineStr">
        <is>
          <t>22/12/2025</t>
        </is>
      </c>
    </row>
    <row r="103">
      <c r="A103" s="15" t="inlineStr">
        <is>
          <t>EX099</t>
        </is>
      </c>
      <c r="B103" s="16" t="n">
        <v>46014</v>
      </c>
      <c r="C103" s="15" t="inlineStr">
        <is>
          <t>2025-12</t>
        </is>
      </c>
      <c r="D103" s="15" t="n">
        <v>2025</v>
      </c>
      <c r="E103" s="15" t="inlineStr">
        <is>
          <t>Mr Michael Olakunle</t>
        </is>
      </c>
      <c r="F103" s="17" t="n">
        <v>3000000</v>
      </c>
      <c r="G103" s="15" t="inlineStr">
        <is>
          <t>CO-OWNERSHIP</t>
        </is>
      </c>
      <c r="H103" s="15" t="inlineStr">
        <is>
          <t>Co-ownership investment receipt: fixed-return product, not a sale of land/housing</t>
        </is>
      </c>
      <c r="I103" s="15" t="inlineStr">
        <is>
          <t>BAAY PROJECTS SALES EXPENSES (COMMISSION) RECORDS (1)</t>
        </is>
      </c>
      <c r="J103" s="15" t="inlineStr">
        <is>
          <t>MD</t>
        </is>
      </c>
      <c r="K103" s="15" t="n">
        <v>219</v>
      </c>
      <c r="L103" s="15" t="inlineStr">
        <is>
          <t>23/12/2025</t>
        </is>
      </c>
    </row>
    <row r="104">
      <c r="A104" s="15" t="inlineStr">
        <is>
          <t>EX100</t>
        </is>
      </c>
      <c r="B104" s="16" t="n">
        <v>46014</v>
      </c>
      <c r="C104" s="15" t="inlineStr">
        <is>
          <t>2025-12</t>
        </is>
      </c>
      <c r="D104" s="15" t="n">
        <v>2025</v>
      </c>
      <c r="E104" s="15" t="inlineStr">
        <is>
          <t>Mr Omodele Oluseye Johnson</t>
        </is>
      </c>
      <c r="F104" s="17" t="n">
        <v>5000000</v>
      </c>
      <c r="G104" s="15" t="inlineStr">
        <is>
          <t>CO-OWNERSHIP</t>
        </is>
      </c>
      <c r="H104" s="15" t="inlineStr">
        <is>
          <t>Co-ownership investment receipt: fixed-return product, not a sale of land/housing</t>
        </is>
      </c>
      <c r="I104" s="15" t="inlineStr">
        <is>
          <t>BAAY PROJECTS SALES EXPENSES (COMMISSION) RECORDS (1)</t>
        </is>
      </c>
      <c r="J104" s="15" t="inlineStr">
        <is>
          <t>OJUMEFOR AGHA</t>
        </is>
      </c>
      <c r="K104" s="15" t="n">
        <v>17</v>
      </c>
      <c r="L104" s="15" t="inlineStr">
        <is>
          <t>23/12/2025</t>
        </is>
      </c>
    </row>
    <row r="105">
      <c r="A105" s="15" t="inlineStr">
        <is>
          <t>EX101</t>
        </is>
      </c>
      <c r="B105" s="16" t="n">
        <v>46015</v>
      </c>
      <c r="C105" s="15" t="inlineStr">
        <is>
          <t>2025-12</t>
        </is>
      </c>
      <c r="D105" s="15" t="n">
        <v>2025</v>
      </c>
      <c r="E105" s="15" t="inlineStr">
        <is>
          <t>Salem real Estate (Mr Adebowale Oyindamola Adewunmi)</t>
        </is>
      </c>
      <c r="F105" s="17" t="n">
        <v>5000000</v>
      </c>
      <c r="G105" s="15" t="inlineStr">
        <is>
          <t>CO-OWNERSHIP</t>
        </is>
      </c>
      <c r="H105" s="15" t="inlineStr">
        <is>
          <t>Co-ownership investment receipt: fixed-return product, not a sale of land/housing</t>
        </is>
      </c>
      <c r="I105" s="15" t="inlineStr">
        <is>
          <t>BAAY PROJECTS SALES EXPENSES (COMMISSION) RECORDS (1)</t>
        </is>
      </c>
      <c r="J105" s="15" t="inlineStr">
        <is>
          <t>SALEM REAL ESTATE</t>
        </is>
      </c>
      <c r="K105" s="15" t="n">
        <v>67</v>
      </c>
      <c r="L105" s="15" t="inlineStr">
        <is>
          <t>24/12/2025</t>
        </is>
      </c>
    </row>
    <row r="106">
      <c r="A106" s="15" t="inlineStr">
        <is>
          <t>EX102</t>
        </is>
      </c>
      <c r="B106" s="16" t="n">
        <v>46016</v>
      </c>
      <c r="C106" s="15" t="inlineStr">
        <is>
          <t>2025-12</t>
        </is>
      </c>
      <c r="D106" s="15" t="n">
        <v>2025</v>
      </c>
      <c r="E106" s="15" t="inlineStr">
        <is>
          <t>Mrs Oladele Adenike Monsura</t>
        </is>
      </c>
      <c r="F106" s="17" t="n">
        <v>2000000</v>
      </c>
      <c r="G106" s="15" t="inlineStr">
        <is>
          <t>CO-OWNERSHIP</t>
        </is>
      </c>
      <c r="H106" s="15" t="inlineStr">
        <is>
          <t>Co-ownership investment receipt: fixed-return product, not a sale of land/housing</t>
        </is>
      </c>
      <c r="I106" s="15" t="inlineStr">
        <is>
          <t>BAAY PROJECTS SALES EXPENSES (COMMISSION) RECORDS (1)</t>
        </is>
      </c>
      <c r="J106" s="15" t="inlineStr">
        <is>
          <t>MS ADENIKE</t>
        </is>
      </c>
      <c r="K106" s="15" t="n">
        <v>89</v>
      </c>
      <c r="L106" s="15" t="inlineStr">
        <is>
          <t>25/12/2025</t>
        </is>
      </c>
    </row>
    <row r="107">
      <c r="A107" s="15" t="inlineStr">
        <is>
          <t>EX103</t>
        </is>
      </c>
      <c r="B107" s="16" t="n">
        <v>46017</v>
      </c>
      <c r="C107" s="15" t="inlineStr">
        <is>
          <t>2025-12</t>
        </is>
      </c>
      <c r="D107" s="15" t="n">
        <v>2025</v>
      </c>
      <c r="E107" s="15" t="inlineStr">
        <is>
          <t>Toyyibah Olabisi</t>
        </is>
      </c>
      <c r="F107" s="17" t="n">
        <v>8000000</v>
      </c>
      <c r="G107" s="15" t="inlineStr">
        <is>
          <t>CO-OWNERSHIP</t>
        </is>
      </c>
      <c r="H107" s="15" t="inlineStr">
        <is>
          <t>Co-ownership investment receipt: fixed-return product, not a sale of land/housing</t>
        </is>
      </c>
      <c r="I107" s="15" t="inlineStr">
        <is>
          <t>BAAY PROJECTS SALES EXPENSES (COMMISSION) RECORDS (1)</t>
        </is>
      </c>
      <c r="J107" s="15" t="inlineStr">
        <is>
          <t>MD</t>
        </is>
      </c>
      <c r="K107" s="15" t="n">
        <v>220</v>
      </c>
      <c r="L107" s="15" t="inlineStr">
        <is>
          <t>26/12/2025</t>
        </is>
      </c>
    </row>
    <row r="108">
      <c r="A108" s="15" t="inlineStr">
        <is>
          <t>EX104</t>
        </is>
      </c>
      <c r="B108" s="16" t="n">
        <v>46021</v>
      </c>
      <c r="C108" s="15" t="inlineStr">
        <is>
          <t>2025-12</t>
        </is>
      </c>
      <c r="D108" s="15" t="n">
        <v>2025</v>
      </c>
      <c r="E108" s="15" t="inlineStr">
        <is>
          <t>Mr Olabanji Peace Oluwatoyin</t>
        </is>
      </c>
      <c r="F108" s="17" t="n">
        <v>2200000</v>
      </c>
      <c r="G108" s="15" t="inlineStr">
        <is>
          <t>CO-OWNERSHIP</t>
        </is>
      </c>
      <c r="H108" s="15" t="inlineStr">
        <is>
          <t>Co-ownership investment receipt: fixed-return product, not a sale of land/housing</t>
        </is>
      </c>
      <c r="I108" s="15" t="inlineStr">
        <is>
          <t>BAAY PROJECTS SALES EXPENSES (COMMISSION) RECORDS (1)</t>
        </is>
      </c>
      <c r="J108" s="15" t="inlineStr">
        <is>
          <t>MS.OLABANJI TEAM ABIMBOLA</t>
        </is>
      </c>
      <c r="K108" s="15" t="n">
        <v>2</v>
      </c>
      <c r="L108" s="15" t="inlineStr">
        <is>
          <t>30/12/2025</t>
        </is>
      </c>
    </row>
    <row r="109">
      <c r="E109" s="18" t="inlineStr">
        <is>
          <t>Total</t>
        </is>
      </c>
      <c r="F109" s="19">
        <f>SUBTOTAL(9,F5:F108)</f>
        <v/>
      </c>
    </row>
  </sheetData>
  <autoFilter ref="A4:L108"/>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L95"/>
  <sheetViews>
    <sheetView zoomScaleNormal="10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ColWidth="8.6328125" defaultRowHeight="14.5"/>
  <cols>
    <col width="9" customWidth="1" min="1" max="1"/>
    <col width="12" customWidth="1" min="2" max="2"/>
    <col width="7" customWidth="1" min="3" max="3"/>
    <col width="11" customWidth="1" min="4" max="4"/>
    <col width="34" customWidth="1" min="5" max="5"/>
    <col width="15" customWidth="1" min="6" max="6"/>
    <col width="30" customWidth="1" min="7" max="7"/>
    <col width="34" customWidth="1" min="8" max="8"/>
    <col width="22" customWidth="1" min="9" max="9"/>
    <col width="8" customWidth="1" min="10" max="10"/>
    <col width="30" customWidth="1" min="11" max="11"/>
    <col width="13" customWidth="1" min="12" max="12"/>
  </cols>
  <sheetData>
    <row r="1" ht="18" customHeight="1">
      <c r="A1" s="1" t="inlineStr">
        <is>
          <t>Secondary records not matched one-to-one to the monthly turnover register (Dec 2023 to Dec 2024)</t>
        </is>
      </c>
    </row>
    <row r="2">
      <c r="A2" s="2" t="inlineStr">
        <is>
          <t>Not added to Sales_Ledger, to avoid double counting. Most are aggregates or splits of receipts already in the register; a few may be receipts missing from it. Agree each to bank.</t>
        </is>
      </c>
    </row>
    <row r="4" ht="30" customHeight="1">
      <c r="A4" s="14" t="inlineStr">
        <is>
          <t>Ref</t>
        </is>
      </c>
      <c r="B4" s="14" t="inlineStr">
        <is>
          <t>Date</t>
        </is>
      </c>
      <c r="C4" s="14" t="inlineStr">
        <is>
          <t>Year</t>
        </is>
      </c>
      <c r="D4" s="14" t="inlineStr">
        <is>
          <t>Customer ID</t>
        </is>
      </c>
      <c r="E4" s="14" t="inlineStr">
        <is>
          <t>Customer name (as recorded)</t>
        </is>
      </c>
      <c r="F4" s="14" t="inlineStr">
        <is>
          <t>Amount (₦)</t>
        </is>
      </c>
      <c r="G4" s="14" t="inlineStr">
        <is>
          <t>Project (as inferred)</t>
        </is>
      </c>
      <c r="H4" s="14" t="inlineStr">
        <is>
          <t>Source file</t>
        </is>
      </c>
      <c r="I4" s="14" t="inlineStr">
        <is>
          <t>Source sheet</t>
        </is>
      </c>
      <c r="J4" s="14" t="inlineStr">
        <is>
          <t>Source row</t>
        </is>
      </c>
      <c r="K4" s="14" t="inlineStr">
        <is>
          <t>Also recorded in</t>
        </is>
      </c>
      <c r="L4" s="14" t="inlineStr">
        <is>
          <t>Date as recorded</t>
        </is>
      </c>
    </row>
    <row r="5">
      <c r="A5" s="15" t="inlineStr">
        <is>
          <t>XC001</t>
        </is>
      </c>
      <c r="B5" s="16" t="n">
        <v>45261</v>
      </c>
      <c r="C5" s="15" t="n">
        <v>2023</v>
      </c>
      <c r="D5" s="15" t="inlineStr">
        <is>
          <t>BP-C0026</t>
        </is>
      </c>
      <c r="E5" s="15" t="inlineStr">
        <is>
          <t>Mr Adebayo Dada</t>
        </is>
      </c>
      <c r="F5" s="17" t="n">
        <v>300000</v>
      </c>
      <c r="G5" s="15" t="inlineStr">
        <is>
          <t>Green City Phase 1 (Ketu-Epe)</t>
        </is>
      </c>
      <c r="H5" s="15" t="inlineStr">
        <is>
          <t>BAAY PROJECTS FINANCIALS 2024.xlsx</t>
        </is>
      </c>
      <c r="I5" s="15" t="inlineStr">
        <is>
          <t>TURNOVER SCHEDULE</t>
        </is>
      </c>
      <c r="J5" s="15" t="n">
        <v>12</v>
      </c>
      <c r="K5" s="15" t="n"/>
      <c r="L5" s="15" t="inlineStr">
        <is>
          <t>2023-01-12</t>
        </is>
      </c>
    </row>
    <row r="6">
      <c r="A6" s="15" t="inlineStr">
        <is>
          <t>XC002</t>
        </is>
      </c>
      <c r="B6" s="16" t="n">
        <v>45274</v>
      </c>
      <c r="C6" s="15" t="n">
        <v>2023</v>
      </c>
      <c r="D6" s="15" t="inlineStr">
        <is>
          <t>BP-C0050</t>
        </is>
      </c>
      <c r="E6" s="15" t="inlineStr">
        <is>
          <t>Mr Patrick Atuanya Jideovo</t>
        </is>
      </c>
      <c r="F6" s="17" t="n">
        <v>1000000</v>
      </c>
      <c r="G6" s="15" t="inlineStr">
        <is>
          <t>Green City Phase 1 (Ketu-Epe)</t>
        </is>
      </c>
      <c r="H6" s="15" t="inlineStr">
        <is>
          <t>BAAY PROJECTS FINANCIALS 2024.xlsx</t>
        </is>
      </c>
      <c r="I6" s="15" t="inlineStr">
        <is>
          <t>TURNOVER SCHEDULE</t>
        </is>
      </c>
      <c r="J6" s="15" t="n">
        <v>141</v>
      </c>
      <c r="K6" s="15" t="inlineStr">
        <is>
          <t>MS YETUNDE ABISOYE r10</t>
        </is>
      </c>
      <c r="L6" s="15" t="inlineStr">
        <is>
          <t>14/12/2023</t>
        </is>
      </c>
    </row>
    <row r="7">
      <c r="A7" s="15" t="inlineStr">
        <is>
          <t>XC003</t>
        </is>
      </c>
      <c r="B7" s="16" t="n">
        <v>45280</v>
      </c>
      <c r="C7" s="15" t="n">
        <v>2023</v>
      </c>
      <c r="D7" s="15" t="inlineStr">
        <is>
          <t>BP-C0033</t>
        </is>
      </c>
      <c r="E7" s="15" t="inlineStr">
        <is>
          <t>Mr Olumoko Oladapo Oluwaseun</t>
        </is>
      </c>
      <c r="F7" s="17" t="n">
        <v>1000000</v>
      </c>
      <c r="G7" s="15" t="inlineStr">
        <is>
          <t>Green City Phase 1 (Ketu-Epe)</t>
        </is>
      </c>
      <c r="H7" s="15" t="inlineStr">
        <is>
          <t>BAAY PROJECTS FINANCIALS 2024.xlsx</t>
        </is>
      </c>
      <c r="I7" s="15" t="inlineStr">
        <is>
          <t>TURNOVER SCHEDULE</t>
        </is>
      </c>
      <c r="J7" s="15" t="n">
        <v>158</v>
      </c>
      <c r="K7" s="15" t="inlineStr">
        <is>
          <t>MS BOLANLE r15</t>
        </is>
      </c>
      <c r="L7" s="15" t="inlineStr">
        <is>
          <t>20/12/2023</t>
        </is>
      </c>
    </row>
    <row r="8">
      <c r="A8" s="15" t="inlineStr">
        <is>
          <t>XC004</t>
        </is>
      </c>
      <c r="B8" s="16" t="n">
        <v>45284</v>
      </c>
      <c r="C8" s="15" t="n">
        <v>2023</v>
      </c>
      <c r="D8" s="15" t="inlineStr">
        <is>
          <t>BP-C0030</t>
        </is>
      </c>
      <c r="E8" s="15" t="inlineStr">
        <is>
          <t>Mr Akorede Adese</t>
        </is>
      </c>
      <c r="F8" s="17" t="n">
        <v>100000</v>
      </c>
      <c r="G8" s="15" t="inlineStr">
        <is>
          <t>Green City Phase 1 (Ketu-Epe)</t>
        </is>
      </c>
      <c r="H8" s="15" t="inlineStr">
        <is>
          <t>BAAY PROJECTS FINANCIALS 2024.xlsx</t>
        </is>
      </c>
      <c r="I8" s="15" t="inlineStr">
        <is>
          <t>TURNOVER SCHEDULE</t>
        </is>
      </c>
      <c r="J8" s="15" t="n">
        <v>207</v>
      </c>
      <c r="K8" s="15" t="n"/>
      <c r="L8" s="15" t="inlineStr">
        <is>
          <t>24/12/2023</t>
        </is>
      </c>
    </row>
    <row r="9">
      <c r="A9" s="15" t="inlineStr">
        <is>
          <t>XC005</t>
        </is>
      </c>
      <c r="B9" s="16" t="n">
        <v>45286</v>
      </c>
      <c r="C9" s="15" t="n">
        <v>2023</v>
      </c>
      <c r="D9" s="15" t="inlineStr">
        <is>
          <t>BP-C0228</t>
        </is>
      </c>
      <c r="E9" s="15" t="inlineStr">
        <is>
          <t>Mr Adegbembo Oluwagbemiga Adesin</t>
        </is>
      </c>
      <c r="F9" s="17" t="n">
        <v>1500000</v>
      </c>
      <c r="G9" s="15" t="inlineStr">
        <is>
          <t>Land (estate not stated in source)</t>
        </is>
      </c>
      <c r="H9" s="15" t="inlineStr">
        <is>
          <t>BAAY PROJECTS SALES EXPENSES (COMMISSION) RECORDS (1)</t>
        </is>
      </c>
      <c r="I9" s="15" t="inlineStr">
        <is>
          <t>MS ELIZABETH</t>
        </is>
      </c>
      <c r="J9" s="15" t="n">
        <v>7</v>
      </c>
      <c r="K9" s="15" t="n"/>
      <c r="L9" s="15" t="inlineStr">
        <is>
          <t>26/12/2023</t>
        </is>
      </c>
    </row>
    <row r="10">
      <c r="A10" s="15" t="inlineStr">
        <is>
          <t>XC006</t>
        </is>
      </c>
      <c r="B10" s="16" t="n">
        <v>45289</v>
      </c>
      <c r="C10" s="15" t="n">
        <v>2023</v>
      </c>
      <c r="D10" s="15" t="inlineStr">
        <is>
          <t>BP-C0058</t>
        </is>
      </c>
      <c r="E10" s="15" t="inlineStr">
        <is>
          <t>Mr Oniyide Olaoluwa Blessing</t>
        </is>
      </c>
      <c r="F10" s="17" t="n">
        <v>2000000</v>
      </c>
      <c r="G10" s="15" t="inlineStr">
        <is>
          <t>Land (estate not stated in source)</t>
        </is>
      </c>
      <c r="H10" s="15" t="inlineStr">
        <is>
          <t>BAAY PROJECTS SALES EXPENSES (COMMISSION) RECORDS (1)</t>
        </is>
      </c>
      <c r="I10" s="15" t="inlineStr">
        <is>
          <t>MR CHARLES</t>
        </is>
      </c>
      <c r="J10" s="15" t="n">
        <v>2</v>
      </c>
      <c r="K10" s="15" t="n"/>
      <c r="L10" s="15" t="inlineStr">
        <is>
          <t>29/12/2023</t>
        </is>
      </c>
    </row>
    <row r="11">
      <c r="A11" s="15" t="inlineStr">
        <is>
          <t>XC007</t>
        </is>
      </c>
      <c r="B11" s="16" t="n">
        <v>45292</v>
      </c>
      <c r="C11" s="15" t="n">
        <v>2024</v>
      </c>
      <c r="D11" s="15" t="inlineStr">
        <is>
          <t>BP-C0227</t>
        </is>
      </c>
      <c r="E11" s="15" t="inlineStr">
        <is>
          <t>Mitchel Jennifer</t>
        </is>
      </c>
      <c r="F11" s="17" t="n">
        <v>200000</v>
      </c>
      <c r="G11" s="15" t="inlineStr">
        <is>
          <t>Land (estate not stated in source)</t>
        </is>
      </c>
      <c r="H11" s="15" t="inlineStr">
        <is>
          <t>BAAY PROJECTS SALES EXPENSES (COMMISSION) RECORDS (1)</t>
        </is>
      </c>
      <c r="I11" s="15" t="inlineStr">
        <is>
          <t>MS CELINA</t>
        </is>
      </c>
      <c r="J11" s="15" t="n">
        <v>15</v>
      </c>
      <c r="K11" s="15" t="n"/>
      <c r="L11" s="15" t="inlineStr">
        <is>
          <t>2024-01-01</t>
        </is>
      </c>
    </row>
    <row r="12">
      <c r="A12" s="15" t="inlineStr">
        <is>
          <t>XC008</t>
        </is>
      </c>
      <c r="B12" s="16" t="n">
        <v>45309</v>
      </c>
      <c r="C12" s="15" t="n">
        <v>2024</v>
      </c>
      <c r="D12" s="15" t="inlineStr">
        <is>
          <t>BP-C0017</t>
        </is>
      </c>
      <c r="E12" s="15" t="inlineStr">
        <is>
          <t>Taiwo John Adeleye</t>
        </is>
      </c>
      <c r="F12" s="17" t="n">
        <v>3500000</v>
      </c>
      <c r="G12" s="15" t="inlineStr">
        <is>
          <t>Land (estate not stated in source)</t>
        </is>
      </c>
      <c r="H12" s="15" t="inlineStr">
        <is>
          <t>BAAY PROJECTS SALES EXPENSES (COMMISSION) RECORDS (1)</t>
        </is>
      </c>
      <c r="I12" s="15" t="inlineStr">
        <is>
          <t>MD</t>
        </is>
      </c>
      <c r="J12" s="15" t="n">
        <v>3</v>
      </c>
      <c r="K12" s="15" t="n"/>
      <c r="L12" s="15" t="inlineStr">
        <is>
          <t>18/01/2024</t>
        </is>
      </c>
    </row>
    <row r="13">
      <c r="A13" s="15" t="inlineStr">
        <is>
          <t>XC009</t>
        </is>
      </c>
      <c r="B13" s="16" t="n">
        <v>45315</v>
      </c>
      <c r="C13" s="15" t="n">
        <v>2024</v>
      </c>
      <c r="D13" s="15" t="inlineStr">
        <is>
          <t>BP-C0058</t>
        </is>
      </c>
      <c r="E13" s="15" t="inlineStr">
        <is>
          <t>Mr Oniyide Olaoluwa Blessing</t>
        </is>
      </c>
      <c r="F13" s="17" t="n">
        <v>1000000</v>
      </c>
      <c r="G13" s="15" t="inlineStr">
        <is>
          <t>Land (estate not stated in source)</t>
        </is>
      </c>
      <c r="H13" s="15" t="inlineStr">
        <is>
          <t>BAAY PROJECTS SALES EXPENSES (COMMISSION) RECORDS (1)</t>
        </is>
      </c>
      <c r="I13" s="15" t="inlineStr">
        <is>
          <t>MR CHARLES</t>
        </is>
      </c>
      <c r="J13" s="15" t="n">
        <v>3</v>
      </c>
      <c r="K13" s="15" t="n"/>
      <c r="L13" s="15" t="inlineStr">
        <is>
          <t>24/01/2024</t>
        </is>
      </c>
    </row>
    <row r="14">
      <c r="A14" s="15" t="inlineStr">
        <is>
          <t>XC010</t>
        </is>
      </c>
      <c r="B14" s="16" t="n">
        <v>45320</v>
      </c>
      <c r="C14" s="15" t="n">
        <v>2024</v>
      </c>
      <c r="D14" s="15" t="inlineStr">
        <is>
          <t>BP-C0029</t>
        </is>
      </c>
      <c r="E14" s="15" t="inlineStr">
        <is>
          <t>Mr Ohanehi Anthony Chukwunonso</t>
        </is>
      </c>
      <c r="F14" s="17" t="n">
        <v>1500000</v>
      </c>
      <c r="G14" s="15" t="inlineStr">
        <is>
          <t>Green City Phase 1 (Ketu-Epe)</t>
        </is>
      </c>
      <c r="H14" s="15" t="inlineStr">
        <is>
          <t>BAAY PROJECTS FINANCIALS 2024.xlsx</t>
        </is>
      </c>
      <c r="I14" s="15" t="inlineStr">
        <is>
          <t>TURNOVER SCHEDULE</t>
        </is>
      </c>
      <c r="J14" s="15" t="n">
        <v>166</v>
      </c>
      <c r="K14" s="15" t="n"/>
      <c r="L14" s="15" t="inlineStr">
        <is>
          <t>29/01/2024</t>
        </is>
      </c>
    </row>
    <row r="15">
      <c r="A15" s="15" t="inlineStr">
        <is>
          <t>XC011</t>
        </is>
      </c>
      <c r="B15" s="16" t="n">
        <v>45321</v>
      </c>
      <c r="C15" s="15" t="n">
        <v>2024</v>
      </c>
      <c r="D15" s="15" t="inlineStr">
        <is>
          <t>BP-C0039</t>
        </is>
      </c>
      <c r="E15" s="15" t="inlineStr">
        <is>
          <t>Alabi Abdulazeez</t>
        </is>
      </c>
      <c r="F15" s="17" t="n">
        <v>1800000</v>
      </c>
      <c r="G15" s="15" t="inlineStr">
        <is>
          <t>Land (estate not stated in source)</t>
        </is>
      </c>
      <c r="H15" s="15" t="inlineStr">
        <is>
          <t>BAAY PROJECTS SALES EXPENSES (COMMISSION) RECORDS (1)</t>
        </is>
      </c>
      <c r="I15" s="15" t="inlineStr">
        <is>
          <t>MD</t>
        </is>
      </c>
      <c r="J15" s="15" t="n">
        <v>4</v>
      </c>
      <c r="K15" s="15" t="n"/>
      <c r="L15" s="15" t="inlineStr">
        <is>
          <t>30/01/2024</t>
        </is>
      </c>
    </row>
    <row r="16">
      <c r="A16" s="15" t="inlineStr">
        <is>
          <t>XC012</t>
        </is>
      </c>
      <c r="B16" s="16" t="n">
        <v>45322</v>
      </c>
      <c r="C16" s="15" t="n">
        <v>2024</v>
      </c>
      <c r="D16" s="15" t="inlineStr">
        <is>
          <t>BP-C0051</t>
        </is>
      </c>
      <c r="E16" s="15" t="inlineStr">
        <is>
          <t>Mr Olumide Ogunleye</t>
        </is>
      </c>
      <c r="F16" s="17" t="n">
        <v>850000</v>
      </c>
      <c r="G16" s="15" t="inlineStr">
        <is>
          <t>Green City Phase 2 (Ketu-Epe)</t>
        </is>
      </c>
      <c r="H16" s="15" t="inlineStr">
        <is>
          <t>BAAY PROJECTS FINANCIALS 2024.xlsx</t>
        </is>
      </c>
      <c r="I16" s="15" t="inlineStr">
        <is>
          <t>TURNOVER SCHEDULE</t>
        </is>
      </c>
      <c r="J16" s="15" t="n">
        <v>43</v>
      </c>
      <c r="K16" s="15" t="n"/>
      <c r="L16" s="15" t="inlineStr">
        <is>
          <t>31/01/2024</t>
        </is>
      </c>
    </row>
    <row r="17">
      <c r="A17" s="15" t="inlineStr">
        <is>
          <t>XC013</t>
        </is>
      </c>
      <c r="B17" s="16" t="n">
        <v>45323</v>
      </c>
      <c r="C17" s="15" t="n">
        <v>2024</v>
      </c>
      <c r="D17" s="15" t="inlineStr">
        <is>
          <t>BP-C0062</t>
        </is>
      </c>
      <c r="E17" s="15" t="inlineStr">
        <is>
          <t>Mr Agbaje Christopher Usiola</t>
        </is>
      </c>
      <c r="F17" s="17" t="n">
        <v>2500000</v>
      </c>
      <c r="G17" s="15" t="inlineStr">
        <is>
          <t>Green City Phase 1 (Ketu-Epe)</t>
        </is>
      </c>
      <c r="H17" s="15" t="inlineStr">
        <is>
          <t>BAAY PROJECTS FINANCIALS 2024.xlsx</t>
        </is>
      </c>
      <c r="I17" s="15" t="inlineStr">
        <is>
          <t>TURNOVER SCHEDULE</t>
        </is>
      </c>
      <c r="J17" s="15" t="n">
        <v>100</v>
      </c>
      <c r="K17" s="15" t="n"/>
      <c r="L17" s="15" t="inlineStr">
        <is>
          <t>2024-01-02</t>
        </is>
      </c>
    </row>
    <row r="18">
      <c r="A18" s="15" t="inlineStr">
        <is>
          <t>XC014</t>
        </is>
      </c>
      <c r="B18" s="16" t="n">
        <v>45323</v>
      </c>
      <c r="C18" s="15" t="n">
        <v>2024</v>
      </c>
      <c r="D18" s="15" t="inlineStr">
        <is>
          <t>BP-C0227</t>
        </is>
      </c>
      <c r="E18" s="15" t="inlineStr">
        <is>
          <t>Mitchel Jennifer</t>
        </is>
      </c>
      <c r="F18" s="17" t="n">
        <v>200000</v>
      </c>
      <c r="G18" s="15" t="inlineStr">
        <is>
          <t>Land (estate not stated in source)</t>
        </is>
      </c>
      <c r="H18" s="15" t="inlineStr">
        <is>
          <t>BAAY PROJECTS SALES EXPENSES (COMMISSION) RECORDS (1)</t>
        </is>
      </c>
      <c r="I18" s="15" t="inlineStr">
        <is>
          <t>MS CELINA</t>
        </is>
      </c>
      <c r="J18" s="15" t="n">
        <v>16</v>
      </c>
      <c r="K18" s="15" t="n"/>
      <c r="L18" s="15" t="inlineStr">
        <is>
          <t>2024-01-02</t>
        </is>
      </c>
    </row>
    <row r="19">
      <c r="A19" s="15" t="inlineStr">
        <is>
          <t>XC015</t>
        </is>
      </c>
      <c r="B19" s="16" t="n">
        <v>45323</v>
      </c>
      <c r="C19" s="15" t="n">
        <v>2024</v>
      </c>
      <c r="D19" s="15" t="inlineStr">
        <is>
          <t>BP-C0226</t>
        </is>
      </c>
      <c r="E19" s="15" t="inlineStr">
        <is>
          <t>Agbaje Achristopher</t>
        </is>
      </c>
      <c r="F19" s="17" t="n">
        <v>7000000</v>
      </c>
      <c r="G19" s="15" t="inlineStr">
        <is>
          <t>Land (estate not stated in source)</t>
        </is>
      </c>
      <c r="H19" s="15" t="inlineStr">
        <is>
          <t>BAAY PROJECTS SALES EXPENSES (COMMISSION) RECORDS (1)</t>
        </is>
      </c>
      <c r="I19" s="15" t="inlineStr">
        <is>
          <t>MD</t>
        </is>
      </c>
      <c r="J19" s="15" t="n">
        <v>7</v>
      </c>
      <c r="K19" s="15" t="n"/>
      <c r="L19" s="15" t="inlineStr">
        <is>
          <t>2024-01-02</t>
        </is>
      </c>
    </row>
    <row r="20">
      <c r="A20" s="15" t="inlineStr">
        <is>
          <t>XC016</t>
        </is>
      </c>
      <c r="B20" s="16" t="n">
        <v>45324</v>
      </c>
      <c r="C20" s="15" t="n">
        <v>2024</v>
      </c>
      <c r="D20" s="15" t="inlineStr">
        <is>
          <t>BP-C0017</t>
        </is>
      </c>
      <c r="E20" s="15" t="inlineStr">
        <is>
          <t>Mr John Adeleye Taiwo</t>
        </is>
      </c>
      <c r="F20" s="17" t="n">
        <v>500000</v>
      </c>
      <c r="G20" s="15" t="inlineStr">
        <is>
          <t>Green City Phase 2 (Ketu-Epe)</t>
        </is>
      </c>
      <c r="H20" s="15" t="inlineStr">
        <is>
          <t>BAAY PROJECTS FINANCIALS 2024.xlsx</t>
        </is>
      </c>
      <c r="I20" s="15" t="inlineStr">
        <is>
          <t>TURNOVER SCHEDULE</t>
        </is>
      </c>
      <c r="J20" s="15" t="n">
        <v>66</v>
      </c>
      <c r="K20" s="15" t="n"/>
      <c r="L20" s="15" t="inlineStr">
        <is>
          <t>2024-02-02</t>
        </is>
      </c>
    </row>
    <row r="21">
      <c r="A21" s="15" t="inlineStr">
        <is>
          <t>XC017</t>
        </is>
      </c>
      <c r="B21" s="16" t="n">
        <v>45325</v>
      </c>
      <c r="C21" s="15" t="n">
        <v>2024</v>
      </c>
      <c r="D21" s="15" t="inlineStr">
        <is>
          <t>BP-C0235</t>
        </is>
      </c>
      <c r="E21" s="15" t="inlineStr">
        <is>
          <t>Sharon Aisosa Ebholah</t>
        </is>
      </c>
      <c r="F21" s="17" t="n">
        <v>500000</v>
      </c>
      <c r="G21" s="15" t="inlineStr">
        <is>
          <t>Land (estate not stated in source)</t>
        </is>
      </c>
      <c r="H21" s="15" t="inlineStr">
        <is>
          <t>BAAY PROJECTS SALES EXPENSES (COMMISSION) RECORDS (1)</t>
        </is>
      </c>
      <c r="I21" s="15" t="inlineStr">
        <is>
          <t>MS BLESSING</t>
        </is>
      </c>
      <c r="J21" s="15" t="n">
        <v>13</v>
      </c>
      <c r="K21" s="15" t="n"/>
      <c r="L21" s="15" t="inlineStr">
        <is>
          <t>2024-03-02</t>
        </is>
      </c>
    </row>
    <row r="22">
      <c r="A22" s="15" t="inlineStr">
        <is>
          <t>XC018</t>
        </is>
      </c>
      <c r="B22" s="16" t="n">
        <v>45328</v>
      </c>
      <c r="C22" s="15" t="n">
        <v>2024</v>
      </c>
      <c r="D22" s="15" t="inlineStr">
        <is>
          <t>BP-C0058</t>
        </is>
      </c>
      <c r="E22" s="15" t="inlineStr">
        <is>
          <t>Mr Oniyide Olaoluwa Blessing</t>
        </is>
      </c>
      <c r="F22" s="17" t="n">
        <v>1000000</v>
      </c>
      <c r="G22" s="15" t="inlineStr">
        <is>
          <t>Land (estate not stated in source)</t>
        </is>
      </c>
      <c r="H22" s="15" t="inlineStr">
        <is>
          <t>BAAY PROJECTS SALES EXPENSES (COMMISSION) RECORDS (1)</t>
        </is>
      </c>
      <c r="I22" s="15" t="inlineStr">
        <is>
          <t>MR CHARLES</t>
        </is>
      </c>
      <c r="J22" s="15" t="n">
        <v>4</v>
      </c>
      <c r="K22" s="15" t="n"/>
      <c r="L22" s="15" t="inlineStr">
        <is>
          <t>2024-06-02</t>
        </is>
      </c>
    </row>
    <row r="23">
      <c r="A23" s="15" t="inlineStr">
        <is>
          <t>XC019</t>
        </is>
      </c>
      <c r="B23" s="16" t="n">
        <v>45328</v>
      </c>
      <c r="C23" s="15" t="n">
        <v>2024</v>
      </c>
      <c r="D23" s="15" t="inlineStr">
        <is>
          <t>BP-C0236</t>
        </is>
      </c>
      <c r="E23" s="15" t="inlineStr">
        <is>
          <t>Yusuff Saheed</t>
        </is>
      </c>
      <c r="F23" s="17" t="n">
        <v>1800000</v>
      </c>
      <c r="G23" s="15" t="inlineStr">
        <is>
          <t>Land (estate not stated in source)</t>
        </is>
      </c>
      <c r="H23" s="15" t="inlineStr">
        <is>
          <t>BAAY PROJECTS SALES EXPENSES (COMMISSION) RECORDS (1)</t>
        </is>
      </c>
      <c r="I23" s="15" t="inlineStr">
        <is>
          <t>MD</t>
        </is>
      </c>
      <c r="J23" s="15" t="n">
        <v>5</v>
      </c>
      <c r="K23" s="15" t="n"/>
      <c r="L23" s="15" t="inlineStr">
        <is>
          <t>2024-06-02</t>
        </is>
      </c>
    </row>
    <row r="24">
      <c r="A24" s="15" t="inlineStr">
        <is>
          <t>XC020</t>
        </is>
      </c>
      <c r="B24" s="16" t="n">
        <v>45342</v>
      </c>
      <c r="C24" s="15" t="n">
        <v>2024</v>
      </c>
      <c r="D24" s="15" t="inlineStr">
        <is>
          <t>BP-C0066</t>
        </is>
      </c>
      <c r="E24" s="15" t="inlineStr">
        <is>
          <t>Omosanya Dotun Akeju</t>
        </is>
      </c>
      <c r="F24" s="17" t="n">
        <v>1000000</v>
      </c>
      <c r="G24" s="15" t="inlineStr">
        <is>
          <t>Green City Phase 2 (Ketu-Epe)</t>
        </is>
      </c>
      <c r="H24" s="15" t="inlineStr">
        <is>
          <t>BAAY PROJECTS FINANCIALS 2024.xlsx</t>
        </is>
      </c>
      <c r="I24" s="15" t="inlineStr">
        <is>
          <t>TURNOVER SCHEDULE</t>
        </is>
      </c>
      <c r="J24" s="15" t="n">
        <v>216</v>
      </c>
      <c r="K24" s="15" t="inlineStr">
        <is>
          <t>MS BOLANLE r23, MS BLESSING OJI r2</t>
        </is>
      </c>
      <c r="L24" s="15" t="inlineStr">
        <is>
          <t>20/02/2024</t>
        </is>
      </c>
    </row>
    <row r="25">
      <c r="A25" s="15" t="inlineStr">
        <is>
          <t>XC021</t>
        </is>
      </c>
      <c r="B25" s="16" t="n">
        <v>45345</v>
      </c>
      <c r="C25" s="15" t="n">
        <v>2024</v>
      </c>
      <c r="D25" s="15" t="inlineStr">
        <is>
          <t>BP-C0228</t>
        </is>
      </c>
      <c r="E25" s="15" t="inlineStr">
        <is>
          <t>Mr Adegbembo Oluwagbemiga Adesin</t>
        </is>
      </c>
      <c r="F25" s="17" t="n">
        <v>1000000</v>
      </c>
      <c r="G25" s="15" t="inlineStr">
        <is>
          <t>Land (estate not stated in source)</t>
        </is>
      </c>
      <c r="H25" s="15" t="inlineStr">
        <is>
          <t>BAAY PROJECTS SALES EXPENSES (COMMISSION) RECORDS (1)</t>
        </is>
      </c>
      <c r="I25" s="15" t="inlineStr">
        <is>
          <t>MS ELIZABETH</t>
        </is>
      </c>
      <c r="J25" s="15" t="n">
        <v>14</v>
      </c>
      <c r="K25" s="15" t="n"/>
      <c r="L25" s="15" t="inlineStr">
        <is>
          <t>23/02/2024</t>
        </is>
      </c>
    </row>
    <row r="26">
      <c r="A26" s="15" t="inlineStr">
        <is>
          <t>XC022</t>
        </is>
      </c>
      <c r="B26" s="16" t="n">
        <v>45348</v>
      </c>
      <c r="C26" s="15" t="n">
        <v>2024</v>
      </c>
      <c r="D26" s="15" t="inlineStr">
        <is>
          <t>BP-C0058</t>
        </is>
      </c>
      <c r="E26" s="15" t="inlineStr">
        <is>
          <t>Mr Oniyide Olaoluwa Blessing</t>
        </is>
      </c>
      <c r="F26" s="17" t="n">
        <v>1040000</v>
      </c>
      <c r="G26" s="15" t="inlineStr">
        <is>
          <t>Land (estate not stated in source)</t>
        </is>
      </c>
      <c r="H26" s="15" t="inlineStr">
        <is>
          <t>BAAY PROJECTS SALES EXPENSES (COMMISSION) RECORDS (1)</t>
        </is>
      </c>
      <c r="I26" s="15" t="inlineStr">
        <is>
          <t>MR CHARLES</t>
        </is>
      </c>
      <c r="J26" s="15" t="n">
        <v>5</v>
      </c>
      <c r="K26" s="15" t="n"/>
      <c r="L26" s="15" t="inlineStr">
        <is>
          <t>26/02/2024</t>
        </is>
      </c>
    </row>
    <row r="27">
      <c r="A27" s="15" t="inlineStr">
        <is>
          <t>XC023</t>
        </is>
      </c>
      <c r="B27" s="16" t="n">
        <v>45352</v>
      </c>
      <c r="C27" s="15" t="n">
        <v>2024</v>
      </c>
      <c r="D27" s="15" t="inlineStr">
        <is>
          <t>BP-C0055</t>
        </is>
      </c>
      <c r="E27" s="15" t="inlineStr">
        <is>
          <t>Mr Ademola Adeniji</t>
        </is>
      </c>
      <c r="F27" s="17" t="n">
        <v>3000000</v>
      </c>
      <c r="G27" s="15" t="inlineStr">
        <is>
          <t>Green City Phase 1 (Ketu-Epe)</t>
        </is>
      </c>
      <c r="H27" s="15" t="inlineStr">
        <is>
          <t>BAAY PROJECTS FINANCIALS 2024.xlsx</t>
        </is>
      </c>
      <c r="I27" s="15" t="inlineStr">
        <is>
          <t>TURNOVER SCHEDULE</t>
        </is>
      </c>
      <c r="J27" s="15" t="n">
        <v>37</v>
      </c>
      <c r="K27" s="15" t="n"/>
      <c r="L27" s="15" t="inlineStr">
        <is>
          <t>2024-01-03</t>
        </is>
      </c>
    </row>
    <row r="28">
      <c r="A28" s="15" t="inlineStr">
        <is>
          <t>XC024</t>
        </is>
      </c>
      <c r="B28" s="16" t="n">
        <v>45353</v>
      </c>
      <c r="C28" s="15" t="n">
        <v>2024</v>
      </c>
      <c r="D28" s="15" t="inlineStr">
        <is>
          <t>BP-C0009</t>
        </is>
      </c>
      <c r="E28" s="15" t="inlineStr">
        <is>
          <t>Ms Oji Blessing</t>
        </is>
      </c>
      <c r="F28" s="17" t="n">
        <v>740000</v>
      </c>
      <c r="G28" s="15" t="inlineStr">
        <is>
          <t>Land (estate not stated in source)</t>
        </is>
      </c>
      <c r="H28" s="15" t="inlineStr">
        <is>
          <t>BAAY PROJECTS SALES EXPENSES (COMMISSION) RECORDS (1)</t>
        </is>
      </c>
      <c r="I28" s="15" t="inlineStr">
        <is>
          <t>MS BOLANLE</t>
        </is>
      </c>
      <c r="J28" s="15" t="n">
        <v>33</v>
      </c>
      <c r="K28" s="15" t="n"/>
      <c r="L28" s="15" t="inlineStr">
        <is>
          <t>2024-02-03</t>
        </is>
      </c>
    </row>
    <row r="29">
      <c r="A29" s="15" t="inlineStr">
        <is>
          <t>XC025</t>
        </is>
      </c>
      <c r="B29" s="16" t="n">
        <v>45354</v>
      </c>
      <c r="C29" s="15" t="n">
        <v>2024</v>
      </c>
      <c r="D29" s="15" t="inlineStr">
        <is>
          <t>BP-C0227</t>
        </is>
      </c>
      <c r="E29" s="15" t="inlineStr">
        <is>
          <t>Mitchel Jennifer</t>
        </is>
      </c>
      <c r="F29" s="17" t="n">
        <v>200000</v>
      </c>
      <c r="G29" s="15" t="inlineStr">
        <is>
          <t>Land (estate not stated in source)</t>
        </is>
      </c>
      <c r="H29" s="15" t="inlineStr">
        <is>
          <t>BAAY PROJECTS SALES EXPENSES (COMMISSION) RECORDS (1)</t>
        </is>
      </c>
      <c r="I29" s="15" t="inlineStr">
        <is>
          <t>MS CELINA</t>
        </is>
      </c>
      <c r="J29" s="15" t="n">
        <v>17</v>
      </c>
      <c r="K29" s="15" t="n"/>
      <c r="L29" s="15" t="inlineStr">
        <is>
          <t>2024-03-03</t>
        </is>
      </c>
    </row>
    <row r="30">
      <c r="A30" s="15" t="inlineStr">
        <is>
          <t>XC026</t>
        </is>
      </c>
      <c r="B30" s="16" t="n">
        <v>45355</v>
      </c>
      <c r="C30" s="15" t="n">
        <v>2024</v>
      </c>
      <c r="D30" s="15" t="inlineStr">
        <is>
          <t>BP-C0009</t>
        </is>
      </c>
      <c r="E30" s="15" t="inlineStr">
        <is>
          <t>Miss Oji Blessing Mary</t>
        </is>
      </c>
      <c r="F30" s="17" t="n">
        <v>175000</v>
      </c>
      <c r="G30" s="15" t="inlineStr">
        <is>
          <t>Green City Phase 2 (Ketu-Epe)</t>
        </is>
      </c>
      <c r="H30" s="15" t="inlineStr">
        <is>
          <t>BAAY PROJECTS FINANCIALS 2024.xlsx</t>
        </is>
      </c>
      <c r="I30" s="15" t="inlineStr">
        <is>
          <t>TURNOVER SCHEDULE</t>
        </is>
      </c>
      <c r="J30" s="15" t="n">
        <v>112</v>
      </c>
      <c r="K30" s="15" t="inlineStr">
        <is>
          <t>MS BOLANLE r35</t>
        </is>
      </c>
      <c r="L30" s="15" t="inlineStr">
        <is>
          <t>2024-04-03</t>
        </is>
      </c>
    </row>
    <row r="31">
      <c r="A31" s="15" t="inlineStr">
        <is>
          <t>XC027</t>
        </is>
      </c>
      <c r="B31" s="16" t="n">
        <v>45356</v>
      </c>
      <c r="C31" s="15" t="n">
        <v>2024</v>
      </c>
      <c r="D31" s="15" t="inlineStr">
        <is>
          <t>BP-C0030</t>
        </is>
      </c>
      <c r="E31" s="15" t="inlineStr">
        <is>
          <t>Adese Akorede</t>
        </is>
      </c>
      <c r="F31" s="17" t="n">
        <v>1500000</v>
      </c>
      <c r="G31" s="15" t="inlineStr">
        <is>
          <t>Land (estate not stated in source)</t>
        </is>
      </c>
      <c r="H31" s="15" t="inlineStr">
        <is>
          <t>BAAY PROJECTS SALES EXPENSES (COMMISSION) RECORDS (1)</t>
        </is>
      </c>
      <c r="I31" s="15" t="inlineStr">
        <is>
          <t>MD</t>
        </is>
      </c>
      <c r="J31" s="15" t="n">
        <v>6</v>
      </c>
      <c r="K31" s="15" t="n"/>
      <c r="L31" s="15" t="inlineStr">
        <is>
          <t>2024-05-03</t>
        </is>
      </c>
    </row>
    <row r="32">
      <c r="A32" s="15" t="inlineStr">
        <is>
          <t>XC028</t>
        </is>
      </c>
      <c r="B32" s="16" t="n">
        <v>45360</v>
      </c>
      <c r="C32" s="15" t="n">
        <v>2024</v>
      </c>
      <c r="D32" s="15" t="inlineStr">
        <is>
          <t>BP-C0231</t>
        </is>
      </c>
      <c r="E32" s="15" t="inlineStr">
        <is>
          <t>Mr Ojo Ayomidde</t>
        </is>
      </c>
      <c r="F32" s="17" t="n">
        <v>500000</v>
      </c>
      <c r="G32" s="15" t="inlineStr">
        <is>
          <t>Land (estate not stated in source)</t>
        </is>
      </c>
      <c r="H32" s="15" t="inlineStr">
        <is>
          <t>BAAY PROJECTS SALES EXPENSES (COMMISSION) RECORDS (1)</t>
        </is>
      </c>
      <c r="I32" s="15" t="inlineStr">
        <is>
          <t>FASUYI OLAYINKA</t>
        </is>
      </c>
      <c r="J32" s="15" t="n">
        <v>2</v>
      </c>
      <c r="K32" s="15" t="n"/>
      <c r="L32" s="15" t="inlineStr">
        <is>
          <t>2024-09-03</t>
        </is>
      </c>
    </row>
    <row r="33">
      <c r="A33" s="15" t="inlineStr">
        <is>
          <t>XC029</t>
        </is>
      </c>
      <c r="B33" s="16" t="n">
        <v>45373</v>
      </c>
      <c r="C33" s="15" t="n">
        <v>2024</v>
      </c>
      <c r="D33" s="15" t="inlineStr">
        <is>
          <t>BP-C0228</t>
        </is>
      </c>
      <c r="E33" s="15" t="inlineStr">
        <is>
          <t>Mr Adegbembo Oluwagbemiga Adesin</t>
        </is>
      </c>
      <c r="F33" s="17" t="n">
        <v>1000000</v>
      </c>
      <c r="G33" s="15" t="inlineStr">
        <is>
          <t>Land (estate not stated in source)</t>
        </is>
      </c>
      <c r="H33" s="15" t="inlineStr">
        <is>
          <t>BAAY PROJECTS SALES EXPENSES (COMMISSION) RECORDS (1)</t>
        </is>
      </c>
      <c r="I33" s="15" t="inlineStr">
        <is>
          <t>MS ELIZABETH</t>
        </is>
      </c>
      <c r="J33" s="15" t="n">
        <v>34</v>
      </c>
      <c r="K33" s="15" t="n"/>
      <c r="L33" s="15" t="inlineStr">
        <is>
          <t>22/03/2024</t>
        </is>
      </c>
    </row>
    <row r="34">
      <c r="A34" s="15" t="inlineStr">
        <is>
          <t>XC030</t>
        </is>
      </c>
      <c r="B34" s="16" t="n">
        <v>45376</v>
      </c>
      <c r="C34" s="15" t="n">
        <v>2024</v>
      </c>
      <c r="D34" s="15" t="inlineStr">
        <is>
          <t>BP-C0084</t>
        </is>
      </c>
      <c r="E34" s="15" t="inlineStr">
        <is>
          <t>Mr Adegbayemu Ariyo Dennis</t>
        </is>
      </c>
      <c r="F34" s="17" t="n">
        <v>1430000</v>
      </c>
      <c r="G34" s="15" t="inlineStr">
        <is>
          <t>Green City Phase 2 (Ketu-Epe)</t>
        </is>
      </c>
      <c r="H34" s="15" t="inlineStr">
        <is>
          <t>BAAY PROJECTS FINANCIALS 2024.xlsx</t>
        </is>
      </c>
      <c r="I34" s="15" t="inlineStr">
        <is>
          <t>TURNOVER SCHEDULE</t>
        </is>
      </c>
      <c r="J34" s="15" t="n">
        <v>329</v>
      </c>
      <c r="K34" s="15" t="inlineStr">
        <is>
          <t>FASUYI OLAYINKA r20, BARRISTER AYO r4</t>
        </is>
      </c>
      <c r="L34" s="15" t="inlineStr">
        <is>
          <t>25/03/2024</t>
        </is>
      </c>
    </row>
    <row r="35">
      <c r="A35" s="15" t="inlineStr">
        <is>
          <t>XC031</t>
        </is>
      </c>
      <c r="B35" s="16" t="n">
        <v>45377</v>
      </c>
      <c r="C35" s="15" t="n">
        <v>2024</v>
      </c>
      <c r="D35" s="15" t="inlineStr">
        <is>
          <t>BP-C0231</t>
        </is>
      </c>
      <c r="E35" s="15" t="inlineStr">
        <is>
          <t>Mr Ojo Ayomidde</t>
        </is>
      </c>
      <c r="F35" s="17" t="n">
        <v>3000000</v>
      </c>
      <c r="G35" s="15" t="inlineStr">
        <is>
          <t>Land (estate not stated in source)</t>
        </is>
      </c>
      <c r="H35" s="15" t="inlineStr">
        <is>
          <t>BAAY PROJECTS SALES EXPENSES (COMMISSION) RECORDS (1)</t>
        </is>
      </c>
      <c r="I35" s="15" t="inlineStr">
        <is>
          <t>FASUYI OLAYINKA</t>
        </is>
      </c>
      <c r="J35" s="15" t="n">
        <v>3</v>
      </c>
      <c r="K35" s="15" t="n"/>
      <c r="L35" s="15" t="inlineStr">
        <is>
          <t>26/03/2024</t>
        </is>
      </c>
    </row>
    <row r="36">
      <c r="A36" s="15" t="inlineStr">
        <is>
          <t>XC032</t>
        </is>
      </c>
      <c r="B36" s="16" t="n">
        <v>45379</v>
      </c>
      <c r="C36" s="15" t="n">
        <v>2024</v>
      </c>
      <c r="D36" s="15" t="inlineStr">
        <is>
          <t>BP-C0009</t>
        </is>
      </c>
      <c r="E36" s="15" t="inlineStr">
        <is>
          <t>Miss Oji Blessing Mary</t>
        </is>
      </c>
      <c r="F36" s="17" t="n">
        <v>85000</v>
      </c>
      <c r="G36" s="15" t="inlineStr">
        <is>
          <t>Green City Phase 2 (Ketu-Epe)</t>
        </is>
      </c>
      <c r="H36" s="15" t="inlineStr">
        <is>
          <t>BAAY PROJECTS FINANCIALS 2024.xlsx</t>
        </is>
      </c>
      <c r="I36" s="15" t="inlineStr">
        <is>
          <t>TURNOVER SCHEDULE</t>
        </is>
      </c>
      <c r="J36" s="15" t="n">
        <v>113</v>
      </c>
      <c r="K36" s="15" t="inlineStr">
        <is>
          <t>MS BOLANLE r37</t>
        </is>
      </c>
      <c r="L36" s="15" t="inlineStr">
        <is>
          <t>28/03/2024</t>
        </is>
      </c>
    </row>
    <row r="37">
      <c r="A37" s="15" t="inlineStr">
        <is>
          <t>XC033</t>
        </is>
      </c>
      <c r="B37" s="16" t="n">
        <v>45379</v>
      </c>
      <c r="C37" s="15" t="n">
        <v>2024</v>
      </c>
      <c r="D37" s="15" t="inlineStr">
        <is>
          <t>BP-C0235</t>
        </is>
      </c>
      <c r="E37" s="15" t="inlineStr">
        <is>
          <t>Sharon Aisosa Ebholah</t>
        </is>
      </c>
      <c r="F37" s="17" t="n">
        <v>500000</v>
      </c>
      <c r="G37" s="15" t="inlineStr">
        <is>
          <t>Land (estate not stated in source)</t>
        </is>
      </c>
      <c r="H37" s="15" t="inlineStr">
        <is>
          <t>BAAY PROJECTS SALES EXPENSES (COMMISSION) RECORDS (1)</t>
        </is>
      </c>
      <c r="I37" s="15" t="inlineStr">
        <is>
          <t>MS BLESSING</t>
        </is>
      </c>
      <c r="J37" s="15" t="n">
        <v>20</v>
      </c>
      <c r="K37" s="15" t="n"/>
      <c r="L37" s="15" t="inlineStr">
        <is>
          <t>28/03/2024</t>
        </is>
      </c>
    </row>
    <row r="38">
      <c r="A38" s="15" t="inlineStr">
        <is>
          <t>XC034</t>
        </is>
      </c>
      <c r="B38" s="16" t="n">
        <v>45383</v>
      </c>
      <c r="C38" s="15" t="n">
        <v>2024</v>
      </c>
      <c r="D38" s="15" t="inlineStr">
        <is>
          <t>BP-C0138</t>
        </is>
      </c>
      <c r="E38" s="15" t="inlineStr">
        <is>
          <t>Mr Olatunde Selim Olowodagba</t>
        </is>
      </c>
      <c r="F38" s="17" t="n">
        <v>2000000</v>
      </c>
      <c r="G38" s="15" t="inlineStr">
        <is>
          <t>Land (estate not stated in source)</t>
        </is>
      </c>
      <c r="H38" s="15" t="inlineStr">
        <is>
          <t>BAAY PROJECTS SALES EXPENSES (COMMISSION) RECORDS (1)</t>
        </is>
      </c>
      <c r="I38" s="15" t="inlineStr">
        <is>
          <t>OGIDAN</t>
        </is>
      </c>
      <c r="J38" s="15" t="n">
        <v>99</v>
      </c>
      <c r="K38" s="15" t="n"/>
      <c r="L38" s="15" t="inlineStr">
        <is>
          <t>2024-01-04</t>
        </is>
      </c>
    </row>
    <row r="39">
      <c r="A39" s="15" t="inlineStr">
        <is>
          <t>XC035</t>
        </is>
      </c>
      <c r="B39" s="16" t="n">
        <v>45383</v>
      </c>
      <c r="C39" s="15" t="n">
        <v>2024</v>
      </c>
      <c r="D39" s="15" t="inlineStr">
        <is>
          <t>BP-C0051</t>
        </is>
      </c>
      <c r="E39" s="15" t="inlineStr">
        <is>
          <t>Mr Ogunleye Olumide Victor</t>
        </is>
      </c>
      <c r="F39" s="17" t="n">
        <v>3500000</v>
      </c>
      <c r="G39" s="15" t="inlineStr">
        <is>
          <t>Land (estate not stated in source)</t>
        </is>
      </c>
      <c r="H39" s="15" t="inlineStr">
        <is>
          <t>BAAY PROJECTS SALES EXPENSES (COMMISSION) RECORDS (1)</t>
        </is>
      </c>
      <c r="I39" s="15" t="inlineStr">
        <is>
          <t>MD</t>
        </is>
      </c>
      <c r="J39" s="15" t="n">
        <v>17</v>
      </c>
      <c r="K39" s="15" t="n"/>
      <c r="L39" s="15" t="inlineStr">
        <is>
          <t>2024-01-04</t>
        </is>
      </c>
    </row>
    <row r="40">
      <c r="A40" s="15" t="inlineStr">
        <is>
          <t>XC036</t>
        </is>
      </c>
      <c r="B40" s="16" t="n">
        <v>45384</v>
      </c>
      <c r="C40" s="15" t="n">
        <v>2024</v>
      </c>
      <c r="D40" s="15" t="inlineStr">
        <is>
          <t>BP-C0055</t>
        </is>
      </c>
      <c r="E40" s="15" t="inlineStr">
        <is>
          <t>Mr Ademola Adeniji</t>
        </is>
      </c>
      <c r="F40" s="17" t="n">
        <v>2000000</v>
      </c>
      <c r="G40" s="15" t="inlineStr">
        <is>
          <t>Green City Phase 1 (Ketu-Epe)</t>
        </is>
      </c>
      <c r="H40" s="15" t="inlineStr">
        <is>
          <t>BAAY PROJECTS FINANCIALS 2024.xlsx</t>
        </is>
      </c>
      <c r="I40" s="15" t="inlineStr">
        <is>
          <t>TURNOVER SCHEDULE</t>
        </is>
      </c>
      <c r="J40" s="15" t="n">
        <v>38</v>
      </c>
      <c r="K40" s="15" t="n"/>
      <c r="L40" s="15" t="inlineStr">
        <is>
          <t>2024-02-04</t>
        </is>
      </c>
    </row>
    <row r="41">
      <c r="A41" s="15" t="inlineStr">
        <is>
          <t>XC037</t>
        </is>
      </c>
      <c r="B41" s="16" t="n">
        <v>45385</v>
      </c>
      <c r="C41" s="15" t="n">
        <v>2024</v>
      </c>
      <c r="D41" s="15" t="inlineStr">
        <is>
          <t>BP-C0061</t>
        </is>
      </c>
      <c r="E41" s="15" t="inlineStr">
        <is>
          <t>Ogunkoya Emmanuel</t>
        </is>
      </c>
      <c r="F41" s="17" t="n">
        <v>1700000</v>
      </c>
      <c r="G41" s="15" t="inlineStr">
        <is>
          <t>Land (estate not stated in source)</t>
        </is>
      </c>
      <c r="H41" s="15" t="inlineStr">
        <is>
          <t>BAAY PROJECTS SALES EXPENSES (COMMISSION) RECORDS (1)</t>
        </is>
      </c>
      <c r="I41" s="15" t="inlineStr">
        <is>
          <t>MD</t>
        </is>
      </c>
      <c r="J41" s="15" t="n">
        <v>2</v>
      </c>
      <c r="K41" s="15" t="n"/>
      <c r="L41" s="15" t="inlineStr">
        <is>
          <t>2024-03-04</t>
        </is>
      </c>
    </row>
    <row r="42">
      <c r="A42" s="15" t="inlineStr">
        <is>
          <t>XC038</t>
        </is>
      </c>
      <c r="B42" s="16" t="n">
        <v>45398</v>
      </c>
      <c r="C42" s="15" t="n">
        <v>2024</v>
      </c>
      <c r="D42" s="15" t="inlineStr">
        <is>
          <t>BP-C0051</t>
        </is>
      </c>
      <c r="E42" s="15" t="inlineStr">
        <is>
          <t>Mr Ogunleye Olumide Victor</t>
        </is>
      </c>
      <c r="F42" s="17" t="n">
        <v>700000</v>
      </c>
      <c r="G42" s="15" t="inlineStr">
        <is>
          <t>Land (estate not stated in source)</t>
        </is>
      </c>
      <c r="H42" s="15" t="inlineStr">
        <is>
          <t>BAAY PROJECTS SALES EXPENSES (COMMISSION) RECORDS (1)</t>
        </is>
      </c>
      <c r="I42" s="15" t="inlineStr">
        <is>
          <t>MD</t>
        </is>
      </c>
      <c r="J42" s="15" t="n">
        <v>19</v>
      </c>
      <c r="K42" s="15" t="n"/>
      <c r="L42" s="15" t="inlineStr">
        <is>
          <t>16/04/2024</t>
        </is>
      </c>
    </row>
    <row r="43">
      <c r="A43" s="15" t="inlineStr">
        <is>
          <t>XC039</t>
        </is>
      </c>
      <c r="B43" s="16" t="n">
        <v>45399</v>
      </c>
      <c r="C43" s="15" t="n">
        <v>2024</v>
      </c>
      <c r="D43" s="15" t="inlineStr">
        <is>
          <t>BP-C0227</t>
        </is>
      </c>
      <c r="E43" s="15" t="inlineStr">
        <is>
          <t>Mitchel Jennifer</t>
        </is>
      </c>
      <c r="F43" s="17" t="n">
        <v>188600</v>
      </c>
      <c r="G43" s="15" t="inlineStr">
        <is>
          <t>Land (estate not stated in source)</t>
        </is>
      </c>
      <c r="H43" s="15" t="inlineStr">
        <is>
          <t>BAAY PROJECTS SALES EXPENSES (COMMISSION) RECORDS (1)</t>
        </is>
      </c>
      <c r="I43" s="15" t="inlineStr">
        <is>
          <t>MS CELINA</t>
        </is>
      </c>
      <c r="J43" s="15" t="n">
        <v>18</v>
      </c>
      <c r="K43" s="15" t="n"/>
      <c r="L43" s="15" t="inlineStr">
        <is>
          <t>17/04/2024</t>
        </is>
      </c>
    </row>
    <row r="44">
      <c r="A44" s="15" t="inlineStr">
        <is>
          <t>XC040</t>
        </is>
      </c>
      <c r="B44" s="16" t="n">
        <v>45400</v>
      </c>
      <c r="C44" s="15" t="n">
        <v>2024</v>
      </c>
      <c r="D44" s="15" t="inlineStr">
        <is>
          <t>BP-C0228</t>
        </is>
      </c>
      <c r="E44" s="15" t="inlineStr">
        <is>
          <t>Mr Adegbembo Oluwagbemiga Adesin</t>
        </is>
      </c>
      <c r="F44" s="17" t="n">
        <v>500000</v>
      </c>
      <c r="G44" s="15" t="inlineStr">
        <is>
          <t>Land (estate not stated in source)</t>
        </is>
      </c>
      <c r="H44" s="15" t="inlineStr">
        <is>
          <t>BAAY PROJECTS SALES EXPENSES (COMMISSION) RECORDS (1)</t>
        </is>
      </c>
      <c r="I44" s="15" t="inlineStr">
        <is>
          <t>MS ELIZABETH</t>
        </is>
      </c>
      <c r="J44" s="15" t="n">
        <v>35</v>
      </c>
      <c r="K44" s="15" t="n"/>
      <c r="L44" s="15" t="inlineStr">
        <is>
          <t>18/04/2024</t>
        </is>
      </c>
    </row>
    <row r="45">
      <c r="A45" s="15" t="inlineStr">
        <is>
          <t>XC041</t>
        </is>
      </c>
      <c r="B45" s="16" t="n">
        <v>45401</v>
      </c>
      <c r="C45" s="15" t="n">
        <v>2024</v>
      </c>
      <c r="D45" s="15" t="inlineStr">
        <is>
          <t>BP-C0066</t>
        </is>
      </c>
      <c r="E45" s="15" t="inlineStr">
        <is>
          <t>Miss Omosanya Dotun Akeju</t>
        </is>
      </c>
      <c r="F45" s="17" t="n">
        <v>1000000</v>
      </c>
      <c r="G45" s="15" t="inlineStr">
        <is>
          <t>Green City Phase 2 (Ketu-Epe)</t>
        </is>
      </c>
      <c r="H45" s="15" t="inlineStr">
        <is>
          <t>BAAY PROJECTS FINANCIALS 2024.xlsx</t>
        </is>
      </c>
      <c r="I45" s="15" t="inlineStr">
        <is>
          <t>TURNOVER SCHEDULE</t>
        </is>
      </c>
      <c r="J45" s="15" t="n">
        <v>349</v>
      </c>
      <c r="K45" s="15" t="inlineStr">
        <is>
          <t>MS BOLANLE r53, MS BLESSING OJI r11</t>
        </is>
      </c>
      <c r="L45" s="15" t="inlineStr">
        <is>
          <t>19/04/2024</t>
        </is>
      </c>
    </row>
    <row r="46">
      <c r="A46" s="15" t="inlineStr">
        <is>
          <t>XC042</t>
        </is>
      </c>
      <c r="B46" s="16" t="n">
        <v>45404</v>
      </c>
      <c r="C46" s="15" t="n">
        <v>2024</v>
      </c>
      <c r="D46" s="15" t="inlineStr">
        <is>
          <t>BP-C0010</t>
        </is>
      </c>
      <c r="E46" s="15" t="inlineStr">
        <is>
          <t>Mrs Yohanna Paulina</t>
        </is>
      </c>
      <c r="F46" s="17" t="n">
        <v>3000000</v>
      </c>
      <c r="G46" s="15" t="inlineStr">
        <is>
          <t>Green City Phase 1 (Ketu-Epe)</t>
        </is>
      </c>
      <c r="H46" s="15" t="inlineStr">
        <is>
          <t>BAAY PROJECTS FINANCIALS 2024.xlsx</t>
        </is>
      </c>
      <c r="I46" s="15" t="inlineStr">
        <is>
          <t>TURNOVER SCHEDULE</t>
        </is>
      </c>
      <c r="J46" s="15" t="n">
        <v>293</v>
      </c>
      <c r="K46" s="15" t="inlineStr">
        <is>
          <t>MR CHARLES r27</t>
        </is>
      </c>
      <c r="L46" s="15" t="inlineStr">
        <is>
          <t>22/04/2024</t>
        </is>
      </c>
    </row>
    <row r="47">
      <c r="A47" s="15" t="inlineStr">
        <is>
          <t>XC043</t>
        </is>
      </c>
      <c r="B47" s="16" t="n">
        <v>45404</v>
      </c>
      <c r="C47" s="15" t="n">
        <v>2024</v>
      </c>
      <c r="D47" s="15" t="inlineStr">
        <is>
          <t>BP-C0010</t>
        </is>
      </c>
      <c r="E47" s="15" t="inlineStr">
        <is>
          <t>Mrs Yohanna Paulina</t>
        </is>
      </c>
      <c r="F47" s="17" t="n">
        <v>300000</v>
      </c>
      <c r="G47" s="15" t="inlineStr">
        <is>
          <t>Land (estate not stated in source)</t>
        </is>
      </c>
      <c r="H47" s="15" t="inlineStr">
        <is>
          <t>BAAY PROJECTS SALES EXPENSES (COMMISSION) RECORDS (1)</t>
        </is>
      </c>
      <c r="I47" s="15" t="inlineStr">
        <is>
          <t>MR CHARLES</t>
        </is>
      </c>
      <c r="J47" s="15" t="n">
        <v>52</v>
      </c>
      <c r="K47" s="15" t="n"/>
      <c r="L47" s="15" t="inlineStr">
        <is>
          <t>22/04/2024</t>
        </is>
      </c>
    </row>
    <row r="48">
      <c r="A48" s="15" t="inlineStr">
        <is>
          <t>XC044</t>
        </is>
      </c>
      <c r="B48" s="16" t="n">
        <v>45408</v>
      </c>
      <c r="C48" s="15" t="n">
        <v>2024</v>
      </c>
      <c r="D48" s="15" t="inlineStr">
        <is>
          <t>BP-C0068</t>
        </is>
      </c>
      <c r="E48" s="15" t="inlineStr">
        <is>
          <t>Miss Ebhotah Sharon Aisosa</t>
        </is>
      </c>
      <c r="F48" s="17" t="n">
        <v>500000</v>
      </c>
      <c r="G48" s="15" t="inlineStr">
        <is>
          <t>Green City Phase 2 (Ketu-Epe)</t>
        </is>
      </c>
      <c r="H48" s="15" t="inlineStr">
        <is>
          <t>BAAY PROJECTS FINANCIALS 2024.xlsx</t>
        </is>
      </c>
      <c r="I48" s="15" t="inlineStr">
        <is>
          <t>TURNOVER SCHEDULE</t>
        </is>
      </c>
      <c r="J48" s="15" t="n">
        <v>261</v>
      </c>
      <c r="K48" s="15" t="n"/>
      <c r="L48" s="15" t="inlineStr">
        <is>
          <t>26/04/2024</t>
        </is>
      </c>
    </row>
    <row r="49">
      <c r="A49" s="15" t="inlineStr">
        <is>
          <t>XC045</t>
        </is>
      </c>
      <c r="B49" s="16" t="n">
        <v>45408</v>
      </c>
      <c r="C49" s="15" t="n">
        <v>2024</v>
      </c>
      <c r="D49" s="15" t="inlineStr">
        <is>
          <t>BP-C0235</t>
        </is>
      </c>
      <c r="E49" s="15" t="inlineStr">
        <is>
          <t>Sharon Aisosa Ebholah</t>
        </is>
      </c>
      <c r="F49" s="17" t="n">
        <v>500000</v>
      </c>
      <c r="G49" s="15" t="inlineStr">
        <is>
          <t>Land (estate not stated in source)</t>
        </is>
      </c>
      <c r="H49" s="15" t="inlineStr">
        <is>
          <t>BAAY PROJECTS SALES EXPENSES (COMMISSION) RECORDS (1)</t>
        </is>
      </c>
      <c r="I49" s="15" t="inlineStr">
        <is>
          <t>MS BLESSING</t>
        </is>
      </c>
      <c r="J49" s="15" t="n">
        <v>21</v>
      </c>
      <c r="K49" s="15" t="n"/>
      <c r="L49" s="15" t="inlineStr">
        <is>
          <t>26/04/2024</t>
        </is>
      </c>
    </row>
    <row r="50">
      <c r="A50" s="15" t="inlineStr">
        <is>
          <t>XC046</t>
        </is>
      </c>
      <c r="B50" s="16" t="n">
        <v>45409</v>
      </c>
      <c r="C50" s="15" t="n">
        <v>2024</v>
      </c>
      <c r="D50" s="15" t="inlineStr">
        <is>
          <t>BP-C0077</t>
        </is>
      </c>
      <c r="E50" s="15" t="inlineStr">
        <is>
          <t>Mr Uebari Sorbari Godwin</t>
        </is>
      </c>
      <c r="F50" s="17" t="n">
        <v>93000</v>
      </c>
      <c r="G50" s="15" t="inlineStr">
        <is>
          <t>Land (estate not stated in source)</t>
        </is>
      </c>
      <c r="H50" s="15" t="inlineStr">
        <is>
          <t>BAAY PROJECTS SALES EXPENSES (COMMISSION) RECORDS (1)</t>
        </is>
      </c>
      <c r="I50" s="15" t="inlineStr">
        <is>
          <t>MS ELIZABETH</t>
        </is>
      </c>
      <c r="J50" s="15" t="n">
        <v>25</v>
      </c>
      <c r="K50" s="15" t="n"/>
      <c r="L50" s="15" t="inlineStr">
        <is>
          <t>27/04/2024</t>
        </is>
      </c>
    </row>
    <row r="51">
      <c r="A51" s="15" t="inlineStr">
        <is>
          <t>XC047</t>
        </is>
      </c>
      <c r="B51" s="16" t="n">
        <v>45412</v>
      </c>
      <c r="C51" s="15" t="n">
        <v>2024</v>
      </c>
      <c r="D51" s="15" t="inlineStr">
        <is>
          <t>BP-C0029</t>
        </is>
      </c>
      <c r="E51" s="15" t="inlineStr">
        <is>
          <t>Mr Ohanehi Anthony Chukwunonso</t>
        </is>
      </c>
      <c r="F51" s="17" t="n">
        <v>1055750</v>
      </c>
      <c r="G51" s="15" t="inlineStr">
        <is>
          <t>Green City Phase 1 (Ketu-Epe)</t>
        </is>
      </c>
      <c r="H51" s="15" t="inlineStr">
        <is>
          <t>BAAY PROJECTS FINANCIALS 2024.xlsx</t>
        </is>
      </c>
      <c r="I51" s="15" t="inlineStr">
        <is>
          <t>TURNOVER SCHEDULE</t>
        </is>
      </c>
      <c r="J51" s="15" t="n">
        <v>23</v>
      </c>
      <c r="K51" s="15" t="inlineStr">
        <is>
          <t>MS IMMACULATE r33</t>
        </is>
      </c>
      <c r="L51" s="15" t="inlineStr">
        <is>
          <t>30/04/2024</t>
        </is>
      </c>
    </row>
    <row r="52">
      <c r="A52" s="15" t="inlineStr">
        <is>
          <t>XC048</t>
        </is>
      </c>
      <c r="B52" s="16" t="n">
        <v>45412</v>
      </c>
      <c r="C52" s="15" t="n">
        <v>2024</v>
      </c>
      <c r="D52" s="15" t="inlineStr">
        <is>
          <t>BP-C0029</t>
        </is>
      </c>
      <c r="E52" s="15" t="inlineStr">
        <is>
          <t>Mr Ohanehi Anthony Chukwunonso</t>
        </is>
      </c>
      <c r="F52" s="17" t="n">
        <v>44250</v>
      </c>
      <c r="G52" s="15" t="inlineStr">
        <is>
          <t>Green City Phase 2 (Ketu-Epe)</t>
        </is>
      </c>
      <c r="H52" s="15" t="inlineStr">
        <is>
          <t>BAAY PROJECTS FINANCIALS 2024.xlsx</t>
        </is>
      </c>
      <c r="I52" s="15" t="inlineStr">
        <is>
          <t>TURNOVER SCHEDULE</t>
        </is>
      </c>
      <c r="J52" s="15" t="n">
        <v>338</v>
      </c>
      <c r="K52" s="15" t="inlineStr">
        <is>
          <t>IDAH MARYDAVID r3</t>
        </is>
      </c>
      <c r="L52" s="15" t="inlineStr">
        <is>
          <t>30/04/2024</t>
        </is>
      </c>
    </row>
    <row r="53">
      <c r="A53" s="15" t="inlineStr">
        <is>
          <t>XC049</t>
        </is>
      </c>
      <c r="B53" s="16" t="n">
        <v>45412</v>
      </c>
      <c r="C53" s="15" t="n">
        <v>2024</v>
      </c>
      <c r="D53" s="15" t="inlineStr">
        <is>
          <t>BP-C0030</t>
        </is>
      </c>
      <c r="E53" s="15" t="inlineStr">
        <is>
          <t>Mr Adese Akorede</t>
        </is>
      </c>
      <c r="F53" s="17" t="n">
        <v>380000</v>
      </c>
      <c r="G53" s="15" t="inlineStr">
        <is>
          <t>Land (estate not stated in source)</t>
        </is>
      </c>
      <c r="H53" s="15" t="inlineStr">
        <is>
          <t>BAAY PROJECTS SALES EXPENSES (COMMISSION) RECORDS (1)</t>
        </is>
      </c>
      <c r="I53" s="15" t="inlineStr">
        <is>
          <t>MD</t>
        </is>
      </c>
      <c r="J53" s="15" t="n">
        <v>21</v>
      </c>
      <c r="K53" s="15" t="n"/>
      <c r="L53" s="15" t="inlineStr">
        <is>
          <t>30/04/2024</t>
        </is>
      </c>
    </row>
    <row r="54">
      <c r="A54" s="15" t="inlineStr">
        <is>
          <t>XC050</t>
        </is>
      </c>
      <c r="B54" s="16" t="n">
        <v>45414</v>
      </c>
      <c r="C54" s="15" t="n">
        <v>2024</v>
      </c>
      <c r="D54" s="15" t="inlineStr">
        <is>
          <t>BP-C0012</t>
        </is>
      </c>
      <c r="E54" s="15" t="inlineStr">
        <is>
          <t>Mr Apiafi Imiebam</t>
        </is>
      </c>
      <c r="F54" s="17" t="n">
        <v>700000</v>
      </c>
      <c r="G54" s="15" t="inlineStr">
        <is>
          <t>Land (estate not stated in source)</t>
        </is>
      </c>
      <c r="H54" s="15" t="inlineStr">
        <is>
          <t>BAAY PROJECTS SALES EXPENSES (COMMISSION) RECORDS (1)</t>
        </is>
      </c>
      <c r="I54" s="15" t="inlineStr">
        <is>
          <t>MS BLESSING</t>
        </is>
      </c>
      <c r="J54" s="15" t="n">
        <v>42</v>
      </c>
      <c r="K54" s="15" t="n"/>
      <c r="L54" s="15" t="inlineStr">
        <is>
          <t>2024-02-05</t>
        </is>
      </c>
    </row>
    <row r="55">
      <c r="A55" s="15" t="inlineStr">
        <is>
          <t>XC051</t>
        </is>
      </c>
      <c r="B55" s="16" t="n">
        <v>45419</v>
      </c>
      <c r="C55" s="15" t="n">
        <v>2024</v>
      </c>
      <c r="D55" s="15" t="inlineStr">
        <is>
          <t>BP-C0084</t>
        </is>
      </c>
      <c r="E55" s="15" t="inlineStr">
        <is>
          <t>Mr Adegbayemu Ariyo Dennis</t>
        </is>
      </c>
      <c r="F55" s="17" t="n">
        <v>2685000</v>
      </c>
      <c r="G55" s="15" t="inlineStr">
        <is>
          <t>Green City Phase 2 (Ketu-Epe)</t>
        </is>
      </c>
      <c r="H55" s="15" t="inlineStr">
        <is>
          <t>BAAY PROJECTS FINANCIALS 2024.xlsx</t>
        </is>
      </c>
      <c r="I55" s="15" t="inlineStr">
        <is>
          <t>TURNOVER SCHEDULE</t>
        </is>
      </c>
      <c r="J55" s="15" t="n">
        <v>330</v>
      </c>
      <c r="K55" s="15" t="inlineStr">
        <is>
          <t>FASUYI OLAYINKA r21, BARRISTER AYO r5</t>
        </is>
      </c>
      <c r="L55" s="15" t="inlineStr">
        <is>
          <t>2024-07-05</t>
        </is>
      </c>
    </row>
    <row r="56">
      <c r="A56" s="15" t="inlineStr">
        <is>
          <t>XC052</t>
        </is>
      </c>
      <c r="B56" s="16" t="n">
        <v>45421</v>
      </c>
      <c r="C56" s="15" t="n">
        <v>2024</v>
      </c>
      <c r="D56" s="15" t="inlineStr">
        <is>
          <t>BP-C0006</t>
        </is>
      </c>
      <c r="E56" s="15" t="inlineStr">
        <is>
          <t>Mr Olasupo Oladimeji</t>
        </is>
      </c>
      <c r="F56" s="17" t="n">
        <v>800245</v>
      </c>
      <c r="G56" s="15" t="inlineStr">
        <is>
          <t>Land (estate not stated in source)</t>
        </is>
      </c>
      <c r="H56" s="15" t="inlineStr">
        <is>
          <t>BAAY PROJECTS SALES EXPENSES (COMMISSION) RECORDS (1)</t>
        </is>
      </c>
      <c r="I56" s="15" t="inlineStr">
        <is>
          <t>MRS ABIMBOLA</t>
        </is>
      </c>
      <c r="J56" s="15" t="n">
        <v>76</v>
      </c>
      <c r="K56" s="15" t="n"/>
      <c r="L56" s="15" t="inlineStr">
        <is>
          <t>2024-09-05</t>
        </is>
      </c>
    </row>
    <row r="57">
      <c r="A57" s="15" t="inlineStr">
        <is>
          <t>XC053</t>
        </is>
      </c>
      <c r="B57" s="16" t="n">
        <v>45429</v>
      </c>
      <c r="C57" s="15" t="n">
        <v>2024</v>
      </c>
      <c r="D57" s="15" t="inlineStr">
        <is>
          <t>BP-C0228</t>
        </is>
      </c>
      <c r="E57" s="15" t="inlineStr">
        <is>
          <t>Mr Adegbembo Oluwagbemiga Adesin</t>
        </is>
      </c>
      <c r="F57" s="17" t="n">
        <v>1000000</v>
      </c>
      <c r="G57" s="15" t="inlineStr">
        <is>
          <t>Land (estate not stated in source)</t>
        </is>
      </c>
      <c r="H57" s="15" t="inlineStr">
        <is>
          <t>BAAY PROJECTS SALES EXPENSES (COMMISSION) RECORDS (1)</t>
        </is>
      </c>
      <c r="I57" s="15" t="inlineStr">
        <is>
          <t>MS ELIZABETH</t>
        </is>
      </c>
      <c r="J57" s="15" t="n">
        <v>41</v>
      </c>
      <c r="K57" s="15" t="n"/>
      <c r="L57" s="15" t="inlineStr">
        <is>
          <t>17/05/2024</t>
        </is>
      </c>
    </row>
    <row r="58">
      <c r="A58" s="15" t="inlineStr">
        <is>
          <t>XC054</t>
        </is>
      </c>
      <c r="B58" s="16" t="n">
        <v>45439</v>
      </c>
      <c r="C58" s="15" t="n">
        <v>2024</v>
      </c>
      <c r="D58" s="15" t="inlineStr">
        <is>
          <t>BP-C0006</t>
        </is>
      </c>
      <c r="E58" s="15" t="inlineStr">
        <is>
          <t>Mr Olasupo Oladimeji</t>
        </is>
      </c>
      <c r="F58" s="17" t="n">
        <v>150000</v>
      </c>
      <c r="G58" s="15" t="inlineStr">
        <is>
          <t>Land (estate not stated in source)</t>
        </is>
      </c>
      <c r="H58" s="15" t="inlineStr">
        <is>
          <t>BAAY PROJECTS SALES EXPENSES (COMMISSION) RECORDS (1)</t>
        </is>
      </c>
      <c r="I58" s="15" t="inlineStr">
        <is>
          <t>MRS ABIMBOLA</t>
        </is>
      </c>
      <c r="J58" s="15" t="n">
        <v>84</v>
      </c>
      <c r="K58" s="15" t="n"/>
      <c r="L58" s="15" t="inlineStr">
        <is>
          <t>27/05/2024</t>
        </is>
      </c>
    </row>
    <row r="59">
      <c r="A59" s="15" t="inlineStr">
        <is>
          <t>XC055</t>
        </is>
      </c>
      <c r="B59" s="16" t="n">
        <v>45440</v>
      </c>
      <c r="C59" s="15" t="n">
        <v>2024</v>
      </c>
      <c r="D59" s="15" t="inlineStr">
        <is>
          <t>BP-C0235</t>
        </is>
      </c>
      <c r="E59" s="15" t="inlineStr">
        <is>
          <t>Sharon Aisosa Ebholah</t>
        </is>
      </c>
      <c r="F59" s="17" t="n">
        <v>295000</v>
      </c>
      <c r="G59" s="15" t="inlineStr">
        <is>
          <t>Land (estate not stated in source)</t>
        </is>
      </c>
      <c r="H59" s="15" t="inlineStr">
        <is>
          <t>BAAY PROJECTS SALES EXPENSES (COMMISSION) RECORDS (1)</t>
        </is>
      </c>
      <c r="I59" s="15" t="inlineStr">
        <is>
          <t>MS BLESSING</t>
        </is>
      </c>
      <c r="J59" s="15" t="n">
        <v>22</v>
      </c>
      <c r="K59" s="15" t="n"/>
      <c r="L59" s="15" t="inlineStr">
        <is>
          <t>28/05/2024</t>
        </is>
      </c>
    </row>
    <row r="60">
      <c r="A60" s="15" t="inlineStr">
        <is>
          <t>XC056</t>
        </is>
      </c>
      <c r="B60" s="16" t="n">
        <v>45450</v>
      </c>
      <c r="C60" s="15" t="n">
        <v>2024</v>
      </c>
      <c r="D60" s="15" t="inlineStr">
        <is>
          <t>BP-C0092</t>
        </is>
      </c>
      <c r="E60" s="15" t="inlineStr">
        <is>
          <t>Mr Oriakhi Osemudiamen Peter</t>
        </is>
      </c>
      <c r="F60" s="17" t="n">
        <v>700000</v>
      </c>
      <c r="G60" s="15" t="inlineStr">
        <is>
          <t>Land (estate not stated in source)</t>
        </is>
      </c>
      <c r="H60" s="15" t="inlineStr">
        <is>
          <t>BAAY PROJECTS SALES EXPENSES (COMMISSION) RECORDS (1)</t>
        </is>
      </c>
      <c r="I60" s="15" t="inlineStr">
        <is>
          <t>MS BLESSING</t>
        </is>
      </c>
      <c r="J60" s="15" t="n">
        <v>58</v>
      </c>
      <c r="K60" s="15" t="n"/>
      <c r="L60" s="15" t="inlineStr">
        <is>
          <t>2024-07-06</t>
        </is>
      </c>
    </row>
    <row r="61">
      <c r="A61" s="15" t="inlineStr">
        <is>
          <t>XC057</t>
        </is>
      </c>
      <c r="B61" s="16" t="n">
        <v>45456</v>
      </c>
      <c r="C61" s="15" t="n">
        <v>2024</v>
      </c>
      <c r="D61" s="15" t="inlineStr">
        <is>
          <t>BP-C0228</t>
        </is>
      </c>
      <c r="E61" s="15" t="inlineStr">
        <is>
          <t>Mr Adegbembo Oluwagbemiga Adesin</t>
        </is>
      </c>
      <c r="F61" s="17" t="n">
        <v>796000</v>
      </c>
      <c r="G61" s="15" t="inlineStr">
        <is>
          <t>Land (estate not stated in source)</t>
        </is>
      </c>
      <c r="H61" s="15" t="inlineStr">
        <is>
          <t>BAAY PROJECTS SALES EXPENSES (COMMISSION) RECORDS (1)</t>
        </is>
      </c>
      <c r="I61" s="15" t="inlineStr">
        <is>
          <t>MS ELIZABETH</t>
        </is>
      </c>
      <c r="J61" s="15" t="n">
        <v>49</v>
      </c>
      <c r="K61" s="15" t="n"/>
      <c r="L61" s="15" t="inlineStr">
        <is>
          <t>13/06/2024</t>
        </is>
      </c>
    </row>
    <row r="62">
      <c r="A62" s="15" t="inlineStr">
        <is>
          <t>XC058</t>
        </is>
      </c>
      <c r="B62" s="16" t="n">
        <v>45456</v>
      </c>
      <c r="C62" s="15" t="n">
        <v>2024</v>
      </c>
      <c r="D62" s="15" t="inlineStr">
        <is>
          <t>BP-C0046</t>
        </is>
      </c>
      <c r="E62" s="15" t="inlineStr">
        <is>
          <t>Mr Adesida Raphael</t>
        </is>
      </c>
      <c r="F62" s="17" t="n">
        <v>45632</v>
      </c>
      <c r="G62" s="15" t="inlineStr">
        <is>
          <t>Land (estate not stated in source)</t>
        </is>
      </c>
      <c r="H62" s="15" t="inlineStr">
        <is>
          <t>BAAY PROJECTS SALES EXPENSES (COMMISSION) RECORDS (1)</t>
        </is>
      </c>
      <c r="I62" s="15" t="inlineStr">
        <is>
          <t>MD</t>
        </is>
      </c>
      <c r="J62" s="15" t="n">
        <v>37</v>
      </c>
      <c r="K62" s="15" t="n"/>
      <c r="L62" s="15" t="inlineStr">
        <is>
          <t>13/06/2024</t>
        </is>
      </c>
    </row>
    <row r="63">
      <c r="A63" s="15" t="inlineStr">
        <is>
          <t>XC059</t>
        </is>
      </c>
      <c r="B63" s="16" t="n">
        <v>45471</v>
      </c>
      <c r="C63" s="15" t="n">
        <v>2024</v>
      </c>
      <c r="D63" s="15" t="inlineStr">
        <is>
          <t>BP-C0235</t>
        </is>
      </c>
      <c r="E63" s="15" t="inlineStr">
        <is>
          <t>Sharon Aisosa Ebholah</t>
        </is>
      </c>
      <c r="F63" s="17" t="n">
        <v>295000</v>
      </c>
      <c r="G63" s="15" t="inlineStr">
        <is>
          <t>Land (estate not stated in source)</t>
        </is>
      </c>
      <c r="H63" s="15" t="inlineStr">
        <is>
          <t>BAAY PROJECTS SALES EXPENSES (COMMISSION) RECORDS (1)</t>
        </is>
      </c>
      <c r="I63" s="15" t="inlineStr">
        <is>
          <t>MS BLESSING</t>
        </is>
      </c>
      <c r="J63" s="15" t="n">
        <v>65</v>
      </c>
      <c r="K63" s="15" t="n"/>
      <c r="L63" s="15" t="inlineStr">
        <is>
          <t>28/06/2024</t>
        </is>
      </c>
    </row>
    <row r="64">
      <c r="A64" s="15" t="inlineStr">
        <is>
          <t>XC060</t>
        </is>
      </c>
      <c r="B64" s="16" t="n">
        <v>45500</v>
      </c>
      <c r="C64" s="15" t="n">
        <v>2024</v>
      </c>
      <c r="D64" s="15" t="inlineStr">
        <is>
          <t>BP-C0235</t>
        </is>
      </c>
      <c r="E64" s="15" t="inlineStr">
        <is>
          <t>Sharon Aisosa Ebholah</t>
        </is>
      </c>
      <c r="F64" s="17" t="n">
        <v>300000</v>
      </c>
      <c r="G64" s="15" t="inlineStr">
        <is>
          <t>Land (estate not stated in source)</t>
        </is>
      </c>
      <c r="H64" s="15" t="inlineStr">
        <is>
          <t>BAAY PROJECTS SALES EXPENSES (COMMISSION) RECORDS (1)</t>
        </is>
      </c>
      <c r="I64" s="15" t="inlineStr">
        <is>
          <t>MS BLESSING</t>
        </is>
      </c>
      <c r="J64" s="15" t="n">
        <v>80</v>
      </c>
      <c r="K64" s="15" t="n"/>
      <c r="L64" s="15" t="inlineStr">
        <is>
          <t>27/07/2024</t>
        </is>
      </c>
    </row>
    <row r="65">
      <c r="A65" s="15" t="inlineStr">
        <is>
          <t>XC061</t>
        </is>
      </c>
      <c r="B65" s="16" t="n">
        <v>45504</v>
      </c>
      <c r="C65" s="15" t="n">
        <v>2024</v>
      </c>
      <c r="D65" s="15" t="inlineStr">
        <is>
          <t>BP-C0110</t>
        </is>
      </c>
      <c r="E65" s="15" t="inlineStr">
        <is>
          <t>Mr Adeyemi Kayode</t>
        </is>
      </c>
      <c r="F65" s="17" t="n">
        <v>2750000</v>
      </c>
      <c r="G65" s="15" t="inlineStr">
        <is>
          <t>Land (estate not stated in source)</t>
        </is>
      </c>
      <c r="H65" s="15" t="inlineStr">
        <is>
          <t>BAAY PROJECTS SALES EXPENSES (COMMISSION) RECORDS (1)</t>
        </is>
      </c>
      <c r="I65" s="15" t="inlineStr">
        <is>
          <t>MS BOLANLE</t>
        </is>
      </c>
      <c r="J65" s="15" t="n">
        <v>80</v>
      </c>
      <c r="K65" s="15" t="n"/>
      <c r="L65" s="15" t="inlineStr">
        <is>
          <t>31/07/2024</t>
        </is>
      </c>
    </row>
    <row r="66">
      <c r="A66" s="15" t="inlineStr">
        <is>
          <t>XC062</t>
        </is>
      </c>
      <c r="B66" s="16" t="n">
        <v>45505</v>
      </c>
      <c r="C66" s="15" t="n">
        <v>2024</v>
      </c>
      <c r="D66" s="15" t="inlineStr">
        <is>
          <t>BP-C0090</t>
        </is>
      </c>
      <c r="E66" s="15" t="inlineStr">
        <is>
          <t>Mr Ajiva Lubem Barnabas</t>
        </is>
      </c>
      <c r="F66" s="17" t="n">
        <v>50000</v>
      </c>
      <c r="G66" s="15" t="inlineStr">
        <is>
          <t>Land (estate not stated in source)</t>
        </is>
      </c>
      <c r="H66" s="15" t="inlineStr">
        <is>
          <t>BAAY PROJECTS SALES EXPENSES (COMMISSION) RECORDS (1)</t>
        </is>
      </c>
      <c r="I66" s="15" t="inlineStr">
        <is>
          <t>FASUYI OLAYINKA</t>
        </is>
      </c>
      <c r="J66" s="15" t="n">
        <v>38</v>
      </c>
      <c r="K66" s="15" t="n"/>
      <c r="L66" s="15" t="inlineStr">
        <is>
          <t>2024-01-08</t>
        </is>
      </c>
    </row>
    <row r="67">
      <c r="A67" s="15" t="inlineStr">
        <is>
          <t>XC063</t>
        </is>
      </c>
      <c r="B67" s="16" t="n">
        <v>45516</v>
      </c>
      <c r="C67" s="15" t="n">
        <v>2024</v>
      </c>
      <c r="D67" s="15" t="inlineStr">
        <is>
          <t>BP-C0019</t>
        </is>
      </c>
      <c r="E67" s="15" t="inlineStr">
        <is>
          <t>Mr Ogbu Pius Ejaka</t>
        </is>
      </c>
      <c r="F67" s="17" t="n">
        <v>3510000</v>
      </c>
      <c r="G67" s="15" t="inlineStr">
        <is>
          <t>Land (estate not stated in source)</t>
        </is>
      </c>
      <c r="H67" s="15" t="inlineStr">
        <is>
          <t>BAAY PROJECTS SALES EXPENSES (COMMISSION) RECORDS (1)</t>
        </is>
      </c>
      <c r="I67" s="15" t="inlineStr">
        <is>
          <t>MS BLESSING</t>
        </is>
      </c>
      <c r="J67" s="15" t="n">
        <v>89</v>
      </c>
      <c r="K67" s="15" t="inlineStr">
        <is>
          <t>MS MAYOWA BRAIMOH r18</t>
        </is>
      </c>
      <c r="L67" s="15" t="inlineStr">
        <is>
          <t>2024-12-08</t>
        </is>
      </c>
    </row>
    <row r="68">
      <c r="A68" s="15" t="inlineStr">
        <is>
          <t>XC064</t>
        </is>
      </c>
      <c r="B68" s="16" t="n">
        <v>45522</v>
      </c>
      <c r="C68" s="15" t="n">
        <v>2024</v>
      </c>
      <c r="D68" s="15" t="inlineStr">
        <is>
          <t>BP-C0234</t>
        </is>
      </c>
      <c r="E68" s="15" t="inlineStr">
        <is>
          <t>Okorie Rachael Mmesoma</t>
        </is>
      </c>
      <c r="F68" s="17" t="n">
        <v>256000</v>
      </c>
      <c r="G68" s="15" t="inlineStr">
        <is>
          <t>Land (estate not stated in source)</t>
        </is>
      </c>
      <c r="H68" s="15" t="inlineStr">
        <is>
          <t>BAAY PROJECTS SALES EXPENSES (COMMISSION) RECORDS (1)</t>
        </is>
      </c>
      <c r="I68" s="15" t="inlineStr">
        <is>
          <t>MS BLESSING OJI</t>
        </is>
      </c>
      <c r="J68" s="15" t="n">
        <v>35</v>
      </c>
      <c r="K68" s="15" t="n"/>
      <c r="L68" s="15" t="inlineStr">
        <is>
          <t>18/08/2024</t>
        </is>
      </c>
    </row>
    <row r="69">
      <c r="A69" s="15" t="inlineStr">
        <is>
          <t>XC065</t>
        </is>
      </c>
      <c r="B69" s="16" t="n">
        <v>45524</v>
      </c>
      <c r="C69" s="15" t="n">
        <v>2024</v>
      </c>
      <c r="D69" s="15" t="inlineStr">
        <is>
          <t>BP-C0234</t>
        </is>
      </c>
      <c r="E69" s="15" t="inlineStr">
        <is>
          <t>Okorie Rachael Mmesoma</t>
        </is>
      </c>
      <c r="F69" s="17" t="n">
        <v>244000</v>
      </c>
      <c r="G69" s="15" t="inlineStr">
        <is>
          <t>Land (estate not stated in source)</t>
        </is>
      </c>
      <c r="H69" s="15" t="inlineStr">
        <is>
          <t>BAAY PROJECTS SALES EXPENSES (COMMISSION) RECORDS (1)</t>
        </is>
      </c>
      <c r="I69" s="15" t="inlineStr">
        <is>
          <t>MS BLESSING OJI</t>
        </is>
      </c>
      <c r="J69" s="15" t="n">
        <v>36</v>
      </c>
      <c r="K69" s="15" t="n"/>
      <c r="L69" s="15" t="inlineStr">
        <is>
          <t>20/08/2024</t>
        </is>
      </c>
    </row>
    <row r="70">
      <c r="A70" s="15" t="inlineStr">
        <is>
          <t>XC066</t>
        </is>
      </c>
      <c r="B70" s="16" t="n">
        <v>45526</v>
      </c>
      <c r="C70" s="15" t="n">
        <v>2024</v>
      </c>
      <c r="D70" s="15" t="inlineStr">
        <is>
          <t>BP-C0103</t>
        </is>
      </c>
      <c r="E70" s="15" t="inlineStr">
        <is>
          <t>Miss Ojotule Faith Danjuma</t>
        </is>
      </c>
      <c r="F70" s="17" t="n">
        <v>1673000</v>
      </c>
      <c r="G70" s="15" t="inlineStr">
        <is>
          <t>Land (estate not stated in source)</t>
        </is>
      </c>
      <c r="H70" s="15" t="inlineStr">
        <is>
          <t>BAAY PROJECTS SALES EXPENSES (COMMISSION) RECORDS (1)</t>
        </is>
      </c>
      <c r="I70" s="15" t="inlineStr">
        <is>
          <t>FESTUS</t>
        </is>
      </c>
      <c r="J70" s="15" t="n">
        <v>30</v>
      </c>
      <c r="K70" s="15" t="n"/>
      <c r="L70" s="15" t="inlineStr">
        <is>
          <t>22/08/2024</t>
        </is>
      </c>
    </row>
    <row r="71">
      <c r="A71" s="15" t="inlineStr">
        <is>
          <t>XC067</t>
        </is>
      </c>
      <c r="B71" s="16" t="n">
        <v>45527</v>
      </c>
      <c r="C71" s="15" t="n">
        <v>2024</v>
      </c>
      <c r="D71" s="15" t="inlineStr">
        <is>
          <t>BP-C0060</t>
        </is>
      </c>
      <c r="E71" s="15" t="inlineStr">
        <is>
          <t>Miss Mitchell Jennifer</t>
        </is>
      </c>
      <c r="F71" s="17" t="n">
        <v>608060</v>
      </c>
      <c r="G71" s="15" t="inlineStr">
        <is>
          <t>Land (estate not stated in source)</t>
        </is>
      </c>
      <c r="H71" s="15" t="inlineStr">
        <is>
          <t>BAAY PROJECTS SALES EXPENSES (COMMISSION) RECORDS (1)</t>
        </is>
      </c>
      <c r="I71" s="15" t="inlineStr">
        <is>
          <t>MS CELINA</t>
        </is>
      </c>
      <c r="J71" s="15" t="n">
        <v>25</v>
      </c>
      <c r="K71" s="15" t="n"/>
      <c r="L71" s="15" t="inlineStr">
        <is>
          <t>23/08/2024</t>
        </is>
      </c>
    </row>
    <row r="72">
      <c r="A72" s="15" t="inlineStr">
        <is>
          <t>XC068</t>
        </is>
      </c>
      <c r="B72" s="16" t="n">
        <v>45527</v>
      </c>
      <c r="C72" s="15" t="n">
        <v>2024</v>
      </c>
      <c r="D72" s="15" t="inlineStr">
        <is>
          <t>BP-C0118</t>
        </is>
      </c>
      <c r="E72" s="15" t="inlineStr">
        <is>
          <t>Pastor Ikechukwu Kingsley &amp; Deaconess Ikechukwu Rose Uju</t>
        </is>
      </c>
      <c r="F72" s="17" t="n">
        <v>2000000</v>
      </c>
      <c r="G72" s="15" t="inlineStr">
        <is>
          <t>Land (estate not stated in source)</t>
        </is>
      </c>
      <c r="H72" s="15" t="inlineStr">
        <is>
          <t>BAAY PROJECTS SALES EXPENSES (COMMISSION) RECORDS (1)</t>
        </is>
      </c>
      <c r="I72" s="15" t="inlineStr">
        <is>
          <t>MS ADENIKE</t>
        </is>
      </c>
      <c r="J72" s="15" t="n">
        <v>8</v>
      </c>
      <c r="K72" s="15" t="n"/>
      <c r="L72" s="15" t="inlineStr">
        <is>
          <t>23/08/2024</t>
        </is>
      </c>
    </row>
    <row r="73">
      <c r="A73" s="15" t="inlineStr">
        <is>
          <t>XC069</t>
        </is>
      </c>
      <c r="B73" s="16" t="n">
        <v>45536</v>
      </c>
      <c r="C73" s="15" t="n">
        <v>2024</v>
      </c>
      <c r="D73" s="15" t="inlineStr">
        <is>
          <t>BP-C0119</t>
        </is>
      </c>
      <c r="E73" s="15" t="inlineStr">
        <is>
          <t>Mr Adedapo Adekunle Solomon</t>
        </is>
      </c>
      <c r="F73" s="17" t="n">
        <v>5000000</v>
      </c>
      <c r="G73" s="15" t="inlineStr">
        <is>
          <t>Land (estate not stated in source)</t>
        </is>
      </c>
      <c r="H73" s="15" t="inlineStr">
        <is>
          <t>BAAY PROJECTS SALES EXPENSES (COMMISSION) RECORDS (1)</t>
        </is>
      </c>
      <c r="I73" s="15" t="inlineStr">
        <is>
          <t>MS TAIWO</t>
        </is>
      </c>
      <c r="J73" s="15" t="n">
        <v>51</v>
      </c>
      <c r="K73" s="15" t="n"/>
      <c r="L73" s="15" t="inlineStr">
        <is>
          <t>2024-01-09</t>
        </is>
      </c>
    </row>
    <row r="74">
      <c r="A74" s="15" t="inlineStr">
        <is>
          <t>XC070</t>
        </is>
      </c>
      <c r="B74" s="16" t="n">
        <v>45545</v>
      </c>
      <c r="C74" s="15" t="n">
        <v>2024</v>
      </c>
      <c r="D74" s="15" t="inlineStr">
        <is>
          <t>BP-C0234</t>
        </is>
      </c>
      <c r="E74" s="15" t="inlineStr">
        <is>
          <t>Okorie Rachael Mmesoma</t>
        </is>
      </c>
      <c r="F74" s="17" t="n">
        <v>1300000</v>
      </c>
      <c r="G74" s="15" t="inlineStr">
        <is>
          <t>Land (estate not stated in source)</t>
        </is>
      </c>
      <c r="H74" s="15" t="inlineStr">
        <is>
          <t>BAAY PROJECTS SALES EXPENSES (COMMISSION) RECORDS (1)</t>
        </is>
      </c>
      <c r="I74" s="15" t="inlineStr">
        <is>
          <t>MS BLESSING OJI</t>
        </is>
      </c>
      <c r="J74" s="15" t="n">
        <v>43</v>
      </c>
      <c r="K74" s="15" t="n"/>
      <c r="L74" s="15" t="inlineStr">
        <is>
          <t>2024-10-09</t>
        </is>
      </c>
    </row>
    <row r="75">
      <c r="A75" s="15" t="inlineStr">
        <is>
          <t>XC071</t>
        </is>
      </c>
      <c r="B75" s="16" t="n">
        <v>45545</v>
      </c>
      <c r="C75" s="15" t="n">
        <v>2024</v>
      </c>
      <c r="D75" s="15" t="inlineStr">
        <is>
          <t>BP-C0096</t>
        </is>
      </c>
      <c r="E75" s="15" t="inlineStr">
        <is>
          <t>Mrs Lawani Opemipo Oluwatobi</t>
        </is>
      </c>
      <c r="F75" s="17" t="n">
        <v>555000</v>
      </c>
      <c r="G75" s="15" t="inlineStr">
        <is>
          <t>Land (estate not stated in source)</t>
        </is>
      </c>
      <c r="H75" s="15" t="inlineStr">
        <is>
          <t>BAAY PROJECTS SALES EXPENSES (COMMISSION) RECORDS (1)</t>
        </is>
      </c>
      <c r="I75" s="15" t="inlineStr">
        <is>
          <t>MS FISAYO</t>
        </is>
      </c>
      <c r="J75" s="15" t="n">
        <v>29</v>
      </c>
      <c r="K75" s="15" t="n"/>
      <c r="L75" s="15" t="inlineStr">
        <is>
          <t>2024-10-09</t>
        </is>
      </c>
    </row>
    <row r="76">
      <c r="A76" s="15" t="inlineStr">
        <is>
          <t>XC072</t>
        </is>
      </c>
      <c r="B76" s="16" t="n">
        <v>45552</v>
      </c>
      <c r="C76" s="15" t="n">
        <v>2024</v>
      </c>
      <c r="D76" s="15" t="inlineStr">
        <is>
          <t>BP-C0125</t>
        </is>
      </c>
      <c r="E76" s="15" t="inlineStr">
        <is>
          <t>Mrs Adelaja-Idowu Mosebolatan Tomilayo</t>
        </is>
      </c>
      <c r="F76" s="17" t="n">
        <v>11700000</v>
      </c>
      <c r="G76" s="15" t="inlineStr">
        <is>
          <t>Land (estate not stated in source)</t>
        </is>
      </c>
      <c r="H76" s="15" t="inlineStr">
        <is>
          <t>BAAY PROJECTS SALES EXPENSES (COMMISSION) RECORDS (1)</t>
        </is>
      </c>
      <c r="I76" s="15" t="inlineStr">
        <is>
          <t>OGIDAN</t>
        </is>
      </c>
      <c r="J76" s="15" t="n">
        <v>22</v>
      </c>
      <c r="K76" s="15" t="n"/>
      <c r="L76" s="15" t="inlineStr">
        <is>
          <t>17/09/2024</t>
        </is>
      </c>
    </row>
    <row r="77">
      <c r="A77" s="15" t="inlineStr">
        <is>
          <t>XC073</t>
        </is>
      </c>
      <c r="B77" s="16" t="n">
        <v>45563</v>
      </c>
      <c r="C77" s="15" t="n">
        <v>2024</v>
      </c>
      <c r="D77" s="15" t="inlineStr">
        <is>
          <t>BP-C0234</t>
        </is>
      </c>
      <c r="E77" s="15" t="inlineStr">
        <is>
          <t>Okorie Rachael Mmesoma</t>
        </is>
      </c>
      <c r="F77" s="17" t="n">
        <v>2000000</v>
      </c>
      <c r="G77" s="15" t="inlineStr">
        <is>
          <t>Land (estate not stated in source)</t>
        </is>
      </c>
      <c r="H77" s="15" t="inlineStr">
        <is>
          <t>BAAY PROJECTS SALES EXPENSES (COMMISSION) RECORDS (1)</t>
        </is>
      </c>
      <c r="I77" s="15" t="inlineStr">
        <is>
          <t>MS BLESSING OJI</t>
        </is>
      </c>
      <c r="J77" s="15" t="n">
        <v>37</v>
      </c>
      <c r="K77" s="15" t="n"/>
      <c r="L77" s="15" t="inlineStr">
        <is>
          <t>28/09/2024</t>
        </is>
      </c>
    </row>
    <row r="78">
      <c r="A78" s="15" t="inlineStr">
        <is>
          <t>XC074</t>
        </is>
      </c>
      <c r="B78" s="16" t="n">
        <v>45587</v>
      </c>
      <c r="C78" s="15" t="n">
        <v>2024</v>
      </c>
      <c r="D78" s="15" t="inlineStr">
        <is>
          <t>BP-C0086</t>
        </is>
      </c>
      <c r="E78" s="15" t="inlineStr">
        <is>
          <t>Miss Nwobodo Miriam Chioma</t>
        </is>
      </c>
      <c r="F78" s="17" t="n">
        <v>350000</v>
      </c>
      <c r="G78" s="15" t="inlineStr">
        <is>
          <t>Land (estate not stated in source)</t>
        </is>
      </c>
      <c r="H78" s="15" t="inlineStr">
        <is>
          <t>BAAY PROJECTS SALES EXPENSES (COMMISSION) RECORDS (1)</t>
        </is>
      </c>
      <c r="I78" s="15" t="inlineStr">
        <is>
          <t>MD</t>
        </is>
      </c>
      <c r="J78" s="15" t="n">
        <v>69</v>
      </c>
      <c r="K78" s="15" t="n"/>
      <c r="L78" s="15" t="inlineStr">
        <is>
          <t>22/10/2024</t>
        </is>
      </c>
    </row>
    <row r="79">
      <c r="A79" s="15" t="inlineStr">
        <is>
          <t>XC075</t>
        </is>
      </c>
      <c r="B79" s="16" t="n">
        <v>45587</v>
      </c>
      <c r="C79" s="15" t="n">
        <v>2024</v>
      </c>
      <c r="D79" s="15" t="inlineStr">
        <is>
          <t>BP-C0126</t>
        </is>
      </c>
      <c r="E79" s="15" t="inlineStr">
        <is>
          <t>Miss Ogundipe Motunrayo Fransisca</t>
        </is>
      </c>
      <c r="F79" s="17" t="n">
        <v>2000000</v>
      </c>
      <c r="G79" s="15" t="inlineStr">
        <is>
          <t>Land (estate not stated in source)</t>
        </is>
      </c>
      <c r="H79" s="15" t="inlineStr">
        <is>
          <t>BAAY PROJECTS SALES EXPENSES (COMMISSION) RECORDS (1)</t>
        </is>
      </c>
      <c r="I79" s="15" t="inlineStr">
        <is>
          <t>MD</t>
        </is>
      </c>
      <c r="J79" s="15" t="n">
        <v>70</v>
      </c>
      <c r="K79" s="15" t="n"/>
      <c r="L79" s="15" t="inlineStr">
        <is>
          <t>22/10/2024</t>
        </is>
      </c>
    </row>
    <row r="80">
      <c r="A80" s="15" t="inlineStr">
        <is>
          <t>XC076</t>
        </is>
      </c>
      <c r="B80" s="16" t="n">
        <v>45591</v>
      </c>
      <c r="C80" s="15" t="n">
        <v>2024</v>
      </c>
      <c r="D80" s="15" t="inlineStr">
        <is>
          <t>BP-C0097</t>
        </is>
      </c>
      <c r="E80" s="15" t="inlineStr">
        <is>
          <t>Engr. Fagbulu Taiwo Olubunmi</t>
        </is>
      </c>
      <c r="F80" s="17" t="n">
        <v>525000</v>
      </c>
      <c r="G80" s="15" t="inlineStr">
        <is>
          <t>Land (estate not stated in source)</t>
        </is>
      </c>
      <c r="H80" s="15" t="inlineStr">
        <is>
          <t>BAAY PROJECTS SALES EXPENSES (COMMISSION) RECORDS (1)</t>
        </is>
      </c>
      <c r="I80" s="15" t="inlineStr">
        <is>
          <t>MR HENRY</t>
        </is>
      </c>
      <c r="J80" s="15" t="n">
        <v>18</v>
      </c>
      <c r="K80" s="15" t="n"/>
      <c r="L80" s="15" t="inlineStr">
        <is>
          <t>26/10/2024</t>
        </is>
      </c>
    </row>
    <row r="81">
      <c r="A81" s="15" t="inlineStr">
        <is>
          <t>XC077</t>
        </is>
      </c>
      <c r="B81" s="16" t="n">
        <v>45591</v>
      </c>
      <c r="C81" s="15" t="n">
        <v>2024</v>
      </c>
      <c r="D81" s="15" t="inlineStr">
        <is>
          <t>BP-C0100</t>
        </is>
      </c>
      <c r="E81" s="15" t="inlineStr">
        <is>
          <t>Mr Braimoh Ayomide Favour</t>
        </is>
      </c>
      <c r="F81" s="17" t="n">
        <v>612500</v>
      </c>
      <c r="G81" s="15" t="inlineStr">
        <is>
          <t>Land (estate not stated in source)</t>
        </is>
      </c>
      <c r="H81" s="15" t="inlineStr">
        <is>
          <t>BAAY PROJECTS SALES EXPENSES (COMMISSION) RECORDS (1)</t>
        </is>
      </c>
      <c r="I81" s="15" t="inlineStr">
        <is>
          <t>MS MAYOWA BRAIMOH</t>
        </is>
      </c>
      <c r="J81" s="15" t="n">
        <v>37</v>
      </c>
      <c r="K81" s="15" t="n"/>
      <c r="L81" s="15" t="inlineStr">
        <is>
          <t>26/10/2024</t>
        </is>
      </c>
    </row>
    <row r="82">
      <c r="A82" s="15" t="inlineStr">
        <is>
          <t>XC078</t>
        </is>
      </c>
      <c r="B82" s="16" t="n">
        <v>45595</v>
      </c>
      <c r="C82" s="15" t="n">
        <v>2024</v>
      </c>
      <c r="D82" s="15" t="inlineStr">
        <is>
          <t>BP-C0141</t>
        </is>
      </c>
      <c r="E82" s="15" t="inlineStr">
        <is>
          <t>Mr Aremu Kayode Sarafa</t>
        </is>
      </c>
      <c r="F82" s="17" t="n">
        <v>300000</v>
      </c>
      <c r="G82" s="15" t="inlineStr">
        <is>
          <t>Land (estate not stated in source)</t>
        </is>
      </c>
      <c r="H82" s="15" t="inlineStr">
        <is>
          <t>BAAY PROJECTS SALES EXPENSES (COMMISSION) RECORDS (1)</t>
        </is>
      </c>
      <c r="I82" s="15" t="inlineStr">
        <is>
          <t>OGIDAN</t>
        </is>
      </c>
      <c r="J82" s="15" t="n">
        <v>79</v>
      </c>
      <c r="K82" s="15" t="n"/>
      <c r="L82" s="15" t="inlineStr">
        <is>
          <t>30/10/2024</t>
        </is>
      </c>
    </row>
    <row r="83">
      <c r="A83" s="15" t="inlineStr">
        <is>
          <t>XC079</t>
        </is>
      </c>
      <c r="B83" s="16" t="n">
        <v>45596</v>
      </c>
      <c r="C83" s="15" t="n">
        <v>2024</v>
      </c>
      <c r="D83" s="15" t="inlineStr">
        <is>
          <t>BP-C0140</t>
        </is>
      </c>
      <c r="E83" s="15" t="inlineStr">
        <is>
          <t>Mr Balogun Akeem Tokunbo</t>
        </is>
      </c>
      <c r="F83" s="17" t="n">
        <v>10000000</v>
      </c>
      <c r="G83" s="15" t="inlineStr">
        <is>
          <t>Pacific Apartment</t>
        </is>
      </c>
      <c r="H83" s="15" t="inlineStr">
        <is>
          <t>BAAY PROJECTS SALES EXPENSES (COMMISSION) RECORDS (1)</t>
        </is>
      </c>
      <c r="I83" s="15" t="inlineStr">
        <is>
          <t>MAMA ADEBIMPE</t>
        </is>
      </c>
      <c r="J83" s="15" t="n">
        <v>6</v>
      </c>
      <c r="K83" s="15" t="n"/>
      <c r="L83" s="15" t="inlineStr">
        <is>
          <t>31/10/2024</t>
        </is>
      </c>
    </row>
    <row r="84">
      <c r="A84" s="15" t="inlineStr">
        <is>
          <t>XC080</t>
        </is>
      </c>
      <c r="B84" s="16" t="n">
        <v>45598</v>
      </c>
      <c r="C84" s="15" t="n">
        <v>2024</v>
      </c>
      <c r="D84" s="15" t="inlineStr">
        <is>
          <t>BP-C0124</t>
        </is>
      </c>
      <c r="E84" s="15" t="inlineStr">
        <is>
          <t>Miss Thomas Oluwabukola Comfort</t>
        </is>
      </c>
      <c r="F84" s="17" t="n">
        <v>300000</v>
      </c>
      <c r="G84" s="15" t="inlineStr">
        <is>
          <t>Land (estate not stated in source)</t>
        </is>
      </c>
      <c r="H84" s="15" t="inlineStr">
        <is>
          <t>BAAY PROJECTS SALES EXPENSES (COMMISSION) RECORDS (1)</t>
        </is>
      </c>
      <c r="I84" s="15" t="inlineStr">
        <is>
          <t>MR PELUMI</t>
        </is>
      </c>
      <c r="J84" s="15" t="n">
        <v>19</v>
      </c>
      <c r="K84" s="15" t="n"/>
      <c r="L84" s="15" t="inlineStr">
        <is>
          <t>2024-02-11</t>
        </is>
      </c>
    </row>
    <row r="85">
      <c r="A85" s="15" t="inlineStr">
        <is>
          <t>XC081</t>
        </is>
      </c>
      <c r="B85" s="16" t="n">
        <v>45601</v>
      </c>
      <c r="C85" s="15" t="n">
        <v>2024</v>
      </c>
      <c r="D85" s="15" t="inlineStr">
        <is>
          <t>BP-C0133</t>
        </is>
      </c>
      <c r="E85" s="15" t="inlineStr">
        <is>
          <t>Mr Oluwashina O. Olagbende</t>
        </is>
      </c>
      <c r="F85" s="17" t="n">
        <v>100000</v>
      </c>
      <c r="G85" s="15" t="inlineStr">
        <is>
          <t>Land (estate not stated in source)</t>
        </is>
      </c>
      <c r="H85" s="15" t="inlineStr">
        <is>
          <t>BAAY PROJECTS SALES EXPENSES (COMMISSION) RECORDS (1)</t>
        </is>
      </c>
      <c r="I85" s="15" t="inlineStr">
        <is>
          <t>MS AWONORIN MAYOWA</t>
        </is>
      </c>
      <c r="J85" s="15" t="n">
        <v>17</v>
      </c>
      <c r="K85" s="15" t="n"/>
      <c r="L85" s="15" t="inlineStr">
        <is>
          <t>2024-05-11</t>
        </is>
      </c>
    </row>
    <row r="86">
      <c r="A86" s="15" t="inlineStr">
        <is>
          <t>XC082</t>
        </is>
      </c>
      <c r="B86" s="16" t="n">
        <v>45611</v>
      </c>
      <c r="C86" s="15" t="n">
        <v>2024</v>
      </c>
      <c r="D86" s="15" t="inlineStr">
        <is>
          <t>BP-C0114</t>
        </is>
      </c>
      <c r="E86" s="15" t="inlineStr">
        <is>
          <t>Miss Ohaego Ijeoma Goodness</t>
        </is>
      </c>
      <c r="F86" s="17" t="n">
        <v>1532500</v>
      </c>
      <c r="G86" s="15" t="inlineStr">
        <is>
          <t>Land (estate not stated in source)</t>
        </is>
      </c>
      <c r="H86" s="15" t="inlineStr">
        <is>
          <t>BAAY PROJECTS SALES EXPENSES (COMMISSION) RECORDS (1)</t>
        </is>
      </c>
      <c r="I86" s="15" t="inlineStr">
        <is>
          <t>MS BOLANLE</t>
        </is>
      </c>
      <c r="J86" s="15" t="n">
        <v>120</v>
      </c>
      <c r="K86" s="15" t="inlineStr">
        <is>
          <t>MS BLESSING OJI r58</t>
        </is>
      </c>
      <c r="L86" s="15" t="inlineStr">
        <is>
          <t>15/11/2024</t>
        </is>
      </c>
    </row>
    <row r="87">
      <c r="A87" s="15" t="inlineStr">
        <is>
          <t>XC083</t>
        </is>
      </c>
      <c r="B87" s="16" t="n">
        <v>45624</v>
      </c>
      <c r="C87" s="15" t="n">
        <v>2024</v>
      </c>
      <c r="D87" s="15" t="inlineStr">
        <is>
          <t>BP-C0167</t>
        </is>
      </c>
      <c r="E87" s="15" t="inlineStr">
        <is>
          <t>Mr Uneze Grant Chetana</t>
        </is>
      </c>
      <c r="F87" s="17" t="n">
        <v>500000</v>
      </c>
      <c r="G87" s="15" t="inlineStr">
        <is>
          <t>Land (estate not stated in source)</t>
        </is>
      </c>
      <c r="H87" s="15" t="inlineStr">
        <is>
          <t>BAAY PROJECTS SALES EXPENSES (COMMISSION) RECORDS (1)</t>
        </is>
      </c>
      <c r="I87" s="15" t="inlineStr">
        <is>
          <t>MS SAMUELLA</t>
        </is>
      </c>
      <c r="J87" s="15" t="n">
        <v>2</v>
      </c>
      <c r="K87" s="15" t="n"/>
      <c r="L87" s="15" t="inlineStr">
        <is>
          <t>28/11/2024</t>
        </is>
      </c>
    </row>
    <row r="88">
      <c r="A88" s="15" t="inlineStr">
        <is>
          <t>XC084</t>
        </is>
      </c>
      <c r="B88" s="16" t="n">
        <v>45628</v>
      </c>
      <c r="C88" s="15" t="n">
        <v>2024</v>
      </c>
      <c r="D88" s="15" t="inlineStr">
        <is>
          <t>BP-C0051</t>
        </is>
      </c>
      <c r="E88" s="15" t="inlineStr">
        <is>
          <t>Mr Ogunleye Olumide</t>
        </is>
      </c>
      <c r="F88" s="17" t="n">
        <v>1600000</v>
      </c>
      <c r="G88" s="15" t="inlineStr">
        <is>
          <t>Land (estate not stated in source)</t>
        </is>
      </c>
      <c r="H88" s="15" t="inlineStr">
        <is>
          <t>BAAY PROJECTS SALES EXPENSES (COMMISSION) RECORDS (1)</t>
        </is>
      </c>
      <c r="I88" s="15" t="inlineStr">
        <is>
          <t>MD</t>
        </is>
      </c>
      <c r="J88" s="15" t="n">
        <v>90</v>
      </c>
      <c r="K88" s="15" t="n"/>
      <c r="L88" s="15" t="inlineStr">
        <is>
          <t>2024-02-12</t>
        </is>
      </c>
    </row>
    <row r="89">
      <c r="A89" s="15" t="inlineStr">
        <is>
          <t>XC085</t>
        </is>
      </c>
      <c r="B89" s="16" t="n">
        <v>45635</v>
      </c>
      <c r="C89" s="15" t="n">
        <v>2024</v>
      </c>
      <c r="D89" s="15" t="inlineStr">
        <is>
          <t>BP-C0140</t>
        </is>
      </c>
      <c r="E89" s="15" t="inlineStr">
        <is>
          <t>Mr Balogun Akeem Tokunbo</t>
        </is>
      </c>
      <c r="F89" s="17" t="n">
        <v>10000000</v>
      </c>
      <c r="G89" s="15" t="inlineStr">
        <is>
          <t>Pacific Apartment</t>
        </is>
      </c>
      <c r="H89" s="15" t="inlineStr">
        <is>
          <t>BAAY PROJECTS SALES EXPENSES (COMMISSION) RECORDS (1)</t>
        </is>
      </c>
      <c r="I89" s="15" t="inlineStr">
        <is>
          <t>MAMA ADEBIMPE</t>
        </is>
      </c>
      <c r="J89" s="15" t="n">
        <v>66</v>
      </c>
      <c r="K89" s="15" t="n"/>
      <c r="L89" s="15" t="inlineStr">
        <is>
          <t>2024-09-12</t>
        </is>
      </c>
    </row>
    <row r="90">
      <c r="A90" s="15" t="inlineStr">
        <is>
          <t>XC086</t>
        </is>
      </c>
      <c r="B90" s="16" t="n">
        <v>45640</v>
      </c>
      <c r="C90" s="15" t="n">
        <v>2024</v>
      </c>
      <c r="D90" s="15" t="inlineStr">
        <is>
          <t>BP-C0148</t>
        </is>
      </c>
      <c r="E90" s="15" t="inlineStr">
        <is>
          <t>Mr Akinsete Michael</t>
        </is>
      </c>
      <c r="F90" s="17" t="n">
        <v>500000</v>
      </c>
      <c r="G90" s="15" t="inlineStr">
        <is>
          <t>Land (estate not stated in source)</t>
        </is>
      </c>
      <c r="H90" s="15" t="inlineStr">
        <is>
          <t>BAAY PROJECTS SALES EXPENSES (COMMISSION) RECORDS (1)</t>
        </is>
      </c>
      <c r="I90" s="15" t="inlineStr">
        <is>
          <t>MD</t>
        </is>
      </c>
      <c r="J90" s="15" t="n">
        <v>119</v>
      </c>
      <c r="K90" s="15" t="n"/>
      <c r="L90" s="15" t="inlineStr">
        <is>
          <t>14/12/2024</t>
        </is>
      </c>
    </row>
    <row r="91">
      <c r="A91" s="15" t="inlineStr">
        <is>
          <t>XC087</t>
        </is>
      </c>
      <c r="B91" s="16" t="n">
        <v>45641</v>
      </c>
      <c r="C91" s="15" t="n">
        <v>2024</v>
      </c>
      <c r="D91" s="15" t="inlineStr">
        <is>
          <t>BP-C0229</t>
        </is>
      </c>
      <c r="E91" s="15" t="inlineStr">
        <is>
          <t>Mr Adeyanju/Mr Adepoju &amp; Mrs Adepoju</t>
        </is>
      </c>
      <c r="F91" s="17" t="n">
        <v>2500000</v>
      </c>
      <c r="G91" s="15" t="inlineStr">
        <is>
          <t>Land (estate not stated in source)</t>
        </is>
      </c>
      <c r="H91" s="15" t="inlineStr">
        <is>
          <t>BAAY PROJECTS SALES EXPENSES (COMMISSION) RECORDS (1)</t>
        </is>
      </c>
      <c r="I91" s="15" t="inlineStr">
        <is>
          <t>MS TAIWO</t>
        </is>
      </c>
      <c r="J91" s="15" t="n">
        <v>58</v>
      </c>
      <c r="K91" s="15" t="n"/>
      <c r="L91" s="15" t="inlineStr">
        <is>
          <t>15/12/2024</t>
        </is>
      </c>
    </row>
    <row r="92">
      <c r="A92" s="15" t="inlineStr">
        <is>
          <t>XC088</t>
        </is>
      </c>
      <c r="B92" s="16" t="n">
        <v>45641</v>
      </c>
      <c r="C92" s="15" t="n">
        <v>2024</v>
      </c>
      <c r="D92" s="15" t="inlineStr">
        <is>
          <t>BP-C0142</t>
        </is>
      </c>
      <c r="E92" s="15" t="inlineStr">
        <is>
          <t>Mr Simien Samuel &amp; Mrs Simien Oyindamola Adekunle</t>
        </is>
      </c>
      <c r="F92" s="17" t="n">
        <v>4750000</v>
      </c>
      <c r="G92" s="15" t="inlineStr">
        <is>
          <t>Pacific Apartment</t>
        </is>
      </c>
      <c r="H92" s="15" t="inlineStr">
        <is>
          <t>BAAY PROJECTS SALES EXPENSES (COMMISSION) RECORDS (1)</t>
        </is>
      </c>
      <c r="I92" s="15" t="inlineStr">
        <is>
          <t>MAMA ADEBIMPE</t>
        </is>
      </c>
      <c r="J92" s="15" t="n">
        <v>73</v>
      </c>
      <c r="K92" s="15" t="n"/>
      <c r="L92" s="15" t="inlineStr">
        <is>
          <t>15/12/2024</t>
        </is>
      </c>
    </row>
    <row r="93">
      <c r="A93" s="15" t="inlineStr">
        <is>
          <t>XC089</t>
        </is>
      </c>
      <c r="B93" s="16" t="n">
        <v>45642</v>
      </c>
      <c r="C93" s="15" t="n">
        <v>2024</v>
      </c>
      <c r="D93" s="15" t="inlineStr">
        <is>
          <t>BP-C0066</t>
        </is>
      </c>
      <c r="E93" s="15" t="inlineStr">
        <is>
          <t>Miss Omosanya Dotun Akeju</t>
        </is>
      </c>
      <c r="F93" s="17" t="n">
        <v>2000000</v>
      </c>
      <c r="G93" s="15" t="inlineStr">
        <is>
          <t>Land (estate not stated in source)</t>
        </is>
      </c>
      <c r="H93" s="15" t="inlineStr">
        <is>
          <t>BAAY PROJECTS SALES EXPENSES (COMMISSION) RECORDS (1)</t>
        </is>
      </c>
      <c r="I93" s="15" t="inlineStr">
        <is>
          <t>MS BOLANLE</t>
        </is>
      </c>
      <c r="J93" s="15" t="n">
        <v>128</v>
      </c>
      <c r="K93" s="15" t="n"/>
      <c r="L93" s="15" t="inlineStr">
        <is>
          <t>16/12/2024</t>
        </is>
      </c>
    </row>
    <row r="94">
      <c r="A94" s="15" t="inlineStr">
        <is>
          <t>XC090</t>
        </is>
      </c>
      <c r="B94" s="16" t="n">
        <v>45650</v>
      </c>
      <c r="C94" s="15" t="n">
        <v>2024</v>
      </c>
      <c r="D94" s="15" t="inlineStr">
        <is>
          <t>BP-C0167</t>
        </is>
      </c>
      <c r="E94" s="15" t="inlineStr">
        <is>
          <t>Mr Uneze Grant Chetana</t>
        </is>
      </c>
      <c r="F94" s="17" t="n">
        <v>500000</v>
      </c>
      <c r="G94" s="15" t="inlineStr">
        <is>
          <t>Land (estate not stated in source)</t>
        </is>
      </c>
      <c r="H94" s="15" t="inlineStr">
        <is>
          <t>BAAY PROJECTS SALES EXPENSES (COMMISSION) RECORDS (1)</t>
        </is>
      </c>
      <c r="I94" s="15" t="inlineStr">
        <is>
          <t>MS SAMUELLA</t>
        </is>
      </c>
      <c r="J94" s="15" t="n">
        <v>3</v>
      </c>
      <c r="K94" s="15" t="n"/>
      <c r="L94" s="15" t="inlineStr">
        <is>
          <t>24/12/2024</t>
        </is>
      </c>
    </row>
    <row r="95">
      <c r="E95" s="18" t="inlineStr">
        <is>
          <t>Total</t>
        </is>
      </c>
      <c r="F95" s="19">
        <f>SUBTOTAL(9,F5:F94)</f>
        <v/>
      </c>
    </row>
  </sheetData>
  <autoFilter ref="A4:L94"/>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H18"/>
  <sheetViews>
    <sheetView tabSelected="1" zoomScaleNormal="100" workbookViewId="0">
      <selection activeCell="J9" sqref="J9"/>
    </sheetView>
  </sheetViews>
  <sheetFormatPr baseColWidth="8" defaultColWidth="8.6328125" defaultRowHeight="14.5"/>
  <cols>
    <col width="26" customWidth="1" min="1" max="1"/>
    <col width="12" customWidth="1" min="2" max="2"/>
    <col width="18" customWidth="1" min="3" max="3"/>
    <col width="30" customWidth="1" min="4" max="4"/>
    <col width="18" customWidth="1" min="5" max="5"/>
    <col width="16" customWidth="1" min="6" max="6"/>
    <col width="18" customWidth="1" min="7" max="7"/>
    <col width="14" customWidth="1" min="8" max="8"/>
  </cols>
  <sheetData>
    <row r="1" ht="18" customHeight="1">
      <c r="A1" s="1" t="inlineStr">
        <is>
          <t>Reconciliation: extracted lines vs totals stated in the monthly turnover sheets</t>
        </is>
      </c>
    </row>
    <row r="2">
      <c r="A2" s="2" t="inlineStr">
        <is>
          <t>Source: BAAY PROJECTS FINANCIALS 2024.xlsx. Stated totals typed in blue from the cell named; blank where the source sheet carries no total.</t>
        </is>
      </c>
    </row>
    <row r="4" ht="30" customHeight="1">
      <c r="A4" s="14" t="inlineStr">
        <is>
          <t>Source sheet</t>
        </is>
      </c>
      <c r="B4" s="14" t="inlineStr">
        <is>
          <t>Reporting month</t>
        </is>
      </c>
      <c r="C4" s="14" t="inlineStr">
        <is>
          <t>Total stated in source (₦)</t>
        </is>
      </c>
      <c r="D4" s="14" t="inlineStr">
        <is>
          <t>Where stated</t>
        </is>
      </c>
      <c r="E4" s="14" t="inlineStr">
        <is>
          <t>In Sales_Ledger (₦)</t>
        </is>
      </c>
      <c r="F4" s="14" t="inlineStr">
        <is>
          <t>In Exclusions (₦)</t>
        </is>
      </c>
      <c r="G4" s="14" t="inlineStr">
        <is>
          <t>Extracted total (₦)</t>
        </is>
      </c>
      <c r="H4" s="14" t="inlineStr">
        <is>
          <t>Difference (₦)</t>
        </is>
      </c>
    </row>
    <row r="5">
      <c r="A5" s="15" t="inlineStr">
        <is>
          <t>DECEMBER 2023 TURNOVER</t>
        </is>
      </c>
      <c r="B5" s="15" t="inlineStr">
        <is>
          <t>2023-12</t>
        </is>
      </c>
      <c r="C5" s="20" t="n">
        <v>35270000</v>
      </c>
      <c r="D5" s="15" t="inlineStr">
        <is>
          <t>C31 "TOTAL SALES AS AT DECEMBER 2023"</t>
        </is>
      </c>
      <c r="E5" s="17">
        <f>SUMIFS(Sales_Ledger!$J$5:$J$863,Sales_Ledger!$N$5:$N$863,A5)</f>
        <v/>
      </c>
      <c r="F5" s="17">
        <f>SUMIFS(Exclusions!$F$5:$F$108,Exclusions!$J$5:$J$108,A5)</f>
        <v/>
      </c>
      <c r="G5" s="17">
        <f>E5+F5</f>
        <v/>
      </c>
      <c r="H5" s="17">
        <f>IF(C5="","n/a",C5-G5)</f>
        <v/>
      </c>
    </row>
    <row r="6">
      <c r="A6" s="15" t="inlineStr">
        <is>
          <t>JANUARY TURNOVER</t>
        </is>
      </c>
      <c r="B6" s="15" t="inlineStr">
        <is>
          <t>2024-01</t>
        </is>
      </c>
      <c r="C6" s="20" t="n">
        <v>24084000</v>
      </c>
      <c r="D6" s="15" t="inlineStr">
        <is>
          <t>C30 "TOTAL SALES FOR JANUARY 2024"</t>
        </is>
      </c>
      <c r="E6" s="17">
        <f>SUMIFS(Sales_Ledger!$J$5:$J$863,Sales_Ledger!$N$5:$N$863,A6)</f>
        <v/>
      </c>
      <c r="F6" s="17">
        <f>SUMIFS(Exclusions!$F$5:$F$108,Exclusions!$J$5:$J$108,A6)</f>
        <v/>
      </c>
      <c r="G6" s="17">
        <f>E6+F6</f>
        <v/>
      </c>
      <c r="H6" s="17">
        <f>IF(C6="","n/a",C6-G6)</f>
        <v/>
      </c>
    </row>
    <row r="7">
      <c r="A7" s="15" t="inlineStr">
        <is>
          <t>FEBRUARY TURNOVER</t>
        </is>
      </c>
      <c r="B7" s="15" t="inlineStr">
        <is>
          <t>2024-02</t>
        </is>
      </c>
      <c r="C7" s="20" t="n"/>
      <c r="D7" s="15" t="inlineStr">
        <is>
          <t>No total in sheet</t>
        </is>
      </c>
      <c r="E7" s="17">
        <f>SUMIFS(Sales_Ledger!$J$5:$J$863,Sales_Ledger!$N$5:$N$863,A7)</f>
        <v/>
      </c>
      <c r="F7" s="17">
        <f>SUMIFS(Exclusions!$F$5:$F$108,Exclusions!$J$5:$J$108,A7)</f>
        <v/>
      </c>
      <c r="G7" s="17">
        <f>E7+F7</f>
        <v/>
      </c>
      <c r="H7" s="17">
        <f>IF(C7="","n/a",C7-G7)</f>
        <v/>
      </c>
    </row>
    <row r="8">
      <c r="A8" s="15" t="inlineStr">
        <is>
          <t>MARCH TURNOVER</t>
        </is>
      </c>
      <c r="B8" s="15" t="inlineStr">
        <is>
          <t>2024-03</t>
        </is>
      </c>
      <c r="C8" s="20" t="n"/>
      <c r="D8" s="15" t="inlineStr">
        <is>
          <t>No total in sheet</t>
        </is>
      </c>
      <c r="E8" s="17">
        <f>SUMIFS(Sales_Ledger!$J$5:$J$863,Sales_Ledger!$N$5:$N$863,A8)</f>
        <v/>
      </c>
      <c r="F8" s="17">
        <f>SUMIFS(Exclusions!$F$5:$F$108,Exclusions!$J$5:$J$108,A8)</f>
        <v/>
      </c>
      <c r="G8" s="17">
        <f>E8+F8</f>
        <v/>
      </c>
      <c r="H8" s="17">
        <f>IF(C8="","n/a",C8-G8)</f>
        <v/>
      </c>
    </row>
    <row r="9">
      <c r="A9" s="15" t="inlineStr">
        <is>
          <t>APRIL TURNOVER</t>
        </is>
      </c>
      <c r="B9" s="15" t="inlineStr">
        <is>
          <t>2024-04</t>
        </is>
      </c>
      <c r="C9" s="20" t="n"/>
      <c r="D9" s="15" t="inlineStr">
        <is>
          <t>No total in sheet</t>
        </is>
      </c>
      <c r="E9" s="17">
        <f>SUMIFS(Sales_Ledger!$J$5:$J$863,Sales_Ledger!$N$5:$N$863,A9)</f>
        <v/>
      </c>
      <c r="F9" s="17">
        <f>SUMIFS(Exclusions!$F$5:$F$108,Exclusions!$J$5:$J$108,A9)</f>
        <v/>
      </c>
      <c r="G9" s="17">
        <f>E9+F9</f>
        <v/>
      </c>
      <c r="H9" s="17">
        <f>IF(C9="","n/a",C9-G9)</f>
        <v/>
      </c>
    </row>
    <row r="10">
      <c r="A10" s="15" t="inlineStr">
        <is>
          <t>MAY TURNOVER</t>
        </is>
      </c>
      <c r="B10" s="15" t="inlineStr">
        <is>
          <t>2024-05</t>
        </is>
      </c>
      <c r="C10" s="20" t="n"/>
      <c r="D10" s="15" t="inlineStr">
        <is>
          <t>No total in sheet</t>
        </is>
      </c>
      <c r="E10" s="17">
        <f>SUMIFS(Sales_Ledger!$J$5:$J$863,Sales_Ledger!$N$5:$N$863,A10)</f>
        <v/>
      </c>
      <c r="F10" s="17">
        <f>SUMIFS(Exclusions!$F$5:$F$108,Exclusions!$J$5:$J$108,A10)</f>
        <v/>
      </c>
      <c r="G10" s="17">
        <f>E10+F10</f>
        <v/>
      </c>
      <c r="H10" s="17">
        <f>IF(C10="","n/a",C10-G10)</f>
        <v/>
      </c>
    </row>
    <row r="11">
      <c r="A11" s="15" t="inlineStr">
        <is>
          <t>JUNE TURNOVER</t>
        </is>
      </c>
      <c r="B11" s="15" t="inlineStr">
        <is>
          <t>2024-06</t>
        </is>
      </c>
      <c r="C11" s="20" t="n"/>
      <c r="D11" s="15" t="inlineStr">
        <is>
          <t>No total in sheet</t>
        </is>
      </c>
      <c r="E11" s="17">
        <f>SUMIFS(Sales_Ledger!$J$5:$J$863,Sales_Ledger!$N$5:$N$863,A11)</f>
        <v/>
      </c>
      <c r="F11" s="17">
        <f>SUMIFS(Exclusions!$F$5:$F$108,Exclusions!$J$5:$J$108,A11)</f>
        <v/>
      </c>
      <c r="G11" s="17">
        <f>E11+F11</f>
        <v/>
      </c>
      <c r="H11" s="17">
        <f>IF(C11="","n/a",C11-G11)</f>
        <v/>
      </c>
    </row>
    <row r="12">
      <c r="A12" s="15" t="inlineStr">
        <is>
          <t>JULY TURNOVER</t>
        </is>
      </c>
      <c r="B12" s="15" t="inlineStr">
        <is>
          <t>2024-07</t>
        </is>
      </c>
      <c r="C12" s="20" t="n">
        <v>23632000</v>
      </c>
      <c r="D12" s="15" t="inlineStr">
        <is>
          <t>C40 "GRAND TOTAL"</t>
        </is>
      </c>
      <c r="E12" s="17">
        <f>SUMIFS(Sales_Ledger!$J$5:$J$863,Sales_Ledger!$N$5:$N$863,A12)</f>
        <v/>
      </c>
      <c r="F12" s="17">
        <f>SUMIFS(Exclusions!$F$5:$F$108,Exclusions!$J$5:$J$108,A12)</f>
        <v/>
      </c>
      <c r="G12" s="17">
        <f>E12+F12</f>
        <v/>
      </c>
      <c r="H12" s="17">
        <f>IF(C12="","n/a",C12-G12)</f>
        <v/>
      </c>
    </row>
    <row r="13">
      <c r="A13" s="15" t="inlineStr">
        <is>
          <t>AUGUST TURNOVER</t>
        </is>
      </c>
      <c r="B13" s="15" t="inlineStr">
        <is>
          <t>2024-08</t>
        </is>
      </c>
      <c r="C13" s="20" t="n">
        <v>88076000</v>
      </c>
      <c r="D13" s="15" t="inlineStr">
        <is>
          <t>A38 "Total"</t>
        </is>
      </c>
      <c r="E13" s="17">
        <f>SUMIFS(Sales_Ledger!$J$5:$J$863,Sales_Ledger!$N$5:$N$863,A13)</f>
        <v/>
      </c>
      <c r="F13" s="17">
        <f>SUMIFS(Exclusions!$F$5:$F$108,Exclusions!$J$5:$J$108,A13)</f>
        <v/>
      </c>
      <c r="G13" s="17">
        <f>E13+F13</f>
        <v/>
      </c>
      <c r="H13" s="17">
        <f>IF(C13="","n/a",C13-G13)</f>
        <v/>
      </c>
    </row>
    <row r="14">
      <c r="A14" s="15" t="inlineStr">
        <is>
          <t>SEPTEMBER TURNOVER</t>
        </is>
      </c>
      <c r="B14" s="15" t="inlineStr">
        <is>
          <t>2024-09</t>
        </is>
      </c>
      <c r="C14" s="20" t="n">
        <v>80782500</v>
      </c>
      <c r="D14" s="15" t="inlineStr">
        <is>
          <t>C47 "TOTAL TURNOVER FOR SEPTEMBER"</t>
        </is>
      </c>
      <c r="E14" s="17">
        <f>SUMIFS(Sales_Ledger!$J$5:$J$863,Sales_Ledger!$N$5:$N$863,A14)</f>
        <v/>
      </c>
      <c r="F14" s="17">
        <f>SUMIFS(Exclusions!$F$5:$F$108,Exclusions!$J$5:$J$108,A14)</f>
        <v/>
      </c>
      <c r="G14" s="17">
        <f>E14+F14</f>
        <v/>
      </c>
      <c r="H14" s="17">
        <f>IF(C14="","n/a",C14-G14)</f>
        <v/>
      </c>
    </row>
    <row r="15">
      <c r="A15" s="15" t="inlineStr">
        <is>
          <t>OCTOBER TURNOVER</t>
        </is>
      </c>
      <c r="B15" s="15" t="inlineStr">
        <is>
          <t>2024-10</t>
        </is>
      </c>
      <c r="C15" s="20" t="n">
        <v>96307500</v>
      </c>
      <c r="D15" s="15" t="inlineStr">
        <is>
          <t>C36 "TOTAL TURNOVER FOR OCTOBER"</t>
        </is>
      </c>
      <c r="E15" s="17">
        <f>SUMIFS(Sales_Ledger!$J$5:$J$863,Sales_Ledger!$N$5:$N$863,A15)</f>
        <v/>
      </c>
      <c r="F15" s="17">
        <f>SUMIFS(Exclusions!$F$5:$F$108,Exclusions!$J$5:$J$108,A15)</f>
        <v/>
      </c>
      <c r="G15" s="17">
        <f>E15+F15</f>
        <v/>
      </c>
      <c r="H15" s="17">
        <f>IF(C15="","n/a",C15-G15)</f>
        <v/>
      </c>
    </row>
    <row r="16">
      <c r="A16" s="15" t="inlineStr">
        <is>
          <t>NOVEMBER TURNOVER</t>
        </is>
      </c>
      <c r="B16" s="15" t="inlineStr">
        <is>
          <t>2024-11</t>
        </is>
      </c>
      <c r="C16" s="20" t="n">
        <v>35427000</v>
      </c>
      <c r="D16" s="15" t="inlineStr">
        <is>
          <t>C42 "TOTAL REVENUE FOR NOVEMBER"</t>
        </is>
      </c>
      <c r="E16" s="17">
        <f>SUMIFS(Sales_Ledger!$J$5:$J$863,Sales_Ledger!$N$5:$N$863,A16)</f>
        <v/>
      </c>
      <c r="F16" s="17">
        <f>SUMIFS(Exclusions!$F$5:$F$108,Exclusions!$J$5:$J$108,A16)</f>
        <v/>
      </c>
      <c r="G16" s="17">
        <f>E16+F16</f>
        <v/>
      </c>
      <c r="H16" s="17">
        <f>IF(C16="","n/a",C16-G16)</f>
        <v/>
      </c>
    </row>
    <row r="17">
      <c r="A17" s="15" t="inlineStr">
        <is>
          <t>DECEMBER TURNOVER</t>
        </is>
      </c>
      <c r="B17" s="15" t="inlineStr">
        <is>
          <t>2024-12</t>
        </is>
      </c>
      <c r="C17" s="20" t="n">
        <v>64448250</v>
      </c>
      <c r="D17" s="15" t="inlineStr">
        <is>
          <t>C35 "GRAND TOTAL REVENUE"</t>
        </is>
      </c>
      <c r="E17" s="17">
        <f>SUMIFS(Sales_Ledger!$J$5:$J$863,Sales_Ledger!$N$5:$N$863,A17)</f>
        <v/>
      </c>
      <c r="F17" s="17">
        <f>SUMIFS(Exclusions!$F$5:$F$108,Exclusions!$J$5:$J$108,A17)</f>
        <v/>
      </c>
      <c r="G17" s="17">
        <f>E17+F17</f>
        <v/>
      </c>
      <c r="H17" s="17">
        <f>IF(C17="","n/a",C17-G17)</f>
        <v/>
      </c>
    </row>
    <row r="18">
      <c r="A18" s="18" t="inlineStr">
        <is>
          <t>Total</t>
        </is>
      </c>
      <c r="C18" s="19">
        <f>SUM(C5:C17)</f>
        <v/>
      </c>
      <c r="E18" s="19">
        <f>SUM(E5:E17)</f>
        <v/>
      </c>
      <c r="F18" s="19">
        <f>SUM(F5:F17)</f>
        <v/>
      </c>
      <c r="G18" s="19">
        <f>SUM(G5:G17)</f>
        <v/>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2026-10-02T16:22:32Z</dcterms:created>
  <dcterms:modified xsi:type="dcterms:W3CDTF">2026-10-08T12:44:09Z</dcterms:modified>
  <cp:lastModifiedBy>Desmond Abollo</cp:lastModifiedBy>
  <cp:revision>0</cp:revision>
</cp:coreProperties>
</file>