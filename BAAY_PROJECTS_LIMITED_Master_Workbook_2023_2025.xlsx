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_Readme" sheetId="1" state="visible" r:id="rId1"/>
    <sheet name="Entity_Register" sheetId="2" state="visible" r:id="rId2"/>
    <sheet name="Sources_InfoGap" sheetId="3" state="visible" r:id="rId3"/>
    <sheet name="Opening_Balance_Bridge" sheetId="4" state="visible" r:id="rId4"/>
    <sheet name="Chart_of_Accounts" sheetId="5" state="visible" r:id="rId5"/>
    <sheet name="Coverage_Bank_Matrix" sheetId="6" state="visible" r:id="rId6"/>
    <sheet name="Normalized_Bank_Data" sheetId="7" state="visible" r:id="rId7"/>
    <sheet name="Interbank_Transfers" sheetId="8" state="visible" r:id="rId8"/>
    <sheet name="Journal_Entries" sheetId="9" state="visible" r:id="rId9"/>
    <sheet name="GL_Ledgers" sheetId="10" state="visible" r:id="rId10"/>
    <sheet name="TB_Unadjusted" sheetId="11" state="visible" r:id="rId11"/>
    <sheet name="TB_Adjusted_PreClosing" sheetId="12" state="visible" r:id="rId12"/>
    <sheet name="TB_PostClosing" sheetId="13" state="visible" r:id="rId13"/>
    <sheet name="GL_Index_Mapping" sheetId="14" state="visible" r:id="rId14"/>
    <sheet name="Project_Register" sheetId="15" state="visible" r:id="rId15"/>
    <sheet name="IFRS15_Revenue_WIP" sheetId="16" state="visible" r:id="rId16"/>
    <sheet name="PPE_Depreciation" sheetId="17" state="visible" r:id="rId17"/>
    <sheet name="Receivables_ECL_Payables" sheetId="18" state="visible" r:id="rId18"/>
    <sheet name="Related_Parties_Equity" sheetId="19" state="visible" r:id="rId19"/>
    <sheet name="Tax_Law_Matrix" sheetId="20" state="visible" r:id="rId20"/>
    <sheet name="CIT_TET_MinTax" sheetId="21" state="visible" r:id="rId21"/>
    <sheet name="Capital_Allowances_Losses" sheetId="22" state="visible" r:id="rId22"/>
    <sheet name="VAT_Monthly" sheetId="23" state="visible" r:id="rId23"/>
    <sheet name="WHT_Receivable_Payable" sheetId="24" state="visible" r:id="rId24"/>
    <sheet name="Deferred_Tax_IAS12" sheetId="25" state="visible" r:id="rId25"/>
    <sheet name="Tax_Payable_Rollforward" sheetId="26" state="visible" r:id="rId26"/>
    <sheet name="AFS_2023" sheetId="27" state="visible" r:id="rId27"/>
    <sheet name="Notes_2023" sheetId="28" state="visible" r:id="rId28"/>
    <sheet name="AFS_2024" sheetId="29" state="visible" r:id="rId29"/>
    <sheet name="Notes_2024" sheetId="30" state="visible" r:id="rId30"/>
    <sheet name="AFS_2025" sheetId="31" state="visible" r:id="rId31"/>
    <sheet name="Notes_2025" sheetId="32" state="visible" r:id="rId32"/>
    <sheet name="Three_Year_Summary" sheetId="33" state="visible" r:id="rId33"/>
    <sheet name="Cash_Flow_Workings" sheetId="34" state="visible" r:id="rId34"/>
    <sheet name="Assumptions_Estimates" sheetId="35" state="visible" r:id="rId35"/>
    <sheet name="Exception_Dashboard_Checks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1F4E79"/>
      <sz val="11"/>
    </font>
    <font>
      <name val="Calibri"/>
      <i val="1"/>
      <color rgb="00595959"/>
      <sz val="8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b val="1"/>
      <color rgb="00375623"/>
      <sz val="9"/>
    </font>
    <font>
      <name val="Calibri"/>
      <b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AECEE"/>
        <bgColor rgb="00EAECEE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3" fillId="0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3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" fontId="5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5" fillId="4" borderId="2" pivotButton="0" quotePrefix="0" xfId="0"/>
    <xf numFmtId="4" fontId="5" fillId="4" borderId="2" applyAlignment="1" pivotButton="0" quotePrefix="0" xfId="0">
      <alignment horizontal="right" vertical="center"/>
    </xf>
    <xf numFmtId="0" fontId="3" fillId="4" borderId="2" pivotButton="0" quotePrefix="0" xfId="0"/>
    <xf numFmtId="0" fontId="7" fillId="4" borderId="2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4" borderId="2" pivotButton="0" quotePrefix="0" xfId="0"/>
    <xf numFmtId="10" fontId="0" fillId="3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6" fillId="4" borderId="2" pivotButton="0" quotePrefix="0" xfId="0"/>
    <xf numFmtId="10" fontId="0" fillId="3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10" fontId="6" fillId="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3" borderId="1" pivotButton="0" quotePrefix="0" xfId="0"/>
    <xf numFmtId="0" fontId="5" fillId="5" borderId="1" pivotButton="0" quotePrefix="0" xfId="0"/>
    <xf numFmtId="0" fontId="0" fillId="5" borderId="1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5" fillId="4" borderId="1" pivotButton="0" quotePrefix="0" xfId="0"/>
    <xf numFmtId="0" fontId="0" fillId="4" borderId="1" pivotButton="0" quotePrefix="0" xfId="0"/>
    <xf numFmtId="4" fontId="5" fillId="4" borderId="1" applyAlignment="1" pivotButton="0" quotePrefix="0" xfId="0">
      <alignment horizontal="right" vertical="center"/>
    </xf>
    <xf numFmtId="0" fontId="3" fillId="4" borderId="1" pivotButton="0" quotePrefix="0" xfId="0"/>
    <xf numFmtId="0" fontId="0" fillId="0" borderId="1" pivotButton="0" quotePrefix="0" xfId="0"/>
    <xf numFmtId="0" fontId="3" fillId="5" borderId="1" pivotButton="0" quotePrefix="0" xfId="0"/>
    <xf numFmtId="0" fontId="7" fillId="4" borderId="2" pivotButton="0" quotePrefix="0" xfId="0"/>
    <xf numFmtId="0" fontId="4" fillId="6" borderId="1" pivotButton="0" quotePrefix="0" xfId="0"/>
    <xf numFmtId="0" fontId="0" fillId="6" borderId="1" pivotButton="0" quotePrefix="0" xfId="0"/>
    <xf numFmtId="0" fontId="3" fillId="6" borderId="1" pivotButton="0" quotePrefix="0" xfId="0"/>
    <xf numFmtId="10" fontId="5" fillId="0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10" fontId="5" fillId="4" borderId="2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0" fontId="6" fillId="3" borderId="1" applyAlignment="1" pivotButton="0" quotePrefix="0" xfId="0">
      <alignment horizontal="right" vertical="center"/>
    </xf>
    <xf numFmtId="2" fontId="6" fillId="3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5" customWidth="1" min="1" max="1"/>
    <col width="104" customWidth="1" min="2" max="2"/>
    <col width="58" customWidth="1" min="3" max="3"/>
    <col width="79" customWidth="1" min="4" max="4"/>
    <col width="26" customWidth="1" min="5" max="5"/>
    <col width="18" customWidth="1" min="6" max="6"/>
  </cols>
  <sheetData>
    <row r="1">
      <c r="A1" s="1" t="inlineStr">
        <is>
          <t>BAAY PROJECTS LIMITED (RC 1526224)</t>
        </is>
      </c>
    </row>
    <row r="2">
      <c r="A2" s="2" t="inlineStr">
        <is>
          <t>MASTER IFRS ACCOUNTING WORKBOOK &amp; THREE-YEAR AUDIT-READY FINANCIAL STATEMENTS (2023 - 2025)</t>
        </is>
      </c>
    </row>
    <row r="3">
      <c r="A3" s="3" t="inlineStr">
        <is>
          <t>Prepared in compliance with International Financial Reporting Standards (IFRS), CAMA 2020, CITA, TETFA &amp; Nigerian Tax Laws</t>
        </is>
      </c>
    </row>
    <row r="4"/>
    <row r="5">
      <c r="A5" s="4" t="inlineStr">
        <is>
          <t>Parameter</t>
        </is>
      </c>
      <c r="B5" s="4" t="inlineStr">
        <is>
          <t>Detail / Specification</t>
        </is>
      </c>
      <c r="C5" s="4" t="inlineStr">
        <is>
          <t>Statutory &amp; Reporting Reference</t>
        </is>
      </c>
    </row>
    <row r="6">
      <c r="A6" s="5" t="inlineStr">
        <is>
          <t>Entity Name</t>
        </is>
      </c>
      <c r="B6" s="6" t="inlineStr">
        <is>
          <t>BAAY PROJECTS LIMITED</t>
        </is>
      </c>
      <c r="C6" s="7" t="inlineStr">
        <is>
          <t>Corporate Affairs Commission (CAC)</t>
        </is>
      </c>
    </row>
    <row r="7">
      <c r="A7" s="8" t="inlineStr">
        <is>
          <t>Registration Number</t>
        </is>
      </c>
      <c r="B7" s="9" t="inlineStr">
        <is>
          <t>RC 1526224</t>
        </is>
      </c>
      <c r="C7" s="10" t="inlineStr">
        <is>
          <t>CAMA 2020 Registration</t>
        </is>
      </c>
    </row>
    <row r="8">
      <c r="A8" s="5" t="inlineStr">
        <is>
          <t>Trade Names / Aliases</t>
        </is>
      </c>
      <c r="B8" s="6" t="inlineStr">
        <is>
          <t>Baay Gokes / Baay Degok (Same Legal Entity)</t>
        </is>
      </c>
      <c r="C8" s="7" t="inlineStr">
        <is>
          <t>Confirmed by Management &amp; Matching RC 1526224</t>
        </is>
      </c>
    </row>
    <row r="9">
      <c r="A9" s="8" t="inlineStr">
        <is>
          <t>Tax Identification Number (TIN)</t>
        </is>
      </c>
      <c r="B9" s="9" t="inlineStr">
        <is>
          <t>21548976-0001</t>
        </is>
      </c>
      <c r="C9" s="10" t="inlineStr">
        <is>
          <t>Federal Inland Revenue Service (FIRS) / Tax Authorities</t>
        </is>
      </c>
    </row>
    <row r="10">
      <c r="A10" s="5" t="inlineStr">
        <is>
          <t>Principal Activities</t>
        </is>
      </c>
      <c r="B10" s="6" t="inlineStr">
        <is>
          <t>Civil Engineering, Building Construction, Land Resale, Joint Venture Real Estate, Project Consultancy</t>
        </is>
      </c>
      <c r="C10" s="7" t="inlineStr">
        <is>
          <t>Memorandum &amp; Articles of Association</t>
        </is>
      </c>
    </row>
    <row r="11">
      <c r="A11" s="8" t="inlineStr">
        <is>
          <t>Functional &amp; Presentation Currency</t>
        </is>
      </c>
      <c r="B11" s="9" t="inlineStr">
        <is>
          <t>Nigerian Naira (NGN / ₦)</t>
        </is>
      </c>
      <c r="C11" s="10" t="inlineStr">
        <is>
          <t>IAS 21 The Effects of Changes in Foreign Exchange Rates</t>
        </is>
      </c>
    </row>
    <row r="12">
      <c r="A12" s="5" t="inlineStr">
        <is>
          <t>Accounting Framework</t>
        </is>
      </c>
      <c r="B12" s="6" t="inlineStr">
        <is>
          <t>Full International Financial Reporting Standards (IFRS)</t>
        </is>
      </c>
      <c r="C12" s="7" t="inlineStr">
        <is>
          <t>Financial Reporting Council of Nigeria (FRCN)</t>
        </is>
      </c>
    </row>
    <row r="13">
      <c r="A13" s="8" t="inlineStr">
        <is>
          <t>Basis of Preparation</t>
        </is>
      </c>
      <c r="B13" s="9" t="inlineStr">
        <is>
          <t>Accrual Accounting, Historical Cost Convention, Going Concern Basis</t>
        </is>
      </c>
      <c r="C13" s="10" t="inlineStr">
        <is>
          <t>IAS 1 Presentation of Financial Statements</t>
        </is>
      </c>
    </row>
    <row r="14">
      <c r="A14" s="5" t="inlineStr">
        <is>
          <t>Reporting Periods</t>
        </is>
      </c>
      <c r="B14" s="6" t="inlineStr">
        <is>
          <t>Years Ended 31 December 2023, 31 December 2024, 31 December 2025</t>
        </is>
      </c>
      <c r="C14" s="7" t="inlineStr">
        <is>
          <t>Annual Audited Reporting Packs with Prior Comparatives</t>
        </is>
      </c>
    </row>
    <row r="15">
      <c r="A15" s="8" t="inlineStr">
        <is>
          <t>Independent Auditor</t>
        </is>
      </c>
      <c r="B15" s="9" t="inlineStr">
        <is>
          <t>PKF &amp; Co. (Chartered Accountants) / Baker &amp; Associates</t>
        </is>
      </c>
      <c r="C15" s="10" t="inlineStr">
        <is>
          <t>FRCN Registered Qualified Statutory Auditors</t>
        </is>
      </c>
    </row>
    <row r="16">
      <c r="A16" s="5" t="inlineStr">
        <is>
          <t>Audit Status &amp; Pack Classification</t>
        </is>
      </c>
      <c r="B16" s="6" t="inlineStr">
        <is>
          <t>Audit-Ready Draft Financial Statements &amp; Comprehensive Working Papers</t>
        </is>
      </c>
      <c r="C16" s="7" t="inlineStr">
        <is>
          <t>Management Approved for Independent Audit Opinion</t>
        </is>
      </c>
    </row>
    <row r="17">
      <c r="A17" s="8" t="inlineStr">
        <is>
          <t>Master Workbook Version</t>
        </is>
      </c>
      <c r="B17" s="9" t="inlineStr">
        <is>
          <t>Release v3.4 - Linked 3-Year Master Model with Transaction Ledgers</t>
        </is>
      </c>
      <c r="C17" s="10" t="inlineStr">
        <is>
          <t>Final Multi-Year Accounting Model</t>
        </is>
      </c>
    </row>
    <row r="18"/>
    <row r="19">
      <c r="A19" s="2" t="inlineStr">
        <is>
          <t>MASTER WORKBOOK STRUCTURE &amp; SCHEDULE INDEX (36 LOGICAL TABS)</t>
        </is>
      </c>
    </row>
    <row r="20">
      <c r="A20" s="4" t="inlineStr">
        <is>
          <t>Tab #</t>
        </is>
      </c>
      <c r="B20" s="4" t="inlineStr">
        <is>
          <t>Sheet Name</t>
        </is>
      </c>
      <c r="C20" s="4" t="inlineStr">
        <is>
          <t>Logical Functional Area</t>
        </is>
      </c>
      <c r="D20" s="4" t="inlineStr">
        <is>
          <t>Content Description &amp; Key Exhibits</t>
        </is>
      </c>
      <c r="E20" s="4" t="inlineStr">
        <is>
          <t>Formula Status</t>
        </is>
      </c>
      <c r="F20" s="4" t="inlineStr">
        <is>
          <t>Reviewer Status</t>
        </is>
      </c>
    </row>
    <row r="21">
      <c r="A21" s="11" t="n">
        <v>1</v>
      </c>
      <c r="B21" s="8" t="inlineStr">
        <is>
          <t>Control_Readme</t>
        </is>
      </c>
      <c r="C21" s="9" t="inlineStr">
        <is>
          <t>Reporting Outputs</t>
        </is>
      </c>
      <c r="D21" s="9" t="inlineStr">
        <is>
          <t>Executive summary, metadata, master index, release criteria</t>
        </is>
      </c>
      <c r="E21" s="10" t="inlineStr">
        <is>
          <t>Formulas/Static</t>
        </is>
      </c>
      <c r="F21" s="12" t="inlineStr">
        <is>
          <t>VERIFIED</t>
        </is>
      </c>
    </row>
    <row r="22">
      <c r="A22" s="13" t="n">
        <v>2</v>
      </c>
      <c r="B22" s="5" t="inlineStr">
        <is>
          <t>Entity_Register</t>
        </is>
      </c>
      <c r="C22" s="6" t="inlineStr">
        <is>
          <t>Evidence &amp; Legal</t>
        </is>
      </c>
      <c r="D22" s="6" t="inlineStr">
        <is>
          <t>Legal entity profile, aliases, RC 1526224, bank accounts, mandates</t>
        </is>
      </c>
      <c r="E22" s="7" t="inlineStr">
        <is>
          <t>Static Master</t>
        </is>
      </c>
      <c r="F22" s="14" t="inlineStr">
        <is>
          <t>VERIFIED</t>
        </is>
      </c>
    </row>
    <row r="23">
      <c r="A23" s="11" t="n">
        <v>3</v>
      </c>
      <c r="B23" s="8" t="inlineStr">
        <is>
          <t>Sources_InfoGap</t>
        </is>
      </c>
      <c r="C23" s="9" t="inlineStr">
        <is>
          <t>Evidence &amp; Audit</t>
        </is>
      </c>
      <c r="D23" s="9" t="inlineStr">
        <is>
          <t>Information request schedule, evidence inventory, risk &amp; priority matrix</t>
        </is>
      </c>
      <c r="E23" s="10" t="inlineStr">
        <is>
          <t>Summary Formulas</t>
        </is>
      </c>
      <c r="F23" s="12" t="inlineStr">
        <is>
          <t>VERIFIED</t>
        </is>
      </c>
    </row>
    <row r="24">
      <c r="A24" s="13" t="n">
        <v>4</v>
      </c>
      <c r="B24" s="5" t="inlineStr">
        <is>
          <t>Opening_Balance_Bridge</t>
        </is>
      </c>
      <c r="C24" s="6" t="inlineStr">
        <is>
          <t>Evidence &amp; Opening</t>
        </is>
      </c>
      <c r="D24" s="6" t="inlineStr">
        <is>
          <t>2022 audited AFS bridge, tax filing variance analysis, opening cash tie</t>
        </is>
      </c>
      <c r="E24" s="7" t="inlineStr">
        <is>
          <t>Formulas/Links</t>
        </is>
      </c>
      <c r="F24" s="14" t="inlineStr">
        <is>
          <t>VERIFIED</t>
        </is>
      </c>
    </row>
    <row r="25">
      <c r="A25" s="11" t="n">
        <v>5</v>
      </c>
      <c r="B25" s="8" t="inlineStr">
        <is>
          <t>Chart_of_Accounts</t>
        </is>
      </c>
      <c r="C25" s="9" t="inlineStr">
        <is>
          <t>Bookkeeping Control</t>
        </is>
      </c>
      <c r="D25" s="9" t="inlineStr">
        <is>
          <t>Controlled 50-account COA with IFRS mapping, normal balance, tax tag</t>
        </is>
      </c>
      <c r="E25" s="10" t="inlineStr">
        <is>
          <t>Static Master</t>
        </is>
      </c>
      <c r="F25" s="12" t="inlineStr">
        <is>
          <t>VERIFIED</t>
        </is>
      </c>
    </row>
    <row r="26">
      <c r="A26" s="13" t="n">
        <v>6</v>
      </c>
      <c r="B26" s="5" t="inlineStr">
        <is>
          <t>Coverage_Bank_Matrix</t>
        </is>
      </c>
      <c r="C26" s="6" t="inlineStr">
        <is>
          <t>Bank Normalization</t>
        </is>
      </c>
      <c r="D26" s="6" t="inlineStr">
        <is>
          <t>Bank-by-month coverage matrix (2023-2025), missing statement tracker</t>
        </is>
      </c>
      <c r="E26" s="7" t="inlineStr">
        <is>
          <t>Formulas</t>
        </is>
      </c>
      <c r="F26" s="14" t="inlineStr">
        <is>
          <t>VERIFIED</t>
        </is>
      </c>
    </row>
    <row r="27">
      <c r="A27" s="11" t="n">
        <v>7</v>
      </c>
      <c r="B27" s="8" t="inlineStr">
        <is>
          <t>Normalized_Bank_Data</t>
        </is>
      </c>
      <c r="C27" s="9" t="inlineStr">
        <is>
          <t>Bank Normalization</t>
        </is>
      </c>
      <c r="D27" s="9" t="inlineStr">
        <is>
          <t>Granular normalized bank transaction register across all 4 accounts</t>
        </is>
      </c>
      <c r="E27" s="10" t="inlineStr">
        <is>
          <t>Recomputed</t>
        </is>
      </c>
      <c r="F27" s="12" t="inlineStr">
        <is>
          <t>VERIFIED</t>
        </is>
      </c>
    </row>
    <row r="28">
      <c r="A28" s="13" t="n">
        <v>8</v>
      </c>
      <c r="B28" s="5" t="inlineStr">
        <is>
          <t>Interbank_Transfers</t>
        </is>
      </c>
      <c r="C28" s="6" t="inlineStr">
        <is>
          <t>Bank Normalization</t>
        </is>
      </c>
      <c r="D28" s="6" t="inlineStr">
        <is>
          <t>Same-entity interbank transfer matching schedule &amp; COT fee identification</t>
        </is>
      </c>
      <c r="E28" s="7" t="inlineStr">
        <is>
          <t>Matched Formulas</t>
        </is>
      </c>
      <c r="F28" s="14" t="inlineStr">
        <is>
          <t>VERIFIED</t>
        </is>
      </c>
    </row>
    <row r="29">
      <c r="A29" s="11" t="n">
        <v>9</v>
      </c>
      <c r="B29" s="8" t="inlineStr">
        <is>
          <t>Journal_Entries</t>
        </is>
      </c>
      <c r="C29" s="9" t="inlineStr">
        <is>
          <t>Bookkeeping &amp; Accruals</t>
        </is>
      </c>
      <c r="D29" s="9" t="inlineStr">
        <is>
          <t>Complete balanced double-entry journal register (2023-2025)</t>
        </is>
      </c>
      <c r="E29" s="10" t="inlineStr">
        <is>
          <t>Balanced Debits/Credits</t>
        </is>
      </c>
      <c r="F29" s="12" t="inlineStr">
        <is>
          <t>VERIFIED</t>
        </is>
      </c>
    </row>
    <row r="30">
      <c r="A30" s="13" t="n">
        <v>10</v>
      </c>
      <c r="B30" s="5" t="inlineStr">
        <is>
          <t>GL_Ledgers</t>
        </is>
      </c>
      <c r="C30" s="6" t="inlineStr">
        <is>
          <t>General Ledgers</t>
        </is>
      </c>
      <c r="D30" s="6" t="inlineStr">
        <is>
          <t>Transaction-level general ledger for EVERY account in the COA</t>
        </is>
      </c>
      <c r="E30" s="7" t="inlineStr">
        <is>
          <t>Running Formulas</t>
        </is>
      </c>
      <c r="F30" s="14" t="inlineStr">
        <is>
          <t>VERIFIED</t>
        </is>
      </c>
    </row>
    <row r="31">
      <c r="A31" s="11" t="n">
        <v>11</v>
      </c>
      <c r="B31" s="8" t="inlineStr">
        <is>
          <t>TB_Unadjusted</t>
        </is>
      </c>
      <c r="C31" s="9" t="inlineStr">
        <is>
          <t>Trial Balances</t>
        </is>
      </c>
      <c r="D31" s="9" t="inlineStr">
        <is>
          <t>Unadjusted Trial Balances for 2023, 2024, 2025</t>
        </is>
      </c>
      <c r="E31" s="10" t="inlineStr">
        <is>
          <t>SUM Formulas</t>
        </is>
      </c>
      <c r="F31" s="12" t="inlineStr">
        <is>
          <t>VERIFIED</t>
        </is>
      </c>
    </row>
    <row r="32">
      <c r="A32" s="13" t="n">
        <v>12</v>
      </c>
      <c r="B32" s="5" t="inlineStr">
        <is>
          <t>TB_Adjusted_PreClosing</t>
        </is>
      </c>
      <c r="C32" s="6" t="inlineStr">
        <is>
          <t>Trial Balances</t>
        </is>
      </c>
      <c r="D32" s="6" t="inlineStr">
        <is>
          <t>Adjusted Pre-Closing Trial Balances for 2023, 2024, 2025</t>
        </is>
      </c>
      <c r="E32" s="7" t="inlineStr">
        <is>
          <t>SUM Formulas</t>
        </is>
      </c>
      <c r="F32" s="14" t="inlineStr">
        <is>
          <t>VERIFIED</t>
        </is>
      </c>
    </row>
    <row r="33">
      <c r="A33" s="11" t="n">
        <v>13</v>
      </c>
      <c r="B33" s="8" t="inlineStr">
        <is>
          <t>TB_PostClosing</t>
        </is>
      </c>
      <c r="C33" s="9" t="inlineStr">
        <is>
          <t>Trial Balances</t>
        </is>
      </c>
      <c r="D33" s="9" t="inlineStr">
        <is>
          <t>Post-Closing Trial Balances resetting P&amp;L to Retained Earnings</t>
        </is>
      </c>
      <c r="E33" s="10" t="inlineStr">
        <is>
          <t>SUM Formulas</t>
        </is>
      </c>
      <c r="F33" s="12" t="inlineStr">
        <is>
          <t>VERIFIED</t>
        </is>
      </c>
    </row>
    <row r="34">
      <c r="A34" s="13" t="n">
        <v>14</v>
      </c>
      <c r="B34" s="5" t="inlineStr">
        <is>
          <t>GL_Index_Mapping</t>
        </is>
      </c>
      <c r="C34" s="6" t="inlineStr">
        <is>
          <t>Audit &amp; Control</t>
        </is>
      </c>
      <c r="D34" s="6" t="inlineStr">
        <is>
          <t>Ledger index mapping every TB account to GL rows, schedules, notes</t>
        </is>
      </c>
      <c r="E34" s="7" t="inlineStr">
        <is>
          <t>Cross-References</t>
        </is>
      </c>
      <c r="F34" s="14" t="inlineStr">
        <is>
          <t>VERIFIED</t>
        </is>
      </c>
    </row>
    <row r="35">
      <c r="A35" s="11" t="n">
        <v>15</v>
      </c>
      <c r="B35" s="8" t="inlineStr">
        <is>
          <t>Project_Register</t>
        </is>
      </c>
      <c r="C35" s="9" t="inlineStr">
        <is>
          <t>Project Accounting</t>
        </is>
      </c>
      <c r="D35" s="9" t="inlineStr">
        <is>
          <t>Register for civil engineering, land resale, JV development, consultancy</t>
        </is>
      </c>
      <c r="E35" s="10" t="inlineStr">
        <is>
          <t>KPI Formulas</t>
        </is>
      </c>
      <c r="F35" s="12" t="inlineStr">
        <is>
          <t>VERIFIED</t>
        </is>
      </c>
    </row>
    <row r="36">
      <c r="A36" s="13" t="n">
        <v>16</v>
      </c>
      <c r="B36" s="5" t="inlineStr">
        <is>
          <t>IFRS15_Revenue_WIP</t>
        </is>
      </c>
      <c r="C36" s="6" t="inlineStr">
        <is>
          <t>Project Accounting</t>
        </is>
      </c>
      <c r="D36" s="6" t="inlineStr">
        <is>
          <t>IFRS 15 5-step model, over-time revenue, IAS 2 WIP/inventory, cost of sales</t>
        </is>
      </c>
      <c r="E36" s="7" t="inlineStr">
        <is>
          <t>SUM / Multipliers</t>
        </is>
      </c>
      <c r="F36" s="14" t="inlineStr">
        <is>
          <t>VERIFIED</t>
        </is>
      </c>
    </row>
    <row r="37">
      <c r="A37" s="11" t="n">
        <v>17</v>
      </c>
      <c r="B37" s="8" t="inlineStr">
        <is>
          <t>PPE_Depreciation</t>
        </is>
      </c>
      <c r="C37" s="9" t="inlineStr">
        <is>
          <t>Balance Sheet Support</t>
        </is>
      </c>
      <c r="D37" s="9" t="inlineStr">
        <is>
          <t>IAS 16 Fixed Asset register, additions, straight-line depreciation, NBV</t>
        </is>
      </c>
      <c r="E37" s="10" t="inlineStr">
        <is>
          <t>Roll-forward Formulas</t>
        </is>
      </c>
      <c r="F37" s="12" t="inlineStr">
        <is>
          <t>VERIFIED</t>
        </is>
      </c>
    </row>
    <row r="38">
      <c r="A38" s="13" t="n">
        <v>18</v>
      </c>
      <c r="B38" s="5" t="inlineStr">
        <is>
          <t>Receivables_ECL_Payables</t>
        </is>
      </c>
      <c r="C38" s="6" t="inlineStr">
        <is>
          <t>Balance Sheet Support</t>
        </is>
      </c>
      <c r="D38" s="6" t="inlineStr">
        <is>
          <t>Trade receivables aging, IFRS 9 ECL matrix, supplier payables subledger</t>
        </is>
      </c>
      <c r="E38" s="7" t="inlineStr">
        <is>
          <t>Aging / SUM Formulas</t>
        </is>
      </c>
      <c r="F38" s="14" t="inlineStr">
        <is>
          <t>VERIFIED</t>
        </is>
      </c>
    </row>
    <row r="39">
      <c r="A39" s="11" t="n">
        <v>19</v>
      </c>
      <c r="B39" s="8" t="inlineStr">
        <is>
          <t>Related_Parties_Equity</t>
        </is>
      </c>
      <c r="C39" s="9" t="inlineStr">
        <is>
          <t>Balance Sheet Support</t>
        </is>
      </c>
      <c r="D39" s="9" t="inlineStr">
        <is>
          <t>Director loans/advances (Engr. B. Goke), alias flows, equity roll-forward</t>
        </is>
      </c>
      <c r="E39" s="10" t="inlineStr">
        <is>
          <t>Roll-forward Formulas</t>
        </is>
      </c>
      <c r="F39" s="12" t="inlineStr">
        <is>
          <t>VERIFIED</t>
        </is>
      </c>
    </row>
    <row r="40">
      <c r="A40" s="13" t="n">
        <v>20</v>
      </c>
      <c r="B40" s="5" t="inlineStr">
        <is>
          <t>Tax_Law_Matrix</t>
        </is>
      </c>
      <c r="C40" s="6" t="inlineStr">
        <is>
          <t>Nigerian Taxes</t>
        </is>
      </c>
      <c r="D40" s="6" t="inlineStr">
        <is>
          <t>Statutory tax matrix (CITA, TETFA, VAT, WHT 2024 Regs, PTF, NASENI)</t>
        </is>
      </c>
      <c r="E40" s="7" t="inlineStr">
        <is>
          <t>Statutory Law</t>
        </is>
      </c>
      <c r="F40" s="14" t="inlineStr">
        <is>
          <t>VERIFIED</t>
        </is>
      </c>
    </row>
    <row r="41">
      <c r="A41" s="11" t="n">
        <v>21</v>
      </c>
      <c r="B41" s="8" t="inlineStr">
        <is>
          <t>CIT_TET_MinTax</t>
        </is>
      </c>
      <c r="C41" s="9" t="inlineStr">
        <is>
          <t>Nigerian Taxes</t>
        </is>
      </c>
      <c r="D41" s="9" t="inlineStr">
        <is>
          <t>PBT reconciliation, assessable profit, CIT (20%/30%), TET (3%), Min Tax</t>
        </is>
      </c>
      <c r="E41" s="10" t="inlineStr">
        <is>
          <t>Tax Formulas</t>
        </is>
      </c>
      <c r="F41" s="12" t="inlineStr">
        <is>
          <t>VERIFIED</t>
        </is>
      </c>
    </row>
    <row r="42">
      <c r="A42" s="13" t="n">
        <v>22</v>
      </c>
      <c r="B42" s="5" t="inlineStr">
        <is>
          <t>Capital_Allowances_Losses</t>
        </is>
      </c>
      <c r="C42" s="6" t="inlineStr">
        <is>
          <t>Nigerian Taxes</t>
        </is>
      </c>
      <c r="D42" s="6" t="inlineStr">
        <is>
          <t>QCE, initial/annual allowances, 66.67% restriction, TWDV, loss carry-forward</t>
        </is>
      </c>
      <c r="E42" s="7" t="inlineStr">
        <is>
          <t>Tax Schedules</t>
        </is>
      </c>
      <c r="F42" s="14" t="inlineStr">
        <is>
          <t>VERIFIED</t>
        </is>
      </c>
    </row>
    <row r="43">
      <c r="A43" s="11" t="n">
        <v>23</v>
      </c>
      <c r="B43" s="8" t="inlineStr">
        <is>
          <t>VAT_Monthly</t>
        </is>
      </c>
      <c r="C43" s="9" t="inlineStr">
        <is>
          <t>Nigerian Taxes</t>
        </is>
      </c>
      <c r="D43" s="9" t="inlineStr">
        <is>
          <t>Monthly 7.5% VAT computations, taxable vs exempt property, net remittance</t>
        </is>
      </c>
      <c r="E43" s="10" t="inlineStr">
        <is>
          <t>Monthly SUM</t>
        </is>
      </c>
      <c r="F43" s="12" t="inlineStr">
        <is>
          <t>VERIFIED</t>
        </is>
      </c>
    </row>
    <row r="44">
      <c r="A44" s="13" t="n">
        <v>24</v>
      </c>
      <c r="B44" s="5" t="inlineStr">
        <is>
          <t>WHT_Receivable_Payable</t>
        </is>
      </c>
      <c r="C44" s="6" t="inlineStr">
        <is>
          <t>Nigerian Taxes</t>
        </is>
      </c>
      <c r="D44" s="6" t="inlineStr">
        <is>
          <t>WHT client credit notes receivable, WHT vendor payable (2%/5%), offset</t>
        </is>
      </c>
      <c r="E44" s="7" t="inlineStr">
        <is>
          <t>Tax Schedules</t>
        </is>
      </c>
      <c r="F44" s="14" t="inlineStr">
        <is>
          <t>VERIFIED</t>
        </is>
      </c>
    </row>
    <row r="45">
      <c r="A45" s="11" t="n">
        <v>25</v>
      </c>
      <c r="B45" s="8" t="inlineStr">
        <is>
          <t>Deferred_Tax_IAS12</t>
        </is>
      </c>
      <c r="C45" s="9" t="inlineStr">
        <is>
          <t>Nigerian Taxes</t>
        </is>
      </c>
      <c r="D45" s="9" t="inlineStr">
        <is>
          <t>Carrying amount vs tax base of PPE/ECL, temporary differences, deferred tax</t>
        </is>
      </c>
      <c r="E45" s="10" t="inlineStr">
        <is>
          <t>IAS 12 Formulas</t>
        </is>
      </c>
      <c r="F45" s="12" t="inlineStr">
        <is>
          <t>VERIFIED</t>
        </is>
      </c>
    </row>
    <row r="46">
      <c r="A46" s="13" t="n">
        <v>26</v>
      </c>
      <c r="B46" s="5" t="inlineStr">
        <is>
          <t>Tax_Payable_Rollforward</t>
        </is>
      </c>
      <c r="C46" s="6" t="inlineStr">
        <is>
          <t>Nigerian Taxes</t>
        </is>
      </c>
      <c r="D46" s="6" t="inlineStr">
        <is>
          <t>Roll-forward of CIT, TET, VAT, WHT, PTF to year-end &amp; subsequent date</t>
        </is>
      </c>
      <c r="E46" s="7" t="inlineStr">
        <is>
          <t>Roll-forward Formulas</t>
        </is>
      </c>
      <c r="F46" s="14" t="inlineStr">
        <is>
          <t>VERIFIED</t>
        </is>
      </c>
    </row>
    <row r="47">
      <c r="A47" s="11" t="n">
        <v>27</v>
      </c>
      <c r="B47" s="8" t="inlineStr">
        <is>
          <t>AFS_2023</t>
        </is>
      </c>
      <c r="C47" s="9" t="inlineStr">
        <is>
          <t>Reporting Outputs</t>
        </is>
      </c>
      <c r="D47" s="9" t="inlineStr">
        <is>
          <t>Audited Financial Statements FY2023 (SFP, SPLOCI, SOCE, SCF) with 2022 comp</t>
        </is>
      </c>
      <c r="E47" s="10" t="inlineStr">
        <is>
          <t>Linked to TB/Notes</t>
        </is>
      </c>
      <c r="F47" s="12" t="inlineStr">
        <is>
          <t>VERIFIED</t>
        </is>
      </c>
    </row>
    <row r="48">
      <c r="A48" s="13" t="n">
        <v>28</v>
      </c>
      <c r="B48" s="5" t="inlineStr">
        <is>
          <t>Notes_2023</t>
        </is>
      </c>
      <c r="C48" s="6" t="inlineStr">
        <is>
          <t>Reporting Outputs</t>
        </is>
      </c>
      <c r="D48" s="6" t="inlineStr">
        <is>
          <t>Complete Numbered Notes 1 to 28 for FY2023 Financial Statements</t>
        </is>
      </c>
      <c r="E48" s="7" t="inlineStr">
        <is>
          <t>Linked Formulas</t>
        </is>
      </c>
      <c r="F48" s="14" t="inlineStr">
        <is>
          <t>VERIFIED</t>
        </is>
      </c>
    </row>
    <row r="49">
      <c r="A49" s="11" t="n">
        <v>29</v>
      </c>
      <c r="B49" s="8" t="inlineStr">
        <is>
          <t>AFS_2024</t>
        </is>
      </c>
      <c r="C49" s="9" t="inlineStr">
        <is>
          <t>Reporting Outputs</t>
        </is>
      </c>
      <c r="D49" s="9" t="inlineStr">
        <is>
          <t>Audited Financial Statements FY2024 (SFP, SPLOCI, SOCE, SCF) with 2023 comp</t>
        </is>
      </c>
      <c r="E49" s="10" t="inlineStr">
        <is>
          <t>Linked to TB/Notes</t>
        </is>
      </c>
      <c r="F49" s="12" t="inlineStr">
        <is>
          <t>VERIFIED</t>
        </is>
      </c>
    </row>
    <row r="50">
      <c r="A50" s="13" t="n">
        <v>30</v>
      </c>
      <c r="B50" s="5" t="inlineStr">
        <is>
          <t>Notes_2024</t>
        </is>
      </c>
      <c r="C50" s="6" t="inlineStr">
        <is>
          <t>Reporting Outputs</t>
        </is>
      </c>
      <c r="D50" s="6" t="inlineStr">
        <is>
          <t>Complete Numbered Notes 1 to 28 for FY2024 Financial Statements</t>
        </is>
      </c>
      <c r="E50" s="7" t="inlineStr">
        <is>
          <t>Linked Formulas</t>
        </is>
      </c>
      <c r="F50" s="14" t="inlineStr">
        <is>
          <t>VERIFIED</t>
        </is>
      </c>
    </row>
    <row r="51">
      <c r="A51" s="11" t="n">
        <v>31</v>
      </c>
      <c r="B51" s="8" t="inlineStr">
        <is>
          <t>AFS_2025</t>
        </is>
      </c>
      <c r="C51" s="9" t="inlineStr">
        <is>
          <t>Reporting Outputs</t>
        </is>
      </c>
      <c r="D51" s="9" t="inlineStr">
        <is>
          <t>Audited Financial Statements FY2025 (SFP, SPLOCI, SOCE, SCF) with 2024 comp</t>
        </is>
      </c>
      <c r="E51" s="10" t="inlineStr">
        <is>
          <t>Linked to TB/Notes</t>
        </is>
      </c>
      <c r="F51" s="12" t="inlineStr">
        <is>
          <t>VERIFIED</t>
        </is>
      </c>
    </row>
    <row r="52">
      <c r="A52" s="13" t="n">
        <v>32</v>
      </c>
      <c r="B52" s="5" t="inlineStr">
        <is>
          <t>Notes_2025</t>
        </is>
      </c>
      <c r="C52" s="6" t="inlineStr">
        <is>
          <t>Reporting Outputs</t>
        </is>
      </c>
      <c r="D52" s="6" t="inlineStr">
        <is>
          <t>Complete Numbered Notes 1 to 28 for FY2025 Financial Statements</t>
        </is>
      </c>
      <c r="E52" s="7" t="inlineStr">
        <is>
          <t>Linked Formulas</t>
        </is>
      </c>
      <c r="F52" s="14" t="inlineStr">
        <is>
          <t>VERIFIED</t>
        </is>
      </c>
    </row>
    <row r="53">
      <c r="A53" s="11" t="n">
        <v>33</v>
      </c>
      <c r="B53" s="8" t="inlineStr">
        <is>
          <t>Three_Year_Summary</t>
        </is>
      </c>
      <c r="C53" s="9" t="inlineStr">
        <is>
          <t>Reporting Outputs</t>
        </is>
      </c>
      <c r="D53" s="9" t="inlineStr">
        <is>
          <t>Master 3-Year Financial Comparison (2022-2025), key ratios, KPIs</t>
        </is>
      </c>
      <c r="E53" s="10" t="inlineStr">
        <is>
          <t>Linked Formulas</t>
        </is>
      </c>
      <c r="F53" s="12" t="inlineStr">
        <is>
          <t>VERIFIED</t>
        </is>
      </c>
    </row>
    <row r="54">
      <c r="A54" s="13" t="n">
        <v>34</v>
      </c>
      <c r="B54" s="5" t="inlineStr">
        <is>
          <t>Cash_Flow_Workings</t>
        </is>
      </c>
      <c r="C54" s="6" t="inlineStr">
        <is>
          <t>Reporting Outputs</t>
        </is>
      </c>
      <c r="D54" s="6" t="inlineStr">
        <is>
          <t>Indirect cash flow models, working capital deltas, cash reconciliations</t>
        </is>
      </c>
      <c r="E54" s="7" t="inlineStr">
        <is>
          <t>Indirect CF Formulas</t>
        </is>
      </c>
      <c r="F54" s="14" t="inlineStr">
        <is>
          <t>VERIFIED</t>
        </is>
      </c>
    </row>
    <row r="55">
      <c r="A55" s="11" t="n">
        <v>35</v>
      </c>
      <c r="B55" s="8" t="inlineStr">
        <is>
          <t>Assumptions_Estimates</t>
        </is>
      </c>
      <c r="C55" s="9" t="inlineStr">
        <is>
          <t>Audit &amp; Governance</t>
        </is>
      </c>
      <c r="D55" s="9" t="inlineStr">
        <is>
          <t>Significant accounting judgments, key estimation uncertainties, policies</t>
        </is>
      </c>
      <c r="E55" s="10" t="inlineStr">
        <is>
          <t>Disclosure Text</t>
        </is>
      </c>
      <c r="F55" s="12" t="inlineStr">
        <is>
          <t>VERIFIED</t>
        </is>
      </c>
    </row>
    <row r="56">
      <c r="A56" s="13" t="n">
        <v>36</v>
      </c>
      <c r="B56" s="5" t="inlineStr">
        <is>
          <t>Exception_Dashboard_Checks</t>
        </is>
      </c>
      <c r="C56" s="6" t="inlineStr">
        <is>
          <t>Mandatory Checks</t>
        </is>
      </c>
      <c r="D56" s="6" t="inlineStr">
        <is>
          <t>12-Point mandatory audit checks, tolerance testing, pass/fail dashboard</t>
        </is>
      </c>
      <c r="E56" s="7" t="inlineStr">
        <is>
          <t>Automated IF Checks</t>
        </is>
      </c>
      <c r="F56" s="14" t="inlineStr">
        <is>
          <t>PASSED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9" customWidth="1" min="1" max="1"/>
    <col width="86" customWidth="1" min="2" max="2"/>
    <col width="47" customWidth="1" min="3" max="3"/>
    <col width="30" customWidth="1" min="4" max="4"/>
  </cols>
  <sheetData>
    <row r="1">
      <c r="A1" s="1" t="inlineStr">
        <is>
          <t>BAAY PROJECTS LIMITED — STATUTORY ENTITY &amp; ALIAS REGISTER</t>
        </is>
      </c>
    </row>
    <row r="2">
      <c r="A2" s="3" t="inlineStr">
        <is>
          <t>Legal Entity Profile, CAC Corporate Affairs Commission Registration &amp; Banking Mandates</t>
        </is>
      </c>
    </row>
    <row r="3"/>
    <row r="4">
      <c r="A4" s="4" t="inlineStr">
        <is>
          <t>Statutory Item</t>
        </is>
      </c>
      <c r="B4" s="4" t="inlineStr">
        <is>
          <t>Corporate Details / Official Specification</t>
        </is>
      </c>
      <c r="C4" s="4" t="inlineStr">
        <is>
          <t>Evidence Reference / Legal Basis</t>
        </is>
      </c>
      <c r="D4" s="4" t="inlineStr">
        <is>
          <t>Audit Validation Status</t>
        </is>
      </c>
    </row>
    <row r="5">
      <c r="A5" s="8" t="inlineStr">
        <is>
          <t>Registered Corporate Name</t>
        </is>
      </c>
      <c r="B5" s="9" t="inlineStr">
        <is>
          <t>BAAY PROJECTS LIMITED</t>
        </is>
      </c>
      <c r="C5" s="10" t="inlineStr">
        <is>
          <t>CAC Certificate of Incorporation</t>
        </is>
      </c>
      <c r="D5" s="12" t="inlineStr">
        <is>
          <t>VERIFIED (RC 1526224)</t>
        </is>
      </c>
    </row>
    <row r="6">
      <c r="A6" s="5" t="inlineStr">
        <is>
          <t>Corporate Affairs Commission (CAC) RC Number</t>
        </is>
      </c>
      <c r="B6" s="6" t="inlineStr">
        <is>
          <t>RC 1526224</t>
        </is>
      </c>
      <c r="C6" s="7" t="inlineStr">
        <is>
          <t>Incorporated under CAMA</t>
        </is>
      </c>
      <c r="D6" s="14" t="inlineStr">
        <is>
          <t>VERIFIED (12-Sep-2018)</t>
        </is>
      </c>
    </row>
    <row r="7">
      <c r="A7" s="8" t="inlineStr">
        <is>
          <t>Date of Incorporation</t>
        </is>
      </c>
      <c r="B7" s="9" t="inlineStr">
        <is>
          <t>12 September 2018</t>
        </is>
      </c>
      <c r="C7" s="10" t="inlineStr">
        <is>
          <t>CAC Certified True Copy (CTC)</t>
        </is>
      </c>
      <c r="D7" s="12" t="inlineStr">
        <is>
          <t>VERIFIED</t>
        </is>
      </c>
    </row>
    <row r="8">
      <c r="A8" s="5" t="inlineStr">
        <is>
          <t>Registered Business Names / Trade Aliases</t>
        </is>
      </c>
      <c r="B8" s="6" t="inlineStr">
        <is>
          <t>Baay Gokes / Baay Degok</t>
        </is>
      </c>
      <c r="C8" s="7" t="inlineStr">
        <is>
          <t>Management Clarification &amp; Shared RC 1526224</t>
        </is>
      </c>
      <c r="D8" s="14" t="inlineStr">
        <is>
          <t>CONFIRMED SAME LEGAL ENTITY</t>
        </is>
      </c>
    </row>
    <row r="9">
      <c r="A9" s="8" t="inlineStr">
        <is>
          <t>Tax Identification Number (TIN)</t>
        </is>
      </c>
      <c r="B9" s="9" t="inlineStr">
        <is>
          <t>21548976-0001</t>
        </is>
      </c>
      <c r="C9" s="10" t="inlineStr">
        <is>
          <t>Federal Inland Revenue Service (FIRS)</t>
        </is>
      </c>
      <c r="D9" s="12" t="inlineStr">
        <is>
          <t>ACTIVE &amp; CONTINUOUS</t>
        </is>
      </c>
    </row>
    <row r="10">
      <c r="A10" s="5" t="inlineStr">
        <is>
          <t>VAT Registration Number</t>
        </is>
      </c>
      <c r="B10" s="6" t="inlineStr">
        <is>
          <t>21548976-0001 (Unified FIRS TIN)</t>
        </is>
      </c>
      <c r="C10" s="7" t="inlineStr">
        <is>
          <t>FIRS Integrated Tax Administration System</t>
        </is>
      </c>
      <c r="D10" s="14" t="inlineStr">
        <is>
          <t>ACTIVE</t>
        </is>
      </c>
    </row>
    <row r="11">
      <c r="A11" s="8" t="inlineStr">
        <is>
          <t>Registered Corporate Office Address</t>
        </is>
      </c>
      <c r="B11" s="9" t="inlineStr">
        <is>
          <t>Plot 12, Adeola Odeku Street, Victoria Island, Lagos, Nigeria</t>
        </is>
      </c>
      <c r="C11" s="10" t="inlineStr">
        <is>
          <t>CAC Form CAC 1.1 / CAC 3</t>
        </is>
      </c>
      <c r="D11" s="12" t="inlineStr">
        <is>
          <t>VERIFIED</t>
        </is>
      </c>
    </row>
    <row r="12">
      <c r="A12" s="5" t="inlineStr">
        <is>
          <t>Operational &amp; Site Engineering Office</t>
        </is>
      </c>
      <c r="B12" s="6" t="inlineStr">
        <is>
          <t>Suite 4B, Admiralty Way, Lekki Phase 1, Lagos, Nigeria</t>
        </is>
      </c>
      <c r="C12" s="7" t="inlineStr">
        <is>
          <t>Tenancy Agreement / Project Site Base</t>
        </is>
      </c>
      <c r="D12" s="14" t="inlineStr">
        <is>
          <t>VERIFIED</t>
        </is>
      </c>
    </row>
    <row r="13">
      <c r="A13" s="8" t="inlineStr">
        <is>
          <t>Authorized Share Capital</t>
        </is>
      </c>
      <c r="B13" s="9" t="inlineStr">
        <is>
          <t>₦1,000,000 divided into 1,000,000 Ordinary Shares of ₦1.00 each</t>
        </is>
      </c>
      <c r="C13" s="10" t="inlineStr">
        <is>
          <t>MEMART / CAC Form 2</t>
        </is>
      </c>
      <c r="D13" s="15" t="inlineStr">
        <is>
          <t>FULLY ISSUED &amp; PAID UP</t>
        </is>
      </c>
    </row>
    <row r="14">
      <c r="A14" s="5" t="inlineStr">
        <is>
          <t>Issued &amp; Fully Paid Share Capital</t>
        </is>
      </c>
      <c r="B14" s="6" t="inlineStr">
        <is>
          <t>₦1,000,000 (1,000,000 Ordinary Shares of ₦1.00 each)</t>
        </is>
      </c>
      <c r="C14" s="7" t="inlineStr">
        <is>
          <t>2022 Audited Financial Statements Note 12</t>
        </is>
      </c>
      <c r="D14" s="14" t="inlineStr">
        <is>
          <t>VERIFIED (₦1,000,000)</t>
        </is>
      </c>
    </row>
    <row r="15">
      <c r="A15" s="8" t="inlineStr">
        <is>
          <t>Shareholders &amp; Shareholding Structure</t>
        </is>
      </c>
      <c r="B15" s="9" t="inlineStr">
        <is>
          <t>Engr. Babatunde Goke (700,000 shares, 70%), Mrs. Adeola Goke (300,000 shares, 30%)</t>
        </is>
      </c>
      <c r="C15" s="10" t="inlineStr">
        <is>
          <t>CAC Register of Members</t>
        </is>
      </c>
      <c r="D15" s="12" t="inlineStr">
        <is>
          <t>VERIFIED</t>
        </is>
      </c>
    </row>
    <row r="16">
      <c r="A16" s="5" t="inlineStr">
        <is>
          <t>Board of Directors</t>
        </is>
      </c>
      <c r="B16" s="6" t="inlineStr">
        <is>
          <t>Engr. Babatunde Goke (Managing Director/CEO), Mrs. Adeola Goke (Executive Director)</t>
        </is>
      </c>
      <c r="C16" s="7" t="inlineStr">
        <is>
          <t>CAC Form 7 / Directors' Register</t>
        </is>
      </c>
      <c r="D16" s="14" t="inlineStr">
        <is>
          <t>VERIFIED</t>
        </is>
      </c>
    </row>
    <row r="17">
      <c r="A17" s="8" t="inlineStr">
        <is>
          <t>Company Secretary</t>
        </is>
      </c>
      <c r="B17" s="9" t="inlineStr">
        <is>
          <t>Lex Prime Corporate Services, Lagos, Nigeria</t>
        </is>
      </c>
      <c r="C17" s="10" t="inlineStr">
        <is>
          <t>CAC Form 2.1</t>
        </is>
      </c>
      <c r="D17" s="12" t="inlineStr">
        <is>
          <t>VERIFIED</t>
        </is>
      </c>
    </row>
    <row r="18">
      <c r="A18" s="5" t="inlineStr">
        <is>
          <t>Primary Corporate Banker 1</t>
        </is>
      </c>
      <c r="B18" s="6" t="inlineStr">
        <is>
          <t>Providus Bank Plc — A/C No. 5400281942 (Principal Operations)</t>
        </is>
      </c>
      <c r="C18" s="7" t="inlineStr">
        <is>
          <t>Bank Statements &amp; Bank Mandate</t>
        </is>
      </c>
      <c r="D18" s="14" t="inlineStr">
        <is>
          <t>ACTIVE (Reconciled)</t>
        </is>
      </c>
    </row>
    <row r="19">
      <c r="A19" s="8" t="inlineStr">
        <is>
          <t>Primary Corporate Banker 2</t>
        </is>
      </c>
      <c r="B19" s="9" t="inlineStr">
        <is>
          <t>First Bank of Nigeria Limited — A/C No. 2034891102 (Site Collections)</t>
        </is>
      </c>
      <c r="C19" s="10" t="inlineStr">
        <is>
          <t>Bank Statements &amp; Mandate</t>
        </is>
      </c>
      <c r="D19" s="12" t="inlineStr">
        <is>
          <t>ACTIVE (Reconciled)</t>
        </is>
      </c>
    </row>
    <row r="20">
      <c r="A20" s="5" t="inlineStr">
        <is>
          <t>Primary Corporate Banker 3</t>
        </is>
      </c>
      <c r="B20" s="6" t="inlineStr">
        <is>
          <t>Sterling Bank Plc — A/C No. 0078451290 (Operational Disbursements)</t>
        </is>
      </c>
      <c r="C20" s="7" t="inlineStr">
        <is>
          <t>Bank Statements &amp; Mandate</t>
        </is>
      </c>
      <c r="D20" s="14" t="inlineStr">
        <is>
          <t>ACTIVE (Reconciled)</t>
        </is>
      </c>
    </row>
    <row r="21">
      <c r="A21" s="8" t="inlineStr">
        <is>
          <t>Primary Corporate Banker 4</t>
        </is>
      </c>
      <c r="B21" s="9" t="inlineStr">
        <is>
          <t>Guaranty Trust Bank (GTBank) — A/C No. 0421897631 (Project Escrow/Retainers)</t>
        </is>
      </c>
      <c r="C21" s="10" t="inlineStr">
        <is>
          <t>Bank Statements &amp; Mandate</t>
        </is>
      </c>
      <c r="D21" s="12" t="inlineStr">
        <is>
          <t>ACTIVE (Gaps Documented)</t>
        </is>
      </c>
    </row>
    <row r="22">
      <c r="A22" s="5" t="inlineStr">
        <is>
          <t>Statutory Independent Auditors</t>
        </is>
      </c>
      <c r="B22" s="6" t="inlineStr">
        <is>
          <t>PKF &amp; Co. (Chartered Accountants) / Baker &amp; Associates, Lagos, Nigeria</t>
        </is>
      </c>
      <c r="C22" s="7" t="inlineStr">
        <is>
          <t>Board Appointment Resolution</t>
        </is>
      </c>
      <c r="D22" s="16" t="inlineStr">
        <is>
          <t>AUDITOR APPOINTED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3" customWidth="1" min="1" max="1"/>
    <col width="48" customWidth="1" min="2" max="2"/>
    <col width="39" customWidth="1" min="3" max="3"/>
    <col width="50" customWidth="1" min="4" max="4"/>
    <col width="72" customWidth="1" min="5" max="5"/>
    <col width="40" customWidth="1" min="6" max="6"/>
    <col width="23" customWidth="1" min="7" max="7"/>
    <col width="11" customWidth="1" min="8" max="8"/>
    <col width="32" customWidth="1" min="9" max="9"/>
    <col width="29" customWidth="1" min="10" max="10"/>
    <col width="59" customWidth="1" min="11" max="11"/>
  </cols>
  <sheetData>
    <row r="1">
      <c r="A1" s="1" t="inlineStr">
        <is>
          <t>BAAY PROJECTS LIMITED — SOURCE REGISTER &amp; INFORMATION GAP SCHEDULE</t>
        </is>
      </c>
    </row>
    <row r="2">
      <c r="A2" s="3" t="inlineStr">
        <is>
          <t>Comprehensive Inventory of Evidentiary Sources, Missing Records, Financial Risk &amp; Next Audit Actions</t>
        </is>
      </c>
    </row>
    <row r="3"/>
    <row r="4">
      <c r="A4" s="4" t="inlineStr">
        <is>
          <t>Item #</t>
        </is>
      </c>
      <c r="B4" s="4" t="inlineStr">
        <is>
          <t>Evidence / Source Record Description</t>
        </is>
      </c>
      <c r="C4" s="4" t="inlineStr">
        <is>
          <t>Entity / Alias</t>
        </is>
      </c>
      <c r="D4" s="4" t="inlineStr">
        <is>
          <t>Reporting Period / Project</t>
        </is>
      </c>
      <c r="E4" s="4" t="inlineStr">
        <is>
          <t>Reason Required</t>
        </is>
      </c>
      <c r="F4" s="4" t="inlineStr">
        <is>
          <t>Affected Accounts &amp; Taxes</t>
        </is>
      </c>
      <c r="G4" s="4" t="inlineStr">
        <is>
          <t>Amount at Risk (NGN)</t>
        </is>
      </c>
      <c r="H4" s="4" t="inlineStr">
        <is>
          <t>Priority</t>
        </is>
      </c>
      <c r="I4" s="4" t="inlineStr">
        <is>
          <t>Owner / Custodian</t>
        </is>
      </c>
      <c r="J4" s="4" t="inlineStr">
        <is>
          <t>Evidence Status</t>
        </is>
      </c>
      <c r="K4" s="4" t="inlineStr">
        <is>
          <t>Audit Action / Mitigating Procedure</t>
        </is>
      </c>
    </row>
    <row r="5">
      <c r="A5" s="11" t="inlineStr">
        <is>
          <t>SRC-01</t>
        </is>
      </c>
      <c r="B5" s="8" t="inlineStr">
        <is>
          <t>2022 Audited Financial Statements (PDF)</t>
        </is>
      </c>
      <c r="C5" s="9" t="inlineStr">
        <is>
          <t>Baay Projects Limited</t>
        </is>
      </c>
      <c r="D5" s="9" t="inlineStr">
        <is>
          <t>FY 2022 / Opening</t>
        </is>
      </c>
      <c r="E5" s="10" t="inlineStr">
        <is>
          <t>Opening balance verification &amp; comparative figures</t>
        </is>
      </c>
      <c r="F5" s="9" t="inlineStr">
        <is>
          <t>All SFP &amp; SPLOCI accounts</t>
        </is>
      </c>
      <c r="G5" s="17" t="n">
        <v>3436708</v>
      </c>
      <c r="H5" s="18" t="inlineStr">
        <is>
          <t>High</t>
        </is>
      </c>
      <c r="I5" s="9" t="inlineStr">
        <is>
          <t>Management / External Auditor</t>
        </is>
      </c>
      <c r="J5" s="12" t="inlineStr">
        <is>
          <t>VERIFIED</t>
        </is>
      </c>
      <c r="K5" s="10" t="inlineStr">
        <is>
          <t>Extracted &amp; reconciled to opening bridge</t>
        </is>
      </c>
    </row>
    <row r="6">
      <c r="A6" s="13" t="inlineStr">
        <is>
          <t>SRC-02</t>
        </is>
      </c>
      <c r="B6" s="5" t="inlineStr">
        <is>
          <t>Providus Bank Statements (A/C 5400281942)</t>
        </is>
      </c>
      <c r="C6" s="6" t="inlineStr">
        <is>
          <t>Baay Projects Limited / Baay Gokes</t>
        </is>
      </c>
      <c r="D6" s="6" t="inlineStr">
        <is>
          <t>FY 2023 - FY 2025</t>
        </is>
      </c>
      <c r="E6" s="7" t="inlineStr">
        <is>
          <t>Transaction posting, revenue, expense &amp; cash flow verification</t>
        </is>
      </c>
      <c r="F6" s="6" t="inlineStr">
        <is>
          <t>Cash, Revenue, COS, OPEX</t>
        </is>
      </c>
      <c r="G6" s="19" t="n">
        <v>185400000</v>
      </c>
      <c r="H6" s="20" t="inlineStr">
        <is>
          <t>High</t>
        </is>
      </c>
      <c r="I6" s="6" t="inlineStr">
        <is>
          <t>Finance Team / Bank</t>
        </is>
      </c>
      <c r="J6" s="14" t="inlineStr">
        <is>
          <t>VERIFIED</t>
        </is>
      </c>
      <c r="K6" s="7" t="inlineStr">
        <is>
          <t>Normalized &amp; 100% continuous coverage</t>
        </is>
      </c>
    </row>
    <row r="7">
      <c r="A7" s="11" t="inlineStr">
        <is>
          <t>SRC-03</t>
        </is>
      </c>
      <c r="B7" s="8" t="inlineStr">
        <is>
          <t>First Bank Statements (A/C 2034891102)</t>
        </is>
      </c>
      <c r="C7" s="9" t="inlineStr">
        <is>
          <t>Baay Projects Limited</t>
        </is>
      </c>
      <c r="D7" s="9" t="inlineStr">
        <is>
          <t>FY 2023 &amp; FY 2025 (FY24 requested)</t>
        </is>
      </c>
      <c r="E7" s="10" t="inlineStr">
        <is>
          <t>Cash receipts, contract billings &amp; supplier disbursements</t>
        </is>
      </c>
      <c r="F7" s="9" t="inlineStr">
        <is>
          <t>Cash, Contract Liabilities, COS</t>
        </is>
      </c>
      <c r="G7" s="17" t="n">
        <v>42300000</v>
      </c>
      <c r="H7" s="18" t="inlineStr">
        <is>
          <t>High</t>
        </is>
      </c>
      <c r="I7" s="9" t="inlineStr">
        <is>
          <t>Finance Team / Bank</t>
        </is>
      </c>
      <c r="J7" s="15" t="inlineStr">
        <is>
          <t>SUPPORTED ESTIMATE</t>
        </is>
      </c>
      <c r="K7" s="10" t="inlineStr">
        <is>
          <t>FY23/25 verified; FY24 normalized from ledgers</t>
        </is>
      </c>
    </row>
    <row r="8">
      <c r="A8" s="13" t="inlineStr">
        <is>
          <t>SRC-04</t>
        </is>
      </c>
      <c r="B8" s="5" t="inlineStr">
        <is>
          <t>Sterling Bank Statements (A/C 0078451290)</t>
        </is>
      </c>
      <c r="C8" s="6" t="inlineStr">
        <is>
          <t>Baay Projects Limited</t>
        </is>
      </c>
      <c r="D8" s="6" t="inlineStr">
        <is>
          <t>FY 2023 - FY 2025</t>
        </is>
      </c>
      <c r="E8" s="7" t="inlineStr">
        <is>
          <t>Operational disbursements &amp; minor supplier payments</t>
        </is>
      </c>
      <c r="F8" s="6" t="inlineStr">
        <is>
          <t>Cash, OPEX, Bank charges</t>
        </is>
      </c>
      <c r="G8" s="19" t="n">
        <v>12850000</v>
      </c>
      <c r="H8" s="16" t="inlineStr">
        <is>
          <t>Medium</t>
        </is>
      </c>
      <c r="I8" s="6" t="inlineStr">
        <is>
          <t>Finance Team / Bank</t>
        </is>
      </c>
      <c r="J8" s="14" t="inlineStr">
        <is>
          <t>VERIFIED</t>
        </is>
      </c>
      <c r="K8" s="7" t="inlineStr">
        <is>
          <t>100% continuous coverage</t>
        </is>
      </c>
    </row>
    <row r="9">
      <c r="A9" s="11" t="inlineStr">
        <is>
          <t>SRC-05</t>
        </is>
      </c>
      <c r="B9" s="8" t="inlineStr">
        <is>
          <t>GTBank Statements (A/C 0421897631)</t>
        </is>
      </c>
      <c r="C9" s="9" t="inlineStr">
        <is>
          <t>Baay Projects Limited / Baay Degok</t>
        </is>
      </c>
      <c r="D9" s="9" t="inlineStr">
        <is>
          <t>1 Jan 23-2 Apr 24 &amp; 12 Oct 24-31 Dec 25 missing</t>
        </is>
      </c>
      <c r="E9" s="10" t="inlineStr">
        <is>
          <t>Project escrow receipts &amp; retention tracking</t>
        </is>
      </c>
      <c r="F9" s="9" t="inlineStr">
        <is>
          <t>Cash, Contract Assets, Retentions</t>
        </is>
      </c>
      <c r="G9" s="17" t="n">
        <v>8500000</v>
      </c>
      <c r="H9" s="18" t="inlineStr">
        <is>
          <t>High</t>
        </is>
      </c>
      <c r="I9" s="9" t="inlineStr">
        <is>
          <t>Finance Team / Bank</t>
        </is>
      </c>
      <c r="J9" s="15" t="inlineStr">
        <is>
          <t>PROVISIONAL CLASSIFICATION</t>
        </is>
      </c>
      <c r="K9" s="10" t="inlineStr">
        <is>
          <t>Formal bank statement request issued to GTBank</t>
        </is>
      </c>
    </row>
    <row r="10">
      <c r="A10" s="13" t="inlineStr">
        <is>
          <t>SRC-06</t>
        </is>
      </c>
      <c r="B10" s="5" t="inlineStr">
        <is>
          <t>Civil Construction &amp; Infrastructure Contracts</t>
        </is>
      </c>
      <c r="C10" s="6" t="inlineStr">
        <is>
          <t>Baay Projects Limited</t>
        </is>
      </c>
      <c r="D10" s="6" t="inlineStr">
        <is>
          <t>Lekki &amp; Ikeja Projects (2023-2025)</t>
        </is>
      </c>
      <c r="E10" s="7" t="inlineStr">
        <is>
          <t>IFRS 15 revenue recognition, milestones &amp; performance obligations</t>
        </is>
      </c>
      <c r="F10" s="6" t="inlineStr">
        <is>
          <t>Revenue, Contract Assets, COS</t>
        </is>
      </c>
      <c r="G10" s="19" t="n">
        <v>128000000</v>
      </c>
      <c r="H10" s="20" t="inlineStr">
        <is>
          <t>High</t>
        </is>
      </c>
      <c r="I10" s="6" t="inlineStr">
        <is>
          <t>Project Management Office</t>
        </is>
      </c>
      <c r="J10" s="14" t="inlineStr">
        <is>
          <t>VERIFIED</t>
        </is>
      </c>
      <c r="K10" s="7" t="inlineStr">
        <is>
          <t>Contracts inspected; cost-to-cost input applied</t>
        </is>
      </c>
    </row>
    <row r="11">
      <c r="A11" s="11" t="inlineStr">
        <is>
          <t>SRC-07</t>
        </is>
      </c>
      <c r="B11" s="8" t="inlineStr">
        <is>
          <t>Land Acquisition Deeds &amp; Survey Plans</t>
        </is>
      </c>
      <c r="C11" s="9" t="inlineStr">
        <is>
          <t>Baay Projects Limited</t>
        </is>
      </c>
      <c r="D11" s="9" t="inlineStr">
        <is>
          <t>Ibeju-Lekki &amp; Epe Land Schemes</t>
        </is>
      </c>
      <c r="E11" s="10" t="inlineStr">
        <is>
          <t>IAS 2 Inventory valuation, land title &amp; cost release</t>
        </is>
      </c>
      <c r="F11" s="9" t="inlineStr">
        <is>
          <t>Inventories, Land WIP, COS</t>
        </is>
      </c>
      <c r="G11" s="17" t="n">
        <v>45000000</v>
      </c>
      <c r="H11" s="18" t="inlineStr">
        <is>
          <t>High</t>
        </is>
      </c>
      <c r="I11" s="9" t="inlineStr">
        <is>
          <t>Legal Counsel / Surveyors</t>
        </is>
      </c>
      <c r="J11" s="12" t="inlineStr">
        <is>
          <t>VERIFIED</t>
        </is>
      </c>
      <c r="K11" s="10" t="inlineStr">
        <is>
          <t>Purchase receipts &amp; survey allocations verified</t>
        </is>
      </c>
    </row>
    <row r="12">
      <c r="A12" s="13" t="inlineStr">
        <is>
          <t>SRC-08</t>
        </is>
      </c>
      <c r="B12" s="5" t="inlineStr">
        <is>
          <t>Joint Venture Development Agreement</t>
        </is>
      </c>
      <c r="C12" s="6" t="inlineStr">
        <is>
          <t>Baay Projects Limited &amp; Landowners</t>
        </is>
      </c>
      <c r="D12" s="6" t="inlineStr">
        <is>
          <t>VI Luxury Maisonettes JV (2024-2025)</t>
        </is>
      </c>
      <c r="E12" s="7" t="inlineStr">
        <is>
          <t>IFRS 11/IAS 28 evaluation, profit-sharing &amp; WIP capitalization</t>
        </is>
      </c>
      <c r="F12" s="6" t="inlineStr">
        <is>
          <t>Inventories, WIP, Partner Equity</t>
        </is>
      </c>
      <c r="G12" s="19" t="n">
        <v>120000000</v>
      </c>
      <c r="H12" s="20" t="inlineStr">
        <is>
          <t>High</t>
        </is>
      </c>
      <c r="I12" s="6" t="inlineStr">
        <is>
          <t>Legal / JV Committee</t>
        </is>
      </c>
      <c r="J12" s="14" t="inlineStr">
        <is>
          <t>VERIFIED</t>
        </is>
      </c>
      <c r="K12" s="7" t="inlineStr">
        <is>
          <t>Unincorporated JV treated as inventory WIP</t>
        </is>
      </c>
    </row>
    <row r="13">
      <c r="A13" s="11" t="inlineStr">
        <is>
          <t>SRC-09</t>
        </is>
      </c>
      <c r="B13" s="8" t="inlineStr">
        <is>
          <t>Bills of Quantities &amp; QS Progress Valuations</t>
        </is>
      </c>
      <c r="C13" s="9" t="inlineStr">
        <is>
          <t>Baay Projects Limited</t>
        </is>
      </c>
      <c r="D13" s="9" t="inlineStr">
        <is>
          <t>All Active Construction Projects</t>
        </is>
      </c>
      <c r="E13" s="10" t="inlineStr">
        <is>
          <t>Substantiation of project stage of completion &amp; cost to complete</t>
        </is>
      </c>
      <c r="F13" s="9" t="inlineStr">
        <is>
          <t>Revenue, Inventories, Contract Assets</t>
        </is>
      </c>
      <c r="G13" s="17" t="n">
        <v>85000000</v>
      </c>
      <c r="H13" s="15" t="inlineStr">
        <is>
          <t>Medium</t>
        </is>
      </c>
      <c r="I13" s="9" t="inlineStr">
        <is>
          <t>Lead Quantity Surveyor</t>
        </is>
      </c>
      <c r="J13" s="12" t="inlineStr">
        <is>
          <t>VERIFIED</t>
        </is>
      </c>
      <c r="K13" s="10" t="inlineStr">
        <is>
          <t>Certified valuations tied to unbilled revenue</t>
        </is>
      </c>
    </row>
    <row r="14">
      <c r="A14" s="13" t="inlineStr">
        <is>
          <t>SRC-10</t>
        </is>
      </c>
      <c r="B14" s="5" t="inlineStr">
        <is>
          <t>Subcontractor &amp; Supplier Invoices</t>
        </is>
      </c>
      <c r="C14" s="6" t="inlineStr">
        <is>
          <t>Baay Projects Limited</t>
        </is>
      </c>
      <c r="D14" s="6" t="inlineStr">
        <is>
          <t>FY 2023 - FY 2025</t>
        </is>
      </c>
      <c r="E14" s="7" t="inlineStr">
        <is>
          <t>Direct cost substantiation, WHT deduction &amp; supplier balances</t>
        </is>
      </c>
      <c r="F14" s="6" t="inlineStr">
        <is>
          <t>Cost of Sales, Payables, WHT</t>
        </is>
      </c>
      <c r="G14" s="19" t="n">
        <v>98500000</v>
      </c>
      <c r="H14" s="20" t="inlineStr">
        <is>
          <t>High</t>
        </is>
      </c>
      <c r="I14" s="6" t="inlineStr">
        <is>
          <t>Procurement / Site Store</t>
        </is>
      </c>
      <c r="J14" s="14" t="inlineStr">
        <is>
          <t>VERIFIED</t>
        </is>
      </c>
      <c r="K14" s="7" t="inlineStr">
        <is>
          <t>Invoices matched to payments &amp; WHT deducted</t>
        </is>
      </c>
    </row>
    <row r="15">
      <c r="A15" s="11" t="inlineStr">
        <is>
          <t>SRC-11</t>
        </is>
      </c>
      <c r="B15" s="8" t="inlineStr">
        <is>
          <t>Tax Returns, CIT Assessments &amp; Receipts</t>
        </is>
      </c>
      <c r="C15" s="9" t="inlineStr">
        <is>
          <t>Baay Projects Limited (TIN 21548976)</t>
        </is>
      </c>
      <c r="D15" s="9" t="inlineStr">
        <is>
          <t>YOA 2020 - YOA 2025</t>
        </is>
      </c>
      <c r="E15" s="10" t="inlineStr">
        <is>
          <t>Tax liability roll-forward, loss relief, capital allowance validation</t>
        </is>
      </c>
      <c r="F15" s="9" t="inlineStr">
        <is>
          <t>CIT, TET, PTF, VAT, WHT</t>
        </is>
      </c>
      <c r="G15" s="17" t="n">
        <v>14500000</v>
      </c>
      <c r="H15" s="18" t="inlineStr">
        <is>
          <t>High</t>
        </is>
      </c>
      <c r="I15" s="9" t="inlineStr">
        <is>
          <t>Tax Consultant / FIRS</t>
        </is>
      </c>
      <c r="J15" s="15" t="inlineStr">
        <is>
          <t>SUPPORTED ESTIMATE</t>
        </is>
      </c>
      <c r="K15" s="10" t="inlineStr">
        <is>
          <t>Reconstructed under CITA, TETFA &amp; FA 2019-2023</t>
        </is>
      </c>
    </row>
    <row r="16">
      <c r="A16" s="13" t="inlineStr">
        <is>
          <t>SRC-12</t>
        </is>
      </c>
      <c r="B16" s="5" t="inlineStr">
        <is>
          <t>Withholding Tax (WHT) Credit Notes</t>
        </is>
      </c>
      <c r="C16" s="6" t="inlineStr">
        <is>
          <t>Baay Projects Limited</t>
        </is>
      </c>
      <c r="D16" s="6" t="inlineStr">
        <is>
          <t>FY 2023 - FY 2025</t>
        </is>
      </c>
      <c r="E16" s="7" t="inlineStr">
        <is>
          <t>Verification of tax deducted at source by corporate clients</t>
        </is>
      </c>
      <c r="F16" s="6" t="inlineStr">
        <is>
          <t>WHT Receivable, CIT Payable</t>
        </is>
      </c>
      <c r="G16" s="19" t="n">
        <v>8600000</v>
      </c>
      <c r="H16" s="16" t="inlineStr">
        <is>
          <t>Medium</t>
        </is>
      </c>
      <c r="I16" s="6" t="inlineStr">
        <is>
          <t>Clients / FIRS Portal</t>
        </is>
      </c>
      <c r="J16" s="16" t="inlineStr">
        <is>
          <t>SUPPORTED ESTIMATE</t>
        </is>
      </c>
      <c r="K16" s="7" t="inlineStr">
        <is>
          <t>Deductions tied to contracts; credits offset against CIT</t>
        </is>
      </c>
    </row>
    <row r="17">
      <c r="A17" s="11" t="inlineStr">
        <is>
          <t>SRC-13</t>
        </is>
      </c>
      <c r="B17" s="8" t="inlineStr">
        <is>
          <t>Fixed Asset Purchase Invoices &amp; Logbooks</t>
        </is>
      </c>
      <c r="C17" s="9" t="inlineStr">
        <is>
          <t>Baay Projects Limited</t>
        </is>
      </c>
      <c r="D17" s="9" t="inlineStr">
        <is>
          <t>FY 2023 - FY 2025 Additions</t>
        </is>
      </c>
      <c r="E17" s="10" t="inlineStr">
        <is>
          <t>IAS 16 asset additions, ownership proof &amp; capital allowances</t>
        </is>
      </c>
      <c r="F17" s="9" t="inlineStr">
        <is>
          <t>PPE, Depreciation, CA</t>
        </is>
      </c>
      <c r="G17" s="17" t="n">
        <v>8100000</v>
      </c>
      <c r="H17" s="15" t="inlineStr">
        <is>
          <t>Medium</t>
        </is>
      </c>
      <c r="I17" s="9" t="inlineStr">
        <is>
          <t>Administration / Finance</t>
        </is>
      </c>
      <c r="J17" s="12" t="inlineStr">
        <is>
          <t>VERIFIED</t>
        </is>
      </c>
      <c r="K17" s="10" t="inlineStr">
        <is>
          <t>Invoices inspected; straight-line depreciation applied</t>
        </is>
      </c>
    </row>
    <row r="18">
      <c r="A18" s="13" t="inlineStr">
        <is>
          <t>SRC-14</t>
        </is>
      </c>
      <c r="B18" s="5" t="inlineStr">
        <is>
          <t>Payroll Records &amp; State PAYE Schedules</t>
        </is>
      </c>
      <c r="C18" s="6" t="inlineStr">
        <is>
          <t>Baay Projects Limited</t>
        </is>
      </c>
      <c r="D18" s="6" t="inlineStr">
        <is>
          <t>FY 2023 - FY 2025</t>
        </is>
      </c>
      <c r="E18" s="7" t="inlineStr">
        <is>
          <t>Staff salary substantiation, PITA PAYE remittances &amp; pension</t>
        </is>
      </c>
      <c r="F18" s="6" t="inlineStr">
        <is>
          <t>Staff Costs, PAYE Payable</t>
        </is>
      </c>
      <c r="G18" s="19" t="n">
        <v>14200000</v>
      </c>
      <c r="H18" s="16" t="inlineStr">
        <is>
          <t>Medium</t>
        </is>
      </c>
      <c r="I18" s="6" t="inlineStr">
        <is>
          <t>Human Resources / LIRS</t>
        </is>
      </c>
      <c r="J18" s="14" t="inlineStr">
        <is>
          <t>VERIFIED</t>
        </is>
      </c>
      <c r="K18" s="7" t="inlineStr">
        <is>
          <t>Monthly payroll reconstructed under PITA bands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4" customWidth="1" min="1" max="1"/>
    <col width="28" customWidth="1" min="2" max="2"/>
    <col width="34" customWidth="1" min="3" max="3"/>
    <col width="30" customWidth="1" min="4" max="4"/>
    <col width="287" customWidth="1" min="5" max="5"/>
    <col width="170" customWidth="1" min="6" max="6"/>
    <col width="29" customWidth="1" min="7" max="7"/>
  </cols>
  <sheetData>
    <row r="1">
      <c r="A1" s="1" t="inlineStr">
        <is>
          <t>BAAY PROJECTS LIMITED — OPENING BALANCE RECONCILIATION &amp; AUDIT BRIDGE</t>
        </is>
      </c>
    </row>
    <row r="2">
      <c r="A2" s="2" t="inlineStr">
        <is>
          <t>31 December 2022 Audited Balance Sheet vs General Ledger Opening Balances at 1 January 2023</t>
        </is>
      </c>
    </row>
    <row r="3">
      <c r="A3" s="3" t="inlineStr">
        <is>
          <t>Primary Reference: 2022 Audited Baay Projects account.pdf (Page 12 / Printed Page 6)</t>
        </is>
      </c>
    </row>
    <row r="4"/>
    <row r="5">
      <c r="A5" s="4" t="inlineStr">
        <is>
          <t>Balance Sheet Account Description</t>
        </is>
      </c>
      <c r="B5" s="4" t="inlineStr">
        <is>
          <t>2022 Audited AFS (NGN)</t>
        </is>
      </c>
      <c r="C5" s="4" t="inlineStr">
        <is>
          <t>2022 Tax Filing / Records (NGN)</t>
        </is>
      </c>
      <c r="D5" s="4" t="inlineStr">
        <is>
          <t>Variance / Difference (NGN)</t>
        </is>
      </c>
      <c r="E5" s="4" t="inlineStr">
        <is>
          <t>1 Jan 2023 Opening Posting (NGN)</t>
        </is>
      </c>
      <c r="F5" s="4" t="inlineStr">
        <is>
          <t>Accounting / Tax Reconciliation Notes</t>
        </is>
      </c>
      <c r="G5" s="4" t="inlineStr">
        <is>
          <t>Audit Status</t>
        </is>
      </c>
    </row>
    <row r="6">
      <c r="A6" s="6" t="inlineStr">
        <is>
          <t>Property, Plant and Equipment (Net Book Value)</t>
        </is>
      </c>
      <c r="B6" s="21" t="n">
        <v>9540</v>
      </c>
      <c r="C6" s="21" t="n">
        <v>28620</v>
      </c>
      <c r="D6" s="21" t="n">
        <v>-19080</v>
      </c>
      <c r="E6" s="21" t="n">
        <v>9540</v>
      </c>
      <c r="F6" s="7" t="inlineStr">
        <is>
          <t>AFS Note 8 shows Cost ₦23,850 less Acc Dep ₦14,310 = NBV ₦9,540. Tax filing cited gross/unadjusted cost of ₦28,620. AFS NBV maintained.</t>
        </is>
      </c>
      <c r="G6" s="14" t="inlineStr">
        <is>
          <t>VERIFIED &amp; CARRIED FORWARD</t>
        </is>
      </c>
    </row>
    <row r="7">
      <c r="A7" s="9" t="inlineStr">
        <is>
          <t>Trade Receivables and Prepayments</t>
        </is>
      </c>
      <c r="B7" s="22" t="n">
        <v>3374668</v>
      </c>
      <c r="C7" s="22" t="n">
        <v>3374668</v>
      </c>
      <c r="D7" s="22" t="n">
        <v>0</v>
      </c>
      <c r="E7" s="22" t="n">
        <v>3374668</v>
      </c>
      <c r="F7" s="10" t="inlineStr">
        <is>
          <t>Debtors from completed 2022 contracts (₦2,850,000) and staff/site advances (₦524,668). Full amount carried forward.</t>
        </is>
      </c>
      <c r="G7" s="12" t="inlineStr">
        <is>
          <t>VERIFIED</t>
        </is>
      </c>
    </row>
    <row r="8">
      <c r="A8" s="6" t="inlineStr">
        <is>
          <t>Cash and Cash Equivalents</t>
        </is>
      </c>
      <c r="B8" s="21" t="n">
        <v>52500</v>
      </c>
      <c r="C8" s="21" t="n">
        <v>478080.25</v>
      </c>
      <c r="D8" s="21" t="n">
        <v>-425580.25</v>
      </c>
      <c r="E8" s="21" t="n">
        <v>52500</v>
      </c>
      <c r="F8" s="7" t="inlineStr">
        <is>
          <t>AFS reports ₦52,500. Stated bank statements show Providus ₦464,164.15, Sterling ₦944.19, First Bank ₦12,971.91 (Total ₦478,080.25). ₦425,580.25 reconciled in suspense.</t>
        </is>
      </c>
      <c r="G8" s="14" t="inlineStr">
        <is>
          <t>RECONCILED (AFS BASE)</t>
        </is>
      </c>
    </row>
    <row r="9">
      <c r="A9" s="23" t="inlineStr">
        <is>
          <t>TOTAL ASSETS</t>
        </is>
      </c>
      <c r="B9" s="24">
        <f>SUM(B6:B8)</f>
        <v/>
      </c>
      <c r="C9" s="24">
        <f>SUM(C6:C8)</f>
        <v/>
      </c>
      <c r="D9" s="24">
        <f>SUM(D6:D8)</f>
        <v/>
      </c>
      <c r="E9" s="24">
        <f>SUM(E6:E8)</f>
        <v/>
      </c>
      <c r="F9" s="25" t="inlineStr">
        <is>
          <t>Assets tie exactly to audited 2022 balance sheet page 12.</t>
        </is>
      </c>
      <c r="G9" s="26" t="inlineStr">
        <is>
          <t>TIES OUT</t>
        </is>
      </c>
    </row>
    <row r="10">
      <c r="A10" s="6" t="inlineStr">
        <is>
          <t>Trade and Other Payables</t>
        </is>
      </c>
      <c r="B10" s="21" t="n">
        <v>75000</v>
      </c>
      <c r="C10" s="21" t="n">
        <v>75000</v>
      </c>
      <c r="D10" s="21" t="n">
        <v>0</v>
      </c>
      <c r="E10" s="21" t="n">
        <v>75000</v>
      </c>
      <c r="F10" s="7" t="inlineStr">
        <is>
          <t>Audit fee accrual (₦50,000) and trade supplier balance (₦25,000).</t>
        </is>
      </c>
      <c r="G10" s="14" t="inlineStr">
        <is>
          <t>VERIFIED</t>
        </is>
      </c>
    </row>
    <row r="11">
      <c r="A11" s="9" t="inlineStr">
        <is>
          <t>Current Tax Liabilities</t>
        </is>
      </c>
      <c r="B11" s="22" t="n">
        <v>0</v>
      </c>
      <c r="C11" s="22" t="n">
        <v>90</v>
      </c>
      <c r="D11" s="22" t="n">
        <v>-90</v>
      </c>
      <c r="E11" s="22" t="n">
        <v>0</v>
      </c>
      <c r="F11" s="10" t="inlineStr">
        <is>
          <t>Small company CIT exemption in 2022. Tax filing records ₦90 Police Trust Fund unpaid; accrued in tax roll-forward.</t>
        </is>
      </c>
      <c r="G11" s="12" t="inlineStr">
        <is>
          <t>VERIFIED</t>
        </is>
      </c>
    </row>
    <row r="12">
      <c r="A12" s="6" t="inlineStr">
        <is>
          <t>Ordinary Share Capital</t>
        </is>
      </c>
      <c r="B12" s="21" t="n">
        <v>1000000</v>
      </c>
      <c r="C12" s="21" t="n">
        <v>1000000</v>
      </c>
      <c r="D12" s="21" t="n">
        <v>0</v>
      </c>
      <c r="E12" s="21" t="n">
        <v>1000000</v>
      </c>
      <c r="F12" s="7" t="inlineStr">
        <is>
          <t>1,000,000 Ordinary Shares of ₦1.00 each, fully issued and paid up.</t>
        </is>
      </c>
      <c r="G12" s="14" t="inlineStr">
        <is>
          <t>VERIFIED</t>
        </is>
      </c>
    </row>
    <row r="13">
      <c r="A13" s="9" t="inlineStr">
        <is>
          <t>Retained Earnings (Accumulated Profit)</t>
        </is>
      </c>
      <c r="B13" s="22" t="n">
        <v>2361708</v>
      </c>
      <c r="C13" s="22" t="n">
        <v>2361708</v>
      </c>
      <c r="D13" s="22" t="n">
        <v>0</v>
      </c>
      <c r="E13" s="22" t="n">
        <v>2361708</v>
      </c>
      <c r="F13" s="10" t="inlineStr">
        <is>
          <t>Cumulative earnings brought forward from prior years.</t>
        </is>
      </c>
      <c r="G13" s="12" t="inlineStr">
        <is>
          <t>VERIFIED</t>
        </is>
      </c>
    </row>
    <row r="14">
      <c r="A14" s="23" t="inlineStr">
        <is>
          <t>TOTAL LIABILITIES AND EQUITY</t>
        </is>
      </c>
      <c r="B14" s="24">
        <f>SUM(B10:B13)</f>
        <v/>
      </c>
      <c r="C14" s="24">
        <f>SUM(C10:C13)</f>
        <v/>
      </c>
      <c r="D14" s="24">
        <f>SUM(D10:D13)</f>
        <v/>
      </c>
      <c r="E14" s="24">
        <f>SUM(E10:E13)</f>
        <v/>
      </c>
      <c r="F14" s="25" t="inlineStr">
        <is>
          <t>Liabilities &amp; Equity tie exactly to audited 2022 balance sheet page 12.</t>
        </is>
      </c>
      <c r="G14" s="26" t="inlineStr">
        <is>
          <t>TIES OUT</t>
        </is>
      </c>
    </row>
    <row r="15"/>
    <row r="16">
      <c r="A16" s="2" t="inlineStr">
        <is>
          <t>DETAILED BREAKDOWN OF OPENING BALANCE RECONCILING ITEMS</t>
        </is>
      </c>
    </row>
    <row r="17">
      <c r="A17" s="4" t="inlineStr">
        <is>
          <t>Reconciliation Area</t>
        </is>
      </c>
      <c r="B17" s="4" t="inlineStr">
        <is>
          <t>AFS Reported Amount (NGN)</t>
        </is>
      </c>
      <c r="C17" s="4" t="inlineStr">
        <is>
          <t>Detailed Record Amount (NGN)</t>
        </is>
      </c>
      <c r="D17" s="4" t="inlineStr">
        <is>
          <t>Variance (NGN)</t>
        </is>
      </c>
      <c r="E17" s="4" t="inlineStr">
        <is>
          <t>Audit Investigation &amp; Accounting Resolution</t>
        </is>
      </c>
    </row>
    <row r="18">
      <c r="A18" s="5" t="inlineStr">
        <is>
          <t>PPE Tax Filing vs AFS Difference</t>
        </is>
      </c>
      <c r="B18" s="27" t="n">
        <v>9540</v>
      </c>
      <c r="C18" s="27" t="n">
        <v>28620</v>
      </c>
      <c r="D18" s="27" t="n">
        <v>-19080</v>
      </c>
      <c r="E18" s="6" t="inlineStr">
        <is>
          <t>Tax filing schedule cited gross asset base of ₦28,620 without accumulated depreciation deduction. Financial statements correctly present cost ₦23,850 less depreciation ₦14,310 = NBV ₦9,540. Tax capital allowance schedules adjusted accordingly.</t>
        </is>
      </c>
    </row>
    <row r="19">
      <c r="A19" s="8" t="inlineStr">
        <is>
          <t>Opening Bank Cash Discrepancy</t>
        </is>
      </c>
      <c r="B19" s="28" t="n">
        <v>52500</v>
      </c>
      <c r="C19" s="28" t="n">
        <v>478080.25</v>
      </c>
      <c r="D19" s="28" t="n">
        <v>-425580.25</v>
      </c>
      <c r="E19" s="9" t="inlineStr">
        <is>
          <t>Bank statements show Providus ₦464,164.15, Sterling ₦944.19, First Bank ₦12,971.91 (Subtotal ₦478,080.25). 2022 AFS reported ₦52,500. The ₦425,580.25 timing and unpresented items difference is recorded in opening suspense/bank reconciliation without arbitrary retained earnings plugs.</t>
        </is>
      </c>
    </row>
    <row r="20">
      <c r="A20" s="5" t="inlineStr">
        <is>
          <t>Police Trust Fund (PTF) Unpaid Status</t>
        </is>
      </c>
      <c r="B20" s="27" t="n">
        <v>0</v>
      </c>
      <c r="C20" s="27" t="n">
        <v>90</v>
      </c>
      <c r="D20" s="27" t="n">
        <v>-90</v>
      </c>
      <c r="E20" s="6" t="inlineStr">
        <is>
          <t>2022 tax filing showed ₦90 PTF levy status as 'Not Paid'. The ₦90 opening liability is brought forward in the tax payable schedule and tracked for formal settlement with FIRS.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8" customWidth="1" min="1" max="1"/>
    <col width="58" customWidth="1" min="2" max="2"/>
    <col width="26" customWidth="1" min="3" max="3"/>
    <col width="17" customWidth="1" min="4" max="4"/>
    <col width="34" customWidth="1" min="5" max="5"/>
    <col width="40" customWidth="1" min="6" max="6"/>
    <col width="11" customWidth="1" min="7" max="7"/>
    <col width="29" customWidth="1" min="8" max="8"/>
    <col width="28" customWidth="1" min="9" max="9"/>
  </cols>
  <sheetData>
    <row r="1">
      <c r="A1" s="1" t="inlineStr">
        <is>
          <t>BAAY PROJECTS LIMITED — CONTROLLED CHART OF ACCOUNTS (COA)</t>
        </is>
      </c>
    </row>
    <row r="2">
      <c r="A2" s="3" t="inlineStr">
        <is>
          <t>Controlled Account Mapping: Normal Balance, IFRS Statement Line, Note Mapping, Tax &amp; Cash Flow Categories</t>
        </is>
      </c>
    </row>
    <row r="3"/>
    <row r="4">
      <c r="A4" s="4" t="inlineStr">
        <is>
          <t>Account Code</t>
        </is>
      </c>
      <c r="B4" s="4" t="inlineStr">
        <is>
          <t>Account Title / Description</t>
        </is>
      </c>
      <c r="C4" s="4" t="inlineStr">
        <is>
          <t>Category / Class</t>
        </is>
      </c>
      <c r="D4" s="4" t="inlineStr">
        <is>
          <t>Normal Balance</t>
        </is>
      </c>
      <c r="E4" s="4" t="inlineStr">
        <is>
          <t>IFRS Statement Classification</t>
        </is>
      </c>
      <c r="F4" s="4" t="inlineStr">
        <is>
          <t>Financial Statement Line Item</t>
        </is>
      </c>
      <c r="G4" s="4" t="inlineStr">
        <is>
          <t>Note #</t>
        </is>
      </c>
      <c r="H4" s="4" t="inlineStr">
        <is>
          <t>Tax Treatment</t>
        </is>
      </c>
      <c r="I4" s="4" t="inlineStr">
        <is>
          <t>Cash Flow Category</t>
        </is>
      </c>
    </row>
    <row r="5">
      <c r="A5" s="11" t="inlineStr">
        <is>
          <t>1010</t>
        </is>
      </c>
      <c r="B5" s="8" t="inlineStr">
        <is>
          <t>Providus Bank - A/C 5400281942</t>
        </is>
      </c>
      <c r="C5" s="9" t="inlineStr">
        <is>
          <t>Current Assets</t>
        </is>
      </c>
      <c r="D5" s="15" t="inlineStr">
        <is>
          <t>Debit</t>
        </is>
      </c>
      <c r="E5" s="9" t="inlineStr">
        <is>
          <t>Statement of Financial Position</t>
        </is>
      </c>
      <c r="F5" s="9" t="inlineStr">
        <is>
          <t>Cash and cash equivalents</t>
        </is>
      </c>
      <c r="G5" s="11" t="inlineStr">
        <is>
          <t>Note 11</t>
        </is>
      </c>
      <c r="H5" s="10" t="inlineStr">
        <is>
          <t>Non-Taxable</t>
        </is>
      </c>
      <c r="I5" s="9" t="inlineStr">
        <is>
          <t>Cash &amp; Cash Equivalents</t>
        </is>
      </c>
    </row>
    <row r="6">
      <c r="A6" s="13" t="inlineStr">
        <is>
          <t>1020</t>
        </is>
      </c>
      <c r="B6" s="5" t="inlineStr">
        <is>
          <t>First Bank of Nigeria - A/C 2034891102</t>
        </is>
      </c>
      <c r="C6" s="6" t="inlineStr">
        <is>
          <t>Current Assets</t>
        </is>
      </c>
      <c r="D6" s="16" t="inlineStr">
        <is>
          <t>Debit</t>
        </is>
      </c>
      <c r="E6" s="6" t="inlineStr">
        <is>
          <t>Statement of Financial Position</t>
        </is>
      </c>
      <c r="F6" s="6" t="inlineStr">
        <is>
          <t>Cash and cash equivalents</t>
        </is>
      </c>
      <c r="G6" s="13" t="inlineStr">
        <is>
          <t>Note 11</t>
        </is>
      </c>
      <c r="H6" s="7" t="inlineStr">
        <is>
          <t>Non-Taxable</t>
        </is>
      </c>
      <c r="I6" s="6" t="inlineStr">
        <is>
          <t>Cash &amp; Cash Equivalents</t>
        </is>
      </c>
    </row>
    <row r="7">
      <c r="A7" s="11" t="inlineStr">
        <is>
          <t>1030</t>
        </is>
      </c>
      <c r="B7" s="8" t="inlineStr">
        <is>
          <t>Sterling Bank - A/C 0078451290</t>
        </is>
      </c>
      <c r="C7" s="9" t="inlineStr">
        <is>
          <t>Current Assets</t>
        </is>
      </c>
      <c r="D7" s="15" t="inlineStr">
        <is>
          <t>Debit</t>
        </is>
      </c>
      <c r="E7" s="9" t="inlineStr">
        <is>
          <t>Statement of Financial Position</t>
        </is>
      </c>
      <c r="F7" s="9" t="inlineStr">
        <is>
          <t>Cash and cash equivalents</t>
        </is>
      </c>
      <c r="G7" s="11" t="inlineStr">
        <is>
          <t>Note 11</t>
        </is>
      </c>
      <c r="H7" s="10" t="inlineStr">
        <is>
          <t>Non-Taxable</t>
        </is>
      </c>
      <c r="I7" s="9" t="inlineStr">
        <is>
          <t>Cash &amp; Cash Equivalents</t>
        </is>
      </c>
    </row>
    <row r="8">
      <c r="A8" s="13" t="inlineStr">
        <is>
          <t>1040</t>
        </is>
      </c>
      <c r="B8" s="5" t="inlineStr">
        <is>
          <t>Guaranty Trust Bank - A/C 0421897631</t>
        </is>
      </c>
      <c r="C8" s="6" t="inlineStr">
        <is>
          <t>Current Assets</t>
        </is>
      </c>
      <c r="D8" s="16" t="inlineStr">
        <is>
          <t>Debit</t>
        </is>
      </c>
      <c r="E8" s="6" t="inlineStr">
        <is>
          <t>Statement of Financial Position</t>
        </is>
      </c>
      <c r="F8" s="6" t="inlineStr">
        <is>
          <t>Cash and cash equivalents</t>
        </is>
      </c>
      <c r="G8" s="13" t="inlineStr">
        <is>
          <t>Note 11</t>
        </is>
      </c>
      <c r="H8" s="7" t="inlineStr">
        <is>
          <t>Non-Taxable</t>
        </is>
      </c>
      <c r="I8" s="6" t="inlineStr">
        <is>
          <t>Cash &amp; Cash Equivalents</t>
        </is>
      </c>
    </row>
    <row r="9">
      <c r="A9" s="11" t="inlineStr">
        <is>
          <t>1050</t>
        </is>
      </c>
      <c r="B9" s="8" t="inlineStr">
        <is>
          <t>Petty Cash &amp; Site Imprest Funds</t>
        </is>
      </c>
      <c r="C9" s="9" t="inlineStr">
        <is>
          <t>Current Assets</t>
        </is>
      </c>
      <c r="D9" s="15" t="inlineStr">
        <is>
          <t>Debit</t>
        </is>
      </c>
      <c r="E9" s="9" t="inlineStr">
        <is>
          <t>Statement of Financial Position</t>
        </is>
      </c>
      <c r="F9" s="9" t="inlineStr">
        <is>
          <t>Cash and cash equivalents</t>
        </is>
      </c>
      <c r="G9" s="11" t="inlineStr">
        <is>
          <t>Note 11</t>
        </is>
      </c>
      <c r="H9" s="10" t="inlineStr">
        <is>
          <t>Non-Taxable</t>
        </is>
      </c>
      <c r="I9" s="9" t="inlineStr">
        <is>
          <t>Cash &amp; Cash Equivalents</t>
        </is>
      </c>
    </row>
    <row r="10">
      <c r="A10" s="13" t="inlineStr">
        <is>
          <t>1110</t>
        </is>
      </c>
      <c r="B10" s="5" t="inlineStr">
        <is>
          <t>Trade Receivables - Construction &amp; Engineering</t>
        </is>
      </c>
      <c r="C10" s="6" t="inlineStr">
        <is>
          <t>Current Assets</t>
        </is>
      </c>
      <c r="D10" s="16" t="inlineStr">
        <is>
          <t>Debit</t>
        </is>
      </c>
      <c r="E10" s="6" t="inlineStr">
        <is>
          <t>Statement of Financial Position</t>
        </is>
      </c>
      <c r="F10" s="6" t="inlineStr">
        <is>
          <t>Trade and other receivables</t>
        </is>
      </c>
      <c r="G10" s="13" t="inlineStr">
        <is>
          <t>Note 10</t>
        </is>
      </c>
      <c r="H10" s="7" t="inlineStr">
        <is>
          <t>Taxable on Revenue</t>
        </is>
      </c>
      <c r="I10" s="6" t="inlineStr">
        <is>
          <t>Operating Working Capital</t>
        </is>
      </c>
    </row>
    <row r="11">
      <c r="A11" s="11" t="inlineStr">
        <is>
          <t>1120</t>
        </is>
      </c>
      <c r="B11" s="8" t="inlineStr">
        <is>
          <t>Trade Receivables - Land &amp; Property Sales</t>
        </is>
      </c>
      <c r="C11" s="9" t="inlineStr">
        <is>
          <t>Current Assets</t>
        </is>
      </c>
      <c r="D11" s="15" t="inlineStr">
        <is>
          <t>Debit</t>
        </is>
      </c>
      <c r="E11" s="9" t="inlineStr">
        <is>
          <t>Statement of Financial Position</t>
        </is>
      </c>
      <c r="F11" s="9" t="inlineStr">
        <is>
          <t>Trade and other receivables</t>
        </is>
      </c>
      <c r="G11" s="11" t="inlineStr">
        <is>
          <t>Note 10</t>
        </is>
      </c>
      <c r="H11" s="10" t="inlineStr">
        <is>
          <t>Taxable on Sale</t>
        </is>
      </c>
      <c r="I11" s="9" t="inlineStr">
        <is>
          <t>Operating Working Capital</t>
        </is>
      </c>
    </row>
    <row r="12">
      <c r="A12" s="13" t="inlineStr">
        <is>
          <t>1130</t>
        </is>
      </c>
      <c r="B12" s="5" t="inlineStr">
        <is>
          <t>Allowance for Expected Credit Losses (IFRS 9)</t>
        </is>
      </c>
      <c r="C12" s="6" t="inlineStr">
        <is>
          <t>Current Assets</t>
        </is>
      </c>
      <c r="D12" s="16" t="inlineStr">
        <is>
          <t>Credit</t>
        </is>
      </c>
      <c r="E12" s="6" t="inlineStr">
        <is>
          <t>Statement of Financial Position</t>
        </is>
      </c>
      <c r="F12" s="6" t="inlineStr">
        <is>
          <t>Trade and other receivables</t>
        </is>
      </c>
      <c r="G12" s="13" t="inlineStr">
        <is>
          <t>Note 10</t>
        </is>
      </c>
      <c r="H12" s="7" t="inlineStr">
        <is>
          <t>Non-Allowable (General)</t>
        </is>
      </c>
      <c r="I12" s="6" t="inlineStr">
        <is>
          <t>Operating Non-Cash Adj</t>
        </is>
      </c>
    </row>
    <row r="13">
      <c r="A13" s="11" t="inlineStr">
        <is>
          <t>1140</t>
        </is>
      </c>
      <c r="B13" s="8" t="inlineStr">
        <is>
          <t>Contract Assets (Unbilled Certified Work)</t>
        </is>
      </c>
      <c r="C13" s="9" t="inlineStr">
        <is>
          <t>Current Assets</t>
        </is>
      </c>
      <c r="D13" s="15" t="inlineStr">
        <is>
          <t>Debit</t>
        </is>
      </c>
      <c r="E13" s="9" t="inlineStr">
        <is>
          <t>Statement of Financial Position</t>
        </is>
      </c>
      <c r="F13" s="9" t="inlineStr">
        <is>
          <t>Contract assets</t>
        </is>
      </c>
      <c r="G13" s="11" t="inlineStr">
        <is>
          <t>Note 9</t>
        </is>
      </c>
      <c r="H13" s="10" t="inlineStr">
        <is>
          <t>Taxable on Invoicing</t>
        </is>
      </c>
      <c r="I13" s="9" t="inlineStr">
        <is>
          <t>Operating Working Capital</t>
        </is>
      </c>
    </row>
    <row r="14">
      <c r="A14" s="13" t="inlineStr">
        <is>
          <t>1150</t>
        </is>
      </c>
      <c r="B14" s="5" t="inlineStr">
        <is>
          <t>Withholding Tax (WHT) Credit Notes Receivable</t>
        </is>
      </c>
      <c r="C14" s="6" t="inlineStr">
        <is>
          <t>Current Assets</t>
        </is>
      </c>
      <c r="D14" s="16" t="inlineStr">
        <is>
          <t>Debit</t>
        </is>
      </c>
      <c r="E14" s="6" t="inlineStr">
        <is>
          <t>Statement of Financial Position</t>
        </is>
      </c>
      <c r="F14" s="6" t="inlineStr">
        <is>
          <t>Trade and other receivables</t>
        </is>
      </c>
      <c r="G14" s="13" t="inlineStr">
        <is>
          <t>Note 10</t>
        </is>
      </c>
      <c r="H14" s="7" t="inlineStr">
        <is>
          <t>Tax Credit (CIT Offset)</t>
        </is>
      </c>
      <c r="I14" s="6" t="inlineStr">
        <is>
          <t>Operating Working Capital</t>
        </is>
      </c>
    </row>
    <row r="15">
      <c r="A15" s="11" t="inlineStr">
        <is>
          <t>1160</t>
        </is>
      </c>
      <c r="B15" s="8" t="inlineStr">
        <is>
          <t>Prepayments &amp; Site Advances to Suppliers</t>
        </is>
      </c>
      <c r="C15" s="9" t="inlineStr">
        <is>
          <t>Current Assets</t>
        </is>
      </c>
      <c r="D15" s="15" t="inlineStr">
        <is>
          <t>Debit</t>
        </is>
      </c>
      <c r="E15" s="9" t="inlineStr">
        <is>
          <t>Statement of Financial Position</t>
        </is>
      </c>
      <c r="F15" s="9" t="inlineStr">
        <is>
          <t>Trade and other receivables</t>
        </is>
      </c>
      <c r="G15" s="11" t="inlineStr">
        <is>
          <t>Note 10</t>
        </is>
      </c>
      <c r="H15" s="10" t="inlineStr">
        <is>
          <t>Allowable on Incurrence</t>
        </is>
      </c>
      <c r="I15" s="9" t="inlineStr">
        <is>
          <t>Operating Working Capital</t>
        </is>
      </c>
    </row>
    <row r="16">
      <c r="A16" s="13" t="inlineStr">
        <is>
          <t>1210</t>
        </is>
      </c>
      <c r="B16" s="5" t="inlineStr">
        <is>
          <t>Development Inventory - Land Held for Resale</t>
        </is>
      </c>
      <c r="C16" s="6" t="inlineStr">
        <is>
          <t>Current Assets</t>
        </is>
      </c>
      <c r="D16" s="16" t="inlineStr">
        <is>
          <t>Debit</t>
        </is>
      </c>
      <c r="E16" s="6" t="inlineStr">
        <is>
          <t>Statement of Financial Position</t>
        </is>
      </c>
      <c r="F16" s="6" t="inlineStr">
        <is>
          <t>Inventories</t>
        </is>
      </c>
      <c r="G16" s="13" t="inlineStr">
        <is>
          <t>Note 8</t>
        </is>
      </c>
      <c r="H16" s="7" t="inlineStr">
        <is>
          <t>Allowable on Sale (IAS 2)</t>
        </is>
      </c>
      <c r="I16" s="6" t="inlineStr">
        <is>
          <t>Operating Working Capital</t>
        </is>
      </c>
    </row>
    <row r="17">
      <c r="A17" s="11" t="inlineStr">
        <is>
          <t>1220</t>
        </is>
      </c>
      <c r="B17" s="8" t="inlineStr">
        <is>
          <t>Development Inventory - Construction Work-in-Progress</t>
        </is>
      </c>
      <c r="C17" s="9" t="inlineStr">
        <is>
          <t>Current Assets</t>
        </is>
      </c>
      <c r="D17" s="15" t="inlineStr">
        <is>
          <t>Debit</t>
        </is>
      </c>
      <c r="E17" s="9" t="inlineStr">
        <is>
          <t>Statement of Financial Position</t>
        </is>
      </c>
      <c r="F17" s="9" t="inlineStr">
        <is>
          <t>Inventories</t>
        </is>
      </c>
      <c r="G17" s="11" t="inlineStr">
        <is>
          <t>Note 8</t>
        </is>
      </c>
      <c r="H17" s="10" t="inlineStr">
        <is>
          <t>Allowable on Sale (IAS 2)</t>
        </is>
      </c>
      <c r="I17" s="9" t="inlineStr">
        <is>
          <t>Operating Working Capital</t>
        </is>
      </c>
    </row>
    <row r="18">
      <c r="A18" s="13" t="inlineStr">
        <is>
          <t>1230</t>
        </is>
      </c>
      <c r="B18" s="5" t="inlineStr">
        <is>
          <t>Completed Units Held for Resale</t>
        </is>
      </c>
      <c r="C18" s="6" t="inlineStr">
        <is>
          <t>Current Assets</t>
        </is>
      </c>
      <c r="D18" s="16" t="inlineStr">
        <is>
          <t>Debit</t>
        </is>
      </c>
      <c r="E18" s="6" t="inlineStr">
        <is>
          <t>Statement of Financial Position</t>
        </is>
      </c>
      <c r="F18" s="6" t="inlineStr">
        <is>
          <t>Inventories</t>
        </is>
      </c>
      <c r="G18" s="13" t="inlineStr">
        <is>
          <t>Note 8</t>
        </is>
      </c>
      <c r="H18" s="7" t="inlineStr">
        <is>
          <t>Allowable on Sale (IAS 2)</t>
        </is>
      </c>
      <c r="I18" s="6" t="inlineStr">
        <is>
          <t>Operating Working Capital</t>
        </is>
      </c>
    </row>
    <row r="19">
      <c r="A19" s="11" t="inlineStr">
        <is>
          <t>1510</t>
        </is>
      </c>
      <c r="B19" s="8" t="inlineStr">
        <is>
          <t>Property, Plant &amp; Equipment - Office &amp; Site Equipment</t>
        </is>
      </c>
      <c r="C19" s="9" t="inlineStr">
        <is>
          <t>Non-Current Assets</t>
        </is>
      </c>
      <c r="D19" s="15" t="inlineStr">
        <is>
          <t>Debit</t>
        </is>
      </c>
      <c r="E19" s="9" t="inlineStr">
        <is>
          <t>Statement of Financial Position</t>
        </is>
      </c>
      <c r="F19" s="9" t="inlineStr">
        <is>
          <t>Property, plant and equipment</t>
        </is>
      </c>
      <c r="G19" s="11" t="inlineStr">
        <is>
          <t>Note 7</t>
        </is>
      </c>
      <c r="H19" s="10" t="inlineStr">
        <is>
          <t>Qualifying Cap Exp (QCE)</t>
        </is>
      </c>
      <c r="I19" s="9" t="inlineStr">
        <is>
          <t>Investing Activities</t>
        </is>
      </c>
    </row>
    <row r="20">
      <c r="A20" s="13" t="inlineStr">
        <is>
          <t>1520</t>
        </is>
      </c>
      <c r="B20" s="5" t="inlineStr">
        <is>
          <t>Property, Plant &amp; Equipment - Motor &amp; Project Vehicles</t>
        </is>
      </c>
      <c r="C20" s="6" t="inlineStr">
        <is>
          <t>Non-Current Assets</t>
        </is>
      </c>
      <c r="D20" s="16" t="inlineStr">
        <is>
          <t>Debit</t>
        </is>
      </c>
      <c r="E20" s="6" t="inlineStr">
        <is>
          <t>Statement of Financial Position</t>
        </is>
      </c>
      <c r="F20" s="6" t="inlineStr">
        <is>
          <t>Property, plant and equipment</t>
        </is>
      </c>
      <c r="G20" s="13" t="inlineStr">
        <is>
          <t>Note 7</t>
        </is>
      </c>
      <c r="H20" s="7" t="inlineStr">
        <is>
          <t>Qualifying Cap Exp (QCE)</t>
        </is>
      </c>
      <c r="I20" s="6" t="inlineStr">
        <is>
          <t>Investing Activities</t>
        </is>
      </c>
    </row>
    <row r="21">
      <c r="A21" s="11" t="inlineStr">
        <is>
          <t>1530</t>
        </is>
      </c>
      <c r="B21" s="8" t="inlineStr">
        <is>
          <t>Property, Plant &amp; Equipment - Plant &amp; Machinery</t>
        </is>
      </c>
      <c r="C21" s="9" t="inlineStr">
        <is>
          <t>Non-Current Assets</t>
        </is>
      </c>
      <c r="D21" s="15" t="inlineStr">
        <is>
          <t>Debit</t>
        </is>
      </c>
      <c r="E21" s="9" t="inlineStr">
        <is>
          <t>Statement of Financial Position</t>
        </is>
      </c>
      <c r="F21" s="9" t="inlineStr">
        <is>
          <t>Property, plant and equipment</t>
        </is>
      </c>
      <c r="G21" s="11" t="inlineStr">
        <is>
          <t>Note 7</t>
        </is>
      </c>
      <c r="H21" s="10" t="inlineStr">
        <is>
          <t>Qualifying Cap Exp (QCE)</t>
        </is>
      </c>
      <c r="I21" s="9" t="inlineStr">
        <is>
          <t>Investing Activities</t>
        </is>
      </c>
    </row>
    <row r="22">
      <c r="A22" s="13" t="inlineStr">
        <is>
          <t>1590</t>
        </is>
      </c>
      <c r="B22" s="5" t="inlineStr">
        <is>
          <t>Accumulated Depreciation - PPE</t>
        </is>
      </c>
      <c r="C22" s="6" t="inlineStr">
        <is>
          <t>Non-Current Assets</t>
        </is>
      </c>
      <c r="D22" s="16" t="inlineStr">
        <is>
          <t>Credit</t>
        </is>
      </c>
      <c r="E22" s="6" t="inlineStr">
        <is>
          <t>Statement of Financial Position</t>
        </is>
      </c>
      <c r="F22" s="6" t="inlineStr">
        <is>
          <t>Property, plant and equipment</t>
        </is>
      </c>
      <c r="G22" s="13" t="inlineStr">
        <is>
          <t>Note 7</t>
        </is>
      </c>
      <c r="H22" s="7" t="inlineStr">
        <is>
          <t>Non-Allowable Add-Back</t>
        </is>
      </c>
      <c r="I22" s="6" t="inlineStr">
        <is>
          <t>Operating Non-Cash Adj</t>
        </is>
      </c>
    </row>
    <row r="23">
      <c r="A23" s="11" t="inlineStr">
        <is>
          <t>1610</t>
        </is>
      </c>
      <c r="B23" s="8" t="inlineStr">
        <is>
          <t>Deferred Tax Asset (IAS 12)</t>
        </is>
      </c>
      <c r="C23" s="9" t="inlineStr">
        <is>
          <t>Non-Current Assets</t>
        </is>
      </c>
      <c r="D23" s="15" t="inlineStr">
        <is>
          <t>Debit</t>
        </is>
      </c>
      <c r="E23" s="9" t="inlineStr">
        <is>
          <t>Statement of Financial Position</t>
        </is>
      </c>
      <c r="F23" s="9" t="inlineStr">
        <is>
          <t>Deferred tax asset</t>
        </is>
      </c>
      <c r="G23" s="11" t="inlineStr">
        <is>
          <t>Note 15</t>
        </is>
      </c>
      <c r="H23" s="10" t="inlineStr">
        <is>
          <t>Non-Taxable</t>
        </is>
      </c>
      <c r="I23" s="9" t="inlineStr">
        <is>
          <t>Operating Non-Cash Adj</t>
        </is>
      </c>
    </row>
    <row r="24">
      <c r="A24" s="13" t="inlineStr">
        <is>
          <t>2010</t>
        </is>
      </c>
      <c r="B24" s="5" t="inlineStr">
        <is>
          <t>Trade Payables - Subcontractors &amp; Materials</t>
        </is>
      </c>
      <c r="C24" s="6" t="inlineStr">
        <is>
          <t>Current Liabilities</t>
        </is>
      </c>
      <c r="D24" s="16" t="inlineStr">
        <is>
          <t>Credit</t>
        </is>
      </c>
      <c r="E24" s="6" t="inlineStr">
        <is>
          <t>Statement of Financial Position</t>
        </is>
      </c>
      <c r="F24" s="6" t="inlineStr">
        <is>
          <t>Trade and other payables</t>
        </is>
      </c>
      <c r="G24" s="13" t="inlineStr">
        <is>
          <t>Note 14</t>
        </is>
      </c>
      <c r="H24" s="7" t="inlineStr">
        <is>
          <t>Allowable on Incurrence</t>
        </is>
      </c>
      <c r="I24" s="6" t="inlineStr">
        <is>
          <t>Operating Working Capital</t>
        </is>
      </c>
    </row>
    <row r="25">
      <c r="A25" s="11" t="inlineStr">
        <is>
          <t>2020</t>
        </is>
      </c>
      <c r="B25" s="8" t="inlineStr">
        <is>
          <t>Contract Liabilities - Customer Deposits &amp; Advances</t>
        </is>
      </c>
      <c r="C25" s="9" t="inlineStr">
        <is>
          <t>Current Liabilities</t>
        </is>
      </c>
      <c r="D25" s="15" t="inlineStr">
        <is>
          <t>Credit</t>
        </is>
      </c>
      <c r="E25" s="9" t="inlineStr">
        <is>
          <t>Statement of Financial Position</t>
        </is>
      </c>
      <c r="F25" s="9" t="inlineStr">
        <is>
          <t>Contract liabilities</t>
        </is>
      </c>
      <c r="G25" s="11" t="inlineStr">
        <is>
          <t>Note 13</t>
        </is>
      </c>
      <c r="H25" s="10" t="inlineStr">
        <is>
          <t>Advance / Tax Point</t>
        </is>
      </c>
      <c r="I25" s="9" t="inlineStr">
        <is>
          <t>Operating Working Capital</t>
        </is>
      </c>
    </row>
    <row r="26">
      <c r="A26" s="13" t="inlineStr">
        <is>
          <t>2030</t>
        </is>
      </c>
      <c r="B26" s="5" t="inlineStr">
        <is>
          <t>Accrued Audit, Tax &amp; Professional Fees</t>
        </is>
      </c>
      <c r="C26" s="6" t="inlineStr">
        <is>
          <t>Current Liabilities</t>
        </is>
      </c>
      <c r="D26" s="16" t="inlineStr">
        <is>
          <t>Credit</t>
        </is>
      </c>
      <c r="E26" s="6" t="inlineStr">
        <is>
          <t>Statement of Financial Position</t>
        </is>
      </c>
      <c r="F26" s="6" t="inlineStr">
        <is>
          <t>Trade and other payables</t>
        </is>
      </c>
      <c r="G26" s="13" t="inlineStr">
        <is>
          <t>Note 14</t>
        </is>
      </c>
      <c r="H26" s="7" t="inlineStr">
        <is>
          <t>Allowable on Incurrence</t>
        </is>
      </c>
      <c r="I26" s="6" t="inlineStr">
        <is>
          <t>Operating Working Capital</t>
        </is>
      </c>
    </row>
    <row r="27">
      <c r="A27" s="11" t="inlineStr">
        <is>
          <t>2040</t>
        </is>
      </c>
      <c r="B27" s="8" t="inlineStr">
        <is>
          <t>Other Accrued Expenses &amp; Sundry Creditors</t>
        </is>
      </c>
      <c r="C27" s="9" t="inlineStr">
        <is>
          <t>Current Liabilities</t>
        </is>
      </c>
      <c r="D27" s="15" t="inlineStr">
        <is>
          <t>Credit</t>
        </is>
      </c>
      <c r="E27" s="9" t="inlineStr">
        <is>
          <t>Statement of Financial Position</t>
        </is>
      </c>
      <c r="F27" s="9" t="inlineStr">
        <is>
          <t>Trade and other payables</t>
        </is>
      </c>
      <c r="G27" s="11" t="inlineStr">
        <is>
          <t>Note 14</t>
        </is>
      </c>
      <c r="H27" s="10" t="inlineStr">
        <is>
          <t>Allowable on Incurrence</t>
        </is>
      </c>
      <c r="I27" s="9" t="inlineStr">
        <is>
          <t>Operating Working Capital</t>
        </is>
      </c>
    </row>
    <row r="28">
      <c r="A28" s="13" t="inlineStr">
        <is>
          <t>2110</t>
        </is>
      </c>
      <c r="B28" s="5" t="inlineStr">
        <is>
          <t>Current Tax Liabilities - Companies Income Tax (CIT)</t>
        </is>
      </c>
      <c r="C28" s="6" t="inlineStr">
        <is>
          <t>Current Liabilities</t>
        </is>
      </c>
      <c r="D28" s="16" t="inlineStr">
        <is>
          <t>Credit</t>
        </is>
      </c>
      <c r="E28" s="6" t="inlineStr">
        <is>
          <t>Statement of Financial Position</t>
        </is>
      </c>
      <c r="F28" s="6" t="inlineStr">
        <is>
          <t>Current tax liabilities</t>
        </is>
      </c>
      <c r="G28" s="13" t="inlineStr">
        <is>
          <t>Note 16</t>
        </is>
      </c>
      <c r="H28" s="7" t="inlineStr">
        <is>
          <t>Statutory CIT Liability</t>
        </is>
      </c>
      <c r="I28" s="6" t="inlineStr">
        <is>
          <t>Operating Tax Paid</t>
        </is>
      </c>
    </row>
    <row r="29">
      <c r="A29" s="11" t="inlineStr">
        <is>
          <t>2120</t>
        </is>
      </c>
      <c r="B29" s="8" t="inlineStr">
        <is>
          <t>Current Tax Liabilities - Tertiary Education Tax (TET)</t>
        </is>
      </c>
      <c r="C29" s="9" t="inlineStr">
        <is>
          <t>Current Liabilities</t>
        </is>
      </c>
      <c r="D29" s="15" t="inlineStr">
        <is>
          <t>Credit</t>
        </is>
      </c>
      <c r="E29" s="9" t="inlineStr">
        <is>
          <t>Statement of Financial Position</t>
        </is>
      </c>
      <c r="F29" s="9" t="inlineStr">
        <is>
          <t>Current tax liabilities</t>
        </is>
      </c>
      <c r="G29" s="11" t="inlineStr">
        <is>
          <t>Note 16</t>
        </is>
      </c>
      <c r="H29" s="10" t="inlineStr">
        <is>
          <t>Statutory TET Liability</t>
        </is>
      </c>
      <c r="I29" s="9" t="inlineStr">
        <is>
          <t>Operating Tax Paid</t>
        </is>
      </c>
    </row>
    <row r="30">
      <c r="A30" s="13" t="inlineStr">
        <is>
          <t>2130</t>
        </is>
      </c>
      <c r="B30" s="5" t="inlineStr">
        <is>
          <t>Current Tax Liabilities - Police Trust Fund (PTF)</t>
        </is>
      </c>
      <c r="C30" s="6" t="inlineStr">
        <is>
          <t>Current Liabilities</t>
        </is>
      </c>
      <c r="D30" s="16" t="inlineStr">
        <is>
          <t>Credit</t>
        </is>
      </c>
      <c r="E30" s="6" t="inlineStr">
        <is>
          <t>Statement of Financial Position</t>
        </is>
      </c>
      <c r="F30" s="6" t="inlineStr">
        <is>
          <t>Current tax liabilities</t>
        </is>
      </c>
      <c r="G30" s="13" t="inlineStr">
        <is>
          <t>Note 16</t>
        </is>
      </c>
      <c r="H30" s="7" t="inlineStr">
        <is>
          <t>Statutory PTF Levy</t>
        </is>
      </c>
      <c r="I30" s="6" t="inlineStr">
        <is>
          <t>Operating Tax Paid</t>
        </is>
      </c>
    </row>
    <row r="31">
      <c r="A31" s="11" t="inlineStr">
        <is>
          <t>2140</t>
        </is>
      </c>
      <c r="B31" s="8" t="inlineStr">
        <is>
          <t>Current Tax Liabilities - NASENI Levy</t>
        </is>
      </c>
      <c r="C31" s="9" t="inlineStr">
        <is>
          <t>Current Liabilities</t>
        </is>
      </c>
      <c r="D31" s="15" t="inlineStr">
        <is>
          <t>Credit</t>
        </is>
      </c>
      <c r="E31" s="9" t="inlineStr">
        <is>
          <t>Statement of Financial Position</t>
        </is>
      </c>
      <c r="F31" s="9" t="inlineStr">
        <is>
          <t>Current tax liabilities</t>
        </is>
      </c>
      <c r="G31" s="11" t="inlineStr">
        <is>
          <t>Note 16</t>
        </is>
      </c>
      <c r="H31" s="10" t="inlineStr">
        <is>
          <t>Statutory NASENI Levy</t>
        </is>
      </c>
      <c r="I31" s="9" t="inlineStr">
        <is>
          <t>Operating Tax Paid</t>
        </is>
      </c>
    </row>
    <row r="32">
      <c r="A32" s="13" t="inlineStr">
        <is>
          <t>2150</t>
        </is>
      </c>
      <c r="B32" s="5" t="inlineStr">
        <is>
          <t>Value Added Tax (VAT) Payable</t>
        </is>
      </c>
      <c r="C32" s="6" t="inlineStr">
        <is>
          <t>Current Liabilities</t>
        </is>
      </c>
      <c r="D32" s="16" t="inlineStr">
        <is>
          <t>Credit</t>
        </is>
      </c>
      <c r="E32" s="6" t="inlineStr">
        <is>
          <t>Statement of Financial Position</t>
        </is>
      </c>
      <c r="F32" s="6" t="inlineStr">
        <is>
          <t>Trade and other payables</t>
        </is>
      </c>
      <c r="G32" s="13" t="inlineStr">
        <is>
          <t>Note 14</t>
        </is>
      </c>
      <c r="H32" s="7" t="inlineStr">
        <is>
          <t>7.5% Output VAT Less Input</t>
        </is>
      </c>
      <c r="I32" s="6" t="inlineStr">
        <is>
          <t>Operating Working Capital</t>
        </is>
      </c>
    </row>
    <row r="33">
      <c r="A33" s="11" t="inlineStr">
        <is>
          <t>2160</t>
        </is>
      </c>
      <c r="B33" s="8" t="inlineStr">
        <is>
          <t>Withholding Tax (WHT) Payable (Vendors)</t>
        </is>
      </c>
      <c r="C33" s="9" t="inlineStr">
        <is>
          <t>Current Liabilities</t>
        </is>
      </c>
      <c r="D33" s="15" t="inlineStr">
        <is>
          <t>Credit</t>
        </is>
      </c>
      <c r="E33" s="9" t="inlineStr">
        <is>
          <t>Statement of Financial Position</t>
        </is>
      </c>
      <c r="F33" s="9" t="inlineStr">
        <is>
          <t>Trade and other payables</t>
        </is>
      </c>
      <c r="G33" s="11" t="inlineStr">
        <is>
          <t>Note 14</t>
        </is>
      </c>
      <c r="H33" s="10" t="inlineStr">
        <is>
          <t>Deductions at Source</t>
        </is>
      </c>
      <c r="I33" s="9" t="inlineStr">
        <is>
          <t>Operating Working Capital</t>
        </is>
      </c>
    </row>
    <row r="34">
      <c r="A34" s="13" t="inlineStr">
        <is>
          <t>2510</t>
        </is>
      </c>
      <c r="B34" s="5" t="inlineStr">
        <is>
          <t>Director's Loan &amp; Long-Term Project Funding</t>
        </is>
      </c>
      <c r="C34" s="6" t="inlineStr">
        <is>
          <t>Non-Current Liabilities</t>
        </is>
      </c>
      <c r="D34" s="16" t="inlineStr">
        <is>
          <t>Credit</t>
        </is>
      </c>
      <c r="E34" s="6" t="inlineStr">
        <is>
          <t>Statement of Financial Position</t>
        </is>
      </c>
      <c r="F34" s="6" t="inlineStr">
        <is>
          <t>Borrowings &amp; related party loans</t>
        </is>
      </c>
      <c r="G34" s="13" t="inlineStr">
        <is>
          <t>Note 17</t>
        </is>
      </c>
      <c r="H34" s="7" t="inlineStr">
        <is>
          <t>Non-Taxable Loan</t>
        </is>
      </c>
      <c r="I34" s="6" t="inlineStr">
        <is>
          <t>Financing Activities</t>
        </is>
      </c>
    </row>
    <row r="35">
      <c r="A35" s="11" t="inlineStr">
        <is>
          <t>2610</t>
        </is>
      </c>
      <c r="B35" s="8" t="inlineStr">
        <is>
          <t>Deferred Tax Liability (IAS 12)</t>
        </is>
      </c>
      <c r="C35" s="9" t="inlineStr">
        <is>
          <t>Non-Current Liabilities</t>
        </is>
      </c>
      <c r="D35" s="15" t="inlineStr">
        <is>
          <t>Credit</t>
        </is>
      </c>
      <c r="E35" s="9" t="inlineStr">
        <is>
          <t>Statement of Financial Position</t>
        </is>
      </c>
      <c r="F35" s="9" t="inlineStr">
        <is>
          <t>Deferred tax liability</t>
        </is>
      </c>
      <c r="G35" s="11" t="inlineStr">
        <is>
          <t>Note 15</t>
        </is>
      </c>
      <c r="H35" s="10" t="inlineStr">
        <is>
          <t>Non-Taxable</t>
        </is>
      </c>
      <c r="I35" s="9" t="inlineStr">
        <is>
          <t>Operating Non-Cash Adj</t>
        </is>
      </c>
    </row>
    <row r="36">
      <c r="A36" s="13" t="inlineStr">
        <is>
          <t>3010</t>
        </is>
      </c>
      <c r="B36" s="5" t="inlineStr">
        <is>
          <t>Ordinary Share Capital (₦1.00 par value)</t>
        </is>
      </c>
      <c r="C36" s="6" t="inlineStr">
        <is>
          <t>Equity</t>
        </is>
      </c>
      <c r="D36" s="16" t="inlineStr">
        <is>
          <t>Credit</t>
        </is>
      </c>
      <c r="E36" s="6" t="inlineStr">
        <is>
          <t>Statement of Financial Position</t>
        </is>
      </c>
      <c r="F36" s="6" t="inlineStr">
        <is>
          <t>Share capital</t>
        </is>
      </c>
      <c r="G36" s="13" t="inlineStr">
        <is>
          <t>Note 18</t>
        </is>
      </c>
      <c r="H36" s="7" t="inlineStr">
        <is>
          <t>Non-Taxable Equity</t>
        </is>
      </c>
      <c r="I36" s="6" t="inlineStr">
        <is>
          <t>Financing Activities</t>
        </is>
      </c>
    </row>
    <row r="37">
      <c r="A37" s="11" t="inlineStr">
        <is>
          <t>3020</t>
        </is>
      </c>
      <c r="B37" s="8" t="inlineStr">
        <is>
          <t>Retained Earnings (Accumulated Profit)</t>
        </is>
      </c>
      <c r="C37" s="9" t="inlineStr">
        <is>
          <t>Equity</t>
        </is>
      </c>
      <c r="D37" s="15" t="inlineStr">
        <is>
          <t>Credit</t>
        </is>
      </c>
      <c r="E37" s="9" t="inlineStr">
        <is>
          <t>Statement of Financial Position</t>
        </is>
      </c>
      <c r="F37" s="9" t="inlineStr">
        <is>
          <t>Retained earnings</t>
        </is>
      </c>
      <c r="G37" s="11" t="inlineStr">
        <is>
          <t>Note 19</t>
        </is>
      </c>
      <c r="H37" s="10" t="inlineStr">
        <is>
          <t>Cumulative Post-Tax</t>
        </is>
      </c>
      <c r="I37" s="9" t="inlineStr">
        <is>
          <t>Equity Movement</t>
        </is>
      </c>
    </row>
    <row r="38">
      <c r="A38" s="13" t="inlineStr">
        <is>
          <t>4010</t>
        </is>
      </c>
      <c r="B38" s="5" t="inlineStr">
        <is>
          <t>Revenue - Civil Engineering &amp; Construction Contracts</t>
        </is>
      </c>
      <c r="C38" s="6" t="inlineStr">
        <is>
          <t>Revenue</t>
        </is>
      </c>
      <c r="D38" s="16" t="inlineStr">
        <is>
          <t>Credit</t>
        </is>
      </c>
      <c r="E38" s="6" t="inlineStr">
        <is>
          <t>Statement of Profit or Loss</t>
        </is>
      </c>
      <c r="F38" s="6" t="inlineStr">
        <is>
          <t>Revenue from contracts with customers</t>
        </is>
      </c>
      <c r="G38" s="13" t="inlineStr">
        <is>
          <t>Note 3</t>
        </is>
      </c>
      <c r="H38" s="7" t="inlineStr">
        <is>
          <t>Taxable Gross Turnover</t>
        </is>
      </c>
      <c r="I38" s="6" t="inlineStr">
        <is>
          <t>Operating Revenue</t>
        </is>
      </c>
    </row>
    <row r="39">
      <c r="A39" s="11" t="inlineStr">
        <is>
          <t>4020</t>
        </is>
      </c>
      <c r="B39" s="8" t="inlineStr">
        <is>
          <t>Revenue - Land Subdivision &amp; Real Estate Sales</t>
        </is>
      </c>
      <c r="C39" s="9" t="inlineStr">
        <is>
          <t>Revenue</t>
        </is>
      </c>
      <c r="D39" s="15" t="inlineStr">
        <is>
          <t>Credit</t>
        </is>
      </c>
      <c r="E39" s="9" t="inlineStr">
        <is>
          <t>Statement of Profit or Loss</t>
        </is>
      </c>
      <c r="F39" s="9" t="inlineStr">
        <is>
          <t>Revenue from contracts with customers</t>
        </is>
      </c>
      <c r="G39" s="11" t="inlineStr">
        <is>
          <t>Note 3</t>
        </is>
      </c>
      <c r="H39" s="10" t="inlineStr">
        <is>
          <t>Taxable Gross Turnover</t>
        </is>
      </c>
      <c r="I39" s="9" t="inlineStr">
        <is>
          <t>Operating Revenue</t>
        </is>
      </c>
    </row>
    <row r="40">
      <c r="A40" s="13" t="inlineStr">
        <is>
          <t>4030</t>
        </is>
      </c>
      <c r="B40" s="5" t="inlineStr">
        <is>
          <t>Revenue - Project Management &amp; Engineering Consulting</t>
        </is>
      </c>
      <c r="C40" s="6" t="inlineStr">
        <is>
          <t>Revenue</t>
        </is>
      </c>
      <c r="D40" s="16" t="inlineStr">
        <is>
          <t>Credit</t>
        </is>
      </c>
      <c r="E40" s="6" t="inlineStr">
        <is>
          <t>Statement of Profit or Loss</t>
        </is>
      </c>
      <c r="F40" s="6" t="inlineStr">
        <is>
          <t>Revenue from contracts with customers</t>
        </is>
      </c>
      <c r="G40" s="13" t="inlineStr">
        <is>
          <t>Note 3</t>
        </is>
      </c>
      <c r="H40" s="7" t="inlineStr">
        <is>
          <t>Taxable Gross Turnover</t>
        </is>
      </c>
      <c r="I40" s="6" t="inlineStr">
        <is>
          <t>Operating Revenue</t>
        </is>
      </c>
    </row>
    <row r="41">
      <c r="A41" s="11" t="inlineStr">
        <is>
          <t>5010</t>
        </is>
      </c>
      <c r="B41" s="8" t="inlineStr">
        <is>
          <t>Cost of Sales - Construction Materials &amp; Subcontracts</t>
        </is>
      </c>
      <c r="C41" s="9" t="inlineStr">
        <is>
          <t>Direct Costs</t>
        </is>
      </c>
      <c r="D41" s="15" t="inlineStr">
        <is>
          <t>Debit</t>
        </is>
      </c>
      <c r="E41" s="9" t="inlineStr">
        <is>
          <t>Statement of Profit or Loss</t>
        </is>
      </c>
      <c r="F41" s="9" t="inlineStr">
        <is>
          <t>Cost of sales</t>
        </is>
      </c>
      <c r="G41" s="11" t="inlineStr">
        <is>
          <t>Note 4</t>
        </is>
      </c>
      <c r="H41" s="10" t="inlineStr">
        <is>
          <t>Allowable Direct Cost</t>
        </is>
      </c>
      <c r="I41" s="9" t="inlineStr">
        <is>
          <t>Operating Direct COS</t>
        </is>
      </c>
    </row>
    <row r="42">
      <c r="A42" s="13" t="inlineStr">
        <is>
          <t>5020</t>
        </is>
      </c>
      <c r="B42" s="5" t="inlineStr">
        <is>
          <t>Cost of Sales - Land &amp; Property Inventory Released</t>
        </is>
      </c>
      <c r="C42" s="6" t="inlineStr">
        <is>
          <t>Direct Costs</t>
        </is>
      </c>
      <c r="D42" s="16" t="inlineStr">
        <is>
          <t>Debit</t>
        </is>
      </c>
      <c r="E42" s="6" t="inlineStr">
        <is>
          <t>Statement of Profit or Loss</t>
        </is>
      </c>
      <c r="F42" s="6" t="inlineStr">
        <is>
          <t>Cost of sales</t>
        </is>
      </c>
      <c r="G42" s="13" t="inlineStr">
        <is>
          <t>Note 4</t>
        </is>
      </c>
      <c r="H42" s="7" t="inlineStr">
        <is>
          <t>Allowable Direct Cost</t>
        </is>
      </c>
      <c r="I42" s="6" t="inlineStr">
        <is>
          <t>Operating Direct COS</t>
        </is>
      </c>
    </row>
    <row r="43">
      <c r="A43" s="11" t="inlineStr">
        <is>
          <t>5030</t>
        </is>
      </c>
      <c r="B43" s="8" t="inlineStr">
        <is>
          <t>Cost of Sales - Direct Site Labor &amp; Equipment Hire</t>
        </is>
      </c>
      <c r="C43" s="9" t="inlineStr">
        <is>
          <t>Direct Costs</t>
        </is>
      </c>
      <c r="D43" s="15" t="inlineStr">
        <is>
          <t>Debit</t>
        </is>
      </c>
      <c r="E43" s="9" t="inlineStr">
        <is>
          <t>Statement of Profit or Loss</t>
        </is>
      </c>
      <c r="F43" s="9" t="inlineStr">
        <is>
          <t>Cost of sales</t>
        </is>
      </c>
      <c r="G43" s="11" t="inlineStr">
        <is>
          <t>Note 4</t>
        </is>
      </c>
      <c r="H43" s="10" t="inlineStr">
        <is>
          <t>Allowable Direct Cost</t>
        </is>
      </c>
      <c r="I43" s="9" t="inlineStr">
        <is>
          <t>Operating Direct COS</t>
        </is>
      </c>
    </row>
    <row r="44">
      <c r="A44" s="13" t="inlineStr">
        <is>
          <t>6010</t>
        </is>
      </c>
      <c r="B44" s="5" t="inlineStr">
        <is>
          <t>Administrative - Staff Salaries, Wages &amp; Allowances</t>
        </is>
      </c>
      <c r="C44" s="6" t="inlineStr">
        <is>
          <t>Operating Expenses</t>
        </is>
      </c>
      <c r="D44" s="16" t="inlineStr">
        <is>
          <t>Debit</t>
        </is>
      </c>
      <c r="E44" s="6" t="inlineStr">
        <is>
          <t>Statement of Profit or Loss</t>
        </is>
      </c>
      <c r="F44" s="6" t="inlineStr">
        <is>
          <t>Administrative &amp; operating expenses</t>
        </is>
      </c>
      <c r="G44" s="13" t="inlineStr">
        <is>
          <t>Note 5</t>
        </is>
      </c>
      <c r="H44" s="7" t="inlineStr">
        <is>
          <t>Allowable Personnel Cost</t>
        </is>
      </c>
      <c r="I44" s="6" t="inlineStr">
        <is>
          <t>Operating Cash Expense</t>
        </is>
      </c>
    </row>
    <row r="45">
      <c r="A45" s="11" t="inlineStr">
        <is>
          <t>6020</t>
        </is>
      </c>
      <c r="B45" s="8" t="inlineStr">
        <is>
          <t>Administrative - Site Office Rent &amp; Maintenance</t>
        </is>
      </c>
      <c r="C45" s="9" t="inlineStr">
        <is>
          <t>Operating Expenses</t>
        </is>
      </c>
      <c r="D45" s="15" t="inlineStr">
        <is>
          <t>Debit</t>
        </is>
      </c>
      <c r="E45" s="9" t="inlineStr">
        <is>
          <t>Statement of Profit or Loss</t>
        </is>
      </c>
      <c r="F45" s="9" t="inlineStr">
        <is>
          <t>Administrative &amp; operating expenses</t>
        </is>
      </c>
      <c r="G45" s="11" t="inlineStr">
        <is>
          <t>Note 5</t>
        </is>
      </c>
      <c r="H45" s="10" t="inlineStr">
        <is>
          <t>Allowable Rent/Repairs</t>
        </is>
      </c>
      <c r="I45" s="9" t="inlineStr">
        <is>
          <t>Operating Cash Expense</t>
        </is>
      </c>
    </row>
    <row r="46">
      <c r="A46" s="13" t="inlineStr">
        <is>
          <t>6030</t>
        </is>
      </c>
      <c r="B46" s="5" t="inlineStr">
        <is>
          <t>Administrative - Professional, Engineering &amp; Legal Fees</t>
        </is>
      </c>
      <c r="C46" s="6" t="inlineStr">
        <is>
          <t>Operating Expenses</t>
        </is>
      </c>
      <c r="D46" s="16" t="inlineStr">
        <is>
          <t>Debit</t>
        </is>
      </c>
      <c r="E46" s="6" t="inlineStr">
        <is>
          <t>Statement of Profit or Loss</t>
        </is>
      </c>
      <c r="F46" s="6" t="inlineStr">
        <is>
          <t>Administrative &amp; operating expenses</t>
        </is>
      </c>
      <c r="G46" s="13" t="inlineStr">
        <is>
          <t>Note 5</t>
        </is>
      </c>
      <c r="H46" s="7" t="inlineStr">
        <is>
          <t>Allowable Professional Fee</t>
        </is>
      </c>
      <c r="I46" s="6" t="inlineStr">
        <is>
          <t>Operating Cash Expense</t>
        </is>
      </c>
    </row>
    <row r="47">
      <c r="A47" s="11" t="inlineStr">
        <is>
          <t>6040</t>
        </is>
      </c>
      <c r="B47" s="8" t="inlineStr">
        <is>
          <t>Administrative - Audit &amp; Tax Advisory Fees</t>
        </is>
      </c>
      <c r="C47" s="9" t="inlineStr">
        <is>
          <t>Operating Expenses</t>
        </is>
      </c>
      <c r="D47" s="15" t="inlineStr">
        <is>
          <t>Debit</t>
        </is>
      </c>
      <c r="E47" s="9" t="inlineStr">
        <is>
          <t>Statement of Profit or Loss</t>
        </is>
      </c>
      <c r="F47" s="9" t="inlineStr">
        <is>
          <t>Administrative &amp; operating expenses</t>
        </is>
      </c>
      <c r="G47" s="11" t="inlineStr">
        <is>
          <t>Note 5</t>
        </is>
      </c>
      <c r="H47" s="10" t="inlineStr">
        <is>
          <t>Allowable Audit/Tax Fee</t>
        </is>
      </c>
      <c r="I47" s="9" t="inlineStr">
        <is>
          <t>Operating Cash Expense</t>
        </is>
      </c>
    </row>
    <row r="48">
      <c r="A48" s="13" t="inlineStr">
        <is>
          <t>6050</t>
        </is>
      </c>
      <c r="B48" s="5" t="inlineStr">
        <is>
          <t>Administrative - Bank Charges, COT &amp; Guarantee Fees</t>
        </is>
      </c>
      <c r="C48" s="6" t="inlineStr">
        <is>
          <t>Operating Expenses</t>
        </is>
      </c>
      <c r="D48" s="16" t="inlineStr">
        <is>
          <t>Debit</t>
        </is>
      </c>
      <c r="E48" s="6" t="inlineStr">
        <is>
          <t>Statement of Profit or Loss</t>
        </is>
      </c>
      <c r="F48" s="6" t="inlineStr">
        <is>
          <t>Administrative &amp; operating expenses</t>
        </is>
      </c>
      <c r="G48" s="13" t="inlineStr">
        <is>
          <t>Note 5</t>
        </is>
      </c>
      <c r="H48" s="7" t="inlineStr">
        <is>
          <t>Allowable Bank Charges</t>
        </is>
      </c>
      <c r="I48" s="6" t="inlineStr">
        <is>
          <t>Operating Cash Expense</t>
        </is>
      </c>
    </row>
    <row r="49">
      <c r="A49" s="11" t="inlineStr">
        <is>
          <t>6060</t>
        </is>
      </c>
      <c r="B49" s="8" t="inlineStr">
        <is>
          <t>Administrative - Motor Vehicle &amp; Logistics Expenses</t>
        </is>
      </c>
      <c r="C49" s="9" t="inlineStr">
        <is>
          <t>Operating Expenses</t>
        </is>
      </c>
      <c r="D49" s="15" t="inlineStr">
        <is>
          <t>Debit</t>
        </is>
      </c>
      <c r="E49" s="9" t="inlineStr">
        <is>
          <t>Statement of Profit or Loss</t>
        </is>
      </c>
      <c r="F49" s="9" t="inlineStr">
        <is>
          <t>Administrative &amp; operating expenses</t>
        </is>
      </c>
      <c r="G49" s="11" t="inlineStr">
        <is>
          <t>Note 5</t>
        </is>
      </c>
      <c r="H49" s="10" t="inlineStr">
        <is>
          <t>Allowable Running Cost</t>
        </is>
      </c>
      <c r="I49" s="9" t="inlineStr">
        <is>
          <t>Operating Cash Expense</t>
        </is>
      </c>
    </row>
    <row r="50">
      <c r="A50" s="13" t="inlineStr">
        <is>
          <t>6070</t>
        </is>
      </c>
      <c r="B50" s="5" t="inlineStr">
        <is>
          <t>Administrative - Depreciation Expense (IAS 16)</t>
        </is>
      </c>
      <c r="C50" s="6" t="inlineStr">
        <is>
          <t>Operating Expenses</t>
        </is>
      </c>
      <c r="D50" s="16" t="inlineStr">
        <is>
          <t>Debit</t>
        </is>
      </c>
      <c r="E50" s="6" t="inlineStr">
        <is>
          <t>Statement of Profit or Loss</t>
        </is>
      </c>
      <c r="F50" s="6" t="inlineStr">
        <is>
          <t>Administrative &amp; operating expenses</t>
        </is>
      </c>
      <c r="G50" s="13" t="inlineStr">
        <is>
          <t>Note 5</t>
        </is>
      </c>
      <c r="H50" s="7" t="inlineStr">
        <is>
          <t>Non-Allowable (Add-Back)</t>
        </is>
      </c>
      <c r="I50" s="6" t="inlineStr">
        <is>
          <t>Operating Non-Cash Adj</t>
        </is>
      </c>
    </row>
    <row r="51">
      <c r="A51" s="11" t="inlineStr">
        <is>
          <t>6080</t>
        </is>
      </c>
      <c r="B51" s="8" t="inlineStr">
        <is>
          <t>Administrative - Impairment Allowance on Receivables</t>
        </is>
      </c>
      <c r="C51" s="9" t="inlineStr">
        <is>
          <t>Operating Expenses</t>
        </is>
      </c>
      <c r="D51" s="15" t="inlineStr">
        <is>
          <t>Debit</t>
        </is>
      </c>
      <c r="E51" s="9" t="inlineStr">
        <is>
          <t>Statement of Profit or Loss</t>
        </is>
      </c>
      <c r="F51" s="9" t="inlineStr">
        <is>
          <t>Administrative &amp; operating expenses</t>
        </is>
      </c>
      <c r="G51" s="11" t="inlineStr">
        <is>
          <t>Note 5</t>
        </is>
      </c>
      <c r="H51" s="10" t="inlineStr">
        <is>
          <t>Non-Allowable (Add-Back)</t>
        </is>
      </c>
      <c r="I51" s="9" t="inlineStr">
        <is>
          <t>Operating Non-Cash Adj</t>
        </is>
      </c>
    </row>
    <row r="52">
      <c r="A52" s="13" t="inlineStr">
        <is>
          <t>6090</t>
        </is>
      </c>
      <c r="B52" s="5" t="inlineStr">
        <is>
          <t>Administrative - General Office, Security &amp; Utilities</t>
        </is>
      </c>
      <c r="C52" s="6" t="inlineStr">
        <is>
          <t>Operating Expenses</t>
        </is>
      </c>
      <c r="D52" s="16" t="inlineStr">
        <is>
          <t>Debit</t>
        </is>
      </c>
      <c r="E52" s="6" t="inlineStr">
        <is>
          <t>Statement of Profit or Loss</t>
        </is>
      </c>
      <c r="F52" s="6" t="inlineStr">
        <is>
          <t>Administrative &amp; operating expenses</t>
        </is>
      </c>
      <c r="G52" s="13" t="inlineStr">
        <is>
          <t>Note 5</t>
        </is>
      </c>
      <c r="H52" s="7" t="inlineStr">
        <is>
          <t>Allowable General Exp</t>
        </is>
      </c>
      <c r="I52" s="6" t="inlineStr">
        <is>
          <t>Operating Cash Expense</t>
        </is>
      </c>
    </row>
    <row r="53">
      <c r="A53" s="11" t="inlineStr">
        <is>
          <t>7010</t>
        </is>
      </c>
      <c r="B53" s="8" t="inlineStr">
        <is>
          <t>Finance Costs - Bank Project Facility Interest</t>
        </is>
      </c>
      <c r="C53" s="9" t="inlineStr">
        <is>
          <t>Finance Costs</t>
        </is>
      </c>
      <c r="D53" s="15" t="inlineStr">
        <is>
          <t>Debit</t>
        </is>
      </c>
      <c r="E53" s="9" t="inlineStr">
        <is>
          <t>Statement of Profit or Loss</t>
        </is>
      </c>
      <c r="F53" s="9" t="inlineStr">
        <is>
          <t>Finance costs</t>
        </is>
      </c>
      <c r="G53" s="11" t="inlineStr">
        <is>
          <t>Note 6</t>
        </is>
      </c>
      <c r="H53" s="10" t="inlineStr">
        <is>
          <t>Allowable Finance Cost</t>
        </is>
      </c>
      <c r="I53" s="9" t="inlineStr">
        <is>
          <t>Operating Cash Expense</t>
        </is>
      </c>
    </row>
    <row r="54">
      <c r="A54" s="13" t="inlineStr">
        <is>
          <t>8010</t>
        </is>
      </c>
      <c r="B54" s="5" t="inlineStr">
        <is>
          <t>Income Tax Expense - Current Tax (CIT, TET, PTF)</t>
        </is>
      </c>
      <c r="C54" s="6" t="inlineStr">
        <is>
          <t>Taxation</t>
        </is>
      </c>
      <c r="D54" s="16" t="inlineStr">
        <is>
          <t>Debit</t>
        </is>
      </c>
      <c r="E54" s="6" t="inlineStr">
        <is>
          <t>Statement of Profit or Loss</t>
        </is>
      </c>
      <c r="F54" s="6" t="inlineStr">
        <is>
          <t>Income tax expense</t>
        </is>
      </c>
      <c r="G54" s="13" t="inlineStr">
        <is>
          <t>Note 16</t>
        </is>
      </c>
      <c r="H54" s="7" t="inlineStr">
        <is>
          <t>Statutory Tax Provision</t>
        </is>
      </c>
      <c r="I54" s="6" t="inlineStr">
        <is>
          <t>Operating Tax Charge</t>
        </is>
      </c>
    </row>
    <row r="55">
      <c r="A55" s="11" t="inlineStr">
        <is>
          <t>8020</t>
        </is>
      </c>
      <c r="B55" s="8" t="inlineStr">
        <is>
          <t>Income Tax Expense - Deferred Tax (IAS 12)</t>
        </is>
      </c>
      <c r="C55" s="9" t="inlineStr">
        <is>
          <t>Taxation</t>
        </is>
      </c>
      <c r="D55" s="15" t="inlineStr">
        <is>
          <t>Debit</t>
        </is>
      </c>
      <c r="E55" s="9" t="inlineStr">
        <is>
          <t>Statement of Profit or Loss</t>
        </is>
      </c>
      <c r="F55" s="9" t="inlineStr">
        <is>
          <t>Income tax expense</t>
        </is>
      </c>
      <c r="G55" s="11" t="inlineStr">
        <is>
          <t>Note 15</t>
        </is>
      </c>
      <c r="H55" s="10" t="inlineStr">
        <is>
          <t>Accounting Provision</t>
        </is>
      </c>
      <c r="I55" s="9" t="inlineStr">
        <is>
          <t>Operating Non-Cash Adj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1" customWidth="1" min="1" max="1"/>
    <col width="11" customWidth="1" min="2" max="2"/>
    <col width="29" customWidth="1" min="3" max="3"/>
    <col width="28" customWidth="1" min="4" max="4"/>
    <col width="29" customWidth="1" min="5" max="5"/>
    <col width="24" customWidth="1" min="6" max="6"/>
    <col width="29" customWidth="1" min="7" max="7"/>
    <col width="75" customWidth="1" min="8" max="8"/>
  </cols>
  <sheetData>
    <row r="1">
      <c r="A1" s="1" t="inlineStr">
        <is>
          <t>BAAY PROJECTS LIMITED — BANK COVERAGE &amp; STATEMENT CONTINUITY MATRIX</t>
        </is>
      </c>
    </row>
    <row r="2">
      <c r="A2" s="3" t="inlineStr">
        <is>
          <t>Month-by-Month Statement Verification &amp; Audit Gap Identification (2023 - 2025)</t>
        </is>
      </c>
    </row>
    <row r="3"/>
    <row r="4">
      <c r="A4" s="4" t="inlineStr">
        <is>
          <t>Year</t>
        </is>
      </c>
      <c r="B4" s="4" t="inlineStr">
        <is>
          <t>Month</t>
        </is>
      </c>
      <c r="C4" s="4" t="inlineStr">
        <is>
          <t>Providus Bank (5400281942)</t>
        </is>
      </c>
      <c r="D4" s="4" t="inlineStr">
        <is>
          <t>First Bank (2034891102)</t>
        </is>
      </c>
      <c r="E4" s="4" t="inlineStr">
        <is>
          <t>Sterling Bank (0078451290)</t>
        </is>
      </c>
      <c r="F4" s="4" t="inlineStr">
        <is>
          <t>GTBank (0421897631)</t>
        </is>
      </c>
      <c r="G4" s="4" t="inlineStr">
        <is>
          <t>Overall Coverage Status</t>
        </is>
      </c>
      <c r="H4" s="4" t="inlineStr">
        <is>
          <t>Audit Reviewer Notes</t>
        </is>
      </c>
    </row>
    <row r="5">
      <c r="A5" s="11" t="n">
        <v>2023</v>
      </c>
      <c r="B5" s="11" t="inlineStr">
        <is>
          <t>Jan 2023</t>
        </is>
      </c>
      <c r="C5" s="11" t="inlineStr">
        <is>
          <t>COMPLETE</t>
        </is>
      </c>
      <c r="D5" s="11" t="inlineStr">
        <is>
          <t>COMPLETE</t>
        </is>
      </c>
      <c r="E5" s="11" t="inlineStr">
        <is>
          <t>COMPLETE</t>
        </is>
      </c>
      <c r="F5" s="18" t="inlineStr">
        <is>
          <t>MISSING STATEMENT GAP</t>
        </is>
      </c>
      <c r="G5" s="15" t="inlineStr">
        <is>
          <t>PROVISIONAL (Gaps Tracked)</t>
        </is>
      </c>
      <c r="H5" s="10" t="inlineStr">
        <is>
          <t>All primary operating cash flows substantiated through Providus/Sterling</t>
        </is>
      </c>
    </row>
    <row r="6">
      <c r="A6" s="13" t="n">
        <v>2023</v>
      </c>
      <c r="B6" s="13" t="inlineStr">
        <is>
          <t>Feb 2023</t>
        </is>
      </c>
      <c r="C6" s="13" t="inlineStr">
        <is>
          <t>COMPLETE</t>
        </is>
      </c>
      <c r="D6" s="13" t="inlineStr">
        <is>
          <t>COMPLETE</t>
        </is>
      </c>
      <c r="E6" s="13" t="inlineStr">
        <is>
          <t>COMPLETE</t>
        </is>
      </c>
      <c r="F6" s="20" t="inlineStr">
        <is>
          <t>MISSING STATEMENT GAP</t>
        </is>
      </c>
      <c r="G6" s="16" t="inlineStr">
        <is>
          <t>PROVISIONAL (Gaps Tracked)</t>
        </is>
      </c>
      <c r="H6" s="7" t="inlineStr">
        <is>
          <t>All primary operating cash flows substantiated through Providus/Sterling</t>
        </is>
      </c>
    </row>
    <row r="7">
      <c r="A7" s="11" t="n">
        <v>2023</v>
      </c>
      <c r="B7" s="11" t="inlineStr">
        <is>
          <t>Mar 2023</t>
        </is>
      </c>
      <c r="C7" s="11" t="inlineStr">
        <is>
          <t>COMPLETE</t>
        </is>
      </c>
      <c r="D7" s="11" t="inlineStr">
        <is>
          <t>COMPLETE</t>
        </is>
      </c>
      <c r="E7" s="11" t="inlineStr">
        <is>
          <t>COMPLETE</t>
        </is>
      </c>
      <c r="F7" s="18" t="inlineStr">
        <is>
          <t>MISSING STATEMENT GAP</t>
        </is>
      </c>
      <c r="G7" s="15" t="inlineStr">
        <is>
          <t>PROVISIONAL (Gaps Tracked)</t>
        </is>
      </c>
      <c r="H7" s="10" t="inlineStr">
        <is>
          <t>All primary operating cash flows substantiated through Providus/Sterling</t>
        </is>
      </c>
    </row>
    <row r="8">
      <c r="A8" s="13" t="n">
        <v>2023</v>
      </c>
      <c r="B8" s="13" t="inlineStr">
        <is>
          <t>Apr 2023</t>
        </is>
      </c>
      <c r="C8" s="13" t="inlineStr">
        <is>
          <t>COMPLETE</t>
        </is>
      </c>
      <c r="D8" s="13" t="inlineStr">
        <is>
          <t>COMPLETE</t>
        </is>
      </c>
      <c r="E8" s="13" t="inlineStr">
        <is>
          <t>COMPLETE</t>
        </is>
      </c>
      <c r="F8" s="20" t="inlineStr">
        <is>
          <t>MISSING STATEMENT GAP</t>
        </is>
      </c>
      <c r="G8" s="16" t="inlineStr">
        <is>
          <t>PROVISIONAL (Gaps Tracked)</t>
        </is>
      </c>
      <c r="H8" s="7" t="inlineStr">
        <is>
          <t>All primary operating cash flows substantiated through Providus/Sterling</t>
        </is>
      </c>
    </row>
    <row r="9">
      <c r="A9" s="11" t="n">
        <v>2023</v>
      </c>
      <c r="B9" s="11" t="inlineStr">
        <is>
          <t>May 2023</t>
        </is>
      </c>
      <c r="C9" s="11" t="inlineStr">
        <is>
          <t>COMPLETE</t>
        </is>
      </c>
      <c r="D9" s="11" t="inlineStr">
        <is>
          <t>COMPLETE</t>
        </is>
      </c>
      <c r="E9" s="11" t="inlineStr">
        <is>
          <t>COMPLETE</t>
        </is>
      </c>
      <c r="F9" s="18" t="inlineStr">
        <is>
          <t>MISSING STATEMENT GAP</t>
        </is>
      </c>
      <c r="G9" s="15" t="inlineStr">
        <is>
          <t>PROVISIONAL (Gaps Tracked)</t>
        </is>
      </c>
      <c r="H9" s="10" t="inlineStr">
        <is>
          <t>All primary operating cash flows substantiated through Providus/Sterling</t>
        </is>
      </c>
    </row>
    <row r="10">
      <c r="A10" s="13" t="n">
        <v>2023</v>
      </c>
      <c r="B10" s="13" t="inlineStr">
        <is>
          <t>Jun 2023</t>
        </is>
      </c>
      <c r="C10" s="13" t="inlineStr">
        <is>
          <t>COMPLETE</t>
        </is>
      </c>
      <c r="D10" s="13" t="inlineStr">
        <is>
          <t>COMPLETE</t>
        </is>
      </c>
      <c r="E10" s="13" t="inlineStr">
        <is>
          <t>COMPLETE</t>
        </is>
      </c>
      <c r="F10" s="20" t="inlineStr">
        <is>
          <t>MISSING STATEMENT GAP</t>
        </is>
      </c>
      <c r="G10" s="16" t="inlineStr">
        <is>
          <t>PROVISIONAL (Gaps Tracked)</t>
        </is>
      </c>
      <c r="H10" s="7" t="inlineStr">
        <is>
          <t>All primary operating cash flows substantiated through Providus/Sterling</t>
        </is>
      </c>
    </row>
    <row r="11">
      <c r="A11" s="11" t="n">
        <v>2023</v>
      </c>
      <c r="B11" s="11" t="inlineStr">
        <is>
          <t>Jul 2023</t>
        </is>
      </c>
      <c r="C11" s="11" t="inlineStr">
        <is>
          <t>COMPLETE</t>
        </is>
      </c>
      <c r="D11" s="11" t="inlineStr">
        <is>
          <t>COMPLETE</t>
        </is>
      </c>
      <c r="E11" s="11" t="inlineStr">
        <is>
          <t>COMPLETE</t>
        </is>
      </c>
      <c r="F11" s="18" t="inlineStr">
        <is>
          <t>MISSING STATEMENT GAP</t>
        </is>
      </c>
      <c r="G11" s="15" t="inlineStr">
        <is>
          <t>PROVISIONAL (Gaps Tracked)</t>
        </is>
      </c>
      <c r="H11" s="10" t="inlineStr">
        <is>
          <t>All primary operating cash flows substantiated through Providus/Sterling</t>
        </is>
      </c>
    </row>
    <row r="12">
      <c r="A12" s="13" t="n">
        <v>2023</v>
      </c>
      <c r="B12" s="13" t="inlineStr">
        <is>
          <t>Aug 2023</t>
        </is>
      </c>
      <c r="C12" s="13" t="inlineStr">
        <is>
          <t>COMPLETE</t>
        </is>
      </c>
      <c r="D12" s="13" t="inlineStr">
        <is>
          <t>COMPLETE</t>
        </is>
      </c>
      <c r="E12" s="13" t="inlineStr">
        <is>
          <t>COMPLETE</t>
        </is>
      </c>
      <c r="F12" s="20" t="inlineStr">
        <is>
          <t>MISSING STATEMENT GAP</t>
        </is>
      </c>
      <c r="G12" s="16" t="inlineStr">
        <is>
          <t>PROVISIONAL (Gaps Tracked)</t>
        </is>
      </c>
      <c r="H12" s="7" t="inlineStr">
        <is>
          <t>All primary operating cash flows substantiated through Providus/Sterling</t>
        </is>
      </c>
    </row>
    <row r="13">
      <c r="A13" s="11" t="n">
        <v>2023</v>
      </c>
      <c r="B13" s="11" t="inlineStr">
        <is>
          <t>Sep 2023</t>
        </is>
      </c>
      <c r="C13" s="11" t="inlineStr">
        <is>
          <t>COMPLETE</t>
        </is>
      </c>
      <c r="D13" s="11" t="inlineStr">
        <is>
          <t>COMPLETE</t>
        </is>
      </c>
      <c r="E13" s="11" t="inlineStr">
        <is>
          <t>COMPLETE</t>
        </is>
      </c>
      <c r="F13" s="18" t="inlineStr">
        <is>
          <t>MISSING STATEMENT GAP</t>
        </is>
      </c>
      <c r="G13" s="15" t="inlineStr">
        <is>
          <t>PROVISIONAL (Gaps Tracked)</t>
        </is>
      </c>
      <c r="H13" s="10" t="inlineStr">
        <is>
          <t>All primary operating cash flows substantiated through Providus/Sterling</t>
        </is>
      </c>
    </row>
    <row r="14">
      <c r="A14" s="13" t="n">
        <v>2023</v>
      </c>
      <c r="B14" s="13" t="inlineStr">
        <is>
          <t>Oct 2023</t>
        </is>
      </c>
      <c r="C14" s="13" t="inlineStr">
        <is>
          <t>COMPLETE</t>
        </is>
      </c>
      <c r="D14" s="13" t="inlineStr">
        <is>
          <t>COMPLETE</t>
        </is>
      </c>
      <c r="E14" s="13" t="inlineStr">
        <is>
          <t>COMPLETE</t>
        </is>
      </c>
      <c r="F14" s="20" t="inlineStr">
        <is>
          <t>MISSING STATEMENT GAP</t>
        </is>
      </c>
      <c r="G14" s="16" t="inlineStr">
        <is>
          <t>PROVISIONAL (Gaps Tracked)</t>
        </is>
      </c>
      <c r="H14" s="7" t="inlineStr">
        <is>
          <t>All primary operating cash flows substantiated through Providus/Sterling</t>
        </is>
      </c>
    </row>
    <row r="15">
      <c r="A15" s="11" t="n">
        <v>2023</v>
      </c>
      <c r="B15" s="11" t="inlineStr">
        <is>
          <t>Nov 2023</t>
        </is>
      </c>
      <c r="C15" s="11" t="inlineStr">
        <is>
          <t>COMPLETE</t>
        </is>
      </c>
      <c r="D15" s="11" t="inlineStr">
        <is>
          <t>COMPLETE</t>
        </is>
      </c>
      <c r="E15" s="11" t="inlineStr">
        <is>
          <t>COMPLETE</t>
        </is>
      </c>
      <c r="F15" s="18" t="inlineStr">
        <is>
          <t>MISSING STATEMENT GAP</t>
        </is>
      </c>
      <c r="G15" s="15" t="inlineStr">
        <is>
          <t>PROVISIONAL (Gaps Tracked)</t>
        </is>
      </c>
      <c r="H15" s="10" t="inlineStr">
        <is>
          <t>All primary operating cash flows substantiated through Providus/Sterling</t>
        </is>
      </c>
    </row>
    <row r="16">
      <c r="A16" s="13" t="n">
        <v>2023</v>
      </c>
      <c r="B16" s="13" t="inlineStr">
        <is>
          <t>Dec 2023</t>
        </is>
      </c>
      <c r="C16" s="13" t="inlineStr">
        <is>
          <t>COMPLETE</t>
        </is>
      </c>
      <c r="D16" s="13" t="inlineStr">
        <is>
          <t>COMPLETE</t>
        </is>
      </c>
      <c r="E16" s="13" t="inlineStr">
        <is>
          <t>COMPLETE</t>
        </is>
      </c>
      <c r="F16" s="20" t="inlineStr">
        <is>
          <t>MISSING STATEMENT GAP</t>
        </is>
      </c>
      <c r="G16" s="16" t="inlineStr">
        <is>
          <t>PROVISIONAL (Gaps Tracked)</t>
        </is>
      </c>
      <c r="H16" s="7" t="inlineStr">
        <is>
          <t>All primary operating cash flows substantiated through Providus/Sterling</t>
        </is>
      </c>
    </row>
    <row r="17">
      <c r="A17" s="11" t="n">
        <v>2024</v>
      </c>
      <c r="B17" s="11" t="inlineStr">
        <is>
          <t>Jan 2024</t>
        </is>
      </c>
      <c r="C17" s="11" t="inlineStr">
        <is>
          <t>COMPLETE</t>
        </is>
      </c>
      <c r="D17" s="11" t="inlineStr">
        <is>
          <t>RECONSTRUCTED (Requested)</t>
        </is>
      </c>
      <c r="E17" s="11" t="inlineStr">
        <is>
          <t>COMPLETE</t>
        </is>
      </c>
      <c r="F17" s="18" t="inlineStr">
        <is>
          <t>MISSING STATEMENT GAP</t>
        </is>
      </c>
      <c r="G17" s="15" t="inlineStr">
        <is>
          <t>PROVISIONAL (Gaps Tracked)</t>
        </is>
      </c>
      <c r="H17" s="10" t="inlineStr">
        <is>
          <t>First Bank 2024 statements formally requested</t>
        </is>
      </c>
    </row>
    <row r="18">
      <c r="A18" s="13" t="n">
        <v>2024</v>
      </c>
      <c r="B18" s="13" t="inlineStr">
        <is>
          <t>Feb 2024</t>
        </is>
      </c>
      <c r="C18" s="13" t="inlineStr">
        <is>
          <t>COMPLETE</t>
        </is>
      </c>
      <c r="D18" s="13" t="inlineStr">
        <is>
          <t>RECONSTRUCTED (Requested)</t>
        </is>
      </c>
      <c r="E18" s="13" t="inlineStr">
        <is>
          <t>COMPLETE</t>
        </is>
      </c>
      <c r="F18" s="20" t="inlineStr">
        <is>
          <t>MISSING STATEMENT GAP</t>
        </is>
      </c>
      <c r="G18" s="16" t="inlineStr">
        <is>
          <t>PROVISIONAL (Gaps Tracked)</t>
        </is>
      </c>
      <c r="H18" s="7" t="inlineStr">
        <is>
          <t>First Bank 2024 statements formally requested</t>
        </is>
      </c>
    </row>
    <row r="19">
      <c r="A19" s="11" t="n">
        <v>2024</v>
      </c>
      <c r="B19" s="11" t="inlineStr">
        <is>
          <t>Mar 2024</t>
        </is>
      </c>
      <c r="C19" s="11" t="inlineStr">
        <is>
          <t>COMPLETE</t>
        </is>
      </c>
      <c r="D19" s="11" t="inlineStr">
        <is>
          <t>RECONSTRUCTED (Requested)</t>
        </is>
      </c>
      <c r="E19" s="11" t="inlineStr">
        <is>
          <t>COMPLETE</t>
        </is>
      </c>
      <c r="F19" s="18" t="inlineStr">
        <is>
          <t>MISSING STATEMENT GAP</t>
        </is>
      </c>
      <c r="G19" s="15" t="inlineStr">
        <is>
          <t>PROVISIONAL (Gaps Tracked)</t>
        </is>
      </c>
      <c r="H19" s="10" t="inlineStr">
        <is>
          <t>First Bank 2024 statements formally requested</t>
        </is>
      </c>
    </row>
    <row r="20">
      <c r="A20" s="13" t="n">
        <v>2024</v>
      </c>
      <c r="B20" s="13" t="inlineStr">
        <is>
          <t>Apr 2024</t>
        </is>
      </c>
      <c r="C20" s="13" t="inlineStr">
        <is>
          <t>COMPLETE</t>
        </is>
      </c>
      <c r="D20" s="13" t="inlineStr">
        <is>
          <t>RECONSTRUCTED (Requested)</t>
        </is>
      </c>
      <c r="E20" s="13" t="inlineStr">
        <is>
          <t>COMPLETE</t>
        </is>
      </c>
      <c r="F20" s="29" t="inlineStr">
        <is>
          <t>COMPLETE</t>
        </is>
      </c>
      <c r="G20" s="16" t="inlineStr">
        <is>
          <t>PROVISIONAL (Gaps Tracked)</t>
        </is>
      </c>
      <c r="H20" s="7" t="inlineStr">
        <is>
          <t>First Bank 2024 statements formally requested</t>
        </is>
      </c>
    </row>
    <row r="21">
      <c r="A21" s="11" t="n">
        <v>2024</v>
      </c>
      <c r="B21" s="11" t="inlineStr">
        <is>
          <t>May 2024</t>
        </is>
      </c>
      <c r="C21" s="11" t="inlineStr">
        <is>
          <t>COMPLETE</t>
        </is>
      </c>
      <c r="D21" s="11" t="inlineStr">
        <is>
          <t>RECONSTRUCTED (Requested)</t>
        </is>
      </c>
      <c r="E21" s="11" t="inlineStr">
        <is>
          <t>COMPLETE</t>
        </is>
      </c>
      <c r="F21" s="30" t="inlineStr">
        <is>
          <t>COMPLETE</t>
        </is>
      </c>
      <c r="G21" s="15" t="inlineStr">
        <is>
          <t>PROVISIONAL (Gaps Tracked)</t>
        </is>
      </c>
      <c r="H21" s="10" t="inlineStr">
        <is>
          <t>First Bank 2024 statements formally requested</t>
        </is>
      </c>
    </row>
    <row r="22">
      <c r="A22" s="13" t="n">
        <v>2024</v>
      </c>
      <c r="B22" s="13" t="inlineStr">
        <is>
          <t>Jun 2024</t>
        </is>
      </c>
      <c r="C22" s="13" t="inlineStr">
        <is>
          <t>COMPLETE</t>
        </is>
      </c>
      <c r="D22" s="13" t="inlineStr">
        <is>
          <t>RECONSTRUCTED (Requested)</t>
        </is>
      </c>
      <c r="E22" s="13" t="inlineStr">
        <is>
          <t>COMPLETE</t>
        </is>
      </c>
      <c r="F22" s="29" t="inlineStr">
        <is>
          <t>COMPLETE</t>
        </is>
      </c>
      <c r="G22" s="16" t="inlineStr">
        <is>
          <t>PROVISIONAL (Gaps Tracked)</t>
        </is>
      </c>
      <c r="H22" s="7" t="inlineStr">
        <is>
          <t>First Bank 2024 statements formally requested</t>
        </is>
      </c>
    </row>
    <row r="23">
      <c r="A23" s="11" t="n">
        <v>2024</v>
      </c>
      <c r="B23" s="11" t="inlineStr">
        <is>
          <t>Jul 2024</t>
        </is>
      </c>
      <c r="C23" s="11" t="inlineStr">
        <is>
          <t>COMPLETE</t>
        </is>
      </c>
      <c r="D23" s="11" t="inlineStr">
        <is>
          <t>RECONSTRUCTED (Requested)</t>
        </is>
      </c>
      <c r="E23" s="11" t="inlineStr">
        <is>
          <t>COMPLETE</t>
        </is>
      </c>
      <c r="F23" s="30" t="inlineStr">
        <is>
          <t>COMPLETE</t>
        </is>
      </c>
      <c r="G23" s="15" t="inlineStr">
        <is>
          <t>PROVISIONAL (Gaps Tracked)</t>
        </is>
      </c>
      <c r="H23" s="10" t="inlineStr">
        <is>
          <t>First Bank 2024 statements formally requested</t>
        </is>
      </c>
    </row>
    <row r="24">
      <c r="A24" s="13" t="n">
        <v>2024</v>
      </c>
      <c r="B24" s="13" t="inlineStr">
        <is>
          <t>Aug 2024</t>
        </is>
      </c>
      <c r="C24" s="13" t="inlineStr">
        <is>
          <t>COMPLETE</t>
        </is>
      </c>
      <c r="D24" s="13" t="inlineStr">
        <is>
          <t>RECONSTRUCTED (Requested)</t>
        </is>
      </c>
      <c r="E24" s="13" t="inlineStr">
        <is>
          <t>COMPLETE</t>
        </is>
      </c>
      <c r="F24" s="29" t="inlineStr">
        <is>
          <t>COMPLETE</t>
        </is>
      </c>
      <c r="G24" s="16" t="inlineStr">
        <is>
          <t>PROVISIONAL (Gaps Tracked)</t>
        </is>
      </c>
      <c r="H24" s="7" t="inlineStr">
        <is>
          <t>First Bank 2024 statements formally requested</t>
        </is>
      </c>
    </row>
    <row r="25">
      <c r="A25" s="11" t="n">
        <v>2024</v>
      </c>
      <c r="B25" s="11" t="inlineStr">
        <is>
          <t>Sep 2024</t>
        </is>
      </c>
      <c r="C25" s="11" t="inlineStr">
        <is>
          <t>COMPLETE</t>
        </is>
      </c>
      <c r="D25" s="11" t="inlineStr">
        <is>
          <t>RECONSTRUCTED (Requested)</t>
        </is>
      </c>
      <c r="E25" s="11" t="inlineStr">
        <is>
          <t>COMPLETE</t>
        </is>
      </c>
      <c r="F25" s="30" t="inlineStr">
        <is>
          <t>COMPLETE</t>
        </is>
      </c>
      <c r="G25" s="15" t="inlineStr">
        <is>
          <t>PROVISIONAL (Gaps Tracked)</t>
        </is>
      </c>
      <c r="H25" s="10" t="inlineStr">
        <is>
          <t>First Bank 2024 statements formally requested</t>
        </is>
      </c>
    </row>
    <row r="26">
      <c r="A26" s="13" t="n">
        <v>2024</v>
      </c>
      <c r="B26" s="13" t="inlineStr">
        <is>
          <t>Oct 2024</t>
        </is>
      </c>
      <c r="C26" s="13" t="inlineStr">
        <is>
          <t>COMPLETE</t>
        </is>
      </c>
      <c r="D26" s="13" t="inlineStr">
        <is>
          <t>RECONSTRUCTED (Requested)</t>
        </is>
      </c>
      <c r="E26" s="13" t="inlineStr">
        <is>
          <t>COMPLETE</t>
        </is>
      </c>
      <c r="F26" s="29" t="inlineStr">
        <is>
          <t>COMPLETE</t>
        </is>
      </c>
      <c r="G26" s="16" t="inlineStr">
        <is>
          <t>PROVISIONAL (Gaps Tracked)</t>
        </is>
      </c>
      <c r="H26" s="7" t="inlineStr">
        <is>
          <t>First Bank 2024 statements formally requested</t>
        </is>
      </c>
    </row>
    <row r="27">
      <c r="A27" s="11" t="n">
        <v>2024</v>
      </c>
      <c r="B27" s="11" t="inlineStr">
        <is>
          <t>Nov 2024</t>
        </is>
      </c>
      <c r="C27" s="11" t="inlineStr">
        <is>
          <t>COMPLETE</t>
        </is>
      </c>
      <c r="D27" s="11" t="inlineStr">
        <is>
          <t>RECONSTRUCTED (Requested)</t>
        </is>
      </c>
      <c r="E27" s="11" t="inlineStr">
        <is>
          <t>COMPLETE</t>
        </is>
      </c>
      <c r="F27" s="18" t="inlineStr">
        <is>
          <t>MISSING STATEMENT GAP</t>
        </is>
      </c>
      <c r="G27" s="15" t="inlineStr">
        <is>
          <t>PROVISIONAL (Gaps Tracked)</t>
        </is>
      </c>
      <c r="H27" s="10" t="inlineStr">
        <is>
          <t>First Bank 2024 statements formally requested</t>
        </is>
      </c>
    </row>
    <row r="28">
      <c r="A28" s="13" t="n">
        <v>2024</v>
      </c>
      <c r="B28" s="13" t="inlineStr">
        <is>
          <t>Dec 2024</t>
        </is>
      </c>
      <c r="C28" s="13" t="inlineStr">
        <is>
          <t>COMPLETE</t>
        </is>
      </c>
      <c r="D28" s="13" t="inlineStr">
        <is>
          <t>RECONSTRUCTED (Requested)</t>
        </is>
      </c>
      <c r="E28" s="13" t="inlineStr">
        <is>
          <t>COMPLETE</t>
        </is>
      </c>
      <c r="F28" s="20" t="inlineStr">
        <is>
          <t>MISSING STATEMENT GAP</t>
        </is>
      </c>
      <c r="G28" s="16" t="inlineStr">
        <is>
          <t>PROVISIONAL (Gaps Tracked)</t>
        </is>
      </c>
      <c r="H28" s="7" t="inlineStr">
        <is>
          <t>First Bank 2024 statements formally requested</t>
        </is>
      </c>
    </row>
    <row r="29">
      <c r="A29" s="11" t="n">
        <v>2025</v>
      </c>
      <c r="B29" s="11" t="inlineStr">
        <is>
          <t>Jan 2025</t>
        </is>
      </c>
      <c r="C29" s="11" t="inlineStr">
        <is>
          <t>COMPLETE</t>
        </is>
      </c>
      <c r="D29" s="11" t="inlineStr">
        <is>
          <t>COMPLETE</t>
        </is>
      </c>
      <c r="E29" s="11" t="inlineStr">
        <is>
          <t>COMPLETE</t>
        </is>
      </c>
      <c r="F29" s="18" t="inlineStr">
        <is>
          <t>MISSING STATEMENT GAP</t>
        </is>
      </c>
      <c r="G29" s="15" t="inlineStr">
        <is>
          <t>PROVISIONAL (Gaps Tracked)</t>
        </is>
      </c>
      <c r="H29" s="10" t="inlineStr">
        <is>
          <t>Full coverage verified across primary bank accounts</t>
        </is>
      </c>
    </row>
    <row r="30">
      <c r="A30" s="13" t="n">
        <v>2025</v>
      </c>
      <c r="B30" s="13" t="inlineStr">
        <is>
          <t>Feb 2025</t>
        </is>
      </c>
      <c r="C30" s="13" t="inlineStr">
        <is>
          <t>COMPLETE</t>
        </is>
      </c>
      <c r="D30" s="13" t="inlineStr">
        <is>
          <t>COMPLETE</t>
        </is>
      </c>
      <c r="E30" s="13" t="inlineStr">
        <is>
          <t>COMPLETE</t>
        </is>
      </c>
      <c r="F30" s="20" t="inlineStr">
        <is>
          <t>MISSING STATEMENT GAP</t>
        </is>
      </c>
      <c r="G30" s="16" t="inlineStr">
        <is>
          <t>PROVISIONAL (Gaps Tracked)</t>
        </is>
      </c>
      <c r="H30" s="7" t="inlineStr">
        <is>
          <t>Full coverage verified across primary bank accounts</t>
        </is>
      </c>
    </row>
    <row r="31">
      <c r="A31" s="11" t="n">
        <v>2025</v>
      </c>
      <c r="B31" s="11" t="inlineStr">
        <is>
          <t>Mar 2025</t>
        </is>
      </c>
      <c r="C31" s="11" t="inlineStr">
        <is>
          <t>COMPLETE</t>
        </is>
      </c>
      <c r="D31" s="11" t="inlineStr">
        <is>
          <t>COMPLETE</t>
        </is>
      </c>
      <c r="E31" s="11" t="inlineStr">
        <is>
          <t>COMPLETE</t>
        </is>
      </c>
      <c r="F31" s="18" t="inlineStr">
        <is>
          <t>MISSING STATEMENT GAP</t>
        </is>
      </c>
      <c r="G31" s="15" t="inlineStr">
        <is>
          <t>PROVISIONAL (Gaps Tracked)</t>
        </is>
      </c>
      <c r="H31" s="10" t="inlineStr">
        <is>
          <t>Full coverage verified across primary bank accounts</t>
        </is>
      </c>
    </row>
    <row r="32">
      <c r="A32" s="13" t="n">
        <v>2025</v>
      </c>
      <c r="B32" s="13" t="inlineStr">
        <is>
          <t>Apr 2025</t>
        </is>
      </c>
      <c r="C32" s="13" t="inlineStr">
        <is>
          <t>COMPLETE</t>
        </is>
      </c>
      <c r="D32" s="13" t="inlineStr">
        <is>
          <t>COMPLETE</t>
        </is>
      </c>
      <c r="E32" s="13" t="inlineStr">
        <is>
          <t>COMPLETE</t>
        </is>
      </c>
      <c r="F32" s="20" t="inlineStr">
        <is>
          <t>MISSING STATEMENT GAP</t>
        </is>
      </c>
      <c r="G32" s="16" t="inlineStr">
        <is>
          <t>PROVISIONAL (Gaps Tracked)</t>
        </is>
      </c>
      <c r="H32" s="7" t="inlineStr">
        <is>
          <t>Full coverage verified across primary bank accounts</t>
        </is>
      </c>
    </row>
    <row r="33">
      <c r="A33" s="11" t="n">
        <v>2025</v>
      </c>
      <c r="B33" s="11" t="inlineStr">
        <is>
          <t>May 2025</t>
        </is>
      </c>
      <c r="C33" s="11" t="inlineStr">
        <is>
          <t>COMPLETE</t>
        </is>
      </c>
      <c r="D33" s="11" t="inlineStr">
        <is>
          <t>COMPLETE</t>
        </is>
      </c>
      <c r="E33" s="11" t="inlineStr">
        <is>
          <t>COMPLETE</t>
        </is>
      </c>
      <c r="F33" s="18" t="inlineStr">
        <is>
          <t>MISSING STATEMENT GAP</t>
        </is>
      </c>
      <c r="G33" s="15" t="inlineStr">
        <is>
          <t>PROVISIONAL (Gaps Tracked)</t>
        </is>
      </c>
      <c r="H33" s="10" t="inlineStr">
        <is>
          <t>Full coverage verified across primary bank accounts</t>
        </is>
      </c>
    </row>
    <row r="34">
      <c r="A34" s="13" t="n">
        <v>2025</v>
      </c>
      <c r="B34" s="13" t="inlineStr">
        <is>
          <t>Jun 2025</t>
        </is>
      </c>
      <c r="C34" s="13" t="inlineStr">
        <is>
          <t>COMPLETE</t>
        </is>
      </c>
      <c r="D34" s="13" t="inlineStr">
        <is>
          <t>COMPLETE</t>
        </is>
      </c>
      <c r="E34" s="13" t="inlineStr">
        <is>
          <t>COMPLETE</t>
        </is>
      </c>
      <c r="F34" s="20" t="inlineStr">
        <is>
          <t>MISSING STATEMENT GAP</t>
        </is>
      </c>
      <c r="G34" s="16" t="inlineStr">
        <is>
          <t>PROVISIONAL (Gaps Tracked)</t>
        </is>
      </c>
      <c r="H34" s="7" t="inlineStr">
        <is>
          <t>Full coverage verified across primary bank accounts</t>
        </is>
      </c>
    </row>
    <row r="35">
      <c r="A35" s="11" t="n">
        <v>2025</v>
      </c>
      <c r="B35" s="11" t="inlineStr">
        <is>
          <t>Jul 2025</t>
        </is>
      </c>
      <c r="C35" s="11" t="inlineStr">
        <is>
          <t>COMPLETE</t>
        </is>
      </c>
      <c r="D35" s="11" t="inlineStr">
        <is>
          <t>COMPLETE</t>
        </is>
      </c>
      <c r="E35" s="11" t="inlineStr">
        <is>
          <t>COMPLETE</t>
        </is>
      </c>
      <c r="F35" s="18" t="inlineStr">
        <is>
          <t>MISSING STATEMENT GAP</t>
        </is>
      </c>
      <c r="G35" s="15" t="inlineStr">
        <is>
          <t>PROVISIONAL (Gaps Tracked)</t>
        </is>
      </c>
      <c r="H35" s="10" t="inlineStr">
        <is>
          <t>Full coverage verified across primary bank accounts</t>
        </is>
      </c>
    </row>
    <row r="36">
      <c r="A36" s="13" t="n">
        <v>2025</v>
      </c>
      <c r="B36" s="13" t="inlineStr">
        <is>
          <t>Aug 2025</t>
        </is>
      </c>
      <c r="C36" s="13" t="inlineStr">
        <is>
          <t>COMPLETE</t>
        </is>
      </c>
      <c r="D36" s="13" t="inlineStr">
        <is>
          <t>COMPLETE</t>
        </is>
      </c>
      <c r="E36" s="13" t="inlineStr">
        <is>
          <t>COMPLETE</t>
        </is>
      </c>
      <c r="F36" s="20" t="inlineStr">
        <is>
          <t>MISSING STATEMENT GAP</t>
        </is>
      </c>
      <c r="G36" s="16" t="inlineStr">
        <is>
          <t>PROVISIONAL (Gaps Tracked)</t>
        </is>
      </c>
      <c r="H36" s="7" t="inlineStr">
        <is>
          <t>Full coverage verified across primary bank accounts</t>
        </is>
      </c>
    </row>
    <row r="37">
      <c r="A37" s="11" t="n">
        <v>2025</v>
      </c>
      <c r="B37" s="11" t="inlineStr">
        <is>
          <t>Sep 2025</t>
        </is>
      </c>
      <c r="C37" s="11" t="inlineStr">
        <is>
          <t>COMPLETE</t>
        </is>
      </c>
      <c r="D37" s="11" t="inlineStr">
        <is>
          <t>COMPLETE</t>
        </is>
      </c>
      <c r="E37" s="11" t="inlineStr">
        <is>
          <t>COMPLETE</t>
        </is>
      </c>
      <c r="F37" s="18" t="inlineStr">
        <is>
          <t>MISSING STATEMENT GAP</t>
        </is>
      </c>
      <c r="G37" s="15" t="inlineStr">
        <is>
          <t>PROVISIONAL (Gaps Tracked)</t>
        </is>
      </c>
      <c r="H37" s="10" t="inlineStr">
        <is>
          <t>Full coverage verified across primary bank accounts</t>
        </is>
      </c>
    </row>
    <row r="38">
      <c r="A38" s="13" t="n">
        <v>2025</v>
      </c>
      <c r="B38" s="13" t="inlineStr">
        <is>
          <t>Oct 2025</t>
        </is>
      </c>
      <c r="C38" s="13" t="inlineStr">
        <is>
          <t>COMPLETE</t>
        </is>
      </c>
      <c r="D38" s="13" t="inlineStr">
        <is>
          <t>COMPLETE</t>
        </is>
      </c>
      <c r="E38" s="13" t="inlineStr">
        <is>
          <t>COMPLETE</t>
        </is>
      </c>
      <c r="F38" s="20" t="inlineStr">
        <is>
          <t>MISSING STATEMENT GAP</t>
        </is>
      </c>
      <c r="G38" s="16" t="inlineStr">
        <is>
          <t>PROVISIONAL (Gaps Tracked)</t>
        </is>
      </c>
      <c r="H38" s="7" t="inlineStr">
        <is>
          <t>Full coverage verified across primary bank accounts</t>
        </is>
      </c>
    </row>
    <row r="39">
      <c r="A39" s="11" t="n">
        <v>2025</v>
      </c>
      <c r="B39" s="11" t="inlineStr">
        <is>
          <t>Nov 2025</t>
        </is>
      </c>
      <c r="C39" s="11" t="inlineStr">
        <is>
          <t>COMPLETE</t>
        </is>
      </c>
      <c r="D39" s="11" t="inlineStr">
        <is>
          <t>COMPLETE</t>
        </is>
      </c>
      <c r="E39" s="11" t="inlineStr">
        <is>
          <t>COMPLETE</t>
        </is>
      </c>
      <c r="F39" s="18" t="inlineStr">
        <is>
          <t>MISSING STATEMENT GAP</t>
        </is>
      </c>
      <c r="G39" s="15" t="inlineStr">
        <is>
          <t>PROVISIONAL (Gaps Tracked)</t>
        </is>
      </c>
      <c r="H39" s="10" t="inlineStr">
        <is>
          <t>Full coverage verified across primary bank accounts</t>
        </is>
      </c>
    </row>
    <row r="40">
      <c r="A40" s="13" t="n">
        <v>2025</v>
      </c>
      <c r="B40" s="13" t="inlineStr">
        <is>
          <t>Dec 2025</t>
        </is>
      </c>
      <c r="C40" s="13" t="inlineStr">
        <is>
          <t>COMPLETE</t>
        </is>
      </c>
      <c r="D40" s="13" t="inlineStr">
        <is>
          <t>COMPLETE</t>
        </is>
      </c>
      <c r="E40" s="13" t="inlineStr">
        <is>
          <t>COMPLETE</t>
        </is>
      </c>
      <c r="F40" s="20" t="inlineStr">
        <is>
          <t>MISSING STATEMENT GAP</t>
        </is>
      </c>
      <c r="G40" s="16" t="inlineStr">
        <is>
          <t>PROVISIONAL (Gaps Tracked)</t>
        </is>
      </c>
      <c r="H40" s="7" t="inlineStr">
        <is>
          <t>Full coverage verified across primary bank accounts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9" customWidth="1" min="1" max="1"/>
    <col width="13" customWidth="1" min="2" max="2"/>
    <col width="29" customWidth="1" min="3" max="3"/>
    <col width="17" customWidth="1" min="4" max="4"/>
    <col width="54" customWidth="1" min="5" max="5"/>
    <col width="32" customWidth="1" min="6" max="6"/>
    <col width="27" customWidth="1" min="7" max="7"/>
    <col width="28" customWidth="1" min="8" max="8"/>
    <col width="26" customWidth="1" min="9" max="9"/>
    <col width="27" customWidth="1" min="10" max="10"/>
    <col width="15" customWidth="1" min="11" max="11"/>
    <col width="14" customWidth="1" min="12" max="12"/>
    <col width="29" customWidth="1" min="13" max="13"/>
    <col width="18" customWidth="1" min="14" max="14"/>
    <col width="30" customWidth="1" min="15" max="15"/>
  </cols>
  <sheetData>
    <row r="1">
      <c r="A1" s="1" t="inlineStr">
        <is>
          <t>BAAY PROJECTS LIMITED — NORMALIZED BANK TRANSACTION REGISTER</t>
        </is>
      </c>
    </row>
    <row r="2">
      <c r="A2" s="3" t="inlineStr">
        <is>
          <t>Standardized Bank Movements with Project Tagging, Chart of Accounts Mapping &amp; Tax Classification</t>
        </is>
      </c>
    </row>
    <row r="3"/>
    <row r="4">
      <c r="A4" s="4" t="inlineStr">
        <is>
          <t>Txn ID</t>
        </is>
      </c>
      <c r="B4" s="4" t="inlineStr">
        <is>
          <t>Value Date</t>
        </is>
      </c>
      <c r="C4" s="4" t="inlineStr">
        <is>
          <t>Bank Account</t>
        </is>
      </c>
      <c r="D4" s="4" t="inlineStr">
        <is>
          <t>Bank Reference</t>
        </is>
      </c>
      <c r="E4" s="4" t="inlineStr">
        <is>
          <t>Original Narration</t>
        </is>
      </c>
      <c r="F4" s="4" t="inlineStr">
        <is>
          <t>Counterparty</t>
        </is>
      </c>
      <c r="G4" s="4" t="inlineStr">
        <is>
          <t>Money In / Receipt (NGN)</t>
        </is>
      </c>
      <c r="H4" s="4" t="inlineStr">
        <is>
          <t>Money Out / Payment (NGN)</t>
        </is>
      </c>
      <c r="I4" s="4" t="inlineStr">
        <is>
          <t>Statement Balance (NGN)</t>
        </is>
      </c>
      <c r="J4" s="4" t="inlineStr">
        <is>
          <t>Recomputed Balance (NGN)</t>
        </is>
      </c>
      <c r="K4" s="4" t="inlineStr">
        <is>
          <t>Project Code</t>
        </is>
      </c>
      <c r="L4" s="4" t="inlineStr">
        <is>
          <t>COA Account</t>
        </is>
      </c>
      <c r="M4" s="4" t="inlineStr">
        <is>
          <t>Tax Tag</t>
        </is>
      </c>
      <c r="N4" s="4" t="inlineStr">
        <is>
          <t>Evidence Status</t>
        </is>
      </c>
      <c r="O4" s="4" t="inlineStr">
        <is>
          <t>Reviewer Decision</t>
        </is>
      </c>
    </row>
    <row r="5">
      <c r="A5" s="11" t="inlineStr">
        <is>
          <t>TXN-2023-001</t>
        </is>
      </c>
      <c r="B5" s="11" t="inlineStr">
        <is>
          <t>2023-01-01</t>
        </is>
      </c>
      <c r="C5" s="9" t="inlineStr">
        <is>
          <t>Providus Bank (5400281942)</t>
        </is>
      </c>
      <c r="D5" s="11" t="inlineStr">
        <is>
          <t>OPEN-001</t>
        </is>
      </c>
      <c r="E5" s="9" t="inlineStr">
        <is>
          <t>Opening Statement Balance B/F</t>
        </is>
      </c>
      <c r="F5" s="9" t="inlineStr">
        <is>
          <t>Providus Bank</t>
        </is>
      </c>
      <c r="G5" s="22" t="n">
        <v>0</v>
      </c>
      <c r="H5" s="22" t="n">
        <v>0</v>
      </c>
      <c r="I5" s="22" t="n">
        <v>464164.15</v>
      </c>
      <c r="J5" s="22" t="n">
        <v>464164.15</v>
      </c>
      <c r="K5" s="11" t="inlineStr">
        <is>
          <t>PROJ-GEN</t>
        </is>
      </c>
      <c r="L5" s="11" t="inlineStr">
        <is>
          <t>1010</t>
        </is>
      </c>
      <c r="M5" s="10" t="inlineStr">
        <is>
          <t>Non-Taxable</t>
        </is>
      </c>
      <c r="N5" s="12" t="inlineStr">
        <is>
          <t>VERIFIED</t>
        </is>
      </c>
      <c r="O5" s="9" t="inlineStr">
        <is>
          <t>Approved Opening</t>
        </is>
      </c>
    </row>
    <row r="6">
      <c r="A6" s="13" t="inlineStr">
        <is>
          <t>TXN-2023-002</t>
        </is>
      </c>
      <c r="B6" s="13" t="inlineStr">
        <is>
          <t>2023-01-15</t>
        </is>
      </c>
      <c r="C6" s="6" t="inlineStr">
        <is>
          <t>Providus Bank (5400281942)</t>
        </is>
      </c>
      <c r="D6" s="13" t="inlineStr">
        <is>
          <t>PRV-23-0101</t>
        </is>
      </c>
      <c r="E6" s="6" t="inlineStr">
        <is>
          <t>Mobilization Advance Lekki Residential Scheme</t>
        </is>
      </c>
      <c r="F6" s="6" t="inlineStr">
        <is>
          <t>Apex Properties Ltd</t>
        </is>
      </c>
      <c r="G6" s="21" t="n">
        <v>6500000</v>
      </c>
      <c r="H6" s="21" t="n">
        <v>0</v>
      </c>
      <c r="I6" s="21" t="n">
        <v>6964164.15</v>
      </c>
      <c r="J6" s="21" t="n">
        <v>6964164.15</v>
      </c>
      <c r="K6" s="13" t="inlineStr">
        <is>
          <t>PROJ-101</t>
        </is>
      </c>
      <c r="L6" s="13" t="inlineStr">
        <is>
          <t>2020</t>
        </is>
      </c>
      <c r="M6" s="7" t="inlineStr">
        <is>
          <t>Advance / Tax Point</t>
        </is>
      </c>
      <c r="N6" s="14" t="inlineStr">
        <is>
          <t>VERIFIED</t>
        </is>
      </c>
      <c r="O6" s="6" t="inlineStr">
        <is>
          <t>Contract Liability Posting</t>
        </is>
      </c>
    </row>
    <row r="7">
      <c r="A7" s="11" t="inlineStr">
        <is>
          <t>TXN-2023-003</t>
        </is>
      </c>
      <c r="B7" s="11" t="inlineStr">
        <is>
          <t>2023-01-28</t>
        </is>
      </c>
      <c r="C7" s="9" t="inlineStr">
        <is>
          <t>Providus Bank (5400281942)</t>
        </is>
      </c>
      <c r="D7" s="11" t="inlineStr">
        <is>
          <t>PRV-23-0102</t>
        </is>
      </c>
      <c r="E7" s="9" t="inlineStr">
        <is>
          <t>Purchase of Site Survey &amp; Testing Equipment</t>
        </is>
      </c>
      <c r="F7" s="9" t="inlineStr">
        <is>
          <t>Geotech Instruments Ltd</t>
        </is>
      </c>
      <c r="G7" s="22" t="n">
        <v>0</v>
      </c>
      <c r="H7" s="22" t="n">
        <v>1800000</v>
      </c>
      <c r="I7" s="22" t="n">
        <v>5164164.15</v>
      </c>
      <c r="J7" s="22" t="n">
        <v>5164164.15</v>
      </c>
      <c r="K7" s="11" t="inlineStr">
        <is>
          <t>PROJ-GEN</t>
        </is>
      </c>
      <c r="L7" s="11" t="inlineStr">
        <is>
          <t>1510</t>
        </is>
      </c>
      <c r="M7" s="10" t="inlineStr">
        <is>
          <t>QCE / Capital Allowance</t>
        </is>
      </c>
      <c r="N7" s="12" t="inlineStr">
        <is>
          <t>VERIFIED</t>
        </is>
      </c>
      <c r="O7" s="9" t="inlineStr">
        <is>
          <t>PPE Addition IAS 16</t>
        </is>
      </c>
    </row>
    <row r="8">
      <c r="A8" s="13" t="inlineStr">
        <is>
          <t>TXN-2023-004</t>
        </is>
      </c>
      <c r="B8" s="13" t="inlineStr">
        <is>
          <t>2023-02-14</t>
        </is>
      </c>
      <c r="C8" s="6" t="inlineStr">
        <is>
          <t>Providus Bank (5400281942)</t>
        </is>
      </c>
      <c r="D8" s="13" t="inlineStr">
        <is>
          <t>PRV-23-0201</t>
        </is>
      </c>
      <c r="E8" s="6" t="inlineStr">
        <is>
          <t>Acquisition of Ibeju-Lekki Land Parcel (Scheme 1)</t>
        </is>
      </c>
      <c r="F8" s="6" t="inlineStr">
        <is>
          <t>Ibeju Family Land Committee</t>
        </is>
      </c>
      <c r="G8" s="21" t="n">
        <v>0</v>
      </c>
      <c r="H8" s="21" t="n">
        <v>8100000</v>
      </c>
      <c r="I8" s="21" t="n">
        <v>-2935835.85</v>
      </c>
      <c r="J8" s="21" t="n">
        <v>-2935835.85</v>
      </c>
      <c r="K8" s="13" t="inlineStr">
        <is>
          <t>PROJ-102</t>
        </is>
      </c>
      <c r="L8" s="13" t="inlineStr">
        <is>
          <t>1210</t>
        </is>
      </c>
      <c r="M8" s="7" t="inlineStr">
        <is>
          <t>Land Cost (IAS 2)</t>
        </is>
      </c>
      <c r="N8" s="14" t="inlineStr">
        <is>
          <t>VERIFIED</t>
        </is>
      </c>
      <c r="O8" s="6" t="inlineStr">
        <is>
          <t>Inventory Land Addition</t>
        </is>
      </c>
    </row>
    <row r="9">
      <c r="A9" s="11" t="inlineStr">
        <is>
          <t>TXN-2023-005</t>
        </is>
      </c>
      <c r="B9" s="11" t="inlineStr">
        <is>
          <t>2023-02-15</t>
        </is>
      </c>
      <c r="C9" s="9" t="inlineStr">
        <is>
          <t>Providus Bank (5400281942)</t>
        </is>
      </c>
      <c r="D9" s="11" t="inlineStr">
        <is>
          <t>PRV-23-0202</t>
        </is>
      </c>
      <c r="E9" s="9" t="inlineStr">
        <is>
          <t>Director Project Inflow / Short-Term Funding</t>
        </is>
      </c>
      <c r="F9" s="9" t="inlineStr">
        <is>
          <t>Engr. Babatunde Goke</t>
        </is>
      </c>
      <c r="G9" s="22" t="n">
        <v>4500000</v>
      </c>
      <c r="H9" s="22" t="n">
        <v>0</v>
      </c>
      <c r="I9" s="22" t="n">
        <v>1564164.15</v>
      </c>
      <c r="J9" s="22" t="n">
        <v>1564164.15</v>
      </c>
      <c r="K9" s="11" t="inlineStr">
        <is>
          <t>PROJ-GEN</t>
        </is>
      </c>
      <c r="L9" s="11" t="inlineStr">
        <is>
          <t>2510</t>
        </is>
      </c>
      <c r="M9" s="10" t="inlineStr">
        <is>
          <t>Non-Taxable Loan</t>
        </is>
      </c>
      <c r="N9" s="12" t="inlineStr">
        <is>
          <t>VERIFIED</t>
        </is>
      </c>
      <c r="O9" s="9" t="inlineStr">
        <is>
          <t>Director Funding IAS 24</t>
        </is>
      </c>
    </row>
    <row r="10">
      <c r="A10" s="13" t="inlineStr">
        <is>
          <t>TXN-2023-006</t>
        </is>
      </c>
      <c r="B10" s="13" t="inlineStr">
        <is>
          <t>2023-03-20</t>
        </is>
      </c>
      <c r="C10" s="6" t="inlineStr">
        <is>
          <t>Providus Bank (5400281942)</t>
        </is>
      </c>
      <c r="D10" s="13" t="inlineStr">
        <is>
          <t>PRV-23-0301</t>
        </is>
      </c>
      <c r="E10" s="6" t="inlineStr">
        <is>
          <t>Interim Certificate 1 - Lekki Phase 1 Civil Works</t>
        </is>
      </c>
      <c r="F10" s="6" t="inlineStr">
        <is>
          <t>Apex Properties Ltd</t>
        </is>
      </c>
      <c r="G10" s="21" t="n">
        <v>7500000</v>
      </c>
      <c r="H10" s="21" t="n">
        <v>0</v>
      </c>
      <c r="I10" s="21" t="n">
        <v>9064164.15</v>
      </c>
      <c r="J10" s="21" t="n">
        <v>9064164.15</v>
      </c>
      <c r="K10" s="13" t="inlineStr">
        <is>
          <t>PROJ-101</t>
        </is>
      </c>
      <c r="L10" s="13" t="inlineStr">
        <is>
          <t>1110</t>
        </is>
      </c>
      <c r="M10" s="7" t="inlineStr">
        <is>
          <t>Taxable Turnover (CIT/VAT)</t>
        </is>
      </c>
      <c r="N10" s="14" t="inlineStr">
        <is>
          <t>VERIFIED</t>
        </is>
      </c>
      <c r="O10" s="6" t="inlineStr">
        <is>
          <t>IFRS 15 Revenue Billing</t>
        </is>
      </c>
    </row>
    <row r="11">
      <c r="A11" s="11" t="inlineStr">
        <is>
          <t>TXN-2023-007</t>
        </is>
      </c>
      <c r="B11" s="11" t="inlineStr">
        <is>
          <t>2023-03-28</t>
        </is>
      </c>
      <c r="C11" s="9" t="inlineStr">
        <is>
          <t>Providus Bank (5400281942)</t>
        </is>
      </c>
      <c r="D11" s="11" t="inlineStr">
        <is>
          <t>PRV-23-0302</t>
        </is>
      </c>
      <c r="E11" s="9" t="inlineStr">
        <is>
          <t>Direct Subcontractor Payment - Piling &amp; Foundations</t>
        </is>
      </c>
      <c r="F11" s="9" t="inlineStr">
        <is>
          <t>Titan Piling Nig Ltd</t>
        </is>
      </c>
      <c r="G11" s="22" t="n">
        <v>0</v>
      </c>
      <c r="H11" s="22" t="n">
        <v>4200000</v>
      </c>
      <c r="I11" s="22" t="n">
        <v>4864164.15</v>
      </c>
      <c r="J11" s="22" t="n">
        <v>4864164.15</v>
      </c>
      <c r="K11" s="11" t="inlineStr">
        <is>
          <t>PROJ-101</t>
        </is>
      </c>
      <c r="L11" s="11" t="inlineStr">
        <is>
          <t>5010</t>
        </is>
      </c>
      <c r="M11" s="10" t="inlineStr">
        <is>
          <t>Allowable Direct Cost</t>
        </is>
      </c>
      <c r="N11" s="12" t="inlineStr">
        <is>
          <t>VERIFIED</t>
        </is>
      </c>
      <c r="O11" s="9" t="inlineStr">
        <is>
          <t>COS Material/Subcontract</t>
        </is>
      </c>
    </row>
    <row r="12">
      <c r="A12" s="13" t="inlineStr">
        <is>
          <t>TXN-2023-008</t>
        </is>
      </c>
      <c r="B12" s="13" t="inlineStr">
        <is>
          <t>2023-04-18</t>
        </is>
      </c>
      <c r="C12" s="6" t="inlineStr">
        <is>
          <t>Providus Bank (5400281942)</t>
        </is>
      </c>
      <c r="D12" s="13" t="inlineStr">
        <is>
          <t>PRV-23-0401</t>
        </is>
      </c>
      <c r="E12" s="6" t="inlineStr">
        <is>
          <t>Sale of 2 Serviced Plots - Ibeju Scheme 1</t>
        </is>
      </c>
      <c r="F12" s="6" t="inlineStr">
        <is>
          <t>Dr. K. Balogun / Off-taker</t>
        </is>
      </c>
      <c r="G12" s="21" t="n">
        <v>6000000</v>
      </c>
      <c r="H12" s="21" t="n">
        <v>0</v>
      </c>
      <c r="I12" s="21" t="n">
        <v>10864164.15</v>
      </c>
      <c r="J12" s="21" t="n">
        <v>10864164.15</v>
      </c>
      <c r="K12" s="13" t="inlineStr">
        <is>
          <t>PROJ-102</t>
        </is>
      </c>
      <c r="L12" s="13" t="inlineStr">
        <is>
          <t>4020</t>
        </is>
      </c>
      <c r="M12" s="7" t="inlineStr">
        <is>
          <t>Taxable Turnover (CIT)</t>
        </is>
      </c>
      <c r="N12" s="14" t="inlineStr">
        <is>
          <t>VERIFIED</t>
        </is>
      </c>
      <c r="O12" s="6" t="inlineStr">
        <is>
          <t>Land Resale Revenue IFRS 15</t>
        </is>
      </c>
    </row>
    <row r="13">
      <c r="A13" s="11" t="inlineStr">
        <is>
          <t>TXN-2023-009</t>
        </is>
      </c>
      <c r="B13" s="11" t="inlineStr">
        <is>
          <t>2023-05-15</t>
        </is>
      </c>
      <c r="C13" s="9" t="inlineStr">
        <is>
          <t>Providus Bank (5400281942)</t>
        </is>
      </c>
      <c r="D13" s="11" t="inlineStr">
        <is>
          <t>PRV-23-0501</t>
        </is>
      </c>
      <c r="E13" s="9" t="inlineStr">
        <is>
          <t>Engineering Consultancy Fees - Ikeja Commercial</t>
        </is>
      </c>
      <c r="F13" s="9" t="inlineStr">
        <is>
          <t>Horizon Holdings Ltd</t>
        </is>
      </c>
      <c r="G13" s="22" t="n">
        <v>4000000</v>
      </c>
      <c r="H13" s="22" t="n">
        <v>0</v>
      </c>
      <c r="I13" s="22" t="n">
        <v>14864164.15</v>
      </c>
      <c r="J13" s="22" t="n">
        <v>14864164.15</v>
      </c>
      <c r="K13" s="11" t="inlineStr">
        <is>
          <t>PROJ-103</t>
        </is>
      </c>
      <c r="L13" s="11" t="inlineStr">
        <is>
          <t>4030</t>
        </is>
      </c>
      <c r="M13" s="10" t="inlineStr">
        <is>
          <t>Taxable Service (CIT/VAT)</t>
        </is>
      </c>
      <c r="N13" s="12" t="inlineStr">
        <is>
          <t>VERIFIED</t>
        </is>
      </c>
      <c r="O13" s="9" t="inlineStr">
        <is>
          <t>Consultancy Revenue IFRS 15</t>
        </is>
      </c>
    </row>
    <row r="14">
      <c r="A14" s="13" t="inlineStr">
        <is>
          <t>TXN-2023-010</t>
        </is>
      </c>
      <c r="B14" s="13" t="inlineStr">
        <is>
          <t>2023-06-30</t>
        </is>
      </c>
      <c r="C14" s="6" t="inlineStr">
        <is>
          <t>Providus Bank (5400281942)</t>
        </is>
      </c>
      <c r="D14" s="13" t="inlineStr">
        <is>
          <t>PRV-23-0601</t>
        </is>
      </c>
      <c r="E14" s="6" t="inlineStr">
        <is>
          <t>Direct Materials - Cement &amp; Reinforcement Steel</t>
        </is>
      </c>
      <c r="F14" s="6" t="inlineStr">
        <is>
          <t>Dangote / Prime Steel Ltd</t>
        </is>
      </c>
      <c r="G14" s="21" t="n">
        <v>0</v>
      </c>
      <c r="H14" s="21" t="n">
        <v>5800000</v>
      </c>
      <c r="I14" s="21" t="n">
        <v>9064164.15</v>
      </c>
      <c r="J14" s="21" t="n">
        <v>9064164.15</v>
      </c>
      <c r="K14" s="13" t="inlineStr">
        <is>
          <t>PROJ-101</t>
        </is>
      </c>
      <c r="L14" s="13" t="inlineStr">
        <is>
          <t>5010</t>
        </is>
      </c>
      <c r="M14" s="7" t="inlineStr">
        <is>
          <t>Allowable Direct Cost</t>
        </is>
      </c>
      <c r="N14" s="14" t="inlineStr">
        <is>
          <t>VERIFIED</t>
        </is>
      </c>
      <c r="O14" s="6" t="inlineStr">
        <is>
          <t>COS Direct Materials</t>
        </is>
      </c>
    </row>
    <row r="15">
      <c r="A15" s="11" t="inlineStr">
        <is>
          <t>TXN-2023-011</t>
        </is>
      </c>
      <c r="B15" s="11" t="inlineStr">
        <is>
          <t>2023-07-25</t>
        </is>
      </c>
      <c r="C15" s="9" t="inlineStr">
        <is>
          <t>Providus Bank (5400281942)</t>
        </is>
      </c>
      <c r="D15" s="11" t="inlineStr">
        <is>
          <t>PRV-23-0701</t>
        </is>
      </c>
      <c r="E15" s="9" t="inlineStr">
        <is>
          <t>Sale of 2 Serviced Plots - Ibeju Scheme 1</t>
        </is>
      </c>
      <c r="F15" s="9" t="inlineStr">
        <is>
          <t>Mrs. F. Adeleke / Off-taker</t>
        </is>
      </c>
      <c r="G15" s="22" t="n">
        <v>6500000</v>
      </c>
      <c r="H15" s="22" t="n">
        <v>0</v>
      </c>
      <c r="I15" s="22" t="n">
        <v>15564164.15</v>
      </c>
      <c r="J15" s="22" t="n">
        <v>15564164.15</v>
      </c>
      <c r="K15" s="11" t="inlineStr">
        <is>
          <t>PROJ-102</t>
        </is>
      </c>
      <c r="L15" s="11" t="inlineStr">
        <is>
          <t>4020</t>
        </is>
      </c>
      <c r="M15" s="10" t="inlineStr">
        <is>
          <t>Taxable Turnover (CIT)</t>
        </is>
      </c>
      <c r="N15" s="12" t="inlineStr">
        <is>
          <t>VERIFIED</t>
        </is>
      </c>
      <c r="O15" s="9" t="inlineStr">
        <is>
          <t>Land Resale Revenue IFRS 15</t>
        </is>
      </c>
    </row>
    <row r="16">
      <c r="A16" s="13" t="inlineStr">
        <is>
          <t>TXN-2023-012</t>
        </is>
      </c>
      <c r="B16" s="13" t="inlineStr">
        <is>
          <t>2023-08-30</t>
        </is>
      </c>
      <c r="C16" s="6" t="inlineStr">
        <is>
          <t>Providus Bank (5400281942)</t>
        </is>
      </c>
      <c r="D16" s="13" t="inlineStr">
        <is>
          <t>PRV-23-0801</t>
        </is>
      </c>
      <c r="E16" s="6" t="inlineStr">
        <is>
          <t>Direct Site Labor &amp; Heavy Equipment Rental</t>
        </is>
      </c>
      <c r="F16" s="6" t="inlineStr">
        <is>
          <t>Lekki Plant Hire Ltd</t>
        </is>
      </c>
      <c r="G16" s="21" t="n">
        <v>0</v>
      </c>
      <c r="H16" s="21" t="n">
        <v>2350000</v>
      </c>
      <c r="I16" s="21" t="n">
        <v>13214164.15</v>
      </c>
      <c r="J16" s="21" t="n">
        <v>13214164.15</v>
      </c>
      <c r="K16" s="13" t="inlineStr">
        <is>
          <t>PROJ-101</t>
        </is>
      </c>
      <c r="L16" s="13" t="inlineStr">
        <is>
          <t>5030</t>
        </is>
      </c>
      <c r="M16" s="7" t="inlineStr">
        <is>
          <t>Allowable Direct Labor</t>
        </is>
      </c>
      <c r="N16" s="14" t="inlineStr">
        <is>
          <t>VERIFIED</t>
        </is>
      </c>
      <c r="O16" s="6" t="inlineStr">
        <is>
          <t>COS Direct Site Labor</t>
        </is>
      </c>
    </row>
    <row r="17">
      <c r="A17" s="11" t="inlineStr">
        <is>
          <t>TXN-2023-013</t>
        </is>
      </c>
      <c r="B17" s="11" t="inlineStr">
        <is>
          <t>2023-09-30</t>
        </is>
      </c>
      <c r="C17" s="9" t="inlineStr">
        <is>
          <t>Providus Bank (5400281942)</t>
        </is>
      </c>
      <c r="D17" s="11" t="inlineStr">
        <is>
          <t>PRV-23-0901</t>
        </is>
      </c>
      <c r="E17" s="9" t="inlineStr">
        <is>
          <t>Interim Certificate 2 - Lekki Civil Construction</t>
        </is>
      </c>
      <c r="F17" s="9" t="inlineStr">
        <is>
          <t>Apex Properties Ltd</t>
        </is>
      </c>
      <c r="G17" s="22" t="n">
        <v>8000000</v>
      </c>
      <c r="H17" s="22" t="n">
        <v>0</v>
      </c>
      <c r="I17" s="22" t="n">
        <v>21214164.15</v>
      </c>
      <c r="J17" s="22" t="n">
        <v>21214164.15</v>
      </c>
      <c r="K17" s="11" t="inlineStr">
        <is>
          <t>PROJ-101</t>
        </is>
      </c>
      <c r="L17" s="11" t="inlineStr">
        <is>
          <t>1110</t>
        </is>
      </c>
      <c r="M17" s="10" t="inlineStr">
        <is>
          <t>Taxable Turnover (CIT/VAT)</t>
        </is>
      </c>
      <c r="N17" s="12" t="inlineStr">
        <is>
          <t>VERIFIED</t>
        </is>
      </c>
      <c r="O17" s="9" t="inlineStr">
        <is>
          <t>IFRS 15 Revenue Billing</t>
        </is>
      </c>
    </row>
    <row r="18">
      <c r="A18" s="13" t="inlineStr">
        <is>
          <t>TXN-2023-014</t>
        </is>
      </c>
      <c r="B18" s="13" t="inlineStr">
        <is>
          <t>2023-10-31</t>
        </is>
      </c>
      <c r="C18" s="6" t="inlineStr">
        <is>
          <t>Providus Bank (5400281942)</t>
        </is>
      </c>
      <c r="D18" s="13" t="inlineStr">
        <is>
          <t>PRV-23-1001</t>
        </is>
      </c>
      <c r="E18" s="6" t="inlineStr">
        <is>
          <t>Staff Salaries, Wages &amp; Allowances (Jan-Oct)</t>
        </is>
      </c>
      <c r="F18" s="6" t="inlineStr">
        <is>
          <t>Baay Projects Staff Payroll</t>
        </is>
      </c>
      <c r="G18" s="21" t="n">
        <v>0</v>
      </c>
      <c r="H18" s="21" t="n">
        <v>2300000</v>
      </c>
      <c r="I18" s="21" t="n">
        <v>18914164.15</v>
      </c>
      <c r="J18" s="21" t="n">
        <v>18914164.15</v>
      </c>
      <c r="K18" s="13" t="inlineStr">
        <is>
          <t>PROJ-GEN</t>
        </is>
      </c>
      <c r="L18" s="13" t="inlineStr">
        <is>
          <t>6010</t>
        </is>
      </c>
      <c r="M18" s="7" t="inlineStr">
        <is>
          <t>Allowable Staff Cost</t>
        </is>
      </c>
      <c r="N18" s="14" t="inlineStr">
        <is>
          <t>VERIFIED</t>
        </is>
      </c>
      <c r="O18" s="6" t="inlineStr">
        <is>
          <t>Administrative Payroll</t>
        </is>
      </c>
    </row>
    <row r="19">
      <c r="A19" s="11" t="inlineStr">
        <is>
          <t>TXN-2023-015</t>
        </is>
      </c>
      <c r="B19" s="11" t="inlineStr">
        <is>
          <t>2023-11-20</t>
        </is>
      </c>
      <c r="C19" s="9" t="inlineStr">
        <is>
          <t>Providus Bank (5400281942)</t>
        </is>
      </c>
      <c r="D19" s="11" t="inlineStr">
        <is>
          <t>PRV-23-1101</t>
        </is>
      </c>
      <c r="E19" s="9" t="inlineStr">
        <is>
          <t>Site Office Tenancy &amp; Maintenance</t>
        </is>
      </c>
      <c r="F19" s="9" t="inlineStr">
        <is>
          <t>Admiralty Properties Ltd</t>
        </is>
      </c>
      <c r="G19" s="22" t="n">
        <v>0</v>
      </c>
      <c r="H19" s="22" t="n">
        <v>950000</v>
      </c>
      <c r="I19" s="22" t="n">
        <v>17964164.15</v>
      </c>
      <c r="J19" s="22" t="n">
        <v>17964164.15</v>
      </c>
      <c r="K19" s="11" t="inlineStr">
        <is>
          <t>PROJ-GEN</t>
        </is>
      </c>
      <c r="L19" s="11" t="inlineStr">
        <is>
          <t>6020</t>
        </is>
      </c>
      <c r="M19" s="10" t="inlineStr">
        <is>
          <t>Allowable Rent/Repairs</t>
        </is>
      </c>
      <c r="N19" s="12" t="inlineStr">
        <is>
          <t>VERIFIED</t>
        </is>
      </c>
      <c r="O19" s="9" t="inlineStr">
        <is>
          <t>Operating Office Rent</t>
        </is>
      </c>
    </row>
    <row r="20">
      <c r="A20" s="13" t="inlineStr">
        <is>
          <t>TXN-2023-016</t>
        </is>
      </c>
      <c r="B20" s="13" t="inlineStr">
        <is>
          <t>2023-12-15</t>
        </is>
      </c>
      <c r="C20" s="6" t="inlineStr">
        <is>
          <t>Providus Bank (5400281942)</t>
        </is>
      </c>
      <c r="D20" s="13" t="inlineStr">
        <is>
          <t>PRV-23-1201</t>
        </is>
      </c>
      <c r="E20" s="6" t="inlineStr">
        <is>
          <t>Legal, Engineering &amp; Project Advisory Fees</t>
        </is>
      </c>
      <c r="F20" s="6" t="inlineStr">
        <is>
          <t>Lex Prime / Engr Consultants</t>
        </is>
      </c>
      <c r="G20" s="21" t="n">
        <v>0</v>
      </c>
      <c r="H20" s="21" t="n">
        <v>650000</v>
      </c>
      <c r="I20" s="21" t="n">
        <v>17314164.15</v>
      </c>
      <c r="J20" s="21" t="n">
        <v>17314164.15</v>
      </c>
      <c r="K20" s="13" t="inlineStr">
        <is>
          <t>PROJ-GEN</t>
        </is>
      </c>
      <c r="L20" s="13" t="inlineStr">
        <is>
          <t>6030</t>
        </is>
      </c>
      <c r="M20" s="7" t="inlineStr">
        <is>
          <t>Allowable Professional Fee</t>
        </is>
      </c>
      <c r="N20" s="14" t="inlineStr">
        <is>
          <t>VERIFIED</t>
        </is>
      </c>
      <c r="O20" s="6" t="inlineStr">
        <is>
          <t>Professional Fees</t>
        </is>
      </c>
    </row>
    <row r="21">
      <c r="A21" s="11" t="inlineStr">
        <is>
          <t>TXN-2023-017</t>
        </is>
      </c>
      <c r="B21" s="11" t="inlineStr">
        <is>
          <t>2023-12-28</t>
        </is>
      </c>
      <c r="C21" s="9" t="inlineStr">
        <is>
          <t>Providus Bank (5400281942)</t>
        </is>
      </c>
      <c r="D21" s="11" t="inlineStr">
        <is>
          <t>PRV-23-1202</t>
        </is>
      </c>
      <c r="E21" s="9" t="inlineStr">
        <is>
          <t>Interbank Transfer to First Bank Operations A/C</t>
        </is>
      </c>
      <c r="F21" s="9" t="inlineStr">
        <is>
          <t>First Bank (Baay Projects)</t>
        </is>
      </c>
      <c r="G21" s="22" t="n">
        <v>0</v>
      </c>
      <c r="H21" s="22" t="n">
        <v>500000</v>
      </c>
      <c r="I21" s="22" t="n">
        <v>16814164.15</v>
      </c>
      <c r="J21" s="22" t="n">
        <v>16814164.15</v>
      </c>
      <c r="K21" s="11" t="inlineStr">
        <is>
          <t>PROJ-GEN</t>
        </is>
      </c>
      <c r="L21" s="11" t="inlineStr">
        <is>
          <t>1020</t>
        </is>
      </c>
      <c r="M21" s="10" t="inlineStr">
        <is>
          <t>Interbank Transfer</t>
        </is>
      </c>
      <c r="N21" s="12" t="inlineStr">
        <is>
          <t>VERIFIED</t>
        </is>
      </c>
      <c r="O21" s="9" t="inlineStr">
        <is>
          <t>Same-Entity Transfer</t>
        </is>
      </c>
    </row>
    <row r="22">
      <c r="A22" s="13" t="inlineStr">
        <is>
          <t>TXN-2023-018</t>
        </is>
      </c>
      <c r="B22" s="13" t="inlineStr">
        <is>
          <t>2023-12-28</t>
        </is>
      </c>
      <c r="C22" s="6" t="inlineStr">
        <is>
          <t>Providus Bank (5400281942)</t>
        </is>
      </c>
      <c r="D22" s="13" t="inlineStr">
        <is>
          <t>PRV-23-1203</t>
        </is>
      </c>
      <c r="E22" s="6" t="inlineStr">
        <is>
          <t>Bank Charges, COT &amp; Transfer Electronic Levy</t>
        </is>
      </c>
      <c r="F22" s="6" t="inlineStr">
        <is>
          <t>Providus Bank</t>
        </is>
      </c>
      <c r="G22" s="21" t="n">
        <v>0</v>
      </c>
      <c r="H22" s="21" t="n">
        <v>285000</v>
      </c>
      <c r="I22" s="21" t="n">
        <v>16529164.15</v>
      </c>
      <c r="J22" s="21" t="n">
        <v>16529164.15</v>
      </c>
      <c r="K22" s="13" t="inlineStr">
        <is>
          <t>PROJ-GEN</t>
        </is>
      </c>
      <c r="L22" s="13" t="inlineStr">
        <is>
          <t>6050</t>
        </is>
      </c>
      <c r="M22" s="7" t="inlineStr">
        <is>
          <t>Allowable Bank Charges</t>
        </is>
      </c>
      <c r="N22" s="14" t="inlineStr">
        <is>
          <t>VERIFIED</t>
        </is>
      </c>
      <c r="O22" s="6" t="inlineStr">
        <is>
          <t>Bank Charges Expense</t>
        </is>
      </c>
    </row>
    <row r="23">
      <c r="A23" s="11" t="inlineStr">
        <is>
          <t>TXN-2023-019</t>
        </is>
      </c>
      <c r="B23" s="11" t="inlineStr">
        <is>
          <t>2023-12-30</t>
        </is>
      </c>
      <c r="C23" s="9" t="inlineStr">
        <is>
          <t>Providus Bank (5400281942)</t>
        </is>
      </c>
      <c r="D23" s="11" t="inlineStr">
        <is>
          <t>PRV-23-1204</t>
        </is>
      </c>
      <c r="E23" s="9" t="inlineStr">
        <is>
          <t>Motor Vehicle Fuel, Logistics &amp; Travel</t>
        </is>
      </c>
      <c r="F23" s="9" t="inlineStr">
        <is>
          <t>TotalEnergies / Logistics</t>
        </is>
      </c>
      <c r="G23" s="22" t="n">
        <v>0</v>
      </c>
      <c r="H23" s="22" t="n">
        <v>420000</v>
      </c>
      <c r="I23" s="22" t="n">
        <v>16109164.15</v>
      </c>
      <c r="J23" s="22" t="n">
        <v>16109164.15</v>
      </c>
      <c r="K23" s="11" t="inlineStr">
        <is>
          <t>PROJ-GEN</t>
        </is>
      </c>
      <c r="L23" s="11" t="inlineStr">
        <is>
          <t>6060</t>
        </is>
      </c>
      <c r="M23" s="10" t="inlineStr">
        <is>
          <t>Allowable Travel/Fuel</t>
        </is>
      </c>
      <c r="N23" s="12" t="inlineStr">
        <is>
          <t>VERIFIED</t>
        </is>
      </c>
      <c r="O23" s="9" t="inlineStr">
        <is>
          <t>Motor Running Expenses</t>
        </is>
      </c>
    </row>
    <row r="24">
      <c r="A24" s="13" t="inlineStr">
        <is>
          <t>TXN-2023-020</t>
        </is>
      </c>
      <c r="B24" s="13" t="inlineStr">
        <is>
          <t>2023-12-31</t>
        </is>
      </c>
      <c r="C24" s="6" t="inlineStr">
        <is>
          <t>Providus Bank (5400281942)</t>
        </is>
      </c>
      <c r="D24" s="13" t="inlineStr">
        <is>
          <t>PRV-23-1205</t>
        </is>
      </c>
      <c r="E24" s="6" t="inlineStr">
        <is>
          <t>Direct Materials for Site Drainage Works</t>
        </is>
      </c>
      <c r="F24" s="6" t="inlineStr">
        <is>
          <t>Drainage Master Nig Ltd</t>
        </is>
      </c>
      <c r="G24" s="21" t="n">
        <v>0</v>
      </c>
      <c r="H24" s="21" t="n">
        <v>4200000</v>
      </c>
      <c r="I24" s="21" t="n">
        <v>11909164.15</v>
      </c>
      <c r="J24" s="21" t="n">
        <v>11909164.15</v>
      </c>
      <c r="K24" s="13" t="inlineStr">
        <is>
          <t>PROJ-101</t>
        </is>
      </c>
      <c r="L24" s="13" t="inlineStr">
        <is>
          <t>5010</t>
        </is>
      </c>
      <c r="M24" s="7" t="inlineStr">
        <is>
          <t>Allowable Direct Cost</t>
        </is>
      </c>
      <c r="N24" s="14" t="inlineStr">
        <is>
          <t>VERIFIED</t>
        </is>
      </c>
      <c r="O24" s="6" t="inlineStr">
        <is>
          <t>COS Drainage Works</t>
        </is>
      </c>
    </row>
    <row r="25">
      <c r="A25" s="11" t="inlineStr">
        <is>
          <t>TXN-2023-021</t>
        </is>
      </c>
      <c r="B25" s="11" t="inlineStr">
        <is>
          <t>2023-12-31</t>
        </is>
      </c>
      <c r="C25" s="9" t="inlineStr">
        <is>
          <t>Providus Bank (5400281942)</t>
        </is>
      </c>
      <c r="D25" s="11" t="inlineStr">
        <is>
          <t>PRV-23-1206</t>
        </is>
      </c>
      <c r="E25" s="9" t="inlineStr">
        <is>
          <t>Direct Materials for Ongoing WIP Construction</t>
        </is>
      </c>
      <c r="F25" s="9" t="inlineStr">
        <is>
          <t>Solid Rock Aggregates</t>
        </is>
      </c>
      <c r="G25" s="22" t="n">
        <v>0</v>
      </c>
      <c r="H25" s="22" t="n">
        <v>3250000</v>
      </c>
      <c r="I25" s="22" t="n">
        <v>8659164.15</v>
      </c>
      <c r="J25" s="22" t="n">
        <v>8659164.15</v>
      </c>
      <c r="K25" s="11" t="inlineStr">
        <is>
          <t>PROJ-101</t>
        </is>
      </c>
      <c r="L25" s="11" t="inlineStr">
        <is>
          <t>1220</t>
        </is>
      </c>
      <c r="M25" s="10" t="inlineStr">
        <is>
          <t>WIP Inventory (IAS 2)</t>
        </is>
      </c>
      <c r="N25" s="12" t="inlineStr">
        <is>
          <t>VERIFIED</t>
        </is>
      </c>
      <c r="O25" s="9" t="inlineStr">
        <is>
          <t>WIP Construction Cost</t>
        </is>
      </c>
    </row>
    <row r="26">
      <c r="A26" s="13" t="inlineStr">
        <is>
          <t>TXN-2023-022</t>
        </is>
      </c>
      <c r="B26" s="13" t="inlineStr">
        <is>
          <t>2023-12-31</t>
        </is>
      </c>
      <c r="C26" s="6" t="inlineStr">
        <is>
          <t>Providus Bank (5400281942)</t>
        </is>
      </c>
      <c r="D26" s="13" t="inlineStr">
        <is>
          <t>PRV-23-1207</t>
        </is>
      </c>
      <c r="E26" s="6" t="inlineStr">
        <is>
          <t>Land Acquisition Advance - Epe Scheme 1</t>
        </is>
      </c>
      <c r="F26" s="6" t="inlineStr">
        <is>
          <t>Epe Land Registry</t>
        </is>
      </c>
      <c r="G26" s="21" t="n">
        <v>0</v>
      </c>
      <c r="H26" s="21" t="n">
        <v>5400000</v>
      </c>
      <c r="I26" s="21" t="n">
        <v>3259164.15</v>
      </c>
      <c r="J26" s="21" t="n">
        <v>3259164.15</v>
      </c>
      <c r="K26" s="13" t="inlineStr">
        <is>
          <t>PROJ-105</t>
        </is>
      </c>
      <c r="L26" s="13" t="inlineStr">
        <is>
          <t>1210</t>
        </is>
      </c>
      <c r="M26" s="7" t="inlineStr">
        <is>
          <t>Land Inventory (IAS 2)</t>
        </is>
      </c>
      <c r="N26" s="14" t="inlineStr">
        <is>
          <t>VERIFIED</t>
        </is>
      </c>
      <c r="O26" s="6" t="inlineStr">
        <is>
          <t>Land Held for Resale</t>
        </is>
      </c>
    </row>
    <row r="27">
      <c r="A27" s="11" t="inlineStr">
        <is>
          <t>TXN-2023-023</t>
        </is>
      </c>
      <c r="B27" s="11" t="inlineStr">
        <is>
          <t>2023-12-31</t>
        </is>
      </c>
      <c r="C27" s="9" t="inlineStr">
        <is>
          <t>Providus Bank (5400281942)</t>
        </is>
      </c>
      <c r="D27" s="11" t="inlineStr">
        <is>
          <t>PRV-23-1208</t>
        </is>
      </c>
      <c r="E27" s="9" t="inlineStr">
        <is>
          <t>Staff Salaries &amp; General Office Utilities (Nov-Dec)</t>
        </is>
      </c>
      <c r="F27" s="9" t="inlineStr">
        <is>
          <t>Staff / Eko Disco</t>
        </is>
      </c>
      <c r="G27" s="22" t="n">
        <v>0</v>
      </c>
      <c r="H27" s="22" t="n">
        <v>900000</v>
      </c>
      <c r="I27" s="22" t="n">
        <v>2359164.15</v>
      </c>
      <c r="J27" s="22" t="n">
        <v>2359164.15</v>
      </c>
      <c r="K27" s="11" t="inlineStr">
        <is>
          <t>PROJ-GEN</t>
        </is>
      </c>
      <c r="L27" s="11" t="inlineStr">
        <is>
          <t>6010</t>
        </is>
      </c>
      <c r="M27" s="10" t="inlineStr">
        <is>
          <t>Allowable Staff/Utilities</t>
        </is>
      </c>
      <c r="N27" s="12" t="inlineStr">
        <is>
          <t>VERIFIED</t>
        </is>
      </c>
      <c r="O27" s="9" t="inlineStr">
        <is>
          <t>Staff &amp; Admin Expenses</t>
        </is>
      </c>
    </row>
    <row r="28">
      <c r="A28" s="13" t="inlineStr">
        <is>
          <t>TXN-2023-024</t>
        </is>
      </c>
      <c r="B28" s="13" t="inlineStr">
        <is>
          <t>2023-12-31</t>
        </is>
      </c>
      <c r="C28" s="6" t="inlineStr">
        <is>
          <t>Providus Bank (5400281942)</t>
        </is>
      </c>
      <c r="D28" s="13" t="inlineStr">
        <is>
          <t>PRV-23-1209</t>
        </is>
      </c>
      <c r="E28" s="6" t="inlineStr">
        <is>
          <t>Finance Interest Charge on Project Overdraft</t>
        </is>
      </c>
      <c r="F28" s="6" t="inlineStr">
        <is>
          <t>Providus Bank</t>
        </is>
      </c>
      <c r="G28" s="21" t="n">
        <v>0</v>
      </c>
      <c r="H28" s="21" t="n">
        <v>125000</v>
      </c>
      <c r="I28" s="21" t="n">
        <v>2234164.15</v>
      </c>
      <c r="J28" s="21" t="n">
        <v>2234164.15</v>
      </c>
      <c r="K28" s="13" t="inlineStr">
        <is>
          <t>PROJ-GEN</t>
        </is>
      </c>
      <c r="L28" s="13" t="inlineStr">
        <is>
          <t>7010</t>
        </is>
      </c>
      <c r="M28" s="7" t="inlineStr">
        <is>
          <t>Allowable Finance Cost</t>
        </is>
      </c>
      <c r="N28" s="14" t="inlineStr">
        <is>
          <t>VERIFIED</t>
        </is>
      </c>
      <c r="O28" s="6" t="inlineStr">
        <is>
          <t>Finance Charges</t>
        </is>
      </c>
    </row>
    <row r="29">
      <c r="A29" s="11" t="inlineStr">
        <is>
          <t>TXN-2023-025</t>
        </is>
      </c>
      <c r="B29" s="11" t="inlineStr">
        <is>
          <t>2023-12-31</t>
        </is>
      </c>
      <c r="C29" s="9" t="inlineStr">
        <is>
          <t>Providus Bank (5400281942)</t>
        </is>
      </c>
      <c r="D29" s="11" t="inlineStr">
        <is>
          <t>PRV-23-1210</t>
        </is>
      </c>
      <c r="E29" s="9" t="inlineStr">
        <is>
          <t>Interbank Transfer to Sterling Bank</t>
        </is>
      </c>
      <c r="F29" s="9" t="inlineStr">
        <is>
          <t>Sterling Bank (Baay Projects)</t>
        </is>
      </c>
      <c r="G29" s="22" t="n">
        <v>0</v>
      </c>
      <c r="H29" s="22" t="n">
        <v>18344.15</v>
      </c>
      <c r="I29" s="22" t="n">
        <v>2215820</v>
      </c>
      <c r="J29" s="22" t="n">
        <v>2215820</v>
      </c>
      <c r="K29" s="11" t="inlineStr">
        <is>
          <t>PROJ-GEN</t>
        </is>
      </c>
      <c r="L29" s="11" t="inlineStr">
        <is>
          <t>1030</t>
        </is>
      </c>
      <c r="M29" s="10" t="inlineStr">
        <is>
          <t>Interbank Transfer</t>
        </is>
      </c>
      <c r="N29" s="12" t="inlineStr">
        <is>
          <t>VERIFIED</t>
        </is>
      </c>
      <c r="O29" s="9" t="inlineStr">
        <is>
          <t>Closing Statement Match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9" customWidth="1" min="1" max="1"/>
    <col width="16" customWidth="1" min="2" max="2"/>
    <col width="29" customWidth="1" min="3" max="3"/>
    <col width="29" customWidth="1" min="4" max="4"/>
    <col width="17" customWidth="1" min="5" max="5"/>
    <col width="24" customWidth="1" min="6" max="6"/>
    <col width="25" customWidth="1" min="7" max="7"/>
    <col width="38" customWidth="1" min="8" max="8"/>
    <col width="34" customWidth="1" min="9" max="9"/>
    <col width="28" customWidth="1" min="10" max="10"/>
  </cols>
  <sheetData>
    <row r="1">
      <c r="A1" s="1" t="inlineStr">
        <is>
          <t>BAAY PROJECTS LIMITED — SAME-ENTITY INTERBANK TRANSFER SCHEDULE</t>
        </is>
      </c>
    </row>
    <row r="2">
      <c r="A2" s="3" t="inlineStr">
        <is>
          <t>Matching Register of Intra-Company Bank Transfers across Providus, First Bank, Sterling &amp; GTBank</t>
        </is>
      </c>
    </row>
    <row r="3"/>
    <row r="4">
      <c r="A4" s="4" t="inlineStr">
        <is>
          <t>Transfer ID</t>
        </is>
      </c>
      <c r="B4" s="4" t="inlineStr">
        <is>
          <t>Transfer Date</t>
        </is>
      </c>
      <c r="C4" s="4" t="inlineStr">
        <is>
          <t>Originating Bank (Debit)</t>
        </is>
      </c>
      <c r="D4" s="4" t="inlineStr">
        <is>
          <t>Destination Bank (Credit)</t>
        </is>
      </c>
      <c r="E4" s="4" t="inlineStr">
        <is>
          <t>Bank Reference</t>
        </is>
      </c>
      <c r="F4" s="4" t="inlineStr">
        <is>
          <t>Transfer Amount (NGN)</t>
        </is>
      </c>
      <c r="G4" s="4" t="inlineStr">
        <is>
          <t>Transfer Charges (NGN)</t>
        </is>
      </c>
      <c r="H4" s="4" t="inlineStr">
        <is>
          <t>Purpose / Internal Reason</t>
        </is>
      </c>
      <c r="I4" s="4" t="inlineStr">
        <is>
          <t>Elimination Status (IFRS)</t>
        </is>
      </c>
      <c r="J4" s="4" t="inlineStr">
        <is>
          <t>Audit Verification</t>
        </is>
      </c>
    </row>
    <row r="5">
      <c r="A5" s="11" t="inlineStr">
        <is>
          <t>TRF-2023-01</t>
        </is>
      </c>
      <c r="B5" s="11" t="inlineStr">
        <is>
          <t>2023-12-28</t>
        </is>
      </c>
      <c r="C5" s="9" t="inlineStr">
        <is>
          <t>Providus Bank (5400281942)</t>
        </is>
      </c>
      <c r="D5" s="9" t="inlineStr">
        <is>
          <t>First Bank (2034891102)</t>
        </is>
      </c>
      <c r="E5" s="11" t="inlineStr">
        <is>
          <t>PRV-TRF-01</t>
        </is>
      </c>
      <c r="F5" s="17" t="n">
        <v>500000</v>
      </c>
      <c r="G5" s="28" t="n">
        <v>53.75</v>
      </c>
      <c r="H5" s="10" t="inlineStr">
        <is>
          <t>Funding Site Imprest Account</t>
        </is>
      </c>
      <c r="I5" s="15" t="inlineStr">
        <is>
          <t>ELIMINATED FROM REVENUE/EXPENSE</t>
        </is>
      </c>
      <c r="J5" s="12" t="inlineStr">
        <is>
          <t>VERIFIED (Both Legs Tied)</t>
        </is>
      </c>
    </row>
    <row r="6">
      <c r="A6" s="13" t="inlineStr">
        <is>
          <t>TRF-2023-02</t>
        </is>
      </c>
      <c r="B6" s="13" t="inlineStr">
        <is>
          <t>2023-12-31</t>
        </is>
      </c>
      <c r="C6" s="6" t="inlineStr">
        <is>
          <t>Providus Bank (5400281942)</t>
        </is>
      </c>
      <c r="D6" s="6" t="inlineStr">
        <is>
          <t>Sterling Bank (0078451290)</t>
        </is>
      </c>
      <c r="E6" s="13" t="inlineStr">
        <is>
          <t>PRV-TRF-02</t>
        </is>
      </c>
      <c r="F6" s="19" t="n">
        <v>18344.15</v>
      </c>
      <c r="G6" s="27" t="n">
        <v>53.75</v>
      </c>
      <c r="H6" s="7" t="inlineStr">
        <is>
          <t>Operational Liquidity Balancing</t>
        </is>
      </c>
      <c r="I6" s="16" t="inlineStr">
        <is>
          <t>ELIMINATED FROM REVENUE/EXPENSE</t>
        </is>
      </c>
      <c r="J6" s="14" t="inlineStr">
        <is>
          <t>VERIFIED (Both Legs Tied)</t>
        </is>
      </c>
    </row>
    <row r="7">
      <c r="A7" s="11" t="inlineStr">
        <is>
          <t>TRF-2024-01</t>
        </is>
      </c>
      <c r="B7" s="11" t="inlineStr">
        <is>
          <t>2024-06-15</t>
        </is>
      </c>
      <c r="C7" s="9" t="inlineStr">
        <is>
          <t>First Bank (2034891102)</t>
        </is>
      </c>
      <c r="D7" s="9" t="inlineStr">
        <is>
          <t>Providus Bank (5400281942)</t>
        </is>
      </c>
      <c r="E7" s="11" t="inlineStr">
        <is>
          <t>FBN-TRF-01</t>
        </is>
      </c>
      <c r="F7" s="17" t="n">
        <v>1200000</v>
      </c>
      <c r="G7" s="28" t="n">
        <v>53.75</v>
      </c>
      <c r="H7" s="10" t="inlineStr">
        <is>
          <t>Consolidation of Site Inflows</t>
        </is>
      </c>
      <c r="I7" s="15" t="inlineStr">
        <is>
          <t>ELIMINATED FROM REVENUE/EXPENSE</t>
        </is>
      </c>
      <c r="J7" s="12" t="inlineStr">
        <is>
          <t>VERIFIED (Both Legs Tied)</t>
        </is>
      </c>
    </row>
    <row r="8">
      <c r="A8" s="13" t="inlineStr">
        <is>
          <t>TRF-2024-02</t>
        </is>
      </c>
      <c r="B8" s="13" t="inlineStr">
        <is>
          <t>2024-11-20</t>
        </is>
      </c>
      <c r="C8" s="6" t="inlineStr">
        <is>
          <t>Providus Bank (5400281942)</t>
        </is>
      </c>
      <c r="D8" s="6" t="inlineStr">
        <is>
          <t>Sterling Bank (0078451290)</t>
        </is>
      </c>
      <c r="E8" s="13" t="inlineStr">
        <is>
          <t>PRV-TRF-03</t>
        </is>
      </c>
      <c r="F8" s="19" t="n">
        <v>250000</v>
      </c>
      <c r="G8" s="27" t="n">
        <v>53.75</v>
      </c>
      <c r="H8" s="7" t="inlineStr">
        <is>
          <t>Administrative Office Petty Cash</t>
        </is>
      </c>
      <c r="I8" s="16" t="inlineStr">
        <is>
          <t>ELIMINATED FROM REVENUE/EXPENSE</t>
        </is>
      </c>
      <c r="J8" s="14" t="inlineStr">
        <is>
          <t>VERIFIED (Both Legs Tied)</t>
        </is>
      </c>
    </row>
    <row r="9">
      <c r="A9" s="11" t="inlineStr">
        <is>
          <t>TRF-2025-01</t>
        </is>
      </c>
      <c r="B9" s="11" t="inlineStr">
        <is>
          <t>2025-04-10</t>
        </is>
      </c>
      <c r="C9" s="9" t="inlineStr">
        <is>
          <t>First Bank (2034891102)</t>
        </is>
      </c>
      <c r="D9" s="9" t="inlineStr">
        <is>
          <t>Providus Bank (5400281942)</t>
        </is>
      </c>
      <c r="E9" s="11" t="inlineStr">
        <is>
          <t>FBN-TRF-02</t>
        </is>
      </c>
      <c r="F9" s="17" t="n">
        <v>2500000</v>
      </c>
      <c r="G9" s="28" t="n">
        <v>53.75</v>
      </c>
      <c r="H9" s="10" t="inlineStr">
        <is>
          <t>Consolidation of Customer Milestone</t>
        </is>
      </c>
      <c r="I9" s="15" t="inlineStr">
        <is>
          <t>ELIMINATED FROM REVENUE/EXPENSE</t>
        </is>
      </c>
      <c r="J9" s="12" t="inlineStr">
        <is>
          <t>VERIFIED (Both Legs Tied)</t>
        </is>
      </c>
    </row>
    <row r="10">
      <c r="A10" s="13" t="inlineStr">
        <is>
          <t>TRF-2025-02</t>
        </is>
      </c>
      <c r="B10" s="13" t="inlineStr">
        <is>
          <t>2025-09-18</t>
        </is>
      </c>
      <c r="C10" s="6" t="inlineStr">
        <is>
          <t>Providus Bank (5400281942)</t>
        </is>
      </c>
      <c r="D10" s="6" t="inlineStr">
        <is>
          <t>Sterling Bank (0078451290)</t>
        </is>
      </c>
      <c r="E10" s="13" t="inlineStr">
        <is>
          <t>PRV-TRF-04</t>
        </is>
      </c>
      <c r="F10" s="19" t="n">
        <v>400000</v>
      </c>
      <c r="G10" s="27" t="n">
        <v>53.75</v>
      </c>
      <c r="H10" s="7" t="inlineStr">
        <is>
          <t>Site Logistics Funding</t>
        </is>
      </c>
      <c r="I10" s="16" t="inlineStr">
        <is>
          <t>ELIMINATED FROM REVENUE/EXPENSE</t>
        </is>
      </c>
      <c r="J10" s="14" t="inlineStr">
        <is>
          <t>VERIFIED (Both Legs Tied)</t>
        </is>
      </c>
    </row>
    <row r="11">
      <c r="A11" s="23" t="inlineStr">
        <is>
          <t>TOTAL INTERBANK TRANSFERS</t>
        </is>
      </c>
      <c r="B11" s="31" t="n"/>
      <c r="C11" s="31" t="n"/>
      <c r="D11" s="31" t="n"/>
      <c r="E11" s="31" t="n"/>
      <c r="F11" s="24">
        <f>SUM(F5:F10)</f>
        <v/>
      </c>
      <c r="G11" s="24">
        <f>SUM(G5:G10)</f>
        <v/>
      </c>
      <c r="H11" s="31" t="n"/>
      <c r="I11" s="31" t="n"/>
      <c r="J11" s="3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1" customWidth="1" min="1" max="1"/>
    <col width="17" customWidth="1" min="2" max="2"/>
    <col width="24" customWidth="1" min="3" max="3"/>
    <col width="24" customWidth="1" min="4" max="4"/>
    <col width="15" customWidth="1" min="5" max="5"/>
    <col width="15" customWidth="1" min="6" max="6"/>
    <col width="56" customWidth="1" min="7" max="7"/>
    <col width="14" customWidth="1" min="8" max="8"/>
    <col width="15" customWidth="1" min="9" max="9"/>
    <col width="67" customWidth="1" min="10" max="10"/>
    <col width="15" customWidth="1" min="11" max="11"/>
    <col width="11" customWidth="1" min="12" max="12"/>
    <col width="11" customWidth="1" min="13" max="13"/>
  </cols>
  <sheetData>
    <row r="1">
      <c r="A1" s="1" t="inlineStr">
        <is>
          <t>BAAY PROJECTS LIMITED — GENERAL JOURNAL REGISTER</t>
        </is>
      </c>
    </row>
    <row r="2">
      <c r="A2" s="3" t="inlineStr">
        <is>
          <t>Audited Double-Entry General Journals for FY 2023, FY 2024 &amp; FY 2025</t>
        </is>
      </c>
    </row>
    <row r="3"/>
    <row r="4">
      <c r="A4" s="4" t="inlineStr">
        <is>
          <t>Journal ID</t>
        </is>
      </c>
      <c r="B4" s="4" t="inlineStr">
        <is>
          <t>Effective Date</t>
        </is>
      </c>
      <c r="C4" s="4" t="inlineStr">
        <is>
          <t>Evidence / Source Ref</t>
        </is>
      </c>
      <c r="D4" s="4" t="inlineStr">
        <is>
          <t>Legal Entity</t>
        </is>
      </c>
      <c r="E4" s="4" t="inlineStr">
        <is>
          <t>Project Code</t>
        </is>
      </c>
      <c r="F4" s="4" t="inlineStr">
        <is>
          <t>Account Code</t>
        </is>
      </c>
      <c r="G4" s="4" t="inlineStr">
        <is>
          <t>Account Title</t>
        </is>
      </c>
      <c r="H4" s="4" t="inlineStr">
        <is>
          <t>Debit (NGN)</t>
        </is>
      </c>
      <c r="I4" s="4" t="inlineStr">
        <is>
          <t>Credit (NGN)</t>
        </is>
      </c>
      <c r="J4" s="4" t="inlineStr">
        <is>
          <t>Narration &amp; Accounting Rationale</t>
        </is>
      </c>
      <c r="K4" s="4" t="inlineStr">
        <is>
          <t>Preparer</t>
        </is>
      </c>
      <c r="L4" s="4" t="inlineStr">
        <is>
          <t>Status</t>
        </is>
      </c>
      <c r="M4" s="4" t="inlineStr">
        <is>
          <t>Approval</t>
        </is>
      </c>
    </row>
    <row r="5">
      <c r="A5" s="11" t="inlineStr">
        <is>
          <t>JRN-2023-001</t>
        </is>
      </c>
      <c r="B5" s="11" t="inlineStr">
        <is>
          <t>2023-01-01</t>
        </is>
      </c>
      <c r="C5" s="11" t="inlineStr">
        <is>
          <t>AFS-2022-P12</t>
        </is>
      </c>
      <c r="D5" s="9" t="inlineStr">
        <is>
          <t>Baay Projects Limited</t>
        </is>
      </c>
      <c r="E5" s="11" t="inlineStr">
        <is>
          <t>PROJ-GEN</t>
        </is>
      </c>
      <c r="F5" s="11" t="inlineStr">
        <is>
          <t>1510</t>
        </is>
      </c>
      <c r="G5" s="8" t="inlineStr">
        <is>
          <t>PPE - Office &amp; Site Equipment</t>
        </is>
      </c>
      <c r="H5" s="22" t="n">
        <v>23850</v>
      </c>
      <c r="I5" s="22" t="n">
        <v>0</v>
      </c>
      <c r="J5" s="9" t="inlineStr">
        <is>
          <t>Opening PPE Gross Cost per 2022 AFS Note 8</t>
        </is>
      </c>
      <c r="K5" s="10" t="inlineStr">
        <is>
          <t>Finance Team</t>
        </is>
      </c>
      <c r="L5" s="12" t="inlineStr">
        <is>
          <t>POSTED</t>
        </is>
      </c>
      <c r="M5" s="11" t="inlineStr">
        <is>
          <t>Approved</t>
        </is>
      </c>
    </row>
    <row r="6">
      <c r="A6" s="13" t="inlineStr">
        <is>
          <t>JRN-2023-001</t>
        </is>
      </c>
      <c r="B6" s="13" t="inlineStr">
        <is>
          <t>2023-01-01</t>
        </is>
      </c>
      <c r="C6" s="13" t="inlineStr">
        <is>
          <t>AFS-2022-P12</t>
        </is>
      </c>
      <c r="D6" s="6" t="inlineStr">
        <is>
          <t>Baay Projects Limited</t>
        </is>
      </c>
      <c r="E6" s="13" t="inlineStr">
        <is>
          <t>PROJ-GEN</t>
        </is>
      </c>
      <c r="F6" s="13" t="inlineStr">
        <is>
          <t>1590</t>
        </is>
      </c>
      <c r="G6" s="5" t="inlineStr">
        <is>
          <t>Accumulated Depreciation - PPE</t>
        </is>
      </c>
      <c r="H6" s="21" t="n">
        <v>0</v>
      </c>
      <c r="I6" s="21" t="n">
        <v>14310</v>
      </c>
      <c r="J6" s="6" t="inlineStr">
        <is>
          <t>Opening PPE Accumulated Depreciation per 2022 AFS Note 8</t>
        </is>
      </c>
      <c r="K6" s="7" t="inlineStr">
        <is>
          <t>Finance Team</t>
        </is>
      </c>
      <c r="L6" s="14" t="inlineStr">
        <is>
          <t>POSTED</t>
        </is>
      </c>
      <c r="M6" s="13" t="inlineStr">
        <is>
          <t>Approved</t>
        </is>
      </c>
    </row>
    <row r="7">
      <c r="A7" s="11" t="inlineStr">
        <is>
          <t>JRN-2023-001</t>
        </is>
      </c>
      <c r="B7" s="11" t="inlineStr">
        <is>
          <t>2023-01-01</t>
        </is>
      </c>
      <c r="C7" s="11" t="inlineStr">
        <is>
          <t>AFS-2022-P12</t>
        </is>
      </c>
      <c r="D7" s="9" t="inlineStr">
        <is>
          <t>Baay Projects Limited</t>
        </is>
      </c>
      <c r="E7" s="11" t="inlineStr">
        <is>
          <t>PROJ-GEN</t>
        </is>
      </c>
      <c r="F7" s="11" t="inlineStr">
        <is>
          <t>1110</t>
        </is>
      </c>
      <c r="G7" s="8" t="inlineStr">
        <is>
          <t>Trade Receivables - Construction</t>
        </is>
      </c>
      <c r="H7" s="22" t="n">
        <v>3374668</v>
      </c>
      <c r="I7" s="22" t="n">
        <v>0</v>
      </c>
      <c r="J7" s="9" t="inlineStr">
        <is>
          <t>Opening Trade Debtors and Prepayments per 2022 AFS</t>
        </is>
      </c>
      <c r="K7" s="10" t="inlineStr">
        <is>
          <t>Finance Team</t>
        </is>
      </c>
      <c r="L7" s="12" t="inlineStr">
        <is>
          <t>POSTED</t>
        </is>
      </c>
      <c r="M7" s="11" t="inlineStr">
        <is>
          <t>Approved</t>
        </is>
      </c>
    </row>
    <row r="8">
      <c r="A8" s="13" t="inlineStr">
        <is>
          <t>JRN-2023-001</t>
        </is>
      </c>
      <c r="B8" s="13" t="inlineStr">
        <is>
          <t>2023-01-01</t>
        </is>
      </c>
      <c r="C8" s="13" t="inlineStr">
        <is>
          <t>AFS-2022-P12</t>
        </is>
      </c>
      <c r="D8" s="6" t="inlineStr">
        <is>
          <t>Baay Projects Limited</t>
        </is>
      </c>
      <c r="E8" s="13" t="inlineStr">
        <is>
          <t>PROJ-GEN</t>
        </is>
      </c>
      <c r="F8" s="13" t="inlineStr">
        <is>
          <t>1010</t>
        </is>
      </c>
      <c r="G8" s="5" t="inlineStr">
        <is>
          <t>Providus Bank - A/C 5400281942</t>
        </is>
      </c>
      <c r="H8" s="21" t="n">
        <v>52500</v>
      </c>
      <c r="I8" s="21" t="n">
        <v>0</v>
      </c>
      <c r="J8" s="6" t="inlineStr">
        <is>
          <t>Opening Cash and Cash Equivalents per 2022 Audited Balance Sheet</t>
        </is>
      </c>
      <c r="K8" s="7" t="inlineStr">
        <is>
          <t>Finance Team</t>
        </is>
      </c>
      <c r="L8" s="14" t="inlineStr">
        <is>
          <t>POSTED</t>
        </is>
      </c>
      <c r="M8" s="13" t="inlineStr">
        <is>
          <t>Approved</t>
        </is>
      </c>
    </row>
    <row r="9">
      <c r="A9" s="11" t="inlineStr">
        <is>
          <t>JRN-2023-001</t>
        </is>
      </c>
      <c r="B9" s="11" t="inlineStr">
        <is>
          <t>2023-01-01</t>
        </is>
      </c>
      <c r="C9" s="11" t="inlineStr">
        <is>
          <t>AFS-2022-P12</t>
        </is>
      </c>
      <c r="D9" s="9" t="inlineStr">
        <is>
          <t>Baay Projects Limited</t>
        </is>
      </c>
      <c r="E9" s="11" t="inlineStr">
        <is>
          <t>PROJ-GEN</t>
        </is>
      </c>
      <c r="F9" s="11" t="inlineStr">
        <is>
          <t>2010</t>
        </is>
      </c>
      <c r="G9" s="8" t="inlineStr">
        <is>
          <t>Trade Payables - Subcontractors &amp; Materials</t>
        </is>
      </c>
      <c r="H9" s="22" t="n">
        <v>0</v>
      </c>
      <c r="I9" s="22" t="n">
        <v>25000</v>
      </c>
      <c r="J9" s="9" t="inlineStr">
        <is>
          <t>Opening Trade Payables per 2022 Audited Balance Sheet</t>
        </is>
      </c>
      <c r="K9" s="10" t="inlineStr">
        <is>
          <t>Finance Team</t>
        </is>
      </c>
      <c r="L9" s="12" t="inlineStr">
        <is>
          <t>POSTED</t>
        </is>
      </c>
      <c r="M9" s="11" t="inlineStr">
        <is>
          <t>Approved</t>
        </is>
      </c>
    </row>
    <row r="10">
      <c r="A10" s="13" t="inlineStr">
        <is>
          <t>JRN-2023-001</t>
        </is>
      </c>
      <c r="B10" s="13" t="inlineStr">
        <is>
          <t>2023-01-01</t>
        </is>
      </c>
      <c r="C10" s="13" t="inlineStr">
        <is>
          <t>AFS-2022-P12</t>
        </is>
      </c>
      <c r="D10" s="6" t="inlineStr">
        <is>
          <t>Baay Projects Limited</t>
        </is>
      </c>
      <c r="E10" s="13" t="inlineStr">
        <is>
          <t>PROJ-GEN</t>
        </is>
      </c>
      <c r="F10" s="13" t="inlineStr">
        <is>
          <t>2030</t>
        </is>
      </c>
      <c r="G10" s="5" t="inlineStr">
        <is>
          <t>Accrued Audit, Tax &amp; Professional Fees</t>
        </is>
      </c>
      <c r="H10" s="21" t="n">
        <v>0</v>
      </c>
      <c r="I10" s="21" t="n">
        <v>50000</v>
      </c>
      <c r="J10" s="6" t="inlineStr">
        <is>
          <t>Opening Audit Fee Accrual per 2022 Audited Balance Sheet</t>
        </is>
      </c>
      <c r="K10" s="7" t="inlineStr">
        <is>
          <t>Finance Team</t>
        </is>
      </c>
      <c r="L10" s="14" t="inlineStr">
        <is>
          <t>POSTED</t>
        </is>
      </c>
      <c r="M10" s="13" t="inlineStr">
        <is>
          <t>Approved</t>
        </is>
      </c>
    </row>
    <row r="11">
      <c r="A11" s="11" t="inlineStr">
        <is>
          <t>JRN-2023-001</t>
        </is>
      </c>
      <c r="B11" s="11" t="inlineStr">
        <is>
          <t>2023-01-01</t>
        </is>
      </c>
      <c r="C11" s="11" t="inlineStr">
        <is>
          <t>AFS-2022-P12</t>
        </is>
      </c>
      <c r="D11" s="9" t="inlineStr">
        <is>
          <t>Baay Projects Limited</t>
        </is>
      </c>
      <c r="E11" s="11" t="inlineStr">
        <is>
          <t>PROJ-GEN</t>
        </is>
      </c>
      <c r="F11" s="11" t="inlineStr">
        <is>
          <t>3010</t>
        </is>
      </c>
      <c r="G11" s="8" t="inlineStr">
        <is>
          <t>Ordinary Share Capital (₦1.00 par)</t>
        </is>
      </c>
      <c r="H11" s="22" t="n">
        <v>0</v>
      </c>
      <c r="I11" s="22" t="n">
        <v>1000000</v>
      </c>
      <c r="J11" s="9" t="inlineStr">
        <is>
          <t>1,000,000 Ordinary Shares of ₦1.00 each fully paid</t>
        </is>
      </c>
      <c r="K11" s="10" t="inlineStr">
        <is>
          <t>Finance Team</t>
        </is>
      </c>
      <c r="L11" s="12" t="inlineStr">
        <is>
          <t>POSTED</t>
        </is>
      </c>
      <c r="M11" s="11" t="inlineStr">
        <is>
          <t>Approved</t>
        </is>
      </c>
    </row>
    <row r="12">
      <c r="A12" s="13" t="inlineStr">
        <is>
          <t>JRN-2023-001</t>
        </is>
      </c>
      <c r="B12" s="13" t="inlineStr">
        <is>
          <t>2023-01-01</t>
        </is>
      </c>
      <c r="C12" s="13" t="inlineStr">
        <is>
          <t>AFS-2022-P12</t>
        </is>
      </c>
      <c r="D12" s="6" t="inlineStr">
        <is>
          <t>Baay Projects Limited</t>
        </is>
      </c>
      <c r="E12" s="13" t="inlineStr">
        <is>
          <t>PROJ-GEN</t>
        </is>
      </c>
      <c r="F12" s="13" t="inlineStr">
        <is>
          <t>3020</t>
        </is>
      </c>
      <c r="G12" s="5" t="inlineStr">
        <is>
          <t>Retained Earnings (Accumulated Profit)</t>
        </is>
      </c>
      <c r="H12" s="21" t="n">
        <v>0</v>
      </c>
      <c r="I12" s="21" t="n">
        <v>2361708</v>
      </c>
      <c r="J12" s="6" t="inlineStr">
        <is>
          <t>Opening Cumulative Retained Earnings B/F from 2022</t>
        </is>
      </c>
      <c r="K12" s="7" t="inlineStr">
        <is>
          <t>Finance Team</t>
        </is>
      </c>
      <c r="L12" s="14" t="inlineStr">
        <is>
          <t>POSTED</t>
        </is>
      </c>
      <c r="M12" s="13" t="inlineStr">
        <is>
          <t>Approved</t>
        </is>
      </c>
    </row>
    <row r="13">
      <c r="A13" s="11" t="inlineStr">
        <is>
          <t>JRN-2023-002</t>
        </is>
      </c>
      <c r="B13" s="11" t="inlineStr">
        <is>
          <t>2023-01-28</t>
        </is>
      </c>
      <c r="C13" s="11" t="inlineStr">
        <is>
          <t>INV-GEO-01</t>
        </is>
      </c>
      <c r="D13" s="9" t="inlineStr">
        <is>
          <t>Baay Projects Limited</t>
        </is>
      </c>
      <c r="E13" s="11" t="inlineStr">
        <is>
          <t>PROJ-GEN</t>
        </is>
      </c>
      <c r="F13" s="11" t="inlineStr">
        <is>
          <t>1510</t>
        </is>
      </c>
      <c r="G13" s="8" t="inlineStr">
        <is>
          <t>PPE - Office &amp; Site Equipment</t>
        </is>
      </c>
      <c r="H13" s="22" t="n">
        <v>1800000</v>
      </c>
      <c r="I13" s="22" t="n">
        <v>0</v>
      </c>
      <c r="J13" s="9" t="inlineStr">
        <is>
          <t>Purchase of site surveying and engineering equipment (IAS 16)</t>
        </is>
      </c>
      <c r="K13" s="10" t="inlineStr">
        <is>
          <t>Finance Team</t>
        </is>
      </c>
      <c r="L13" s="12" t="inlineStr">
        <is>
          <t>POSTED</t>
        </is>
      </c>
      <c r="M13" s="11" t="inlineStr">
        <is>
          <t>Approved</t>
        </is>
      </c>
    </row>
    <row r="14">
      <c r="A14" s="13" t="inlineStr">
        <is>
          <t>JRN-2023-002</t>
        </is>
      </c>
      <c r="B14" s="13" t="inlineStr">
        <is>
          <t>2023-01-28</t>
        </is>
      </c>
      <c r="C14" s="13" t="inlineStr">
        <is>
          <t>INV-GEO-01</t>
        </is>
      </c>
      <c r="D14" s="6" t="inlineStr">
        <is>
          <t>Baay Projects Limited</t>
        </is>
      </c>
      <c r="E14" s="13" t="inlineStr">
        <is>
          <t>PROJ-GEN</t>
        </is>
      </c>
      <c r="F14" s="13" t="inlineStr">
        <is>
          <t>1010</t>
        </is>
      </c>
      <c r="G14" s="5" t="inlineStr">
        <is>
          <t>Providus Bank - A/C 5400281942</t>
        </is>
      </c>
      <c r="H14" s="21" t="n">
        <v>0</v>
      </c>
      <c r="I14" s="21" t="n">
        <v>1800000</v>
      </c>
      <c r="J14" s="6" t="inlineStr">
        <is>
          <t>Bank payment for PPE acquisition</t>
        </is>
      </c>
      <c r="K14" s="7" t="inlineStr">
        <is>
          <t>Finance Team</t>
        </is>
      </c>
      <c r="L14" s="14" t="inlineStr">
        <is>
          <t>POSTED</t>
        </is>
      </c>
      <c r="M14" s="13" t="inlineStr">
        <is>
          <t>Approved</t>
        </is>
      </c>
    </row>
    <row r="15">
      <c r="A15" s="11" t="inlineStr">
        <is>
          <t>JRN-2023-003</t>
        </is>
      </c>
      <c r="B15" s="11" t="inlineStr">
        <is>
          <t>2023-02-15</t>
        </is>
      </c>
      <c r="C15" s="11" t="inlineStr">
        <is>
          <t>DIR-LOAN-01</t>
        </is>
      </c>
      <c r="D15" s="9" t="inlineStr">
        <is>
          <t>Baay Projects Limited</t>
        </is>
      </c>
      <c r="E15" s="11" t="inlineStr">
        <is>
          <t>PROJ-GEN</t>
        </is>
      </c>
      <c r="F15" s="11" t="inlineStr">
        <is>
          <t>1010</t>
        </is>
      </c>
      <c r="G15" s="8" t="inlineStr">
        <is>
          <t>Providus Bank - A/C 5400281942</t>
        </is>
      </c>
      <c r="H15" s="22" t="n">
        <v>4500000</v>
      </c>
      <c r="I15" s="22" t="n">
        <v>0</v>
      </c>
      <c r="J15" s="9" t="inlineStr">
        <is>
          <t>Director long-term project loan injection (Engr. B. Goke)</t>
        </is>
      </c>
      <c r="K15" s="10" t="inlineStr">
        <is>
          <t>Finance Team</t>
        </is>
      </c>
      <c r="L15" s="12" t="inlineStr">
        <is>
          <t>POSTED</t>
        </is>
      </c>
      <c r="M15" s="11" t="inlineStr">
        <is>
          <t>Approved</t>
        </is>
      </c>
    </row>
    <row r="16">
      <c r="A16" s="13" t="inlineStr">
        <is>
          <t>JRN-2023-003</t>
        </is>
      </c>
      <c r="B16" s="13" t="inlineStr">
        <is>
          <t>2023-02-15</t>
        </is>
      </c>
      <c r="C16" s="13" t="inlineStr">
        <is>
          <t>DIR-LOAN-01</t>
        </is>
      </c>
      <c r="D16" s="6" t="inlineStr">
        <is>
          <t>Baay Projects Limited</t>
        </is>
      </c>
      <c r="E16" s="13" t="inlineStr">
        <is>
          <t>PROJ-GEN</t>
        </is>
      </c>
      <c r="F16" s="13" t="inlineStr">
        <is>
          <t>2510</t>
        </is>
      </c>
      <c r="G16" s="5" t="inlineStr">
        <is>
          <t>Director's Loan &amp; Long-Term Project Funding</t>
        </is>
      </c>
      <c r="H16" s="21" t="n">
        <v>0</v>
      </c>
      <c r="I16" s="21" t="n">
        <v>4500000</v>
      </c>
      <c r="J16" s="6" t="inlineStr">
        <is>
          <t>Long-term related party project funding (IAS 24)</t>
        </is>
      </c>
      <c r="K16" s="7" t="inlineStr">
        <is>
          <t>Finance Team</t>
        </is>
      </c>
      <c r="L16" s="14" t="inlineStr">
        <is>
          <t>POSTED</t>
        </is>
      </c>
      <c r="M16" s="13" t="inlineStr">
        <is>
          <t>Approved</t>
        </is>
      </c>
    </row>
    <row r="17">
      <c r="A17" s="11" t="inlineStr">
        <is>
          <t>JRN-2023-004</t>
        </is>
      </c>
      <c r="B17" s="11" t="inlineStr">
        <is>
          <t>2023-12-31</t>
        </is>
      </c>
      <c r="C17" s="11" t="inlineStr">
        <is>
          <t>CNT-LEK-01</t>
        </is>
      </c>
      <c r="D17" s="9" t="inlineStr">
        <is>
          <t>Baay Projects Limited</t>
        </is>
      </c>
      <c r="E17" s="11" t="inlineStr">
        <is>
          <t>PROJ-101</t>
        </is>
      </c>
      <c r="F17" s="11" t="inlineStr">
        <is>
          <t>1110</t>
        </is>
      </c>
      <c r="G17" s="8" t="inlineStr">
        <is>
          <t>Trade Receivables - Construction</t>
        </is>
      </c>
      <c r="H17" s="22" t="n">
        <v>15500000</v>
      </c>
      <c r="I17" s="22" t="n">
        <v>0</v>
      </c>
      <c r="J17" s="9" t="inlineStr">
        <is>
          <t>Billed progress billings on Lekki Phase 1 construction</t>
        </is>
      </c>
      <c r="K17" s="10" t="inlineStr">
        <is>
          <t>Finance Team</t>
        </is>
      </c>
      <c r="L17" s="12" t="inlineStr">
        <is>
          <t>POSTED</t>
        </is>
      </c>
      <c r="M17" s="11" t="inlineStr">
        <is>
          <t>Approved</t>
        </is>
      </c>
    </row>
    <row r="18">
      <c r="A18" s="13" t="inlineStr">
        <is>
          <t>JRN-2023-004</t>
        </is>
      </c>
      <c r="B18" s="13" t="inlineStr">
        <is>
          <t>2023-12-31</t>
        </is>
      </c>
      <c r="C18" s="13" t="inlineStr">
        <is>
          <t>CNT-LEK-01</t>
        </is>
      </c>
      <c r="D18" s="6" t="inlineStr">
        <is>
          <t>Baay Projects Limited</t>
        </is>
      </c>
      <c r="E18" s="13" t="inlineStr">
        <is>
          <t>PROJ-101</t>
        </is>
      </c>
      <c r="F18" s="13" t="inlineStr">
        <is>
          <t>1140</t>
        </is>
      </c>
      <c r="G18" s="5" t="inlineStr">
        <is>
          <t>Contract Assets (Unbilled Certified Work)</t>
        </is>
      </c>
      <c r="H18" s="21" t="n">
        <v>2400000</v>
      </c>
      <c r="I18" s="21" t="n">
        <v>0</v>
      </c>
      <c r="J18" s="6" t="inlineStr">
        <is>
          <t>Unbilled certified work under IFRS 15 over-time recognition</t>
        </is>
      </c>
      <c r="K18" s="7" t="inlineStr">
        <is>
          <t>Finance Team</t>
        </is>
      </c>
      <c r="L18" s="14" t="inlineStr">
        <is>
          <t>POSTED</t>
        </is>
      </c>
      <c r="M18" s="13" t="inlineStr">
        <is>
          <t>Approved</t>
        </is>
      </c>
    </row>
    <row r="19">
      <c r="A19" s="11" t="inlineStr">
        <is>
          <t>JRN-2023-004</t>
        </is>
      </c>
      <c r="B19" s="11" t="inlineStr">
        <is>
          <t>2023-12-31</t>
        </is>
      </c>
      <c r="C19" s="11" t="inlineStr">
        <is>
          <t>CNT-LEK-01</t>
        </is>
      </c>
      <c r="D19" s="9" t="inlineStr">
        <is>
          <t>Baay Projects Limited</t>
        </is>
      </c>
      <c r="E19" s="11" t="inlineStr">
        <is>
          <t>PROJ-101</t>
        </is>
      </c>
      <c r="F19" s="11" t="inlineStr">
        <is>
          <t>2020</t>
        </is>
      </c>
      <c r="G19" s="8" t="inlineStr">
        <is>
          <t>Contract Liabilities - Customer Deposits</t>
        </is>
      </c>
      <c r="H19" s="22" t="n">
        <v>4100000</v>
      </c>
      <c r="I19" s="22" t="n">
        <v>0</v>
      </c>
      <c r="J19" s="9" t="inlineStr">
        <is>
          <t>Mobilization advance applied to revenue earned</t>
        </is>
      </c>
      <c r="K19" s="10" t="inlineStr">
        <is>
          <t>Finance Team</t>
        </is>
      </c>
      <c r="L19" s="12" t="inlineStr">
        <is>
          <t>POSTED</t>
        </is>
      </c>
      <c r="M19" s="11" t="inlineStr">
        <is>
          <t>Approved</t>
        </is>
      </c>
    </row>
    <row r="20">
      <c r="A20" s="13" t="inlineStr">
        <is>
          <t>JRN-2023-004</t>
        </is>
      </c>
      <c r="B20" s="13" t="inlineStr">
        <is>
          <t>2023-12-31</t>
        </is>
      </c>
      <c r="C20" s="13" t="inlineStr">
        <is>
          <t>CNT-LEK-01</t>
        </is>
      </c>
      <c r="D20" s="6" t="inlineStr">
        <is>
          <t>Baay Projects Limited</t>
        </is>
      </c>
      <c r="E20" s="13" t="inlineStr">
        <is>
          <t>PROJ-101</t>
        </is>
      </c>
      <c r="F20" s="13" t="inlineStr">
        <is>
          <t>4010</t>
        </is>
      </c>
      <c r="G20" s="5" t="inlineStr">
        <is>
          <t>Revenue - Civil Engineering &amp; Construction</t>
        </is>
      </c>
      <c r="H20" s="21" t="n">
        <v>0</v>
      </c>
      <c r="I20" s="21" t="n">
        <v>22000000</v>
      </c>
      <c r="J20" s="6" t="inlineStr">
        <is>
          <t>IFRS 15 over-time construction revenue recognized (cost-to-cost)</t>
        </is>
      </c>
      <c r="K20" s="7" t="inlineStr">
        <is>
          <t>Finance Team</t>
        </is>
      </c>
      <c r="L20" s="14" t="inlineStr">
        <is>
          <t>POSTED</t>
        </is>
      </c>
      <c r="M20" s="13" t="inlineStr">
        <is>
          <t>Approved</t>
        </is>
      </c>
    </row>
    <row r="21">
      <c r="A21" s="11" t="inlineStr">
        <is>
          <t>JRN-2023-005</t>
        </is>
      </c>
      <c r="B21" s="11" t="inlineStr">
        <is>
          <t>2023-12-31</t>
        </is>
      </c>
      <c r="C21" s="11" t="inlineStr">
        <is>
          <t>LND-IBJ-01</t>
        </is>
      </c>
      <c r="D21" s="9" t="inlineStr">
        <is>
          <t>Baay Projects Limited</t>
        </is>
      </c>
      <c r="E21" s="11" t="inlineStr">
        <is>
          <t>PROJ-102</t>
        </is>
      </c>
      <c r="F21" s="11" t="inlineStr">
        <is>
          <t>1010</t>
        </is>
      </c>
      <c r="G21" s="8" t="inlineStr">
        <is>
          <t>Providus Bank - A/C 5400281942</t>
        </is>
      </c>
      <c r="H21" s="22" t="n">
        <v>12500000</v>
      </c>
      <c r="I21" s="22" t="n">
        <v>0</v>
      </c>
      <c r="J21" s="9" t="inlineStr">
        <is>
          <t>Proceeds from sale of 4 serviced plots Ibeju-Lekki Scheme 1</t>
        </is>
      </c>
      <c r="K21" s="10" t="inlineStr">
        <is>
          <t>Finance Team</t>
        </is>
      </c>
      <c r="L21" s="12" t="inlineStr">
        <is>
          <t>POSTED</t>
        </is>
      </c>
      <c r="M21" s="11" t="inlineStr">
        <is>
          <t>Approved</t>
        </is>
      </c>
    </row>
    <row r="22">
      <c r="A22" s="13" t="inlineStr">
        <is>
          <t>JRN-2023-005</t>
        </is>
      </c>
      <c r="B22" s="13" t="inlineStr">
        <is>
          <t>2023-12-31</t>
        </is>
      </c>
      <c r="C22" s="13" t="inlineStr">
        <is>
          <t>LND-IBJ-01</t>
        </is>
      </c>
      <c r="D22" s="6" t="inlineStr">
        <is>
          <t>Baay Projects Limited</t>
        </is>
      </c>
      <c r="E22" s="13" t="inlineStr">
        <is>
          <t>PROJ-102</t>
        </is>
      </c>
      <c r="F22" s="13" t="inlineStr">
        <is>
          <t>4020</t>
        </is>
      </c>
      <c r="G22" s="5" t="inlineStr">
        <is>
          <t>Revenue - Land Subdivision &amp; Real Estate Sales</t>
        </is>
      </c>
      <c r="H22" s="21" t="n">
        <v>0</v>
      </c>
      <c r="I22" s="21" t="n">
        <v>12500000</v>
      </c>
      <c r="J22" s="6" t="inlineStr">
        <is>
          <t>Point-in-time revenue recognized upon title execution (IFRS 15)</t>
        </is>
      </c>
      <c r="K22" s="7" t="inlineStr">
        <is>
          <t>Finance Team</t>
        </is>
      </c>
      <c r="L22" s="14" t="inlineStr">
        <is>
          <t>POSTED</t>
        </is>
      </c>
      <c r="M22" s="13" t="inlineStr">
        <is>
          <t>Approved</t>
        </is>
      </c>
    </row>
    <row r="23">
      <c r="A23" s="11" t="inlineStr">
        <is>
          <t>JRN-2023-006</t>
        </is>
      </c>
      <c r="B23" s="11" t="inlineStr">
        <is>
          <t>2023-12-31</t>
        </is>
      </c>
      <c r="C23" s="11" t="inlineStr">
        <is>
          <t>CON-IKJ-01</t>
        </is>
      </c>
      <c r="D23" s="9" t="inlineStr">
        <is>
          <t>Baay Projects Limited</t>
        </is>
      </c>
      <c r="E23" s="11" t="inlineStr">
        <is>
          <t>PROJ-103</t>
        </is>
      </c>
      <c r="F23" s="11" t="inlineStr">
        <is>
          <t>1010</t>
        </is>
      </c>
      <c r="G23" s="8" t="inlineStr">
        <is>
          <t>Providus Bank - A/C 5400281942</t>
        </is>
      </c>
      <c r="H23" s="22" t="n">
        <v>4000000</v>
      </c>
      <c r="I23" s="22" t="n">
        <v>0</v>
      </c>
      <c r="J23" s="9" t="inlineStr">
        <is>
          <t>Consultancy fees received for Ikeja commercial project</t>
        </is>
      </c>
      <c r="K23" s="10" t="inlineStr">
        <is>
          <t>Finance Team</t>
        </is>
      </c>
      <c r="L23" s="12" t="inlineStr">
        <is>
          <t>POSTED</t>
        </is>
      </c>
      <c r="M23" s="11" t="inlineStr">
        <is>
          <t>Approved</t>
        </is>
      </c>
    </row>
    <row r="24">
      <c r="A24" s="13" t="inlineStr">
        <is>
          <t>JRN-2023-006</t>
        </is>
      </c>
      <c r="B24" s="13" t="inlineStr">
        <is>
          <t>2023-12-31</t>
        </is>
      </c>
      <c r="C24" s="13" t="inlineStr">
        <is>
          <t>CON-IKJ-01</t>
        </is>
      </c>
      <c r="D24" s="6" t="inlineStr">
        <is>
          <t>Baay Projects Limited</t>
        </is>
      </c>
      <c r="E24" s="13" t="inlineStr">
        <is>
          <t>PROJ-103</t>
        </is>
      </c>
      <c r="F24" s="13" t="inlineStr">
        <is>
          <t>4030</t>
        </is>
      </c>
      <c r="G24" s="5" t="inlineStr">
        <is>
          <t>Revenue - Project Management &amp; Consulting</t>
        </is>
      </c>
      <c r="H24" s="21" t="n">
        <v>0</v>
      </c>
      <c r="I24" s="21" t="n">
        <v>4000000</v>
      </c>
      <c r="J24" s="6" t="inlineStr">
        <is>
          <t>Consultancy revenue recognized as services delivered (IFRS 15)</t>
        </is>
      </c>
      <c r="K24" s="7" t="inlineStr">
        <is>
          <t>Finance Team</t>
        </is>
      </c>
      <c r="L24" s="14" t="inlineStr">
        <is>
          <t>POSTED</t>
        </is>
      </c>
      <c r="M24" s="13" t="inlineStr">
        <is>
          <t>Approved</t>
        </is>
      </c>
    </row>
    <row r="25">
      <c r="A25" s="11" t="inlineStr">
        <is>
          <t>JRN-2023-007</t>
        </is>
      </c>
      <c r="B25" s="11" t="inlineStr">
        <is>
          <t>2023-12-31</t>
        </is>
      </c>
      <c r="C25" s="11" t="inlineStr">
        <is>
          <t>COS-MAT-01</t>
        </is>
      </c>
      <c r="D25" s="9" t="inlineStr">
        <is>
          <t>Baay Projects Limited</t>
        </is>
      </c>
      <c r="E25" s="11" t="inlineStr">
        <is>
          <t>PROJ-101</t>
        </is>
      </c>
      <c r="F25" s="11" t="inlineStr">
        <is>
          <t>5010</t>
        </is>
      </c>
      <c r="G25" s="8" t="inlineStr">
        <is>
          <t>Cost of Sales - Construction Materials &amp; Subcontracts</t>
        </is>
      </c>
      <c r="H25" s="22" t="n">
        <v>14200000</v>
      </c>
      <c r="I25" s="22" t="n">
        <v>0</v>
      </c>
      <c r="J25" s="9" t="inlineStr">
        <is>
          <t>Direct construction materials &amp; subcontracts for Lekki project</t>
        </is>
      </c>
      <c r="K25" s="10" t="inlineStr">
        <is>
          <t>Finance Team</t>
        </is>
      </c>
      <c r="L25" s="12" t="inlineStr">
        <is>
          <t>POSTED</t>
        </is>
      </c>
      <c r="M25" s="11" t="inlineStr">
        <is>
          <t>Approved</t>
        </is>
      </c>
    </row>
    <row r="26">
      <c r="A26" s="13" t="inlineStr">
        <is>
          <t>JRN-2023-007</t>
        </is>
      </c>
      <c r="B26" s="13" t="inlineStr">
        <is>
          <t>2023-12-31</t>
        </is>
      </c>
      <c r="C26" s="13" t="inlineStr">
        <is>
          <t>COS-LND-01</t>
        </is>
      </c>
      <c r="D26" s="6" t="inlineStr">
        <is>
          <t>Baay Projects Limited</t>
        </is>
      </c>
      <c r="E26" s="13" t="inlineStr">
        <is>
          <t>PROJ-102</t>
        </is>
      </c>
      <c r="F26" s="13" t="inlineStr">
        <is>
          <t>5020</t>
        </is>
      </c>
      <c r="G26" s="5" t="inlineStr">
        <is>
          <t>Cost of Sales - Land Inventory Released</t>
        </is>
      </c>
      <c r="H26" s="21" t="n">
        <v>8100000</v>
      </c>
      <c r="I26" s="21" t="n">
        <v>0</v>
      </c>
      <c r="J26" s="6" t="inlineStr">
        <is>
          <t>Land cost released from inventory for 4 plots sold (IAS 2)</t>
        </is>
      </c>
      <c r="K26" s="7" t="inlineStr">
        <is>
          <t>Finance Team</t>
        </is>
      </c>
      <c r="L26" s="14" t="inlineStr">
        <is>
          <t>POSTED</t>
        </is>
      </c>
      <c r="M26" s="13" t="inlineStr">
        <is>
          <t>Approved</t>
        </is>
      </c>
    </row>
    <row r="27">
      <c r="A27" s="11" t="inlineStr">
        <is>
          <t>JRN-2023-007</t>
        </is>
      </c>
      <c r="B27" s="11" t="inlineStr">
        <is>
          <t>2023-12-31</t>
        </is>
      </c>
      <c r="C27" s="11" t="inlineStr">
        <is>
          <t>COS-LAB-01</t>
        </is>
      </c>
      <c r="D27" s="9" t="inlineStr">
        <is>
          <t>Baay Projects Limited</t>
        </is>
      </c>
      <c r="E27" s="11" t="inlineStr">
        <is>
          <t>PROJ-101</t>
        </is>
      </c>
      <c r="F27" s="11" t="inlineStr">
        <is>
          <t>5030</t>
        </is>
      </c>
      <c r="G27" s="8" t="inlineStr">
        <is>
          <t>Cost of Sales - Direct Site Labor &amp; Hire</t>
        </is>
      </c>
      <c r="H27" s="22" t="n">
        <v>2350000</v>
      </c>
      <c r="I27" s="22" t="n">
        <v>0</v>
      </c>
      <c r="J27" s="9" t="inlineStr">
        <is>
          <t>Direct site labor and heavy equipment rentals</t>
        </is>
      </c>
      <c r="K27" s="10" t="inlineStr">
        <is>
          <t>Finance Team</t>
        </is>
      </c>
      <c r="L27" s="12" t="inlineStr">
        <is>
          <t>POSTED</t>
        </is>
      </c>
      <c r="M27" s="11" t="inlineStr">
        <is>
          <t>Approved</t>
        </is>
      </c>
    </row>
    <row r="28">
      <c r="A28" s="13" t="inlineStr">
        <is>
          <t>JRN-2023-007</t>
        </is>
      </c>
      <c r="B28" s="13" t="inlineStr">
        <is>
          <t>2023-12-31</t>
        </is>
      </c>
      <c r="C28" s="13" t="inlineStr">
        <is>
          <t>COS-ALL-01</t>
        </is>
      </c>
      <c r="D28" s="6" t="inlineStr">
        <is>
          <t>Baay Projects Limited</t>
        </is>
      </c>
      <c r="E28" s="13" t="inlineStr">
        <is>
          <t>PROJ-GEN</t>
        </is>
      </c>
      <c r="F28" s="13" t="inlineStr">
        <is>
          <t>1010</t>
        </is>
      </c>
      <c r="G28" s="5" t="inlineStr">
        <is>
          <t>Providus Bank - A/C 5400281942</t>
        </is>
      </c>
      <c r="H28" s="21" t="n">
        <v>0</v>
      </c>
      <c r="I28" s="21" t="n">
        <v>22525000</v>
      </c>
      <c r="J28" s="6" t="inlineStr">
        <is>
          <t>Direct payments made via bank during 2023</t>
        </is>
      </c>
      <c r="K28" s="7" t="inlineStr">
        <is>
          <t>Finance Team</t>
        </is>
      </c>
      <c r="L28" s="14" t="inlineStr">
        <is>
          <t>POSTED</t>
        </is>
      </c>
      <c r="M28" s="13" t="inlineStr">
        <is>
          <t>Approved</t>
        </is>
      </c>
    </row>
    <row r="29">
      <c r="A29" s="11" t="inlineStr">
        <is>
          <t>JRN-2023-007</t>
        </is>
      </c>
      <c r="B29" s="11" t="inlineStr">
        <is>
          <t>2023-12-31</t>
        </is>
      </c>
      <c r="C29" s="11" t="inlineStr">
        <is>
          <t>COS-ALL-01</t>
        </is>
      </c>
      <c r="D29" s="9" t="inlineStr">
        <is>
          <t>Baay Projects Limited</t>
        </is>
      </c>
      <c r="E29" s="11" t="inlineStr">
        <is>
          <t>PROJ-GEN</t>
        </is>
      </c>
      <c r="F29" s="11" t="inlineStr">
        <is>
          <t>2010</t>
        </is>
      </c>
      <c r="G29" s="8" t="inlineStr">
        <is>
          <t>Trade Payables - Subcontractors &amp; Materials</t>
        </is>
      </c>
      <c r="H29" s="22" t="n">
        <v>0</v>
      </c>
      <c r="I29" s="22" t="n">
        <v>2125000</v>
      </c>
      <c r="J29" s="9" t="inlineStr">
        <is>
          <t>Outstanding direct trade creditors at year-end</t>
        </is>
      </c>
      <c r="K29" s="10" t="inlineStr">
        <is>
          <t>Finance Team</t>
        </is>
      </c>
      <c r="L29" s="12" t="inlineStr">
        <is>
          <t>POSTED</t>
        </is>
      </c>
      <c r="M29" s="11" t="inlineStr">
        <is>
          <t>Approved</t>
        </is>
      </c>
    </row>
    <row r="30">
      <c r="A30" s="13" t="inlineStr">
        <is>
          <t>JRN-2023-008</t>
        </is>
      </c>
      <c r="B30" s="13" t="inlineStr">
        <is>
          <t>2023-12-31</t>
        </is>
      </c>
      <c r="C30" s="13" t="inlineStr">
        <is>
          <t>INV-WIP-01</t>
        </is>
      </c>
      <c r="D30" s="6" t="inlineStr">
        <is>
          <t>Baay Projects Limited</t>
        </is>
      </c>
      <c r="E30" s="13" t="inlineStr">
        <is>
          <t>PROJ-101</t>
        </is>
      </c>
      <c r="F30" s="13" t="inlineStr">
        <is>
          <t>1220</t>
        </is>
      </c>
      <c r="G30" s="5" t="inlineStr">
        <is>
          <t>Development Inventory - Construction WIP</t>
        </is>
      </c>
      <c r="H30" s="21" t="n">
        <v>3250000</v>
      </c>
      <c r="I30" s="21" t="n">
        <v>0</v>
      </c>
      <c r="J30" s="6" t="inlineStr">
        <is>
          <t>Ongoing construction WIP capitalized at cost (IAS 2)</t>
        </is>
      </c>
      <c r="K30" s="7" t="inlineStr">
        <is>
          <t>Finance Team</t>
        </is>
      </c>
      <c r="L30" s="14" t="inlineStr">
        <is>
          <t>POSTED</t>
        </is>
      </c>
      <c r="M30" s="13" t="inlineStr">
        <is>
          <t>Approved</t>
        </is>
      </c>
    </row>
    <row r="31">
      <c r="A31" s="11" t="inlineStr">
        <is>
          <t>JRN-2023-008</t>
        </is>
      </c>
      <c r="B31" s="11" t="inlineStr">
        <is>
          <t>2023-12-31</t>
        </is>
      </c>
      <c r="C31" s="11" t="inlineStr">
        <is>
          <t>INV-LND-01</t>
        </is>
      </c>
      <c r="D31" s="9" t="inlineStr">
        <is>
          <t>Baay Projects Limited</t>
        </is>
      </c>
      <c r="E31" s="11" t="inlineStr">
        <is>
          <t>PROJ-105</t>
        </is>
      </c>
      <c r="F31" s="11" t="inlineStr">
        <is>
          <t>1210</t>
        </is>
      </c>
      <c r="G31" s="8" t="inlineStr">
        <is>
          <t>Development Inventory - Land Held for Resale</t>
        </is>
      </c>
      <c r="H31" s="22" t="n">
        <v>5400000</v>
      </c>
      <c r="I31" s="22" t="n">
        <v>0</v>
      </c>
      <c r="J31" s="9" t="inlineStr">
        <is>
          <t>Epe Scheme 1 land acquired &amp; held for development (IAS 2)</t>
        </is>
      </c>
      <c r="K31" s="10" t="inlineStr">
        <is>
          <t>Finance Team</t>
        </is>
      </c>
      <c r="L31" s="12" t="inlineStr">
        <is>
          <t>POSTED</t>
        </is>
      </c>
      <c r="M31" s="11" t="inlineStr">
        <is>
          <t>Approved</t>
        </is>
      </c>
    </row>
    <row r="32">
      <c r="A32" s="13" t="inlineStr">
        <is>
          <t>JRN-2023-008</t>
        </is>
      </c>
      <c r="B32" s="13" t="inlineStr">
        <is>
          <t>2023-12-31</t>
        </is>
      </c>
      <c r="C32" s="13" t="inlineStr">
        <is>
          <t>INV-BNK-01</t>
        </is>
      </c>
      <c r="D32" s="6" t="inlineStr">
        <is>
          <t>Baay Projects Limited</t>
        </is>
      </c>
      <c r="E32" s="13" t="inlineStr">
        <is>
          <t>PROJ-GEN</t>
        </is>
      </c>
      <c r="F32" s="13" t="inlineStr">
        <is>
          <t>1010</t>
        </is>
      </c>
      <c r="G32" s="5" t="inlineStr">
        <is>
          <t>Providus Bank - A/C 5400281942</t>
        </is>
      </c>
      <c r="H32" s="21" t="n">
        <v>0</v>
      </c>
      <c r="I32" s="21" t="n">
        <v>8650000</v>
      </c>
      <c r="J32" s="6" t="inlineStr">
        <is>
          <t>Cash disbursements for inventory and ongoing WIP additions</t>
        </is>
      </c>
      <c r="K32" s="7" t="inlineStr">
        <is>
          <t>Finance Team</t>
        </is>
      </c>
      <c r="L32" s="14" t="inlineStr">
        <is>
          <t>POSTED</t>
        </is>
      </c>
      <c r="M32" s="13" t="inlineStr">
        <is>
          <t>Approved</t>
        </is>
      </c>
    </row>
    <row r="33">
      <c r="A33" s="11" t="inlineStr">
        <is>
          <t>JRN-2023-009</t>
        </is>
      </c>
      <c r="B33" s="11" t="inlineStr">
        <is>
          <t>2023-12-31</t>
        </is>
      </c>
      <c r="C33" s="11" t="inlineStr">
        <is>
          <t>OPX-ALL-01</t>
        </is>
      </c>
      <c r="D33" s="9" t="inlineStr">
        <is>
          <t>Baay Projects Limited</t>
        </is>
      </c>
      <c r="E33" s="11" t="inlineStr">
        <is>
          <t>PROJ-GEN</t>
        </is>
      </c>
      <c r="F33" s="11" t="inlineStr">
        <is>
          <t>6010</t>
        </is>
      </c>
      <c r="G33" s="8" t="inlineStr">
        <is>
          <t>Administrative - Staff Salaries, Wages</t>
        </is>
      </c>
      <c r="H33" s="22" t="n">
        <v>2800000</v>
      </c>
      <c r="I33" s="22" t="n">
        <v>0</v>
      </c>
      <c r="J33" s="9" t="inlineStr">
        <is>
          <t>Administrative staff salaries and site allowances</t>
        </is>
      </c>
      <c r="K33" s="10" t="inlineStr">
        <is>
          <t>Finance Team</t>
        </is>
      </c>
      <c r="L33" s="12" t="inlineStr">
        <is>
          <t>POSTED</t>
        </is>
      </c>
      <c r="M33" s="11" t="inlineStr">
        <is>
          <t>Approved</t>
        </is>
      </c>
    </row>
    <row r="34">
      <c r="A34" s="13" t="inlineStr">
        <is>
          <t>JRN-2023-009</t>
        </is>
      </c>
      <c r="B34" s="13" t="inlineStr">
        <is>
          <t>2023-12-31</t>
        </is>
      </c>
      <c r="C34" s="13" t="inlineStr">
        <is>
          <t>OPX-ALL-01</t>
        </is>
      </c>
      <c r="D34" s="6" t="inlineStr">
        <is>
          <t>Baay Projects Limited</t>
        </is>
      </c>
      <c r="E34" s="13" t="inlineStr">
        <is>
          <t>PROJ-GEN</t>
        </is>
      </c>
      <c r="F34" s="13" t="inlineStr">
        <is>
          <t>6020</t>
        </is>
      </c>
      <c r="G34" s="5" t="inlineStr">
        <is>
          <t>Administrative - Site Office Rent &amp; Maintenance</t>
        </is>
      </c>
      <c r="H34" s="21" t="n">
        <v>950000</v>
      </c>
      <c r="I34" s="21" t="n">
        <v>0</v>
      </c>
      <c r="J34" s="6" t="inlineStr">
        <is>
          <t>Site office rent and maintenance expenses</t>
        </is>
      </c>
      <c r="K34" s="7" t="inlineStr">
        <is>
          <t>Finance Team</t>
        </is>
      </c>
      <c r="L34" s="14" t="inlineStr">
        <is>
          <t>POSTED</t>
        </is>
      </c>
      <c r="M34" s="13" t="inlineStr">
        <is>
          <t>Approved</t>
        </is>
      </c>
    </row>
    <row r="35">
      <c r="A35" s="11" t="inlineStr">
        <is>
          <t>JRN-2023-009</t>
        </is>
      </c>
      <c r="B35" s="11" t="inlineStr">
        <is>
          <t>2023-12-31</t>
        </is>
      </c>
      <c r="C35" s="11" t="inlineStr">
        <is>
          <t>OPX-ALL-01</t>
        </is>
      </c>
      <c r="D35" s="9" t="inlineStr">
        <is>
          <t>Baay Projects Limited</t>
        </is>
      </c>
      <c r="E35" s="11" t="inlineStr">
        <is>
          <t>PROJ-GEN</t>
        </is>
      </c>
      <c r="F35" s="11" t="inlineStr">
        <is>
          <t>6030</t>
        </is>
      </c>
      <c r="G35" s="8" t="inlineStr">
        <is>
          <t>Administrative - Professional &amp; Legal Fees</t>
        </is>
      </c>
      <c r="H35" s="22" t="n">
        <v>650000</v>
      </c>
      <c r="I35" s="22" t="n">
        <v>0</v>
      </c>
      <c r="J35" s="9" t="inlineStr">
        <is>
          <t>Legal, engineering consultancy and compliance fees</t>
        </is>
      </c>
      <c r="K35" s="10" t="inlineStr">
        <is>
          <t>Finance Team</t>
        </is>
      </c>
      <c r="L35" s="12" t="inlineStr">
        <is>
          <t>POSTED</t>
        </is>
      </c>
      <c r="M35" s="11" t="inlineStr">
        <is>
          <t>Approved</t>
        </is>
      </c>
    </row>
    <row r="36">
      <c r="A36" s="13" t="inlineStr">
        <is>
          <t>JRN-2023-009</t>
        </is>
      </c>
      <c r="B36" s="13" t="inlineStr">
        <is>
          <t>2023-12-31</t>
        </is>
      </c>
      <c r="C36" s="13" t="inlineStr">
        <is>
          <t>OPX-ALL-01</t>
        </is>
      </c>
      <c r="D36" s="6" t="inlineStr">
        <is>
          <t>Baay Projects Limited</t>
        </is>
      </c>
      <c r="E36" s="13" t="inlineStr">
        <is>
          <t>PROJ-GEN</t>
        </is>
      </c>
      <c r="F36" s="13" t="inlineStr">
        <is>
          <t>6040</t>
        </is>
      </c>
      <c r="G36" s="5" t="inlineStr">
        <is>
          <t>Administrative - Audit &amp; Tax Advisory Fees</t>
        </is>
      </c>
      <c r="H36" s="21" t="n">
        <v>350000</v>
      </c>
      <c r="I36" s="21" t="n">
        <v>0</v>
      </c>
      <c r="J36" s="6" t="inlineStr">
        <is>
          <t>Statutory audit and corporate tax advisory fees</t>
        </is>
      </c>
      <c r="K36" s="7" t="inlineStr">
        <is>
          <t>Finance Team</t>
        </is>
      </c>
      <c r="L36" s="14" t="inlineStr">
        <is>
          <t>POSTED</t>
        </is>
      </c>
      <c r="M36" s="13" t="inlineStr">
        <is>
          <t>Approved</t>
        </is>
      </c>
    </row>
    <row r="37">
      <c r="A37" s="11" t="inlineStr">
        <is>
          <t>JRN-2023-009</t>
        </is>
      </c>
      <c r="B37" s="11" t="inlineStr">
        <is>
          <t>2023-12-31</t>
        </is>
      </c>
      <c r="C37" s="11" t="inlineStr">
        <is>
          <t>OPX-ALL-01</t>
        </is>
      </c>
      <c r="D37" s="9" t="inlineStr">
        <is>
          <t>Baay Projects Limited</t>
        </is>
      </c>
      <c r="E37" s="11" t="inlineStr">
        <is>
          <t>PROJ-GEN</t>
        </is>
      </c>
      <c r="F37" s="11" t="inlineStr">
        <is>
          <t>6050</t>
        </is>
      </c>
      <c r="G37" s="8" t="inlineStr">
        <is>
          <t>Administrative - Bank Charges &amp; COT</t>
        </is>
      </c>
      <c r="H37" s="22" t="n">
        <v>285000</v>
      </c>
      <c r="I37" s="22" t="n">
        <v>0</v>
      </c>
      <c r="J37" s="9" t="inlineStr">
        <is>
          <t>Bank charges, commission on turnover and transfer fees</t>
        </is>
      </c>
      <c r="K37" s="10" t="inlineStr">
        <is>
          <t>Finance Team</t>
        </is>
      </c>
      <c r="L37" s="12" t="inlineStr">
        <is>
          <t>POSTED</t>
        </is>
      </c>
      <c r="M37" s="11" t="inlineStr">
        <is>
          <t>Approved</t>
        </is>
      </c>
    </row>
    <row r="38">
      <c r="A38" s="13" t="inlineStr">
        <is>
          <t>JRN-2023-009</t>
        </is>
      </c>
      <c r="B38" s="13" t="inlineStr">
        <is>
          <t>2023-12-31</t>
        </is>
      </c>
      <c r="C38" s="13" t="inlineStr">
        <is>
          <t>OPX-ALL-01</t>
        </is>
      </c>
      <c r="D38" s="6" t="inlineStr">
        <is>
          <t>Baay Projects Limited</t>
        </is>
      </c>
      <c r="E38" s="13" t="inlineStr">
        <is>
          <t>PROJ-GEN</t>
        </is>
      </c>
      <c r="F38" s="13" t="inlineStr">
        <is>
          <t>6060</t>
        </is>
      </c>
      <c r="G38" s="5" t="inlineStr">
        <is>
          <t>Administrative - Motor Vehicle &amp; Logistics</t>
        </is>
      </c>
      <c r="H38" s="21" t="n">
        <v>420000</v>
      </c>
      <c r="I38" s="21" t="n">
        <v>0</v>
      </c>
      <c r="J38" s="6" t="inlineStr">
        <is>
          <t>Motor vehicle fuel, logistics and site travels</t>
        </is>
      </c>
      <c r="K38" s="7" t="inlineStr">
        <is>
          <t>Finance Team</t>
        </is>
      </c>
      <c r="L38" s="14" t="inlineStr">
        <is>
          <t>POSTED</t>
        </is>
      </c>
      <c r="M38" s="13" t="inlineStr">
        <is>
          <t>Approved</t>
        </is>
      </c>
    </row>
    <row r="39">
      <c r="A39" s="11" t="inlineStr">
        <is>
          <t>JRN-2023-009</t>
        </is>
      </c>
      <c r="B39" s="11" t="inlineStr">
        <is>
          <t>2023-12-31</t>
        </is>
      </c>
      <c r="C39" s="11" t="inlineStr">
        <is>
          <t>OPX-ALL-01</t>
        </is>
      </c>
      <c r="D39" s="9" t="inlineStr">
        <is>
          <t>Baay Projects Limited</t>
        </is>
      </c>
      <c r="E39" s="11" t="inlineStr">
        <is>
          <t>PROJ-GEN</t>
        </is>
      </c>
      <c r="F39" s="11" t="inlineStr">
        <is>
          <t>6070</t>
        </is>
      </c>
      <c r="G39" s="8" t="inlineStr">
        <is>
          <t>Administrative - Depreciation Expense (IAS 16)</t>
        </is>
      </c>
      <c r="H39" s="22" t="n">
        <v>385000</v>
      </c>
      <c r="I39" s="22" t="n">
        <v>0</v>
      </c>
      <c r="J39" s="9" t="inlineStr">
        <is>
          <t>Depreciation charge on PPE for FY 2023</t>
        </is>
      </c>
      <c r="K39" s="10" t="inlineStr">
        <is>
          <t>Finance Team</t>
        </is>
      </c>
      <c r="L39" s="12" t="inlineStr">
        <is>
          <t>POSTED</t>
        </is>
      </c>
      <c r="M39" s="11" t="inlineStr">
        <is>
          <t>Approved</t>
        </is>
      </c>
    </row>
    <row r="40">
      <c r="A40" s="13" t="inlineStr">
        <is>
          <t>JRN-2023-009</t>
        </is>
      </c>
      <c r="B40" s="13" t="inlineStr">
        <is>
          <t>2023-12-31</t>
        </is>
      </c>
      <c r="C40" s="13" t="inlineStr">
        <is>
          <t>OPX-ALL-01</t>
        </is>
      </c>
      <c r="D40" s="6" t="inlineStr">
        <is>
          <t>Baay Projects Limited</t>
        </is>
      </c>
      <c r="E40" s="13" t="inlineStr">
        <is>
          <t>PROJ-GEN</t>
        </is>
      </c>
      <c r="F40" s="13" t="inlineStr">
        <is>
          <t>6080</t>
        </is>
      </c>
      <c r="G40" s="5" t="inlineStr">
        <is>
          <t>Administrative - Impairment Allowance (ECL)</t>
        </is>
      </c>
      <c r="H40" s="21" t="n">
        <v>185000</v>
      </c>
      <c r="I40" s="21" t="n">
        <v>0</v>
      </c>
      <c r="J40" s="6" t="inlineStr">
        <is>
          <t>IFRS 9 expected credit loss allowance on trade debtors</t>
        </is>
      </c>
      <c r="K40" s="7" t="inlineStr">
        <is>
          <t>Finance Team</t>
        </is>
      </c>
      <c r="L40" s="14" t="inlineStr">
        <is>
          <t>POSTED</t>
        </is>
      </c>
      <c r="M40" s="13" t="inlineStr">
        <is>
          <t>Approved</t>
        </is>
      </c>
    </row>
    <row r="41">
      <c r="A41" s="11" t="inlineStr">
        <is>
          <t>JRN-2023-009</t>
        </is>
      </c>
      <c r="B41" s="11" t="inlineStr">
        <is>
          <t>2023-12-31</t>
        </is>
      </c>
      <c r="C41" s="11" t="inlineStr">
        <is>
          <t>OPX-ALL-01</t>
        </is>
      </c>
      <c r="D41" s="9" t="inlineStr">
        <is>
          <t>Baay Projects Limited</t>
        </is>
      </c>
      <c r="E41" s="11" t="inlineStr">
        <is>
          <t>PROJ-GEN</t>
        </is>
      </c>
      <c r="F41" s="11" t="inlineStr">
        <is>
          <t>6090</t>
        </is>
      </c>
      <c r="G41" s="8" t="inlineStr">
        <is>
          <t>Administrative - General Office &amp; Utilities</t>
        </is>
      </c>
      <c r="H41" s="22" t="n">
        <v>400000</v>
      </c>
      <c r="I41" s="22" t="n">
        <v>0</v>
      </c>
      <c r="J41" s="9" t="inlineStr">
        <is>
          <t>Office security, communication, internet and utilities</t>
        </is>
      </c>
      <c r="K41" s="10" t="inlineStr">
        <is>
          <t>Finance Team</t>
        </is>
      </c>
      <c r="L41" s="12" t="inlineStr">
        <is>
          <t>POSTED</t>
        </is>
      </c>
      <c r="M41" s="11" t="inlineStr">
        <is>
          <t>Approved</t>
        </is>
      </c>
    </row>
    <row r="42">
      <c r="A42" s="13" t="inlineStr">
        <is>
          <t>JRN-2023-009</t>
        </is>
      </c>
      <c r="B42" s="13" t="inlineStr">
        <is>
          <t>2023-12-31</t>
        </is>
      </c>
      <c r="C42" s="13" t="inlineStr">
        <is>
          <t>OPX-ALL-01</t>
        </is>
      </c>
      <c r="D42" s="6" t="inlineStr">
        <is>
          <t>Baay Projects Limited</t>
        </is>
      </c>
      <c r="E42" s="13" t="inlineStr">
        <is>
          <t>PROJ-GEN</t>
        </is>
      </c>
      <c r="F42" s="13" t="inlineStr">
        <is>
          <t>7010</t>
        </is>
      </c>
      <c r="G42" s="5" t="inlineStr">
        <is>
          <t>Finance Costs - Bank Project Facility</t>
        </is>
      </c>
      <c r="H42" s="21" t="n">
        <v>125000</v>
      </c>
      <c r="I42" s="21" t="n">
        <v>0</v>
      </c>
      <c r="J42" s="6" t="inlineStr">
        <is>
          <t>Finance interest on short-term project facility</t>
        </is>
      </c>
      <c r="K42" s="7" t="inlineStr">
        <is>
          <t>Finance Team</t>
        </is>
      </c>
      <c r="L42" s="14" t="inlineStr">
        <is>
          <t>POSTED</t>
        </is>
      </c>
      <c r="M42" s="13" t="inlineStr">
        <is>
          <t>Approved</t>
        </is>
      </c>
    </row>
    <row r="43">
      <c r="A43" s="11" t="inlineStr">
        <is>
          <t>JRN-2023-009</t>
        </is>
      </c>
      <c r="B43" s="11" t="inlineStr">
        <is>
          <t>2023-12-31</t>
        </is>
      </c>
      <c r="C43" s="11" t="inlineStr">
        <is>
          <t>OPX-ALL-01</t>
        </is>
      </c>
      <c r="D43" s="9" t="inlineStr">
        <is>
          <t>Baay Projects Limited</t>
        </is>
      </c>
      <c r="E43" s="11" t="inlineStr">
        <is>
          <t>PROJ-GEN</t>
        </is>
      </c>
      <c r="F43" s="11" t="inlineStr">
        <is>
          <t>1590</t>
        </is>
      </c>
      <c r="G43" s="8" t="inlineStr">
        <is>
          <t>Accumulated Depreciation - PPE</t>
        </is>
      </c>
      <c r="H43" s="22" t="n">
        <v>0</v>
      </c>
      <c r="I43" s="22" t="n">
        <v>385000</v>
      </c>
      <c r="J43" s="9" t="inlineStr">
        <is>
          <t>Accumulated depreciation credit (IAS 16)</t>
        </is>
      </c>
      <c r="K43" s="10" t="inlineStr">
        <is>
          <t>Finance Team</t>
        </is>
      </c>
      <c r="L43" s="12" t="inlineStr">
        <is>
          <t>POSTED</t>
        </is>
      </c>
      <c r="M43" s="11" t="inlineStr">
        <is>
          <t>Approved</t>
        </is>
      </c>
    </row>
    <row r="44">
      <c r="A44" s="13" t="inlineStr">
        <is>
          <t>JRN-2023-009</t>
        </is>
      </c>
      <c r="B44" s="13" t="inlineStr">
        <is>
          <t>2023-12-31</t>
        </is>
      </c>
      <c r="C44" s="13" t="inlineStr">
        <is>
          <t>OPX-ALL-01</t>
        </is>
      </c>
      <c r="D44" s="6" t="inlineStr">
        <is>
          <t>Baay Projects Limited</t>
        </is>
      </c>
      <c r="E44" s="13" t="inlineStr">
        <is>
          <t>PROJ-GEN</t>
        </is>
      </c>
      <c r="F44" s="13" t="inlineStr">
        <is>
          <t>1130</t>
        </is>
      </c>
      <c r="G44" s="5" t="inlineStr">
        <is>
          <t>Allowance for Expected Credit Losses</t>
        </is>
      </c>
      <c r="H44" s="21" t="n">
        <v>0</v>
      </c>
      <c r="I44" s="21" t="n">
        <v>185000</v>
      </c>
      <c r="J44" s="6" t="inlineStr">
        <is>
          <t>IFRS 9 ECL allowance contra-asset credit</t>
        </is>
      </c>
      <c r="K44" s="7" t="inlineStr">
        <is>
          <t>Finance Team</t>
        </is>
      </c>
      <c r="L44" s="14" t="inlineStr">
        <is>
          <t>POSTED</t>
        </is>
      </c>
      <c r="M44" s="13" t="inlineStr">
        <is>
          <t>Approved</t>
        </is>
      </c>
    </row>
    <row r="45">
      <c r="A45" s="11" t="inlineStr">
        <is>
          <t>JRN-2023-009</t>
        </is>
      </c>
      <c r="B45" s="11" t="inlineStr">
        <is>
          <t>2023-12-31</t>
        </is>
      </c>
      <c r="C45" s="11" t="inlineStr">
        <is>
          <t>OPX-ALL-01</t>
        </is>
      </c>
      <c r="D45" s="9" t="inlineStr">
        <is>
          <t>Baay Projects Limited</t>
        </is>
      </c>
      <c r="E45" s="11" t="inlineStr">
        <is>
          <t>PROJ-GEN</t>
        </is>
      </c>
      <c r="F45" s="11" t="inlineStr">
        <is>
          <t>2030</t>
        </is>
      </c>
      <c r="G45" s="8" t="inlineStr">
        <is>
          <t>Accrued Audit, Tax &amp; Professional Fees</t>
        </is>
      </c>
      <c r="H45" s="22" t="n">
        <v>0</v>
      </c>
      <c r="I45" s="22" t="n">
        <v>325000</v>
      </c>
      <c r="J45" s="9" t="inlineStr">
        <is>
          <t>Year-end audit and tax fee accruals</t>
        </is>
      </c>
      <c r="K45" s="10" t="inlineStr">
        <is>
          <t>Finance Team</t>
        </is>
      </c>
      <c r="L45" s="12" t="inlineStr">
        <is>
          <t>POSTED</t>
        </is>
      </c>
      <c r="M45" s="11" t="inlineStr">
        <is>
          <t>Approved</t>
        </is>
      </c>
    </row>
    <row r="46">
      <c r="A46" s="13" t="inlineStr">
        <is>
          <t>JRN-2023-009</t>
        </is>
      </c>
      <c r="B46" s="13" t="inlineStr">
        <is>
          <t>2023-12-31</t>
        </is>
      </c>
      <c r="C46" s="13" t="inlineStr">
        <is>
          <t>OPX-ALL-01</t>
        </is>
      </c>
      <c r="D46" s="6" t="inlineStr">
        <is>
          <t>Baay Projects Limited</t>
        </is>
      </c>
      <c r="E46" s="13" t="inlineStr">
        <is>
          <t>PROJ-GEN</t>
        </is>
      </c>
      <c r="F46" s="13" t="inlineStr">
        <is>
          <t>2040</t>
        </is>
      </c>
      <c r="G46" s="5" t="inlineStr">
        <is>
          <t>Other Accrued Expenses &amp; Sundry Creditors</t>
        </is>
      </c>
      <c r="H46" s="21" t="n">
        <v>0</v>
      </c>
      <c r="I46" s="21" t="n">
        <v>245235</v>
      </c>
      <c r="J46" s="6" t="inlineStr">
        <is>
          <t>Accrued utilities and operating expenses</t>
        </is>
      </c>
      <c r="K46" s="7" t="inlineStr">
        <is>
          <t>Finance Team</t>
        </is>
      </c>
      <c r="L46" s="14" t="inlineStr">
        <is>
          <t>POSTED</t>
        </is>
      </c>
      <c r="M46" s="13" t="inlineStr">
        <is>
          <t>Approved</t>
        </is>
      </c>
    </row>
    <row r="47">
      <c r="A47" s="11" t="inlineStr">
        <is>
          <t>JRN-2023-009</t>
        </is>
      </c>
      <c r="B47" s="11" t="inlineStr">
        <is>
          <t>2023-12-31</t>
        </is>
      </c>
      <c r="C47" s="11" t="inlineStr">
        <is>
          <t>OPX-ALL-01</t>
        </is>
      </c>
      <c r="D47" s="9" t="inlineStr">
        <is>
          <t>Baay Projects Limited</t>
        </is>
      </c>
      <c r="E47" s="11" t="inlineStr">
        <is>
          <t>PROJ-GEN</t>
        </is>
      </c>
      <c r="F47" s="11" t="inlineStr">
        <is>
          <t>1010</t>
        </is>
      </c>
      <c r="G47" s="8" t="inlineStr">
        <is>
          <t>Providus Bank - A/C 5400281942</t>
        </is>
      </c>
      <c r="H47" s="22" t="n">
        <v>0</v>
      </c>
      <c r="I47" s="22" t="n">
        <v>5409765</v>
      </c>
      <c r="J47" s="9" t="inlineStr">
        <is>
          <t>Operating cash disbursements via Providus Bank</t>
        </is>
      </c>
      <c r="K47" s="10" t="inlineStr">
        <is>
          <t>Finance Team</t>
        </is>
      </c>
      <c r="L47" s="12" t="inlineStr">
        <is>
          <t>POSTED</t>
        </is>
      </c>
      <c r="M47" s="11" t="inlineStr">
        <is>
          <t>Approved</t>
        </is>
      </c>
    </row>
    <row r="48">
      <c r="A48" s="13" t="inlineStr">
        <is>
          <t>JRN-2023-010</t>
        </is>
      </c>
      <c r="B48" s="13" t="inlineStr">
        <is>
          <t>2023-12-31</t>
        </is>
      </c>
      <c r="C48" s="13" t="inlineStr">
        <is>
          <t>TAX-PROV-23</t>
        </is>
      </c>
      <c r="D48" s="6" t="inlineStr">
        <is>
          <t>Baay Projects Limited</t>
        </is>
      </c>
      <c r="E48" s="13" t="inlineStr">
        <is>
          <t>PROJ-GEN</t>
        </is>
      </c>
      <c r="F48" s="13" t="inlineStr">
        <is>
          <t>8010</t>
        </is>
      </c>
      <c r="G48" s="5" t="inlineStr">
        <is>
          <t>Income Tax Expense - Current Tax</t>
        </is>
      </c>
      <c r="H48" s="21" t="n">
        <v>1731765</v>
      </c>
      <c r="I48" s="21" t="n">
        <v>0</v>
      </c>
      <c r="J48" s="6" t="inlineStr">
        <is>
          <t>Current income tax provision for FY 2023 (CIT 20%, TET 3%, PTF)</t>
        </is>
      </c>
      <c r="K48" s="7" t="inlineStr">
        <is>
          <t>Finance Team</t>
        </is>
      </c>
      <c r="L48" s="14" t="inlineStr">
        <is>
          <t>POSTED</t>
        </is>
      </c>
      <c r="M48" s="13" t="inlineStr">
        <is>
          <t>Approved</t>
        </is>
      </c>
    </row>
    <row r="49">
      <c r="A49" s="11" t="inlineStr">
        <is>
          <t>JRN-2023-010</t>
        </is>
      </c>
      <c r="B49" s="11" t="inlineStr">
        <is>
          <t>2023-12-31</t>
        </is>
      </c>
      <c r="C49" s="11" t="inlineStr">
        <is>
          <t>TAX-PROV-23</t>
        </is>
      </c>
      <c r="D49" s="9" t="inlineStr">
        <is>
          <t>Baay Projects Limited</t>
        </is>
      </c>
      <c r="E49" s="11" t="inlineStr">
        <is>
          <t>PROJ-GEN</t>
        </is>
      </c>
      <c r="F49" s="11" t="inlineStr">
        <is>
          <t>1610</t>
        </is>
      </c>
      <c r="G49" s="8" t="inlineStr">
        <is>
          <t>Deferred Tax Asset (IAS 12)</t>
        </is>
      </c>
      <c r="H49" s="22" t="n">
        <v>32000</v>
      </c>
      <c r="I49" s="22" t="n">
        <v>0</v>
      </c>
      <c r="J49" s="9" t="inlineStr">
        <is>
          <t>Deferred tax asset recognized on temporary differences (IAS 12)</t>
        </is>
      </c>
      <c r="K49" s="10" t="inlineStr">
        <is>
          <t>Finance Team</t>
        </is>
      </c>
      <c r="L49" s="12" t="inlineStr">
        <is>
          <t>POSTED</t>
        </is>
      </c>
      <c r="M49" s="11" t="inlineStr">
        <is>
          <t>Approved</t>
        </is>
      </c>
    </row>
    <row r="50">
      <c r="A50" s="13" t="inlineStr">
        <is>
          <t>JRN-2023-010</t>
        </is>
      </c>
      <c r="B50" s="13" t="inlineStr">
        <is>
          <t>2023-12-31</t>
        </is>
      </c>
      <c r="C50" s="13" t="inlineStr">
        <is>
          <t>TAX-PROV-23</t>
        </is>
      </c>
      <c r="D50" s="6" t="inlineStr">
        <is>
          <t>Baay Projects Limited</t>
        </is>
      </c>
      <c r="E50" s="13" t="inlineStr">
        <is>
          <t>PROJ-GEN</t>
        </is>
      </c>
      <c r="F50" s="13" t="inlineStr">
        <is>
          <t>2110</t>
        </is>
      </c>
      <c r="G50" s="5" t="inlineStr">
        <is>
          <t>Current Tax - CIT Payable</t>
        </is>
      </c>
      <c r="H50" s="21" t="n">
        <v>0</v>
      </c>
      <c r="I50" s="21" t="n">
        <v>1492000</v>
      </c>
      <c r="J50" s="6" t="inlineStr">
        <is>
          <t>CIT liability for YOA 2024 (20% of taxable profit)</t>
        </is>
      </c>
      <c r="K50" s="7" t="inlineStr">
        <is>
          <t>Finance Team</t>
        </is>
      </c>
      <c r="L50" s="14" t="inlineStr">
        <is>
          <t>POSTED</t>
        </is>
      </c>
      <c r="M50" s="13" t="inlineStr">
        <is>
          <t>Approved</t>
        </is>
      </c>
    </row>
    <row r="51">
      <c r="A51" s="11" t="inlineStr">
        <is>
          <t>JRN-2023-010</t>
        </is>
      </c>
      <c r="B51" s="11" t="inlineStr">
        <is>
          <t>2023-12-31</t>
        </is>
      </c>
      <c r="C51" s="11" t="inlineStr">
        <is>
          <t>TAX-PROV-23</t>
        </is>
      </c>
      <c r="D51" s="9" t="inlineStr">
        <is>
          <t>Baay Projects Limited</t>
        </is>
      </c>
      <c r="E51" s="11" t="inlineStr">
        <is>
          <t>PROJ-GEN</t>
        </is>
      </c>
      <c r="F51" s="11" t="inlineStr">
        <is>
          <t>2120</t>
        </is>
      </c>
      <c r="G51" s="8" t="inlineStr">
        <is>
          <t>Current Tax - TET Payable</t>
        </is>
      </c>
      <c r="H51" s="22" t="n">
        <v>0</v>
      </c>
      <c r="I51" s="22" t="n">
        <v>239400</v>
      </c>
      <c r="J51" s="9" t="inlineStr">
        <is>
          <t>Tertiary Education Tax (3% of assessable profit)</t>
        </is>
      </c>
      <c r="K51" s="10" t="inlineStr">
        <is>
          <t>Finance Team</t>
        </is>
      </c>
      <c r="L51" s="12" t="inlineStr">
        <is>
          <t>POSTED</t>
        </is>
      </c>
      <c r="M51" s="11" t="inlineStr">
        <is>
          <t>Approved</t>
        </is>
      </c>
    </row>
    <row r="52">
      <c r="A52" s="13" t="inlineStr">
        <is>
          <t>JRN-2023-010</t>
        </is>
      </c>
      <c r="B52" s="13" t="inlineStr">
        <is>
          <t>2023-12-31</t>
        </is>
      </c>
      <c r="C52" s="13" t="inlineStr">
        <is>
          <t>TAX-PROV-23</t>
        </is>
      </c>
      <c r="D52" s="6" t="inlineStr">
        <is>
          <t>Baay Projects Limited</t>
        </is>
      </c>
      <c r="E52" s="13" t="inlineStr">
        <is>
          <t>PROJ-GEN</t>
        </is>
      </c>
      <c r="F52" s="13" t="inlineStr">
        <is>
          <t>2130</t>
        </is>
      </c>
      <c r="G52" s="5" t="inlineStr">
        <is>
          <t>Current Tax - PTF Payable</t>
        </is>
      </c>
      <c r="H52" s="21" t="n">
        <v>0</v>
      </c>
      <c r="I52" s="21" t="n">
        <v>365</v>
      </c>
      <c r="J52" s="6" t="inlineStr">
        <is>
          <t>Police Trust Fund levy (0.005% of PBT)</t>
        </is>
      </c>
      <c r="K52" s="7" t="inlineStr">
        <is>
          <t>Finance Team</t>
        </is>
      </c>
      <c r="L52" s="14" t="inlineStr">
        <is>
          <t>POSTED</t>
        </is>
      </c>
      <c r="M52" s="13" t="inlineStr">
        <is>
          <t>Approved</t>
        </is>
      </c>
    </row>
    <row r="53">
      <c r="A53" s="11" t="inlineStr">
        <is>
          <t>JRN-2023-010</t>
        </is>
      </c>
      <c r="B53" s="11" t="inlineStr">
        <is>
          <t>2023-12-31</t>
        </is>
      </c>
      <c r="C53" s="11" t="inlineStr">
        <is>
          <t>TAX-PROV-23</t>
        </is>
      </c>
      <c r="D53" s="9" t="inlineStr">
        <is>
          <t>Baay Projects Limited</t>
        </is>
      </c>
      <c r="E53" s="11" t="inlineStr">
        <is>
          <t>PROJ-GEN</t>
        </is>
      </c>
      <c r="F53" s="11" t="inlineStr">
        <is>
          <t>8020</t>
        </is>
      </c>
      <c r="G53" s="8" t="inlineStr">
        <is>
          <t>Income Tax Expense - Deferred Tax Credit</t>
        </is>
      </c>
      <c r="H53" s="22" t="n">
        <v>0</v>
      </c>
      <c r="I53" s="22" t="n">
        <v>32000</v>
      </c>
      <c r="J53" s="9" t="inlineStr">
        <is>
          <t>Deferred tax benefit credited to profit or loss (IAS 12)</t>
        </is>
      </c>
      <c r="K53" s="10" t="inlineStr">
        <is>
          <t>Finance Team</t>
        </is>
      </c>
      <c r="L53" s="12" t="inlineStr">
        <is>
          <t>POSTED</t>
        </is>
      </c>
      <c r="M53" s="11" t="inlineStr">
        <is>
          <t>Approved</t>
        </is>
      </c>
    </row>
    <row r="54">
      <c r="A54" s="23" t="inlineStr">
        <is>
          <t>TOTAL GENERAL JOURNALS</t>
        </is>
      </c>
      <c r="B54" s="31" t="n"/>
      <c r="C54" s="31" t="n"/>
      <c r="D54" s="31" t="n"/>
      <c r="E54" s="31" t="n"/>
      <c r="F54" s="31" t="n"/>
      <c r="G54" s="31" t="n"/>
      <c r="H54" s="24">
        <f>SUM(H5:H53)</f>
        <v/>
      </c>
      <c r="I54" s="24">
        <f>SUM(I5:I53)</f>
        <v/>
      </c>
      <c r="J54" s="31" t="n"/>
      <c r="K54" s="31" t="n"/>
      <c r="L54" s="31" t="n"/>
      <c r="M54" s="3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4" customWidth="1" min="1" max="1"/>
    <col width="58" customWidth="1" min="2" max="2"/>
    <col width="15" customWidth="1" min="3" max="3"/>
    <col width="15" customWidth="1" min="4" max="4"/>
    <col width="14" customWidth="1" min="5" max="5"/>
    <col width="63" customWidth="1" min="6" max="6"/>
    <col width="15" customWidth="1" min="7" max="7"/>
    <col width="14" customWidth="1" min="8" max="8"/>
    <col width="15" customWidth="1" min="9" max="9"/>
    <col width="21" customWidth="1" min="10" max="10"/>
    <col width="24" customWidth="1" min="11" max="11"/>
    <col width="21" customWidth="1" min="12" max="12"/>
  </cols>
  <sheetData>
    <row r="1">
      <c r="A1" s="1" t="inlineStr">
        <is>
          <t>BAAY PROJECTS LIMITED — GENERAL LEDGER TRANSACTION DETAIL</t>
        </is>
      </c>
    </row>
    <row r="2">
      <c r="A2" s="3" t="inlineStr">
        <is>
          <t>Complete Transaction-Level General Ledger with Running Balances for Every Account</t>
        </is>
      </c>
    </row>
    <row r="3"/>
    <row r="4">
      <c r="A4" s="4" t="inlineStr">
        <is>
          <t>Account Code</t>
        </is>
      </c>
      <c r="B4" s="4" t="inlineStr">
        <is>
          <t>Account Title</t>
        </is>
      </c>
      <c r="C4" s="4" t="inlineStr">
        <is>
          <t>Posting Date</t>
        </is>
      </c>
      <c r="D4" s="4" t="inlineStr">
        <is>
          <t>Journal Ref</t>
        </is>
      </c>
      <c r="E4" s="4" t="inlineStr">
        <is>
          <t>Source Ref</t>
        </is>
      </c>
      <c r="F4" s="4" t="inlineStr">
        <is>
          <t>Transaction Narration &amp; Counterparty</t>
        </is>
      </c>
      <c r="G4" s="4" t="inlineStr">
        <is>
          <t>Project Code</t>
        </is>
      </c>
      <c r="H4" s="4" t="inlineStr">
        <is>
          <t>Debit (NGN)</t>
        </is>
      </c>
      <c r="I4" s="4" t="inlineStr">
        <is>
          <t>Credit (NGN)</t>
        </is>
      </c>
      <c r="J4" s="4" t="inlineStr">
        <is>
          <t>Net Movement (NGN)</t>
        </is>
      </c>
      <c r="K4" s="4" t="inlineStr">
        <is>
          <t>Running Balance (NGN)</t>
        </is>
      </c>
      <c r="L4" s="4" t="inlineStr">
        <is>
          <t>Evidence Status</t>
        </is>
      </c>
    </row>
    <row r="5">
      <c r="A5" s="11" t="inlineStr">
        <is>
          <t>1010</t>
        </is>
      </c>
      <c r="B5" s="8" t="inlineStr">
        <is>
          <t>Providus Bank - A/C 5400281942</t>
        </is>
      </c>
      <c r="C5" s="11" t="inlineStr">
        <is>
          <t>2023-01-01</t>
        </is>
      </c>
      <c r="D5" s="11" t="inlineStr">
        <is>
          <t>JRN-2023-001</t>
        </is>
      </c>
      <c r="E5" s="11" t="inlineStr">
        <is>
          <t>OPEN-001</t>
        </is>
      </c>
      <c r="F5" s="9" t="inlineStr">
        <is>
          <t>Opening Balance B/F per 2022 Audited Balance Sheet</t>
        </is>
      </c>
      <c r="G5" s="11" t="inlineStr">
        <is>
          <t>PROJ-GEN</t>
        </is>
      </c>
      <c r="H5" s="22" t="n">
        <v>52500</v>
      </c>
      <c r="I5" s="22" t="n">
        <v>0</v>
      </c>
      <c r="J5" s="22" t="n">
        <v>52500</v>
      </c>
      <c r="K5" s="22" t="n">
        <v>52500</v>
      </c>
      <c r="L5" s="12" t="inlineStr">
        <is>
          <t>VERIFIED</t>
        </is>
      </c>
    </row>
    <row r="6">
      <c r="A6" s="13" t="inlineStr">
        <is>
          <t>1010</t>
        </is>
      </c>
      <c r="B6" s="5" t="inlineStr">
        <is>
          <t>Providus Bank - A/C 5400281942</t>
        </is>
      </c>
      <c r="C6" s="13" t="inlineStr">
        <is>
          <t>2023-01-28</t>
        </is>
      </c>
      <c r="D6" s="13" t="inlineStr">
        <is>
          <t>JRN-2023-002</t>
        </is>
      </c>
      <c r="E6" s="13" t="inlineStr">
        <is>
          <t>INV-GEO-01</t>
        </is>
      </c>
      <c r="F6" s="6" t="inlineStr">
        <is>
          <t>Purchase of Site Survey Equipment (Geotech Instruments)</t>
        </is>
      </c>
      <c r="G6" s="13" t="inlineStr">
        <is>
          <t>PROJ-GEN</t>
        </is>
      </c>
      <c r="H6" s="21" t="n">
        <v>0</v>
      </c>
      <c r="I6" s="21" t="n">
        <v>1800000</v>
      </c>
      <c r="J6" s="21" t="n">
        <v>-1800000</v>
      </c>
      <c r="K6" s="21" t="n">
        <v>-1747500</v>
      </c>
      <c r="L6" s="14" t="inlineStr">
        <is>
          <t>VERIFIED</t>
        </is>
      </c>
    </row>
    <row r="7">
      <c r="A7" s="11" t="inlineStr">
        <is>
          <t>1010</t>
        </is>
      </c>
      <c r="B7" s="8" t="inlineStr">
        <is>
          <t>Providus Bank - A/C 5400281942</t>
        </is>
      </c>
      <c r="C7" s="11" t="inlineStr">
        <is>
          <t>2023-02-15</t>
        </is>
      </c>
      <c r="D7" s="11" t="inlineStr">
        <is>
          <t>JRN-2023-003</t>
        </is>
      </c>
      <c r="E7" s="11" t="inlineStr">
        <is>
          <t>DIR-LOAN-01</t>
        </is>
      </c>
      <c r="F7" s="9" t="inlineStr">
        <is>
          <t>Director Long-Term Project Funding (Engr. B. Goke)</t>
        </is>
      </c>
      <c r="G7" s="11" t="inlineStr">
        <is>
          <t>PROJ-GEN</t>
        </is>
      </c>
      <c r="H7" s="22" t="n">
        <v>4500000</v>
      </c>
      <c r="I7" s="22" t="n">
        <v>0</v>
      </c>
      <c r="J7" s="22" t="n">
        <v>4500000</v>
      </c>
      <c r="K7" s="22" t="n">
        <v>2752500</v>
      </c>
      <c r="L7" s="12" t="inlineStr">
        <is>
          <t>VERIFIED</t>
        </is>
      </c>
    </row>
    <row r="8">
      <c r="A8" s="13" t="inlineStr">
        <is>
          <t>1010</t>
        </is>
      </c>
      <c r="B8" s="5" t="inlineStr">
        <is>
          <t>Providus Bank - A/C 5400281942</t>
        </is>
      </c>
      <c r="C8" s="13" t="inlineStr">
        <is>
          <t>2023-12-31</t>
        </is>
      </c>
      <c r="D8" s="13" t="inlineStr">
        <is>
          <t>JRN-2023-005</t>
        </is>
      </c>
      <c r="E8" s="13" t="inlineStr">
        <is>
          <t>LND-IBJ-01</t>
        </is>
      </c>
      <c r="F8" s="6" t="inlineStr">
        <is>
          <t>Proceeds from 4 Serviced Plots Sale (Ibeju Scheme 1)</t>
        </is>
      </c>
      <c r="G8" s="13" t="inlineStr">
        <is>
          <t>PROJ-102</t>
        </is>
      </c>
      <c r="H8" s="21" t="n">
        <v>12500000</v>
      </c>
      <c r="I8" s="21" t="n">
        <v>0</v>
      </c>
      <c r="J8" s="21" t="n">
        <v>12500000</v>
      </c>
      <c r="K8" s="21" t="n">
        <v>15252500</v>
      </c>
      <c r="L8" s="14" t="inlineStr">
        <is>
          <t>VERIFIED</t>
        </is>
      </c>
    </row>
    <row r="9">
      <c r="A9" s="11" t="inlineStr">
        <is>
          <t>1010</t>
        </is>
      </c>
      <c r="B9" s="8" t="inlineStr">
        <is>
          <t>Providus Bank - A/C 5400281942</t>
        </is>
      </c>
      <c r="C9" s="11" t="inlineStr">
        <is>
          <t>2023-12-31</t>
        </is>
      </c>
      <c r="D9" s="11" t="inlineStr">
        <is>
          <t>JRN-2023-006</t>
        </is>
      </c>
      <c r="E9" s="11" t="inlineStr">
        <is>
          <t>CON-IKJ-01</t>
        </is>
      </c>
      <c r="F9" s="9" t="inlineStr">
        <is>
          <t>Consultancy Fees Received (Horizon Holdings Ltd)</t>
        </is>
      </c>
      <c r="G9" s="11" t="inlineStr">
        <is>
          <t>PROJ-103</t>
        </is>
      </c>
      <c r="H9" s="22" t="n">
        <v>4000000</v>
      </c>
      <c r="I9" s="22" t="n">
        <v>0</v>
      </c>
      <c r="J9" s="22" t="n">
        <v>4000000</v>
      </c>
      <c r="K9" s="22" t="n">
        <v>19252500</v>
      </c>
      <c r="L9" s="12" t="inlineStr">
        <is>
          <t>VERIFIED</t>
        </is>
      </c>
    </row>
    <row r="10">
      <c r="A10" s="13" t="inlineStr">
        <is>
          <t>1010</t>
        </is>
      </c>
      <c r="B10" s="5" t="inlineStr">
        <is>
          <t>Providus Bank - A/C 5400281942</t>
        </is>
      </c>
      <c r="C10" s="13" t="inlineStr">
        <is>
          <t>2023-12-31</t>
        </is>
      </c>
      <c r="D10" s="13" t="inlineStr">
        <is>
          <t>JRN-2023-007</t>
        </is>
      </c>
      <c r="E10" s="13" t="inlineStr">
        <is>
          <t>COS-ALL-01</t>
        </is>
      </c>
      <c r="F10" s="6" t="inlineStr">
        <is>
          <t>Direct Payments for Materials &amp; Subcontracts</t>
        </is>
      </c>
      <c r="G10" s="13" t="inlineStr">
        <is>
          <t>PROJ-GEN</t>
        </is>
      </c>
      <c r="H10" s="21" t="n">
        <v>0</v>
      </c>
      <c r="I10" s="21" t="n">
        <v>22525000</v>
      </c>
      <c r="J10" s="21" t="n">
        <v>-22525000</v>
      </c>
      <c r="K10" s="21" t="n">
        <v>-3272500</v>
      </c>
      <c r="L10" s="14" t="inlineStr">
        <is>
          <t>VERIFIED</t>
        </is>
      </c>
    </row>
    <row r="11">
      <c r="A11" s="11" t="inlineStr">
        <is>
          <t>1010</t>
        </is>
      </c>
      <c r="B11" s="8" t="inlineStr">
        <is>
          <t>Providus Bank - A/C 5400281942</t>
        </is>
      </c>
      <c r="C11" s="11" t="inlineStr">
        <is>
          <t>2023-12-31</t>
        </is>
      </c>
      <c r="D11" s="11" t="inlineStr">
        <is>
          <t>JRN-2023-008</t>
        </is>
      </c>
      <c r="E11" s="11" t="inlineStr">
        <is>
          <t>INV-BNK-01</t>
        </is>
      </c>
      <c r="F11" s="9" t="inlineStr">
        <is>
          <t>Payments for Land Additions &amp; WIP Construction</t>
        </is>
      </c>
      <c r="G11" s="11" t="inlineStr">
        <is>
          <t>PROJ-GEN</t>
        </is>
      </c>
      <c r="H11" s="22" t="n">
        <v>0</v>
      </c>
      <c r="I11" s="22" t="n">
        <v>8650000</v>
      </c>
      <c r="J11" s="22" t="n">
        <v>-8650000</v>
      </c>
      <c r="K11" s="22" t="n">
        <v>-11922500</v>
      </c>
      <c r="L11" s="12" t="inlineStr">
        <is>
          <t>VERIFIED</t>
        </is>
      </c>
    </row>
    <row r="12">
      <c r="A12" s="13" t="inlineStr">
        <is>
          <t>1010</t>
        </is>
      </c>
      <c r="B12" s="5" t="inlineStr">
        <is>
          <t>Providus Bank - A/C 5400281942</t>
        </is>
      </c>
      <c r="C12" s="13" t="inlineStr">
        <is>
          <t>2023-12-31</t>
        </is>
      </c>
      <c r="D12" s="13" t="inlineStr">
        <is>
          <t>JRN-2023-009</t>
        </is>
      </c>
      <c r="E12" s="13" t="inlineStr">
        <is>
          <t>OPX-ALL-01</t>
        </is>
      </c>
      <c r="F12" s="6" t="inlineStr">
        <is>
          <t>Operating &amp; Administrative Expenses Disbursements</t>
        </is>
      </c>
      <c r="G12" s="13" t="inlineStr">
        <is>
          <t>PROJ-GEN</t>
        </is>
      </c>
      <c r="H12" s="21" t="n">
        <v>0</v>
      </c>
      <c r="I12" s="21" t="n">
        <v>5409765</v>
      </c>
      <c r="J12" s="21" t="n">
        <v>-5409765</v>
      </c>
      <c r="K12" s="21" t="n">
        <v>-17332265</v>
      </c>
      <c r="L12" s="14" t="inlineStr">
        <is>
          <t>VERIFIED</t>
        </is>
      </c>
    </row>
    <row r="13">
      <c r="A13" s="11" t="inlineStr">
        <is>
          <t>1010</t>
        </is>
      </c>
      <c r="B13" s="8" t="inlineStr">
        <is>
          <t>Providus Bank - A/C 5400281942</t>
        </is>
      </c>
      <c r="C13" s="11" t="inlineStr">
        <is>
          <t>2023-12-31</t>
        </is>
      </c>
      <c r="D13" s="11" t="inlineStr">
        <is>
          <t>ADJ-BNK-23</t>
        </is>
      </c>
      <c r="E13" s="11" t="inlineStr">
        <is>
          <t>PRV-REC-23</t>
        </is>
      </c>
      <c r="F13" s="9" t="inlineStr">
        <is>
          <t>Operating Cash Receipts from Progress Billings &amp; Settlements</t>
        </is>
      </c>
      <c r="G13" s="11" t="inlineStr">
        <is>
          <t>PROJ-GEN</t>
        </is>
      </c>
      <c r="H13" s="22" t="n">
        <v>19548085</v>
      </c>
      <c r="I13" s="22" t="n">
        <v>0</v>
      </c>
      <c r="J13" s="22" t="n">
        <v>19548085</v>
      </c>
      <c r="K13" s="22" t="n">
        <v>2215820</v>
      </c>
      <c r="L13" s="12" t="inlineStr">
        <is>
          <t>VERIFIED</t>
        </is>
      </c>
    </row>
    <row r="14">
      <c r="A14" s="13" t="inlineStr">
        <is>
          <t>1020</t>
        </is>
      </c>
      <c r="B14" s="5" t="inlineStr">
        <is>
          <t>First Bank of Nigeria - A/C 2034891102</t>
        </is>
      </c>
      <c r="C14" s="13" t="inlineStr">
        <is>
          <t>2023-01-01</t>
        </is>
      </c>
      <c r="D14" s="13" t="inlineStr">
        <is>
          <t>JRN-2023-001</t>
        </is>
      </c>
      <c r="E14" s="13" t="inlineStr">
        <is>
          <t>OPEN-002</t>
        </is>
      </c>
      <c r="F14" s="6" t="inlineStr">
        <is>
          <t>Opening Imprest Balance B/F</t>
        </is>
      </c>
      <c r="G14" s="13" t="inlineStr">
        <is>
          <t>PROJ-GEN</t>
        </is>
      </c>
      <c r="H14" s="21" t="n">
        <v>12410</v>
      </c>
      <c r="I14" s="21" t="n">
        <v>0</v>
      </c>
      <c r="J14" s="21" t="n">
        <v>12410</v>
      </c>
      <c r="K14" s="21" t="n">
        <v>12410</v>
      </c>
      <c r="L14" s="14" t="inlineStr">
        <is>
          <t>VERIFIED</t>
        </is>
      </c>
    </row>
    <row r="15">
      <c r="A15" s="11" t="inlineStr">
        <is>
          <t>1020</t>
        </is>
      </c>
      <c r="B15" s="8" t="inlineStr">
        <is>
          <t>First Bank of Nigeria - A/C 2034891102</t>
        </is>
      </c>
      <c r="C15" s="11" t="inlineStr">
        <is>
          <t>2023-12-28</t>
        </is>
      </c>
      <c r="D15" s="11" t="inlineStr">
        <is>
          <t>JRN-2023-017</t>
        </is>
      </c>
      <c r="E15" s="11" t="inlineStr">
        <is>
          <t>TRF-PRV-01</t>
        </is>
      </c>
      <c r="F15" s="9" t="inlineStr">
        <is>
          <t>Interbank Transfer from Providus Bank</t>
        </is>
      </c>
      <c r="G15" s="11" t="inlineStr">
        <is>
          <t>PROJ-GEN</t>
        </is>
      </c>
      <c r="H15" s="22" t="n">
        <v>500000</v>
      </c>
      <c r="I15" s="22" t="n">
        <v>0</v>
      </c>
      <c r="J15" s="22" t="n">
        <v>500000</v>
      </c>
      <c r="K15" s="22" t="n">
        <v>512410</v>
      </c>
      <c r="L15" s="12" t="inlineStr">
        <is>
          <t>VERIFIED</t>
        </is>
      </c>
    </row>
    <row r="16">
      <c r="A16" s="13" t="inlineStr">
        <is>
          <t>1030</t>
        </is>
      </c>
      <c r="B16" s="5" t="inlineStr">
        <is>
          <t>Sterling Bank - A/C 0078451290</t>
        </is>
      </c>
      <c r="C16" s="13" t="inlineStr">
        <is>
          <t>2023-01-01</t>
        </is>
      </c>
      <c r="D16" s="13" t="inlineStr">
        <is>
          <t>JRN-2023-001</t>
        </is>
      </c>
      <c r="E16" s="13" t="inlineStr">
        <is>
          <t>OPEN-003</t>
        </is>
      </c>
      <c r="F16" s="6" t="inlineStr">
        <is>
          <t>Opening Balance B/F</t>
        </is>
      </c>
      <c r="G16" s="13" t="inlineStr">
        <is>
          <t>PROJ-GEN</t>
        </is>
      </c>
      <c r="H16" s="21" t="n">
        <v>95828.85000000001</v>
      </c>
      <c r="I16" s="21" t="n">
        <v>0</v>
      </c>
      <c r="J16" s="21" t="n">
        <v>95828.85000000001</v>
      </c>
      <c r="K16" s="21" t="n">
        <v>95828.85000000001</v>
      </c>
      <c r="L16" s="14" t="inlineStr">
        <is>
          <t>VERIFIED</t>
        </is>
      </c>
    </row>
    <row r="17">
      <c r="A17" s="11" t="inlineStr">
        <is>
          <t>1030</t>
        </is>
      </c>
      <c r="B17" s="8" t="inlineStr">
        <is>
          <t>Sterling Bank - A/C 0078451290</t>
        </is>
      </c>
      <c r="C17" s="11" t="inlineStr">
        <is>
          <t>2023-12-31</t>
        </is>
      </c>
      <c r="D17" s="11" t="inlineStr">
        <is>
          <t>JRN-2023-025</t>
        </is>
      </c>
      <c r="E17" s="11" t="inlineStr">
        <is>
          <t>TRF-PRV-02</t>
        </is>
      </c>
      <c r="F17" s="9" t="inlineStr">
        <is>
          <t>Interbank Transfer from Providus Bank</t>
        </is>
      </c>
      <c r="G17" s="11" t="inlineStr">
        <is>
          <t>PROJ-GEN</t>
        </is>
      </c>
      <c r="H17" s="22" t="n">
        <v>18344.15</v>
      </c>
      <c r="I17" s="22" t="n">
        <v>0</v>
      </c>
      <c r="J17" s="22" t="n">
        <v>18344.15</v>
      </c>
      <c r="K17" s="22" t="n">
        <v>114173</v>
      </c>
      <c r="L17" s="12" t="inlineStr">
        <is>
          <t>VERIFIED</t>
        </is>
      </c>
    </row>
    <row r="18">
      <c r="A18" s="13" t="inlineStr">
        <is>
          <t>1110</t>
        </is>
      </c>
      <c r="B18" s="5" t="inlineStr">
        <is>
          <t>Trade Receivables - Construction &amp; Engineering</t>
        </is>
      </c>
      <c r="C18" s="13" t="inlineStr">
        <is>
          <t>2023-01-01</t>
        </is>
      </c>
      <c r="D18" s="13" t="inlineStr">
        <is>
          <t>JRN-2023-001</t>
        </is>
      </c>
      <c r="E18" s="13" t="inlineStr">
        <is>
          <t>OPEN-004</t>
        </is>
      </c>
      <c r="F18" s="6" t="inlineStr">
        <is>
          <t>Opening Trade Debtors B/F per 2022 AFS</t>
        </is>
      </c>
      <c r="G18" s="13" t="inlineStr">
        <is>
          <t>PROJ-GEN</t>
        </is>
      </c>
      <c r="H18" s="21" t="n">
        <v>3374668</v>
      </c>
      <c r="I18" s="21" t="n">
        <v>0</v>
      </c>
      <c r="J18" s="21" t="n">
        <v>3374668</v>
      </c>
      <c r="K18" s="21" t="n">
        <v>3374668</v>
      </c>
      <c r="L18" s="14" t="inlineStr">
        <is>
          <t>VERIFIED</t>
        </is>
      </c>
    </row>
    <row r="19">
      <c r="A19" s="11" t="inlineStr">
        <is>
          <t>1110</t>
        </is>
      </c>
      <c r="B19" s="8" t="inlineStr">
        <is>
          <t>Trade Receivables - Construction &amp; Engineering</t>
        </is>
      </c>
      <c r="C19" s="11" t="inlineStr">
        <is>
          <t>2023-12-31</t>
        </is>
      </c>
      <c r="D19" s="11" t="inlineStr">
        <is>
          <t>JRN-2023-004</t>
        </is>
      </c>
      <c r="E19" s="11" t="inlineStr">
        <is>
          <t>CNT-LEK-01</t>
        </is>
      </c>
      <c r="F19" s="9" t="inlineStr">
        <is>
          <t>Progress Billings on Lekki Phase 1 Project</t>
        </is>
      </c>
      <c r="G19" s="11" t="inlineStr">
        <is>
          <t>PROJ-101</t>
        </is>
      </c>
      <c r="H19" s="22" t="n">
        <v>15500000</v>
      </c>
      <c r="I19" s="22" t="n">
        <v>0</v>
      </c>
      <c r="J19" s="22" t="n">
        <v>15500000</v>
      </c>
      <c r="K19" s="22" t="n">
        <v>18874668</v>
      </c>
      <c r="L19" s="12" t="inlineStr">
        <is>
          <t>VERIFIED</t>
        </is>
      </c>
    </row>
    <row r="20">
      <c r="A20" s="13" t="inlineStr">
        <is>
          <t>1110</t>
        </is>
      </c>
      <c r="B20" s="5" t="inlineStr">
        <is>
          <t>Trade Receivables - Construction &amp; Engineering</t>
        </is>
      </c>
      <c r="C20" s="13" t="inlineStr">
        <is>
          <t>2023-12-31</t>
        </is>
      </c>
      <c r="D20" s="13" t="inlineStr">
        <is>
          <t>JRN-2023-004</t>
        </is>
      </c>
      <c r="E20" s="13" t="inlineStr">
        <is>
          <t>REC-SET-23</t>
        </is>
      </c>
      <c r="F20" s="6" t="inlineStr">
        <is>
          <t>Cash Collections from Construction Clients</t>
        </is>
      </c>
      <c r="G20" s="13" t="inlineStr">
        <is>
          <t>PROJ-GEN</t>
        </is>
      </c>
      <c r="H20" s="21" t="n">
        <v>0</v>
      </c>
      <c r="I20" s="21" t="n">
        <v>15224668</v>
      </c>
      <c r="J20" s="21" t="n">
        <v>-15224668</v>
      </c>
      <c r="K20" s="21" t="n">
        <v>3650000</v>
      </c>
      <c r="L20" s="14" t="inlineStr">
        <is>
          <t>VERIFIED</t>
        </is>
      </c>
    </row>
    <row r="21">
      <c r="A21" s="11" t="inlineStr">
        <is>
          <t>1130</t>
        </is>
      </c>
      <c r="B21" s="8" t="inlineStr">
        <is>
          <t>Allowance for Expected Credit Losses (IFRS 9)</t>
        </is>
      </c>
      <c r="C21" s="11" t="inlineStr">
        <is>
          <t>2023-12-31</t>
        </is>
      </c>
      <c r="D21" s="11" t="inlineStr">
        <is>
          <t>JRN-2023-009</t>
        </is>
      </c>
      <c r="E21" s="11" t="inlineStr">
        <is>
          <t>ECL-PROV-23</t>
        </is>
      </c>
      <c r="F21" s="9" t="inlineStr">
        <is>
          <t>IFRS 9 Expected Credit Loss Provision on Receivables</t>
        </is>
      </c>
      <c r="G21" s="11" t="inlineStr">
        <is>
          <t>PROJ-GEN</t>
        </is>
      </c>
      <c r="H21" s="22" t="n">
        <v>0</v>
      </c>
      <c r="I21" s="22" t="n">
        <v>185000</v>
      </c>
      <c r="J21" s="22" t="n">
        <v>-185000</v>
      </c>
      <c r="K21" s="22" t="n">
        <v>-185000</v>
      </c>
      <c r="L21" s="12" t="inlineStr">
        <is>
          <t>VERIFIED</t>
        </is>
      </c>
    </row>
    <row r="22">
      <c r="A22" s="13" t="inlineStr">
        <is>
          <t>1140</t>
        </is>
      </c>
      <c r="B22" s="5" t="inlineStr">
        <is>
          <t>Contract Assets (Unbilled Certified Work)</t>
        </is>
      </c>
      <c r="C22" s="13" t="inlineStr">
        <is>
          <t>2023-12-31</t>
        </is>
      </c>
      <c r="D22" s="13" t="inlineStr">
        <is>
          <t>JRN-2023-004</t>
        </is>
      </c>
      <c r="E22" s="13" t="inlineStr">
        <is>
          <t>CNT-LEK-01</t>
        </is>
      </c>
      <c r="F22" s="6" t="inlineStr">
        <is>
          <t>Unbilled Revenue Certified under IFRS 15 Over-Time</t>
        </is>
      </c>
      <c r="G22" s="13" t="inlineStr">
        <is>
          <t>PROJ-101</t>
        </is>
      </c>
      <c r="H22" s="21" t="n">
        <v>2400000</v>
      </c>
      <c r="I22" s="21" t="n">
        <v>0</v>
      </c>
      <c r="J22" s="21" t="n">
        <v>2400000</v>
      </c>
      <c r="K22" s="21" t="n">
        <v>2400000</v>
      </c>
      <c r="L22" s="14" t="inlineStr">
        <is>
          <t>VERIFIED</t>
        </is>
      </c>
    </row>
    <row r="23">
      <c r="A23" s="11" t="inlineStr">
        <is>
          <t>1150</t>
        </is>
      </c>
      <c r="B23" s="8" t="inlineStr">
        <is>
          <t>Withholding Tax (WHT) Credit Notes Receivable</t>
        </is>
      </c>
      <c r="C23" s="11" t="inlineStr">
        <is>
          <t>2023-12-31</t>
        </is>
      </c>
      <c r="D23" s="11" t="inlineStr">
        <is>
          <t>JRN-2023-010</t>
        </is>
      </c>
      <c r="E23" s="11" t="inlineStr">
        <is>
          <t>WHT-CR-23</t>
        </is>
      </c>
      <c r="F23" s="9" t="inlineStr">
        <is>
          <t>5% WHT Deducted at Source by Corporate Clients</t>
        </is>
      </c>
      <c r="G23" s="11" t="inlineStr">
        <is>
          <t>PROJ-GEN</t>
        </is>
      </c>
      <c r="H23" s="22" t="n">
        <v>1100000</v>
      </c>
      <c r="I23" s="22" t="n">
        <v>0</v>
      </c>
      <c r="J23" s="22" t="n">
        <v>1100000</v>
      </c>
      <c r="K23" s="22" t="n">
        <v>1100000</v>
      </c>
      <c r="L23" s="12" t="inlineStr">
        <is>
          <t>SUPPORTED ESTIMATE</t>
        </is>
      </c>
    </row>
    <row r="24">
      <c r="A24" s="13" t="inlineStr">
        <is>
          <t>1160</t>
        </is>
      </c>
      <c r="B24" s="5" t="inlineStr">
        <is>
          <t>Prepayments &amp; Site Advances to Suppliers</t>
        </is>
      </c>
      <c r="C24" s="13" t="inlineStr">
        <is>
          <t>2023-12-31</t>
        </is>
      </c>
      <c r="D24" s="13" t="inlineStr">
        <is>
          <t>JRN-2023-009</t>
        </is>
      </c>
      <c r="E24" s="13" t="inlineStr">
        <is>
          <t>PRE-ADV-23</t>
        </is>
      </c>
      <c r="F24" s="6" t="inlineStr">
        <is>
          <t>Prepaid Rent &amp; Site Advances to Material Suppliers</t>
        </is>
      </c>
      <c r="G24" s="13" t="inlineStr">
        <is>
          <t>PROJ-GEN</t>
        </is>
      </c>
      <c r="H24" s="21" t="n">
        <v>450000</v>
      </c>
      <c r="I24" s="21" t="n">
        <v>0</v>
      </c>
      <c r="J24" s="21" t="n">
        <v>450000</v>
      </c>
      <c r="K24" s="21" t="n">
        <v>450000</v>
      </c>
      <c r="L24" s="14" t="inlineStr">
        <is>
          <t>VERIFIED</t>
        </is>
      </c>
    </row>
    <row r="25">
      <c r="A25" s="11" t="inlineStr">
        <is>
          <t>1210</t>
        </is>
      </c>
      <c r="B25" s="8" t="inlineStr">
        <is>
          <t>Development Inventory - Land Held for Resale</t>
        </is>
      </c>
      <c r="C25" s="11" t="inlineStr">
        <is>
          <t>2023-02-14</t>
        </is>
      </c>
      <c r="D25" s="11" t="inlineStr">
        <is>
          <t>JRN-2023-004</t>
        </is>
      </c>
      <c r="E25" s="11" t="inlineStr">
        <is>
          <t>LND-ACQ-01</t>
        </is>
      </c>
      <c r="F25" s="9" t="inlineStr">
        <is>
          <t>Acquisition of Ibeju-Lekki Land (Scheme 1)</t>
        </is>
      </c>
      <c r="G25" s="11" t="inlineStr">
        <is>
          <t>PROJ-102</t>
        </is>
      </c>
      <c r="H25" s="22" t="n">
        <v>8100000</v>
      </c>
      <c r="I25" s="22" t="n">
        <v>0</v>
      </c>
      <c r="J25" s="22" t="n">
        <v>8100000</v>
      </c>
      <c r="K25" s="22" t="n">
        <v>8100000</v>
      </c>
      <c r="L25" s="12" t="inlineStr">
        <is>
          <t>VERIFIED</t>
        </is>
      </c>
    </row>
    <row r="26">
      <c r="A26" s="13" t="inlineStr">
        <is>
          <t>1210</t>
        </is>
      </c>
      <c r="B26" s="5" t="inlineStr">
        <is>
          <t>Development Inventory - Land Held for Resale</t>
        </is>
      </c>
      <c r="C26" s="13" t="inlineStr">
        <is>
          <t>2023-12-31</t>
        </is>
      </c>
      <c r="D26" s="13" t="inlineStr">
        <is>
          <t>JRN-2023-007</t>
        </is>
      </c>
      <c r="E26" s="13" t="inlineStr">
        <is>
          <t>COS-LND-01</t>
        </is>
      </c>
      <c r="F26" s="6" t="inlineStr">
        <is>
          <t>Land Inventory Cost Released on 4 Plots Sold</t>
        </is>
      </c>
      <c r="G26" s="13" t="inlineStr">
        <is>
          <t>PROJ-102</t>
        </is>
      </c>
      <c r="H26" s="21" t="n">
        <v>0</v>
      </c>
      <c r="I26" s="21" t="n">
        <v>8100000</v>
      </c>
      <c r="J26" s="21" t="n">
        <v>-8100000</v>
      </c>
      <c r="K26" s="21" t="n">
        <v>0</v>
      </c>
      <c r="L26" s="14" t="inlineStr">
        <is>
          <t>VERIFIED</t>
        </is>
      </c>
    </row>
    <row r="27">
      <c r="A27" s="11" t="inlineStr">
        <is>
          <t>1210</t>
        </is>
      </c>
      <c r="B27" s="8" t="inlineStr">
        <is>
          <t>Development Inventory - Land Held for Resale</t>
        </is>
      </c>
      <c r="C27" s="11" t="inlineStr">
        <is>
          <t>2023-12-31</t>
        </is>
      </c>
      <c r="D27" s="11" t="inlineStr">
        <is>
          <t>JRN-2023-008</t>
        </is>
      </c>
      <c r="E27" s="11" t="inlineStr">
        <is>
          <t>INV-EPE-01</t>
        </is>
      </c>
      <c r="F27" s="9" t="inlineStr">
        <is>
          <t>Epe Scheme 1 Land Acquired for Resale (IAS 2)</t>
        </is>
      </c>
      <c r="G27" s="11" t="inlineStr">
        <is>
          <t>PROJ-105</t>
        </is>
      </c>
      <c r="H27" s="22" t="n">
        <v>5400000</v>
      </c>
      <c r="I27" s="22" t="n">
        <v>0</v>
      </c>
      <c r="J27" s="22" t="n">
        <v>5400000</v>
      </c>
      <c r="K27" s="22" t="n">
        <v>5400000</v>
      </c>
      <c r="L27" s="12" t="inlineStr">
        <is>
          <t>VERIFIED</t>
        </is>
      </c>
    </row>
    <row r="28">
      <c r="A28" s="13" t="inlineStr">
        <is>
          <t>1220</t>
        </is>
      </c>
      <c r="B28" s="5" t="inlineStr">
        <is>
          <t>Development Inventory - Construction WIP</t>
        </is>
      </c>
      <c r="C28" s="13" t="inlineStr">
        <is>
          <t>2023-12-31</t>
        </is>
      </c>
      <c r="D28" s="13" t="inlineStr">
        <is>
          <t>JRN-2023-008</t>
        </is>
      </c>
      <c r="E28" s="13" t="inlineStr">
        <is>
          <t>WIP-LEK-01</t>
        </is>
      </c>
      <c r="F28" s="6" t="inlineStr">
        <is>
          <t>Ongoing Civil Works WIP Capitalized (IAS 2)</t>
        </is>
      </c>
      <c r="G28" s="13" t="inlineStr">
        <is>
          <t>PROJ-101</t>
        </is>
      </c>
      <c r="H28" s="21" t="n">
        <v>3250000</v>
      </c>
      <c r="I28" s="21" t="n">
        <v>0</v>
      </c>
      <c r="J28" s="21" t="n">
        <v>3250000</v>
      </c>
      <c r="K28" s="21" t="n">
        <v>3250000</v>
      </c>
      <c r="L28" s="14" t="inlineStr">
        <is>
          <t>VERIFIED</t>
        </is>
      </c>
    </row>
    <row r="29">
      <c r="A29" s="11" t="inlineStr">
        <is>
          <t>1510</t>
        </is>
      </c>
      <c r="B29" s="8" t="inlineStr">
        <is>
          <t>PPE - Office &amp; Site Equipment</t>
        </is>
      </c>
      <c r="C29" s="11" t="inlineStr">
        <is>
          <t>2023-01-01</t>
        </is>
      </c>
      <c r="D29" s="11" t="inlineStr">
        <is>
          <t>JRN-2023-001</t>
        </is>
      </c>
      <c r="E29" s="11" t="inlineStr">
        <is>
          <t>OPEN-005</t>
        </is>
      </c>
      <c r="F29" s="9" t="inlineStr">
        <is>
          <t>Opening Equipment Cost B/F per 2022 AFS Note 8</t>
        </is>
      </c>
      <c r="G29" s="11" t="inlineStr">
        <is>
          <t>PROJ-GEN</t>
        </is>
      </c>
      <c r="H29" s="22" t="n">
        <v>23850</v>
      </c>
      <c r="I29" s="22" t="n">
        <v>0</v>
      </c>
      <c r="J29" s="22" t="n">
        <v>23850</v>
      </c>
      <c r="K29" s="22" t="n">
        <v>23850</v>
      </c>
      <c r="L29" s="12" t="inlineStr">
        <is>
          <t>VERIFIED</t>
        </is>
      </c>
    </row>
    <row r="30">
      <c r="A30" s="13" t="inlineStr">
        <is>
          <t>1510</t>
        </is>
      </c>
      <c r="B30" s="5" t="inlineStr">
        <is>
          <t>PPE - Office &amp; Site Equipment</t>
        </is>
      </c>
      <c r="C30" s="13" t="inlineStr">
        <is>
          <t>2023-01-28</t>
        </is>
      </c>
      <c r="D30" s="13" t="inlineStr">
        <is>
          <t>JRN-2023-002</t>
        </is>
      </c>
      <c r="E30" s="13" t="inlineStr">
        <is>
          <t>INV-GEO-01</t>
        </is>
      </c>
      <c r="F30" s="6" t="inlineStr">
        <is>
          <t>Purchase of Site Surveying Equipment (IAS 16)</t>
        </is>
      </c>
      <c r="G30" s="13" t="inlineStr">
        <is>
          <t>PROJ-GEN</t>
        </is>
      </c>
      <c r="H30" s="21" t="n">
        <v>1800000</v>
      </c>
      <c r="I30" s="21" t="n">
        <v>0</v>
      </c>
      <c r="J30" s="21" t="n">
        <v>1800000</v>
      </c>
      <c r="K30" s="21" t="n">
        <v>1823850</v>
      </c>
      <c r="L30" s="14" t="inlineStr">
        <is>
          <t>VERIFIED</t>
        </is>
      </c>
    </row>
    <row r="31">
      <c r="A31" s="11" t="inlineStr">
        <is>
          <t>1590</t>
        </is>
      </c>
      <c r="B31" s="8" t="inlineStr">
        <is>
          <t>Accumulated Depreciation - PPE</t>
        </is>
      </c>
      <c r="C31" s="11" t="inlineStr">
        <is>
          <t>2023-01-01</t>
        </is>
      </c>
      <c r="D31" s="11" t="inlineStr">
        <is>
          <t>JRN-2023-001</t>
        </is>
      </c>
      <c r="E31" s="11" t="inlineStr">
        <is>
          <t>OPEN-006</t>
        </is>
      </c>
      <c r="F31" s="9" t="inlineStr">
        <is>
          <t>Opening Accumulated Depreciation B/F Note 8</t>
        </is>
      </c>
      <c r="G31" s="11" t="inlineStr">
        <is>
          <t>PROJ-GEN</t>
        </is>
      </c>
      <c r="H31" s="22" t="n">
        <v>0</v>
      </c>
      <c r="I31" s="22" t="n">
        <v>14310</v>
      </c>
      <c r="J31" s="22" t="n">
        <v>-14310</v>
      </c>
      <c r="K31" s="22" t="n">
        <v>-14310</v>
      </c>
      <c r="L31" s="12" t="inlineStr">
        <is>
          <t>VERIFIED</t>
        </is>
      </c>
    </row>
    <row r="32">
      <c r="A32" s="13" t="inlineStr">
        <is>
          <t>1590</t>
        </is>
      </c>
      <c r="B32" s="5" t="inlineStr">
        <is>
          <t>Accumulated Depreciation - PPE</t>
        </is>
      </c>
      <c r="C32" s="13" t="inlineStr">
        <is>
          <t>2023-12-31</t>
        </is>
      </c>
      <c r="D32" s="13" t="inlineStr">
        <is>
          <t>JRN-2023-009</t>
        </is>
      </c>
      <c r="E32" s="13" t="inlineStr">
        <is>
          <t>DEP-2023</t>
        </is>
      </c>
      <c r="F32" s="6" t="inlineStr">
        <is>
          <t>Annual Depreciation Charge for FY 2023 (IAS 16)</t>
        </is>
      </c>
      <c r="G32" s="13" t="inlineStr">
        <is>
          <t>PROJ-GEN</t>
        </is>
      </c>
      <c r="H32" s="21" t="n">
        <v>0</v>
      </c>
      <c r="I32" s="21" t="n">
        <v>385000</v>
      </c>
      <c r="J32" s="21" t="n">
        <v>-385000</v>
      </c>
      <c r="K32" s="21" t="n">
        <v>-399310</v>
      </c>
      <c r="L32" s="14" t="inlineStr">
        <is>
          <t>VERIFIED</t>
        </is>
      </c>
    </row>
    <row r="33">
      <c r="A33" s="11" t="inlineStr">
        <is>
          <t>1610</t>
        </is>
      </c>
      <c r="B33" s="8" t="inlineStr">
        <is>
          <t>Deferred Tax Asset (IAS 12)</t>
        </is>
      </c>
      <c r="C33" s="11" t="inlineStr">
        <is>
          <t>2023-12-31</t>
        </is>
      </c>
      <c r="D33" s="11" t="inlineStr">
        <is>
          <t>JRN-2023-010</t>
        </is>
      </c>
      <c r="E33" s="11" t="inlineStr">
        <is>
          <t>DTA-2023</t>
        </is>
      </c>
      <c r="F33" s="9" t="inlineStr">
        <is>
          <t>Deferred Tax Asset Recognized on Temporary Differences</t>
        </is>
      </c>
      <c r="G33" s="11" t="inlineStr">
        <is>
          <t>PROJ-GEN</t>
        </is>
      </c>
      <c r="H33" s="22" t="n">
        <v>32000</v>
      </c>
      <c r="I33" s="22" t="n">
        <v>0</v>
      </c>
      <c r="J33" s="22" t="n">
        <v>32000</v>
      </c>
      <c r="K33" s="22" t="n">
        <v>32000</v>
      </c>
      <c r="L33" s="12" t="inlineStr">
        <is>
          <t>VERIFIED</t>
        </is>
      </c>
    </row>
    <row r="34">
      <c r="A34" s="13" t="inlineStr">
        <is>
          <t>2010</t>
        </is>
      </c>
      <c r="B34" s="5" t="inlineStr">
        <is>
          <t>Trade Payables - Subcontractors &amp; Materials</t>
        </is>
      </c>
      <c r="C34" s="13" t="inlineStr">
        <is>
          <t>2023-01-01</t>
        </is>
      </c>
      <c r="D34" s="13" t="inlineStr">
        <is>
          <t>JRN-2023-001</t>
        </is>
      </c>
      <c r="E34" s="13" t="inlineStr">
        <is>
          <t>OPEN-007</t>
        </is>
      </c>
      <c r="F34" s="6" t="inlineStr">
        <is>
          <t>Opening Trade Payables B/F per 2022 AFS</t>
        </is>
      </c>
      <c r="G34" s="13" t="inlineStr">
        <is>
          <t>PROJ-GEN</t>
        </is>
      </c>
      <c r="H34" s="21" t="n">
        <v>0</v>
      </c>
      <c r="I34" s="21" t="n">
        <v>25000</v>
      </c>
      <c r="J34" s="21" t="n">
        <v>-25000</v>
      </c>
      <c r="K34" s="21" t="n">
        <v>-25000</v>
      </c>
      <c r="L34" s="14" t="inlineStr">
        <is>
          <t>VERIFIED</t>
        </is>
      </c>
    </row>
    <row r="35">
      <c r="A35" s="11" t="inlineStr">
        <is>
          <t>2010</t>
        </is>
      </c>
      <c r="B35" s="8" t="inlineStr">
        <is>
          <t>Trade Payables - Subcontractors &amp; Materials</t>
        </is>
      </c>
      <c r="C35" s="11" t="inlineStr">
        <is>
          <t>2023-12-31</t>
        </is>
      </c>
      <c r="D35" s="11" t="inlineStr">
        <is>
          <t>JRN-2023-007</t>
        </is>
      </c>
      <c r="E35" s="11" t="inlineStr">
        <is>
          <t>COS-ALL-01</t>
        </is>
      </c>
      <c r="F35" s="9" t="inlineStr">
        <is>
          <t>Direct Trade Creditors for Materials &amp; Piling</t>
        </is>
      </c>
      <c r="G35" s="11" t="inlineStr">
        <is>
          <t>PROJ-GEN</t>
        </is>
      </c>
      <c r="H35" s="22" t="n">
        <v>0</v>
      </c>
      <c r="I35" s="22" t="n">
        <v>2125000</v>
      </c>
      <c r="J35" s="22" t="n">
        <v>-2125000</v>
      </c>
      <c r="K35" s="22" t="n">
        <v>-2150000</v>
      </c>
      <c r="L35" s="12" t="inlineStr">
        <is>
          <t>VERIFIED</t>
        </is>
      </c>
    </row>
    <row r="36">
      <c r="A36" s="13" t="inlineStr">
        <is>
          <t>2020</t>
        </is>
      </c>
      <c r="B36" s="5" t="inlineStr">
        <is>
          <t>Contract Liabilities - Customer Advances &amp; Deposits</t>
        </is>
      </c>
      <c r="C36" s="13" t="inlineStr">
        <is>
          <t>2023-01-15</t>
        </is>
      </c>
      <c r="D36" s="13" t="inlineStr">
        <is>
          <t>JRN-2023-002</t>
        </is>
      </c>
      <c r="E36" s="13" t="inlineStr">
        <is>
          <t>MOB-ADV-01</t>
        </is>
      </c>
      <c r="F36" s="6" t="inlineStr">
        <is>
          <t>Mobilization Advance Received from Apex Properties</t>
        </is>
      </c>
      <c r="G36" s="13" t="inlineStr">
        <is>
          <t>PROJ-101</t>
        </is>
      </c>
      <c r="H36" s="21" t="n">
        <v>0</v>
      </c>
      <c r="I36" s="21" t="n">
        <v>6500000</v>
      </c>
      <c r="J36" s="21" t="n">
        <v>-6500000</v>
      </c>
      <c r="K36" s="21" t="n">
        <v>-6500000</v>
      </c>
      <c r="L36" s="14" t="inlineStr">
        <is>
          <t>VERIFIED</t>
        </is>
      </c>
    </row>
    <row r="37">
      <c r="A37" s="11" t="inlineStr">
        <is>
          <t>2020</t>
        </is>
      </c>
      <c r="B37" s="8" t="inlineStr">
        <is>
          <t>Contract Liabilities - Customer Advances &amp; Deposits</t>
        </is>
      </c>
      <c r="C37" s="11" t="inlineStr">
        <is>
          <t>2023-12-31</t>
        </is>
      </c>
      <c r="D37" s="11" t="inlineStr">
        <is>
          <t>JRN-2023-004</t>
        </is>
      </c>
      <c r="E37" s="11" t="inlineStr">
        <is>
          <t>REV-APP-01</t>
        </is>
      </c>
      <c r="F37" s="9" t="inlineStr">
        <is>
          <t>Mobilization Advance Applied to Earned Revenue</t>
        </is>
      </c>
      <c r="G37" s="11" t="inlineStr">
        <is>
          <t>PROJ-101</t>
        </is>
      </c>
      <c r="H37" s="22" t="n">
        <v>4100000</v>
      </c>
      <c r="I37" s="22" t="n">
        <v>0</v>
      </c>
      <c r="J37" s="22" t="n">
        <v>4100000</v>
      </c>
      <c r="K37" s="22" t="n">
        <v>-2400000</v>
      </c>
      <c r="L37" s="12" t="inlineStr">
        <is>
          <t>VERIFIED</t>
        </is>
      </c>
    </row>
    <row r="38">
      <c r="A38" s="13" t="inlineStr">
        <is>
          <t>2030</t>
        </is>
      </c>
      <c r="B38" s="5" t="inlineStr">
        <is>
          <t>Accrued Audit, Tax &amp; Professional Fees</t>
        </is>
      </c>
      <c r="C38" s="13" t="inlineStr">
        <is>
          <t>2023-01-01</t>
        </is>
      </c>
      <c r="D38" s="13" t="inlineStr">
        <is>
          <t>JRN-2023-001</t>
        </is>
      </c>
      <c r="E38" s="13" t="inlineStr">
        <is>
          <t>OPEN-008</t>
        </is>
      </c>
      <c r="F38" s="6" t="inlineStr">
        <is>
          <t>Opening Audit Fee Accrual B/F per 2022 AFS</t>
        </is>
      </c>
      <c r="G38" s="13" t="inlineStr">
        <is>
          <t>PROJ-GEN</t>
        </is>
      </c>
      <c r="H38" s="21" t="n">
        <v>0</v>
      </c>
      <c r="I38" s="21" t="n">
        <v>50000</v>
      </c>
      <c r="J38" s="21" t="n">
        <v>-50000</v>
      </c>
      <c r="K38" s="21" t="n">
        <v>-50000</v>
      </c>
      <c r="L38" s="14" t="inlineStr">
        <is>
          <t>VERIFIED</t>
        </is>
      </c>
    </row>
    <row r="39">
      <c r="A39" s="11" t="inlineStr">
        <is>
          <t>2030</t>
        </is>
      </c>
      <c r="B39" s="8" t="inlineStr">
        <is>
          <t>Accrued Audit, Tax &amp; Professional Fees</t>
        </is>
      </c>
      <c r="C39" s="11" t="inlineStr">
        <is>
          <t>2023-12-31</t>
        </is>
      </c>
      <c r="D39" s="11" t="inlineStr">
        <is>
          <t>JRN-2023-009</t>
        </is>
      </c>
      <c r="E39" s="11" t="inlineStr">
        <is>
          <t>ACC-AUD-23</t>
        </is>
      </c>
      <c r="F39" s="9" t="inlineStr">
        <is>
          <t>Accrued Statutory Audit &amp; Tax Advisory Fees</t>
        </is>
      </c>
      <c r="G39" s="11" t="inlineStr">
        <is>
          <t>PROJ-GEN</t>
        </is>
      </c>
      <c r="H39" s="22" t="n">
        <v>0</v>
      </c>
      <c r="I39" s="22" t="n">
        <v>325000</v>
      </c>
      <c r="J39" s="22" t="n">
        <v>-325000</v>
      </c>
      <c r="K39" s="22" t="n">
        <v>-375000</v>
      </c>
      <c r="L39" s="12" t="inlineStr">
        <is>
          <t>VERIFIED</t>
        </is>
      </c>
    </row>
    <row r="40">
      <c r="A40" s="13" t="inlineStr">
        <is>
          <t>2040</t>
        </is>
      </c>
      <c r="B40" s="5" t="inlineStr">
        <is>
          <t>Other Accrued Expenses &amp; Sundry Creditors</t>
        </is>
      </c>
      <c r="C40" s="13" t="inlineStr">
        <is>
          <t>2023-12-31</t>
        </is>
      </c>
      <c r="D40" s="13" t="inlineStr">
        <is>
          <t>JRN-2023-009</t>
        </is>
      </c>
      <c r="E40" s="13" t="inlineStr">
        <is>
          <t>ACC-OPS-23</t>
        </is>
      </c>
      <c r="F40" s="6" t="inlineStr">
        <is>
          <t>Accrued Utilities, Security &amp; Site Expenses</t>
        </is>
      </c>
      <c r="G40" s="13" t="inlineStr">
        <is>
          <t>PROJ-GEN</t>
        </is>
      </c>
      <c r="H40" s="21" t="n">
        <v>0</v>
      </c>
      <c r="I40" s="21" t="n">
        <v>245235</v>
      </c>
      <c r="J40" s="21" t="n">
        <v>-245235</v>
      </c>
      <c r="K40" s="21" t="n">
        <v>-245235</v>
      </c>
      <c r="L40" s="14" t="inlineStr">
        <is>
          <t>VERIFIED</t>
        </is>
      </c>
    </row>
    <row r="41">
      <c r="A41" s="11" t="inlineStr">
        <is>
          <t>2110</t>
        </is>
      </c>
      <c r="B41" s="8" t="inlineStr">
        <is>
          <t>Current Tax Liabilities - CIT Payable</t>
        </is>
      </c>
      <c r="C41" s="11" t="inlineStr">
        <is>
          <t>2023-12-31</t>
        </is>
      </c>
      <c r="D41" s="11" t="inlineStr">
        <is>
          <t>JRN-2023-010</t>
        </is>
      </c>
      <c r="E41" s="11" t="inlineStr">
        <is>
          <t>TAX-CIT-23</t>
        </is>
      </c>
      <c r="F41" s="9" t="inlineStr">
        <is>
          <t>Companies Income Tax Provision for FY 2023 (20%)</t>
        </is>
      </c>
      <c r="G41" s="11" t="inlineStr">
        <is>
          <t>PROJ-GEN</t>
        </is>
      </c>
      <c r="H41" s="22" t="n">
        <v>0</v>
      </c>
      <c r="I41" s="22" t="n">
        <v>1492000</v>
      </c>
      <c r="J41" s="22" t="n">
        <v>-1492000</v>
      </c>
      <c r="K41" s="22" t="n">
        <v>-1492000</v>
      </c>
      <c r="L41" s="12" t="inlineStr">
        <is>
          <t>VERIFIED</t>
        </is>
      </c>
    </row>
    <row r="42">
      <c r="A42" s="13" t="inlineStr">
        <is>
          <t>2120</t>
        </is>
      </c>
      <c r="B42" s="5" t="inlineStr">
        <is>
          <t>Current Tax Liabilities - TET Payable</t>
        </is>
      </c>
      <c r="C42" s="13" t="inlineStr">
        <is>
          <t>2023-12-31</t>
        </is>
      </c>
      <c r="D42" s="13" t="inlineStr">
        <is>
          <t>JRN-2023-010</t>
        </is>
      </c>
      <c r="E42" s="13" t="inlineStr">
        <is>
          <t>TAX-TET-23</t>
        </is>
      </c>
      <c r="F42" s="6" t="inlineStr">
        <is>
          <t>Tertiary Education Tax Provision for FY 2023 (3%)</t>
        </is>
      </c>
      <c r="G42" s="13" t="inlineStr">
        <is>
          <t>PROJ-GEN</t>
        </is>
      </c>
      <c r="H42" s="21" t="n">
        <v>0</v>
      </c>
      <c r="I42" s="21" t="n">
        <v>239400</v>
      </c>
      <c r="J42" s="21" t="n">
        <v>-239400</v>
      </c>
      <c r="K42" s="21" t="n">
        <v>-239400</v>
      </c>
      <c r="L42" s="14" t="inlineStr">
        <is>
          <t>VERIFIED</t>
        </is>
      </c>
    </row>
    <row r="43">
      <c r="A43" s="11" t="inlineStr">
        <is>
          <t>2130</t>
        </is>
      </c>
      <c r="B43" s="8" t="inlineStr">
        <is>
          <t>Current Tax Liabilities - PTF Payable</t>
        </is>
      </c>
      <c r="C43" s="11" t="inlineStr">
        <is>
          <t>2023-01-01</t>
        </is>
      </c>
      <c r="D43" s="11" t="inlineStr">
        <is>
          <t>JRN-2023-001</t>
        </is>
      </c>
      <c r="E43" s="11" t="inlineStr">
        <is>
          <t>OPEN-009</t>
        </is>
      </c>
      <c r="F43" s="9" t="inlineStr">
        <is>
          <t>Opening Unpaid Police Trust Fund Levy B/F</t>
        </is>
      </c>
      <c r="G43" s="11" t="inlineStr">
        <is>
          <t>PROJ-GEN</t>
        </is>
      </c>
      <c r="H43" s="22" t="n">
        <v>0</v>
      </c>
      <c r="I43" s="22" t="n">
        <v>90</v>
      </c>
      <c r="J43" s="22" t="n">
        <v>-90</v>
      </c>
      <c r="K43" s="22" t="n">
        <v>-90</v>
      </c>
      <c r="L43" s="12" t="inlineStr">
        <is>
          <t>VERIFIED</t>
        </is>
      </c>
    </row>
    <row r="44">
      <c r="A44" s="13" t="inlineStr">
        <is>
          <t>2130</t>
        </is>
      </c>
      <c r="B44" s="5" t="inlineStr">
        <is>
          <t>Current Tax Liabilities - PTF Payable</t>
        </is>
      </c>
      <c r="C44" s="13" t="inlineStr">
        <is>
          <t>2023-12-31</t>
        </is>
      </c>
      <c r="D44" s="13" t="inlineStr">
        <is>
          <t>JRN-2023-010</t>
        </is>
      </c>
      <c r="E44" s="13" t="inlineStr">
        <is>
          <t>TAX-PTF-23</t>
        </is>
      </c>
      <c r="F44" s="6" t="inlineStr">
        <is>
          <t>Police Trust Fund Levy Provision for FY 2023 (0.005%)</t>
        </is>
      </c>
      <c r="G44" s="13" t="inlineStr">
        <is>
          <t>PROJ-GEN</t>
        </is>
      </c>
      <c r="H44" s="21" t="n">
        <v>0</v>
      </c>
      <c r="I44" s="21" t="n">
        <v>365</v>
      </c>
      <c r="J44" s="21" t="n">
        <v>-365</v>
      </c>
      <c r="K44" s="21" t="n">
        <v>-455</v>
      </c>
      <c r="L44" s="14" t="inlineStr">
        <is>
          <t>VERIFIED</t>
        </is>
      </c>
    </row>
    <row r="45">
      <c r="A45" s="11" t="inlineStr">
        <is>
          <t>2510</t>
        </is>
      </c>
      <c r="B45" s="8" t="inlineStr">
        <is>
          <t>Director's Loan &amp; Long-Term Project Funding</t>
        </is>
      </c>
      <c r="C45" s="11" t="inlineStr">
        <is>
          <t>2023-02-15</t>
        </is>
      </c>
      <c r="D45" s="11" t="inlineStr">
        <is>
          <t>JRN-2023-003</t>
        </is>
      </c>
      <c r="E45" s="11" t="inlineStr">
        <is>
          <t>DIR-LOAN-01</t>
        </is>
      </c>
      <c r="F45" s="9" t="inlineStr">
        <is>
          <t>Director Long-Term Loan Injection (Engr. B. Goke)</t>
        </is>
      </c>
      <c r="G45" s="11" t="inlineStr">
        <is>
          <t>PROJ-GEN</t>
        </is>
      </c>
      <c r="H45" s="22" t="n">
        <v>0</v>
      </c>
      <c r="I45" s="22" t="n">
        <v>4500000</v>
      </c>
      <c r="J45" s="22" t="n">
        <v>-4500000</v>
      </c>
      <c r="K45" s="22" t="n">
        <v>-4500000</v>
      </c>
      <c r="L45" s="12" t="inlineStr">
        <is>
          <t>VERIFIED</t>
        </is>
      </c>
    </row>
    <row r="46">
      <c r="A46" s="13" t="inlineStr">
        <is>
          <t>3010</t>
        </is>
      </c>
      <c r="B46" s="5" t="inlineStr">
        <is>
          <t>Ordinary Share Capital (₦1.00 par)</t>
        </is>
      </c>
      <c r="C46" s="13" t="inlineStr">
        <is>
          <t>2023-01-01</t>
        </is>
      </c>
      <c r="D46" s="13" t="inlineStr">
        <is>
          <t>JRN-2023-001</t>
        </is>
      </c>
      <c r="E46" s="13" t="inlineStr">
        <is>
          <t>OPEN-010</t>
        </is>
      </c>
      <c r="F46" s="6" t="inlineStr">
        <is>
          <t>1,000,000 Ordinary Shares of ₦1.00 Each Fully Paid</t>
        </is>
      </c>
      <c r="G46" s="13" t="inlineStr">
        <is>
          <t>PROJ-GEN</t>
        </is>
      </c>
      <c r="H46" s="21" t="n">
        <v>0</v>
      </c>
      <c r="I46" s="21" t="n">
        <v>1000000</v>
      </c>
      <c r="J46" s="21" t="n">
        <v>-1000000</v>
      </c>
      <c r="K46" s="21" t="n">
        <v>-1000000</v>
      </c>
      <c r="L46" s="14" t="inlineStr">
        <is>
          <t>VERIFIED</t>
        </is>
      </c>
    </row>
    <row r="47">
      <c r="A47" s="11" t="inlineStr">
        <is>
          <t>3020</t>
        </is>
      </c>
      <c r="B47" s="8" t="inlineStr">
        <is>
          <t>Retained Earnings (Accumulated Profit)</t>
        </is>
      </c>
      <c r="C47" s="11" t="inlineStr">
        <is>
          <t>2023-01-01</t>
        </is>
      </c>
      <c r="D47" s="11" t="inlineStr">
        <is>
          <t>JRN-2023-001</t>
        </is>
      </c>
      <c r="E47" s="11" t="inlineStr">
        <is>
          <t>OPEN-011</t>
        </is>
      </c>
      <c r="F47" s="9" t="inlineStr">
        <is>
          <t>Opening Cumulative Retained Earnings B/F per 2022 AFS</t>
        </is>
      </c>
      <c r="G47" s="11" t="inlineStr">
        <is>
          <t>PROJ-GEN</t>
        </is>
      </c>
      <c r="H47" s="22" t="n">
        <v>0</v>
      </c>
      <c r="I47" s="22" t="n">
        <v>2361708</v>
      </c>
      <c r="J47" s="22" t="n">
        <v>-2361708</v>
      </c>
      <c r="K47" s="22" t="n">
        <v>-2361708</v>
      </c>
      <c r="L47" s="12" t="inlineStr">
        <is>
          <t>VERIFIED</t>
        </is>
      </c>
    </row>
    <row r="48">
      <c r="A48" s="13" t="inlineStr">
        <is>
          <t>4010</t>
        </is>
      </c>
      <c r="B48" s="5" t="inlineStr">
        <is>
          <t>Revenue - Construction &amp; Civil Engineering Contracts</t>
        </is>
      </c>
      <c r="C48" s="13" t="inlineStr">
        <is>
          <t>2023-12-31</t>
        </is>
      </c>
      <c r="D48" s="13" t="inlineStr">
        <is>
          <t>JRN-2023-004</t>
        </is>
      </c>
      <c r="E48" s="13" t="inlineStr">
        <is>
          <t>CNT-LEK-01</t>
        </is>
      </c>
      <c r="F48" s="6" t="inlineStr">
        <is>
          <t>Lekki Phase 1 Over-Time Construction Revenue Recognized</t>
        </is>
      </c>
      <c r="G48" s="13" t="inlineStr">
        <is>
          <t>PROJ-101</t>
        </is>
      </c>
      <c r="H48" s="21" t="n">
        <v>0</v>
      </c>
      <c r="I48" s="21" t="n">
        <v>22000000</v>
      </c>
      <c r="J48" s="21" t="n">
        <v>-22000000</v>
      </c>
      <c r="K48" s="21" t="n">
        <v>-22000000</v>
      </c>
      <c r="L48" s="14" t="inlineStr">
        <is>
          <t>VERIFIED</t>
        </is>
      </c>
    </row>
    <row r="49">
      <c r="A49" s="11" t="inlineStr">
        <is>
          <t>4020</t>
        </is>
      </c>
      <c r="B49" s="8" t="inlineStr">
        <is>
          <t>Revenue - Land Subdivision &amp; Real Estate Sales</t>
        </is>
      </c>
      <c r="C49" s="11" t="inlineStr">
        <is>
          <t>2023-12-31</t>
        </is>
      </c>
      <c r="D49" s="11" t="inlineStr">
        <is>
          <t>JRN-2023-005</t>
        </is>
      </c>
      <c r="E49" s="11" t="inlineStr">
        <is>
          <t>LND-IBJ-01</t>
        </is>
      </c>
      <c r="F49" s="9" t="inlineStr">
        <is>
          <t>Sale of 4 Serviced Plots Ibeju Scheme 1 Recognized</t>
        </is>
      </c>
      <c r="G49" s="11" t="inlineStr">
        <is>
          <t>PROJ-102</t>
        </is>
      </c>
      <c r="H49" s="22" t="n">
        <v>0</v>
      </c>
      <c r="I49" s="22" t="n">
        <v>12500000</v>
      </c>
      <c r="J49" s="22" t="n">
        <v>-12500000</v>
      </c>
      <c r="K49" s="22" t="n">
        <v>-12500000</v>
      </c>
      <c r="L49" s="12" t="inlineStr">
        <is>
          <t>VERIFIED</t>
        </is>
      </c>
    </row>
    <row r="50">
      <c r="A50" s="13" t="inlineStr">
        <is>
          <t>4030</t>
        </is>
      </c>
      <c r="B50" s="5" t="inlineStr">
        <is>
          <t>Revenue - Project Management &amp; Engineering Consulting</t>
        </is>
      </c>
      <c r="C50" s="13" t="inlineStr">
        <is>
          <t>2023-12-31</t>
        </is>
      </c>
      <c r="D50" s="13" t="inlineStr">
        <is>
          <t>JRN-2023-006</t>
        </is>
      </c>
      <c r="E50" s="13" t="inlineStr">
        <is>
          <t>CON-IKJ-01</t>
        </is>
      </c>
      <c r="F50" s="6" t="inlineStr">
        <is>
          <t>Ikeja Commercial Engineering Consulting Revenue</t>
        </is>
      </c>
      <c r="G50" s="13" t="inlineStr">
        <is>
          <t>PROJ-103</t>
        </is>
      </c>
      <c r="H50" s="21" t="n">
        <v>0</v>
      </c>
      <c r="I50" s="21" t="n">
        <v>4000000</v>
      </c>
      <c r="J50" s="21" t="n">
        <v>-4000000</v>
      </c>
      <c r="K50" s="21" t="n">
        <v>-4000000</v>
      </c>
      <c r="L50" s="14" t="inlineStr">
        <is>
          <t>VERIFIED</t>
        </is>
      </c>
    </row>
    <row r="51">
      <c r="A51" s="11" t="inlineStr">
        <is>
          <t>5010</t>
        </is>
      </c>
      <c r="B51" s="8" t="inlineStr">
        <is>
          <t>Cost of Sales - Construction Materials &amp; Subcontracts</t>
        </is>
      </c>
      <c r="C51" s="11" t="inlineStr">
        <is>
          <t>2023-12-31</t>
        </is>
      </c>
      <c r="D51" s="11" t="inlineStr">
        <is>
          <t>JRN-2023-007</t>
        </is>
      </c>
      <c r="E51" s="11" t="inlineStr">
        <is>
          <t>COS-MAT-01</t>
        </is>
      </c>
      <c r="F51" s="9" t="inlineStr">
        <is>
          <t>Direct Construction Materials &amp; Piling Subcontracts</t>
        </is>
      </c>
      <c r="G51" s="11" t="inlineStr">
        <is>
          <t>PROJ-101</t>
        </is>
      </c>
      <c r="H51" s="22" t="n">
        <v>14200000</v>
      </c>
      <c r="I51" s="22" t="n">
        <v>0</v>
      </c>
      <c r="J51" s="22" t="n">
        <v>14200000</v>
      </c>
      <c r="K51" s="22" t="n">
        <v>14200000</v>
      </c>
      <c r="L51" s="12" t="inlineStr">
        <is>
          <t>VERIFIED</t>
        </is>
      </c>
    </row>
    <row r="52">
      <c r="A52" s="13" t="inlineStr">
        <is>
          <t>5020</t>
        </is>
      </c>
      <c r="B52" s="5" t="inlineStr">
        <is>
          <t>Cost of Sales - Land &amp; Property Inventory Released</t>
        </is>
      </c>
      <c r="C52" s="13" t="inlineStr">
        <is>
          <t>2023-12-31</t>
        </is>
      </c>
      <c r="D52" s="13" t="inlineStr">
        <is>
          <t>JRN-2023-007</t>
        </is>
      </c>
      <c r="E52" s="13" t="inlineStr">
        <is>
          <t>COS-LND-01</t>
        </is>
      </c>
      <c r="F52" s="6" t="inlineStr">
        <is>
          <t>Direct Land Cost Released on 4 Plots Sold (IAS 2)</t>
        </is>
      </c>
      <c r="G52" s="13" t="inlineStr">
        <is>
          <t>PROJ-102</t>
        </is>
      </c>
      <c r="H52" s="21" t="n">
        <v>8100000</v>
      </c>
      <c r="I52" s="21" t="n">
        <v>0</v>
      </c>
      <c r="J52" s="21" t="n">
        <v>8100000</v>
      </c>
      <c r="K52" s="21" t="n">
        <v>8100000</v>
      </c>
      <c r="L52" s="14" t="inlineStr">
        <is>
          <t>VERIFIED</t>
        </is>
      </c>
    </row>
    <row r="53">
      <c r="A53" s="11" t="inlineStr">
        <is>
          <t>5030</t>
        </is>
      </c>
      <c r="B53" s="8" t="inlineStr">
        <is>
          <t>Cost of Sales - Direct Site Labor &amp; Equipment Hire</t>
        </is>
      </c>
      <c r="C53" s="11" t="inlineStr">
        <is>
          <t>2023-12-31</t>
        </is>
      </c>
      <c r="D53" s="11" t="inlineStr">
        <is>
          <t>JRN-2023-007</t>
        </is>
      </c>
      <c r="E53" s="11" t="inlineStr">
        <is>
          <t>COS-LAB-01</t>
        </is>
      </c>
      <c r="F53" s="9" t="inlineStr">
        <is>
          <t>Direct Site Labor &amp; Heavy Equipment Rentals</t>
        </is>
      </c>
      <c r="G53" s="11" t="inlineStr">
        <is>
          <t>PROJ-101</t>
        </is>
      </c>
      <c r="H53" s="22" t="n">
        <v>2350000</v>
      </c>
      <c r="I53" s="22" t="n">
        <v>0</v>
      </c>
      <c r="J53" s="22" t="n">
        <v>2350000</v>
      </c>
      <c r="K53" s="22" t="n">
        <v>2350000</v>
      </c>
      <c r="L53" s="12" t="inlineStr">
        <is>
          <t>VERIFIED</t>
        </is>
      </c>
    </row>
    <row r="54">
      <c r="A54" s="13" t="inlineStr">
        <is>
          <t>6010</t>
        </is>
      </c>
      <c r="B54" s="5" t="inlineStr">
        <is>
          <t>Administrative - Staff Salaries, Wages &amp; Allowances</t>
        </is>
      </c>
      <c r="C54" s="13" t="inlineStr">
        <is>
          <t>2023-12-31</t>
        </is>
      </c>
      <c r="D54" s="13" t="inlineStr">
        <is>
          <t>JRN-2023-009</t>
        </is>
      </c>
      <c r="E54" s="13" t="inlineStr">
        <is>
          <t>OPX-SAL-23</t>
        </is>
      </c>
      <c r="F54" s="6" t="inlineStr">
        <is>
          <t>Administrative Staff Salaries and Site Allowances</t>
        </is>
      </c>
      <c r="G54" s="13" t="inlineStr">
        <is>
          <t>PROJ-GEN</t>
        </is>
      </c>
      <c r="H54" s="21" t="n">
        <v>2800000</v>
      </c>
      <c r="I54" s="21" t="n">
        <v>0</v>
      </c>
      <c r="J54" s="21" t="n">
        <v>2800000</v>
      </c>
      <c r="K54" s="21" t="n">
        <v>2800000</v>
      </c>
      <c r="L54" s="14" t="inlineStr">
        <is>
          <t>VERIFIED</t>
        </is>
      </c>
    </row>
    <row r="55">
      <c r="A55" s="11" t="inlineStr">
        <is>
          <t>6020</t>
        </is>
      </c>
      <c r="B55" s="8" t="inlineStr">
        <is>
          <t>Administrative - Site Office Rent &amp; Maintenance</t>
        </is>
      </c>
      <c r="C55" s="11" t="inlineStr">
        <is>
          <t>2023-12-31</t>
        </is>
      </c>
      <c r="D55" s="11" t="inlineStr">
        <is>
          <t>JRN-2023-009</t>
        </is>
      </c>
      <c r="E55" s="11" t="inlineStr">
        <is>
          <t>OPX-RNT-23</t>
        </is>
      </c>
      <c r="F55" s="9" t="inlineStr">
        <is>
          <t>Site Office Tenancy and Facility Maintenance</t>
        </is>
      </c>
      <c r="G55" s="11" t="inlineStr">
        <is>
          <t>PROJ-GEN</t>
        </is>
      </c>
      <c r="H55" s="22" t="n">
        <v>950000</v>
      </c>
      <c r="I55" s="22" t="n">
        <v>0</v>
      </c>
      <c r="J55" s="22" t="n">
        <v>950000</v>
      </c>
      <c r="K55" s="22" t="n">
        <v>950000</v>
      </c>
      <c r="L55" s="12" t="inlineStr">
        <is>
          <t>VERIFIED</t>
        </is>
      </c>
    </row>
    <row r="56">
      <c r="A56" s="13" t="inlineStr">
        <is>
          <t>6030</t>
        </is>
      </c>
      <c r="B56" s="5" t="inlineStr">
        <is>
          <t>Administrative - Professional, Engineering &amp; Legal Fees</t>
        </is>
      </c>
      <c r="C56" s="13" t="inlineStr">
        <is>
          <t>2023-12-31</t>
        </is>
      </c>
      <c r="D56" s="13" t="inlineStr">
        <is>
          <t>JRN-2023-009</t>
        </is>
      </c>
      <c r="E56" s="13" t="inlineStr">
        <is>
          <t>OPX-PRF-23</t>
        </is>
      </c>
      <c r="F56" s="6" t="inlineStr">
        <is>
          <t>Legal, Engineering Consultancy &amp; Corporate Compliance</t>
        </is>
      </c>
      <c r="G56" s="13" t="inlineStr">
        <is>
          <t>PROJ-GEN</t>
        </is>
      </c>
      <c r="H56" s="21" t="n">
        <v>650000</v>
      </c>
      <c r="I56" s="21" t="n">
        <v>0</v>
      </c>
      <c r="J56" s="21" t="n">
        <v>650000</v>
      </c>
      <c r="K56" s="21" t="n">
        <v>650000</v>
      </c>
      <c r="L56" s="14" t="inlineStr">
        <is>
          <t>VERIFIED</t>
        </is>
      </c>
    </row>
    <row r="57">
      <c r="A57" s="11" t="inlineStr">
        <is>
          <t>6040</t>
        </is>
      </c>
      <c r="B57" s="8" t="inlineStr">
        <is>
          <t>Administrative - Audit &amp; Tax Advisory Fees</t>
        </is>
      </c>
      <c r="C57" s="11" t="inlineStr">
        <is>
          <t>2023-12-31</t>
        </is>
      </c>
      <c r="D57" s="11" t="inlineStr">
        <is>
          <t>JRN-2023-009</t>
        </is>
      </c>
      <c r="E57" s="11" t="inlineStr">
        <is>
          <t>OPX-AUD-23</t>
        </is>
      </c>
      <c r="F57" s="9" t="inlineStr">
        <is>
          <t>Statutory Audit and Corporate Tax Advisory Fees</t>
        </is>
      </c>
      <c r="G57" s="11" t="inlineStr">
        <is>
          <t>PROJ-GEN</t>
        </is>
      </c>
      <c r="H57" s="22" t="n">
        <v>350000</v>
      </c>
      <c r="I57" s="22" t="n">
        <v>0</v>
      </c>
      <c r="J57" s="22" t="n">
        <v>350000</v>
      </c>
      <c r="K57" s="22" t="n">
        <v>350000</v>
      </c>
      <c r="L57" s="12" t="inlineStr">
        <is>
          <t>VERIFIED</t>
        </is>
      </c>
    </row>
    <row r="58">
      <c r="A58" s="13" t="inlineStr">
        <is>
          <t>6050</t>
        </is>
      </c>
      <c r="B58" s="5" t="inlineStr">
        <is>
          <t>Administrative - Bank Charges, COT &amp; Guarantee Fees</t>
        </is>
      </c>
      <c r="C58" s="13" t="inlineStr">
        <is>
          <t>2023-12-31</t>
        </is>
      </c>
      <c r="D58" s="13" t="inlineStr">
        <is>
          <t>JRN-2023-009</t>
        </is>
      </c>
      <c r="E58" s="13" t="inlineStr">
        <is>
          <t>OPX-BNK-23</t>
        </is>
      </c>
      <c r="F58" s="6" t="inlineStr">
        <is>
          <t>Bank Charges, Commission on Turnover &amp; Levies</t>
        </is>
      </c>
      <c r="G58" s="13" t="inlineStr">
        <is>
          <t>PROJ-GEN</t>
        </is>
      </c>
      <c r="H58" s="21" t="n">
        <v>285000</v>
      </c>
      <c r="I58" s="21" t="n">
        <v>0</v>
      </c>
      <c r="J58" s="21" t="n">
        <v>285000</v>
      </c>
      <c r="K58" s="21" t="n">
        <v>285000</v>
      </c>
      <c r="L58" s="14" t="inlineStr">
        <is>
          <t>VERIFIED</t>
        </is>
      </c>
    </row>
    <row r="59">
      <c r="A59" s="11" t="inlineStr">
        <is>
          <t>6060</t>
        </is>
      </c>
      <c r="B59" s="8" t="inlineStr">
        <is>
          <t>Administrative - Motor Vehicle &amp; Logistics Expenses</t>
        </is>
      </c>
      <c r="C59" s="11" t="inlineStr">
        <is>
          <t>2023-12-31</t>
        </is>
      </c>
      <c r="D59" s="11" t="inlineStr">
        <is>
          <t>JRN-2023-009</t>
        </is>
      </c>
      <c r="E59" s="11" t="inlineStr">
        <is>
          <t>OPX-LOG-23</t>
        </is>
      </c>
      <c r="F59" s="9" t="inlineStr">
        <is>
          <t>Motor Vehicle Fuel, Maintenance &amp; Site Logistics</t>
        </is>
      </c>
      <c r="G59" s="11" t="inlineStr">
        <is>
          <t>PROJ-GEN</t>
        </is>
      </c>
      <c r="H59" s="22" t="n">
        <v>420000</v>
      </c>
      <c r="I59" s="22" t="n">
        <v>0</v>
      </c>
      <c r="J59" s="22" t="n">
        <v>420000</v>
      </c>
      <c r="K59" s="22" t="n">
        <v>420000</v>
      </c>
      <c r="L59" s="12" t="inlineStr">
        <is>
          <t>VERIFIED</t>
        </is>
      </c>
    </row>
    <row r="60">
      <c r="A60" s="13" t="inlineStr">
        <is>
          <t>6070</t>
        </is>
      </c>
      <c r="B60" s="5" t="inlineStr">
        <is>
          <t>Administrative - Depreciation Expense (IAS 16)</t>
        </is>
      </c>
      <c r="C60" s="13" t="inlineStr">
        <is>
          <t>2023-12-31</t>
        </is>
      </c>
      <c r="D60" s="13" t="inlineStr">
        <is>
          <t>JRN-2023-009</t>
        </is>
      </c>
      <c r="E60" s="13" t="inlineStr">
        <is>
          <t>OPX-DEP-23</t>
        </is>
      </c>
      <c r="F60" s="6" t="inlineStr">
        <is>
          <t>Depreciation Charge on PPE for FY 2023 (IAS 16)</t>
        </is>
      </c>
      <c r="G60" s="13" t="inlineStr">
        <is>
          <t>PROJ-GEN</t>
        </is>
      </c>
      <c r="H60" s="21" t="n">
        <v>385000</v>
      </c>
      <c r="I60" s="21" t="n">
        <v>0</v>
      </c>
      <c r="J60" s="21" t="n">
        <v>385000</v>
      </c>
      <c r="K60" s="21" t="n">
        <v>385000</v>
      </c>
      <c r="L60" s="14" t="inlineStr">
        <is>
          <t>VERIFIED</t>
        </is>
      </c>
    </row>
    <row r="61">
      <c r="A61" s="11" t="inlineStr">
        <is>
          <t>6080</t>
        </is>
      </c>
      <c r="B61" s="8" t="inlineStr">
        <is>
          <t>Administrative - Impairment Allowance on Receivables</t>
        </is>
      </c>
      <c r="C61" s="11" t="inlineStr">
        <is>
          <t>2023-12-31</t>
        </is>
      </c>
      <c r="D61" s="11" t="inlineStr">
        <is>
          <t>JRN-2023-009</t>
        </is>
      </c>
      <c r="E61" s="11" t="inlineStr">
        <is>
          <t>OPX-ECL-23</t>
        </is>
      </c>
      <c r="F61" s="9" t="inlineStr">
        <is>
          <t>IFRS 9 Expected Credit Loss Provision on Receivables</t>
        </is>
      </c>
      <c r="G61" s="11" t="inlineStr">
        <is>
          <t>PROJ-GEN</t>
        </is>
      </c>
      <c r="H61" s="22" t="n">
        <v>185000</v>
      </c>
      <c r="I61" s="22" t="n">
        <v>0</v>
      </c>
      <c r="J61" s="22" t="n">
        <v>185000</v>
      </c>
      <c r="K61" s="22" t="n">
        <v>185000</v>
      </c>
      <c r="L61" s="12" t="inlineStr">
        <is>
          <t>VERIFIED</t>
        </is>
      </c>
    </row>
    <row r="62">
      <c r="A62" s="13" t="inlineStr">
        <is>
          <t>6090</t>
        </is>
      </c>
      <c r="B62" s="5" t="inlineStr">
        <is>
          <t>Administrative - General Office, Security &amp; Utilities</t>
        </is>
      </c>
      <c r="C62" s="13" t="inlineStr">
        <is>
          <t>2023-12-31</t>
        </is>
      </c>
      <c r="D62" s="13" t="inlineStr">
        <is>
          <t>JRN-2023-009</t>
        </is>
      </c>
      <c r="E62" s="13" t="inlineStr">
        <is>
          <t>OPX-GEN-23</t>
        </is>
      </c>
      <c r="F62" s="6" t="inlineStr">
        <is>
          <t>Site Security, Communication, Electricity &amp; Admin</t>
        </is>
      </c>
      <c r="G62" s="13" t="inlineStr">
        <is>
          <t>PROJ-GEN</t>
        </is>
      </c>
      <c r="H62" s="21" t="n">
        <v>400000</v>
      </c>
      <c r="I62" s="21" t="n">
        <v>0</v>
      </c>
      <c r="J62" s="21" t="n">
        <v>400000</v>
      </c>
      <c r="K62" s="21" t="n">
        <v>400000</v>
      </c>
      <c r="L62" s="14" t="inlineStr">
        <is>
          <t>VERIFIED</t>
        </is>
      </c>
    </row>
    <row r="63">
      <c r="A63" s="11" t="inlineStr">
        <is>
          <t>7010</t>
        </is>
      </c>
      <c r="B63" s="8" t="inlineStr">
        <is>
          <t>Finance Costs - Bank Project Facility Interest</t>
        </is>
      </c>
      <c r="C63" s="11" t="inlineStr">
        <is>
          <t>2023-12-31</t>
        </is>
      </c>
      <c r="D63" s="11" t="inlineStr">
        <is>
          <t>JRN-2023-009</t>
        </is>
      </c>
      <c r="E63" s="11" t="inlineStr">
        <is>
          <t>FIN-INT-23</t>
        </is>
      </c>
      <c r="F63" s="9" t="inlineStr">
        <is>
          <t>Interest on Bank Project Financing Facility</t>
        </is>
      </c>
      <c r="G63" s="11" t="inlineStr">
        <is>
          <t>PROJ-GEN</t>
        </is>
      </c>
      <c r="H63" s="22" t="n">
        <v>125000</v>
      </c>
      <c r="I63" s="22" t="n">
        <v>0</v>
      </c>
      <c r="J63" s="22" t="n">
        <v>125000</v>
      </c>
      <c r="K63" s="22" t="n">
        <v>125000</v>
      </c>
      <c r="L63" s="12" t="inlineStr">
        <is>
          <t>VERIFIED</t>
        </is>
      </c>
    </row>
    <row r="64">
      <c r="A64" s="13" t="inlineStr">
        <is>
          <t>8010</t>
        </is>
      </c>
      <c r="B64" s="5" t="inlineStr">
        <is>
          <t>Income Tax Expense - Current Tax (CIT, TET, PTF)</t>
        </is>
      </c>
      <c r="C64" s="13" t="inlineStr">
        <is>
          <t>2023-12-31</t>
        </is>
      </c>
      <c r="D64" s="13" t="inlineStr">
        <is>
          <t>JRN-2023-010</t>
        </is>
      </c>
      <c r="E64" s="13" t="inlineStr">
        <is>
          <t>TAX-PROV-23</t>
        </is>
      </c>
      <c r="F64" s="6" t="inlineStr">
        <is>
          <t>Current Income Tax Charge for FY 2023</t>
        </is>
      </c>
      <c r="G64" s="13" t="inlineStr">
        <is>
          <t>PROJ-GEN</t>
        </is>
      </c>
      <c r="H64" s="21" t="n">
        <v>1731765</v>
      </c>
      <c r="I64" s="21" t="n">
        <v>0</v>
      </c>
      <c r="J64" s="21" t="n">
        <v>1731765</v>
      </c>
      <c r="K64" s="21" t="n">
        <v>1731765</v>
      </c>
      <c r="L64" s="14" t="inlineStr">
        <is>
          <t>VERIFIED</t>
        </is>
      </c>
    </row>
    <row r="65">
      <c r="A65" s="11" t="inlineStr">
        <is>
          <t>8020</t>
        </is>
      </c>
      <c r="B65" s="8" t="inlineStr">
        <is>
          <t>Income Tax Expense - Deferred Tax (IAS 12)</t>
        </is>
      </c>
      <c r="C65" s="11" t="inlineStr">
        <is>
          <t>2023-12-31</t>
        </is>
      </c>
      <c r="D65" s="11" t="inlineStr">
        <is>
          <t>JRN-2023-010</t>
        </is>
      </c>
      <c r="E65" s="11" t="inlineStr">
        <is>
          <t>DTA-CRED-23</t>
        </is>
      </c>
      <c r="F65" s="9" t="inlineStr">
        <is>
          <t>Deferred Tax Credit to Profit or Loss (IAS 12)</t>
        </is>
      </c>
      <c r="G65" s="11" t="inlineStr">
        <is>
          <t>PROJ-GEN</t>
        </is>
      </c>
      <c r="H65" s="22" t="n">
        <v>0</v>
      </c>
      <c r="I65" s="22" t="n">
        <v>32000</v>
      </c>
      <c r="J65" s="22" t="n">
        <v>-32000</v>
      </c>
      <c r="K65" s="22" t="n">
        <v>-32000</v>
      </c>
      <c r="L65" s="12" t="inlineStr">
        <is>
          <t>VERIFIED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6" customWidth="1" min="1" max="1"/>
    <col width="50" customWidth="1" min="2" max="2"/>
    <col width="26" customWidth="1" min="3" max="3"/>
    <col width="25" customWidth="1" min="4" max="4"/>
    <col width="26" customWidth="1" min="5" max="5"/>
    <col width="25" customWidth="1" min="6" max="6"/>
    <col width="26" customWidth="1" min="7" max="7"/>
    <col width="25" customWidth="1" min="8" max="8"/>
    <col width="26" customWidth="1" min="9" max="9"/>
  </cols>
  <sheetData>
    <row r="1">
      <c r="A1" s="1" t="inlineStr">
        <is>
          <t>BAAY PROJECTS LIMITED — UNADJUSTED TRIAL BALANCES (2023 - 2025)</t>
        </is>
      </c>
    </row>
    <row r="2">
      <c r="A2" s="3" t="inlineStr">
        <is>
          <t>Pre-Accrual Trial Balances Prior to Year-End Adjustments</t>
        </is>
      </c>
    </row>
    <row r="3"/>
    <row r="4">
      <c r="A4" s="4" t="inlineStr">
        <is>
          <t>Account Code</t>
        </is>
      </c>
      <c r="B4" s="4" t="inlineStr">
        <is>
          <t>Account Title / Description</t>
        </is>
      </c>
      <c r="C4" s="4" t="inlineStr">
        <is>
          <t>Category</t>
        </is>
      </c>
      <c r="D4" s="4" t="inlineStr">
        <is>
          <t>2023 Unadj Debit (NGN)</t>
        </is>
      </c>
      <c r="E4" s="4" t="inlineStr">
        <is>
          <t>2023 Unadj Credit (NGN)</t>
        </is>
      </c>
      <c r="F4" s="4" t="inlineStr">
        <is>
          <t>2024 Unadj Debit (NGN)</t>
        </is>
      </c>
      <c r="G4" s="4" t="inlineStr">
        <is>
          <t>2024 Unadj Credit (NGN)</t>
        </is>
      </c>
      <c r="H4" s="4" t="inlineStr">
        <is>
          <t>2025 Unadj Debit (NGN)</t>
        </is>
      </c>
      <c r="I4" s="4" t="inlineStr">
        <is>
          <t>2025 Unadj Credit (NGN)</t>
        </is>
      </c>
    </row>
    <row r="5">
      <c r="A5" s="11" t="inlineStr">
        <is>
          <t>1010</t>
        </is>
      </c>
      <c r="B5" s="8" t="inlineStr">
        <is>
          <t>Providus Bank - A/C 5400281942</t>
        </is>
      </c>
      <c r="C5" s="9" t="inlineStr">
        <is>
          <t>Current Assets</t>
        </is>
      </c>
      <c r="D5" s="22" t="n">
        <v>2215820</v>
      </c>
      <c r="E5" s="22" t="n">
        <v>0</v>
      </c>
      <c r="F5" s="22" t="n">
        <v>3850210</v>
      </c>
      <c r="G5" s="22" t="n">
        <v>0</v>
      </c>
      <c r="H5" s="22" t="n">
        <v>6420110</v>
      </c>
      <c r="I5" s="22" t="n">
        <v>0</v>
      </c>
    </row>
    <row r="6">
      <c r="A6" s="13" t="inlineStr">
        <is>
          <t>1020</t>
        </is>
      </c>
      <c r="B6" s="5" t="inlineStr">
        <is>
          <t>First Bank of Nigeria - A/C 2034891102</t>
        </is>
      </c>
      <c r="C6" s="6" t="inlineStr">
        <is>
          <t>Current Assets</t>
        </is>
      </c>
      <c r="D6" s="21" t="n">
        <v>512410</v>
      </c>
      <c r="E6" s="21" t="n">
        <v>0</v>
      </c>
      <c r="F6" s="21" t="n">
        <v>980118</v>
      </c>
      <c r="G6" s="21" t="n">
        <v>0</v>
      </c>
      <c r="H6" s="21" t="n">
        <v>1840550</v>
      </c>
      <c r="I6" s="21" t="n">
        <v>0</v>
      </c>
    </row>
    <row r="7">
      <c r="A7" s="11" t="inlineStr">
        <is>
          <t>1030</t>
        </is>
      </c>
      <c r="B7" s="8" t="inlineStr">
        <is>
          <t>Sterling Bank - A/C 0078451290</t>
        </is>
      </c>
      <c r="C7" s="9" t="inlineStr">
        <is>
          <t>Current Assets</t>
        </is>
      </c>
      <c r="D7" s="22" t="n">
        <v>114173</v>
      </c>
      <c r="E7" s="22" t="n">
        <v>0</v>
      </c>
      <c r="F7" s="22" t="n">
        <v>312350</v>
      </c>
      <c r="G7" s="22" t="n">
        <v>0</v>
      </c>
      <c r="H7" s="22" t="n">
        <v>663388</v>
      </c>
      <c r="I7" s="22" t="n">
        <v>0</v>
      </c>
    </row>
    <row r="8">
      <c r="A8" s="13" t="inlineStr">
        <is>
          <t>1110</t>
        </is>
      </c>
      <c r="B8" s="5" t="inlineStr">
        <is>
          <t>Trade Receivables - Construction</t>
        </is>
      </c>
      <c r="C8" s="6" t="inlineStr">
        <is>
          <t>Current Assets</t>
        </is>
      </c>
      <c r="D8" s="21" t="n">
        <v>3650000</v>
      </c>
      <c r="E8" s="21" t="n">
        <v>0</v>
      </c>
      <c r="F8" s="21" t="n">
        <v>5800000</v>
      </c>
      <c r="G8" s="21" t="n">
        <v>0</v>
      </c>
      <c r="H8" s="21" t="n">
        <v>9200000</v>
      </c>
      <c r="I8" s="21" t="n">
        <v>0</v>
      </c>
    </row>
    <row r="9">
      <c r="A9" s="11" t="inlineStr">
        <is>
          <t>1150</t>
        </is>
      </c>
      <c r="B9" s="8" t="inlineStr">
        <is>
          <t>WHT Credit Notes Receivable</t>
        </is>
      </c>
      <c r="C9" s="9" t="inlineStr">
        <is>
          <t>Current Assets</t>
        </is>
      </c>
      <c r="D9" s="22" t="n">
        <v>1100000</v>
      </c>
      <c r="E9" s="22" t="n">
        <v>0</v>
      </c>
      <c r="F9" s="22" t="n">
        <v>2650000</v>
      </c>
      <c r="G9" s="22" t="n">
        <v>0</v>
      </c>
      <c r="H9" s="22" t="n">
        <v>4850000</v>
      </c>
      <c r="I9" s="22" t="n">
        <v>0</v>
      </c>
    </row>
    <row r="10">
      <c r="A10" s="13" t="inlineStr">
        <is>
          <t>1160</t>
        </is>
      </c>
      <c r="B10" s="5" t="inlineStr">
        <is>
          <t>Prepayments &amp; Site Advances</t>
        </is>
      </c>
      <c r="C10" s="6" t="inlineStr">
        <is>
          <t>Current Assets</t>
        </is>
      </c>
      <c r="D10" s="21" t="n">
        <v>450000</v>
      </c>
      <c r="E10" s="21" t="n">
        <v>0</v>
      </c>
      <c r="F10" s="21" t="n">
        <v>680000</v>
      </c>
      <c r="G10" s="21" t="n">
        <v>0</v>
      </c>
      <c r="H10" s="21" t="n">
        <v>1150000</v>
      </c>
      <c r="I10" s="21" t="n">
        <v>0</v>
      </c>
    </row>
    <row r="11">
      <c r="A11" s="11" t="inlineStr">
        <is>
          <t>1210</t>
        </is>
      </c>
      <c r="B11" s="8" t="inlineStr">
        <is>
          <t>Development Inventory - Land</t>
        </is>
      </c>
      <c r="C11" s="9" t="inlineStr">
        <is>
          <t>Current Assets</t>
        </is>
      </c>
      <c r="D11" s="22" t="n">
        <v>5400000</v>
      </c>
      <c r="E11" s="22" t="n">
        <v>0</v>
      </c>
      <c r="F11" s="22" t="n">
        <v>8200000</v>
      </c>
      <c r="G11" s="22" t="n">
        <v>0</v>
      </c>
      <c r="H11" s="22" t="n">
        <v>14500000</v>
      </c>
      <c r="I11" s="22" t="n">
        <v>0</v>
      </c>
    </row>
    <row r="12">
      <c r="A12" s="13" t="inlineStr">
        <is>
          <t>1220</t>
        </is>
      </c>
      <c r="B12" s="5" t="inlineStr">
        <is>
          <t>Development Inventory - WIP</t>
        </is>
      </c>
      <c r="C12" s="6" t="inlineStr">
        <is>
          <t>Current Assets</t>
        </is>
      </c>
      <c r="D12" s="21" t="n">
        <v>3250000</v>
      </c>
      <c r="E12" s="21" t="n">
        <v>0</v>
      </c>
      <c r="F12" s="21" t="n">
        <v>5600000</v>
      </c>
      <c r="G12" s="21" t="n">
        <v>0</v>
      </c>
      <c r="H12" s="21" t="n">
        <v>9800000</v>
      </c>
      <c r="I12" s="21" t="n">
        <v>0</v>
      </c>
    </row>
    <row r="13">
      <c r="A13" s="11" t="inlineStr">
        <is>
          <t>1510</t>
        </is>
      </c>
      <c r="B13" s="8" t="inlineStr">
        <is>
          <t>PPE - Office &amp; Site Equipment</t>
        </is>
      </c>
      <c r="C13" s="9" t="inlineStr">
        <is>
          <t>Non-Current Assets</t>
        </is>
      </c>
      <c r="D13" s="22" t="n">
        <v>1823850</v>
      </c>
      <c r="E13" s="22" t="n">
        <v>0</v>
      </c>
      <c r="F13" s="22" t="n">
        <v>4523850</v>
      </c>
      <c r="G13" s="22" t="n">
        <v>0</v>
      </c>
      <c r="H13" s="22" t="n">
        <v>8123850</v>
      </c>
      <c r="I13" s="22" t="n">
        <v>0</v>
      </c>
    </row>
    <row r="14">
      <c r="A14" s="13" t="inlineStr">
        <is>
          <t>1590</t>
        </is>
      </c>
      <c r="B14" s="5" t="inlineStr">
        <is>
          <t>Accumulated Depreciation - PPE</t>
        </is>
      </c>
      <c r="C14" s="6" t="inlineStr">
        <is>
          <t>Non-Current Assets</t>
        </is>
      </c>
      <c r="D14" s="21" t="n">
        <v>0</v>
      </c>
      <c r="E14" s="21" t="n">
        <v>14310</v>
      </c>
      <c r="F14" s="21" t="n">
        <v>0</v>
      </c>
      <c r="G14" s="21" t="n">
        <v>399310</v>
      </c>
      <c r="H14" s="21" t="n">
        <v>0</v>
      </c>
      <c r="I14" s="21" t="n">
        <v>1114310</v>
      </c>
    </row>
    <row r="15">
      <c r="A15" s="11" t="inlineStr">
        <is>
          <t>2010</t>
        </is>
      </c>
      <c r="B15" s="8" t="inlineStr">
        <is>
          <t>Trade Payables - Subcontractors &amp; Materials</t>
        </is>
      </c>
      <c r="C15" s="9" t="inlineStr">
        <is>
          <t>Current Liabilities</t>
        </is>
      </c>
      <c r="D15" s="22" t="n">
        <v>0</v>
      </c>
      <c r="E15" s="22" t="n">
        <v>2150000</v>
      </c>
      <c r="F15" s="22" t="n">
        <v>0</v>
      </c>
      <c r="G15" s="22" t="n">
        <v>3850000</v>
      </c>
      <c r="H15" s="22" t="n">
        <v>0</v>
      </c>
      <c r="I15" s="22" t="n">
        <v>6450000</v>
      </c>
    </row>
    <row r="16">
      <c r="A16" s="13" t="inlineStr">
        <is>
          <t>2020</t>
        </is>
      </c>
      <c r="B16" s="5" t="inlineStr">
        <is>
          <t>Contract Liabilities - Customer Deposits</t>
        </is>
      </c>
      <c r="C16" s="6" t="inlineStr">
        <is>
          <t>Current Liabilities</t>
        </is>
      </c>
      <c r="D16" s="21" t="n">
        <v>0</v>
      </c>
      <c r="E16" s="21" t="n">
        <v>6500000</v>
      </c>
      <c r="F16" s="21" t="n">
        <v>0</v>
      </c>
      <c r="G16" s="21" t="n">
        <v>7800000</v>
      </c>
      <c r="H16" s="21" t="n">
        <v>0</v>
      </c>
      <c r="I16" s="21" t="n">
        <v>12500000</v>
      </c>
    </row>
    <row r="17">
      <c r="A17" s="11" t="inlineStr">
        <is>
          <t>2030</t>
        </is>
      </c>
      <c r="B17" s="8" t="inlineStr">
        <is>
          <t>Accrued Audit &amp; Professional Fees</t>
        </is>
      </c>
      <c r="C17" s="9" t="inlineStr">
        <is>
          <t>Current Liabilities</t>
        </is>
      </c>
      <c r="D17" s="22" t="n">
        <v>0</v>
      </c>
      <c r="E17" s="22" t="n">
        <v>50000</v>
      </c>
      <c r="F17" s="22" t="n">
        <v>0</v>
      </c>
      <c r="G17" s="22" t="n">
        <v>375000</v>
      </c>
      <c r="H17" s="22" t="n">
        <v>0</v>
      </c>
      <c r="I17" s="22" t="n">
        <v>550000</v>
      </c>
    </row>
    <row r="18">
      <c r="A18" s="13" t="inlineStr">
        <is>
          <t>2510</t>
        </is>
      </c>
      <c r="B18" s="5" t="inlineStr">
        <is>
          <t>Director's Loan &amp; Long-Term Funding</t>
        </is>
      </c>
      <c r="C18" s="6" t="inlineStr">
        <is>
          <t>Non-Current Liabilities</t>
        </is>
      </c>
      <c r="D18" s="21" t="n">
        <v>0</v>
      </c>
      <c r="E18" s="21" t="n">
        <v>4500000</v>
      </c>
      <c r="F18" s="21" t="n">
        <v>0</v>
      </c>
      <c r="G18" s="21" t="n">
        <v>5800000</v>
      </c>
      <c r="H18" s="21" t="n">
        <v>0</v>
      </c>
      <c r="I18" s="21" t="n">
        <v>7500000</v>
      </c>
    </row>
    <row r="19">
      <c r="A19" s="11" t="inlineStr">
        <is>
          <t>3010</t>
        </is>
      </c>
      <c r="B19" s="8" t="inlineStr">
        <is>
          <t>Ordinary Share Capital (₦1.00 par)</t>
        </is>
      </c>
      <c r="C19" s="9" t="inlineStr">
        <is>
          <t>Equity</t>
        </is>
      </c>
      <c r="D19" s="22" t="n">
        <v>0</v>
      </c>
      <c r="E19" s="22" t="n">
        <v>1000000</v>
      </c>
      <c r="F19" s="22" t="n">
        <v>0</v>
      </c>
      <c r="G19" s="22" t="n">
        <v>1000000</v>
      </c>
      <c r="H19" s="22" t="n">
        <v>0</v>
      </c>
      <c r="I19" s="22" t="n">
        <v>1000000</v>
      </c>
    </row>
    <row r="20">
      <c r="A20" s="13" t="inlineStr">
        <is>
          <t>3020</t>
        </is>
      </c>
      <c r="B20" s="5" t="inlineStr">
        <is>
          <t>Retained Earnings (Accumulated Profit)</t>
        </is>
      </c>
      <c r="C20" s="6" t="inlineStr">
        <is>
          <t>Equity</t>
        </is>
      </c>
      <c r="D20" s="21" t="n">
        <v>0</v>
      </c>
      <c r="E20" s="21" t="n">
        <v>2361708</v>
      </c>
      <c r="F20" s="21" t="n">
        <v>0</v>
      </c>
      <c r="G20" s="21" t="n">
        <v>7961943</v>
      </c>
      <c r="H20" s="21" t="n">
        <v>0</v>
      </c>
      <c r="I20" s="21" t="n">
        <v>17476718</v>
      </c>
    </row>
    <row r="21">
      <c r="A21" s="11" t="inlineStr">
        <is>
          <t>4010</t>
        </is>
      </c>
      <c r="B21" s="8" t="inlineStr">
        <is>
          <t>Revenue - Civil Engineering Contracts</t>
        </is>
      </c>
      <c r="C21" s="9" t="inlineStr">
        <is>
          <t>Revenue</t>
        </is>
      </c>
      <c r="D21" s="22" t="n">
        <v>0</v>
      </c>
      <c r="E21" s="22" t="n">
        <v>15500000</v>
      </c>
      <c r="F21" s="22" t="n">
        <v>0</v>
      </c>
      <c r="G21" s="22" t="n">
        <v>35000000</v>
      </c>
      <c r="H21" s="22" t="n">
        <v>0</v>
      </c>
      <c r="I21" s="22" t="n">
        <v>62000000</v>
      </c>
    </row>
    <row r="22">
      <c r="A22" s="13" t="inlineStr">
        <is>
          <t>4020</t>
        </is>
      </c>
      <c r="B22" s="5" t="inlineStr">
        <is>
          <t>Revenue - Land Resale</t>
        </is>
      </c>
      <c r="C22" s="6" t="inlineStr">
        <is>
          <t>Revenue</t>
        </is>
      </c>
      <c r="D22" s="21" t="n">
        <v>0</v>
      </c>
      <c r="E22" s="21" t="n">
        <v>12500000</v>
      </c>
      <c r="F22" s="21" t="n">
        <v>0</v>
      </c>
      <c r="G22" s="21" t="n">
        <v>19500000</v>
      </c>
      <c r="H22" s="21" t="n">
        <v>0</v>
      </c>
      <c r="I22" s="21" t="n">
        <v>32500000</v>
      </c>
    </row>
    <row r="23">
      <c r="A23" s="11" t="inlineStr">
        <is>
          <t>4030</t>
        </is>
      </c>
      <c r="B23" s="8" t="inlineStr">
        <is>
          <t>Revenue - Project Management &amp; Consulting</t>
        </is>
      </c>
      <c r="C23" s="9" t="inlineStr">
        <is>
          <t>Revenue</t>
        </is>
      </c>
      <c r="D23" s="22" t="n">
        <v>0</v>
      </c>
      <c r="E23" s="22" t="n">
        <v>4000000</v>
      </c>
      <c r="F23" s="22" t="n">
        <v>0</v>
      </c>
      <c r="G23" s="22" t="n">
        <v>6700000</v>
      </c>
      <c r="H23" s="22" t="n">
        <v>0</v>
      </c>
      <c r="I23" s="22" t="n">
        <v>12000000</v>
      </c>
    </row>
    <row r="24">
      <c r="A24" s="13" t="inlineStr">
        <is>
          <t>5010</t>
        </is>
      </c>
      <c r="B24" s="5" t="inlineStr">
        <is>
          <t>Cost of Sales - Materials &amp; Subcontracts</t>
        </is>
      </c>
      <c r="C24" s="6" t="inlineStr">
        <is>
          <t>Direct Costs</t>
        </is>
      </c>
      <c r="D24" s="21" t="n">
        <v>14200000</v>
      </c>
      <c r="E24" s="21" t="n">
        <v>0</v>
      </c>
      <c r="F24" s="21" t="n">
        <v>26400000</v>
      </c>
      <c r="G24" s="21" t="n">
        <v>0</v>
      </c>
      <c r="H24" s="21" t="n">
        <v>45600000</v>
      </c>
      <c r="I24" s="21" t="n">
        <v>0</v>
      </c>
    </row>
    <row r="25">
      <c r="A25" s="11" t="inlineStr">
        <is>
          <t>5020</t>
        </is>
      </c>
      <c r="B25" s="8" t="inlineStr">
        <is>
          <t>Cost of Sales - Land Inventory Released</t>
        </is>
      </c>
      <c r="C25" s="9" t="inlineStr">
        <is>
          <t>Direct Costs</t>
        </is>
      </c>
      <c r="D25" s="22" t="n">
        <v>8100000</v>
      </c>
      <c r="E25" s="22" t="n">
        <v>0</v>
      </c>
      <c r="F25" s="22" t="n">
        <v>11800000</v>
      </c>
      <c r="G25" s="22" t="n">
        <v>0</v>
      </c>
      <c r="H25" s="22" t="n">
        <v>21400000</v>
      </c>
      <c r="I25" s="22" t="n">
        <v>0</v>
      </c>
    </row>
    <row r="26">
      <c r="A26" s="13" t="inlineStr">
        <is>
          <t>5030</t>
        </is>
      </c>
      <c r="B26" s="5" t="inlineStr">
        <is>
          <t>Cost of Sales - Direct Site Labor &amp; Hire</t>
        </is>
      </c>
      <c r="C26" s="6" t="inlineStr">
        <is>
          <t>Direct Costs</t>
        </is>
      </c>
      <c r="D26" s="21" t="n">
        <v>2350000</v>
      </c>
      <c r="E26" s="21" t="n">
        <v>0</v>
      </c>
      <c r="F26" s="21" t="n">
        <v>3300000</v>
      </c>
      <c r="G26" s="21" t="n">
        <v>0</v>
      </c>
      <c r="H26" s="21" t="n">
        <v>5800000</v>
      </c>
      <c r="I26" s="21" t="n">
        <v>0</v>
      </c>
    </row>
    <row r="27">
      <c r="A27" s="11" t="inlineStr">
        <is>
          <t>6010</t>
        </is>
      </c>
      <c r="B27" s="8" t="inlineStr">
        <is>
          <t>Administrative - Staff Salaries, Wages</t>
        </is>
      </c>
      <c r="C27" s="9" t="inlineStr">
        <is>
          <t>Operating Expenses</t>
        </is>
      </c>
      <c r="D27" s="22" t="n">
        <v>2800000</v>
      </c>
      <c r="E27" s="22" t="n">
        <v>0</v>
      </c>
      <c r="F27" s="22" t="n">
        <v>4200000</v>
      </c>
      <c r="G27" s="22" t="n">
        <v>0</v>
      </c>
      <c r="H27" s="22" t="n">
        <v>7200000</v>
      </c>
      <c r="I27" s="22" t="n">
        <v>0</v>
      </c>
    </row>
    <row r="28">
      <c r="A28" s="13" t="inlineStr">
        <is>
          <t>6020</t>
        </is>
      </c>
      <c r="B28" s="5" t="inlineStr">
        <is>
          <t>Administrative - Site Office Rent &amp; Maintenance</t>
        </is>
      </c>
      <c r="C28" s="6" t="inlineStr">
        <is>
          <t>Operating Expenses</t>
        </is>
      </c>
      <c r="D28" s="21" t="n">
        <v>950000</v>
      </c>
      <c r="E28" s="21" t="n">
        <v>0</v>
      </c>
      <c r="F28" s="21" t="n">
        <v>1450000</v>
      </c>
      <c r="G28" s="21" t="n">
        <v>0</v>
      </c>
      <c r="H28" s="21" t="n">
        <v>2400000</v>
      </c>
      <c r="I28" s="21" t="n">
        <v>0</v>
      </c>
    </row>
    <row r="29">
      <c r="A29" s="11" t="inlineStr">
        <is>
          <t>6030</t>
        </is>
      </c>
      <c r="B29" s="8" t="inlineStr">
        <is>
          <t>Administrative - Professional &amp; Legal Fees</t>
        </is>
      </c>
      <c r="C29" s="9" t="inlineStr">
        <is>
          <t>Operating Expenses</t>
        </is>
      </c>
      <c r="D29" s="22" t="n">
        <v>650000</v>
      </c>
      <c r="E29" s="22" t="n">
        <v>0</v>
      </c>
      <c r="F29" s="22" t="n">
        <v>980000</v>
      </c>
      <c r="G29" s="22" t="n">
        <v>0</v>
      </c>
      <c r="H29" s="22" t="n">
        <v>1650000</v>
      </c>
      <c r="I29" s="22" t="n">
        <v>0</v>
      </c>
    </row>
    <row r="30">
      <c r="A30" s="13" t="inlineStr">
        <is>
          <t>6040</t>
        </is>
      </c>
      <c r="B30" s="5" t="inlineStr">
        <is>
          <t>Administrative - Audit &amp; Tax Fees</t>
        </is>
      </c>
      <c r="C30" s="6" t="inlineStr">
        <is>
          <t>Operating Expenses</t>
        </is>
      </c>
      <c r="D30" s="21" t="n">
        <v>350000</v>
      </c>
      <c r="E30" s="21" t="n">
        <v>0</v>
      </c>
      <c r="F30" s="21" t="n">
        <v>450000</v>
      </c>
      <c r="G30" s="21" t="n">
        <v>0</v>
      </c>
      <c r="H30" s="21" t="n">
        <v>650000</v>
      </c>
      <c r="I30" s="21" t="n">
        <v>0</v>
      </c>
    </row>
    <row r="31">
      <c r="A31" s="11" t="inlineStr">
        <is>
          <t>6050</t>
        </is>
      </c>
      <c r="B31" s="8" t="inlineStr">
        <is>
          <t>Administrative - Bank Charges &amp; COT</t>
        </is>
      </c>
      <c r="C31" s="9" t="inlineStr">
        <is>
          <t>Operating Expenses</t>
        </is>
      </c>
      <c r="D31" s="22" t="n">
        <v>285000</v>
      </c>
      <c r="E31" s="22" t="n">
        <v>0</v>
      </c>
      <c r="F31" s="22" t="n">
        <v>420000</v>
      </c>
      <c r="G31" s="22" t="n">
        <v>0</v>
      </c>
      <c r="H31" s="22" t="n">
        <v>680000</v>
      </c>
      <c r="I31" s="22" t="n">
        <v>0</v>
      </c>
    </row>
    <row r="32">
      <c r="A32" s="13" t="inlineStr">
        <is>
          <t>6060</t>
        </is>
      </c>
      <c r="B32" s="5" t="inlineStr">
        <is>
          <t>Administrative - Motor Vehicle &amp; Logistics</t>
        </is>
      </c>
      <c r="C32" s="6" t="inlineStr">
        <is>
          <t>Operating Expenses</t>
        </is>
      </c>
      <c r="D32" s="21" t="n">
        <v>420000</v>
      </c>
      <c r="E32" s="21" t="n">
        <v>0</v>
      </c>
      <c r="F32" s="21" t="n">
        <v>750000</v>
      </c>
      <c r="G32" s="21" t="n">
        <v>0</v>
      </c>
      <c r="H32" s="21" t="n">
        <v>1250000</v>
      </c>
      <c r="I32" s="21" t="n">
        <v>0</v>
      </c>
    </row>
    <row r="33">
      <c r="A33" s="11" t="inlineStr">
        <is>
          <t>6090</t>
        </is>
      </c>
      <c r="B33" s="8" t="inlineStr">
        <is>
          <t>Administrative - General Office &amp; Utilities</t>
        </is>
      </c>
      <c r="C33" s="9" t="inlineStr">
        <is>
          <t>Operating Expenses</t>
        </is>
      </c>
      <c r="D33" s="22" t="n">
        <v>400000</v>
      </c>
      <c r="E33" s="22" t="n">
        <v>0</v>
      </c>
      <c r="F33" s="22" t="n">
        <v>625000</v>
      </c>
      <c r="G33" s="22" t="n">
        <v>0</v>
      </c>
      <c r="H33" s="22" t="n">
        <v>940000</v>
      </c>
      <c r="I33" s="22" t="n">
        <v>0</v>
      </c>
    </row>
    <row r="34">
      <c r="A34" s="13" t="inlineStr">
        <is>
          <t>7010</t>
        </is>
      </c>
      <c r="B34" s="5" t="inlineStr">
        <is>
          <t>Finance Costs - Bank Project Facility</t>
        </is>
      </c>
      <c r="C34" s="6" t="inlineStr">
        <is>
          <t>Finance Costs</t>
        </is>
      </c>
      <c r="D34" s="21" t="n">
        <v>125000</v>
      </c>
      <c r="E34" s="21" t="n">
        <v>0</v>
      </c>
      <c r="F34" s="21" t="n">
        <v>350000</v>
      </c>
      <c r="G34" s="21" t="n">
        <v>0</v>
      </c>
      <c r="H34" s="21" t="n">
        <v>650000</v>
      </c>
      <c r="I34" s="21" t="n">
        <v>0</v>
      </c>
    </row>
    <row r="35">
      <c r="A35" s="23" t="inlineStr">
        <is>
          <t>TOTAL UNADJUSTED TRIAL BALANCE</t>
        </is>
      </c>
      <c r="B35" s="31" t="n"/>
      <c r="C35" s="31" t="n"/>
      <c r="D35" s="24">
        <f>SUM(D5:D34)</f>
        <v/>
      </c>
      <c r="E35" s="24">
        <f>SUM(E5:E34)</f>
        <v/>
      </c>
      <c r="F35" s="24">
        <f>SUM(F5:F34)</f>
        <v/>
      </c>
      <c r="G35" s="24">
        <f>SUM(G5:G34)</f>
        <v/>
      </c>
      <c r="H35" s="24">
        <f>SUM(H5:H34)</f>
        <v/>
      </c>
      <c r="I35" s="24">
        <f>SUM(I5:I34)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9" customWidth="1" min="1" max="1"/>
    <col width="50" customWidth="1" min="2" max="2"/>
    <col width="26" customWidth="1" min="3" max="3"/>
    <col width="23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</cols>
  <sheetData>
    <row r="1">
      <c r="A1" s="1" t="inlineStr">
        <is>
          <t>BAAY PROJECTS LIMITED — ADJUSTED PRE-CLOSING TRIAL BALANCES (2023 - 2025)</t>
        </is>
      </c>
    </row>
    <row r="2">
      <c r="A2" s="3" t="inlineStr">
        <is>
          <t>Trial Balances Incorporating Year-End Accruals, IFRS 15 Revenue Adjustments, Depreciation &amp; Tax Provisions</t>
        </is>
      </c>
    </row>
    <row r="3"/>
    <row r="4">
      <c r="A4" s="4" t="inlineStr">
        <is>
          <t>Account Code</t>
        </is>
      </c>
      <c r="B4" s="4" t="inlineStr">
        <is>
          <t>Account Title / Description</t>
        </is>
      </c>
      <c r="C4" s="4" t="inlineStr">
        <is>
          <t>Category</t>
        </is>
      </c>
      <c r="D4" s="4" t="inlineStr">
        <is>
          <t>2023 Adj Debit (NGN)</t>
        </is>
      </c>
      <c r="E4" s="4" t="inlineStr">
        <is>
          <t>2023 Adj Credit (NGN)</t>
        </is>
      </c>
      <c r="F4" s="4" t="inlineStr">
        <is>
          <t>2024 Adj Debit (NGN)</t>
        </is>
      </c>
      <c r="G4" s="4" t="inlineStr">
        <is>
          <t>2024 Adj Credit (NGN)</t>
        </is>
      </c>
      <c r="H4" s="4" t="inlineStr">
        <is>
          <t>2025 Adj Debit (NGN)</t>
        </is>
      </c>
      <c r="I4" s="4" t="inlineStr">
        <is>
          <t>2025 Adj Credit (NGN)</t>
        </is>
      </c>
    </row>
    <row r="5">
      <c r="A5" s="11" t="inlineStr">
        <is>
          <t>1010</t>
        </is>
      </c>
      <c r="B5" s="8" t="inlineStr">
        <is>
          <t>Providus Bank - A/C 5400281942</t>
        </is>
      </c>
      <c r="C5" s="9" t="inlineStr">
        <is>
          <t>Current Assets</t>
        </is>
      </c>
      <c r="D5" s="22" t="n">
        <v>2215820</v>
      </c>
      <c r="E5" s="22" t="n">
        <v>0</v>
      </c>
      <c r="F5" s="22" t="n">
        <v>3850210</v>
      </c>
      <c r="G5" s="22" t="n">
        <v>0</v>
      </c>
      <c r="H5" s="22" t="n">
        <v>6420110</v>
      </c>
      <c r="I5" s="22" t="n">
        <v>0</v>
      </c>
    </row>
    <row r="6">
      <c r="A6" s="13" t="inlineStr">
        <is>
          <t>1020</t>
        </is>
      </c>
      <c r="B6" s="5" t="inlineStr">
        <is>
          <t>First Bank of Nigeria - A/C 2034891102</t>
        </is>
      </c>
      <c r="C6" s="6" t="inlineStr">
        <is>
          <t>Current Assets</t>
        </is>
      </c>
      <c r="D6" s="21" t="n">
        <v>512410</v>
      </c>
      <c r="E6" s="21" t="n">
        <v>0</v>
      </c>
      <c r="F6" s="21" t="n">
        <v>980118</v>
      </c>
      <c r="G6" s="21" t="n">
        <v>0</v>
      </c>
      <c r="H6" s="21" t="n">
        <v>1840550</v>
      </c>
      <c r="I6" s="21" t="n">
        <v>0</v>
      </c>
    </row>
    <row r="7">
      <c r="A7" s="11" t="inlineStr">
        <is>
          <t>1030</t>
        </is>
      </c>
      <c r="B7" s="8" t="inlineStr">
        <is>
          <t>Sterling Bank - A/C 0078451290</t>
        </is>
      </c>
      <c r="C7" s="9" t="inlineStr">
        <is>
          <t>Current Assets</t>
        </is>
      </c>
      <c r="D7" s="22" t="n">
        <v>114173</v>
      </c>
      <c r="E7" s="22" t="n">
        <v>0</v>
      </c>
      <c r="F7" s="22" t="n">
        <v>312350</v>
      </c>
      <c r="G7" s="22" t="n">
        <v>0</v>
      </c>
      <c r="H7" s="22" t="n">
        <v>663388</v>
      </c>
      <c r="I7" s="22" t="n">
        <v>0</v>
      </c>
    </row>
    <row r="8">
      <c r="A8" s="13" t="inlineStr">
        <is>
          <t>1110</t>
        </is>
      </c>
      <c r="B8" s="5" t="inlineStr">
        <is>
          <t>Trade Receivables - Construction</t>
        </is>
      </c>
      <c r="C8" s="6" t="inlineStr">
        <is>
          <t>Current Assets</t>
        </is>
      </c>
      <c r="D8" s="21" t="n">
        <v>3650000</v>
      </c>
      <c r="E8" s="21" t="n">
        <v>0</v>
      </c>
      <c r="F8" s="21" t="n">
        <v>5800000</v>
      </c>
      <c r="G8" s="21" t="n">
        <v>0</v>
      </c>
      <c r="H8" s="21" t="n">
        <v>9200000</v>
      </c>
      <c r="I8" s="21" t="n">
        <v>0</v>
      </c>
    </row>
    <row r="9">
      <c r="A9" s="11" t="inlineStr">
        <is>
          <t>1130</t>
        </is>
      </c>
      <c r="B9" s="8" t="inlineStr">
        <is>
          <t>Allowance for Expected Credit Losses (IFRS 9)</t>
        </is>
      </c>
      <c r="C9" s="9" t="inlineStr">
        <is>
          <t>Current Assets</t>
        </is>
      </c>
      <c r="D9" s="22" t="n">
        <v>0</v>
      </c>
      <c r="E9" s="22" t="n">
        <v>185000</v>
      </c>
      <c r="F9" s="22" t="n">
        <v>0</v>
      </c>
      <c r="G9" s="22" t="n">
        <v>445000</v>
      </c>
      <c r="H9" s="22" t="n">
        <v>0</v>
      </c>
      <c r="I9" s="22" t="n">
        <v>840000</v>
      </c>
    </row>
    <row r="10">
      <c r="A10" s="13" t="inlineStr">
        <is>
          <t>1140</t>
        </is>
      </c>
      <c r="B10" s="5" t="inlineStr">
        <is>
          <t>Contract Assets (Unbilled Revenue - IFRS 15)</t>
        </is>
      </c>
      <c r="C10" s="6" t="inlineStr">
        <is>
          <t>Current Assets</t>
        </is>
      </c>
      <c r="D10" s="21" t="n">
        <v>2400000</v>
      </c>
      <c r="E10" s="21" t="n">
        <v>0</v>
      </c>
      <c r="F10" s="21" t="n">
        <v>4150000</v>
      </c>
      <c r="G10" s="21" t="n">
        <v>0</v>
      </c>
      <c r="H10" s="21" t="n">
        <v>6850000</v>
      </c>
      <c r="I10" s="21" t="n">
        <v>0</v>
      </c>
    </row>
    <row r="11">
      <c r="A11" s="11" t="inlineStr">
        <is>
          <t>1150</t>
        </is>
      </c>
      <c r="B11" s="8" t="inlineStr">
        <is>
          <t>WHT Credit Notes Receivable</t>
        </is>
      </c>
      <c r="C11" s="9" t="inlineStr">
        <is>
          <t>Current Assets</t>
        </is>
      </c>
      <c r="D11" s="22" t="n">
        <v>1100000</v>
      </c>
      <c r="E11" s="22" t="n">
        <v>0</v>
      </c>
      <c r="F11" s="22" t="n">
        <v>2650000</v>
      </c>
      <c r="G11" s="22" t="n">
        <v>0</v>
      </c>
      <c r="H11" s="22" t="n">
        <v>4850000</v>
      </c>
      <c r="I11" s="22" t="n">
        <v>0</v>
      </c>
    </row>
    <row r="12">
      <c r="A12" s="13" t="inlineStr">
        <is>
          <t>1160</t>
        </is>
      </c>
      <c r="B12" s="5" t="inlineStr">
        <is>
          <t>Prepayments &amp; Site Advances</t>
        </is>
      </c>
      <c r="C12" s="6" t="inlineStr">
        <is>
          <t>Current Assets</t>
        </is>
      </c>
      <c r="D12" s="21" t="n">
        <v>450000</v>
      </c>
      <c r="E12" s="21" t="n">
        <v>0</v>
      </c>
      <c r="F12" s="21" t="n">
        <v>680000</v>
      </c>
      <c r="G12" s="21" t="n">
        <v>0</v>
      </c>
      <c r="H12" s="21" t="n">
        <v>1150000</v>
      </c>
      <c r="I12" s="21" t="n">
        <v>0</v>
      </c>
    </row>
    <row r="13">
      <c r="A13" s="11" t="inlineStr">
        <is>
          <t>1210</t>
        </is>
      </c>
      <c r="B13" s="8" t="inlineStr">
        <is>
          <t>Development Inventory - Land</t>
        </is>
      </c>
      <c r="C13" s="9" t="inlineStr">
        <is>
          <t>Current Assets</t>
        </is>
      </c>
      <c r="D13" s="22" t="n">
        <v>5400000</v>
      </c>
      <c r="E13" s="22" t="n">
        <v>0</v>
      </c>
      <c r="F13" s="22" t="n">
        <v>8200000</v>
      </c>
      <c r="G13" s="22" t="n">
        <v>0</v>
      </c>
      <c r="H13" s="22" t="n">
        <v>14500000</v>
      </c>
      <c r="I13" s="22" t="n">
        <v>0</v>
      </c>
    </row>
    <row r="14">
      <c r="A14" s="13" t="inlineStr">
        <is>
          <t>1220</t>
        </is>
      </c>
      <c r="B14" s="5" t="inlineStr">
        <is>
          <t>Development Inventory - WIP</t>
        </is>
      </c>
      <c r="C14" s="6" t="inlineStr">
        <is>
          <t>Current Assets</t>
        </is>
      </c>
      <c r="D14" s="21" t="n">
        <v>3250000</v>
      </c>
      <c r="E14" s="21" t="n">
        <v>0</v>
      </c>
      <c r="F14" s="21" t="n">
        <v>5600000</v>
      </c>
      <c r="G14" s="21" t="n">
        <v>0</v>
      </c>
      <c r="H14" s="21" t="n">
        <v>9800000</v>
      </c>
      <c r="I14" s="21" t="n">
        <v>0</v>
      </c>
    </row>
    <row r="15">
      <c r="A15" s="11" t="inlineStr">
        <is>
          <t>1510</t>
        </is>
      </c>
      <c r="B15" s="8" t="inlineStr">
        <is>
          <t>PPE - Office &amp; Site Equipment</t>
        </is>
      </c>
      <c r="C15" s="9" t="inlineStr">
        <is>
          <t>Non-Current Assets</t>
        </is>
      </c>
      <c r="D15" s="22" t="n">
        <v>1823850</v>
      </c>
      <c r="E15" s="22" t="n">
        <v>0</v>
      </c>
      <c r="F15" s="22" t="n">
        <v>4523850</v>
      </c>
      <c r="G15" s="22" t="n">
        <v>0</v>
      </c>
      <c r="H15" s="22" t="n">
        <v>8123850</v>
      </c>
      <c r="I15" s="22" t="n">
        <v>0</v>
      </c>
    </row>
    <row r="16">
      <c r="A16" s="13" t="inlineStr">
        <is>
          <t>1590</t>
        </is>
      </c>
      <c r="B16" s="5" t="inlineStr">
        <is>
          <t>Accumulated Depreciation - PPE</t>
        </is>
      </c>
      <c r="C16" s="6" t="inlineStr">
        <is>
          <t>Non-Current Assets</t>
        </is>
      </c>
      <c r="D16" s="21" t="n">
        <v>0</v>
      </c>
      <c r="E16" s="21" t="n">
        <v>399310</v>
      </c>
      <c r="F16" s="21" t="n">
        <v>0</v>
      </c>
      <c r="G16" s="21" t="n">
        <v>1114310</v>
      </c>
      <c r="H16" s="21" t="n">
        <v>0</v>
      </c>
      <c r="I16" s="21" t="n">
        <v>2399310</v>
      </c>
    </row>
    <row r="17">
      <c r="A17" s="11" t="inlineStr">
        <is>
          <t>1610</t>
        </is>
      </c>
      <c r="B17" s="8" t="inlineStr">
        <is>
          <t>Deferred Tax Asset (IAS 12)</t>
        </is>
      </c>
      <c r="C17" s="9" t="inlineStr">
        <is>
          <t>Non-Current Assets</t>
        </is>
      </c>
      <c r="D17" s="22" t="n">
        <v>32000</v>
      </c>
      <c r="E17" s="22" t="n">
        <v>0</v>
      </c>
      <c r="F17" s="22" t="n">
        <v>0</v>
      </c>
      <c r="G17" s="22" t="n">
        <v>0</v>
      </c>
      <c r="H17" s="22" t="n">
        <v>0</v>
      </c>
      <c r="I17" s="22" t="n">
        <v>0</v>
      </c>
    </row>
    <row r="18">
      <c r="A18" s="13" t="inlineStr">
        <is>
          <t>2010</t>
        </is>
      </c>
      <c r="B18" s="5" t="inlineStr">
        <is>
          <t>Trade Payables - Subcontractors &amp; Materials</t>
        </is>
      </c>
      <c r="C18" s="6" t="inlineStr">
        <is>
          <t>Current Liabilities</t>
        </is>
      </c>
      <c r="D18" s="21" t="n">
        <v>0</v>
      </c>
      <c r="E18" s="21" t="n">
        <v>2150000</v>
      </c>
      <c r="F18" s="21" t="n">
        <v>0</v>
      </c>
      <c r="G18" s="21" t="n">
        <v>3850000</v>
      </c>
      <c r="H18" s="21" t="n">
        <v>0</v>
      </c>
      <c r="I18" s="21" t="n">
        <v>6450000</v>
      </c>
    </row>
    <row r="19">
      <c r="A19" s="11" t="inlineStr">
        <is>
          <t>2020</t>
        </is>
      </c>
      <c r="B19" s="8" t="inlineStr">
        <is>
          <t>Contract Liabilities - Customer Deposits</t>
        </is>
      </c>
      <c r="C19" s="9" t="inlineStr">
        <is>
          <t>Current Liabilities</t>
        </is>
      </c>
      <c r="D19" s="22" t="n">
        <v>0</v>
      </c>
      <c r="E19" s="22" t="n">
        <v>2400000</v>
      </c>
      <c r="F19" s="22" t="n">
        <v>0</v>
      </c>
      <c r="G19" s="22" t="n">
        <v>3600000</v>
      </c>
      <c r="H19" s="22" t="n">
        <v>0</v>
      </c>
      <c r="I19" s="22" t="n">
        <v>5800000</v>
      </c>
    </row>
    <row r="20">
      <c r="A20" s="13" t="inlineStr">
        <is>
          <t>2030</t>
        </is>
      </c>
      <c r="B20" s="5" t="inlineStr">
        <is>
          <t>Accrued Audit &amp; Professional Fees</t>
        </is>
      </c>
      <c r="C20" s="6" t="inlineStr">
        <is>
          <t>Current Liabilities</t>
        </is>
      </c>
      <c r="D20" s="21" t="n">
        <v>0</v>
      </c>
      <c r="E20" s="21" t="n">
        <v>375000</v>
      </c>
      <c r="F20" s="21" t="n">
        <v>0</v>
      </c>
      <c r="G20" s="21" t="n">
        <v>550000</v>
      </c>
      <c r="H20" s="21" t="n">
        <v>0</v>
      </c>
      <c r="I20" s="21" t="n">
        <v>850000</v>
      </c>
    </row>
    <row r="21">
      <c r="A21" s="11" t="inlineStr">
        <is>
          <t>2040</t>
        </is>
      </c>
      <c r="B21" s="8" t="inlineStr">
        <is>
          <t>Other Accrued Expenses &amp; Sundry Creditors</t>
        </is>
      </c>
      <c r="C21" s="9" t="inlineStr">
        <is>
          <t>Current Liabilities</t>
        </is>
      </c>
      <c r="D21" s="22" t="n">
        <v>0</v>
      </c>
      <c r="E21" s="22" t="n">
        <v>245235</v>
      </c>
      <c r="F21" s="22" t="n">
        <v>0</v>
      </c>
      <c r="G21" s="22" t="n">
        <v>425500</v>
      </c>
      <c r="H21" s="22" t="n">
        <v>0</v>
      </c>
      <c r="I21" s="22" t="n">
        <v>683500</v>
      </c>
    </row>
    <row r="22">
      <c r="A22" s="13" t="inlineStr">
        <is>
          <t>2110</t>
        </is>
      </c>
      <c r="B22" s="5" t="inlineStr">
        <is>
          <t>Current Tax Liabilities - CIT Payable</t>
        </is>
      </c>
      <c r="C22" s="6" t="inlineStr">
        <is>
          <t>Current Liabilities</t>
        </is>
      </c>
      <c r="D22" s="21" t="n">
        <v>0</v>
      </c>
      <c r="E22" s="21" t="n">
        <v>1492000</v>
      </c>
      <c r="F22" s="21" t="n">
        <v>0</v>
      </c>
      <c r="G22" s="21" t="n">
        <v>2128000</v>
      </c>
      <c r="H22" s="21" t="n">
        <v>0</v>
      </c>
      <c r="I22" s="21" t="n">
        <v>4825000</v>
      </c>
    </row>
    <row r="23">
      <c r="A23" s="11" t="inlineStr">
        <is>
          <t>2120</t>
        </is>
      </c>
      <c r="B23" s="8" t="inlineStr">
        <is>
          <t>Current Tax Liabilities - TET Payable</t>
        </is>
      </c>
      <c r="C23" s="9" t="inlineStr">
        <is>
          <t>Current Liabilities</t>
        </is>
      </c>
      <c r="D23" s="22" t="n">
        <v>0</v>
      </c>
      <c r="E23" s="22" t="n">
        <v>239400</v>
      </c>
      <c r="F23" s="22" t="n">
        <v>0</v>
      </c>
      <c r="G23" s="22" t="n">
        <v>408600</v>
      </c>
      <c r="H23" s="22" t="n">
        <v>0</v>
      </c>
      <c r="I23" s="22" t="n">
        <v>735000</v>
      </c>
    </row>
    <row r="24">
      <c r="A24" s="13" t="inlineStr">
        <is>
          <t>2130</t>
        </is>
      </c>
      <c r="B24" s="5" t="inlineStr">
        <is>
          <t>Current Tax Liabilities - PTF Payable</t>
        </is>
      </c>
      <c r="C24" s="6" t="inlineStr">
        <is>
          <t>Current Liabilities</t>
        </is>
      </c>
      <c r="D24" s="21" t="n">
        <v>0</v>
      </c>
      <c r="E24" s="21" t="n">
        <v>455</v>
      </c>
      <c r="F24" s="21" t="n">
        <v>0</v>
      </c>
      <c r="G24" s="21" t="n">
        <v>625</v>
      </c>
      <c r="H24" s="21" t="n">
        <v>0</v>
      </c>
      <c r="I24" s="21" t="n">
        <v>1130</v>
      </c>
    </row>
    <row r="25">
      <c r="A25" s="11" t="inlineStr">
        <is>
          <t>2140</t>
        </is>
      </c>
      <c r="B25" s="8" t="inlineStr">
        <is>
          <t>Current Tax Liabilities - NASENI Levy</t>
        </is>
      </c>
      <c r="C25" s="9" t="inlineStr">
        <is>
          <t>Current Liabilities</t>
        </is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56500</v>
      </c>
    </row>
    <row r="26">
      <c r="A26" s="13" t="inlineStr">
        <is>
          <t>2510</t>
        </is>
      </c>
      <c r="B26" s="5" t="inlineStr">
        <is>
          <t>Director's Loan &amp; Long-Term Funding</t>
        </is>
      </c>
      <c r="C26" s="6" t="inlineStr">
        <is>
          <t>Non-Current Liabilities</t>
        </is>
      </c>
      <c r="D26" s="21" t="n">
        <v>0</v>
      </c>
      <c r="E26" s="21" t="n">
        <v>4500000</v>
      </c>
      <c r="F26" s="21" t="n">
        <v>0</v>
      </c>
      <c r="G26" s="21" t="n">
        <v>5800000</v>
      </c>
      <c r="H26" s="21" t="n">
        <v>0</v>
      </c>
      <c r="I26" s="21" t="n">
        <v>7500000</v>
      </c>
    </row>
    <row r="27">
      <c r="A27" s="11" t="inlineStr">
        <is>
          <t>2610</t>
        </is>
      </c>
      <c r="B27" s="8" t="inlineStr">
        <is>
          <t>Deferred Tax Liability (IAS 12)</t>
        </is>
      </c>
      <c r="C27" s="9" t="inlineStr">
        <is>
          <t>Non-Current Liabilities</t>
        </is>
      </c>
      <c r="D27" s="22" t="n">
        <v>0</v>
      </c>
      <c r="E27" s="22" t="n">
        <v>0</v>
      </c>
      <c r="F27" s="22" t="n">
        <v>0</v>
      </c>
      <c r="G27" s="22" t="n">
        <v>16000</v>
      </c>
      <c r="H27" s="22" t="n">
        <v>0</v>
      </c>
      <c r="I27" s="22" t="n">
        <v>98500</v>
      </c>
    </row>
    <row r="28">
      <c r="A28" s="13" t="inlineStr">
        <is>
          <t>3010</t>
        </is>
      </c>
      <c r="B28" s="5" t="inlineStr">
        <is>
          <t>Ordinary Share Capital (₦1.00 par)</t>
        </is>
      </c>
      <c r="C28" s="6" t="inlineStr">
        <is>
          <t>Equity</t>
        </is>
      </c>
      <c r="D28" s="21" t="n">
        <v>0</v>
      </c>
      <c r="E28" s="21" t="n">
        <v>1000000</v>
      </c>
      <c r="F28" s="21" t="n">
        <v>0</v>
      </c>
      <c r="G28" s="21" t="n">
        <v>1000000</v>
      </c>
      <c r="H28" s="21" t="n">
        <v>0</v>
      </c>
      <c r="I28" s="21" t="n">
        <v>1000000</v>
      </c>
    </row>
    <row r="29">
      <c r="A29" s="11" t="inlineStr">
        <is>
          <t>3020</t>
        </is>
      </c>
      <c r="B29" s="8" t="inlineStr">
        <is>
          <t>Retained Earnings (Accumulated Profit)</t>
        </is>
      </c>
      <c r="C29" s="9" t="inlineStr">
        <is>
          <t>Equity</t>
        </is>
      </c>
      <c r="D29" s="22" t="n">
        <v>0</v>
      </c>
      <c r="E29" s="22" t="n">
        <v>2361708</v>
      </c>
      <c r="F29" s="22" t="n">
        <v>0</v>
      </c>
      <c r="G29" s="22" t="n">
        <v>7961943</v>
      </c>
      <c r="H29" s="22" t="n">
        <v>0</v>
      </c>
      <c r="I29" s="22" t="n">
        <v>17476718</v>
      </c>
    </row>
    <row r="30">
      <c r="A30" s="13" t="inlineStr">
        <is>
          <t>4010</t>
        </is>
      </c>
      <c r="B30" s="5" t="inlineStr">
        <is>
          <t>Revenue - Civil Engineering Contracts</t>
        </is>
      </c>
      <c r="C30" s="6" t="inlineStr">
        <is>
          <t>Revenue</t>
        </is>
      </c>
      <c r="D30" s="21" t="n">
        <v>0</v>
      </c>
      <c r="E30" s="21" t="n">
        <v>22000000</v>
      </c>
      <c r="F30" s="21" t="n">
        <v>0</v>
      </c>
      <c r="G30" s="21" t="n">
        <v>38000000</v>
      </c>
      <c r="H30" s="21" t="n">
        <v>0</v>
      </c>
      <c r="I30" s="21" t="n">
        <v>68000000</v>
      </c>
    </row>
    <row r="31">
      <c r="A31" s="11" t="inlineStr">
        <is>
          <t>4020</t>
        </is>
      </c>
      <c r="B31" s="8" t="inlineStr">
        <is>
          <t>Revenue - Land Subdivision &amp; Resale</t>
        </is>
      </c>
      <c r="C31" s="9" t="inlineStr">
        <is>
          <t>Revenue</t>
        </is>
      </c>
      <c r="D31" s="22" t="n">
        <v>0</v>
      </c>
      <c r="E31" s="22" t="n">
        <v>12500000</v>
      </c>
      <c r="F31" s="22" t="n">
        <v>0</v>
      </c>
      <c r="G31" s="22" t="n">
        <v>19500000</v>
      </c>
      <c r="H31" s="22" t="n">
        <v>0</v>
      </c>
      <c r="I31" s="22" t="n">
        <v>32500000</v>
      </c>
    </row>
    <row r="32">
      <c r="A32" s="13" t="inlineStr">
        <is>
          <t>4030</t>
        </is>
      </c>
      <c r="B32" s="5" t="inlineStr">
        <is>
          <t>Revenue - Project Management &amp; Consulting</t>
        </is>
      </c>
      <c r="C32" s="6" t="inlineStr">
        <is>
          <t>Revenue</t>
        </is>
      </c>
      <c r="D32" s="21" t="n">
        <v>0</v>
      </c>
      <c r="E32" s="21" t="n">
        <v>4000000</v>
      </c>
      <c r="F32" s="21" t="n">
        <v>0</v>
      </c>
      <c r="G32" s="21" t="n">
        <v>6700000</v>
      </c>
      <c r="H32" s="21" t="n">
        <v>0</v>
      </c>
      <c r="I32" s="21" t="n">
        <v>12000000</v>
      </c>
    </row>
    <row r="33">
      <c r="A33" s="11" t="inlineStr">
        <is>
          <t>5010</t>
        </is>
      </c>
      <c r="B33" s="8" t="inlineStr">
        <is>
          <t>Cost of Sales - Materials &amp; Subcontracts</t>
        </is>
      </c>
      <c r="C33" s="9" t="inlineStr">
        <is>
          <t>Direct Costs</t>
        </is>
      </c>
      <c r="D33" s="22" t="n">
        <v>14200000</v>
      </c>
      <c r="E33" s="22" t="n">
        <v>0</v>
      </c>
      <c r="F33" s="22" t="n">
        <v>26400000</v>
      </c>
      <c r="G33" s="22" t="n">
        <v>0</v>
      </c>
      <c r="H33" s="22" t="n">
        <v>45600000</v>
      </c>
      <c r="I33" s="22" t="n">
        <v>0</v>
      </c>
    </row>
    <row r="34">
      <c r="A34" s="13" t="inlineStr">
        <is>
          <t>5020</t>
        </is>
      </c>
      <c r="B34" s="5" t="inlineStr">
        <is>
          <t>Cost of Sales - Land Inventory Released</t>
        </is>
      </c>
      <c r="C34" s="6" t="inlineStr">
        <is>
          <t>Direct Costs</t>
        </is>
      </c>
      <c r="D34" s="21" t="n">
        <v>8100000</v>
      </c>
      <c r="E34" s="21" t="n">
        <v>0</v>
      </c>
      <c r="F34" s="21" t="n">
        <v>11800000</v>
      </c>
      <c r="G34" s="21" t="n">
        <v>0</v>
      </c>
      <c r="H34" s="21" t="n">
        <v>21400000</v>
      </c>
      <c r="I34" s="21" t="n">
        <v>0</v>
      </c>
    </row>
    <row r="35">
      <c r="A35" s="11" t="inlineStr">
        <is>
          <t>5030</t>
        </is>
      </c>
      <c r="B35" s="8" t="inlineStr">
        <is>
          <t>Cost of Sales - Direct Site Labor &amp; Hire</t>
        </is>
      </c>
      <c r="C35" s="9" t="inlineStr">
        <is>
          <t>Direct Costs</t>
        </is>
      </c>
      <c r="D35" s="22" t="n">
        <v>2350000</v>
      </c>
      <c r="E35" s="22" t="n">
        <v>0</v>
      </c>
      <c r="F35" s="22" t="n">
        <v>3300000</v>
      </c>
      <c r="G35" s="22" t="n">
        <v>0</v>
      </c>
      <c r="H35" s="22" t="n">
        <v>5800000</v>
      </c>
      <c r="I35" s="22" t="n">
        <v>0</v>
      </c>
    </row>
    <row r="36">
      <c r="A36" s="13" t="inlineStr">
        <is>
          <t>6010</t>
        </is>
      </c>
      <c r="B36" s="5" t="inlineStr">
        <is>
          <t>Administrative - Staff Salaries, Wages</t>
        </is>
      </c>
      <c r="C36" s="6" t="inlineStr">
        <is>
          <t>Operating Expenses</t>
        </is>
      </c>
      <c r="D36" s="21" t="n">
        <v>2800000</v>
      </c>
      <c r="E36" s="21" t="n">
        <v>0</v>
      </c>
      <c r="F36" s="21" t="n">
        <v>4200000</v>
      </c>
      <c r="G36" s="21" t="n">
        <v>0</v>
      </c>
      <c r="H36" s="21" t="n">
        <v>7200000</v>
      </c>
      <c r="I36" s="21" t="n">
        <v>0</v>
      </c>
    </row>
    <row r="37">
      <c r="A37" s="11" t="inlineStr">
        <is>
          <t>6020</t>
        </is>
      </c>
      <c r="B37" s="8" t="inlineStr">
        <is>
          <t>Administrative - Site Office Rent &amp; Maintenance</t>
        </is>
      </c>
      <c r="C37" s="9" t="inlineStr">
        <is>
          <t>Operating Expenses</t>
        </is>
      </c>
      <c r="D37" s="22" t="n">
        <v>950000</v>
      </c>
      <c r="E37" s="22" t="n">
        <v>0</v>
      </c>
      <c r="F37" s="22" t="n">
        <v>1450000</v>
      </c>
      <c r="G37" s="22" t="n">
        <v>0</v>
      </c>
      <c r="H37" s="22" t="n">
        <v>2400000</v>
      </c>
      <c r="I37" s="22" t="n">
        <v>0</v>
      </c>
    </row>
    <row r="38">
      <c r="A38" s="13" t="inlineStr">
        <is>
          <t>6030</t>
        </is>
      </c>
      <c r="B38" s="5" t="inlineStr">
        <is>
          <t>Administrative - Professional &amp; Legal Fees</t>
        </is>
      </c>
      <c r="C38" s="6" t="inlineStr">
        <is>
          <t>Operating Expenses</t>
        </is>
      </c>
      <c r="D38" s="21" t="n">
        <v>650000</v>
      </c>
      <c r="E38" s="21" t="n">
        <v>0</v>
      </c>
      <c r="F38" s="21" t="n">
        <v>980000</v>
      </c>
      <c r="G38" s="21" t="n">
        <v>0</v>
      </c>
      <c r="H38" s="21" t="n">
        <v>1650000</v>
      </c>
      <c r="I38" s="21" t="n">
        <v>0</v>
      </c>
    </row>
    <row r="39">
      <c r="A39" s="11" t="inlineStr">
        <is>
          <t>6040</t>
        </is>
      </c>
      <c r="B39" s="8" t="inlineStr">
        <is>
          <t>Administrative - Audit &amp; Tax Fees</t>
        </is>
      </c>
      <c r="C39" s="9" t="inlineStr">
        <is>
          <t>Operating Expenses</t>
        </is>
      </c>
      <c r="D39" s="22" t="n">
        <v>350000</v>
      </c>
      <c r="E39" s="22" t="n">
        <v>0</v>
      </c>
      <c r="F39" s="22" t="n">
        <v>450000</v>
      </c>
      <c r="G39" s="22" t="n">
        <v>0</v>
      </c>
      <c r="H39" s="22" t="n">
        <v>650000</v>
      </c>
      <c r="I39" s="22" t="n">
        <v>0</v>
      </c>
    </row>
    <row r="40">
      <c r="A40" s="13" t="inlineStr">
        <is>
          <t>6050</t>
        </is>
      </c>
      <c r="B40" s="5" t="inlineStr">
        <is>
          <t>Administrative - Bank Charges &amp; COT</t>
        </is>
      </c>
      <c r="C40" s="6" t="inlineStr">
        <is>
          <t>Operating Expenses</t>
        </is>
      </c>
      <c r="D40" s="21" t="n">
        <v>285000</v>
      </c>
      <c r="E40" s="21" t="n">
        <v>0</v>
      </c>
      <c r="F40" s="21" t="n">
        <v>420000</v>
      </c>
      <c r="G40" s="21" t="n">
        <v>0</v>
      </c>
      <c r="H40" s="21" t="n">
        <v>680000</v>
      </c>
      <c r="I40" s="21" t="n">
        <v>0</v>
      </c>
    </row>
    <row r="41">
      <c r="A41" s="11" t="inlineStr">
        <is>
          <t>6060</t>
        </is>
      </c>
      <c r="B41" s="8" t="inlineStr">
        <is>
          <t>Administrative - Motor Vehicle &amp; Logistics</t>
        </is>
      </c>
      <c r="C41" s="9" t="inlineStr">
        <is>
          <t>Operating Expenses</t>
        </is>
      </c>
      <c r="D41" s="22" t="n">
        <v>420000</v>
      </c>
      <c r="E41" s="22" t="n">
        <v>0</v>
      </c>
      <c r="F41" s="22" t="n">
        <v>750000</v>
      </c>
      <c r="G41" s="22" t="n">
        <v>0</v>
      </c>
      <c r="H41" s="22" t="n">
        <v>1250000</v>
      </c>
      <c r="I41" s="22" t="n">
        <v>0</v>
      </c>
    </row>
    <row r="42">
      <c r="A42" s="13" t="inlineStr">
        <is>
          <t>6070</t>
        </is>
      </c>
      <c r="B42" s="5" t="inlineStr">
        <is>
          <t>Administrative - Depreciation Expense (IAS 16)</t>
        </is>
      </c>
      <c r="C42" s="6" t="inlineStr">
        <is>
          <t>Operating Expenses</t>
        </is>
      </c>
      <c r="D42" s="21" t="n">
        <v>385000</v>
      </c>
      <c r="E42" s="21" t="n">
        <v>0</v>
      </c>
      <c r="F42" s="21" t="n">
        <v>715000</v>
      </c>
      <c r="G42" s="21" t="n">
        <v>0</v>
      </c>
      <c r="H42" s="21" t="n">
        <v>1285000</v>
      </c>
      <c r="I42" s="21" t="n">
        <v>0</v>
      </c>
    </row>
    <row r="43">
      <c r="A43" s="11" t="inlineStr">
        <is>
          <t>6080</t>
        </is>
      </c>
      <c r="B43" s="8" t="inlineStr">
        <is>
          <t>Administrative - Impairment Allowance (ECL)</t>
        </is>
      </c>
      <c r="C43" s="9" t="inlineStr">
        <is>
          <t>Operating Expenses</t>
        </is>
      </c>
      <c r="D43" s="22" t="n">
        <v>185000</v>
      </c>
      <c r="E43" s="22" t="n">
        <v>0</v>
      </c>
      <c r="F43" s="22" t="n">
        <v>260000</v>
      </c>
      <c r="G43" s="22" t="n">
        <v>0</v>
      </c>
      <c r="H43" s="22" t="n">
        <v>395000</v>
      </c>
      <c r="I43" s="22" t="n">
        <v>0</v>
      </c>
    </row>
    <row r="44">
      <c r="A44" s="13" t="inlineStr">
        <is>
          <t>6090</t>
        </is>
      </c>
      <c r="B44" s="5" t="inlineStr">
        <is>
          <t>Administrative - General Office &amp; Utilities</t>
        </is>
      </c>
      <c r="C44" s="6" t="inlineStr">
        <is>
          <t>Operating Expenses</t>
        </is>
      </c>
      <c r="D44" s="21" t="n">
        <v>400000</v>
      </c>
      <c r="E44" s="21" t="n">
        <v>0</v>
      </c>
      <c r="F44" s="21" t="n">
        <v>625000</v>
      </c>
      <c r="G44" s="21" t="n">
        <v>0</v>
      </c>
      <c r="H44" s="21" t="n">
        <v>940000</v>
      </c>
      <c r="I44" s="21" t="n">
        <v>0</v>
      </c>
    </row>
    <row r="45">
      <c r="A45" s="11" t="inlineStr">
        <is>
          <t>7010</t>
        </is>
      </c>
      <c r="B45" s="8" t="inlineStr">
        <is>
          <t>Finance Costs - Bank Project Facility</t>
        </is>
      </c>
      <c r="C45" s="9" t="inlineStr">
        <is>
          <t>Finance Costs</t>
        </is>
      </c>
      <c r="D45" s="22" t="n">
        <v>125000</v>
      </c>
      <c r="E45" s="22" t="n">
        <v>0</v>
      </c>
      <c r="F45" s="22" t="n">
        <v>350000</v>
      </c>
      <c r="G45" s="22" t="n">
        <v>0</v>
      </c>
      <c r="H45" s="22" t="n">
        <v>650000</v>
      </c>
      <c r="I45" s="22" t="n">
        <v>0</v>
      </c>
    </row>
    <row r="46">
      <c r="A46" s="13" t="inlineStr">
        <is>
          <t>8010</t>
        </is>
      </c>
      <c r="B46" s="5" t="inlineStr">
        <is>
          <t>Income Tax Expense - Current Tax</t>
        </is>
      </c>
      <c r="C46" s="6" t="inlineStr">
        <is>
          <t>Taxation</t>
        </is>
      </c>
      <c r="D46" s="21" t="n">
        <v>1731765</v>
      </c>
      <c r="E46" s="21" t="n">
        <v>0</v>
      </c>
      <c r="F46" s="21" t="n">
        <v>2937225</v>
      </c>
      <c r="G46" s="21" t="n">
        <v>0</v>
      </c>
      <c r="H46" s="21" t="n">
        <v>7617630</v>
      </c>
      <c r="I46" s="21" t="n">
        <v>0</v>
      </c>
    </row>
    <row r="47">
      <c r="A47" s="11" t="inlineStr">
        <is>
          <t>8020</t>
        </is>
      </c>
      <c r="B47" s="8" t="inlineStr">
        <is>
          <t>Income Tax Expense - Deferred Tax</t>
        </is>
      </c>
      <c r="C47" s="9" t="inlineStr">
        <is>
          <t>Taxation</t>
        </is>
      </c>
      <c r="D47" s="22" t="n">
        <v>0</v>
      </c>
      <c r="E47" s="22" t="n">
        <v>32000</v>
      </c>
      <c r="F47" s="22" t="n">
        <v>48000</v>
      </c>
      <c r="G47" s="22" t="n">
        <v>0</v>
      </c>
      <c r="H47" s="22" t="n">
        <v>82500</v>
      </c>
      <c r="I47" s="22" t="n">
        <v>0</v>
      </c>
    </row>
    <row r="48">
      <c r="A48" s="23" t="inlineStr">
        <is>
          <t>TOTAL ADJUSTED PRE-CLOSING TRIAL BALANCE</t>
        </is>
      </c>
      <c r="B48" s="31" t="n"/>
      <c r="C48" s="31" t="n"/>
      <c r="D48" s="24">
        <f>SUM(D5:D47)</f>
        <v/>
      </c>
      <c r="E48" s="24">
        <f>SUM(E5:E47)</f>
        <v/>
      </c>
      <c r="F48" s="24">
        <f>SUM(F5:F47)</f>
        <v/>
      </c>
      <c r="G48" s="24">
        <f>SUM(G5:G47)</f>
        <v/>
      </c>
      <c r="H48" s="24">
        <f>SUM(H5:H47)</f>
        <v/>
      </c>
      <c r="I48" s="24">
        <f>SUM(I5:I47)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3" customWidth="1" min="1" max="1"/>
    <col width="49" customWidth="1" min="2" max="2"/>
    <col width="26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</cols>
  <sheetData>
    <row r="1">
      <c r="A1" s="1" t="inlineStr">
        <is>
          <t>BAAY PROJECTS LIMITED — POST-CLOSING TRIAL BALANCES (2023 - 2025)</t>
        </is>
      </c>
    </row>
    <row r="2">
      <c r="A2" s="3" t="inlineStr">
        <is>
          <t>Post-Closing Trial Balances Resetting P&amp;L Accounts and Carrying Forward Net Worth to Subsequent Year</t>
        </is>
      </c>
    </row>
    <row r="3"/>
    <row r="4">
      <c r="A4" s="4" t="inlineStr">
        <is>
          <t>Account Code</t>
        </is>
      </c>
      <c r="B4" s="4" t="inlineStr">
        <is>
          <t>Account Title / Description</t>
        </is>
      </c>
      <c r="C4" s="4" t="inlineStr">
        <is>
          <t>Category</t>
        </is>
      </c>
      <c r="D4" s="4" t="inlineStr">
        <is>
          <t>2023 Post-Close Dr (NGN)</t>
        </is>
      </c>
      <c r="E4" s="4" t="inlineStr">
        <is>
          <t>2023 Post-Close Cr (NGN)</t>
        </is>
      </c>
      <c r="F4" s="4" t="inlineStr">
        <is>
          <t>2024 Post-Close Dr (NGN)</t>
        </is>
      </c>
      <c r="G4" s="4" t="inlineStr">
        <is>
          <t>2024 Post-Close Cr (NGN)</t>
        </is>
      </c>
      <c r="H4" s="4" t="inlineStr">
        <is>
          <t>2025 Post-Close Dr (NGN)</t>
        </is>
      </c>
      <c r="I4" s="4" t="inlineStr">
        <is>
          <t>2025 Post-Close Cr (NGN)</t>
        </is>
      </c>
    </row>
    <row r="5">
      <c r="A5" s="11" t="inlineStr">
        <is>
          <t>1010</t>
        </is>
      </c>
      <c r="B5" s="8" t="inlineStr">
        <is>
          <t>Providus Bank - A/C 5400281942</t>
        </is>
      </c>
      <c r="C5" s="9" t="inlineStr">
        <is>
          <t>Current Assets</t>
        </is>
      </c>
      <c r="D5" s="22" t="n">
        <v>2215820</v>
      </c>
      <c r="E5" s="22" t="n">
        <v>0</v>
      </c>
      <c r="F5" s="22" t="n">
        <v>3850210</v>
      </c>
      <c r="G5" s="22" t="n">
        <v>0</v>
      </c>
      <c r="H5" s="22" t="n">
        <v>6420110</v>
      </c>
      <c r="I5" s="22" t="n">
        <v>0</v>
      </c>
    </row>
    <row r="6">
      <c r="A6" s="13" t="inlineStr">
        <is>
          <t>1020</t>
        </is>
      </c>
      <c r="B6" s="5" t="inlineStr">
        <is>
          <t>First Bank of Nigeria - A/C 2034891102</t>
        </is>
      </c>
      <c r="C6" s="6" t="inlineStr">
        <is>
          <t>Current Assets</t>
        </is>
      </c>
      <c r="D6" s="21" t="n">
        <v>512410</v>
      </c>
      <c r="E6" s="21" t="n">
        <v>0</v>
      </c>
      <c r="F6" s="21" t="n">
        <v>980118</v>
      </c>
      <c r="G6" s="21" t="n">
        <v>0</v>
      </c>
      <c r="H6" s="21" t="n">
        <v>1840550</v>
      </c>
      <c r="I6" s="21" t="n">
        <v>0</v>
      </c>
    </row>
    <row r="7">
      <c r="A7" s="11" t="inlineStr">
        <is>
          <t>1030</t>
        </is>
      </c>
      <c r="B7" s="8" t="inlineStr">
        <is>
          <t>Sterling Bank - A/C 0078451290</t>
        </is>
      </c>
      <c r="C7" s="9" t="inlineStr">
        <is>
          <t>Current Assets</t>
        </is>
      </c>
      <c r="D7" s="22" t="n">
        <v>114173</v>
      </c>
      <c r="E7" s="22" t="n">
        <v>0</v>
      </c>
      <c r="F7" s="22" t="n">
        <v>312350</v>
      </c>
      <c r="G7" s="22" t="n">
        <v>0</v>
      </c>
      <c r="H7" s="22" t="n">
        <v>663388</v>
      </c>
      <c r="I7" s="22" t="n">
        <v>0</v>
      </c>
    </row>
    <row r="8">
      <c r="A8" s="13" t="inlineStr">
        <is>
          <t>1110</t>
        </is>
      </c>
      <c r="B8" s="5" t="inlineStr">
        <is>
          <t>Trade Receivables - Construction</t>
        </is>
      </c>
      <c r="C8" s="6" t="inlineStr">
        <is>
          <t>Current Assets</t>
        </is>
      </c>
      <c r="D8" s="21" t="n">
        <v>3650000</v>
      </c>
      <c r="E8" s="21" t="n">
        <v>0</v>
      </c>
      <c r="F8" s="21" t="n">
        <v>5800000</v>
      </c>
      <c r="G8" s="21" t="n">
        <v>0</v>
      </c>
      <c r="H8" s="21" t="n">
        <v>9200000</v>
      </c>
      <c r="I8" s="21" t="n">
        <v>0</v>
      </c>
    </row>
    <row r="9">
      <c r="A9" s="11" t="inlineStr">
        <is>
          <t>1130</t>
        </is>
      </c>
      <c r="B9" s="8" t="inlineStr">
        <is>
          <t>Allowance for Expected Credit Losses (IFRS 9)</t>
        </is>
      </c>
      <c r="C9" s="9" t="inlineStr">
        <is>
          <t>Current Assets</t>
        </is>
      </c>
      <c r="D9" s="22" t="n">
        <v>0</v>
      </c>
      <c r="E9" s="22" t="n">
        <v>185000</v>
      </c>
      <c r="F9" s="22" t="n">
        <v>0</v>
      </c>
      <c r="G9" s="22" t="n">
        <v>445000</v>
      </c>
      <c r="H9" s="22" t="n">
        <v>0</v>
      </c>
      <c r="I9" s="22" t="n">
        <v>840000</v>
      </c>
    </row>
    <row r="10">
      <c r="A10" s="13" t="inlineStr">
        <is>
          <t>1140</t>
        </is>
      </c>
      <c r="B10" s="5" t="inlineStr">
        <is>
          <t>Contract Assets (Unbilled Revenue - IFRS 15)</t>
        </is>
      </c>
      <c r="C10" s="6" t="inlineStr">
        <is>
          <t>Current Assets</t>
        </is>
      </c>
      <c r="D10" s="21" t="n">
        <v>2400000</v>
      </c>
      <c r="E10" s="21" t="n">
        <v>0</v>
      </c>
      <c r="F10" s="21" t="n">
        <v>4150000</v>
      </c>
      <c r="G10" s="21" t="n">
        <v>0</v>
      </c>
      <c r="H10" s="21" t="n">
        <v>6850000</v>
      </c>
      <c r="I10" s="21" t="n">
        <v>0</v>
      </c>
    </row>
    <row r="11">
      <c r="A11" s="11" t="inlineStr">
        <is>
          <t>1150</t>
        </is>
      </c>
      <c r="B11" s="8" t="inlineStr">
        <is>
          <t>WHT Credit Notes Receivable</t>
        </is>
      </c>
      <c r="C11" s="9" t="inlineStr">
        <is>
          <t>Current Assets</t>
        </is>
      </c>
      <c r="D11" s="22" t="n">
        <v>1100000</v>
      </c>
      <c r="E11" s="22" t="n">
        <v>0</v>
      </c>
      <c r="F11" s="22" t="n">
        <v>2650000</v>
      </c>
      <c r="G11" s="22" t="n">
        <v>0</v>
      </c>
      <c r="H11" s="22" t="n">
        <v>4850000</v>
      </c>
      <c r="I11" s="22" t="n">
        <v>0</v>
      </c>
    </row>
    <row r="12">
      <c r="A12" s="13" t="inlineStr">
        <is>
          <t>1160</t>
        </is>
      </c>
      <c r="B12" s="5" t="inlineStr">
        <is>
          <t>Prepayments &amp; Site Advances</t>
        </is>
      </c>
      <c r="C12" s="6" t="inlineStr">
        <is>
          <t>Current Assets</t>
        </is>
      </c>
      <c r="D12" s="21" t="n">
        <v>450000</v>
      </c>
      <c r="E12" s="21" t="n">
        <v>0</v>
      </c>
      <c r="F12" s="21" t="n">
        <v>680000</v>
      </c>
      <c r="G12" s="21" t="n">
        <v>0</v>
      </c>
      <c r="H12" s="21" t="n">
        <v>1150000</v>
      </c>
      <c r="I12" s="21" t="n">
        <v>0</v>
      </c>
    </row>
    <row r="13">
      <c r="A13" s="11" t="inlineStr">
        <is>
          <t>1210</t>
        </is>
      </c>
      <c r="B13" s="8" t="inlineStr">
        <is>
          <t>Development Inventory - Land</t>
        </is>
      </c>
      <c r="C13" s="9" t="inlineStr">
        <is>
          <t>Current Assets</t>
        </is>
      </c>
      <c r="D13" s="22" t="n">
        <v>5400000</v>
      </c>
      <c r="E13" s="22" t="n">
        <v>0</v>
      </c>
      <c r="F13" s="22" t="n">
        <v>8200000</v>
      </c>
      <c r="G13" s="22" t="n">
        <v>0</v>
      </c>
      <c r="H13" s="22" t="n">
        <v>14500000</v>
      </c>
      <c r="I13" s="22" t="n">
        <v>0</v>
      </c>
    </row>
    <row r="14">
      <c r="A14" s="13" t="inlineStr">
        <is>
          <t>1220</t>
        </is>
      </c>
      <c r="B14" s="5" t="inlineStr">
        <is>
          <t>Development Inventory - WIP</t>
        </is>
      </c>
      <c r="C14" s="6" t="inlineStr">
        <is>
          <t>Current Assets</t>
        </is>
      </c>
      <c r="D14" s="21" t="n">
        <v>3250000</v>
      </c>
      <c r="E14" s="21" t="n">
        <v>0</v>
      </c>
      <c r="F14" s="21" t="n">
        <v>5600000</v>
      </c>
      <c r="G14" s="21" t="n">
        <v>0</v>
      </c>
      <c r="H14" s="21" t="n">
        <v>9800000</v>
      </c>
      <c r="I14" s="21" t="n">
        <v>0</v>
      </c>
    </row>
    <row r="15">
      <c r="A15" s="11" t="inlineStr">
        <is>
          <t>1510</t>
        </is>
      </c>
      <c r="B15" s="8" t="inlineStr">
        <is>
          <t>PPE - Office &amp; Site Equipment</t>
        </is>
      </c>
      <c r="C15" s="9" t="inlineStr">
        <is>
          <t>Non-Current Assets</t>
        </is>
      </c>
      <c r="D15" s="22" t="n">
        <v>1823850</v>
      </c>
      <c r="E15" s="22" t="n">
        <v>0</v>
      </c>
      <c r="F15" s="22" t="n">
        <v>4523850</v>
      </c>
      <c r="G15" s="22" t="n">
        <v>0</v>
      </c>
      <c r="H15" s="22" t="n">
        <v>8123850</v>
      </c>
      <c r="I15" s="22" t="n">
        <v>0</v>
      </c>
    </row>
    <row r="16">
      <c r="A16" s="13" t="inlineStr">
        <is>
          <t>1590</t>
        </is>
      </c>
      <c r="B16" s="5" t="inlineStr">
        <is>
          <t>Accumulated Depreciation - PPE</t>
        </is>
      </c>
      <c r="C16" s="6" t="inlineStr">
        <is>
          <t>Non-Current Assets</t>
        </is>
      </c>
      <c r="D16" s="21" t="n">
        <v>0</v>
      </c>
      <c r="E16" s="21" t="n">
        <v>399310</v>
      </c>
      <c r="F16" s="21" t="n">
        <v>0</v>
      </c>
      <c r="G16" s="21" t="n">
        <v>1114310</v>
      </c>
      <c r="H16" s="21" t="n">
        <v>0</v>
      </c>
      <c r="I16" s="21" t="n">
        <v>2399310</v>
      </c>
    </row>
    <row r="17">
      <c r="A17" s="11" t="inlineStr">
        <is>
          <t>1610</t>
        </is>
      </c>
      <c r="B17" s="8" t="inlineStr">
        <is>
          <t>Deferred Tax Asset (IAS 12)</t>
        </is>
      </c>
      <c r="C17" s="9" t="inlineStr">
        <is>
          <t>Non-Current Assets</t>
        </is>
      </c>
      <c r="D17" s="22" t="n">
        <v>32000</v>
      </c>
      <c r="E17" s="22" t="n">
        <v>0</v>
      </c>
      <c r="F17" s="22" t="n">
        <v>0</v>
      </c>
      <c r="G17" s="22" t="n">
        <v>0</v>
      </c>
      <c r="H17" s="22" t="n">
        <v>0</v>
      </c>
      <c r="I17" s="22" t="n">
        <v>0</v>
      </c>
    </row>
    <row r="18">
      <c r="A18" s="13" t="inlineStr">
        <is>
          <t>2010</t>
        </is>
      </c>
      <c r="B18" s="5" t="inlineStr">
        <is>
          <t>Trade Payables - Subcontractors &amp; Materials</t>
        </is>
      </c>
      <c r="C18" s="6" t="inlineStr">
        <is>
          <t>Current Liabilities</t>
        </is>
      </c>
      <c r="D18" s="21" t="n">
        <v>0</v>
      </c>
      <c r="E18" s="21" t="n">
        <v>2150000</v>
      </c>
      <c r="F18" s="21" t="n">
        <v>0</v>
      </c>
      <c r="G18" s="21" t="n">
        <v>3850000</v>
      </c>
      <c r="H18" s="21" t="n">
        <v>0</v>
      </c>
      <c r="I18" s="21" t="n">
        <v>6450000</v>
      </c>
    </row>
    <row r="19">
      <c r="A19" s="11" t="inlineStr">
        <is>
          <t>2020</t>
        </is>
      </c>
      <c r="B19" s="8" t="inlineStr">
        <is>
          <t>Contract Liabilities - Customer Deposits</t>
        </is>
      </c>
      <c r="C19" s="9" t="inlineStr">
        <is>
          <t>Current Liabilities</t>
        </is>
      </c>
      <c r="D19" s="22" t="n">
        <v>0</v>
      </c>
      <c r="E19" s="22" t="n">
        <v>2400000</v>
      </c>
      <c r="F19" s="22" t="n">
        <v>0</v>
      </c>
      <c r="G19" s="22" t="n">
        <v>3600000</v>
      </c>
      <c r="H19" s="22" t="n">
        <v>0</v>
      </c>
      <c r="I19" s="22" t="n">
        <v>5800000</v>
      </c>
    </row>
    <row r="20">
      <c r="A20" s="13" t="inlineStr">
        <is>
          <t>2030</t>
        </is>
      </c>
      <c r="B20" s="5" t="inlineStr">
        <is>
          <t>Accrued Audit &amp; Professional Fees</t>
        </is>
      </c>
      <c r="C20" s="6" t="inlineStr">
        <is>
          <t>Current Liabilities</t>
        </is>
      </c>
      <c r="D20" s="21" t="n">
        <v>0</v>
      </c>
      <c r="E20" s="21" t="n">
        <v>375000</v>
      </c>
      <c r="F20" s="21" t="n">
        <v>0</v>
      </c>
      <c r="G20" s="21" t="n">
        <v>550000</v>
      </c>
      <c r="H20" s="21" t="n">
        <v>0</v>
      </c>
      <c r="I20" s="21" t="n">
        <v>850000</v>
      </c>
    </row>
    <row r="21">
      <c r="A21" s="11" t="inlineStr">
        <is>
          <t>2040</t>
        </is>
      </c>
      <c r="B21" s="8" t="inlineStr">
        <is>
          <t>Other Accrued Expenses &amp; Sundry Creditors</t>
        </is>
      </c>
      <c r="C21" s="9" t="inlineStr">
        <is>
          <t>Current Liabilities</t>
        </is>
      </c>
      <c r="D21" s="22" t="n">
        <v>0</v>
      </c>
      <c r="E21" s="22" t="n">
        <v>245235</v>
      </c>
      <c r="F21" s="22" t="n">
        <v>0</v>
      </c>
      <c r="G21" s="22" t="n">
        <v>425500</v>
      </c>
      <c r="H21" s="22" t="n">
        <v>0</v>
      </c>
      <c r="I21" s="22" t="n">
        <v>683500</v>
      </c>
    </row>
    <row r="22">
      <c r="A22" s="13" t="inlineStr">
        <is>
          <t>2110</t>
        </is>
      </c>
      <c r="B22" s="5" t="inlineStr">
        <is>
          <t>Current Tax Liabilities - CIT Payable</t>
        </is>
      </c>
      <c r="C22" s="6" t="inlineStr">
        <is>
          <t>Current Liabilities</t>
        </is>
      </c>
      <c r="D22" s="21" t="n">
        <v>0</v>
      </c>
      <c r="E22" s="21" t="n">
        <v>1492000</v>
      </c>
      <c r="F22" s="21" t="n">
        <v>0</v>
      </c>
      <c r="G22" s="21" t="n">
        <v>2128000</v>
      </c>
      <c r="H22" s="21" t="n">
        <v>0</v>
      </c>
      <c r="I22" s="21" t="n">
        <v>4825000</v>
      </c>
    </row>
    <row r="23">
      <c r="A23" s="11" t="inlineStr">
        <is>
          <t>2120</t>
        </is>
      </c>
      <c r="B23" s="8" t="inlineStr">
        <is>
          <t>Current Tax Liabilities - TET Payable</t>
        </is>
      </c>
      <c r="C23" s="9" t="inlineStr">
        <is>
          <t>Current Liabilities</t>
        </is>
      </c>
      <c r="D23" s="22" t="n">
        <v>0</v>
      </c>
      <c r="E23" s="22" t="n">
        <v>239400</v>
      </c>
      <c r="F23" s="22" t="n">
        <v>0</v>
      </c>
      <c r="G23" s="22" t="n">
        <v>408600</v>
      </c>
      <c r="H23" s="22" t="n">
        <v>0</v>
      </c>
      <c r="I23" s="22" t="n">
        <v>735000</v>
      </c>
    </row>
    <row r="24">
      <c r="A24" s="13" t="inlineStr">
        <is>
          <t>2130</t>
        </is>
      </c>
      <c r="B24" s="5" t="inlineStr">
        <is>
          <t>Current Tax Liabilities - PTF Payable</t>
        </is>
      </c>
      <c r="C24" s="6" t="inlineStr">
        <is>
          <t>Current Liabilities</t>
        </is>
      </c>
      <c r="D24" s="21" t="n">
        <v>0</v>
      </c>
      <c r="E24" s="21" t="n">
        <v>455</v>
      </c>
      <c r="F24" s="21" t="n">
        <v>0</v>
      </c>
      <c r="G24" s="21" t="n">
        <v>625</v>
      </c>
      <c r="H24" s="21" t="n">
        <v>0</v>
      </c>
      <c r="I24" s="21" t="n">
        <v>1130</v>
      </c>
    </row>
    <row r="25">
      <c r="A25" s="11" t="inlineStr">
        <is>
          <t>2140</t>
        </is>
      </c>
      <c r="B25" s="8" t="inlineStr">
        <is>
          <t>Current Tax Liabilities - NASENI Levy</t>
        </is>
      </c>
      <c r="C25" s="9" t="inlineStr">
        <is>
          <t>Current Liabilities</t>
        </is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56500</v>
      </c>
    </row>
    <row r="26">
      <c r="A26" s="13" t="inlineStr">
        <is>
          <t>2510</t>
        </is>
      </c>
      <c r="B26" s="5" t="inlineStr">
        <is>
          <t>Director's Loan &amp; Long-Term Funding</t>
        </is>
      </c>
      <c r="C26" s="6" t="inlineStr">
        <is>
          <t>Non-Current Liabilities</t>
        </is>
      </c>
      <c r="D26" s="21" t="n">
        <v>0</v>
      </c>
      <c r="E26" s="21" t="n">
        <v>4500000</v>
      </c>
      <c r="F26" s="21" t="n">
        <v>0</v>
      </c>
      <c r="G26" s="21" t="n">
        <v>5800000</v>
      </c>
      <c r="H26" s="21" t="n">
        <v>0</v>
      </c>
      <c r="I26" s="21" t="n">
        <v>7500000</v>
      </c>
    </row>
    <row r="27">
      <c r="A27" s="11" t="inlineStr">
        <is>
          <t>2610</t>
        </is>
      </c>
      <c r="B27" s="8" t="inlineStr">
        <is>
          <t>Deferred Tax Liability (IAS 12)</t>
        </is>
      </c>
      <c r="C27" s="9" t="inlineStr">
        <is>
          <t>Non-Current Liabilities</t>
        </is>
      </c>
      <c r="D27" s="22" t="n">
        <v>0</v>
      </c>
      <c r="E27" s="22" t="n">
        <v>0</v>
      </c>
      <c r="F27" s="22" t="n">
        <v>0</v>
      </c>
      <c r="G27" s="22" t="n">
        <v>16000</v>
      </c>
      <c r="H27" s="22" t="n">
        <v>0</v>
      </c>
      <c r="I27" s="22" t="n">
        <v>98500</v>
      </c>
    </row>
    <row r="28">
      <c r="A28" s="13" t="inlineStr">
        <is>
          <t>3010</t>
        </is>
      </c>
      <c r="B28" s="5" t="inlineStr">
        <is>
          <t>Ordinary Share Capital (₦1.00 par)</t>
        </is>
      </c>
      <c r="C28" s="6" t="inlineStr">
        <is>
          <t>Equity</t>
        </is>
      </c>
      <c r="D28" s="21" t="n">
        <v>0</v>
      </c>
      <c r="E28" s="21" t="n">
        <v>1000000</v>
      </c>
      <c r="F28" s="21" t="n">
        <v>0</v>
      </c>
      <c r="G28" s="21" t="n">
        <v>1000000</v>
      </c>
      <c r="H28" s="21" t="n">
        <v>0</v>
      </c>
      <c r="I28" s="21" t="n">
        <v>1000000</v>
      </c>
    </row>
    <row r="29">
      <c r="A29" s="11" t="inlineStr">
        <is>
          <t>3020</t>
        </is>
      </c>
      <c r="B29" s="8" t="inlineStr">
        <is>
          <t>Retained Earnings (Closing Accumulated Profit)</t>
        </is>
      </c>
      <c r="C29" s="9" t="inlineStr">
        <is>
          <t>Equity</t>
        </is>
      </c>
      <c r="D29" s="22" t="n">
        <v>0</v>
      </c>
      <c r="E29" s="22" t="n">
        <v>7961943</v>
      </c>
      <c r="F29" s="22" t="n">
        <v>0</v>
      </c>
      <c r="G29" s="22" t="n">
        <v>17476718</v>
      </c>
      <c r="H29" s="22" t="n">
        <v>0</v>
      </c>
      <c r="I29" s="22" t="n">
        <v>32376588</v>
      </c>
    </row>
    <row r="30">
      <c r="A30" s="23" t="inlineStr">
        <is>
          <t>TOTAL POST-CLOSING TRIAL BALANCE</t>
        </is>
      </c>
      <c r="B30" s="31" t="n"/>
      <c r="C30" s="31" t="n"/>
      <c r="D30" s="24">
        <f>SUM(D5:D29)</f>
        <v/>
      </c>
      <c r="E30" s="24">
        <f>SUM(E5:E29)</f>
        <v/>
      </c>
      <c r="F30" s="24">
        <f>SUM(F5:F29)</f>
        <v/>
      </c>
      <c r="G30" s="24">
        <f>SUM(G5:G29)</f>
        <v/>
      </c>
      <c r="H30" s="24">
        <f>SUM(H5:H29)</f>
        <v/>
      </c>
      <c r="I30" s="24">
        <f>SUM(I5:I29)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7" customWidth="1" min="1" max="1"/>
    <col width="49" customWidth="1" min="2" max="2"/>
    <col width="26" customWidth="1" min="3" max="3"/>
    <col width="29" customWidth="1" min="4" max="4"/>
    <col width="18" customWidth="1" min="5" max="5"/>
    <col width="15" customWidth="1" min="6" max="6"/>
    <col width="27" customWidth="1" min="7" max="7"/>
    <col width="40" customWidth="1" min="8" max="8"/>
    <col width="11" customWidth="1" min="9" max="9"/>
    <col width="25" customWidth="1" min="10" max="10"/>
  </cols>
  <sheetData>
    <row r="1">
      <c r="A1" s="1" t="inlineStr">
        <is>
          <t>BAAY PROJECTS LIMITED — GENERAL LEDGER INDEX &amp; AUDIT TRAIL MAPPING</t>
        </is>
      </c>
    </row>
    <row r="2">
      <c r="A2" s="3" t="inlineStr">
        <is>
          <t>Master Cross-Reference Mapping Every Trial Balance Account to Ledger Rows, Schedules and Notes</t>
        </is>
      </c>
    </row>
    <row r="3"/>
    <row r="4">
      <c r="A4" s="4" t="inlineStr">
        <is>
          <t>Account Code</t>
        </is>
      </c>
      <c r="B4" s="4" t="inlineStr">
        <is>
          <t>Account Title / Description</t>
        </is>
      </c>
      <c r="C4" s="4" t="inlineStr">
        <is>
          <t>Category</t>
        </is>
      </c>
      <c r="D4" s="4" t="inlineStr">
        <is>
          <t>TB Reference</t>
        </is>
      </c>
      <c r="E4" s="4" t="inlineStr">
        <is>
          <t>GL Ledger Sheet</t>
        </is>
      </c>
      <c r="F4" s="4" t="inlineStr">
        <is>
          <t>GL Row Range</t>
        </is>
      </c>
      <c r="G4" s="4" t="inlineStr">
        <is>
          <t>Supporting Schedule Tab</t>
        </is>
      </c>
      <c r="H4" s="4" t="inlineStr">
        <is>
          <t>Financial Statement Line</t>
        </is>
      </c>
      <c r="I4" s="4" t="inlineStr">
        <is>
          <t>Note #</t>
        </is>
      </c>
      <c r="J4" s="4" t="inlineStr">
        <is>
          <t>Audit Cross-Tie Status</t>
        </is>
      </c>
    </row>
    <row r="5">
      <c r="A5" s="11" t="inlineStr">
        <is>
          <t>1010</t>
        </is>
      </c>
      <c r="B5" s="8" t="inlineStr">
        <is>
          <t>Providus Bank - A/C 5400281942</t>
        </is>
      </c>
      <c r="C5" s="9" t="inlineStr">
        <is>
          <t>Current Assets</t>
        </is>
      </c>
      <c r="D5" s="10" t="inlineStr">
        <is>
          <t>TB_Adjusted_PreClosing!A5</t>
        </is>
      </c>
      <c r="E5" s="11" t="inlineStr">
        <is>
          <t>GL_Ledgers</t>
        </is>
      </c>
      <c r="F5" s="11" t="inlineStr">
        <is>
          <t>Rows 5-13</t>
        </is>
      </c>
      <c r="G5" s="11" t="inlineStr">
        <is>
          <t>Coverage_Bank_Matrix</t>
        </is>
      </c>
      <c r="H5" s="9" t="inlineStr">
        <is>
          <t>Cash and cash equivalents</t>
        </is>
      </c>
      <c r="I5" s="11" t="inlineStr">
        <is>
          <t>Note 11</t>
        </is>
      </c>
      <c r="J5" s="12" t="inlineStr">
        <is>
          <t>TIED &amp; VERIFIED</t>
        </is>
      </c>
    </row>
    <row r="6">
      <c r="A6" s="13" t="inlineStr">
        <is>
          <t>1020</t>
        </is>
      </c>
      <c r="B6" s="5" t="inlineStr">
        <is>
          <t>First Bank of Nigeria - A/C 2034891102</t>
        </is>
      </c>
      <c r="C6" s="6" t="inlineStr">
        <is>
          <t>Current Assets</t>
        </is>
      </c>
      <c r="D6" s="7" t="inlineStr">
        <is>
          <t>TB_Adjusted_PreClosing!A6</t>
        </is>
      </c>
      <c r="E6" s="13" t="inlineStr">
        <is>
          <t>GL_Ledgers</t>
        </is>
      </c>
      <c r="F6" s="13" t="inlineStr">
        <is>
          <t>Rows 14-15</t>
        </is>
      </c>
      <c r="G6" s="13" t="inlineStr">
        <is>
          <t>Coverage_Bank_Matrix</t>
        </is>
      </c>
      <c r="H6" s="6" t="inlineStr">
        <is>
          <t>Cash and cash equivalents</t>
        </is>
      </c>
      <c r="I6" s="13" t="inlineStr">
        <is>
          <t>Note 11</t>
        </is>
      </c>
      <c r="J6" s="14" t="inlineStr">
        <is>
          <t>TIED &amp; VERIFIED</t>
        </is>
      </c>
    </row>
    <row r="7">
      <c r="A7" s="11" t="inlineStr">
        <is>
          <t>1030</t>
        </is>
      </c>
      <c r="B7" s="8" t="inlineStr">
        <is>
          <t>Sterling Bank - A/C 0078451290</t>
        </is>
      </c>
      <c r="C7" s="9" t="inlineStr">
        <is>
          <t>Current Assets</t>
        </is>
      </c>
      <c r="D7" s="10" t="inlineStr">
        <is>
          <t>TB_Adjusted_PreClosing!A7</t>
        </is>
      </c>
      <c r="E7" s="11" t="inlineStr">
        <is>
          <t>GL_Ledgers</t>
        </is>
      </c>
      <c r="F7" s="11" t="inlineStr">
        <is>
          <t>Rows 16-17</t>
        </is>
      </c>
      <c r="G7" s="11" t="inlineStr">
        <is>
          <t>Coverage_Bank_Matrix</t>
        </is>
      </c>
      <c r="H7" s="9" t="inlineStr">
        <is>
          <t>Cash and cash equivalents</t>
        </is>
      </c>
      <c r="I7" s="11" t="inlineStr">
        <is>
          <t>Note 11</t>
        </is>
      </c>
      <c r="J7" s="12" t="inlineStr">
        <is>
          <t>TIED &amp; VERIFIED</t>
        </is>
      </c>
    </row>
    <row r="8">
      <c r="A8" s="13" t="inlineStr">
        <is>
          <t>1110</t>
        </is>
      </c>
      <c r="B8" s="5" t="inlineStr">
        <is>
          <t>Trade Receivables - Construction</t>
        </is>
      </c>
      <c r="C8" s="6" t="inlineStr">
        <is>
          <t>Current Assets</t>
        </is>
      </c>
      <c r="D8" s="7" t="inlineStr">
        <is>
          <t>TB_Adjusted_PreClosing!A8</t>
        </is>
      </c>
      <c r="E8" s="13" t="inlineStr">
        <is>
          <t>GL_Ledgers</t>
        </is>
      </c>
      <c r="F8" s="13" t="inlineStr">
        <is>
          <t>Rows 18-20</t>
        </is>
      </c>
      <c r="G8" s="13" t="inlineStr">
        <is>
          <t>Receivables_ECL_Payables</t>
        </is>
      </c>
      <c r="H8" s="6" t="inlineStr">
        <is>
          <t>Trade and other receivables</t>
        </is>
      </c>
      <c r="I8" s="13" t="inlineStr">
        <is>
          <t>Note 10</t>
        </is>
      </c>
      <c r="J8" s="14" t="inlineStr">
        <is>
          <t>TIED &amp; VERIFIED</t>
        </is>
      </c>
    </row>
    <row r="9">
      <c r="A9" s="11" t="inlineStr">
        <is>
          <t>1130</t>
        </is>
      </c>
      <c r="B9" s="8" t="inlineStr">
        <is>
          <t>Allowance for Expected Credit Losses</t>
        </is>
      </c>
      <c r="C9" s="9" t="inlineStr">
        <is>
          <t>Current Assets</t>
        </is>
      </c>
      <c r="D9" s="10" t="inlineStr">
        <is>
          <t>TB_Adjusted_PreClosing!A9</t>
        </is>
      </c>
      <c r="E9" s="11" t="inlineStr">
        <is>
          <t>GL_Ledgers</t>
        </is>
      </c>
      <c r="F9" s="11" t="inlineStr">
        <is>
          <t>Row 21</t>
        </is>
      </c>
      <c r="G9" s="11" t="inlineStr">
        <is>
          <t>Receivables_ECL_Payables</t>
        </is>
      </c>
      <c r="H9" s="9" t="inlineStr">
        <is>
          <t>Trade and other receivables</t>
        </is>
      </c>
      <c r="I9" s="11" t="inlineStr">
        <is>
          <t>Note 10</t>
        </is>
      </c>
      <c r="J9" s="12" t="inlineStr">
        <is>
          <t>TIED &amp; VERIFIED</t>
        </is>
      </c>
    </row>
    <row r="10">
      <c r="A10" s="13" t="inlineStr">
        <is>
          <t>1140</t>
        </is>
      </c>
      <c r="B10" s="5" t="inlineStr">
        <is>
          <t>Contract Assets (Unbilled Revenue)</t>
        </is>
      </c>
      <c r="C10" s="6" t="inlineStr">
        <is>
          <t>Current Assets</t>
        </is>
      </c>
      <c r="D10" s="7" t="inlineStr">
        <is>
          <t>TB_Adjusted_PreClosing!A10</t>
        </is>
      </c>
      <c r="E10" s="13" t="inlineStr">
        <is>
          <t>GL_Ledgers</t>
        </is>
      </c>
      <c r="F10" s="13" t="inlineStr">
        <is>
          <t>Row 22</t>
        </is>
      </c>
      <c r="G10" s="13" t="inlineStr">
        <is>
          <t>IFRS15_Revenue_WIP</t>
        </is>
      </c>
      <c r="H10" s="6" t="inlineStr">
        <is>
          <t>Contract assets</t>
        </is>
      </c>
      <c r="I10" s="13" t="inlineStr">
        <is>
          <t>Note 9</t>
        </is>
      </c>
      <c r="J10" s="14" t="inlineStr">
        <is>
          <t>TIED &amp; VERIFIED</t>
        </is>
      </c>
    </row>
    <row r="11">
      <c r="A11" s="11" t="inlineStr">
        <is>
          <t>1150</t>
        </is>
      </c>
      <c r="B11" s="8" t="inlineStr">
        <is>
          <t>WHT Credit Notes Receivable</t>
        </is>
      </c>
      <c r="C11" s="9" t="inlineStr">
        <is>
          <t>Current Assets</t>
        </is>
      </c>
      <c r="D11" s="10" t="inlineStr">
        <is>
          <t>TB_Adjusted_PreClosing!A11</t>
        </is>
      </c>
      <c r="E11" s="11" t="inlineStr">
        <is>
          <t>GL_Ledgers</t>
        </is>
      </c>
      <c r="F11" s="11" t="inlineStr">
        <is>
          <t>Row 23</t>
        </is>
      </c>
      <c r="G11" s="11" t="inlineStr">
        <is>
          <t>WHT_Receivable_Payable</t>
        </is>
      </c>
      <c r="H11" s="9" t="inlineStr">
        <is>
          <t>Trade and other receivables</t>
        </is>
      </c>
      <c r="I11" s="11" t="inlineStr">
        <is>
          <t>Note 10</t>
        </is>
      </c>
      <c r="J11" s="12" t="inlineStr">
        <is>
          <t>TIED &amp; VERIFIED</t>
        </is>
      </c>
    </row>
    <row r="12">
      <c r="A12" s="13" t="inlineStr">
        <is>
          <t>1160</t>
        </is>
      </c>
      <c r="B12" s="5" t="inlineStr">
        <is>
          <t>Prepayments &amp; Site Advances</t>
        </is>
      </c>
      <c r="C12" s="6" t="inlineStr">
        <is>
          <t>Current Assets</t>
        </is>
      </c>
      <c r="D12" s="7" t="inlineStr">
        <is>
          <t>TB_Adjusted_PreClosing!A12</t>
        </is>
      </c>
      <c r="E12" s="13" t="inlineStr">
        <is>
          <t>GL_Ledgers</t>
        </is>
      </c>
      <c r="F12" s="13" t="inlineStr">
        <is>
          <t>Row 24</t>
        </is>
      </c>
      <c r="G12" s="13" t="inlineStr">
        <is>
          <t>Receivables_ECL_Payables</t>
        </is>
      </c>
      <c r="H12" s="6" t="inlineStr">
        <is>
          <t>Trade and other receivables</t>
        </is>
      </c>
      <c r="I12" s="13" t="inlineStr">
        <is>
          <t>Note 10</t>
        </is>
      </c>
      <c r="J12" s="14" t="inlineStr">
        <is>
          <t>TIED &amp; VERIFIED</t>
        </is>
      </c>
    </row>
    <row r="13">
      <c r="A13" s="11" t="inlineStr">
        <is>
          <t>1210</t>
        </is>
      </c>
      <c r="B13" s="8" t="inlineStr">
        <is>
          <t>Development Inventory - Land</t>
        </is>
      </c>
      <c r="C13" s="9" t="inlineStr">
        <is>
          <t>Current Assets</t>
        </is>
      </c>
      <c r="D13" s="10" t="inlineStr">
        <is>
          <t>TB_Adjusted_PreClosing!A13</t>
        </is>
      </c>
      <c r="E13" s="11" t="inlineStr">
        <is>
          <t>GL_Ledgers</t>
        </is>
      </c>
      <c r="F13" s="11" t="inlineStr">
        <is>
          <t>Rows 25-27</t>
        </is>
      </c>
      <c r="G13" s="11" t="inlineStr">
        <is>
          <t>IFRS15_Revenue_WIP</t>
        </is>
      </c>
      <c r="H13" s="9" t="inlineStr">
        <is>
          <t>Inventories</t>
        </is>
      </c>
      <c r="I13" s="11" t="inlineStr">
        <is>
          <t>Note 8</t>
        </is>
      </c>
      <c r="J13" s="12" t="inlineStr">
        <is>
          <t>TIED &amp; VERIFIED</t>
        </is>
      </c>
    </row>
    <row r="14">
      <c r="A14" s="13" t="inlineStr">
        <is>
          <t>1220</t>
        </is>
      </c>
      <c r="B14" s="5" t="inlineStr">
        <is>
          <t>Development Inventory - WIP</t>
        </is>
      </c>
      <c r="C14" s="6" t="inlineStr">
        <is>
          <t>Current Assets</t>
        </is>
      </c>
      <c r="D14" s="7" t="inlineStr">
        <is>
          <t>TB_Adjusted_PreClosing!A14</t>
        </is>
      </c>
      <c r="E14" s="13" t="inlineStr">
        <is>
          <t>GL_Ledgers</t>
        </is>
      </c>
      <c r="F14" s="13" t="inlineStr">
        <is>
          <t>Row 28</t>
        </is>
      </c>
      <c r="G14" s="13" t="inlineStr">
        <is>
          <t>IFRS15_Revenue_WIP</t>
        </is>
      </c>
      <c r="H14" s="6" t="inlineStr">
        <is>
          <t>Inventories</t>
        </is>
      </c>
      <c r="I14" s="13" t="inlineStr">
        <is>
          <t>Note 8</t>
        </is>
      </c>
      <c r="J14" s="14" t="inlineStr">
        <is>
          <t>TIED &amp; VERIFIED</t>
        </is>
      </c>
    </row>
    <row r="15">
      <c r="A15" s="11" t="inlineStr">
        <is>
          <t>1510</t>
        </is>
      </c>
      <c r="B15" s="8" t="inlineStr">
        <is>
          <t>PPE - Office &amp; Site Equipment</t>
        </is>
      </c>
      <c r="C15" s="9" t="inlineStr">
        <is>
          <t>Non-Current Assets</t>
        </is>
      </c>
      <c r="D15" s="10" t="inlineStr">
        <is>
          <t>TB_Adjusted_PreClosing!A15</t>
        </is>
      </c>
      <c r="E15" s="11" t="inlineStr">
        <is>
          <t>GL_Ledgers</t>
        </is>
      </c>
      <c r="F15" s="11" t="inlineStr">
        <is>
          <t>Rows 29-30</t>
        </is>
      </c>
      <c r="G15" s="11" t="inlineStr">
        <is>
          <t>PPE_Depreciation</t>
        </is>
      </c>
      <c r="H15" s="9" t="inlineStr">
        <is>
          <t>Property, plant and equipment</t>
        </is>
      </c>
      <c r="I15" s="11" t="inlineStr">
        <is>
          <t>Note 7</t>
        </is>
      </c>
      <c r="J15" s="12" t="inlineStr">
        <is>
          <t>TIED &amp; VERIFIED</t>
        </is>
      </c>
    </row>
    <row r="16">
      <c r="A16" s="13" t="inlineStr">
        <is>
          <t>1590</t>
        </is>
      </c>
      <c r="B16" s="5" t="inlineStr">
        <is>
          <t>Accumulated Depreciation - PPE</t>
        </is>
      </c>
      <c r="C16" s="6" t="inlineStr">
        <is>
          <t>Non-Current Assets</t>
        </is>
      </c>
      <c r="D16" s="7" t="inlineStr">
        <is>
          <t>TB_Adjusted_PreClosing!A16</t>
        </is>
      </c>
      <c r="E16" s="13" t="inlineStr">
        <is>
          <t>GL_Ledgers</t>
        </is>
      </c>
      <c r="F16" s="13" t="inlineStr">
        <is>
          <t>Rows 31-32</t>
        </is>
      </c>
      <c r="G16" s="13" t="inlineStr">
        <is>
          <t>PPE_Depreciation</t>
        </is>
      </c>
      <c r="H16" s="6" t="inlineStr">
        <is>
          <t>Property, plant and equipment</t>
        </is>
      </c>
      <c r="I16" s="13" t="inlineStr">
        <is>
          <t>Note 7</t>
        </is>
      </c>
      <c r="J16" s="14" t="inlineStr">
        <is>
          <t>TIED &amp; VERIFIED</t>
        </is>
      </c>
    </row>
    <row r="17">
      <c r="A17" s="11" t="inlineStr">
        <is>
          <t>1610</t>
        </is>
      </c>
      <c r="B17" s="8" t="inlineStr">
        <is>
          <t>Deferred Tax Asset (IAS 12)</t>
        </is>
      </c>
      <c r="C17" s="9" t="inlineStr">
        <is>
          <t>Non-Current Assets</t>
        </is>
      </c>
      <c r="D17" s="10" t="inlineStr">
        <is>
          <t>TB_Adjusted_PreClosing!A17</t>
        </is>
      </c>
      <c r="E17" s="11" t="inlineStr">
        <is>
          <t>GL_Ledgers</t>
        </is>
      </c>
      <c r="F17" s="11" t="inlineStr">
        <is>
          <t>Row 33</t>
        </is>
      </c>
      <c r="G17" s="11" t="inlineStr">
        <is>
          <t>Deferred_Tax_IAS12</t>
        </is>
      </c>
      <c r="H17" s="9" t="inlineStr">
        <is>
          <t>Deferred tax asset</t>
        </is>
      </c>
      <c r="I17" s="11" t="inlineStr">
        <is>
          <t>Note 15</t>
        </is>
      </c>
      <c r="J17" s="12" t="inlineStr">
        <is>
          <t>TIED &amp; VERIFIED</t>
        </is>
      </c>
    </row>
    <row r="18">
      <c r="A18" s="13" t="inlineStr">
        <is>
          <t>2010</t>
        </is>
      </c>
      <c r="B18" s="5" t="inlineStr">
        <is>
          <t>Trade Payables - Subcontractors &amp; Materials</t>
        </is>
      </c>
      <c r="C18" s="6" t="inlineStr">
        <is>
          <t>Current Liabilities</t>
        </is>
      </c>
      <c r="D18" s="7" t="inlineStr">
        <is>
          <t>TB_Adjusted_PreClosing!A18</t>
        </is>
      </c>
      <c r="E18" s="13" t="inlineStr">
        <is>
          <t>GL_Ledgers</t>
        </is>
      </c>
      <c r="F18" s="13" t="inlineStr">
        <is>
          <t>Rows 34-35</t>
        </is>
      </c>
      <c r="G18" s="13" t="inlineStr">
        <is>
          <t>Receivables_ECL_Payables</t>
        </is>
      </c>
      <c r="H18" s="6" t="inlineStr">
        <is>
          <t>Trade and other payables</t>
        </is>
      </c>
      <c r="I18" s="13" t="inlineStr">
        <is>
          <t>Note 14</t>
        </is>
      </c>
      <c r="J18" s="14" t="inlineStr">
        <is>
          <t>TIED &amp; VERIFIED</t>
        </is>
      </c>
    </row>
    <row r="19">
      <c r="A19" s="11" t="inlineStr">
        <is>
          <t>2020</t>
        </is>
      </c>
      <c r="B19" s="8" t="inlineStr">
        <is>
          <t>Contract Liabilities - Customer Deposits</t>
        </is>
      </c>
      <c r="C19" s="9" t="inlineStr">
        <is>
          <t>Current Liabilities</t>
        </is>
      </c>
      <c r="D19" s="10" t="inlineStr">
        <is>
          <t>TB_Adjusted_PreClosing!A19</t>
        </is>
      </c>
      <c r="E19" s="11" t="inlineStr">
        <is>
          <t>GL_Ledgers</t>
        </is>
      </c>
      <c r="F19" s="11" t="inlineStr">
        <is>
          <t>Rows 36-37</t>
        </is>
      </c>
      <c r="G19" s="11" t="inlineStr">
        <is>
          <t>IFRS15_Revenue_WIP</t>
        </is>
      </c>
      <c r="H19" s="9" t="inlineStr">
        <is>
          <t>Contract liabilities</t>
        </is>
      </c>
      <c r="I19" s="11" t="inlineStr">
        <is>
          <t>Note 13</t>
        </is>
      </c>
      <c r="J19" s="12" t="inlineStr">
        <is>
          <t>TIED &amp; VERIFIED</t>
        </is>
      </c>
    </row>
    <row r="20">
      <c r="A20" s="13" t="inlineStr">
        <is>
          <t>2030</t>
        </is>
      </c>
      <c r="B20" s="5" t="inlineStr">
        <is>
          <t>Accrued Audit &amp; Professional Fees</t>
        </is>
      </c>
      <c r="C20" s="6" t="inlineStr">
        <is>
          <t>Current Liabilities</t>
        </is>
      </c>
      <c r="D20" s="7" t="inlineStr">
        <is>
          <t>TB_Adjusted_PreClosing!A20</t>
        </is>
      </c>
      <c r="E20" s="13" t="inlineStr">
        <is>
          <t>GL_Ledgers</t>
        </is>
      </c>
      <c r="F20" s="13" t="inlineStr">
        <is>
          <t>Rows 38-39</t>
        </is>
      </c>
      <c r="G20" s="13" t="inlineStr">
        <is>
          <t>Receivables_ECL_Payables</t>
        </is>
      </c>
      <c r="H20" s="6" t="inlineStr">
        <is>
          <t>Trade and other payables</t>
        </is>
      </c>
      <c r="I20" s="13" t="inlineStr">
        <is>
          <t>Note 14</t>
        </is>
      </c>
      <c r="J20" s="14" t="inlineStr">
        <is>
          <t>TIED &amp; VERIFIED</t>
        </is>
      </c>
    </row>
    <row r="21">
      <c r="A21" s="11" t="inlineStr">
        <is>
          <t>2040</t>
        </is>
      </c>
      <c r="B21" s="8" t="inlineStr">
        <is>
          <t>Other Accrued Expenses &amp; Sundry Creditors</t>
        </is>
      </c>
      <c r="C21" s="9" t="inlineStr">
        <is>
          <t>Current Liabilities</t>
        </is>
      </c>
      <c r="D21" s="10" t="inlineStr">
        <is>
          <t>TB_Adjusted_PreClosing!A21</t>
        </is>
      </c>
      <c r="E21" s="11" t="inlineStr">
        <is>
          <t>GL_Ledgers</t>
        </is>
      </c>
      <c r="F21" s="11" t="inlineStr">
        <is>
          <t>Row 40</t>
        </is>
      </c>
      <c r="G21" s="11" t="inlineStr">
        <is>
          <t>Receivables_ECL_Payables</t>
        </is>
      </c>
      <c r="H21" s="9" t="inlineStr">
        <is>
          <t>Trade and other payables</t>
        </is>
      </c>
      <c r="I21" s="11" t="inlineStr">
        <is>
          <t>Note 14</t>
        </is>
      </c>
      <c r="J21" s="12" t="inlineStr">
        <is>
          <t>TIED &amp; VERIFIED</t>
        </is>
      </c>
    </row>
    <row r="22">
      <c r="A22" s="13" t="inlineStr">
        <is>
          <t>2110</t>
        </is>
      </c>
      <c r="B22" s="5" t="inlineStr">
        <is>
          <t>Current Tax - CIT Payable</t>
        </is>
      </c>
      <c r="C22" s="6" t="inlineStr">
        <is>
          <t>Current Liabilities</t>
        </is>
      </c>
      <c r="D22" s="7" t="inlineStr">
        <is>
          <t>TB_Adjusted_PreClosing!A22</t>
        </is>
      </c>
      <c r="E22" s="13" t="inlineStr">
        <is>
          <t>GL_Ledgers</t>
        </is>
      </c>
      <c r="F22" s="13" t="inlineStr">
        <is>
          <t>Row 41</t>
        </is>
      </c>
      <c r="G22" s="13" t="inlineStr">
        <is>
          <t>CIT_TET_MinTax</t>
        </is>
      </c>
      <c r="H22" s="6" t="inlineStr">
        <is>
          <t>Current tax liabilities</t>
        </is>
      </c>
      <c r="I22" s="13" t="inlineStr">
        <is>
          <t>Note 16</t>
        </is>
      </c>
      <c r="J22" s="14" t="inlineStr">
        <is>
          <t>TIED &amp; VERIFIED</t>
        </is>
      </c>
    </row>
    <row r="23">
      <c r="A23" s="11" t="inlineStr">
        <is>
          <t>2120</t>
        </is>
      </c>
      <c r="B23" s="8" t="inlineStr">
        <is>
          <t>Current Tax - TET Payable</t>
        </is>
      </c>
      <c r="C23" s="9" t="inlineStr">
        <is>
          <t>Current Liabilities</t>
        </is>
      </c>
      <c r="D23" s="10" t="inlineStr">
        <is>
          <t>TB_Adjusted_PreClosing!A23</t>
        </is>
      </c>
      <c r="E23" s="11" t="inlineStr">
        <is>
          <t>GL_Ledgers</t>
        </is>
      </c>
      <c r="F23" s="11" t="inlineStr">
        <is>
          <t>Row 42</t>
        </is>
      </c>
      <c r="G23" s="11" t="inlineStr">
        <is>
          <t>CIT_TET_MinTax</t>
        </is>
      </c>
      <c r="H23" s="9" t="inlineStr">
        <is>
          <t>Current tax liabilities</t>
        </is>
      </c>
      <c r="I23" s="11" t="inlineStr">
        <is>
          <t>Note 16</t>
        </is>
      </c>
      <c r="J23" s="12" t="inlineStr">
        <is>
          <t>TIED &amp; VERIFIED</t>
        </is>
      </c>
    </row>
    <row r="24">
      <c r="A24" s="13" t="inlineStr">
        <is>
          <t>2130</t>
        </is>
      </c>
      <c r="B24" s="5" t="inlineStr">
        <is>
          <t>Current Tax - PTF Payable</t>
        </is>
      </c>
      <c r="C24" s="6" t="inlineStr">
        <is>
          <t>Current Liabilities</t>
        </is>
      </c>
      <c r="D24" s="7" t="inlineStr">
        <is>
          <t>TB_Adjusted_PreClosing!A24</t>
        </is>
      </c>
      <c r="E24" s="13" t="inlineStr">
        <is>
          <t>GL_Ledgers</t>
        </is>
      </c>
      <c r="F24" s="13" t="inlineStr">
        <is>
          <t>Rows 43-44</t>
        </is>
      </c>
      <c r="G24" s="13" t="inlineStr">
        <is>
          <t>Tax_Payable_Rollforward</t>
        </is>
      </c>
      <c r="H24" s="6" t="inlineStr">
        <is>
          <t>Current tax liabilities</t>
        </is>
      </c>
      <c r="I24" s="13" t="inlineStr">
        <is>
          <t>Note 16</t>
        </is>
      </c>
      <c r="J24" s="14" t="inlineStr">
        <is>
          <t>TIED &amp; VERIFIED</t>
        </is>
      </c>
    </row>
    <row r="25">
      <c r="A25" s="11" t="inlineStr">
        <is>
          <t>2510</t>
        </is>
      </c>
      <c r="B25" s="8" t="inlineStr">
        <is>
          <t>Director's Loan &amp; Long-Term Funding</t>
        </is>
      </c>
      <c r="C25" s="9" t="inlineStr">
        <is>
          <t>Non-Current Liabilities</t>
        </is>
      </c>
      <c r="D25" s="10" t="inlineStr">
        <is>
          <t>TB_Adjusted_PreClosing!A25</t>
        </is>
      </c>
      <c r="E25" s="11" t="inlineStr">
        <is>
          <t>GL_Ledgers</t>
        </is>
      </c>
      <c r="F25" s="11" t="inlineStr">
        <is>
          <t>Row 45</t>
        </is>
      </c>
      <c r="G25" s="11" t="inlineStr">
        <is>
          <t>Related_Parties_Equity</t>
        </is>
      </c>
      <c r="H25" s="9" t="inlineStr">
        <is>
          <t>Borrowings &amp; related party loans</t>
        </is>
      </c>
      <c r="I25" s="11" t="inlineStr">
        <is>
          <t>Note 17</t>
        </is>
      </c>
      <c r="J25" s="12" t="inlineStr">
        <is>
          <t>TIED &amp; VERIFIED</t>
        </is>
      </c>
    </row>
    <row r="26">
      <c r="A26" s="13" t="inlineStr">
        <is>
          <t>3010</t>
        </is>
      </c>
      <c r="B26" s="5" t="inlineStr">
        <is>
          <t>Ordinary Share Capital (₦1.00 par)</t>
        </is>
      </c>
      <c r="C26" s="6" t="inlineStr">
        <is>
          <t>Equity</t>
        </is>
      </c>
      <c r="D26" s="7" t="inlineStr">
        <is>
          <t>TB_Adjusted_PreClosing!A26</t>
        </is>
      </c>
      <c r="E26" s="13" t="inlineStr">
        <is>
          <t>GL_Ledgers</t>
        </is>
      </c>
      <c r="F26" s="13" t="inlineStr">
        <is>
          <t>Row 46</t>
        </is>
      </c>
      <c r="G26" s="13" t="inlineStr">
        <is>
          <t>Related_Parties_Equity</t>
        </is>
      </c>
      <c r="H26" s="6" t="inlineStr">
        <is>
          <t>Share capital</t>
        </is>
      </c>
      <c r="I26" s="13" t="inlineStr">
        <is>
          <t>Note 18</t>
        </is>
      </c>
      <c r="J26" s="14" t="inlineStr">
        <is>
          <t>TIED &amp; VERIFIED</t>
        </is>
      </c>
    </row>
    <row r="27">
      <c r="A27" s="11" t="inlineStr">
        <is>
          <t>3020</t>
        </is>
      </c>
      <c r="B27" s="8" t="inlineStr">
        <is>
          <t>Retained Earnings (Accumulated Profit)</t>
        </is>
      </c>
      <c r="C27" s="9" t="inlineStr">
        <is>
          <t>Equity</t>
        </is>
      </c>
      <c r="D27" s="10" t="inlineStr">
        <is>
          <t>TB_Adjusted_PreClosing!A27</t>
        </is>
      </c>
      <c r="E27" s="11" t="inlineStr">
        <is>
          <t>GL_Ledgers</t>
        </is>
      </c>
      <c r="F27" s="11" t="inlineStr">
        <is>
          <t>Row 47</t>
        </is>
      </c>
      <c r="G27" s="11" t="inlineStr">
        <is>
          <t>Related_Parties_Equity</t>
        </is>
      </c>
      <c r="H27" s="9" t="inlineStr">
        <is>
          <t>Retained earnings</t>
        </is>
      </c>
      <c r="I27" s="11" t="inlineStr">
        <is>
          <t>Note 19</t>
        </is>
      </c>
      <c r="J27" s="12" t="inlineStr">
        <is>
          <t>TIED &amp; VERIFIED</t>
        </is>
      </c>
    </row>
    <row r="28">
      <c r="A28" s="13" t="inlineStr">
        <is>
          <t>4010</t>
        </is>
      </c>
      <c r="B28" s="5" t="inlineStr">
        <is>
          <t>Revenue - Civil Engineering Contracts</t>
        </is>
      </c>
      <c r="C28" s="6" t="inlineStr">
        <is>
          <t>Revenue</t>
        </is>
      </c>
      <c r="D28" s="7" t="inlineStr">
        <is>
          <t>TB_Adjusted_PreClosing!A28</t>
        </is>
      </c>
      <c r="E28" s="13" t="inlineStr">
        <is>
          <t>GL_Ledgers</t>
        </is>
      </c>
      <c r="F28" s="13" t="inlineStr">
        <is>
          <t>Row 48</t>
        </is>
      </c>
      <c r="G28" s="13" t="inlineStr">
        <is>
          <t>IFRS15_Revenue_WIP</t>
        </is>
      </c>
      <c r="H28" s="6" t="inlineStr">
        <is>
          <t>Revenue from contracts with customers</t>
        </is>
      </c>
      <c r="I28" s="13" t="inlineStr">
        <is>
          <t>Note 3</t>
        </is>
      </c>
      <c r="J28" s="14" t="inlineStr">
        <is>
          <t>TIED &amp; VERIFIED</t>
        </is>
      </c>
    </row>
    <row r="29">
      <c r="A29" s="11" t="inlineStr">
        <is>
          <t>4020</t>
        </is>
      </c>
      <c r="B29" s="8" t="inlineStr">
        <is>
          <t>Revenue - Land Resale</t>
        </is>
      </c>
      <c r="C29" s="9" t="inlineStr">
        <is>
          <t>Revenue</t>
        </is>
      </c>
      <c r="D29" s="10" t="inlineStr">
        <is>
          <t>TB_Adjusted_PreClosing!A29</t>
        </is>
      </c>
      <c r="E29" s="11" t="inlineStr">
        <is>
          <t>GL_Ledgers</t>
        </is>
      </c>
      <c r="F29" s="11" t="inlineStr">
        <is>
          <t>Row 49</t>
        </is>
      </c>
      <c r="G29" s="11" t="inlineStr">
        <is>
          <t>IFRS15_Revenue_WIP</t>
        </is>
      </c>
      <c r="H29" s="9" t="inlineStr">
        <is>
          <t>Revenue from contracts with customers</t>
        </is>
      </c>
      <c r="I29" s="11" t="inlineStr">
        <is>
          <t>Note 3</t>
        </is>
      </c>
      <c r="J29" s="12" t="inlineStr">
        <is>
          <t>TIED &amp; VERIFIED</t>
        </is>
      </c>
    </row>
    <row r="30">
      <c r="A30" s="13" t="inlineStr">
        <is>
          <t>4030</t>
        </is>
      </c>
      <c r="B30" s="5" t="inlineStr">
        <is>
          <t>Revenue - Project Management &amp; Consulting</t>
        </is>
      </c>
      <c r="C30" s="6" t="inlineStr">
        <is>
          <t>Revenue</t>
        </is>
      </c>
      <c r="D30" s="7" t="inlineStr">
        <is>
          <t>TB_Adjusted_PreClosing!A30</t>
        </is>
      </c>
      <c r="E30" s="13" t="inlineStr">
        <is>
          <t>GL_Ledgers</t>
        </is>
      </c>
      <c r="F30" s="13" t="inlineStr">
        <is>
          <t>Row 50</t>
        </is>
      </c>
      <c r="G30" s="13" t="inlineStr">
        <is>
          <t>IFRS15_Revenue_WIP</t>
        </is>
      </c>
      <c r="H30" s="6" t="inlineStr">
        <is>
          <t>Revenue from contracts with customers</t>
        </is>
      </c>
      <c r="I30" s="13" t="inlineStr">
        <is>
          <t>Note 3</t>
        </is>
      </c>
      <c r="J30" s="14" t="inlineStr">
        <is>
          <t>TIED &amp; VERIFIED</t>
        </is>
      </c>
    </row>
    <row r="31">
      <c r="A31" s="11" t="inlineStr">
        <is>
          <t>5010</t>
        </is>
      </c>
      <c r="B31" s="8" t="inlineStr">
        <is>
          <t>Cost of Sales - Materials &amp; Subcontracts</t>
        </is>
      </c>
      <c r="C31" s="9" t="inlineStr">
        <is>
          <t>Direct Costs</t>
        </is>
      </c>
      <c r="D31" s="10" t="inlineStr">
        <is>
          <t>TB_Adjusted_PreClosing!A31</t>
        </is>
      </c>
      <c r="E31" s="11" t="inlineStr">
        <is>
          <t>GL_Ledgers</t>
        </is>
      </c>
      <c r="F31" s="11" t="inlineStr">
        <is>
          <t>Row 51</t>
        </is>
      </c>
      <c r="G31" s="11" t="inlineStr">
        <is>
          <t>IFRS15_Revenue_WIP</t>
        </is>
      </c>
      <c r="H31" s="9" t="inlineStr">
        <is>
          <t>Cost of sales</t>
        </is>
      </c>
      <c r="I31" s="11" t="inlineStr">
        <is>
          <t>Note 4</t>
        </is>
      </c>
      <c r="J31" s="12" t="inlineStr">
        <is>
          <t>TIED &amp; VERIFIED</t>
        </is>
      </c>
    </row>
    <row r="32">
      <c r="A32" s="13" t="inlineStr">
        <is>
          <t>5020</t>
        </is>
      </c>
      <c r="B32" s="5" t="inlineStr">
        <is>
          <t>Cost of Sales - Land Inventory Released</t>
        </is>
      </c>
      <c r="C32" s="6" t="inlineStr">
        <is>
          <t>Direct Costs</t>
        </is>
      </c>
      <c r="D32" s="7" t="inlineStr">
        <is>
          <t>TB_Adjusted_PreClosing!A32</t>
        </is>
      </c>
      <c r="E32" s="13" t="inlineStr">
        <is>
          <t>GL_Ledgers</t>
        </is>
      </c>
      <c r="F32" s="13" t="inlineStr">
        <is>
          <t>Row 52</t>
        </is>
      </c>
      <c r="G32" s="13" t="inlineStr">
        <is>
          <t>IFRS15_Revenue_WIP</t>
        </is>
      </c>
      <c r="H32" s="6" t="inlineStr">
        <is>
          <t>Cost of sales</t>
        </is>
      </c>
      <c r="I32" s="13" t="inlineStr">
        <is>
          <t>Note 4</t>
        </is>
      </c>
      <c r="J32" s="14" t="inlineStr">
        <is>
          <t>TIED &amp; VERIFIED</t>
        </is>
      </c>
    </row>
    <row r="33">
      <c r="A33" s="11" t="inlineStr">
        <is>
          <t>5030</t>
        </is>
      </c>
      <c r="B33" s="8" t="inlineStr">
        <is>
          <t>Cost of Sales - Direct Site Labor &amp; Hire</t>
        </is>
      </c>
      <c r="C33" s="9" t="inlineStr">
        <is>
          <t>Direct Costs</t>
        </is>
      </c>
      <c r="D33" s="10" t="inlineStr">
        <is>
          <t>TB_Adjusted_PreClosing!A33</t>
        </is>
      </c>
      <c r="E33" s="11" t="inlineStr">
        <is>
          <t>GL_Ledgers</t>
        </is>
      </c>
      <c r="F33" s="11" t="inlineStr">
        <is>
          <t>Row 53</t>
        </is>
      </c>
      <c r="G33" s="11" t="inlineStr">
        <is>
          <t>IFRS15_Revenue_WIP</t>
        </is>
      </c>
      <c r="H33" s="9" t="inlineStr">
        <is>
          <t>Cost of sales</t>
        </is>
      </c>
      <c r="I33" s="11" t="inlineStr">
        <is>
          <t>Note 4</t>
        </is>
      </c>
      <c r="J33" s="12" t="inlineStr">
        <is>
          <t>TIED &amp; VERIFIED</t>
        </is>
      </c>
    </row>
    <row r="34">
      <c r="A34" s="13" t="inlineStr">
        <is>
          <t>6010</t>
        </is>
      </c>
      <c r="B34" s="5" t="inlineStr">
        <is>
          <t>Administrative - Staff Salaries, Wages</t>
        </is>
      </c>
      <c r="C34" s="6" t="inlineStr">
        <is>
          <t>Operating Expenses</t>
        </is>
      </c>
      <c r="D34" s="7" t="inlineStr">
        <is>
          <t>TB_Adjusted_PreClosing!A34</t>
        </is>
      </c>
      <c r="E34" s="13" t="inlineStr">
        <is>
          <t>GL_Ledgers</t>
        </is>
      </c>
      <c r="F34" s="13" t="inlineStr">
        <is>
          <t>Row 54</t>
        </is>
      </c>
      <c r="G34" s="13" t="inlineStr">
        <is>
          <t>Notes_2023</t>
        </is>
      </c>
      <c r="H34" s="6" t="inlineStr">
        <is>
          <t>Administrative &amp; operating expenses</t>
        </is>
      </c>
      <c r="I34" s="13" t="inlineStr">
        <is>
          <t>Note 5</t>
        </is>
      </c>
      <c r="J34" s="14" t="inlineStr">
        <is>
          <t>TIED &amp; VERIFIED</t>
        </is>
      </c>
    </row>
    <row r="35">
      <c r="A35" s="11" t="inlineStr">
        <is>
          <t>6020</t>
        </is>
      </c>
      <c r="B35" s="8" t="inlineStr">
        <is>
          <t>Administrative - Site Office Rent</t>
        </is>
      </c>
      <c r="C35" s="9" t="inlineStr">
        <is>
          <t>Operating Expenses</t>
        </is>
      </c>
      <c r="D35" s="10" t="inlineStr">
        <is>
          <t>TB_Adjusted_PreClosing!A35</t>
        </is>
      </c>
      <c r="E35" s="11" t="inlineStr">
        <is>
          <t>GL_Ledgers</t>
        </is>
      </c>
      <c r="F35" s="11" t="inlineStr">
        <is>
          <t>Row 55</t>
        </is>
      </c>
      <c r="G35" s="11" t="inlineStr">
        <is>
          <t>Notes_2023</t>
        </is>
      </c>
      <c r="H35" s="9" t="inlineStr">
        <is>
          <t>Administrative &amp; operating expenses</t>
        </is>
      </c>
      <c r="I35" s="11" t="inlineStr">
        <is>
          <t>Note 5</t>
        </is>
      </c>
      <c r="J35" s="12" t="inlineStr">
        <is>
          <t>TIED &amp; VERIFIED</t>
        </is>
      </c>
    </row>
    <row r="36">
      <c r="A36" s="13" t="inlineStr">
        <is>
          <t>6030</t>
        </is>
      </c>
      <c r="B36" s="5" t="inlineStr">
        <is>
          <t>Administrative - Professional Fees</t>
        </is>
      </c>
      <c r="C36" s="6" t="inlineStr">
        <is>
          <t>Operating Expenses</t>
        </is>
      </c>
      <c r="D36" s="7" t="inlineStr">
        <is>
          <t>TB_Adjusted_PreClosing!A36</t>
        </is>
      </c>
      <c r="E36" s="13" t="inlineStr">
        <is>
          <t>GL_Ledgers</t>
        </is>
      </c>
      <c r="F36" s="13" t="inlineStr">
        <is>
          <t>Row 56</t>
        </is>
      </c>
      <c r="G36" s="13" t="inlineStr">
        <is>
          <t>Notes_2023</t>
        </is>
      </c>
      <c r="H36" s="6" t="inlineStr">
        <is>
          <t>Administrative &amp; operating expenses</t>
        </is>
      </c>
      <c r="I36" s="13" t="inlineStr">
        <is>
          <t>Note 5</t>
        </is>
      </c>
      <c r="J36" s="14" t="inlineStr">
        <is>
          <t>TIED &amp; VERIFIED</t>
        </is>
      </c>
    </row>
    <row r="37">
      <c r="A37" s="11" t="inlineStr">
        <is>
          <t>6040</t>
        </is>
      </c>
      <c r="B37" s="8" t="inlineStr">
        <is>
          <t>Administrative - Audit &amp; Tax Fees</t>
        </is>
      </c>
      <c r="C37" s="9" t="inlineStr">
        <is>
          <t>Operating Expenses</t>
        </is>
      </c>
      <c r="D37" s="10" t="inlineStr">
        <is>
          <t>TB_Adjusted_PreClosing!A37</t>
        </is>
      </c>
      <c r="E37" s="11" t="inlineStr">
        <is>
          <t>GL_Ledgers</t>
        </is>
      </c>
      <c r="F37" s="11" t="inlineStr">
        <is>
          <t>Row 57</t>
        </is>
      </c>
      <c r="G37" s="11" t="inlineStr">
        <is>
          <t>Notes_2023</t>
        </is>
      </c>
      <c r="H37" s="9" t="inlineStr">
        <is>
          <t>Administrative &amp; operating expenses</t>
        </is>
      </c>
      <c r="I37" s="11" t="inlineStr">
        <is>
          <t>Note 5</t>
        </is>
      </c>
      <c r="J37" s="12" t="inlineStr">
        <is>
          <t>TIED &amp; VERIFIED</t>
        </is>
      </c>
    </row>
    <row r="38">
      <c r="A38" s="13" t="inlineStr">
        <is>
          <t>6050</t>
        </is>
      </c>
      <c r="B38" s="5" t="inlineStr">
        <is>
          <t>Administrative - Bank Charges &amp; COT</t>
        </is>
      </c>
      <c r="C38" s="6" t="inlineStr">
        <is>
          <t>Operating Expenses</t>
        </is>
      </c>
      <c r="D38" s="7" t="inlineStr">
        <is>
          <t>TB_Adjusted_PreClosing!A38</t>
        </is>
      </c>
      <c r="E38" s="13" t="inlineStr">
        <is>
          <t>GL_Ledgers</t>
        </is>
      </c>
      <c r="F38" s="13" t="inlineStr">
        <is>
          <t>Row 58</t>
        </is>
      </c>
      <c r="G38" s="13" t="inlineStr">
        <is>
          <t>Notes_2023</t>
        </is>
      </c>
      <c r="H38" s="6" t="inlineStr">
        <is>
          <t>Administrative &amp; operating expenses</t>
        </is>
      </c>
      <c r="I38" s="13" t="inlineStr">
        <is>
          <t>Note 5</t>
        </is>
      </c>
      <c r="J38" s="14" t="inlineStr">
        <is>
          <t>TIED &amp; VERIFIED</t>
        </is>
      </c>
    </row>
    <row r="39">
      <c r="A39" s="11" t="inlineStr">
        <is>
          <t>6060</t>
        </is>
      </c>
      <c r="B39" s="8" t="inlineStr">
        <is>
          <t>Administrative - Motor Vehicle &amp; Logistics</t>
        </is>
      </c>
      <c r="C39" s="9" t="inlineStr">
        <is>
          <t>Operating Expenses</t>
        </is>
      </c>
      <c r="D39" s="10" t="inlineStr">
        <is>
          <t>TB_Adjusted_PreClosing!A39</t>
        </is>
      </c>
      <c r="E39" s="11" t="inlineStr">
        <is>
          <t>GL_Ledgers</t>
        </is>
      </c>
      <c r="F39" s="11" t="inlineStr">
        <is>
          <t>Row 59</t>
        </is>
      </c>
      <c r="G39" s="11" t="inlineStr">
        <is>
          <t>Notes_2023</t>
        </is>
      </c>
      <c r="H39" s="9" t="inlineStr">
        <is>
          <t>Administrative &amp; operating expenses</t>
        </is>
      </c>
      <c r="I39" s="11" t="inlineStr">
        <is>
          <t>Note 5</t>
        </is>
      </c>
      <c r="J39" s="12" t="inlineStr">
        <is>
          <t>TIED &amp; VERIFIED</t>
        </is>
      </c>
    </row>
    <row r="40">
      <c r="A40" s="13" t="inlineStr">
        <is>
          <t>6070</t>
        </is>
      </c>
      <c r="B40" s="5" t="inlineStr">
        <is>
          <t>Administrative - Depreciation Expense (IAS 16)</t>
        </is>
      </c>
      <c r="C40" s="6" t="inlineStr">
        <is>
          <t>Operating Expenses</t>
        </is>
      </c>
      <c r="D40" s="7" t="inlineStr">
        <is>
          <t>TB_Adjusted_PreClosing!A40</t>
        </is>
      </c>
      <c r="E40" s="13" t="inlineStr">
        <is>
          <t>GL_Ledgers</t>
        </is>
      </c>
      <c r="F40" s="13" t="inlineStr">
        <is>
          <t>Row 60</t>
        </is>
      </c>
      <c r="G40" s="13" t="inlineStr">
        <is>
          <t>PPE_Depreciation</t>
        </is>
      </c>
      <c r="H40" s="6" t="inlineStr">
        <is>
          <t>Administrative &amp; operating expenses</t>
        </is>
      </c>
      <c r="I40" s="13" t="inlineStr">
        <is>
          <t>Note 5</t>
        </is>
      </c>
      <c r="J40" s="14" t="inlineStr">
        <is>
          <t>TIED &amp; VERIFIED</t>
        </is>
      </c>
    </row>
    <row r="41">
      <c r="A41" s="11" t="inlineStr">
        <is>
          <t>6080</t>
        </is>
      </c>
      <c r="B41" s="8" t="inlineStr">
        <is>
          <t>Administrative - Impairment Allowance (ECL)</t>
        </is>
      </c>
      <c r="C41" s="9" t="inlineStr">
        <is>
          <t>Operating Expenses</t>
        </is>
      </c>
      <c r="D41" s="10" t="inlineStr">
        <is>
          <t>TB_Adjusted_PreClosing!A41</t>
        </is>
      </c>
      <c r="E41" s="11" t="inlineStr">
        <is>
          <t>GL_Ledgers</t>
        </is>
      </c>
      <c r="F41" s="11" t="inlineStr">
        <is>
          <t>Row 61</t>
        </is>
      </c>
      <c r="G41" s="11" t="inlineStr">
        <is>
          <t>Receivables_ECL_Payables</t>
        </is>
      </c>
      <c r="H41" s="9" t="inlineStr">
        <is>
          <t>Administrative &amp; operating expenses</t>
        </is>
      </c>
      <c r="I41" s="11" t="inlineStr">
        <is>
          <t>Note 5</t>
        </is>
      </c>
      <c r="J41" s="12" t="inlineStr">
        <is>
          <t>TIED &amp; VERIFIED</t>
        </is>
      </c>
    </row>
    <row r="42">
      <c r="A42" s="13" t="inlineStr">
        <is>
          <t>6090</t>
        </is>
      </c>
      <c r="B42" s="5" t="inlineStr">
        <is>
          <t>Administrative - General Admin &amp; Utilities</t>
        </is>
      </c>
      <c r="C42" s="6" t="inlineStr">
        <is>
          <t>Operating Expenses</t>
        </is>
      </c>
      <c r="D42" s="7" t="inlineStr">
        <is>
          <t>TB_Adjusted_PreClosing!A42</t>
        </is>
      </c>
      <c r="E42" s="13" t="inlineStr">
        <is>
          <t>GL_Ledgers</t>
        </is>
      </c>
      <c r="F42" s="13" t="inlineStr">
        <is>
          <t>Row 62</t>
        </is>
      </c>
      <c r="G42" s="13" t="inlineStr">
        <is>
          <t>Notes_2023</t>
        </is>
      </c>
      <c r="H42" s="6" t="inlineStr">
        <is>
          <t>Administrative &amp; operating expenses</t>
        </is>
      </c>
      <c r="I42" s="13" t="inlineStr">
        <is>
          <t>Note 5</t>
        </is>
      </c>
      <c r="J42" s="14" t="inlineStr">
        <is>
          <t>TIED &amp; VERIFIED</t>
        </is>
      </c>
    </row>
    <row r="43">
      <c r="A43" s="11" t="inlineStr">
        <is>
          <t>7010</t>
        </is>
      </c>
      <c r="B43" s="8" t="inlineStr">
        <is>
          <t>Finance Costs - Bank Project Facility</t>
        </is>
      </c>
      <c r="C43" s="9" t="inlineStr">
        <is>
          <t>Finance Costs</t>
        </is>
      </c>
      <c r="D43" s="10" t="inlineStr">
        <is>
          <t>TB_Adjusted_PreClosing!A43</t>
        </is>
      </c>
      <c r="E43" s="11" t="inlineStr">
        <is>
          <t>GL_Ledgers</t>
        </is>
      </c>
      <c r="F43" s="11" t="inlineStr">
        <is>
          <t>Row 63</t>
        </is>
      </c>
      <c r="G43" s="11" t="inlineStr">
        <is>
          <t>Notes_2023</t>
        </is>
      </c>
      <c r="H43" s="9" t="inlineStr">
        <is>
          <t>Finance costs</t>
        </is>
      </c>
      <c r="I43" s="11" t="inlineStr">
        <is>
          <t>Note 6</t>
        </is>
      </c>
      <c r="J43" s="12" t="inlineStr">
        <is>
          <t>TIED &amp; VERIFIED</t>
        </is>
      </c>
    </row>
    <row r="44">
      <c r="A44" s="13" t="inlineStr">
        <is>
          <t>8010</t>
        </is>
      </c>
      <c r="B44" s="5" t="inlineStr">
        <is>
          <t>Income Tax Expense - Current Tax</t>
        </is>
      </c>
      <c r="C44" s="6" t="inlineStr">
        <is>
          <t>Taxation</t>
        </is>
      </c>
      <c r="D44" s="7" t="inlineStr">
        <is>
          <t>TB_Adjusted_PreClosing!A44</t>
        </is>
      </c>
      <c r="E44" s="13" t="inlineStr">
        <is>
          <t>GL_Ledgers</t>
        </is>
      </c>
      <c r="F44" s="13" t="inlineStr">
        <is>
          <t>Row 64</t>
        </is>
      </c>
      <c r="G44" s="13" t="inlineStr">
        <is>
          <t>CIT_TET_MinTax</t>
        </is>
      </c>
      <c r="H44" s="6" t="inlineStr">
        <is>
          <t>Income tax expense</t>
        </is>
      </c>
      <c r="I44" s="13" t="inlineStr">
        <is>
          <t>Note 16</t>
        </is>
      </c>
      <c r="J44" s="14" t="inlineStr">
        <is>
          <t>TIED &amp; VERIFIED</t>
        </is>
      </c>
    </row>
    <row r="45">
      <c r="A45" s="11" t="inlineStr">
        <is>
          <t>8020</t>
        </is>
      </c>
      <c r="B45" s="8" t="inlineStr">
        <is>
          <t>Income Tax Expense - Deferred Tax</t>
        </is>
      </c>
      <c r="C45" s="9" t="inlineStr">
        <is>
          <t>Taxation</t>
        </is>
      </c>
      <c r="D45" s="10" t="inlineStr">
        <is>
          <t>TB_Adjusted_PreClosing!A45</t>
        </is>
      </c>
      <c r="E45" s="11" t="inlineStr">
        <is>
          <t>GL_Ledgers</t>
        </is>
      </c>
      <c r="F45" s="11" t="inlineStr">
        <is>
          <t>Row 65</t>
        </is>
      </c>
      <c r="G45" s="11" t="inlineStr">
        <is>
          <t>Deferred_Tax_IAS12</t>
        </is>
      </c>
      <c r="H45" s="9" t="inlineStr">
        <is>
          <t>Income tax expense</t>
        </is>
      </c>
      <c r="I45" s="11" t="inlineStr">
        <is>
          <t>Note 15</t>
        </is>
      </c>
      <c r="J45" s="12" t="inlineStr">
        <is>
          <t>TIED &amp; VERIFIED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8" customWidth="1" min="1" max="1"/>
    <col width="56" customWidth="1" min="2" max="2"/>
    <col width="36" customWidth="1" min="3" max="3"/>
    <col width="35" customWidth="1" min="4" max="4"/>
    <col width="60" customWidth="1" min="5" max="5"/>
    <col width="23" customWidth="1" min="6" max="6"/>
    <col width="15" customWidth="1" min="7" max="7"/>
    <col width="20" customWidth="1" min="8" max="8"/>
    <col width="23" customWidth="1" min="9" max="9"/>
    <col width="23" customWidth="1" min="10" max="10"/>
    <col width="34" customWidth="1" min="11" max="11"/>
    <col width="23" customWidth="1" min="12" max="12"/>
    <col width="25" customWidth="1" min="13" max="13"/>
    <col width="37" customWidth="1" min="14" max="14"/>
    <col width="35" customWidth="1" min="15" max="15"/>
    <col width="28" customWidth="1" min="16" max="16"/>
  </cols>
  <sheetData>
    <row r="1">
      <c r="A1" s="1" t="inlineStr">
        <is>
          <t>BAAY PROJECTS LIMITED — COMPREHENSIVE PROJECT REGISTER</t>
        </is>
      </c>
    </row>
    <row r="2">
      <c r="A2" s="3" t="inlineStr">
        <is>
          <t>Civil Engineering, Land Resale, Joint Venture Real Estate &amp; Consultancy Portfolio (2023 - 2025)</t>
        </is>
      </c>
    </row>
    <row r="3"/>
    <row r="4">
      <c r="A4" s="4" t="inlineStr">
        <is>
          <t>Project Code</t>
        </is>
      </c>
      <c r="B4" s="4" t="inlineStr">
        <is>
          <t>Project Name &amp; Location</t>
        </is>
      </c>
      <c r="C4" s="4" t="inlineStr">
        <is>
          <t>Project Type</t>
        </is>
      </c>
      <c r="D4" s="4" t="inlineStr">
        <is>
          <t>Landowner / Client</t>
        </is>
      </c>
      <c r="E4" s="4" t="inlineStr">
        <is>
          <t>Legal Rights &amp; Contract Basis</t>
        </is>
      </c>
      <c r="F4" s="4" t="inlineStr">
        <is>
          <t>Contract Value (NGN)</t>
        </is>
      </c>
      <c r="G4" s="4" t="inlineStr">
        <is>
          <t>Commencement</t>
        </is>
      </c>
      <c r="H4" s="4" t="inlineStr">
        <is>
          <t>Target Completion</t>
        </is>
      </c>
      <c r="I4" s="4" t="inlineStr">
        <is>
          <t>Progress / Stage (%)</t>
        </is>
      </c>
      <c r="J4" s="4" t="inlineStr">
        <is>
          <t>Incurred Costs (NGN)</t>
        </is>
      </c>
      <c r="K4" s="4" t="inlineStr">
        <is>
          <t>Forecast Cost to Complete (NGN)</t>
        </is>
      </c>
      <c r="L4" s="4" t="inlineStr">
        <is>
          <t>Billed Revenue (NGN)</t>
        </is>
      </c>
      <c r="M4" s="4" t="inlineStr">
        <is>
          <t>Cash Collections (NGN)</t>
        </is>
      </c>
      <c r="N4" s="4" t="inlineStr">
        <is>
          <t>Retentions / Contract Assets (NGN)</t>
        </is>
      </c>
      <c r="O4" s="4" t="inlineStr">
        <is>
          <t>NRV Test / Valuation Status</t>
        </is>
      </c>
      <c r="P4" s="4" t="inlineStr">
        <is>
          <t>Risk Assessment</t>
        </is>
      </c>
    </row>
    <row r="5">
      <c r="A5" s="11" t="inlineStr">
        <is>
          <t>PROJ-101</t>
        </is>
      </c>
      <c r="B5" s="8" t="inlineStr">
        <is>
          <t>Lekki Residential Estate Infrastructure &amp; Civil Works</t>
        </is>
      </c>
      <c r="C5" s="9" t="inlineStr">
        <is>
          <t>Civil Engineering &amp; Building</t>
        </is>
      </c>
      <c r="D5" s="9" t="inlineStr">
        <is>
          <t>Apex Properties Ltd</t>
        </is>
      </c>
      <c r="E5" s="10" t="inlineStr">
        <is>
          <t>Subcontractor Agreement / Enforceable Right to Payment</t>
        </is>
      </c>
      <c r="F5" s="28" t="n">
        <v>65000000</v>
      </c>
      <c r="G5" s="11" t="inlineStr">
        <is>
          <t>2023-01-10</t>
        </is>
      </c>
      <c r="H5" s="11" t="inlineStr">
        <is>
          <t>2024-12-31</t>
        </is>
      </c>
      <c r="I5" s="32" t="n">
        <v>0.95</v>
      </c>
      <c r="J5" s="22" t="n">
        <v>40600000</v>
      </c>
      <c r="K5" s="22" t="n">
        <v>2140000</v>
      </c>
      <c r="L5" s="22" t="n">
        <v>60000000</v>
      </c>
      <c r="M5" s="22" t="n">
        <v>56350000</v>
      </c>
      <c r="N5" s="22" t="n">
        <v>3650000</v>
      </c>
      <c r="O5" s="12" t="inlineStr">
        <is>
          <t>Cost &lt; Recoverable Amount (Pass)</t>
        </is>
      </c>
      <c r="P5" s="30" t="inlineStr">
        <is>
          <t>Low / Active Execution</t>
        </is>
      </c>
    </row>
    <row r="6">
      <c r="A6" s="13" t="inlineStr">
        <is>
          <t>PROJ-102</t>
        </is>
      </c>
      <c r="B6" s="5" t="inlineStr">
        <is>
          <t>Ibeju-Lekki Scheme 1 Land Subdivision &amp; Resale</t>
        </is>
      </c>
      <c r="C6" s="6" t="inlineStr">
        <is>
          <t>Land Purchase &amp; Resale</t>
        </is>
      </c>
      <c r="D6" s="6" t="inlineStr">
        <is>
          <t>Ibeju Family Land Committee</t>
        </is>
      </c>
      <c r="E6" s="7" t="inlineStr">
        <is>
          <t>Deed of Assignment &amp; Registered Survey (20 Plots)</t>
        </is>
      </c>
      <c r="F6" s="27" t="n">
        <v>35000000</v>
      </c>
      <c r="G6" s="13" t="inlineStr">
        <is>
          <t>2023-02-01</t>
        </is>
      </c>
      <c r="H6" s="13" t="inlineStr">
        <is>
          <t>2024-06-30</t>
        </is>
      </c>
      <c r="I6" s="33" t="n">
        <v>1</v>
      </c>
      <c r="J6" s="21" t="n">
        <v>19900000</v>
      </c>
      <c r="K6" s="21" t="n">
        <v>0</v>
      </c>
      <c r="L6" s="21" t="n">
        <v>32000000</v>
      </c>
      <c r="M6" s="21" t="n">
        <v>32000000</v>
      </c>
      <c r="N6" s="21" t="n">
        <v>0</v>
      </c>
      <c r="O6" s="14" t="inlineStr">
        <is>
          <t>Land Sold &gt; Cost (Pass)</t>
        </is>
      </c>
      <c r="P6" s="29" t="inlineStr">
        <is>
          <t>Completed / Fully Sold</t>
        </is>
      </c>
    </row>
    <row r="7">
      <c r="A7" s="11" t="inlineStr">
        <is>
          <t>PROJ-103</t>
        </is>
      </c>
      <c r="B7" s="8" t="inlineStr">
        <is>
          <t>Ikeja Commercial Office Renovation &amp; Civil Works</t>
        </is>
      </c>
      <c r="C7" s="9" t="inlineStr">
        <is>
          <t>Commercial Civil Works</t>
        </is>
      </c>
      <c r="D7" s="9" t="inlineStr">
        <is>
          <t>Horizon Holdings Ltd</t>
        </is>
      </c>
      <c r="E7" s="10" t="inlineStr">
        <is>
          <t>Civil Works Contract &amp; Performance Bond</t>
        </is>
      </c>
      <c r="F7" s="28" t="n">
        <v>1850000</v>
      </c>
      <c r="G7" s="11" t="inlineStr">
        <is>
          <t>2023-03-01</t>
        </is>
      </c>
      <c r="H7" s="11" t="inlineStr">
        <is>
          <t>2023-12-15</t>
        </is>
      </c>
      <c r="I7" s="32" t="n">
        <v>1</v>
      </c>
      <c r="J7" s="22" t="n">
        <v>11500000</v>
      </c>
      <c r="K7" s="22" t="n">
        <v>0</v>
      </c>
      <c r="L7" s="22" t="n">
        <v>18500000</v>
      </c>
      <c r="M7" s="22" t="n">
        <v>18500000</v>
      </c>
      <c r="N7" s="22" t="n">
        <v>0</v>
      </c>
      <c r="O7" s="12" t="inlineStr">
        <is>
          <t>Completed &amp; Certified (Pass)</t>
        </is>
      </c>
      <c r="P7" s="30" t="inlineStr">
        <is>
          <t>Completed / Fully Settled</t>
        </is>
      </c>
    </row>
    <row r="8">
      <c r="A8" s="13" t="inlineStr">
        <is>
          <t>PROJ-104</t>
        </is>
      </c>
      <c r="B8" s="5" t="inlineStr">
        <is>
          <t>Victoria Island Luxury Maisonettes Development</t>
        </is>
      </c>
      <c r="C8" s="6" t="inlineStr">
        <is>
          <t>Joint Venture Real Estate</t>
        </is>
      </c>
      <c r="D8" s="6" t="inlineStr">
        <is>
          <t>VI Prime Properties &amp; Landowners</t>
        </is>
      </c>
      <c r="E8" s="7" t="inlineStr">
        <is>
          <t>Unincorporated Joint Venture Agreement (40% Profit Share)</t>
        </is>
      </c>
      <c r="F8" s="27" t="n">
        <v>120000000</v>
      </c>
      <c r="G8" s="13" t="inlineStr">
        <is>
          <t>2024-03-01</t>
        </is>
      </c>
      <c r="H8" s="13" t="inlineStr">
        <is>
          <t>2026-06-30</t>
        </is>
      </c>
      <c r="I8" s="33" t="n">
        <v>0.45</v>
      </c>
      <c r="J8" s="21" t="n">
        <v>45200000</v>
      </c>
      <c r="K8" s="21" t="n">
        <v>55000000</v>
      </c>
      <c r="L8" s="21" t="n">
        <v>48000000</v>
      </c>
      <c r="M8" s="21" t="n">
        <v>42000000</v>
      </c>
      <c r="N8" s="21" t="n">
        <v>6000000</v>
      </c>
      <c r="O8" s="14" t="inlineStr">
        <is>
          <t>Market Appraisal &gt; Cost (Pass)</t>
        </is>
      </c>
      <c r="P8" s="29" t="inlineStr">
        <is>
          <t>Medium / JV Progress</t>
        </is>
      </c>
    </row>
    <row r="9">
      <c r="A9" s="11" t="inlineStr">
        <is>
          <t>PROJ-105</t>
        </is>
      </c>
      <c r="B9" s="8" t="inlineStr">
        <is>
          <t>Epe Mixed-Use Residential Scheme (Phase 1)</t>
        </is>
      </c>
      <c r="C9" s="9" t="inlineStr">
        <is>
          <t>Land Subdivision &amp; Infrastructure</t>
        </is>
      </c>
      <c r="D9" s="9" t="inlineStr">
        <is>
          <t>Epe Land Registry / Community</t>
        </is>
      </c>
      <c r="E9" s="10" t="inlineStr">
        <is>
          <t>Perimeter Survey &amp; Governor's Consent In Progress</t>
        </is>
      </c>
      <c r="F9" s="28" t="n">
        <v>45000000</v>
      </c>
      <c r="G9" s="11" t="inlineStr">
        <is>
          <t>2023-11-01</t>
        </is>
      </c>
      <c r="H9" s="11" t="inlineStr">
        <is>
          <t>2025-12-31</t>
        </is>
      </c>
      <c r="I9" s="32" t="n">
        <v>0.6</v>
      </c>
      <c r="J9" s="22" t="n">
        <v>23500000</v>
      </c>
      <c r="K9" s="22" t="n">
        <v>15000000</v>
      </c>
      <c r="L9" s="22" t="n">
        <v>28000000</v>
      </c>
      <c r="M9" s="22" t="n">
        <v>24500000</v>
      </c>
      <c r="N9" s="22" t="n">
        <v>3500000</v>
      </c>
      <c r="O9" s="12" t="inlineStr">
        <is>
          <t>Valuation &gt; Cost (Pass)</t>
        </is>
      </c>
      <c r="P9" s="30" t="inlineStr">
        <is>
          <t>Low / Strong Demand</t>
        </is>
      </c>
    </row>
    <row r="10">
      <c r="A10" s="13" t="inlineStr">
        <is>
          <t>PROJ-106</t>
        </is>
      </c>
      <c r="B10" s="5" t="inlineStr">
        <is>
          <t>Project Management &amp; Structural Consultancy</t>
        </is>
      </c>
      <c r="C10" s="6" t="inlineStr">
        <is>
          <t>Engineering Consultancy</t>
        </is>
      </c>
      <c r="D10" s="6" t="inlineStr">
        <is>
          <t>Various Corporate Clients</t>
        </is>
      </c>
      <c r="E10" s="7" t="inlineStr">
        <is>
          <t>Annual Engineering Retainers &amp; SLA Contracts</t>
        </is>
      </c>
      <c r="F10" s="27" t="n">
        <v>25000000</v>
      </c>
      <c r="G10" s="13" t="inlineStr">
        <is>
          <t>2023-01-01</t>
        </is>
      </c>
      <c r="H10" s="13" t="inlineStr">
        <is>
          <t>2025-12-31</t>
        </is>
      </c>
      <c r="I10" s="33" t="n">
        <v>1</v>
      </c>
      <c r="J10" s="21" t="n">
        <v>1200000</v>
      </c>
      <c r="K10" s="21" t="n">
        <v>0</v>
      </c>
      <c r="L10" s="21" t="n">
        <v>22700000</v>
      </c>
      <c r="M10" s="21" t="n">
        <v>22700000</v>
      </c>
      <c r="N10" s="21" t="n">
        <v>0</v>
      </c>
      <c r="O10" s="14" t="inlineStr">
        <is>
          <t>Consultancy Services (Pass)</t>
        </is>
      </c>
      <c r="P10" s="29" t="inlineStr">
        <is>
          <t>Low / Recurring Cashflow</t>
        </is>
      </c>
    </row>
    <row r="11">
      <c r="A11" s="23" t="inlineStr">
        <is>
          <t>TOTAL ACTIVE PORTFOLIO</t>
        </is>
      </c>
      <c r="B11" s="31" t="n"/>
      <c r="C11" s="31" t="n"/>
      <c r="D11" s="31" t="n"/>
      <c r="E11" s="31" t="n"/>
      <c r="F11" s="24">
        <f>SUM(F5:F10)</f>
        <v/>
      </c>
      <c r="G11" s="31" t="n"/>
      <c r="H11" s="31" t="n"/>
      <c r="I11" s="31" t="n"/>
      <c r="J11" s="24">
        <f>SUM(J5:J10)</f>
        <v/>
      </c>
      <c r="K11" s="24">
        <f>SUM(K5:K10)</f>
        <v/>
      </c>
      <c r="L11" s="24">
        <f>SUM(L5:L10)</f>
        <v/>
      </c>
      <c r="M11" s="24">
        <f>SUM(M5:M10)</f>
        <v/>
      </c>
      <c r="N11" s="24">
        <f>SUM(N5:N10)</f>
        <v/>
      </c>
      <c r="O11" s="31" t="n"/>
      <c r="P11" s="31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0" customWidth="1" min="1" max="1"/>
    <col width="45" customWidth="1" min="2" max="2"/>
    <col width="37" customWidth="1" min="3" max="3"/>
    <col width="37" customWidth="1" min="4" max="4"/>
    <col width="40" customWidth="1" min="5" max="5"/>
    <col width="100" customWidth="1" min="6" max="6"/>
    <col width="133" customWidth="1" min="7" max="7"/>
  </cols>
  <sheetData>
    <row r="1">
      <c r="A1" s="1" t="inlineStr">
        <is>
          <t>BAAY PROJECTS LIMITED — IFRS 15 REVENUE &amp; IAS 2 INVENTORY / WIP MODEL</t>
        </is>
      </c>
    </row>
    <row r="2">
      <c r="A2" s="3" t="inlineStr">
        <is>
          <t>5-Step Revenue Recognition Evaluation, Contract Assets/Liabilities &amp; IAS 2 Inventory Roll-Forward</t>
        </is>
      </c>
    </row>
    <row r="3"/>
    <row r="4">
      <c r="A4" s="4" t="inlineStr">
        <is>
          <t>Revenue / Project Stream</t>
        </is>
      </c>
      <c r="B4" s="4" t="inlineStr">
        <is>
          <t>IFRS 15 Timing &amp; Model</t>
        </is>
      </c>
      <c r="C4" s="4" t="inlineStr">
        <is>
          <t>FY 2022 (NGN)</t>
        </is>
      </c>
      <c r="D4" s="4" t="inlineStr">
        <is>
          <t>FY 2023 (NGN)</t>
        </is>
      </c>
      <c r="E4" s="4" t="inlineStr">
        <is>
          <t>FY 2024 (NGN)</t>
        </is>
      </c>
      <c r="F4" s="4" t="inlineStr">
        <is>
          <t>FY 2025 (NGN)</t>
        </is>
      </c>
      <c r="G4" s="4" t="inlineStr">
        <is>
          <t>Accounting Policy &amp; Recognition Criteria</t>
        </is>
      </c>
    </row>
    <row r="5">
      <c r="A5" s="9" t="inlineStr">
        <is>
          <t>Civil Engineering &amp; Construction Contracts</t>
        </is>
      </c>
      <c r="B5" s="10" t="inlineStr">
        <is>
          <t>Over Time (Cost-to-Cost Input Method)</t>
        </is>
      </c>
      <c r="C5" s="22" t="n">
        <v>0</v>
      </c>
      <c r="D5" s="22" t="n">
        <v>22000000</v>
      </c>
      <c r="E5" s="22" t="n">
        <v>38000000</v>
      </c>
      <c r="F5" s="22" t="n">
        <v>68000000</v>
      </c>
      <c r="G5" s="9" t="inlineStr">
        <is>
          <t>Recognized over time as performance creates/enhances asset controlled by client with enforceable payment rights (IFRS 15.35(b)).</t>
        </is>
      </c>
    </row>
    <row r="6">
      <c r="A6" s="6" t="inlineStr">
        <is>
          <t>Land Subdivision &amp; Real Estate Sales</t>
        </is>
      </c>
      <c r="B6" s="7" t="inlineStr">
        <is>
          <t>Point in Time (Title Execution / Delivery)</t>
        </is>
      </c>
      <c r="C6" s="21" t="n">
        <v>0</v>
      </c>
      <c r="D6" s="21" t="n">
        <v>12500000</v>
      </c>
      <c r="E6" s="21" t="n">
        <v>19500000</v>
      </c>
      <c r="F6" s="21" t="n">
        <v>32500000</v>
      </c>
      <c r="G6" s="6" t="inlineStr">
        <is>
          <t>Recognized at point in time when legal deed is executed, physical possession transferred and consideration received/unconditional.</t>
        </is>
      </c>
    </row>
    <row r="7">
      <c r="A7" s="9" t="inlineStr">
        <is>
          <t>Project Management &amp; Engineering Consulting</t>
        </is>
      </c>
      <c r="B7" s="10" t="inlineStr">
        <is>
          <t>Over Time (Services Rendered)</t>
        </is>
      </c>
      <c r="C7" s="22" t="n">
        <v>0</v>
      </c>
      <c r="D7" s="22" t="n">
        <v>4000000</v>
      </c>
      <c r="E7" s="22" t="n">
        <v>6700000</v>
      </c>
      <c r="F7" s="22" t="n">
        <v>12000000</v>
      </c>
      <c r="G7" s="9" t="inlineStr">
        <is>
          <t>Recognized over time as services are simultaneously received and consumed by client (IFRS 15.35(a)).</t>
        </is>
      </c>
    </row>
    <row r="8">
      <c r="A8" s="23" t="inlineStr">
        <is>
          <t>TOTAL REVENUE FROM CONTRACTS WITH CUSTOMERS</t>
        </is>
      </c>
      <c r="B8" s="23" t="inlineStr">
        <is>
          <t>Full IFRS 15 Framework</t>
        </is>
      </c>
      <c r="C8" s="24">
        <f>SUM(C5:C7)</f>
        <v/>
      </c>
      <c r="D8" s="24">
        <f>SUM(D5:D7)</f>
        <v/>
      </c>
      <c r="E8" s="24">
        <f>SUM(E5:E7)</f>
        <v/>
      </c>
      <c r="F8" s="24">
        <f>SUM(F5:F7)</f>
        <v/>
      </c>
      <c r="G8" s="34" t="inlineStr">
        <is>
          <t>Gross statutory turnover recognized in Statement of Profit or Loss.</t>
        </is>
      </c>
    </row>
    <row r="9"/>
    <row r="10"/>
    <row r="11">
      <c r="A11" s="2" t="inlineStr">
        <is>
          <t>CONTRACT BALANCES ROLL-FORWARD (IFRS 15)</t>
        </is>
      </c>
    </row>
    <row r="12">
      <c r="A12" s="4" t="inlineStr">
        <is>
          <t>Contract Balance Category</t>
        </is>
      </c>
      <c r="B12" s="4" t="inlineStr">
        <is>
          <t>31 Dec 2022 (NGN)</t>
        </is>
      </c>
      <c r="C12" s="4" t="inlineStr">
        <is>
          <t>31 Dec 2023 (NGN)</t>
        </is>
      </c>
      <c r="D12" s="4" t="inlineStr">
        <is>
          <t>31 Dec 2024 (NGN)</t>
        </is>
      </c>
      <c r="E12" s="4" t="inlineStr">
        <is>
          <t>31 Dec 2025 (NGN)</t>
        </is>
      </c>
      <c r="F12" s="4" t="inlineStr">
        <is>
          <t>Accounting Definition &amp; Nature</t>
        </is>
      </c>
    </row>
    <row r="13">
      <c r="A13" s="9" t="inlineStr">
        <is>
          <t>Contract Assets (Unbilled Revenue Certified)</t>
        </is>
      </c>
      <c r="B13" s="22" t="n">
        <v>0</v>
      </c>
      <c r="C13" s="22" t="n">
        <v>2400000</v>
      </c>
      <c r="D13" s="22" t="n">
        <v>4150000</v>
      </c>
      <c r="E13" s="22" t="n">
        <v>6850000</v>
      </c>
      <c r="F13" s="10" t="inlineStr">
        <is>
          <t>Cumulative unbilled revenue for performance completed to date exceeding progress billings issued.</t>
        </is>
      </c>
    </row>
    <row r="14">
      <c r="A14" s="6" t="inlineStr">
        <is>
          <t>Contract Liabilities (Customer Mobilization Advances)</t>
        </is>
      </c>
      <c r="B14" s="21" t="n">
        <v>0</v>
      </c>
      <c r="C14" s="21" t="n">
        <v>2400000</v>
      </c>
      <c r="D14" s="21" t="n">
        <v>3600000</v>
      </c>
      <c r="E14" s="21" t="n">
        <v>5800000</v>
      </c>
      <c r="F14" s="7" t="inlineStr">
        <is>
          <t>Customer advances and deposits received prior to satisfying performance obligations.</t>
        </is>
      </c>
    </row>
    <row r="15">
      <c r="A15" s="23" t="inlineStr">
        <is>
          <t>Net Contract Position</t>
        </is>
      </c>
      <c r="B15" s="24">
        <f>B13-B14</f>
        <v/>
      </c>
      <c r="C15" s="24">
        <f>C13-C14</f>
        <v/>
      </c>
      <c r="D15" s="24">
        <f>D13-D14</f>
        <v/>
      </c>
      <c r="E15" s="24">
        <f>E13-E14</f>
        <v/>
      </c>
      <c r="F15" s="25" t="inlineStr">
        <is>
          <t>Net contract asset / (liability) position under IFRS 15.</t>
        </is>
      </c>
    </row>
    <row r="16"/>
    <row r="17"/>
    <row r="18">
      <c r="A18" s="2" t="inlineStr">
        <is>
          <t>IAS 2 DEVELOPMENT INVENTORIES &amp; WORK-IN-PROGRESS ROLL-FORWARD</t>
        </is>
      </c>
    </row>
    <row r="19">
      <c r="A19" s="4" t="inlineStr">
        <is>
          <t>Inventory Component</t>
        </is>
      </c>
      <c r="B19" s="4" t="inlineStr">
        <is>
          <t>Opening Balance 1 Jan (NGN)</t>
        </is>
      </c>
      <c r="C19" s="4" t="inlineStr">
        <is>
          <t>Land &amp; Development Additions (NGN)</t>
        </is>
      </c>
      <c r="D19" s="4" t="inlineStr">
        <is>
          <t>Direct Construction Incurred (NGN)</t>
        </is>
      </c>
      <c r="E19" s="4" t="inlineStr">
        <is>
          <t>Costs Released to Cost of Sales (NGN)</t>
        </is>
      </c>
      <c r="F19" s="4" t="inlineStr">
        <is>
          <t>Closing Balance 31 Dec (NGN)</t>
        </is>
      </c>
      <c r="G19" s="4" t="inlineStr">
        <is>
          <t>NRV Test Status</t>
        </is>
      </c>
    </row>
    <row r="20">
      <c r="A20" s="6" t="inlineStr">
        <is>
          <t>FY 2023 — Land Held for Resale (IAS 2)</t>
        </is>
      </c>
      <c r="B20" s="21" t="n">
        <v>0</v>
      </c>
      <c r="C20" s="21" t="n">
        <v>13500000</v>
      </c>
      <c r="D20" s="21" t="n">
        <v>0</v>
      </c>
      <c r="E20" s="21" t="n">
        <v>-8100000</v>
      </c>
      <c r="F20" s="21" t="n">
        <v>5400000</v>
      </c>
      <c r="G20" s="14" t="inlineStr">
        <is>
          <t>PASSED (NRV &gt; Cost)</t>
        </is>
      </c>
    </row>
    <row r="21">
      <c r="A21" s="9" t="inlineStr">
        <is>
          <t>FY 2023 — Construction WIP (IAS 2)</t>
        </is>
      </c>
      <c r="B21" s="22" t="n">
        <v>0</v>
      </c>
      <c r="C21" s="22" t="n">
        <v>0</v>
      </c>
      <c r="D21" s="22" t="n">
        <v>17450000</v>
      </c>
      <c r="E21" s="22" t="n">
        <v>-14200000</v>
      </c>
      <c r="F21" s="22" t="n">
        <v>3250000</v>
      </c>
      <c r="G21" s="12" t="inlineStr">
        <is>
          <t>PASSED (NRV &gt; Cost)</t>
        </is>
      </c>
    </row>
    <row r="22">
      <c r="A22" s="23" t="inlineStr">
        <is>
          <t>FY 2023 — TOTAL INVENTORIES</t>
        </is>
      </c>
      <c r="B22" s="24" t="n">
        <v>0</v>
      </c>
      <c r="C22" s="24" t="n">
        <v>13500000</v>
      </c>
      <c r="D22" s="24" t="n">
        <v>17450000</v>
      </c>
      <c r="E22" s="24" t="n">
        <v>-22300000</v>
      </c>
      <c r="F22" s="24" t="n">
        <v>8650000</v>
      </c>
      <c r="G22" s="26" t="inlineStr">
        <is>
          <t>TIED TO SFP NOTE 8</t>
        </is>
      </c>
    </row>
    <row r="23">
      <c r="A23" s="9" t="inlineStr">
        <is>
          <t>FY 2024 — Land Held for Resale (IAS 2)</t>
        </is>
      </c>
      <c r="B23" s="22" t="n">
        <v>5400000</v>
      </c>
      <c r="C23" s="22" t="n">
        <v>14600000</v>
      </c>
      <c r="D23" s="22" t="n">
        <v>0</v>
      </c>
      <c r="E23" s="22" t="n">
        <v>-11800000</v>
      </c>
      <c r="F23" s="22" t="n">
        <v>8200000</v>
      </c>
      <c r="G23" s="12" t="inlineStr">
        <is>
          <t>PASSED (NRV &gt; Cost)</t>
        </is>
      </c>
    </row>
    <row r="24">
      <c r="A24" s="6" t="inlineStr">
        <is>
          <t>FY 2024 — Construction WIP (IAS 2)</t>
        </is>
      </c>
      <c r="B24" s="21" t="n">
        <v>3250000</v>
      </c>
      <c r="C24" s="21" t="n">
        <v>0</v>
      </c>
      <c r="D24" s="21" t="n">
        <v>28750000</v>
      </c>
      <c r="E24" s="21" t="n">
        <v>-26400000</v>
      </c>
      <c r="F24" s="21" t="n">
        <v>5600000</v>
      </c>
      <c r="G24" s="14" t="inlineStr">
        <is>
          <t>PASSED (NRV &gt; Cost)</t>
        </is>
      </c>
    </row>
    <row r="25">
      <c r="A25" s="23" t="inlineStr">
        <is>
          <t>FY 2024 — TOTAL INVENTORIES</t>
        </is>
      </c>
      <c r="B25" s="24" t="n">
        <v>8650000</v>
      </c>
      <c r="C25" s="24" t="n">
        <v>14600000</v>
      </c>
      <c r="D25" s="24" t="n">
        <v>28750000</v>
      </c>
      <c r="E25" s="24" t="n">
        <v>-38200000</v>
      </c>
      <c r="F25" s="24" t="n">
        <v>13800000</v>
      </c>
      <c r="G25" s="26" t="inlineStr">
        <is>
          <t>TIED TO SFP NOTE 8</t>
        </is>
      </c>
    </row>
    <row r="26">
      <c r="A26" s="6" t="inlineStr">
        <is>
          <t>FY 2025 — Land Held for Resale (IAS 2)</t>
        </is>
      </c>
      <c r="B26" s="21" t="n">
        <v>8200000</v>
      </c>
      <c r="C26" s="21" t="n">
        <v>27700000</v>
      </c>
      <c r="D26" s="21" t="n">
        <v>0</v>
      </c>
      <c r="E26" s="21" t="n">
        <v>-21400000</v>
      </c>
      <c r="F26" s="21" t="n">
        <v>14500000</v>
      </c>
      <c r="G26" s="14" t="inlineStr">
        <is>
          <t>PASSED (NRV &gt; Cost)</t>
        </is>
      </c>
    </row>
    <row r="27">
      <c r="A27" s="9" t="inlineStr">
        <is>
          <t>FY 2025 — Construction WIP (IAS 2)</t>
        </is>
      </c>
      <c r="B27" s="22" t="n">
        <v>5600000</v>
      </c>
      <c r="C27" s="22" t="n">
        <v>0</v>
      </c>
      <c r="D27" s="22" t="n">
        <v>49800000</v>
      </c>
      <c r="E27" s="22" t="n">
        <v>-45600000</v>
      </c>
      <c r="F27" s="22" t="n">
        <v>9800000</v>
      </c>
      <c r="G27" s="12" t="inlineStr">
        <is>
          <t>PASSED (NRV &gt; Cost)</t>
        </is>
      </c>
    </row>
    <row r="28">
      <c r="A28" s="23" t="inlineStr">
        <is>
          <t>FY 2025 — TOTAL INVENTORIES</t>
        </is>
      </c>
      <c r="B28" s="24" t="n">
        <v>13800000</v>
      </c>
      <c r="C28" s="24" t="n">
        <v>27700000</v>
      </c>
      <c r="D28" s="24" t="n">
        <v>49800000</v>
      </c>
      <c r="E28" s="24" t="n">
        <v>-67000000</v>
      </c>
      <c r="F28" s="24" t="n">
        <v>24300000</v>
      </c>
      <c r="G28" s="26" t="inlineStr">
        <is>
          <t>TIED TO SFP NOTE 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3" customWidth="1" min="1" max="1"/>
    <col width="28" customWidth="1" min="2" max="2"/>
    <col width="28" customWidth="1" min="3" max="3"/>
    <col width="28" customWidth="1" min="4" max="4"/>
    <col width="28" customWidth="1" min="5" max="5"/>
    <col width="35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BAAY PROJECTS LIMITED — PROPERTY, PLANT AND EQUIPMENT SCHEDULE (IAS 16)</t>
        </is>
      </c>
    </row>
    <row r="2">
      <c r="A2" s="3" t="inlineStr">
        <is>
          <t>Fixed Asset Movement, Additions, Straight-Line Depreciation &amp; Net Book Value (2022 - 2025)</t>
        </is>
      </c>
    </row>
    <row r="3"/>
    <row r="4">
      <c r="A4" s="4" t="inlineStr">
        <is>
          <t>Asset Category</t>
        </is>
      </c>
      <c r="B4" s="4" t="inlineStr">
        <is>
          <t>Depr Rate (%)</t>
        </is>
      </c>
      <c r="C4" s="4" t="inlineStr">
        <is>
          <t>Cost at 31 Dec 2022 (NGN)</t>
        </is>
      </c>
      <c r="D4" s="4" t="inlineStr">
        <is>
          <t>2023 Additions (NGN)</t>
        </is>
      </c>
      <c r="E4" s="4" t="inlineStr">
        <is>
          <t>Cost at 31 Dec 2023 (NGN)</t>
        </is>
      </c>
      <c r="F4" s="4" t="inlineStr">
        <is>
          <t>2024 Additions (NGN)</t>
        </is>
      </c>
      <c r="G4" s="4" t="inlineStr">
        <is>
          <t>Cost at 31 Dec 2024 (NGN)</t>
        </is>
      </c>
      <c r="H4" s="4" t="inlineStr">
        <is>
          <t>2025 Additions (NGN)</t>
        </is>
      </c>
      <c r="I4" s="4" t="inlineStr">
        <is>
          <t>Cost at 31 Dec 2025 (NGN)</t>
        </is>
      </c>
    </row>
    <row r="5">
      <c r="A5" s="9" t="inlineStr">
        <is>
          <t>Office &amp; Site Equipment</t>
        </is>
      </c>
      <c r="B5" s="35" t="n">
        <v>0.25</v>
      </c>
      <c r="C5" s="22" t="n">
        <v>23850</v>
      </c>
      <c r="D5" s="22" t="n">
        <v>1800000</v>
      </c>
      <c r="E5" s="22" t="n">
        <v>1823850</v>
      </c>
      <c r="F5" s="22" t="n">
        <v>0</v>
      </c>
      <c r="G5" s="22" t="n">
        <v>1823850</v>
      </c>
      <c r="H5" s="22" t="n">
        <v>0</v>
      </c>
      <c r="I5" s="22" t="n">
        <v>1823850</v>
      </c>
    </row>
    <row r="6">
      <c r="A6" s="6" t="inlineStr">
        <is>
          <t>Motor &amp; Project Vehicles</t>
        </is>
      </c>
      <c r="B6" s="36" t="n">
        <v>0.25</v>
      </c>
      <c r="C6" s="21" t="n">
        <v>0</v>
      </c>
      <c r="D6" s="21" t="n">
        <v>0</v>
      </c>
      <c r="E6" s="21" t="n">
        <v>0</v>
      </c>
      <c r="F6" s="21" t="n">
        <v>2700000</v>
      </c>
      <c r="G6" s="21" t="n">
        <v>2700000</v>
      </c>
      <c r="H6" s="21" t="n">
        <v>0</v>
      </c>
      <c r="I6" s="21" t="n">
        <v>2700000</v>
      </c>
    </row>
    <row r="7">
      <c r="A7" s="9" t="inlineStr">
        <is>
          <t>Plant &amp; Heavy Construction Machinery</t>
        </is>
      </c>
      <c r="B7" s="35" t="n">
        <v>0.2</v>
      </c>
      <c r="C7" s="22" t="n">
        <v>0</v>
      </c>
      <c r="D7" s="22" t="n">
        <v>0</v>
      </c>
      <c r="E7" s="22" t="n">
        <v>0</v>
      </c>
      <c r="F7" s="22" t="n">
        <v>0</v>
      </c>
      <c r="G7" s="22" t="n">
        <v>0</v>
      </c>
      <c r="H7" s="22" t="n">
        <v>3600000</v>
      </c>
      <c r="I7" s="22" t="n">
        <v>3600000</v>
      </c>
    </row>
    <row r="8">
      <c r="A8" s="23" t="inlineStr">
        <is>
          <t>TOTAL GROSS PPE COST</t>
        </is>
      </c>
      <c r="B8" s="37" t="inlineStr"/>
      <c r="C8" s="24">
        <f>SUM(C5:C7)</f>
        <v/>
      </c>
      <c r="D8" s="24">
        <f>SUM(D5:D7)</f>
        <v/>
      </c>
      <c r="E8" s="24">
        <f>SUM(E5:E7)</f>
        <v/>
      </c>
      <c r="F8" s="24">
        <f>SUM(F5:F7)</f>
        <v/>
      </c>
      <c r="G8" s="24">
        <f>SUM(G5:G7)</f>
        <v/>
      </c>
      <c r="H8" s="24">
        <f>SUM(H5:H7)</f>
        <v/>
      </c>
      <c r="I8" s="24">
        <f>SUM(I5:I7)</f>
        <v/>
      </c>
    </row>
    <row r="9"/>
    <row r="10"/>
    <row r="11">
      <c r="A11" s="2" t="inlineStr">
        <is>
          <t>ACCUMULATED DEPRECIATION (IAS 16)</t>
        </is>
      </c>
    </row>
    <row r="12">
      <c r="A12" s="4" t="inlineStr">
        <is>
          <t>Asset Category</t>
        </is>
      </c>
      <c r="B12" s="4" t="inlineStr">
        <is>
          <t>Acc Dep 31 Dec 2022 (NGN)</t>
        </is>
      </c>
      <c r="C12" s="4" t="inlineStr">
        <is>
          <t>2023 Charge (NGN)</t>
        </is>
      </c>
      <c r="D12" s="4" t="inlineStr">
        <is>
          <t>Acc Dep 31 Dec 2023 (NGN)</t>
        </is>
      </c>
      <c r="E12" s="4" t="inlineStr">
        <is>
          <t>2024 Charge (NGN)</t>
        </is>
      </c>
      <c r="F12" s="4" t="inlineStr">
        <is>
          <t>Acc Dep 31 Dec 2024 (NGN)</t>
        </is>
      </c>
      <c r="G12" s="4" t="inlineStr">
        <is>
          <t>2025 Charge (NGN)</t>
        </is>
      </c>
      <c r="H12" s="4" t="inlineStr">
        <is>
          <t>Acc Dep 31 Dec 2025 (NGN)</t>
        </is>
      </c>
    </row>
    <row r="13">
      <c r="A13" s="9" t="inlineStr">
        <is>
          <t>Office &amp; Site Equipment</t>
        </is>
      </c>
      <c r="B13" s="22" t="n">
        <v>14310</v>
      </c>
      <c r="C13" s="22" t="n">
        <v>385000</v>
      </c>
      <c r="D13" s="22" t="n">
        <v>399310</v>
      </c>
      <c r="E13" s="22" t="n">
        <v>377500</v>
      </c>
      <c r="F13" s="22" t="n">
        <v>776810</v>
      </c>
      <c r="G13" s="22" t="n">
        <v>247500</v>
      </c>
      <c r="H13" s="22" t="n">
        <v>1024310</v>
      </c>
    </row>
    <row r="14">
      <c r="A14" s="6" t="inlineStr">
        <is>
          <t>Motor &amp; Project Vehicles</t>
        </is>
      </c>
      <c r="B14" s="21" t="n">
        <v>0</v>
      </c>
      <c r="C14" s="21" t="n">
        <v>0</v>
      </c>
      <c r="D14" s="21" t="n">
        <v>0</v>
      </c>
      <c r="E14" s="21" t="n">
        <v>337500</v>
      </c>
      <c r="F14" s="21" t="n">
        <v>337500</v>
      </c>
      <c r="G14" s="21" t="n">
        <v>675000</v>
      </c>
      <c r="H14" s="21" t="n">
        <v>1012500</v>
      </c>
    </row>
    <row r="15">
      <c r="A15" s="9" t="inlineStr">
        <is>
          <t>Plant &amp; Heavy Construction Machinery</t>
        </is>
      </c>
      <c r="B15" s="22" t="n">
        <v>0</v>
      </c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362500</v>
      </c>
      <c r="H15" s="22" t="n">
        <v>362500</v>
      </c>
    </row>
    <row r="16">
      <c r="A16" s="23" t="inlineStr">
        <is>
          <t>TOTAL ACCUMULATED DEPRECIATION</t>
        </is>
      </c>
      <c r="B16" s="24">
        <f>SUM(B13:B15)</f>
        <v/>
      </c>
      <c r="C16" s="24">
        <f>SUM(C13:C15)</f>
        <v/>
      </c>
      <c r="D16" s="24">
        <f>SUM(D13:D15)</f>
        <v/>
      </c>
      <c r="E16" s="24">
        <f>SUM(E13:E15)</f>
        <v/>
      </c>
      <c r="F16" s="24">
        <f>SUM(F13:F15)</f>
        <v/>
      </c>
      <c r="G16" s="24">
        <f>SUM(G13:G15)</f>
        <v/>
      </c>
      <c r="H16" s="24">
        <f>SUM(H13:H15)</f>
        <v/>
      </c>
    </row>
    <row r="17"/>
    <row r="18"/>
    <row r="19">
      <c r="A19" s="2" t="inlineStr">
        <is>
          <t>NET BOOK VALUE (CARRYING AMOUNT)</t>
        </is>
      </c>
    </row>
    <row r="20">
      <c r="A20" s="4" t="inlineStr">
        <is>
          <t>Asset Category</t>
        </is>
      </c>
      <c r="B20" s="4" t="inlineStr">
        <is>
          <t>31 Dec 2022 (NGN)</t>
        </is>
      </c>
      <c r="C20" s="4" t="inlineStr">
        <is>
          <t>31 Dec 2023 (NGN)</t>
        </is>
      </c>
      <c r="D20" s="4" t="inlineStr">
        <is>
          <t>31 Dec 2024 (NGN)</t>
        </is>
      </c>
      <c r="E20" s="4" t="inlineStr">
        <is>
          <t>31 Dec 2025 (NGN)</t>
        </is>
      </c>
      <c r="F20" s="4" t="inlineStr">
        <is>
          <t>IAS 16 Compliance Status</t>
        </is>
      </c>
    </row>
    <row r="21">
      <c r="A21" s="9" t="inlineStr">
        <is>
          <t>Office &amp; Site Equipment</t>
        </is>
      </c>
      <c r="B21" s="22" t="n">
        <v>9540</v>
      </c>
      <c r="C21" s="22" t="n">
        <v>1424540</v>
      </c>
      <c r="D21" s="22" t="n">
        <v>1047040</v>
      </c>
      <c r="E21" s="22" t="n">
        <v>799540</v>
      </c>
      <c r="F21" s="38" t="inlineStr">
        <is>
          <t>Depreciated at 25% Straight-Line</t>
        </is>
      </c>
    </row>
    <row r="22">
      <c r="A22" s="6" t="inlineStr">
        <is>
          <t>Motor &amp; Project Vehicles</t>
        </is>
      </c>
      <c r="B22" s="21" t="n">
        <v>0</v>
      </c>
      <c r="C22" s="21" t="n">
        <v>0</v>
      </c>
      <c r="D22" s="21" t="n">
        <v>2362500</v>
      </c>
      <c r="E22" s="21" t="n">
        <v>1687500</v>
      </c>
      <c r="F22" s="39" t="inlineStr">
        <is>
          <t>Depreciated at 25% Straight-Line</t>
        </is>
      </c>
    </row>
    <row r="23">
      <c r="A23" s="9" t="inlineStr">
        <is>
          <t>Plant &amp; Heavy Construction Machinery</t>
        </is>
      </c>
      <c r="B23" s="22" t="n">
        <v>0</v>
      </c>
      <c r="C23" s="22" t="n">
        <v>0</v>
      </c>
      <c r="D23" s="22" t="n">
        <v>0</v>
      </c>
      <c r="E23" s="22" t="n">
        <v>3237500</v>
      </c>
      <c r="F23" s="38" t="inlineStr">
        <is>
          <t>Depreciated at 20% Straight-Line</t>
        </is>
      </c>
    </row>
    <row r="24">
      <c r="A24" s="23" t="inlineStr">
        <is>
          <t>TOTAL PPE NET BOOK VALUE</t>
        </is>
      </c>
      <c r="B24" s="24">
        <f>SUM(B21:B23)</f>
        <v/>
      </c>
      <c r="C24" s="24">
        <f>SUM(C21:C23)</f>
        <v/>
      </c>
      <c r="D24" s="24">
        <f>SUM(D21:D23)</f>
        <v/>
      </c>
      <c r="E24" s="24">
        <f>SUM(E21:E23)</f>
        <v/>
      </c>
      <c r="F24" s="26" t="inlineStr">
        <is>
          <t>TIED TO SFP NOTE 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27" customWidth="1" min="2" max="2"/>
    <col width="20" customWidth="1" min="3" max="3"/>
    <col width="20" customWidth="1" min="4" max="4"/>
    <col width="20" customWidth="1" min="5" max="5"/>
    <col width="30" customWidth="1" min="6" max="6"/>
    <col width="47" customWidth="1" min="7" max="7"/>
    <col width="33" customWidth="1" min="8" max="8"/>
    <col width="28" customWidth="1" min="9" max="9"/>
  </cols>
  <sheetData>
    <row r="1">
      <c r="A1" s="1" t="inlineStr">
        <is>
          <t>BAAY PROJECTS LIMITED — RECEIVABLES, ECL (IFRS 9) &amp; PAYABLES SUBLEDGER</t>
        </is>
      </c>
    </row>
    <row r="2">
      <c r="A2" s="3" t="inlineStr">
        <is>
          <t>Aging Analysis, IFRS 9 Expected Credit Loss Matrix &amp; Trade Payables Subledger</t>
        </is>
      </c>
    </row>
    <row r="3"/>
    <row r="4">
      <c r="A4" s="4" t="inlineStr">
        <is>
          <t>Debtor / Customer Account</t>
        </is>
      </c>
      <c r="B4" s="4" t="inlineStr">
        <is>
          <t>Current (0-30 days)</t>
        </is>
      </c>
      <c r="C4" s="4" t="inlineStr">
        <is>
          <t>31-60 days</t>
        </is>
      </c>
      <c r="D4" s="4" t="inlineStr">
        <is>
          <t>61-90 days</t>
        </is>
      </c>
      <c r="E4" s="4" t="inlineStr">
        <is>
          <t>Over 90 days</t>
        </is>
      </c>
      <c r="F4" s="4" t="inlineStr">
        <is>
          <t>Gross Carrying Amount (NGN)</t>
        </is>
      </c>
      <c r="G4" s="4" t="inlineStr">
        <is>
          <t>ECL Loss Rate (%)</t>
        </is>
      </c>
      <c r="H4" s="4" t="inlineStr">
        <is>
          <t>ECL Impairment Allowance (NGN)</t>
        </is>
      </c>
      <c r="I4" s="4" t="inlineStr">
        <is>
          <t>Net Carrying Amount (NGN)</t>
        </is>
      </c>
    </row>
    <row r="5">
      <c r="A5" s="9" t="inlineStr">
        <is>
          <t>Apex Properties Ltd (Lekki Phase 1)</t>
        </is>
      </c>
      <c r="B5" s="22" t="n">
        <v>2500000</v>
      </c>
      <c r="C5" s="22" t="n">
        <v>0</v>
      </c>
      <c r="D5" s="22" t="n">
        <v>0</v>
      </c>
      <c r="E5" s="22" t="n">
        <v>0</v>
      </c>
      <c r="F5" s="22" t="n">
        <v>2500000</v>
      </c>
      <c r="G5" s="35" t="n">
        <v>0.02</v>
      </c>
      <c r="H5" s="22" t="n">
        <v>50000</v>
      </c>
      <c r="I5" s="22" t="n">
        <v>2450000</v>
      </c>
    </row>
    <row r="6">
      <c r="A6" s="6" t="inlineStr">
        <is>
          <t>Horizon Holdings Ltd (Ikeja Commercial)</t>
        </is>
      </c>
      <c r="B6" s="21" t="n">
        <v>0</v>
      </c>
      <c r="C6" s="21" t="n">
        <v>650000</v>
      </c>
      <c r="D6" s="21" t="n">
        <v>0</v>
      </c>
      <c r="E6" s="21" t="n">
        <v>0</v>
      </c>
      <c r="F6" s="21" t="n">
        <v>650000</v>
      </c>
      <c r="G6" s="36" t="n">
        <v>0.05</v>
      </c>
      <c r="H6" s="21" t="n">
        <v>32500</v>
      </c>
      <c r="I6" s="21" t="n">
        <v>617500</v>
      </c>
    </row>
    <row r="7">
      <c r="A7" s="9" t="inlineStr">
        <is>
          <t>Private Land Buyers (Ibeju Scheme 1)</t>
        </is>
      </c>
      <c r="B7" s="22" t="n">
        <v>0</v>
      </c>
      <c r="C7" s="22" t="n">
        <v>0</v>
      </c>
      <c r="D7" s="22" t="n">
        <v>500000</v>
      </c>
      <c r="E7" s="22" t="n">
        <v>0</v>
      </c>
      <c r="F7" s="22" t="n">
        <v>500000</v>
      </c>
      <c r="G7" s="35" t="n">
        <v>0.15</v>
      </c>
      <c r="H7" s="22" t="n">
        <v>75000</v>
      </c>
      <c r="I7" s="22" t="n">
        <v>425000</v>
      </c>
    </row>
    <row r="8">
      <c r="A8" s="6" t="inlineStr">
        <is>
          <t>Historical 2022 Contract Retentions</t>
        </is>
      </c>
      <c r="B8" s="21" t="n">
        <v>0</v>
      </c>
      <c r="C8" s="21" t="n">
        <v>0</v>
      </c>
      <c r="D8" s="21" t="n">
        <v>0</v>
      </c>
      <c r="E8" s="21" t="n">
        <v>0</v>
      </c>
      <c r="F8" s="21" t="n">
        <v>0</v>
      </c>
      <c r="G8" s="36" t="n">
        <v>0.25</v>
      </c>
      <c r="H8" s="21" t="n">
        <v>27500</v>
      </c>
      <c r="I8" s="21" t="n">
        <v>-27500</v>
      </c>
    </row>
    <row r="9">
      <c r="A9" s="23" t="inlineStr">
        <is>
          <t>TOTAL TRADE RECEIVABLES 2023</t>
        </is>
      </c>
      <c r="B9" s="24">
        <f>SUM(B5:B8)</f>
        <v/>
      </c>
      <c r="C9" s="24">
        <f>SUM(C5:C8)</f>
        <v/>
      </c>
      <c r="D9" s="24">
        <f>SUM(D5:D8)</f>
        <v/>
      </c>
      <c r="E9" s="24">
        <f>SUM(E5:E8)</f>
        <v/>
      </c>
      <c r="F9" s="24">
        <f>SUM(F5:F8)</f>
        <v/>
      </c>
      <c r="G9" s="37" t="inlineStr"/>
      <c r="H9" s="24">
        <f>SUM(H5:H8)</f>
        <v/>
      </c>
      <c r="I9" s="24">
        <f>F9-H9</f>
        <v/>
      </c>
    </row>
    <row r="10"/>
    <row r="11"/>
    <row r="12">
      <c r="A12" s="2" t="inlineStr">
        <is>
          <t>TRADE AND OTHER PAYABLES SUBLEDGER (2022 - 2025)</t>
        </is>
      </c>
    </row>
    <row r="13">
      <c r="A13" s="4" t="inlineStr">
        <is>
          <t>Creditor / Supplier / Accrual Account</t>
        </is>
      </c>
      <c r="B13" s="4" t="inlineStr">
        <is>
          <t>Category</t>
        </is>
      </c>
      <c r="C13" s="4" t="inlineStr">
        <is>
          <t>31 Dec 2022 (NGN)</t>
        </is>
      </c>
      <c r="D13" s="4" t="inlineStr">
        <is>
          <t>31 Dec 2023 (NGN)</t>
        </is>
      </c>
      <c r="E13" s="4" t="inlineStr">
        <is>
          <t>31 Dec 2024 (NGN)</t>
        </is>
      </c>
      <c r="F13" s="4" t="inlineStr">
        <is>
          <t>31 Dec 2025 (NGN)</t>
        </is>
      </c>
      <c r="G13" s="4" t="inlineStr">
        <is>
          <t>Payment Terms &amp; Status</t>
        </is>
      </c>
    </row>
    <row r="14">
      <c r="A14" s="6" t="inlineStr">
        <is>
          <t>Titan Piling Nig Ltd (Subcontractor)</t>
        </is>
      </c>
      <c r="B14" s="6" t="inlineStr">
        <is>
          <t>Trade Subcontractor</t>
        </is>
      </c>
      <c r="C14" s="21" t="n">
        <v>0</v>
      </c>
      <c r="D14" s="21" t="n">
        <v>1200000</v>
      </c>
      <c r="E14" s="21" t="n">
        <v>2100000</v>
      </c>
      <c r="F14" s="21" t="n">
        <v>3400000</v>
      </c>
      <c r="G14" s="40" t="inlineStr">
        <is>
          <t>30-day certificate settlement terms</t>
        </is>
      </c>
    </row>
    <row r="15">
      <c r="A15" s="9" t="inlineStr">
        <is>
          <t>Prime Steel &amp; Cement Ltd (Materials)</t>
        </is>
      </c>
      <c r="B15" s="9" t="inlineStr">
        <is>
          <t>Direct Material Supplier</t>
        </is>
      </c>
      <c r="C15" s="22" t="n">
        <v>25000</v>
      </c>
      <c r="D15" s="22" t="n">
        <v>950000</v>
      </c>
      <c r="E15" s="22" t="n">
        <v>1750000</v>
      </c>
      <c r="F15" s="22" t="n">
        <v>3050000</v>
      </c>
      <c r="G15" s="41" t="inlineStr">
        <is>
          <t>Commercial invoice credit facility</t>
        </is>
      </c>
    </row>
    <row r="16">
      <c r="A16" s="6" t="inlineStr">
        <is>
          <t>PKF &amp; Co. / Baker &amp; Associates (Audit Fees)</t>
        </is>
      </c>
      <c r="B16" s="6" t="inlineStr">
        <is>
          <t>Audit Fee Accrual</t>
        </is>
      </c>
      <c r="C16" s="21" t="n">
        <v>50000</v>
      </c>
      <c r="D16" s="21" t="n">
        <v>375000</v>
      </c>
      <c r="E16" s="21" t="n">
        <v>550000</v>
      </c>
      <c r="F16" s="21" t="n">
        <v>850000</v>
      </c>
      <c r="G16" s="40" t="inlineStr">
        <is>
          <t>Statutory audit fee accrued annually</t>
        </is>
      </c>
    </row>
    <row r="17">
      <c r="A17" s="9" t="inlineStr">
        <is>
          <t>Sundry Site Operating &amp; Utilities Accruals</t>
        </is>
      </c>
      <c r="B17" s="9" t="inlineStr">
        <is>
          <t>Operational Accruals</t>
        </is>
      </c>
      <c r="C17" s="22" t="n">
        <v>0</v>
      </c>
      <c r="D17" s="22" t="n">
        <v>245235</v>
      </c>
      <c r="E17" s="22" t="n">
        <v>425500</v>
      </c>
      <c r="F17" s="22" t="n">
        <v>683500</v>
      </c>
      <c r="G17" s="41" t="inlineStr">
        <is>
          <t>Electricity, communication and site security</t>
        </is>
      </c>
    </row>
    <row r="18">
      <c r="A18" s="23" t="inlineStr">
        <is>
          <t>TOTAL TRADE AND OTHER PAYABLES</t>
        </is>
      </c>
      <c r="B18" s="34" t="inlineStr">
        <is>
          <t>Current Liabilities</t>
        </is>
      </c>
      <c r="C18" s="24">
        <f>SUM(C14:C17)</f>
        <v/>
      </c>
      <c r="D18" s="24">
        <f>SUM(D14:D17)</f>
        <v/>
      </c>
      <c r="E18" s="24">
        <f>SUM(E14:E17)</f>
        <v/>
      </c>
      <c r="F18" s="24">
        <f>SUM(F14:F17)</f>
        <v/>
      </c>
      <c r="G18" s="26" t="inlineStr">
        <is>
          <t>TIED TO SFP NOTE 14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4" customWidth="1" min="1" max="1"/>
    <col width="46" customWidth="1" min="2" max="2"/>
    <col width="26" customWidth="1" min="3" max="3"/>
    <col width="35" customWidth="1" min="4" max="4"/>
    <col width="38" customWidth="1" min="5" max="5"/>
    <col width="20" customWidth="1" min="6" max="6"/>
    <col width="109" customWidth="1" min="7" max="7"/>
  </cols>
  <sheetData>
    <row r="1">
      <c r="A1" s="1" t="inlineStr">
        <is>
          <t>BAAY PROJECTS LIMITED — RELATED PARTIES (IAS 24) &amp; EQUITY ROLL-FORWARD</t>
        </is>
      </c>
    </row>
    <row r="2">
      <c r="A2" s="3" t="inlineStr">
        <is>
          <t>Director Current Accounts, Trade Alias Movements &amp; Statement of Changes in Equity</t>
        </is>
      </c>
    </row>
    <row r="3"/>
    <row r="4">
      <c r="A4" s="4" t="inlineStr">
        <is>
          <t>Related Party / Entity Name</t>
        </is>
      </c>
      <c r="B4" s="4" t="inlineStr">
        <is>
          <t>Relationship &amp; Nature</t>
        </is>
      </c>
      <c r="C4" s="4" t="inlineStr">
        <is>
          <t>31 Dec 2022 (NGN)</t>
        </is>
      </c>
      <c r="D4" s="4" t="inlineStr">
        <is>
          <t>31 Dec 2023 (NGN)</t>
        </is>
      </c>
      <c r="E4" s="4" t="inlineStr">
        <is>
          <t>31 Dec 2024 (NGN)</t>
        </is>
      </c>
      <c r="F4" s="4" t="inlineStr">
        <is>
          <t>31 Dec 2025 (NGN)</t>
        </is>
      </c>
      <c r="G4" s="4" t="inlineStr">
        <is>
          <t>Terms, Interest &amp; Subordination Status</t>
        </is>
      </c>
    </row>
    <row r="5">
      <c r="A5" s="9" t="inlineStr">
        <is>
          <t>Engr. Babatunde Goke</t>
        </is>
      </c>
      <c r="B5" s="9" t="inlineStr">
        <is>
          <t>Managing Director / Controlling Shareholder</t>
        </is>
      </c>
      <c r="C5" s="22" t="n">
        <v>0</v>
      </c>
      <c r="D5" s="22" t="n">
        <v>4500000</v>
      </c>
      <c r="E5" s="22" t="n">
        <v>5800000</v>
      </c>
      <c r="F5" s="22" t="n">
        <v>7500000</v>
      </c>
      <c r="G5" s="41" t="inlineStr">
        <is>
          <t>Unsecured, non-interest bearing long-term project funding facility; subordinated to third-party bank debt.</t>
        </is>
      </c>
    </row>
    <row r="6">
      <c r="A6" s="6" t="inlineStr">
        <is>
          <t>Baay Gokes (Business Name Alias)</t>
        </is>
      </c>
      <c r="B6" s="6" t="inlineStr">
        <is>
          <t>Trade Alias (Same Legal Entity RC 1526224)</t>
        </is>
      </c>
      <c r="C6" s="21" t="n">
        <v>0</v>
      </c>
      <c r="D6" s="21" t="n">
        <v>0</v>
      </c>
      <c r="E6" s="21" t="n">
        <v>0</v>
      </c>
      <c r="F6" s="21" t="n">
        <v>0</v>
      </c>
      <c r="G6" s="40" t="inlineStr">
        <is>
          <t>All bank accounts &amp; transactions merged into Baay Projects Limited. Zero intercompany balance.</t>
        </is>
      </c>
    </row>
    <row r="7">
      <c r="A7" s="9" t="inlineStr">
        <is>
          <t>Baay Degok (Business Name Alias)</t>
        </is>
      </c>
      <c r="B7" s="9" t="inlineStr">
        <is>
          <t>Trade Alias (Same Legal Entity RC 1526224)</t>
        </is>
      </c>
      <c r="C7" s="22" t="n">
        <v>0</v>
      </c>
      <c r="D7" s="22" t="n">
        <v>0</v>
      </c>
      <c r="E7" s="22" t="n">
        <v>0</v>
      </c>
      <c r="F7" s="22" t="n">
        <v>0</v>
      </c>
      <c r="G7" s="41" t="inlineStr">
        <is>
          <t>All bank accounts &amp; transactions merged into Baay Projects Limited. Zero intercompany balance.</t>
        </is>
      </c>
    </row>
    <row r="8">
      <c r="A8" s="23" t="inlineStr">
        <is>
          <t>TOTAL RELATED PARTY BORROWINGS</t>
        </is>
      </c>
      <c r="B8" s="34" t="inlineStr">
        <is>
          <t>Non-Current Liabilities</t>
        </is>
      </c>
      <c r="C8" s="24">
        <f>SUM(C5:C7)</f>
        <v/>
      </c>
      <c r="D8" s="24">
        <f>SUM(D5:D7)</f>
        <v/>
      </c>
      <c r="E8" s="24">
        <f>SUM(E5:E7)</f>
        <v/>
      </c>
      <c r="F8" s="24">
        <f>SUM(F5:F7)</f>
        <v/>
      </c>
      <c r="G8" s="26" t="inlineStr">
        <is>
          <t>TIED TO SFP NOTE 17</t>
        </is>
      </c>
    </row>
    <row r="9"/>
    <row r="10"/>
    <row r="11">
      <c r="A11" s="2" t="inlineStr">
        <is>
          <t>STATEMENT OF CHANGES IN EQUITY (2022 - 2025)</t>
        </is>
      </c>
    </row>
    <row r="12">
      <c r="A12" s="4" t="inlineStr">
        <is>
          <t>Equity Component</t>
        </is>
      </c>
      <c r="B12" s="4" t="inlineStr">
        <is>
          <t>Ordinary Share Capital (NGN)</t>
        </is>
      </c>
      <c r="C12" s="4" t="inlineStr">
        <is>
          <t>Retained Earnings (NGN)</t>
        </is>
      </c>
      <c r="D12" s="4" t="inlineStr">
        <is>
          <t>Total Shareholders' Equity (NGN)</t>
        </is>
      </c>
      <c r="E12" s="4" t="inlineStr">
        <is>
          <t>Audit Movement Verification</t>
        </is>
      </c>
    </row>
    <row r="13">
      <c r="A13" s="9" t="inlineStr">
        <is>
          <t>Balance at 1 January 2022</t>
        </is>
      </c>
      <c r="B13" s="22" t="n">
        <v>1000000</v>
      </c>
      <c r="C13" s="22" t="n">
        <v>1650000</v>
      </c>
      <c r="D13" s="22" t="n">
        <v>2650000</v>
      </c>
      <c r="E13" s="38" t="inlineStr">
        <is>
          <t>Opening Share Capital &amp; Earnings</t>
        </is>
      </c>
    </row>
    <row r="14">
      <c r="A14" s="6" t="inlineStr">
        <is>
          <t>Profit for the Year 2022</t>
        </is>
      </c>
      <c r="B14" s="21" t="n">
        <v>0</v>
      </c>
      <c r="C14" s="21" t="n">
        <v>711708</v>
      </c>
      <c r="D14" s="21" t="n">
        <v>711708</v>
      </c>
      <c r="E14" s="39" t="inlineStr">
        <is>
          <t>2022 Audited AFS Net Profit</t>
        </is>
      </c>
    </row>
    <row r="15">
      <c r="A15" s="23" t="inlineStr">
        <is>
          <t>Balance at 31 December 2022</t>
        </is>
      </c>
      <c r="B15" s="24" t="n">
        <v>1000000</v>
      </c>
      <c r="C15" s="24" t="n">
        <v>2361708</v>
      </c>
      <c r="D15" s="24" t="n">
        <v>3361708</v>
      </c>
      <c r="E15" s="26" t="inlineStr">
        <is>
          <t>Audited 2022 Balance Sheet</t>
        </is>
      </c>
    </row>
    <row r="16">
      <c r="A16" s="6" t="inlineStr">
        <is>
          <t>Profit for the Year 2023</t>
        </is>
      </c>
      <c r="B16" s="21" t="n">
        <v>0</v>
      </c>
      <c r="C16" s="21" t="n">
        <v>5600235</v>
      </c>
      <c r="D16" s="21" t="n">
        <v>5600235</v>
      </c>
      <c r="E16" s="39" t="inlineStr">
        <is>
          <t>Statement of Profit or Loss FY 2023</t>
        </is>
      </c>
    </row>
    <row r="17">
      <c r="A17" s="23" t="inlineStr">
        <is>
          <t>Balance at 31 December 2023</t>
        </is>
      </c>
      <c r="B17" s="24" t="n">
        <v>1000000</v>
      </c>
      <c r="C17" s="24" t="n">
        <v>7961943</v>
      </c>
      <c r="D17" s="24" t="n">
        <v>8961943</v>
      </c>
      <c r="E17" s="26" t="inlineStr">
        <is>
          <t>Audited SFP 31 Dec 2023</t>
        </is>
      </c>
    </row>
    <row r="18">
      <c r="A18" s="6" t="inlineStr">
        <is>
          <t>Profit for the Year 2024</t>
        </is>
      </c>
      <c r="B18" s="21" t="n">
        <v>0</v>
      </c>
      <c r="C18" s="21" t="n">
        <v>9514775</v>
      </c>
      <c r="D18" s="21" t="n">
        <v>9514775</v>
      </c>
      <c r="E18" s="39" t="inlineStr">
        <is>
          <t>Statement of Profit or Loss FY 2024</t>
        </is>
      </c>
    </row>
    <row r="19">
      <c r="A19" s="23" t="inlineStr">
        <is>
          <t>Balance at 31 December 2024</t>
        </is>
      </c>
      <c r="B19" s="24" t="n">
        <v>1000000</v>
      </c>
      <c r="C19" s="24" t="n">
        <v>17476718</v>
      </c>
      <c r="D19" s="24" t="n">
        <v>18476718</v>
      </c>
      <c r="E19" s="26" t="inlineStr">
        <is>
          <t>Audited SFP 31 Dec 2024</t>
        </is>
      </c>
    </row>
    <row r="20">
      <c r="A20" s="6" t="inlineStr">
        <is>
          <t>Profit for the Year 2025</t>
        </is>
      </c>
      <c r="B20" s="21" t="n">
        <v>0</v>
      </c>
      <c r="C20" s="21" t="n">
        <v>14899870</v>
      </c>
      <c r="D20" s="21" t="n">
        <v>14899870</v>
      </c>
      <c r="E20" s="39" t="inlineStr">
        <is>
          <t>Statement of Profit or Loss FY 2025</t>
        </is>
      </c>
    </row>
    <row r="21">
      <c r="A21" s="23" t="inlineStr">
        <is>
          <t>Balance at 31 December 2025</t>
        </is>
      </c>
      <c r="B21" s="24" t="n">
        <v>1000000</v>
      </c>
      <c r="C21" s="24" t="n">
        <v>32376588</v>
      </c>
      <c r="D21" s="24" t="n">
        <v>33376588</v>
      </c>
      <c r="E21" s="26" t="inlineStr">
        <is>
          <t>Audited SFP 31 Dec 2025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0" customWidth="1" min="1" max="1"/>
    <col width="50" customWidth="1" min="2" max="2"/>
    <col width="49" customWidth="1" min="3" max="3"/>
    <col width="41" customWidth="1" min="4" max="4"/>
    <col width="63" customWidth="1" min="5" max="5"/>
    <col width="52" customWidth="1" min="6" max="6"/>
    <col width="68" customWidth="1" min="7" max="7"/>
    <col width="61" customWidth="1" min="8" max="8"/>
    <col width="48" customWidth="1" min="9" max="9"/>
    <col width="46" customWidth="1" min="10" max="10"/>
  </cols>
  <sheetData>
    <row r="1">
      <c r="A1" s="1" t="inlineStr">
        <is>
          <t>BAAY PROJECTS LIMITED — STATUTORY NIGERIAN TAX LAW MATRIX</t>
        </is>
      </c>
    </row>
    <row r="2">
      <c r="A2" s="3" t="inlineStr">
        <is>
          <t>Governing Acts, Sections, Amendments, Effective Dates, Thresholds &amp; Statutory Authority Reference</t>
        </is>
      </c>
    </row>
    <row r="3"/>
    <row r="4">
      <c r="A4" s="4" t="inlineStr">
        <is>
          <t>Tax Head / Statutory Levy</t>
        </is>
      </c>
      <c r="B4" s="4" t="inlineStr">
        <is>
          <t>Governing Primary Act &amp; Section</t>
        </is>
      </c>
      <c r="C4" s="4" t="inlineStr">
        <is>
          <t>Key Amending Legislation</t>
        </is>
      </c>
      <c r="D4" s="4" t="inlineStr">
        <is>
          <t>Commencement / Effective Date</t>
        </is>
      </c>
      <c r="E4" s="4" t="inlineStr">
        <is>
          <t>Basis Period &amp; YOA Alignment</t>
        </is>
      </c>
      <c r="F4" s="4" t="inlineStr">
        <is>
          <t>Tax Base / Statutory Base</t>
        </is>
      </c>
      <c r="G4" s="4" t="inlineStr">
        <is>
          <t>Statutory Rates &amp; Thresholds</t>
        </is>
      </c>
      <c r="H4" s="4" t="inlineStr">
        <is>
          <t>Exemptions / Reliefs</t>
        </is>
      </c>
      <c r="I4" s="4" t="inlineStr">
        <is>
          <t>Filing &amp; Remittance Deadline</t>
        </is>
      </c>
      <c r="J4" s="4" t="inlineStr">
        <is>
          <t>Competent Tax Authority</t>
        </is>
      </c>
    </row>
    <row r="5">
      <c r="A5" s="8" t="inlineStr">
        <is>
          <t>Companies Income Tax (CIT)</t>
        </is>
      </c>
      <c r="B5" s="9" t="inlineStr">
        <is>
          <t>CITA CAP C21 LFN 2004, Sec 40</t>
        </is>
      </c>
      <c r="C5" s="9" t="inlineStr">
        <is>
          <t>Finance Acts 2019, 2020, 2021, 2023</t>
        </is>
      </c>
      <c r="D5" s="10" t="inlineStr">
        <is>
          <t>Continuous (Amended annually)</t>
        </is>
      </c>
      <c r="E5" s="9" t="inlineStr">
        <is>
          <t>Preceding Year Basis (FY23-&gt;YOA24, FY24-&gt;YOA25, FY25-&gt;YOA26)</t>
        </is>
      </c>
      <c r="F5" s="9" t="inlineStr">
        <is>
          <t>Taxable Profit (Adjusted for non-allowables &amp; CA)</t>
        </is>
      </c>
      <c r="G5" s="8" t="inlineStr">
        <is>
          <t>Small (&lt;=25m): 0%; Medium (&gt;25m-100m): 20%; Large (&gt;100m): 30%</t>
        </is>
      </c>
      <c r="H5" s="10" t="inlineStr">
        <is>
          <t>Small business complete exemption (0% rate)</t>
        </is>
      </c>
      <c r="I5" s="9" t="inlineStr">
        <is>
          <t>6 months post financial year-end (30 June)</t>
        </is>
      </c>
      <c r="J5" s="8" t="inlineStr">
        <is>
          <t>Federal Inland Revenue Service (FIRS)</t>
        </is>
      </c>
    </row>
    <row r="6">
      <c r="A6" s="5" t="inlineStr">
        <is>
          <t>Tertiary Education Tax (TET)</t>
        </is>
      </c>
      <c r="B6" s="6" t="inlineStr">
        <is>
          <t>TETFA 2011, Sec 1(2)</t>
        </is>
      </c>
      <c r="C6" s="6" t="inlineStr">
        <is>
          <t>Finance Act 2021 (2.5%), Finance Act 2023 (3%)</t>
        </is>
      </c>
      <c r="D6" s="7" t="inlineStr">
        <is>
          <t>1 September 2023 for FA 2023 3% rate</t>
        </is>
      </c>
      <c r="E6" s="6" t="inlineStr">
        <is>
          <t>Accounting periods ending on/after 1-Sep-2023</t>
        </is>
      </c>
      <c r="F6" s="6" t="inlineStr">
        <is>
          <t>Assessable Profit (PBT + Disallowables before CA)</t>
        </is>
      </c>
      <c r="G6" s="5" t="inlineStr">
        <is>
          <t>3% of Assessable Profit (increased from 2.5%)</t>
        </is>
      </c>
      <c r="H6" s="7" t="inlineStr">
        <is>
          <t>Small companies (Turnover &lt;= ₦25m) exempt</t>
        </is>
      </c>
      <c r="I6" s="6" t="inlineStr">
        <is>
          <t>Concurrent with CIT return (30 June)</t>
        </is>
      </c>
      <c r="J6" s="5" t="inlineStr">
        <is>
          <t>Federal Inland Revenue Service (FIRS)</t>
        </is>
      </c>
    </row>
    <row r="7">
      <c r="A7" s="8" t="inlineStr">
        <is>
          <t>Minimum Tax</t>
        </is>
      </c>
      <c r="B7" s="9" t="inlineStr">
        <is>
          <t>CITA CAP C21 LFN 2004, Sec 33</t>
        </is>
      </c>
      <c r="C7" s="9" t="inlineStr">
        <is>
          <t>Finance Acts 2019, 2020, 2021</t>
        </is>
      </c>
      <c r="D7" s="10" t="inlineStr">
        <is>
          <t>Effective 1 January 2020</t>
        </is>
      </c>
      <c r="E7" s="9" t="inlineStr">
        <is>
          <t>Basis period corresponding to YOA</t>
        </is>
      </c>
      <c r="F7" s="9" t="inlineStr">
        <is>
          <t>Gross Turnover less Franked Investment Income</t>
        </is>
      </c>
      <c r="G7" s="8" t="inlineStr">
        <is>
          <t>0.5% of Gross Turnover</t>
        </is>
      </c>
      <c r="H7" s="10" t="inlineStr">
        <is>
          <t>Small companies, first 4 calendar years of commencement</t>
        </is>
      </c>
      <c r="I7" s="9" t="inlineStr">
        <is>
          <t>Concurrent with CIT return (30 June)</t>
        </is>
      </c>
      <c r="J7" s="8" t="inlineStr">
        <is>
          <t>Federal Inland Revenue Service (FIRS)</t>
        </is>
      </c>
    </row>
    <row r="8">
      <c r="A8" s="5" t="inlineStr">
        <is>
          <t>Value Added Tax (VAT)</t>
        </is>
      </c>
      <c r="B8" s="6" t="inlineStr">
        <is>
          <t>Value Added Tax Act CAP V1 LFN 2004</t>
        </is>
      </c>
      <c r="C8" s="6" t="inlineStr">
        <is>
          <t>Finance Acts 2019 (7.5%), 2020</t>
        </is>
      </c>
      <c r="D8" s="7" t="inlineStr">
        <is>
          <t>1 February 2020 for 7.5% standard rate</t>
        </is>
      </c>
      <c r="E8" s="6" t="inlineStr">
        <is>
          <t>Monthly transaction date (Tax Point)</t>
        </is>
      </c>
      <c r="F8" s="6" t="inlineStr">
        <is>
          <t>Value of Taxable Goods &amp; Services Supplied</t>
        </is>
      </c>
      <c r="G8" s="5" t="inlineStr">
        <is>
          <t>7.5% Standard Rate on taxable supplies</t>
        </is>
      </c>
      <c r="H8" s="7" t="inlineStr">
        <is>
          <t>Sale of bare land and residential properties exempt</t>
        </is>
      </c>
      <c r="I8" s="6" t="inlineStr">
        <is>
          <t>21st day of month following transaction</t>
        </is>
      </c>
      <c r="J8" s="5" t="inlineStr">
        <is>
          <t>Federal Inland Revenue Service (FIRS)</t>
        </is>
      </c>
    </row>
    <row r="9">
      <c r="A9" s="8" t="inlineStr">
        <is>
          <t>Withholding Tax (Client Deductions)</t>
        </is>
      </c>
      <c r="B9" s="9" t="inlineStr">
        <is>
          <t>CITA Sec 81 / PITA Sec 73</t>
        </is>
      </c>
      <c r="C9" s="9" t="inlineStr">
        <is>
          <t>Deduction of Tax at Source Regs 2024</t>
        </is>
      </c>
      <c r="D9" s="10" t="inlineStr">
        <is>
          <t>1 Jan 2025 (Gazetted 2024 Regulations)</t>
        </is>
      </c>
      <c r="E9" s="9" t="inlineStr">
        <is>
          <t>Date of payment or credit by client</t>
        </is>
      </c>
      <c r="F9" s="9" t="inlineStr">
        <is>
          <t>Gross contract / invoice billing amount</t>
        </is>
      </c>
      <c r="G9" s="8" t="inlineStr">
        <is>
          <t>5% on Construction contracts; 2% for building under 2024 Regs</t>
        </is>
      </c>
      <c r="H9" s="10" t="inlineStr">
        <is>
          <t>Reimbursables and exempt contracts</t>
        </is>
      </c>
      <c r="I9" s="9" t="inlineStr">
        <is>
          <t>Credit note offset against CIT liability</t>
        </is>
      </c>
      <c r="J9" s="8" t="inlineStr">
        <is>
          <t>Federal Inland Revenue Service (FIRS)</t>
        </is>
      </c>
    </row>
    <row r="10">
      <c r="A10" s="5" t="inlineStr">
        <is>
          <t>Withholding Tax (Vendor Deductions)</t>
        </is>
      </c>
      <c r="B10" s="6" t="inlineStr">
        <is>
          <t>CITA Sec 81 / PITA Sec 73</t>
        </is>
      </c>
      <c r="C10" s="6" t="inlineStr">
        <is>
          <t>Deduction of Tax at Source Regs 2024</t>
        </is>
      </c>
      <c r="D10" s="7" t="inlineStr">
        <is>
          <t>1 Jan 2025 (Gazetted 2024 Regulations)</t>
        </is>
      </c>
      <c r="E10" s="6" t="inlineStr">
        <is>
          <t>Date of payment to suppliers / subcontractors</t>
        </is>
      </c>
      <c r="F10" s="6" t="inlineStr">
        <is>
          <t>Gross payment to vendors and subcontractors</t>
        </is>
      </c>
      <c r="G10" s="5" t="inlineStr">
        <is>
          <t>2023-2024: 5% Construction; 2025: 2% Resident Building, 5% Others</t>
        </is>
      </c>
      <c r="H10" s="7" t="inlineStr">
        <is>
          <t>Small vendors below statutory threshold</t>
        </is>
      </c>
      <c r="I10" s="6" t="inlineStr">
        <is>
          <t>21st day of month following deduction</t>
        </is>
      </c>
      <c r="J10" s="5" t="inlineStr">
        <is>
          <t>FIRS (Corporate) / State IRS (Individuals)</t>
        </is>
      </c>
    </row>
    <row r="11">
      <c r="A11" s="8" t="inlineStr">
        <is>
          <t>Police Trust Fund (PTF) Levy</t>
        </is>
      </c>
      <c r="B11" s="9" t="inlineStr">
        <is>
          <t>Nigeria Police Trust Fund Act 2019, Sec 4(1)(b)</t>
        </is>
      </c>
      <c r="C11" s="9" t="inlineStr">
        <is>
          <t>NPTF Act 2019 Gazette No. 119 Vol. 106</t>
        </is>
      </c>
      <c r="D11" s="10" t="inlineStr">
        <is>
          <t>24 June 2019 (6-year initial period)</t>
        </is>
      </c>
      <c r="E11" s="9" t="inlineStr">
        <is>
          <t>Net profit of the financial year</t>
        </is>
      </c>
      <c r="F11" s="9" t="inlineStr">
        <is>
          <t>Net Profit (Profit Before Tax)</t>
        </is>
      </c>
      <c r="G11" s="8" t="inlineStr">
        <is>
          <t>0.005% (0.00005) of Net Profit</t>
        </is>
      </c>
      <c r="H11" s="10" t="inlineStr">
        <is>
          <t>No statutory threshold exemption</t>
        </is>
      </c>
      <c r="I11" s="9" t="inlineStr">
        <is>
          <t>Concurrent with CIT return (30 June)</t>
        </is>
      </c>
      <c r="J11" s="8" t="inlineStr">
        <is>
          <t>Federal Inland Revenue Service (FIRS)</t>
        </is>
      </c>
    </row>
    <row r="12">
      <c r="A12" s="5" t="inlineStr">
        <is>
          <t>NASENI Development Levy</t>
        </is>
      </c>
      <c r="B12" s="6" t="inlineStr">
        <is>
          <t>NASENI Act CAP N3 LFN 2004, Sec 20(2)(a)</t>
        </is>
      </c>
      <c r="C12" s="6" t="inlineStr">
        <is>
          <t>Finance Act 2021</t>
        </is>
      </c>
      <c r="D12" s="7" t="inlineStr">
        <is>
          <t>1 January 2022</t>
        </is>
      </c>
      <c r="E12" s="6" t="inlineStr">
        <is>
          <t>Basis period with turnover &gt; ₦100m</t>
        </is>
      </c>
      <c r="F12" s="6" t="inlineStr">
        <is>
          <t>Profit Before Tax (PBT)</t>
        </is>
      </c>
      <c r="G12" s="5" t="inlineStr">
        <is>
          <t>0.25% of Profit Before Tax</t>
        </is>
      </c>
      <c r="H12" s="7" t="inlineStr">
        <is>
          <t>Companies with turnover below ₦100,000,000 exempt</t>
        </is>
      </c>
      <c r="I12" s="6" t="inlineStr">
        <is>
          <t>Concurrent with CIT return (30 June)</t>
        </is>
      </c>
      <c r="J12" s="5" t="inlineStr">
        <is>
          <t>Federal Inland Revenue Service (FIRS)</t>
        </is>
      </c>
    </row>
    <row r="13">
      <c r="A13" s="8" t="inlineStr">
        <is>
          <t>Personal Income Tax / PAYE</t>
        </is>
      </c>
      <c r="B13" s="9" t="inlineStr">
        <is>
          <t>PITA CAP P8 LFN 2004, Sec 81</t>
        </is>
      </c>
      <c r="C13" s="9" t="inlineStr">
        <is>
          <t>Finance Acts 2019, 2020</t>
        </is>
      </c>
      <c r="D13" s="10" t="inlineStr">
        <is>
          <t>Continuous (Graduated Bands)</t>
        </is>
      </c>
      <c r="E13" s="9" t="inlineStr">
        <is>
          <t>Monthly employee remuneration</t>
        </is>
      </c>
      <c r="F13" s="9" t="inlineStr">
        <is>
          <t>Gross emoluments less Consolidated Relief (CRA)</t>
        </is>
      </c>
      <c r="G13" s="8" t="inlineStr">
        <is>
          <t>Graduated scale from 7% to 24%; Minimum tax 1%</t>
        </is>
      </c>
      <c r="H13" s="10" t="inlineStr">
        <is>
          <t>Employees earning &lt;= National Minimum Wage exempt</t>
        </is>
      </c>
      <c r="I13" s="9" t="inlineStr">
        <is>
          <t>10th day of month following payroll deduction</t>
        </is>
      </c>
      <c r="J13" s="8" t="inlineStr">
        <is>
          <t>Lagos State Internal Revenue Service (LIRS)</t>
        </is>
      </c>
    </row>
    <row r="14">
      <c r="A14" s="5" t="inlineStr">
        <is>
          <t>Capital Gains Tax (CGT)</t>
        </is>
      </c>
      <c r="B14" s="6" t="inlineStr">
        <is>
          <t>CGTA CAP C1 LFN 2004, Sec 2</t>
        </is>
      </c>
      <c r="C14" s="6" t="inlineStr">
        <is>
          <t>Finance Acts 2020, 2021</t>
        </is>
      </c>
      <c r="D14" s="7" t="inlineStr">
        <is>
          <t>Continuous</t>
        </is>
      </c>
      <c r="E14" s="6" t="inlineStr">
        <is>
          <t>Date of capital asset disposal</t>
        </is>
      </c>
      <c r="F14" s="6" t="inlineStr">
        <is>
          <t>Net chargeable gain on disposal of capital assets</t>
        </is>
      </c>
      <c r="G14" s="5" t="inlineStr">
        <is>
          <t>10% of Chargeable Gain</t>
        </is>
      </c>
      <c r="H14" s="7" t="inlineStr">
        <is>
          <t>Ordinary trading stock (IAS 2 land resale) exempt from CGT</t>
        </is>
      </c>
      <c r="I14" s="6" t="inlineStr">
        <is>
          <t>Concurrent with annual tax return</t>
        </is>
      </c>
      <c r="J14" s="5" t="inlineStr">
        <is>
          <t>Federal Inland Revenue Service (FIRS)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3" customWidth="1" min="1" max="1"/>
    <col width="44" customWidth="1" min="2" max="2"/>
    <col width="30" customWidth="1" min="3" max="3"/>
    <col width="30" customWidth="1" min="4" max="4"/>
    <col width="30" customWidth="1" min="5" max="5"/>
    <col width="29" customWidth="1" min="6" max="6"/>
  </cols>
  <sheetData>
    <row r="1">
      <c r="A1" s="1" t="inlineStr">
        <is>
          <t>BAAY PROJECTS LIMITED — CIT, TET &amp; MINIMUM TAX COMPUTATIONS</t>
        </is>
      </c>
    </row>
    <row r="2">
      <c r="A2" s="3" t="inlineStr">
        <is>
          <t>Statutory Tax Computations for Years of Assessment 2024, 2025 and 2026</t>
        </is>
      </c>
    </row>
    <row r="3"/>
    <row r="4">
      <c r="A4" s="4" t="inlineStr">
        <is>
          <t>Tax Computation Line Item</t>
        </is>
      </c>
      <c r="B4" s="4" t="inlineStr">
        <is>
          <t>Statutory Rule / Formula</t>
        </is>
      </c>
      <c r="C4" s="4" t="inlineStr">
        <is>
          <t>FY 2023 / YOA 2024 (NGN)</t>
        </is>
      </c>
      <c r="D4" s="4" t="inlineStr">
        <is>
          <t>FY 2024 / YOA 2025 (NGN)</t>
        </is>
      </c>
      <c r="E4" s="4" t="inlineStr">
        <is>
          <t>FY 2025 / YOA 2026 (NGN)</t>
        </is>
      </c>
      <c r="F4" s="4" t="inlineStr">
        <is>
          <t>Applicable Tax Legislation</t>
        </is>
      </c>
    </row>
    <row r="5">
      <c r="A5" s="9" t="inlineStr">
        <is>
          <t>Gross Statutory Turnover</t>
        </is>
      </c>
      <c r="B5" s="10" t="inlineStr">
        <is>
          <t>IFRS 15 Revenue</t>
        </is>
      </c>
      <c r="C5" s="22" t="n">
        <v>38500000</v>
      </c>
      <c r="D5" s="22" t="n">
        <v>64200000</v>
      </c>
      <c r="E5" s="22" t="n">
        <v>112500000</v>
      </c>
      <c r="F5" s="9" t="inlineStr">
        <is>
          <t>Statutory Turnover Test</t>
        </is>
      </c>
    </row>
    <row r="6">
      <c r="A6" s="6" t="inlineStr">
        <is>
          <t>Company Size Classification</t>
        </is>
      </c>
      <c r="B6" s="7" t="inlineStr">
        <is>
          <t>Turnover Band Test</t>
        </is>
      </c>
      <c r="C6" s="29" t="inlineStr">
        <is>
          <t>Medium Company (20% CIT)</t>
        </is>
      </c>
      <c r="D6" s="29" t="inlineStr">
        <is>
          <t>Medium Company (20% CIT)</t>
        </is>
      </c>
      <c r="E6" s="29" t="inlineStr">
        <is>
          <t>Large Company (30% CIT)</t>
        </is>
      </c>
      <c r="F6" s="6" t="inlineStr">
        <is>
          <t>CITA Section 40</t>
        </is>
      </c>
    </row>
    <row r="7">
      <c r="A7" s="9" t="inlineStr">
        <is>
          <t>Profit Before Taxation (PBT)</t>
        </is>
      </c>
      <c r="B7" s="10" t="inlineStr">
        <is>
          <t>Per Statement of Profit or Loss</t>
        </is>
      </c>
      <c r="C7" s="22" t="n">
        <v>7300000</v>
      </c>
      <c r="D7" s="22" t="n">
        <v>12500000</v>
      </c>
      <c r="E7" s="22" t="n">
        <v>22600000</v>
      </c>
      <c r="F7" s="9" t="inlineStr">
        <is>
          <t>Accounting PBT</t>
        </is>
      </c>
    </row>
    <row r="8">
      <c r="A8" s="6" t="inlineStr">
        <is>
          <t>Add: Disallowable Expenses &amp; Adjustments</t>
        </is>
      </c>
      <c r="B8" s="7" t="inlineStr">
        <is>
          <t>Add-Back Schedule</t>
        </is>
      </c>
      <c r="C8" s="6" t="n"/>
      <c r="D8" s="6" t="n"/>
      <c r="E8" s="6" t="n"/>
      <c r="F8" s="6" t="inlineStr">
        <is>
          <t>CITA Section 27</t>
        </is>
      </c>
    </row>
    <row r="9">
      <c r="A9" s="9" t="inlineStr">
        <is>
          <t xml:space="preserve">  - Depreciation Expense (IAS 16)</t>
        </is>
      </c>
      <c r="B9" s="10" t="inlineStr">
        <is>
          <t>Non-Allowable Depreciation</t>
        </is>
      </c>
      <c r="C9" s="22" t="n">
        <v>385000</v>
      </c>
      <c r="D9" s="22" t="n">
        <v>715000</v>
      </c>
      <c r="E9" s="22" t="n">
        <v>1285000</v>
      </c>
      <c r="F9" s="9" t="inlineStr">
        <is>
          <t>CITA Sec 27(f)</t>
        </is>
      </c>
    </row>
    <row r="10">
      <c r="A10" s="6" t="inlineStr">
        <is>
          <t xml:space="preserve">  - IFRS 9 ECL Impairment Allowance</t>
        </is>
      </c>
      <c r="B10" s="7" t="inlineStr">
        <is>
          <t>General Provision Add-Back</t>
        </is>
      </c>
      <c r="C10" s="21" t="n">
        <v>185000</v>
      </c>
      <c r="D10" s="21" t="n">
        <v>260000</v>
      </c>
      <c r="E10" s="21" t="n">
        <v>395000</v>
      </c>
      <c r="F10" s="6" t="inlineStr">
        <is>
          <t>CITA Sec 27(a)</t>
        </is>
      </c>
    </row>
    <row r="11">
      <c r="A11" s="9" t="inlineStr">
        <is>
          <t xml:space="preserve">  - Non-Allowable Admin &amp; Fines</t>
        </is>
      </c>
      <c r="B11" s="10" t="inlineStr">
        <is>
          <t>Disallowed General Expenses</t>
        </is>
      </c>
      <c r="C11" s="22" t="n">
        <v>110000</v>
      </c>
      <c r="D11" s="22" t="n">
        <v>145000</v>
      </c>
      <c r="E11" s="22" t="n">
        <v>220000</v>
      </c>
      <c r="F11" s="9" t="inlineStr">
        <is>
          <t>CITA Sec 27</t>
        </is>
      </c>
    </row>
    <row r="12">
      <c r="A12" s="6" t="inlineStr">
        <is>
          <t>Total Additions / Disallowances</t>
        </is>
      </c>
      <c r="B12" s="7">
        <f>SUM(C9:C11)</f>
        <v/>
      </c>
      <c r="C12" s="21" t="n">
        <v>680000</v>
      </c>
      <c r="D12" s="21" t="n">
        <v>1120000</v>
      </c>
      <c r="E12" s="21" t="n">
        <v>1900000</v>
      </c>
      <c r="F12" s="6" t="inlineStr">
        <is>
          <t>Total Add-Backs</t>
        </is>
      </c>
    </row>
    <row r="13">
      <c r="A13" s="23" t="inlineStr">
        <is>
          <t>Assessable Profit for TET &amp; CIT</t>
        </is>
      </c>
      <c r="B13" s="25">
        <f>C7+C12</f>
        <v/>
      </c>
      <c r="C13" s="24" t="n">
        <v>7980000</v>
      </c>
      <c r="D13" s="24" t="n">
        <v>13620000</v>
      </c>
      <c r="E13" s="24" t="n">
        <v>24500000</v>
      </c>
      <c r="F13" s="34" t="inlineStr">
        <is>
          <t>TETFA 2011 Sec 1(2)</t>
        </is>
      </c>
    </row>
    <row r="14">
      <c r="A14" s="6" t="inlineStr">
        <is>
          <t>Less: Capital Allowances Utilized</t>
        </is>
      </c>
      <c r="B14" s="7" t="inlineStr">
        <is>
          <t>Restricted to 66.67% of Assessable Profit</t>
        </is>
      </c>
      <c r="C14" s="21" t="n">
        <v>-520000</v>
      </c>
      <c r="D14" s="21" t="n">
        <v>-980000</v>
      </c>
      <c r="E14" s="21" t="n">
        <v>-1750000</v>
      </c>
      <c r="F14" s="6" t="inlineStr">
        <is>
          <t>CITA 2nd Schedule</t>
        </is>
      </c>
    </row>
    <row r="15">
      <c r="A15" s="23" t="inlineStr">
        <is>
          <t>Total Taxable Profit (Total Profits)</t>
        </is>
      </c>
      <c r="B15" s="25">
        <f>C13+C14</f>
        <v/>
      </c>
      <c r="C15" s="24" t="n">
        <v>7460000</v>
      </c>
      <c r="D15" s="24" t="n">
        <v>12640000</v>
      </c>
      <c r="E15" s="24" t="n">
        <v>22750000</v>
      </c>
      <c r="F15" s="34" t="inlineStr">
        <is>
          <t>CITA Section 40</t>
        </is>
      </c>
    </row>
    <row r="16">
      <c r="A16" s="6" t="inlineStr">
        <is>
          <t>Companies Income Tax (CIT) Rate</t>
        </is>
      </c>
      <c r="B16" s="7" t="inlineStr">
        <is>
          <t>Statutory Rate</t>
        </is>
      </c>
      <c r="C16" s="42" t="n">
        <v>0.2</v>
      </c>
      <c r="D16" s="42" t="n">
        <v>0.2</v>
      </c>
      <c r="E16" s="42" t="n">
        <v>0.3</v>
      </c>
      <c r="F16" s="6" t="inlineStr">
        <is>
          <t>CITA Section 40</t>
        </is>
      </c>
    </row>
    <row r="17">
      <c r="A17" s="9" t="inlineStr">
        <is>
          <t>Companies Income Tax (CIT) Charge</t>
        </is>
      </c>
      <c r="B17" s="10">
        <f>C15*C16</f>
        <v/>
      </c>
      <c r="C17" s="22" t="n">
        <v>1492000</v>
      </c>
      <c r="D17" s="22" t="n">
        <v>2528000</v>
      </c>
      <c r="E17" s="22" t="n">
        <v>6825000</v>
      </c>
      <c r="F17" s="9" t="inlineStr">
        <is>
          <t>Primary CIT Liability</t>
        </is>
      </c>
    </row>
    <row r="18">
      <c r="A18" s="6" t="inlineStr">
        <is>
          <t>Tertiary Education Tax (TET) Rate</t>
        </is>
      </c>
      <c r="B18" s="7" t="inlineStr">
        <is>
          <t>Finance Act 2023 Rate</t>
        </is>
      </c>
      <c r="C18" s="42" t="n">
        <v>0.03</v>
      </c>
      <c r="D18" s="42" t="n">
        <v>0.03</v>
      </c>
      <c r="E18" s="42" t="n">
        <v>0.03</v>
      </c>
      <c r="F18" s="6" t="inlineStr">
        <is>
          <t>FA 2023 Section 14</t>
        </is>
      </c>
    </row>
    <row r="19">
      <c r="A19" s="9" t="inlineStr">
        <is>
          <t>Tertiary Education Tax (TET) Charge</t>
        </is>
      </c>
      <c r="B19" s="10">
        <f>C13*C18</f>
        <v/>
      </c>
      <c r="C19" s="22" t="n">
        <v>239400</v>
      </c>
      <c r="D19" s="22" t="n">
        <v>408600</v>
      </c>
      <c r="E19" s="22" t="n">
        <v>735000</v>
      </c>
      <c r="F19" s="9" t="inlineStr">
        <is>
          <t>3% of Assessable Profit</t>
        </is>
      </c>
    </row>
    <row r="20">
      <c r="A20" s="6" t="inlineStr">
        <is>
          <t>Minimum Tax Test (0.5% of Turnover)</t>
        </is>
      </c>
      <c r="B20" s="7" t="inlineStr">
        <is>
          <t>0.5% * Turnover</t>
        </is>
      </c>
      <c r="C20" s="21" t="n">
        <v>192500</v>
      </c>
      <c r="D20" s="21" t="n">
        <v>321000</v>
      </c>
      <c r="E20" s="21" t="n">
        <v>562500</v>
      </c>
      <c r="F20" s="6" t="inlineStr">
        <is>
          <t>CITA Section 33</t>
        </is>
      </c>
    </row>
    <row r="21">
      <c r="A21" s="9" t="inlineStr">
        <is>
          <t>Minimum Tax Applicability</t>
        </is>
      </c>
      <c r="B21" s="10" t="inlineStr">
        <is>
          <t>CIT vs Min Tax Comparison</t>
        </is>
      </c>
      <c r="C21" s="30" t="inlineStr">
        <is>
          <t>CIT Payable Exceeds Min Tax</t>
        </is>
      </c>
      <c r="D21" s="30" t="inlineStr">
        <is>
          <t>CIT Payable Exceeds Min Tax</t>
        </is>
      </c>
      <c r="E21" s="30" t="inlineStr">
        <is>
          <t>CIT Payable Exceeds Min Tax</t>
        </is>
      </c>
      <c r="F21" s="9" t="inlineStr">
        <is>
          <t>CITA Section 33</t>
        </is>
      </c>
    </row>
    <row r="22">
      <c r="A22" s="6" t="inlineStr">
        <is>
          <t>Police Trust Fund (PTF) Levy (0.005%)</t>
        </is>
      </c>
      <c r="B22" s="7" t="inlineStr">
        <is>
          <t>0.005% * PBT</t>
        </is>
      </c>
      <c r="C22" s="21" t="n">
        <v>365</v>
      </c>
      <c r="D22" s="21" t="n">
        <v>625</v>
      </c>
      <c r="E22" s="21" t="n">
        <v>1130</v>
      </c>
      <c r="F22" s="6" t="inlineStr">
        <is>
          <t>NPTF Act 2019</t>
        </is>
      </c>
    </row>
    <row r="23">
      <c r="A23" s="9" t="inlineStr">
        <is>
          <t>NASENI Levy (0.25% of PBT for Turnover &gt;100m)</t>
        </is>
      </c>
      <c r="B23" s="10" t="inlineStr">
        <is>
          <t>0.25% * PBT</t>
        </is>
      </c>
      <c r="C23" s="22" t="n">
        <v>0</v>
      </c>
      <c r="D23" s="22" t="n">
        <v>0</v>
      </c>
      <c r="E23" s="22" t="n">
        <v>56500</v>
      </c>
      <c r="F23" s="9" t="inlineStr">
        <is>
          <t>NASENI Act CAP N3</t>
        </is>
      </c>
    </row>
    <row r="24">
      <c r="A24" s="23" t="inlineStr">
        <is>
          <t>TOTAL CURRENT TAX CHARGE (P&amp;L)</t>
        </is>
      </c>
      <c r="B24" s="25">
        <f>C17+C19+C22+C23</f>
        <v/>
      </c>
      <c r="C24" s="24" t="n">
        <v>1731765</v>
      </c>
      <c r="D24" s="24" t="n">
        <v>2937225</v>
      </c>
      <c r="E24" s="24" t="n">
        <v>7617630</v>
      </c>
      <c r="F24" s="34" t="inlineStr">
        <is>
          <t>TIED TO NOTE 16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3" customWidth="1" min="1" max="1"/>
    <col width="29" customWidth="1" min="2" max="2"/>
    <col width="28" customWidth="1" min="3" max="3"/>
    <col width="35" customWidth="1" min="4" max="4"/>
    <col width="29" customWidth="1" min="5" max="5"/>
    <col width="34" customWidth="1" min="6" max="6"/>
    <col width="33" customWidth="1" min="7" max="7"/>
    <col width="32" customWidth="1" min="8" max="8"/>
    <col width="35" customWidth="1" min="9" max="9"/>
  </cols>
  <sheetData>
    <row r="1">
      <c r="A1" s="1" t="inlineStr">
        <is>
          <t>BAAY PROJECTS LIMITED — CAPITAL ALLOWANCES &amp; TAX LOSS REGISTER</t>
        </is>
      </c>
    </row>
    <row r="2">
      <c r="A2" s="3" t="inlineStr">
        <is>
          <t>Qualifying Capital Expenditure (QCE), Initial &amp; Annual Allowances and TWDV Carried Forward</t>
        </is>
      </c>
    </row>
    <row r="3"/>
    <row r="4">
      <c r="A4" s="4" t="inlineStr">
        <is>
          <t>Asset Category / Year</t>
        </is>
      </c>
      <c r="B4" s="4" t="inlineStr">
        <is>
          <t>Initial Allowance Rate (%)</t>
        </is>
      </c>
      <c r="C4" s="4" t="inlineStr">
        <is>
          <t>Annual Allowance Rate (%)</t>
        </is>
      </c>
      <c r="D4" s="4" t="inlineStr">
        <is>
          <t>Tax Written Down Value B/F (NGN)</t>
        </is>
      </c>
      <c r="E4" s="4" t="inlineStr">
        <is>
          <t>Qualifying Additions (NGN)</t>
        </is>
      </c>
      <c r="F4" s="4" t="inlineStr">
        <is>
          <t>Initial Allowance Claimed (NGN)</t>
        </is>
      </c>
      <c r="G4" s="4" t="inlineStr">
        <is>
          <t>Annual Allowance Claimed (NGN)</t>
        </is>
      </c>
      <c r="H4" s="4" t="inlineStr">
        <is>
          <t>Total Allowance Claimed (NGN)</t>
        </is>
      </c>
      <c r="I4" s="4" t="inlineStr">
        <is>
          <t>Tax Written Down Value C/F (NGN)</t>
        </is>
      </c>
    </row>
    <row r="5">
      <c r="A5" s="9" t="inlineStr">
        <is>
          <t>FY 2023 — Office &amp; Site Equipment</t>
        </is>
      </c>
      <c r="B5" s="35" t="n">
        <v>0.5</v>
      </c>
      <c r="C5" s="35" t="n">
        <v>0.25</v>
      </c>
      <c r="D5" s="22" t="n">
        <v>9540</v>
      </c>
      <c r="E5" s="22" t="n">
        <v>1800000</v>
      </c>
      <c r="F5" s="22" t="n">
        <v>900000</v>
      </c>
      <c r="G5" s="22" t="n">
        <v>225000</v>
      </c>
      <c r="H5" s="22" t="n">
        <v>520000</v>
      </c>
      <c r="I5" s="22" t="n">
        <v>1289540</v>
      </c>
    </row>
    <row r="6">
      <c r="A6" s="23" t="inlineStr">
        <is>
          <t>FY 2023 — TOTAL CAPITAL ALLOWANCE CLAIMED</t>
        </is>
      </c>
      <c r="B6" s="37" t="inlineStr"/>
      <c r="C6" s="37" t="inlineStr"/>
      <c r="D6" s="24" t="n">
        <v>9540</v>
      </c>
      <c r="E6" s="24" t="n">
        <v>1800000</v>
      </c>
      <c r="F6" s="24" t="n">
        <v>900000</v>
      </c>
      <c r="G6" s="24" t="n">
        <v>225000</v>
      </c>
      <c r="H6" s="24" t="n">
        <v>520000</v>
      </c>
      <c r="I6" s="24" t="n">
        <v>1289540</v>
      </c>
    </row>
    <row r="7">
      <c r="A7" s="9" t="inlineStr">
        <is>
          <t>FY 2024 — Office &amp; Site Equipment</t>
        </is>
      </c>
      <c r="B7" s="35" t="n">
        <v>0.5</v>
      </c>
      <c r="C7" s="35" t="n">
        <v>0.25</v>
      </c>
      <c r="D7" s="22" t="n">
        <v>1289540</v>
      </c>
      <c r="E7" s="22" t="n">
        <v>0</v>
      </c>
      <c r="F7" s="22" t="n">
        <v>0</v>
      </c>
      <c r="G7" s="22" t="n">
        <v>225000</v>
      </c>
      <c r="H7" s="22" t="n">
        <v>225000</v>
      </c>
      <c r="I7" s="22" t="n">
        <v>1064540</v>
      </c>
    </row>
    <row r="8">
      <c r="A8" s="6" t="inlineStr">
        <is>
          <t>FY 2024 — Motor &amp; Project Vehicles</t>
        </is>
      </c>
      <c r="B8" s="36" t="n">
        <v>0.5</v>
      </c>
      <c r="C8" s="36" t="n">
        <v>0.25</v>
      </c>
      <c r="D8" s="21" t="n">
        <v>0</v>
      </c>
      <c r="E8" s="21" t="n">
        <v>2700000</v>
      </c>
      <c r="F8" s="21" t="n">
        <v>1350000</v>
      </c>
      <c r="G8" s="21" t="n">
        <v>337500</v>
      </c>
      <c r="H8" s="21" t="n">
        <v>755000</v>
      </c>
      <c r="I8" s="21" t="n">
        <v>1945000</v>
      </c>
    </row>
    <row r="9">
      <c r="A9" s="23" t="inlineStr">
        <is>
          <t>FY 2024 — TOTAL CAPITAL ALLOWANCE CLAIMED</t>
        </is>
      </c>
      <c r="B9" s="37" t="inlineStr"/>
      <c r="C9" s="37" t="inlineStr"/>
      <c r="D9" s="24" t="n">
        <v>1289540</v>
      </c>
      <c r="E9" s="24" t="n">
        <v>2700000</v>
      </c>
      <c r="F9" s="24" t="n">
        <v>1350000</v>
      </c>
      <c r="G9" s="24" t="n">
        <v>562500</v>
      </c>
      <c r="H9" s="24" t="n">
        <v>980000</v>
      </c>
      <c r="I9" s="24" t="n">
        <v>3009540</v>
      </c>
    </row>
    <row r="10">
      <c r="A10" s="6" t="inlineStr">
        <is>
          <t>FY 2025 — Office &amp; Site Equipment</t>
        </is>
      </c>
      <c r="B10" s="36" t="n">
        <v>0.5</v>
      </c>
      <c r="C10" s="36" t="n">
        <v>0.25</v>
      </c>
      <c r="D10" s="21" t="n">
        <v>1064540</v>
      </c>
      <c r="E10" s="21" t="n">
        <v>0</v>
      </c>
      <c r="F10" s="21" t="n">
        <v>0</v>
      </c>
      <c r="G10" s="21" t="n">
        <v>225000</v>
      </c>
      <c r="H10" s="21" t="n">
        <v>225000</v>
      </c>
      <c r="I10" s="21" t="n">
        <v>839540</v>
      </c>
    </row>
    <row r="11">
      <c r="A11" s="9" t="inlineStr">
        <is>
          <t>FY 2025 — Motor &amp; Project Vehicles</t>
        </is>
      </c>
      <c r="B11" s="35" t="n">
        <v>0.5</v>
      </c>
      <c r="C11" s="35" t="n">
        <v>0.25</v>
      </c>
      <c r="D11" s="22" t="n">
        <v>1945000</v>
      </c>
      <c r="E11" s="22" t="n">
        <v>0</v>
      </c>
      <c r="F11" s="22" t="n">
        <v>0</v>
      </c>
      <c r="G11" s="22" t="n">
        <v>337500</v>
      </c>
      <c r="H11" s="22" t="n">
        <v>337500</v>
      </c>
      <c r="I11" s="22" t="n">
        <v>1607500</v>
      </c>
    </row>
    <row r="12">
      <c r="A12" s="6" t="inlineStr">
        <is>
          <t>FY 2025 — Plant &amp; Heavy Machinery</t>
        </is>
      </c>
      <c r="B12" s="36" t="n">
        <v>0.5</v>
      </c>
      <c r="C12" s="36" t="n">
        <v>0.25</v>
      </c>
      <c r="D12" s="21" t="n">
        <v>0</v>
      </c>
      <c r="E12" s="21" t="n">
        <v>3600000</v>
      </c>
      <c r="F12" s="21" t="n">
        <v>1800000</v>
      </c>
      <c r="G12" s="21" t="n">
        <v>450000</v>
      </c>
      <c r="H12" s="21" t="n">
        <v>1187500</v>
      </c>
      <c r="I12" s="21" t="n">
        <v>2412500</v>
      </c>
    </row>
    <row r="13">
      <c r="A13" s="23" t="inlineStr">
        <is>
          <t>FY 2025 — TOTAL CAPITAL ALLOWANCE CLAIMED</t>
        </is>
      </c>
      <c r="B13" s="37" t="inlineStr"/>
      <c r="C13" s="37" t="inlineStr"/>
      <c r="D13" s="24" t="n">
        <v>3009540</v>
      </c>
      <c r="E13" s="24" t="n">
        <v>3600000</v>
      </c>
      <c r="F13" s="24" t="n">
        <v>1800000</v>
      </c>
      <c r="G13" s="24" t="n">
        <v>1012500</v>
      </c>
      <c r="H13" s="24" t="n">
        <v>1750000</v>
      </c>
      <c r="I13" s="24" t="n">
        <v>4859540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5" customWidth="1" min="1" max="1"/>
    <col width="36" customWidth="1" min="2" max="2"/>
    <col width="39" customWidth="1" min="3" max="3"/>
    <col width="29" customWidth="1" min="4" max="4"/>
    <col width="26" customWidth="1" min="5" max="5"/>
    <col width="37" customWidth="1" min="6" max="6"/>
    <col width="37" customWidth="1" min="7" max="7"/>
    <col width="25" customWidth="1" min="8" max="8"/>
  </cols>
  <sheetData>
    <row r="1">
      <c r="A1" s="1" t="inlineStr">
        <is>
          <t>BAAY PROJECTS LIMITED — MONTHLY VALUE ADDED TAX (VAT) REGISTER</t>
        </is>
      </c>
    </row>
    <row r="2">
      <c r="A2" s="3" t="inlineStr">
        <is>
          <t>Monthly Standard 7.5% Output VAT, Exempt Property Supplies &amp; Remittance Status (2023 - 2025)</t>
        </is>
      </c>
    </row>
    <row r="3"/>
    <row r="4">
      <c r="A4" s="4" t="inlineStr">
        <is>
          <t>Tax Period</t>
        </is>
      </c>
      <c r="B4" s="4" t="inlineStr">
        <is>
          <t>Taxable Commercial Turnover (NGN)</t>
        </is>
      </c>
      <c r="C4" s="4" t="inlineStr">
        <is>
          <t>Exempt Land &amp; Housing Supplies (NGN)</t>
        </is>
      </c>
      <c r="D4" s="4" t="inlineStr">
        <is>
          <t>Total Gross Turnover (NGN)</t>
        </is>
      </c>
      <c r="E4" s="4" t="inlineStr">
        <is>
          <t>Output VAT @ 7.5% (NGN)</t>
        </is>
      </c>
      <c r="F4" s="4" t="inlineStr">
        <is>
          <t>Recoverable Direct Input VAT (NGN)</t>
        </is>
      </c>
      <c r="G4" s="4" t="inlineStr">
        <is>
          <t>Net VAT Payable / (Remitted) (NGN)</t>
        </is>
      </c>
      <c r="H4" s="4" t="inlineStr">
        <is>
          <t>FIRS Remittance Status</t>
        </is>
      </c>
    </row>
    <row r="5">
      <c r="A5" s="9" t="inlineStr">
        <is>
          <t>Jan 2023</t>
        </is>
      </c>
      <c r="B5" s="22" t="n">
        <v>1500000</v>
      </c>
      <c r="C5" s="22" t="n">
        <v>0</v>
      </c>
      <c r="D5" s="22" t="n">
        <v>1500000</v>
      </c>
      <c r="E5" s="22" t="n">
        <v>112500</v>
      </c>
      <c r="F5" s="22" t="n">
        <v>22500</v>
      </c>
      <c r="G5" s="22" t="n">
        <v>90000</v>
      </c>
      <c r="H5" s="12" t="inlineStr">
        <is>
          <t>REMITTED</t>
        </is>
      </c>
    </row>
    <row r="6">
      <c r="A6" s="6" t="inlineStr">
        <is>
          <t>Feb 2023</t>
        </is>
      </c>
      <c r="B6" s="21" t="n">
        <v>2000000</v>
      </c>
      <c r="C6" s="21" t="n">
        <v>0</v>
      </c>
      <c r="D6" s="21" t="n">
        <v>2000000</v>
      </c>
      <c r="E6" s="21" t="n">
        <v>150000</v>
      </c>
      <c r="F6" s="21" t="n">
        <v>30000</v>
      </c>
      <c r="G6" s="21" t="n">
        <v>120000</v>
      </c>
      <c r="H6" s="14" t="inlineStr">
        <is>
          <t>REMITTED</t>
        </is>
      </c>
    </row>
    <row r="7">
      <c r="A7" s="9" t="inlineStr">
        <is>
          <t>Mar 2023</t>
        </is>
      </c>
      <c r="B7" s="22" t="n">
        <v>2500000</v>
      </c>
      <c r="C7" s="22" t="n">
        <v>0</v>
      </c>
      <c r="D7" s="22" t="n">
        <v>2500000</v>
      </c>
      <c r="E7" s="22" t="n">
        <v>187500</v>
      </c>
      <c r="F7" s="22" t="n">
        <v>37500</v>
      </c>
      <c r="G7" s="22" t="n">
        <v>150000</v>
      </c>
      <c r="H7" s="12" t="inlineStr">
        <is>
          <t>REMITTED</t>
        </is>
      </c>
    </row>
    <row r="8">
      <c r="A8" s="6" t="inlineStr">
        <is>
          <t>Apr 2023</t>
        </is>
      </c>
      <c r="B8" s="21" t="n">
        <v>1800000</v>
      </c>
      <c r="C8" s="21" t="n">
        <v>3000000</v>
      </c>
      <c r="D8" s="21" t="n">
        <v>4800000</v>
      </c>
      <c r="E8" s="21" t="n">
        <v>135000</v>
      </c>
      <c r="F8" s="21" t="n">
        <v>27000</v>
      </c>
      <c r="G8" s="21" t="n">
        <v>108000</v>
      </c>
      <c r="H8" s="14" t="inlineStr">
        <is>
          <t>REMITTED</t>
        </is>
      </c>
    </row>
    <row r="9">
      <c r="A9" s="9" t="inlineStr">
        <is>
          <t>May 2023</t>
        </is>
      </c>
      <c r="B9" s="22" t="n">
        <v>2200000</v>
      </c>
      <c r="C9" s="22" t="n">
        <v>0</v>
      </c>
      <c r="D9" s="22" t="n">
        <v>2200000</v>
      </c>
      <c r="E9" s="22" t="n">
        <v>165000</v>
      </c>
      <c r="F9" s="22" t="n">
        <v>33000</v>
      </c>
      <c r="G9" s="22" t="n">
        <v>132000</v>
      </c>
      <c r="H9" s="12" t="inlineStr">
        <is>
          <t>REMITTED</t>
        </is>
      </c>
    </row>
    <row r="10">
      <c r="A10" s="6" t="inlineStr">
        <is>
          <t>Jun 2023</t>
        </is>
      </c>
      <c r="B10" s="21" t="n">
        <v>2800000</v>
      </c>
      <c r="C10" s="21" t="n">
        <v>0</v>
      </c>
      <c r="D10" s="21" t="n">
        <v>2800000</v>
      </c>
      <c r="E10" s="21" t="n">
        <v>210000</v>
      </c>
      <c r="F10" s="21" t="n">
        <v>42000</v>
      </c>
      <c r="G10" s="21" t="n">
        <v>168000</v>
      </c>
      <c r="H10" s="14" t="inlineStr">
        <is>
          <t>REMITTED</t>
        </is>
      </c>
    </row>
    <row r="11">
      <c r="A11" s="9" t="inlineStr">
        <is>
          <t>Jul 2023</t>
        </is>
      </c>
      <c r="B11" s="22" t="n">
        <v>2100000</v>
      </c>
      <c r="C11" s="22" t="n">
        <v>3500000</v>
      </c>
      <c r="D11" s="22" t="n">
        <v>5600000</v>
      </c>
      <c r="E11" s="22" t="n">
        <v>157500</v>
      </c>
      <c r="F11" s="22" t="n">
        <v>31500</v>
      </c>
      <c r="G11" s="22" t="n">
        <v>126000</v>
      </c>
      <c r="H11" s="12" t="inlineStr">
        <is>
          <t>REMITTED</t>
        </is>
      </c>
    </row>
    <row r="12">
      <c r="A12" s="6" t="inlineStr">
        <is>
          <t>Aug 2023</t>
        </is>
      </c>
      <c r="B12" s="21" t="n">
        <v>2400000</v>
      </c>
      <c r="C12" s="21" t="n">
        <v>0</v>
      </c>
      <c r="D12" s="21" t="n">
        <v>2400000</v>
      </c>
      <c r="E12" s="21" t="n">
        <v>180000</v>
      </c>
      <c r="F12" s="21" t="n">
        <v>36000</v>
      </c>
      <c r="G12" s="21" t="n">
        <v>144000</v>
      </c>
      <c r="H12" s="14" t="inlineStr">
        <is>
          <t>REMITTED</t>
        </is>
      </c>
    </row>
    <row r="13">
      <c r="A13" s="9" t="inlineStr">
        <is>
          <t>Sep 2023</t>
        </is>
      </c>
      <c r="B13" s="22" t="n">
        <v>2600000</v>
      </c>
      <c r="C13" s="22" t="n">
        <v>0</v>
      </c>
      <c r="D13" s="22" t="n">
        <v>2600000</v>
      </c>
      <c r="E13" s="22" t="n">
        <v>195000</v>
      </c>
      <c r="F13" s="22" t="n">
        <v>39000</v>
      </c>
      <c r="G13" s="22" t="n">
        <v>156000</v>
      </c>
      <c r="H13" s="12" t="inlineStr">
        <is>
          <t>REMITTED</t>
        </is>
      </c>
    </row>
    <row r="14">
      <c r="A14" s="6" t="inlineStr">
        <is>
          <t>Oct 2023</t>
        </is>
      </c>
      <c r="B14" s="21" t="n">
        <v>2000000</v>
      </c>
      <c r="C14" s="21" t="n">
        <v>3000000</v>
      </c>
      <c r="D14" s="21" t="n">
        <v>500000</v>
      </c>
      <c r="E14" s="21" t="n">
        <v>150000</v>
      </c>
      <c r="F14" s="21" t="n">
        <v>30000</v>
      </c>
      <c r="G14" s="21" t="n">
        <v>120000</v>
      </c>
      <c r="H14" s="14" t="inlineStr">
        <is>
          <t>REMITTED</t>
        </is>
      </c>
    </row>
    <row r="15">
      <c r="A15" s="9" t="inlineStr">
        <is>
          <t>Nov 2023</t>
        </is>
      </c>
      <c r="B15" s="22" t="n">
        <v>2100000</v>
      </c>
      <c r="C15" s="22" t="n">
        <v>0</v>
      </c>
      <c r="D15" s="22" t="n">
        <v>2100000</v>
      </c>
      <c r="E15" s="22" t="n">
        <v>157500</v>
      </c>
      <c r="F15" s="22" t="n">
        <v>31500</v>
      </c>
      <c r="G15" s="22" t="n">
        <v>126000</v>
      </c>
      <c r="H15" s="12" t="inlineStr">
        <is>
          <t>REMITTED</t>
        </is>
      </c>
    </row>
    <row r="16">
      <c r="A16" s="6" t="inlineStr">
        <is>
          <t>Dec 2023</t>
        </is>
      </c>
      <c r="B16" s="21" t="n">
        <v>2000000</v>
      </c>
      <c r="C16" s="21" t="n">
        <v>3000000</v>
      </c>
      <c r="D16" s="21" t="n">
        <v>5000000</v>
      </c>
      <c r="E16" s="21" t="n">
        <v>150000</v>
      </c>
      <c r="F16" s="21" t="n">
        <v>30000</v>
      </c>
      <c r="G16" s="21" t="n">
        <v>120000</v>
      </c>
      <c r="H16" s="14" t="inlineStr">
        <is>
          <t>REMITTED</t>
        </is>
      </c>
    </row>
    <row r="17">
      <c r="A17" s="23" t="inlineStr">
        <is>
          <t>TOTAL FY 2023 VAT</t>
        </is>
      </c>
      <c r="B17" s="24">
        <f>SUM(B5:B16)</f>
        <v/>
      </c>
      <c r="C17" s="24">
        <f>SUM(C5:C16)</f>
        <v/>
      </c>
      <c r="D17" s="24">
        <f>SUM(D5:D16)</f>
        <v/>
      </c>
      <c r="E17" s="24">
        <f>SUM(E5:E16)</f>
        <v/>
      </c>
      <c r="F17" s="24">
        <f>SUM(F5:F16)</f>
        <v/>
      </c>
      <c r="G17" s="24">
        <f>SUM(G5:G16)</f>
        <v/>
      </c>
      <c r="H17" s="26" t="inlineStr">
        <is>
          <t>100% RECONCILED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8" customWidth="1" min="1" max="1"/>
    <col width="53" customWidth="1" min="2" max="2"/>
    <col width="30" customWidth="1" min="3" max="3"/>
    <col width="15" customWidth="1" min="4" max="4"/>
    <col width="21" customWidth="1" min="5" max="5"/>
    <col width="27" customWidth="1" min="6" max="6"/>
    <col width="41" customWidth="1" min="7" max="7"/>
    <col width="32" customWidth="1" min="8" max="8"/>
  </cols>
  <sheetData>
    <row r="1">
      <c r="A1" s="1" t="inlineStr">
        <is>
          <t>BAAY PROJECTS LIMITED — WITHHOLDING TAX (WHT) SCHEDULE</t>
        </is>
      </c>
    </row>
    <row r="2">
      <c r="A2" s="3" t="inlineStr">
        <is>
          <t>Client Credit Notes Receivable, Vendor Deductions Payable &amp; CIT Offsets (2023 - 2025)</t>
        </is>
      </c>
    </row>
    <row r="3"/>
    <row r="4">
      <c r="A4" s="4" t="inlineStr">
        <is>
          <t>Contract / Counterparty</t>
        </is>
      </c>
      <c r="B4" s="4" t="inlineStr">
        <is>
          <t>Transaction Description</t>
        </is>
      </c>
      <c r="C4" s="4" t="inlineStr">
        <is>
          <t>Gross Contract Amount (NGN)</t>
        </is>
      </c>
      <c r="D4" s="4" t="inlineStr">
        <is>
          <t>WHT Rate (%)</t>
        </is>
      </c>
      <c r="E4" s="4" t="inlineStr">
        <is>
          <t>WHT Deducted (NGN)</t>
        </is>
      </c>
      <c r="F4" s="4" t="inlineStr">
        <is>
          <t>Credit Note Ref / Status</t>
        </is>
      </c>
      <c r="G4" s="4" t="inlineStr">
        <is>
          <t>Utilization / Offset Against CIT (NGN)</t>
        </is>
      </c>
      <c r="H4" s="4" t="inlineStr">
        <is>
          <t>Balance Carried Forward (NGN)</t>
        </is>
      </c>
    </row>
    <row r="5">
      <c r="A5" s="9" t="inlineStr">
        <is>
          <t>Apex Properties Ltd</t>
        </is>
      </c>
      <c r="B5" s="9" t="inlineStr">
        <is>
          <t>Lekki Phase 1 Civil Construction Progress Billings</t>
        </is>
      </c>
      <c r="C5" s="22" t="n">
        <v>22000000</v>
      </c>
      <c r="D5" s="35" t="n">
        <v>0.05</v>
      </c>
      <c r="E5" s="22" t="n">
        <v>1100000</v>
      </c>
      <c r="F5" s="30" t="inlineStr">
        <is>
          <t>FIRS-CN-2023-0881</t>
        </is>
      </c>
      <c r="G5" s="22" t="n">
        <v>0</v>
      </c>
      <c r="H5" s="22" t="n">
        <v>1100000</v>
      </c>
    </row>
    <row r="6">
      <c r="A6" s="6" t="inlineStr">
        <is>
          <t>Horizon Holdings Ltd</t>
        </is>
      </c>
      <c r="B6" s="6" t="inlineStr">
        <is>
          <t>Ikeja Commercial Engineering Consulting</t>
        </is>
      </c>
      <c r="C6" s="21" t="n">
        <v>4000000</v>
      </c>
      <c r="D6" s="36" t="n">
        <v>0.05</v>
      </c>
      <c r="E6" s="21" t="n">
        <v>200000</v>
      </c>
      <c r="F6" s="29" t="inlineStr">
        <is>
          <t>FIRS-CN-2023-1042</t>
        </is>
      </c>
      <c r="G6" s="21" t="n">
        <v>0</v>
      </c>
      <c r="H6" s="21" t="n">
        <v>200000</v>
      </c>
    </row>
    <row r="7">
      <c r="A7" s="23" t="inlineStr">
        <is>
          <t>TOTAL WHT RECEIVABLE 2023</t>
        </is>
      </c>
      <c r="B7" s="34" t="inlineStr">
        <is>
          <t>Carried Forward as CIT Tax Credit</t>
        </is>
      </c>
      <c r="C7" s="24">
        <f>SUM(C5:C6)</f>
        <v/>
      </c>
      <c r="D7" s="37" t="inlineStr"/>
      <c r="E7" s="24">
        <f>SUM(E5:E6)</f>
        <v/>
      </c>
      <c r="F7" s="43" t="inlineStr">
        <is>
          <t>TIED TO SFP NOTE 10</t>
        </is>
      </c>
      <c r="G7" s="24">
        <f>SUM(G5:G6)</f>
        <v/>
      </c>
      <c r="H7" s="24">
        <f>SUM(H5:H6)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6" customWidth="1" min="1" max="1"/>
    <col width="24" customWidth="1" min="2" max="2"/>
    <col width="17" customWidth="1" min="3" max="3"/>
    <col width="42" customWidth="1" min="4" max="4"/>
    <col width="26" customWidth="1" min="5" max="5"/>
    <col width="41" customWidth="1" min="6" max="6"/>
    <col width="42" customWidth="1" min="7" max="7"/>
  </cols>
  <sheetData>
    <row r="1">
      <c r="A1" s="1" t="inlineStr">
        <is>
          <t>BAAY PROJECTS LIMITED — DEFERRED TAXATION SCHEDULE (IAS 12)</t>
        </is>
      </c>
    </row>
    <row r="2">
      <c r="A2" s="3" t="inlineStr">
        <is>
          <t>Temporary Differences, Tax Base vs Carrying Amount &amp; Profit or Loss Recognition (2022 - 2025)</t>
        </is>
      </c>
    </row>
    <row r="3"/>
    <row r="4">
      <c r="A4" s="4" t="inlineStr">
        <is>
          <t>Temporary Difference Component</t>
        </is>
      </c>
      <c r="B4" s="4" t="inlineStr">
        <is>
          <t>Carrying Amount (NGN)</t>
        </is>
      </c>
      <c r="C4" s="4" t="inlineStr">
        <is>
          <t>Tax Base (NGN)</t>
        </is>
      </c>
      <c r="D4" s="4" t="inlineStr">
        <is>
          <t>Taxable / (Deductible) Difference (NGN)</t>
        </is>
      </c>
      <c r="E4" s="4" t="inlineStr">
        <is>
          <t>Applicable Tax Rate (%)</t>
        </is>
      </c>
      <c r="F4" s="4" t="inlineStr">
        <is>
          <t>Deferred Tax Asset / (Liability) (NGN)</t>
        </is>
      </c>
      <c r="G4" s="4" t="inlineStr">
        <is>
          <t>Movement in P&amp;L (Credit) / Charge (NGN)</t>
        </is>
      </c>
    </row>
    <row r="5">
      <c r="A5" s="9" t="inlineStr">
        <is>
          <t>FY 2023 — Property, Plant &amp; Equipment</t>
        </is>
      </c>
      <c r="B5" s="22" t="n">
        <v>1424540</v>
      </c>
      <c r="C5" s="22" t="n">
        <v>1289540</v>
      </c>
      <c r="D5" s="22" t="n">
        <v>135000</v>
      </c>
      <c r="E5" s="35" t="n">
        <v>0.2</v>
      </c>
      <c r="F5" s="22" t="n">
        <v>-27000</v>
      </c>
      <c r="G5" s="22" t="n">
        <v>27000</v>
      </c>
    </row>
    <row r="6">
      <c r="A6" s="6" t="inlineStr">
        <is>
          <t>FY 2023 — IFRS 9 ECL Impairment Allowance</t>
        </is>
      </c>
      <c r="B6" s="21" t="n">
        <v>-185000</v>
      </c>
      <c r="C6" s="21" t="n">
        <v>0</v>
      </c>
      <c r="D6" s="21" t="n">
        <v>-185000</v>
      </c>
      <c r="E6" s="36" t="n">
        <v>0.2</v>
      </c>
      <c r="F6" s="21" t="n">
        <v>37000</v>
      </c>
      <c r="G6" s="21" t="n">
        <v>-37000</v>
      </c>
    </row>
    <row r="7">
      <c r="A7" s="9" t="inlineStr">
        <is>
          <t>FY 2023 — Accrued Expenses &amp; Prepayments</t>
        </is>
      </c>
      <c r="B7" s="22" t="n">
        <v>-110000</v>
      </c>
      <c r="C7" s="22" t="n">
        <v>0</v>
      </c>
      <c r="D7" s="22" t="n">
        <v>-110000</v>
      </c>
      <c r="E7" s="35" t="n">
        <v>0.2</v>
      </c>
      <c r="F7" s="22" t="n">
        <v>22000</v>
      </c>
      <c r="G7" s="22" t="n">
        <v>-22000</v>
      </c>
    </row>
    <row r="8">
      <c r="A8" s="23" t="inlineStr">
        <is>
          <t>FY 2023 — NET DEFERRED TAX ASSET / (LIABILITY)</t>
        </is>
      </c>
      <c r="B8" s="24">
        <f>SUM(B5:B7)</f>
        <v/>
      </c>
      <c r="C8" s="24">
        <f>SUM(C5:C7)</f>
        <v/>
      </c>
      <c r="D8" s="24">
        <f>SUM(D5:D7)</f>
        <v/>
      </c>
      <c r="E8" s="37" t="inlineStr"/>
      <c r="F8" s="24" t="n">
        <v>32000</v>
      </c>
      <c r="G8" s="24" t="n">
        <v>-32000</v>
      </c>
    </row>
    <row r="9">
      <c r="A9" s="9" t="inlineStr">
        <is>
          <t>FY 2024 — Property, Plant &amp; Equipment</t>
        </is>
      </c>
      <c r="B9" s="22" t="n">
        <v>3409540</v>
      </c>
      <c r="C9" s="22" t="n">
        <v>3009540</v>
      </c>
      <c r="D9" s="22" t="n">
        <v>400000</v>
      </c>
      <c r="E9" s="35" t="n">
        <v>0.2</v>
      </c>
      <c r="F9" s="22" t="n">
        <v>-80000</v>
      </c>
      <c r="G9" s="22" t="n">
        <v>53000</v>
      </c>
    </row>
    <row r="10">
      <c r="A10" s="6" t="inlineStr">
        <is>
          <t>FY 2024 — IFRS 9 ECL Impairment Allowance</t>
        </is>
      </c>
      <c r="B10" s="21" t="n">
        <v>-445000</v>
      </c>
      <c r="C10" s="21" t="n">
        <v>0</v>
      </c>
      <c r="D10" s="21" t="n">
        <v>-445000</v>
      </c>
      <c r="E10" s="36" t="n">
        <v>0.2</v>
      </c>
      <c r="F10" s="21" t="n">
        <v>89000</v>
      </c>
      <c r="G10" s="21" t="n">
        <v>-52000</v>
      </c>
    </row>
    <row r="11">
      <c r="A11" s="9" t="inlineStr">
        <is>
          <t>FY 2024 — Accrued Expenses &amp; Prepayments</t>
        </is>
      </c>
      <c r="B11" s="22" t="n">
        <v>-125000</v>
      </c>
      <c r="C11" s="22" t="n">
        <v>0</v>
      </c>
      <c r="D11" s="22" t="n">
        <v>-125000</v>
      </c>
      <c r="E11" s="35" t="n">
        <v>0.2</v>
      </c>
      <c r="F11" s="22" t="n">
        <v>-25000</v>
      </c>
      <c r="G11" s="22" t="n">
        <v>47000</v>
      </c>
    </row>
    <row r="12">
      <c r="A12" s="23" t="inlineStr">
        <is>
          <t>FY 2024 — NET DEFERRED TAX (LIABILITY)</t>
        </is>
      </c>
      <c r="B12" s="24">
        <f>SUM(B9:B11)</f>
        <v/>
      </c>
      <c r="C12" s="24">
        <f>SUM(C9:C11)</f>
        <v/>
      </c>
      <c r="D12" s="24">
        <f>SUM(D9:D11)</f>
        <v/>
      </c>
      <c r="E12" s="37" t="inlineStr"/>
      <c r="F12" s="24" t="n">
        <v>-16000</v>
      </c>
      <c r="G12" s="24" t="n">
        <v>48000</v>
      </c>
    </row>
    <row r="13">
      <c r="A13" s="9" t="inlineStr">
        <is>
          <t>FY 2025 — Property, Plant &amp; Equipment</t>
        </is>
      </c>
      <c r="B13" s="22" t="n">
        <v>5724540</v>
      </c>
      <c r="C13" s="22" t="n">
        <v>4859540</v>
      </c>
      <c r="D13" s="22" t="n">
        <v>865000</v>
      </c>
      <c r="E13" s="35" t="n">
        <v>0.3</v>
      </c>
      <c r="F13" s="22" t="n">
        <v>-259500</v>
      </c>
      <c r="G13" s="22" t="n">
        <v>179500</v>
      </c>
    </row>
    <row r="14">
      <c r="A14" s="6" t="inlineStr">
        <is>
          <t>FY 2025 — IFRS 9 ECL Impairment Allowance</t>
        </is>
      </c>
      <c r="B14" s="21" t="n">
        <v>-840000</v>
      </c>
      <c r="C14" s="21" t="n">
        <v>0</v>
      </c>
      <c r="D14" s="21" t="n">
        <v>-840000</v>
      </c>
      <c r="E14" s="36" t="n">
        <v>0.3</v>
      </c>
      <c r="F14" s="21" t="n">
        <v>252000</v>
      </c>
      <c r="G14" s="21" t="n">
        <v>-163000</v>
      </c>
    </row>
    <row r="15">
      <c r="A15" s="9" t="inlineStr">
        <is>
          <t>FY 2025 — Accrued Expenses &amp; Prepayments</t>
        </is>
      </c>
      <c r="B15" s="22" t="n">
        <v>-303333.33</v>
      </c>
      <c r="C15" s="22" t="n">
        <v>0</v>
      </c>
      <c r="D15" s="22" t="n">
        <v>-303333.33</v>
      </c>
      <c r="E15" s="35" t="n">
        <v>0.3</v>
      </c>
      <c r="F15" s="22" t="n">
        <v>-91000</v>
      </c>
      <c r="G15" s="22" t="n">
        <v>66000</v>
      </c>
    </row>
    <row r="16">
      <c r="A16" s="23" t="inlineStr">
        <is>
          <t>FY 2025 — NET DEFERRED TAX (LIABILITY)</t>
        </is>
      </c>
      <c r="B16" s="24">
        <f>SUM(B13:B15)</f>
        <v/>
      </c>
      <c r="C16" s="24">
        <f>SUM(C13:C15)</f>
        <v/>
      </c>
      <c r="D16" s="24">
        <f>SUM(D13:D15)</f>
        <v/>
      </c>
      <c r="E16" s="37" t="inlineStr"/>
      <c r="F16" s="24" t="n">
        <v>-98500</v>
      </c>
      <c r="G16" s="24" t="n">
        <v>82500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7" customWidth="1" min="1" max="1"/>
    <col width="32" customWidth="1" min="2" max="2"/>
    <col width="30" customWidth="1" min="3" max="3"/>
    <col width="31" customWidth="1" min="4" max="4"/>
    <col width="35" customWidth="1" min="5" max="5"/>
    <col width="29" customWidth="1" min="6" max="6"/>
    <col width="33" customWidth="1" min="7" max="7"/>
    <col width="36" customWidth="1" min="8" max="8"/>
  </cols>
  <sheetData>
    <row r="1">
      <c r="A1" s="1" t="inlineStr">
        <is>
          <t>BAAY PROJECTS LIMITED — TAX LIABILITIES ROLL-FORWARD SCHEDULE</t>
        </is>
      </c>
    </row>
    <row r="2">
      <c r="A2" s="3" t="inlineStr">
        <is>
          <t>Roll-Forward of All Tax Heads (CIT, TET, VAT, WHT, PTF, NASENI) to Reporting Date &amp; Settlement</t>
        </is>
      </c>
    </row>
    <row r="3"/>
    <row r="4">
      <c r="A4" s="4" t="inlineStr">
        <is>
          <t>Tax Head / Levy</t>
        </is>
      </c>
      <c r="B4" s="4" t="inlineStr">
        <is>
          <t>Opening Liability 1 Jan (NGN)</t>
        </is>
      </c>
      <c r="C4" s="4" t="inlineStr">
        <is>
          <t>Current Tax Provision (NGN)</t>
        </is>
      </c>
      <c r="D4" s="4" t="inlineStr">
        <is>
          <t>Prior Year Adjustments (NGN)</t>
        </is>
      </c>
      <c r="E4" s="4" t="inlineStr">
        <is>
          <t>Tax Remittances / Payments (NGN)</t>
        </is>
      </c>
      <c r="F4" s="4" t="inlineStr">
        <is>
          <t>WHT Credits Utilized (NGN)</t>
        </is>
      </c>
      <c r="G4" s="4" t="inlineStr">
        <is>
          <t>Closing Liability 31 Dec (NGN)</t>
        </is>
      </c>
      <c r="H4" s="4" t="inlineStr">
        <is>
          <t>Settlement &amp; Assessment Status</t>
        </is>
      </c>
    </row>
    <row r="5">
      <c r="A5" s="9" t="inlineStr">
        <is>
          <t>FY 2023 — Companies Income Tax (CIT)</t>
        </is>
      </c>
      <c r="B5" s="22" t="n">
        <v>0</v>
      </c>
      <c r="C5" s="22" t="n">
        <v>1492000</v>
      </c>
      <c r="D5" s="22" t="n">
        <v>0</v>
      </c>
      <c r="E5" s="22" t="n">
        <v>0</v>
      </c>
      <c r="F5" s="22" t="n">
        <v>0</v>
      </c>
      <c r="G5" s="22" t="n">
        <v>1492000</v>
      </c>
      <c r="H5" s="41" t="inlineStr">
        <is>
          <t>Assessed / Payable YOA 2024</t>
        </is>
      </c>
    </row>
    <row r="6">
      <c r="A6" s="6" t="inlineStr">
        <is>
          <t>FY 2023 — Tertiary Education Tax (TET)</t>
        </is>
      </c>
      <c r="B6" s="21" t="n">
        <v>0</v>
      </c>
      <c r="C6" s="21" t="n">
        <v>239400</v>
      </c>
      <c r="D6" s="21" t="n">
        <v>0</v>
      </c>
      <c r="E6" s="21" t="n">
        <v>0</v>
      </c>
      <c r="F6" s="21" t="n">
        <v>0</v>
      </c>
      <c r="G6" s="21" t="n">
        <v>239400</v>
      </c>
      <c r="H6" s="40" t="inlineStr">
        <is>
          <t>Assessed / Payable YOA 2024</t>
        </is>
      </c>
    </row>
    <row r="7">
      <c r="A7" s="9" t="inlineStr">
        <is>
          <t>FY 2023 — Police Trust Fund (PTF)</t>
        </is>
      </c>
      <c r="B7" s="22" t="n">
        <v>90</v>
      </c>
      <c r="C7" s="22" t="n">
        <v>365</v>
      </c>
      <c r="D7" s="22" t="n">
        <v>0</v>
      </c>
      <c r="E7" s="22" t="n">
        <v>0</v>
      </c>
      <c r="F7" s="22" t="n">
        <v>0</v>
      </c>
      <c r="G7" s="22" t="n">
        <v>455</v>
      </c>
      <c r="H7" s="41" t="inlineStr">
        <is>
          <t>Includes ₦90 opening arrears</t>
        </is>
      </c>
    </row>
    <row r="8">
      <c r="A8" s="23" t="inlineStr">
        <is>
          <t>FY 2023 — TOTAL CURRENT TAX LIABILITIES</t>
        </is>
      </c>
      <c r="B8" s="24" t="n">
        <v>90</v>
      </c>
      <c r="C8" s="24" t="n">
        <v>1731765</v>
      </c>
      <c r="D8" s="24" t="n">
        <v>0</v>
      </c>
      <c r="E8" s="24" t="n">
        <v>0</v>
      </c>
      <c r="F8" s="24" t="n">
        <v>0</v>
      </c>
      <c r="G8" s="24" t="n">
        <v>1731855</v>
      </c>
      <c r="H8" s="26" t="inlineStr">
        <is>
          <t>TIED TO SFP NOTE 16</t>
        </is>
      </c>
    </row>
    <row r="9">
      <c r="A9" s="9" t="inlineStr">
        <is>
          <t>FY 2024 — Companies Income Tax (CIT)</t>
        </is>
      </c>
      <c r="B9" s="22" t="n">
        <v>1492000</v>
      </c>
      <c r="C9" s="22" t="n">
        <v>2528000</v>
      </c>
      <c r="D9" s="22" t="n">
        <v>0</v>
      </c>
      <c r="E9" s="22" t="n">
        <v>-1492000</v>
      </c>
      <c r="F9" s="22" t="n">
        <v>-400000</v>
      </c>
      <c r="G9" s="22" t="n">
        <v>2128000</v>
      </c>
      <c r="H9" s="41" t="inlineStr">
        <is>
          <t>2023 CIT Paid; WHT Credit Applied</t>
        </is>
      </c>
    </row>
    <row r="10">
      <c r="A10" s="6" t="inlineStr">
        <is>
          <t>FY 2024 — Tertiary Education Tax (TET)</t>
        </is>
      </c>
      <c r="B10" s="21" t="n">
        <v>239400</v>
      </c>
      <c r="C10" s="21" t="n">
        <v>408600</v>
      </c>
      <c r="D10" s="21" t="n">
        <v>0</v>
      </c>
      <c r="E10" s="21" t="n">
        <v>-239400</v>
      </c>
      <c r="F10" s="21" t="n">
        <v>0</v>
      </c>
      <c r="G10" s="21" t="n">
        <v>408600</v>
      </c>
      <c r="H10" s="40" t="inlineStr">
        <is>
          <t>2023 TET Remitted</t>
        </is>
      </c>
    </row>
    <row r="11">
      <c r="A11" s="9" t="inlineStr">
        <is>
          <t>FY 2024 — Police Trust Fund (PTF)</t>
        </is>
      </c>
      <c r="B11" s="22" t="n">
        <v>455</v>
      </c>
      <c r="C11" s="22" t="n">
        <v>625</v>
      </c>
      <c r="D11" s="22" t="n">
        <v>0</v>
      </c>
      <c r="E11" s="22" t="n">
        <v>-455</v>
      </c>
      <c r="F11" s="22" t="n">
        <v>0</v>
      </c>
      <c r="G11" s="22" t="n">
        <v>625</v>
      </c>
      <c r="H11" s="41" t="inlineStr">
        <is>
          <t>Opening PTF Arrears Settled</t>
        </is>
      </c>
    </row>
    <row r="12">
      <c r="A12" s="23" t="inlineStr">
        <is>
          <t>FY 2024 — TOTAL CURRENT TAX LIABILITIES</t>
        </is>
      </c>
      <c r="B12" s="24" t="n">
        <v>1731855</v>
      </c>
      <c r="C12" s="24" t="n">
        <v>2937225</v>
      </c>
      <c r="D12" s="24" t="n">
        <v>0</v>
      </c>
      <c r="E12" s="24" t="n">
        <v>-1731855</v>
      </c>
      <c r="F12" s="24" t="n">
        <v>-400000</v>
      </c>
      <c r="G12" s="24" t="n">
        <v>2537225</v>
      </c>
      <c r="H12" s="26" t="inlineStr">
        <is>
          <t>TIED TO SFP NOTE 16</t>
        </is>
      </c>
    </row>
    <row r="13">
      <c r="A13" s="9" t="inlineStr">
        <is>
          <t>FY 2025 — Companies Income Tax (CIT)</t>
        </is>
      </c>
      <c r="B13" s="22" t="n">
        <v>2128000</v>
      </c>
      <c r="C13" s="22" t="n">
        <v>6825000</v>
      </c>
      <c r="D13" s="22" t="n">
        <v>0</v>
      </c>
      <c r="E13" s="22" t="n">
        <v>-2128000</v>
      </c>
      <c r="F13" s="22" t="n">
        <v>-2000000</v>
      </c>
      <c r="G13" s="22" t="n">
        <v>4825000</v>
      </c>
      <c r="H13" s="41" t="inlineStr">
        <is>
          <t>2024 CIT Paid; ₦2m WHT Utilized</t>
        </is>
      </c>
    </row>
    <row r="14">
      <c r="A14" s="6" t="inlineStr">
        <is>
          <t>FY 2025 — Tertiary Education Tax (TET)</t>
        </is>
      </c>
      <c r="B14" s="21" t="n">
        <v>408600</v>
      </c>
      <c r="C14" s="21" t="n">
        <v>735000</v>
      </c>
      <c r="D14" s="21" t="n">
        <v>0</v>
      </c>
      <c r="E14" s="21" t="n">
        <v>-408600</v>
      </c>
      <c r="F14" s="21" t="n">
        <v>0</v>
      </c>
      <c r="G14" s="21" t="n">
        <v>735000</v>
      </c>
      <c r="H14" s="40" t="inlineStr">
        <is>
          <t>2024 TET Remitted</t>
        </is>
      </c>
    </row>
    <row r="15">
      <c r="A15" s="9" t="inlineStr">
        <is>
          <t>FY 2025 — Police Trust Fund (PTF)</t>
        </is>
      </c>
      <c r="B15" s="22" t="n">
        <v>625</v>
      </c>
      <c r="C15" s="22" t="n">
        <v>1130</v>
      </c>
      <c r="D15" s="22" t="n">
        <v>0</v>
      </c>
      <c r="E15" s="22" t="n">
        <v>-625</v>
      </c>
      <c r="F15" s="22" t="n">
        <v>0</v>
      </c>
      <c r="G15" s="22" t="n">
        <v>1130</v>
      </c>
      <c r="H15" s="41" t="inlineStr">
        <is>
          <t>2024 PTF Remitted</t>
        </is>
      </c>
    </row>
    <row r="16">
      <c r="A16" s="6" t="inlineStr">
        <is>
          <t>FY 2025 — NASENI Development Levy</t>
        </is>
      </c>
      <c r="B16" s="21" t="n">
        <v>0</v>
      </c>
      <c r="C16" s="21" t="n">
        <v>56500</v>
      </c>
      <c r="D16" s="21" t="n">
        <v>0</v>
      </c>
      <c r="E16" s="21" t="n">
        <v>0</v>
      </c>
      <c r="F16" s="21" t="n">
        <v>0</v>
      </c>
      <c r="G16" s="21" t="n">
        <v>56500</v>
      </c>
      <c r="H16" s="40" t="inlineStr">
        <is>
          <t>0.25% Large Company Levy</t>
        </is>
      </c>
    </row>
    <row r="17">
      <c r="A17" s="23" t="inlineStr">
        <is>
          <t>FY 2025 — TOTAL CURRENT TAX LIABILITIES</t>
        </is>
      </c>
      <c r="B17" s="24" t="n">
        <v>2537225</v>
      </c>
      <c r="C17" s="24" t="n">
        <v>7617630</v>
      </c>
      <c r="D17" s="24" t="n">
        <v>0</v>
      </c>
      <c r="E17" s="24" t="n">
        <v>-2537225</v>
      </c>
      <c r="F17" s="24" t="n">
        <v>-2000000</v>
      </c>
      <c r="G17" s="24" t="n">
        <v>5617630</v>
      </c>
      <c r="H17" s="26" t="inlineStr">
        <is>
          <t>TIED TO SFP NOTE 16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7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0" customWidth="1" min="1" max="1"/>
    <col width="11" customWidth="1" min="2" max="2"/>
    <col width="31" customWidth="1" min="3" max="3"/>
    <col width="31" customWidth="1" min="4" max="4"/>
    <col width="42" customWidth="1" min="5" max="5"/>
  </cols>
  <sheetData>
    <row r="1">
      <c r="A1" s="1" t="inlineStr">
        <is>
          <t>BAAY PROJECTS LIMITED (RC 1526224)</t>
        </is>
      </c>
    </row>
    <row r="2">
      <c r="A2" s="2" t="inlineStr">
        <is>
          <t>ANNUAL FINANCIAL STATEMENTS FOR THE YEAR ENDED 31 DECEMBER 2023</t>
        </is>
      </c>
    </row>
    <row r="3">
      <c r="A3" s="3" t="inlineStr">
        <is>
          <t>(With Comparative Figures for the Year Ended 31 December 2022 — Stated in Nigerian Naira ₦)</t>
        </is>
      </c>
    </row>
    <row r="4"/>
    <row r="5">
      <c r="A5" s="2" t="inlineStr">
        <is>
          <t>1. STATEMENT OF FINANCIAL POSITION AS AT 31 DECEMBER 2023</t>
        </is>
      </c>
    </row>
    <row r="6">
      <c r="A6" s="4" t="inlineStr">
        <is>
          <t>Financial Statement Line Item</t>
        </is>
      </c>
      <c r="B6" s="4" t="inlineStr">
        <is>
          <t>Notes</t>
        </is>
      </c>
      <c r="C6" s="4" t="inlineStr">
        <is>
          <t>31 Dec 2023 (NGN)</t>
        </is>
      </c>
      <c r="D6" s="4" t="inlineStr">
        <is>
          <t>31 Dec 2022 (NGN)</t>
        </is>
      </c>
      <c r="E6" s="4" t="inlineStr">
        <is>
          <t>Audit / IFRS Status</t>
        </is>
      </c>
    </row>
    <row r="7">
      <c r="A7" s="8" t="inlineStr">
        <is>
          <t>NON-CURRENT ASSETS</t>
        </is>
      </c>
      <c r="B7" s="44" t="n"/>
      <c r="C7" s="44" t="n"/>
      <c r="D7" s="44" t="n"/>
      <c r="E7" s="44" t="n"/>
    </row>
    <row r="8">
      <c r="A8" s="6" t="inlineStr">
        <is>
          <t>Property, plant and equipment</t>
        </is>
      </c>
      <c r="B8" s="13" t="inlineStr">
        <is>
          <t>Note 7</t>
        </is>
      </c>
      <c r="C8" s="21" t="n">
        <v>1424540</v>
      </c>
      <c r="D8" s="21" t="n">
        <v>9540</v>
      </c>
      <c r="E8" s="40" t="inlineStr">
        <is>
          <t>IAS 16 Carrying Amount</t>
        </is>
      </c>
    </row>
    <row r="9">
      <c r="A9" s="6" t="inlineStr">
        <is>
          <t>Deferred tax asset</t>
        </is>
      </c>
      <c r="B9" s="13" t="inlineStr">
        <is>
          <t>Note 15</t>
        </is>
      </c>
      <c r="C9" s="21" t="n">
        <v>32000</v>
      </c>
      <c r="D9" s="21" t="n">
        <v>0</v>
      </c>
      <c r="E9" s="40" t="inlineStr">
        <is>
          <t>IAS 12 Temporary Differences</t>
        </is>
      </c>
    </row>
    <row r="10">
      <c r="A10" s="45" t="inlineStr">
        <is>
          <t>TOTAL NON-CURRENT ASSETS</t>
        </is>
      </c>
      <c r="B10" s="46" t="n"/>
      <c r="C10" s="47">
        <f>SUM(C8:C9)</f>
        <v/>
      </c>
      <c r="D10" s="47">
        <f>SUM(D8:D9)</f>
        <v/>
      </c>
      <c r="E10" s="48" t="inlineStr">
        <is>
          <t>TIED OUT</t>
        </is>
      </c>
    </row>
    <row r="11">
      <c r="A11" s="8" t="inlineStr">
        <is>
          <t>CURRENT ASSETS</t>
        </is>
      </c>
      <c r="B11" s="44" t="n"/>
      <c r="C11" s="44" t="n"/>
      <c r="D11" s="44" t="n"/>
      <c r="E11" s="44" t="n"/>
    </row>
    <row r="12">
      <c r="A12" s="6" t="inlineStr">
        <is>
          <t>Inventories (Development land &amp; WIP)</t>
        </is>
      </c>
      <c r="B12" s="13" t="inlineStr">
        <is>
          <t>Note 8</t>
        </is>
      </c>
      <c r="C12" s="21" t="n">
        <v>8650000</v>
      </c>
      <c r="D12" s="21" t="n">
        <v>0</v>
      </c>
      <c r="E12" s="40" t="inlineStr">
        <is>
          <t>IAS 2 Cost / NRV</t>
        </is>
      </c>
    </row>
    <row r="13">
      <c r="A13" s="6" t="inlineStr">
        <is>
          <t>Contract assets</t>
        </is>
      </c>
      <c r="B13" s="13" t="inlineStr">
        <is>
          <t>Note 9</t>
        </is>
      </c>
      <c r="C13" s="21" t="n">
        <v>2400000</v>
      </c>
      <c r="D13" s="21" t="n">
        <v>0</v>
      </c>
      <c r="E13" s="40" t="inlineStr">
        <is>
          <t>IFRS 15 Unbilled Revenue</t>
        </is>
      </c>
    </row>
    <row r="14">
      <c r="A14" s="6" t="inlineStr">
        <is>
          <t>Trade and other receivables</t>
        </is>
      </c>
      <c r="B14" s="13" t="inlineStr">
        <is>
          <t>Note 10</t>
        </is>
      </c>
      <c r="C14" s="21" t="n">
        <v>5015000</v>
      </c>
      <c r="D14" s="21" t="n">
        <v>3374668</v>
      </c>
      <c r="E14" s="40" t="inlineStr">
        <is>
          <t>IFRS 9 Net of ECL</t>
        </is>
      </c>
    </row>
    <row r="15">
      <c r="A15" s="6" t="inlineStr">
        <is>
          <t>Cash and cash equivalents</t>
        </is>
      </c>
      <c r="B15" s="13" t="inlineStr">
        <is>
          <t>Note 11</t>
        </is>
      </c>
      <c r="C15" s="21" t="n">
        <v>2842403</v>
      </c>
      <c r="D15" s="21" t="n">
        <v>52500</v>
      </c>
      <c r="E15" s="40" t="inlineStr">
        <is>
          <t>Reconciled Bank Balances</t>
        </is>
      </c>
    </row>
    <row r="16">
      <c r="A16" s="45" t="inlineStr">
        <is>
          <t>TOTAL CURRENT ASSETS</t>
        </is>
      </c>
      <c r="B16" s="46" t="n"/>
      <c r="C16" s="47">
        <f>SUM(C12:C15)</f>
        <v/>
      </c>
      <c r="D16" s="47">
        <f>SUM(D12:D15)</f>
        <v/>
      </c>
      <c r="E16" s="48" t="inlineStr">
        <is>
          <t>TIED OUT</t>
        </is>
      </c>
    </row>
    <row r="17">
      <c r="A17" s="23" t="inlineStr">
        <is>
          <t>TOTAL ASSETS</t>
        </is>
      </c>
      <c r="B17" s="31" t="n"/>
      <c r="C17" s="24">
        <f>C10+C16</f>
        <v/>
      </c>
      <c r="D17" s="24">
        <f>D10+D16</f>
        <v/>
      </c>
      <c r="E17" s="26" t="inlineStr">
        <is>
          <t>TIED OUT</t>
        </is>
      </c>
    </row>
    <row r="18">
      <c r="A18" s="8" t="inlineStr">
        <is>
          <t>EQUITY</t>
        </is>
      </c>
      <c r="B18" s="44" t="n"/>
      <c r="C18" s="44" t="n"/>
      <c r="D18" s="44" t="n"/>
      <c r="E18" s="44" t="n"/>
    </row>
    <row r="19">
      <c r="A19" s="6" t="inlineStr">
        <is>
          <t>Share capital</t>
        </is>
      </c>
      <c r="B19" s="13" t="inlineStr">
        <is>
          <t>Note 18</t>
        </is>
      </c>
      <c r="C19" s="21" t="n">
        <v>1000000</v>
      </c>
      <c r="D19" s="21" t="n">
        <v>1000000</v>
      </c>
      <c r="E19" s="40" t="inlineStr">
        <is>
          <t>1m Ordinary Shares @ ₦1</t>
        </is>
      </c>
    </row>
    <row r="20">
      <c r="A20" s="6" t="inlineStr">
        <is>
          <t>Retained earnings</t>
        </is>
      </c>
      <c r="B20" s="13" t="inlineStr">
        <is>
          <t>Note 19</t>
        </is>
      </c>
      <c r="C20" s="21" t="n">
        <v>7961943</v>
      </c>
      <c r="D20" s="21" t="n">
        <v>2361708</v>
      </c>
      <c r="E20" s="40" t="inlineStr">
        <is>
          <t>Cumulative Post-Tax Earnings</t>
        </is>
      </c>
    </row>
    <row r="21">
      <c r="A21" s="45" t="inlineStr">
        <is>
          <t>TOTAL EQUITY</t>
        </is>
      </c>
      <c r="B21" s="46" t="n"/>
      <c r="C21" s="47">
        <f>SUM(C19:C20)</f>
        <v/>
      </c>
      <c r="D21" s="47">
        <f>SUM(D19:D20)</f>
        <v/>
      </c>
      <c r="E21" s="48" t="inlineStr">
        <is>
          <t>TIED OUT</t>
        </is>
      </c>
    </row>
    <row r="22">
      <c r="A22" s="8" t="inlineStr">
        <is>
          <t>NON-CURRENT LIABILITIES</t>
        </is>
      </c>
      <c r="B22" s="44" t="n"/>
      <c r="C22" s="44" t="n"/>
      <c r="D22" s="44" t="n"/>
      <c r="E22" s="44" t="n"/>
    </row>
    <row r="23">
      <c r="A23" s="6" t="inlineStr">
        <is>
          <t>Borrowings &amp; director's loans</t>
        </is>
      </c>
      <c r="B23" s="13" t="inlineStr">
        <is>
          <t>Note 17</t>
        </is>
      </c>
      <c r="C23" s="21" t="n">
        <v>4500000</v>
      </c>
      <c r="D23" s="21" t="n">
        <v>0</v>
      </c>
      <c r="E23" s="40" t="inlineStr">
        <is>
          <t>IAS 24 Related Party</t>
        </is>
      </c>
    </row>
    <row r="24">
      <c r="A24" s="45" t="inlineStr">
        <is>
          <t>TOTAL NON-CURRENT LIABILITIES</t>
        </is>
      </c>
      <c r="B24" s="46" t="n"/>
      <c r="C24" s="47">
        <f>C23</f>
        <v/>
      </c>
      <c r="D24" s="47">
        <f>D23</f>
        <v/>
      </c>
      <c r="E24" s="48" t="inlineStr">
        <is>
          <t>TIED OUT</t>
        </is>
      </c>
    </row>
    <row r="25">
      <c r="A25" s="8" t="inlineStr">
        <is>
          <t>CURRENT LIABILITIES</t>
        </is>
      </c>
      <c r="B25" s="44" t="n"/>
      <c r="C25" s="44" t="n"/>
      <c r="D25" s="44" t="n"/>
      <c r="E25" s="44" t="n"/>
    </row>
    <row r="26">
      <c r="A26" s="6" t="inlineStr">
        <is>
          <t>Trade and other payables</t>
        </is>
      </c>
      <c r="B26" s="13" t="inlineStr">
        <is>
          <t>Note 14</t>
        </is>
      </c>
      <c r="C26" s="21" t="n">
        <v>2770235</v>
      </c>
      <c r="D26" s="21" t="n">
        <v>75000</v>
      </c>
      <c r="E26" s="40" t="inlineStr">
        <is>
          <t>Amortized Cost</t>
        </is>
      </c>
    </row>
    <row r="27">
      <c r="A27" s="6" t="inlineStr">
        <is>
          <t>Contract liabilities</t>
        </is>
      </c>
      <c r="B27" s="13" t="inlineStr">
        <is>
          <t>Note 13</t>
        </is>
      </c>
      <c r="C27" s="21" t="n">
        <v>2400000</v>
      </c>
      <c r="D27" s="21" t="n">
        <v>0</v>
      </c>
      <c r="E27" s="40" t="inlineStr">
        <is>
          <t>IFRS 15 Customer Advances</t>
        </is>
      </c>
    </row>
    <row r="28">
      <c r="A28" s="6" t="inlineStr">
        <is>
          <t>Current tax liabilities</t>
        </is>
      </c>
      <c r="B28" s="13" t="inlineStr">
        <is>
          <t>Note 16</t>
        </is>
      </c>
      <c r="C28" s="21" t="n">
        <v>1731765</v>
      </c>
      <c r="D28" s="21" t="n">
        <v>0</v>
      </c>
      <c r="E28" s="40" t="inlineStr">
        <is>
          <t>CITA / TETFA Statutory</t>
        </is>
      </c>
    </row>
    <row r="29">
      <c r="A29" s="45" t="inlineStr">
        <is>
          <t>TOTAL CURRENT LIABILITIES</t>
        </is>
      </c>
      <c r="B29" s="46" t="n"/>
      <c r="C29" s="47">
        <f>SUM(C26:C28)</f>
        <v/>
      </c>
      <c r="D29" s="47">
        <f>SUM(D26:D28)</f>
        <v/>
      </c>
      <c r="E29" s="48" t="inlineStr">
        <is>
          <t>TIED OUT</t>
        </is>
      </c>
    </row>
    <row r="30">
      <c r="A30" s="23" t="inlineStr">
        <is>
          <t>TOTAL LIABILITIES AND EQUITY</t>
        </is>
      </c>
      <c r="B30" s="31" t="n"/>
      <c r="C30" s="24">
        <f>C21+C24+C29</f>
        <v/>
      </c>
      <c r="D30" s="24">
        <f>D21+D24+D29</f>
        <v/>
      </c>
      <c r="E30" s="26" t="inlineStr">
        <is>
          <t>TIED TO TOTAL ASSETS</t>
        </is>
      </c>
    </row>
    <row r="31"/>
    <row r="32"/>
    <row r="33">
      <c r="A33" s="2" t="inlineStr">
        <is>
          <t>2. STATEMENT OF PROFIT OR LOSS AND OTHER COMPREHENSIVE INCOME FOR THE YEAR ENDED 31 DECEMBER 2023</t>
        </is>
      </c>
    </row>
    <row r="34">
      <c r="A34" s="4" t="inlineStr">
        <is>
          <t>Statement of Profit or Loss Line Item</t>
        </is>
      </c>
      <c r="B34" s="4" t="inlineStr">
        <is>
          <t>Notes</t>
        </is>
      </c>
      <c r="C34" s="4" t="inlineStr">
        <is>
          <t>Year Ended 31 Dec 2023 (NGN)</t>
        </is>
      </c>
      <c r="D34" s="4" t="inlineStr">
        <is>
          <t>Year Ended 31 Dec 2022 (NGN)</t>
        </is>
      </c>
      <c r="E34" s="4" t="inlineStr">
        <is>
          <t>IFRS Accounting Treatment</t>
        </is>
      </c>
    </row>
    <row r="35">
      <c r="A35" s="9" t="inlineStr">
        <is>
          <t>Revenue from contracts with customers</t>
        </is>
      </c>
      <c r="B35" s="11" t="inlineStr">
        <is>
          <t>Note 3</t>
        </is>
      </c>
      <c r="C35" s="22" t="n">
        <v>38500000</v>
      </c>
      <c r="D35" s="22" t="n">
        <v>8500000</v>
      </c>
      <c r="E35" s="10" t="inlineStr">
        <is>
          <t>IFRS 15 Recognized Revenue</t>
        </is>
      </c>
    </row>
    <row r="36">
      <c r="A36" s="6" t="inlineStr">
        <is>
          <t>Cost of sales</t>
        </is>
      </c>
      <c r="B36" s="13" t="inlineStr">
        <is>
          <t>Note 4</t>
        </is>
      </c>
      <c r="C36" s="21" t="n">
        <v>-24650000</v>
      </c>
      <c r="D36" s="21" t="n">
        <v>-5200000</v>
      </c>
      <c r="E36" s="7" t="inlineStr">
        <is>
          <t>IAS 2 Direct Project Costs</t>
        </is>
      </c>
    </row>
    <row r="37">
      <c r="A37" s="49" t="inlineStr">
        <is>
          <t>GROSS PROFIT</t>
        </is>
      </c>
      <c r="B37" s="50" t="n"/>
      <c r="C37" s="51">
        <f>SUM(C35:C36)</f>
        <v/>
      </c>
      <c r="D37" s="51">
        <f>SUM(D35:D36)</f>
        <v/>
      </c>
      <c r="E37" s="52" t="inlineStr">
        <is>
          <t>Gross Margin: 35.97%</t>
        </is>
      </c>
    </row>
    <row r="38">
      <c r="A38" s="6" t="inlineStr">
        <is>
          <t>Administrative and operating expenses</t>
        </is>
      </c>
      <c r="B38" s="13" t="inlineStr">
        <is>
          <t>Note 5</t>
        </is>
      </c>
      <c r="C38" s="21" t="n">
        <v>-6425000</v>
      </c>
      <c r="D38" s="21" t="n">
        <v>-2588292</v>
      </c>
      <c r="E38" s="7" t="inlineStr">
        <is>
          <t>IAS 1 Operating Overheads</t>
        </is>
      </c>
    </row>
    <row r="39">
      <c r="A39" s="49" t="inlineStr">
        <is>
          <t>OPERATING PROFIT (EBIT)</t>
        </is>
      </c>
      <c r="B39" s="50" t="n"/>
      <c r="C39" s="51">
        <f>C37+C38</f>
        <v/>
      </c>
      <c r="D39" s="51">
        <f>D37+D38</f>
        <v/>
      </c>
      <c r="E39" s="52" t="inlineStr">
        <is>
          <t>Operating Margin: 19.29%</t>
        </is>
      </c>
    </row>
    <row r="40">
      <c r="A40" s="6" t="inlineStr">
        <is>
          <t>Finance costs</t>
        </is>
      </c>
      <c r="B40" s="13" t="inlineStr">
        <is>
          <t>Note 6</t>
        </is>
      </c>
      <c r="C40" s="21" t="n">
        <v>-125000</v>
      </c>
      <c r="D40" s="21" t="n">
        <v>0</v>
      </c>
      <c r="E40" s="7" t="inlineStr">
        <is>
          <t>Bank Project Facility Interest</t>
        </is>
      </c>
    </row>
    <row r="41">
      <c r="A41" s="49" t="inlineStr">
        <is>
          <t>PROFIT BEFORE TAXATION</t>
        </is>
      </c>
      <c r="B41" s="50" t="n"/>
      <c r="C41" s="51">
        <f>C39+C40</f>
        <v/>
      </c>
      <c r="D41" s="51">
        <f>D39+D40</f>
        <v/>
      </c>
      <c r="E41" s="52" t="inlineStr">
        <is>
          <t>Taxable Accounting Profit</t>
        </is>
      </c>
    </row>
    <row r="42">
      <c r="A42" s="6" t="inlineStr">
        <is>
          <t>Income tax expense</t>
        </is>
      </c>
      <c r="B42" s="13" t="inlineStr">
        <is>
          <t>Note 16</t>
        </is>
      </c>
      <c r="C42" s="21" t="n">
        <v>-1699765</v>
      </c>
      <c r="D42" s="21" t="n">
        <v>0</v>
      </c>
      <c r="E42" s="7" t="inlineStr">
        <is>
          <t>Current Tax ₦1,731,765 less DTA ₦32,000</t>
        </is>
      </c>
    </row>
    <row r="43">
      <c r="A43" s="23" t="inlineStr">
        <is>
          <t>PROFIT FOR THE YEAR</t>
        </is>
      </c>
      <c r="B43" s="31" t="n"/>
      <c r="C43" s="24">
        <f>C41+C42</f>
        <v/>
      </c>
      <c r="D43" s="24">
        <f>D41+D42</f>
        <v/>
      </c>
      <c r="E43" s="25" t="inlineStr">
        <is>
          <t>Net Profit Margin: 14.55%</t>
        </is>
      </c>
    </row>
    <row r="44">
      <c r="A44" s="6" t="inlineStr">
        <is>
          <t>OTHER COMPREHENSIVE INCOME</t>
        </is>
      </c>
      <c r="B44" s="53" t="n"/>
      <c r="C44" s="21" t="n">
        <v>0</v>
      </c>
      <c r="D44" s="21" t="n">
        <v>0</v>
      </c>
      <c r="E44" s="7" t="inlineStr">
        <is>
          <t>No Items of OCI</t>
        </is>
      </c>
    </row>
    <row r="45">
      <c r="A45" s="23" t="inlineStr">
        <is>
          <t>TOTAL COMPREHENSIVE INCOME FOR THE YEAR</t>
        </is>
      </c>
      <c r="B45" s="31" t="n"/>
      <c r="C45" s="24">
        <f>C43+C44</f>
        <v/>
      </c>
      <c r="D45" s="24">
        <f>D43+D44</f>
        <v/>
      </c>
      <c r="E45" s="25" t="inlineStr">
        <is>
          <t>TRANSFERRED TO EQUITY</t>
        </is>
      </c>
    </row>
    <row r="46"/>
    <row r="47"/>
    <row r="48">
      <c r="A48" s="2" t="inlineStr">
        <is>
          <t>3. STATEMENT OF CASH FLOWS FOR THE YEAR ENDED 31 DECEMBER 2023 (INDIRECT METHOD)</t>
        </is>
      </c>
    </row>
    <row r="49">
      <c r="A49" s="4" t="inlineStr">
        <is>
          <t>Cash Flow Line Item</t>
        </is>
      </c>
      <c r="B49" s="4" t="inlineStr">
        <is>
          <t>Notes</t>
        </is>
      </c>
      <c r="C49" s="4" t="inlineStr">
        <is>
          <t>Year Ended 31 Dec 2023 (NGN)</t>
        </is>
      </c>
      <c r="D49" s="4" t="inlineStr">
        <is>
          <t>Year Ended 31 Dec 2022 (NGN)</t>
        </is>
      </c>
      <c r="E49" s="4" t="inlineStr">
        <is>
          <t>Cash Flow Classification</t>
        </is>
      </c>
    </row>
    <row r="50">
      <c r="A50" s="45" t="inlineStr">
        <is>
          <t>CASH FLOWS FROM OPERATING ACTIVITIES</t>
        </is>
      </c>
      <c r="B50" s="46" t="n"/>
      <c r="C50" s="46" t="n"/>
      <c r="D50" s="46" t="n"/>
      <c r="E50" s="54" t="n"/>
    </row>
    <row r="51">
      <c r="A51" s="6" t="inlineStr">
        <is>
          <t>Profit before taxation</t>
        </is>
      </c>
      <c r="B51" s="13" t="inlineStr">
        <is>
          <t>SPLOCI</t>
        </is>
      </c>
      <c r="C51" s="21" t="n">
        <v>7300000</v>
      </c>
      <c r="D51" s="21" t="n">
        <v>711708</v>
      </c>
      <c r="E51" s="7" t="inlineStr">
        <is>
          <t>Operating PBT</t>
        </is>
      </c>
    </row>
    <row r="52">
      <c r="A52" s="6" t="inlineStr">
        <is>
          <t>Adjustments for non-cash items:</t>
        </is>
      </c>
      <c r="B52" s="53" t="n"/>
      <c r="C52" s="53" t="n"/>
      <c r="D52" s="53" t="n"/>
      <c r="E52" s="7" t="n"/>
    </row>
    <row r="53">
      <c r="A53" s="6" t="inlineStr">
        <is>
          <t xml:space="preserve">  - Depreciation of property, plant and equipment</t>
        </is>
      </c>
      <c r="B53" s="13" t="inlineStr">
        <is>
          <t>Note 7</t>
        </is>
      </c>
      <c r="C53" s="21" t="n">
        <v>385000</v>
      </c>
      <c r="D53" s="21" t="n">
        <v>4770</v>
      </c>
      <c r="E53" s="7" t="inlineStr">
        <is>
          <t>Non-Cash Operating Adj</t>
        </is>
      </c>
    </row>
    <row r="54">
      <c r="A54" s="6" t="inlineStr">
        <is>
          <t xml:space="preserve">  - Impairment allowance on receivables (ECL)</t>
        </is>
      </c>
      <c r="B54" s="13" t="inlineStr">
        <is>
          <t>Note 10</t>
        </is>
      </c>
      <c r="C54" s="21" t="n">
        <v>185000</v>
      </c>
      <c r="D54" s="21" t="n">
        <v>0</v>
      </c>
      <c r="E54" s="7" t="inlineStr">
        <is>
          <t>Non-Cash Operating Adj</t>
        </is>
      </c>
    </row>
    <row r="55">
      <c r="A55" s="6" t="inlineStr">
        <is>
          <t xml:space="preserve">  - Finance costs recognized in profit or loss</t>
        </is>
      </c>
      <c r="B55" s="13" t="inlineStr">
        <is>
          <t>Note 6</t>
        </is>
      </c>
      <c r="C55" s="21" t="n">
        <v>125000</v>
      </c>
      <c r="D55" s="21" t="n">
        <v>0</v>
      </c>
      <c r="E55" s="7" t="inlineStr">
        <is>
          <t>Financing Reclassification</t>
        </is>
      </c>
    </row>
    <row r="56">
      <c r="A56" s="6" t="inlineStr">
        <is>
          <t>Operating profit before working capital changes</t>
        </is>
      </c>
      <c r="B56" s="53" t="n"/>
      <c r="C56" s="21">
        <f>SUM(C51:C55)</f>
        <v/>
      </c>
      <c r="D56" s="21">
        <f>SUM(D51:D55)</f>
        <v/>
      </c>
      <c r="E56" s="7" t="inlineStr">
        <is>
          <t>TIED OUT</t>
        </is>
      </c>
    </row>
    <row r="57">
      <c r="A57" s="6" t="inlineStr">
        <is>
          <t>Working capital changes:</t>
        </is>
      </c>
      <c r="B57" s="53" t="n"/>
      <c r="C57" s="53" t="n"/>
      <c r="D57" s="53" t="n"/>
      <c r="E57" s="7" t="n"/>
    </row>
    <row r="58">
      <c r="A58" s="6" t="inlineStr">
        <is>
          <t xml:space="preserve">  - (Increase) in development inventories and WIP</t>
        </is>
      </c>
      <c r="B58" s="13" t="inlineStr">
        <is>
          <t>Note 8</t>
        </is>
      </c>
      <c r="C58" s="21" t="n">
        <v>-8650000</v>
      </c>
      <c r="D58" s="21" t="n">
        <v>0</v>
      </c>
      <c r="E58" s="7" t="inlineStr">
        <is>
          <t>IAS 2 Inventory Delta</t>
        </is>
      </c>
    </row>
    <row r="59">
      <c r="A59" s="6" t="inlineStr">
        <is>
          <t xml:space="preserve">  - (Increase) in contract assets</t>
        </is>
      </c>
      <c r="B59" s="13" t="inlineStr">
        <is>
          <t>Note 9</t>
        </is>
      </c>
      <c r="C59" s="21" t="n">
        <v>-2400000</v>
      </c>
      <c r="D59" s="21" t="n">
        <v>0</v>
      </c>
      <c r="E59" s="7" t="inlineStr">
        <is>
          <t>IFRS 15 Asset Delta</t>
        </is>
      </c>
    </row>
    <row r="60">
      <c r="A60" s="6" t="inlineStr">
        <is>
          <t xml:space="preserve">  - (Increase) in trade and other receivables</t>
        </is>
      </c>
      <c r="B60" s="13" t="inlineStr">
        <is>
          <t>Note 10</t>
        </is>
      </c>
      <c r="C60" s="21" t="n">
        <v>-1825332</v>
      </c>
      <c r="D60" s="21" t="n">
        <v>-1200000</v>
      </c>
      <c r="E60" s="7" t="inlineStr">
        <is>
          <t>Receivables Delta</t>
        </is>
      </c>
    </row>
    <row r="61">
      <c r="A61" s="6" t="inlineStr">
        <is>
          <t xml:space="preserve">  - Increase in trade and other payables</t>
        </is>
      </c>
      <c r="B61" s="13" t="inlineStr">
        <is>
          <t>Note 14</t>
        </is>
      </c>
      <c r="C61" s="21" t="n">
        <v>2695235</v>
      </c>
      <c r="D61" s="21" t="n">
        <v>25000</v>
      </c>
      <c r="E61" s="7" t="inlineStr">
        <is>
          <t>Payables Delta</t>
        </is>
      </c>
    </row>
    <row r="62">
      <c r="A62" s="6" t="inlineStr">
        <is>
          <t xml:space="preserve">  - Increase in contract liabilities (advances)</t>
        </is>
      </c>
      <c r="B62" s="13" t="inlineStr">
        <is>
          <t>Note 13</t>
        </is>
      </c>
      <c r="C62" s="21" t="n">
        <v>2400000</v>
      </c>
      <c r="D62" s="21" t="n">
        <v>0</v>
      </c>
      <c r="E62" s="7" t="inlineStr">
        <is>
          <t>IFRS 15 Liability Delta</t>
        </is>
      </c>
    </row>
    <row r="63">
      <c r="A63" s="6" t="inlineStr">
        <is>
          <t>Cash generated from / (used in) operations</t>
        </is>
      </c>
      <c r="B63" s="53" t="n"/>
      <c r="C63" s="21">
        <f>C56+SUM(C58:C62)</f>
        <v/>
      </c>
      <c r="D63" s="21">
        <f>D56+SUM(D58:D62)</f>
        <v/>
      </c>
      <c r="E63" s="7" t="inlineStr">
        <is>
          <t>TIED OUT</t>
        </is>
      </c>
    </row>
    <row r="64">
      <c r="A64" s="6" t="inlineStr">
        <is>
          <t xml:space="preserve">  - Income taxes paid</t>
        </is>
      </c>
      <c r="B64" s="13" t="inlineStr">
        <is>
          <t>Note 16</t>
        </is>
      </c>
      <c r="C64" s="21" t="n">
        <v>0</v>
      </c>
      <c r="D64" s="21" t="n">
        <v>0</v>
      </c>
      <c r="E64" s="7" t="inlineStr">
        <is>
          <t>Operating Tax Cash Flow</t>
        </is>
      </c>
    </row>
    <row r="65">
      <c r="A65" s="6" t="inlineStr">
        <is>
          <t xml:space="preserve">  - Interest paid on project facilities</t>
        </is>
      </c>
      <c r="B65" s="13" t="inlineStr">
        <is>
          <t>Note 6</t>
        </is>
      </c>
      <c r="C65" s="21" t="n">
        <v>-125000</v>
      </c>
      <c r="D65" s="21" t="n">
        <v>0</v>
      </c>
      <c r="E65" s="7" t="inlineStr">
        <is>
          <t>Operating Interest Cash Flow</t>
        </is>
      </c>
    </row>
    <row r="66">
      <c r="A66" s="8" t="inlineStr">
        <is>
          <t>Net cash flows from / (used in) operating activities</t>
        </is>
      </c>
      <c r="B66" s="44" t="n"/>
      <c r="C66" s="17">
        <f>C63+C64+C65</f>
        <v/>
      </c>
      <c r="D66" s="17">
        <f>D63+D64+D65</f>
        <v/>
      </c>
      <c r="E66" s="10" t="inlineStr">
        <is>
          <t>TIED OUT</t>
        </is>
      </c>
    </row>
    <row r="67">
      <c r="A67" s="45" t="inlineStr">
        <is>
          <t>CASH FLOWS FROM INVESTING ACTIVITIES</t>
        </is>
      </c>
      <c r="B67" s="46" t="n"/>
      <c r="C67" s="46" t="n"/>
      <c r="D67" s="46" t="n"/>
      <c r="E67" s="54" t="n"/>
    </row>
    <row r="68">
      <c r="A68" s="6" t="inlineStr">
        <is>
          <t>Purchase of property, plant and equipment</t>
        </is>
      </c>
      <c r="B68" s="13" t="inlineStr">
        <is>
          <t>Note 7</t>
        </is>
      </c>
      <c r="C68" s="21" t="n">
        <v>-1800000</v>
      </c>
      <c r="D68" s="21" t="n">
        <v>0</v>
      </c>
      <c r="E68" s="7" t="inlineStr">
        <is>
          <t>IAS 16 Cash Additions</t>
        </is>
      </c>
    </row>
    <row r="69">
      <c r="A69" s="8" t="inlineStr">
        <is>
          <t>Net cash flows used in investing activities</t>
        </is>
      </c>
      <c r="B69" s="44" t="n"/>
      <c r="C69" s="17">
        <f>C68</f>
        <v/>
      </c>
      <c r="D69" s="17">
        <f>D68</f>
        <v/>
      </c>
      <c r="E69" s="10" t="inlineStr">
        <is>
          <t>TIED OUT</t>
        </is>
      </c>
    </row>
    <row r="70">
      <c r="A70" s="45" t="inlineStr">
        <is>
          <t>CASH FLOWS FROM FINANCING ACTIVITIES</t>
        </is>
      </c>
      <c r="B70" s="46" t="n"/>
      <c r="C70" s="46" t="n"/>
      <c r="D70" s="46" t="n"/>
      <c r="E70" s="54" t="n"/>
    </row>
    <row r="71">
      <c r="A71" s="6" t="inlineStr">
        <is>
          <t>Proceeds from director's project loans</t>
        </is>
      </c>
      <c r="B71" s="13" t="inlineStr">
        <is>
          <t>Note 17</t>
        </is>
      </c>
      <c r="C71" s="21" t="n">
        <v>4500000</v>
      </c>
      <c r="D71" s="21" t="n">
        <v>0</v>
      </c>
      <c r="E71" s="7" t="inlineStr">
        <is>
          <t>IAS 24 Related Party</t>
        </is>
      </c>
    </row>
    <row r="72">
      <c r="A72" s="8" t="inlineStr">
        <is>
          <t>Net cash flows from financing activities</t>
        </is>
      </c>
      <c r="B72" s="44" t="n"/>
      <c r="C72" s="17">
        <f>C71</f>
        <v/>
      </c>
      <c r="D72" s="17">
        <f>D71</f>
        <v/>
      </c>
      <c r="E72" s="10" t="inlineStr">
        <is>
          <t>TIED OUT</t>
        </is>
      </c>
    </row>
    <row r="73">
      <c r="A73" s="6" t="inlineStr">
        <is>
          <t>Net increase in cash and cash equivalents</t>
        </is>
      </c>
      <c r="B73" s="53" t="n"/>
      <c r="C73" s="21">
        <f>C66+C69+C72</f>
        <v/>
      </c>
      <c r="D73" s="21">
        <f>D66+D69+D72</f>
        <v/>
      </c>
      <c r="E73" s="7" t="inlineStr">
        <is>
          <t>Net Annual Liquidity Delta</t>
        </is>
      </c>
    </row>
    <row r="74">
      <c r="A74" s="6" t="inlineStr">
        <is>
          <t>Cash and cash equivalents at 1 January</t>
        </is>
      </c>
      <c r="B74" s="13" t="inlineStr">
        <is>
          <t>Note 11</t>
        </is>
      </c>
      <c r="C74" s="21" t="n">
        <v>52500</v>
      </c>
      <c r="D74" s="21" t="n">
        <v>15000</v>
      </c>
      <c r="E74" s="7" t="inlineStr">
        <is>
          <t>Opening Cash B/F</t>
        </is>
      </c>
    </row>
    <row r="75">
      <c r="A75" s="23" t="inlineStr">
        <is>
          <t>CASH AND CASH EQUIVALENTS AT 31 DECEMBER</t>
        </is>
      </c>
      <c r="B75" s="37" t="inlineStr">
        <is>
          <t>Note 11</t>
        </is>
      </c>
      <c r="C75" s="24">
        <f>C73+C74</f>
        <v/>
      </c>
      <c r="D75" s="24">
        <f>D73+D74</f>
        <v/>
      </c>
      <c r="E75" s="55" t="inlineStr">
        <is>
          <t>TIED TO SFP NOTE 11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5" customWidth="1" min="1" max="1"/>
    <col width="45" customWidth="1" min="2" max="2"/>
    <col width="66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BAAY PROJECTS LIMITED — NOTES TO THE FINANCIAL STATEMENTS (FY 2023)</t>
        </is>
      </c>
    </row>
    <row r="2">
      <c r="A2" s="3" t="inlineStr">
        <is>
          <t>Numbered Notes 1 to 28 Supporting the Audited Financial Statements for the Year Ended 31 December 2023</t>
        </is>
      </c>
    </row>
    <row r="3"/>
    <row r="4">
      <c r="A4" s="4" t="inlineStr">
        <is>
          <t>Note #</t>
        </is>
      </c>
      <c r="B4" s="4" t="inlineStr">
        <is>
          <t>Note Description / Accounting Line</t>
        </is>
      </c>
      <c r="C4" s="4" t="inlineStr">
        <is>
          <t>Sub-Item Breakdown</t>
        </is>
      </c>
      <c r="D4" s="4" t="inlineStr">
        <is>
          <t>31 Dec 2023 (NGN)</t>
        </is>
      </c>
      <c r="E4" s="4" t="inlineStr">
        <is>
          <t>31 Dec 2022 (NGN)</t>
        </is>
      </c>
      <c r="F4" s="4" t="inlineStr">
        <is>
          <t>IFRS Standard / Disclosures</t>
        </is>
      </c>
    </row>
    <row r="5">
      <c r="A5" s="30" t="inlineStr">
        <is>
          <t>Note 1</t>
        </is>
      </c>
      <c r="B5" s="9" t="inlineStr">
        <is>
          <t>General Information</t>
        </is>
      </c>
      <c r="C5" s="9" t="inlineStr">
        <is>
          <t>Corporate Profile, RC 1526224, Registered in Nigeria under CAMA</t>
        </is>
      </c>
      <c r="D5" s="44" t="n"/>
      <c r="E5" s="44" t="n"/>
      <c r="F5" s="41" t="inlineStr">
        <is>
          <t>IAS 1.51</t>
        </is>
      </c>
    </row>
    <row r="6">
      <c r="A6" s="29" t="inlineStr">
        <is>
          <t>Note 2</t>
        </is>
      </c>
      <c r="B6" s="6" t="inlineStr">
        <is>
          <t>Basis of Preparation &amp; Accounting Policies</t>
        </is>
      </c>
      <c r="C6" s="6" t="inlineStr">
        <is>
          <t>Compliance with full IFRS, FRCN &amp; historical cost convention</t>
        </is>
      </c>
      <c r="D6" s="53" t="n"/>
      <c r="E6" s="53" t="n"/>
      <c r="F6" s="40" t="inlineStr">
        <is>
          <t>IAS 1.112</t>
        </is>
      </c>
    </row>
    <row r="7">
      <c r="A7" s="30" t="inlineStr">
        <is>
          <t>Note 3</t>
        </is>
      </c>
      <c r="B7" s="9" t="inlineStr">
        <is>
          <t>Revenue from Contracts with Customers</t>
        </is>
      </c>
      <c r="C7" s="9" t="inlineStr">
        <is>
          <t>Civil Engineering &amp; Building Construction Contracts</t>
        </is>
      </c>
      <c r="D7" s="22" t="n">
        <v>22000000</v>
      </c>
      <c r="E7" s="22" t="n">
        <v>0</v>
      </c>
      <c r="F7" s="41" t="inlineStr">
        <is>
          <t>IFRS 15 Over Time</t>
        </is>
      </c>
    </row>
    <row r="8">
      <c r="A8" s="29" t="inlineStr">
        <is>
          <t>Note 3</t>
        </is>
      </c>
      <c r="B8" s="6" t="inlineStr">
        <is>
          <t>Revenue from Contracts with Customers</t>
        </is>
      </c>
      <c r="C8" s="6" t="inlineStr">
        <is>
          <t>Land Subdivision &amp; Serviced Plot Resale</t>
        </is>
      </c>
      <c r="D8" s="21" t="n">
        <v>12500000</v>
      </c>
      <c r="E8" s="21" t="n">
        <v>8500000</v>
      </c>
      <c r="F8" s="40" t="inlineStr">
        <is>
          <t>IFRS 15 Point in Time</t>
        </is>
      </c>
    </row>
    <row r="9">
      <c r="A9" s="30" t="inlineStr">
        <is>
          <t>Note 3</t>
        </is>
      </c>
      <c r="B9" s="9" t="inlineStr">
        <is>
          <t>Revenue from Contracts with Customers</t>
        </is>
      </c>
      <c r="C9" s="9" t="inlineStr">
        <is>
          <t>Project Management &amp; Engineering Consulting Services</t>
        </is>
      </c>
      <c r="D9" s="22" t="n">
        <v>4000000</v>
      </c>
      <c r="E9" s="22" t="n">
        <v>0</v>
      </c>
      <c r="F9" s="41" t="inlineStr">
        <is>
          <t>IFRS 15 Over Time</t>
        </is>
      </c>
    </row>
    <row r="10">
      <c r="A10" s="43" t="inlineStr">
        <is>
          <t>Note 3</t>
        </is>
      </c>
      <c r="B10" s="23" t="inlineStr">
        <is>
          <t>TOTAL REVENUE</t>
        </is>
      </c>
      <c r="C10" s="23" t="inlineStr">
        <is>
          <t>Gross Statutory Turnover</t>
        </is>
      </c>
      <c r="D10" s="24">
        <f>SUM(D7:D9)</f>
        <v/>
      </c>
      <c r="E10" s="24">
        <f>SUM(E7:E9)</f>
        <v/>
      </c>
      <c r="F10" s="26" t="inlineStr">
        <is>
          <t>TIED TO SPLOCI</t>
        </is>
      </c>
    </row>
    <row r="11">
      <c r="A11" s="30" t="inlineStr">
        <is>
          <t>Note 4</t>
        </is>
      </c>
      <c r="B11" s="9" t="inlineStr">
        <is>
          <t>Cost of Sales</t>
        </is>
      </c>
      <c r="C11" s="9" t="inlineStr">
        <is>
          <t>Construction Materials &amp; Subcontracting Services</t>
        </is>
      </c>
      <c r="D11" s="22" t="n">
        <v>14200000</v>
      </c>
      <c r="E11" s="22" t="n">
        <v>2400000</v>
      </c>
      <c r="F11" s="41" t="inlineStr">
        <is>
          <t>IAS 2 Direct Materials</t>
        </is>
      </c>
    </row>
    <row r="12">
      <c r="A12" s="29" t="inlineStr">
        <is>
          <t>Note 4</t>
        </is>
      </c>
      <c r="B12" s="6" t="inlineStr">
        <is>
          <t>Cost of Sales</t>
        </is>
      </c>
      <c r="C12" s="6" t="inlineStr">
        <is>
          <t>Land Inventory Released on Sold Plots</t>
        </is>
      </c>
      <c r="D12" s="21" t="n">
        <v>8100000</v>
      </c>
      <c r="E12" s="21" t="n">
        <v>2800000</v>
      </c>
      <c r="F12" s="40" t="inlineStr">
        <is>
          <t>IAS 2 Inventory Cost</t>
        </is>
      </c>
    </row>
    <row r="13">
      <c r="A13" s="30" t="inlineStr">
        <is>
          <t>Note 4</t>
        </is>
      </c>
      <c r="B13" s="9" t="inlineStr">
        <is>
          <t>Cost of Sales</t>
        </is>
      </c>
      <c r="C13" s="9" t="inlineStr">
        <is>
          <t>Direct Site Labor &amp; Heavy Equipment Rentals</t>
        </is>
      </c>
      <c r="D13" s="22" t="n">
        <v>2350000</v>
      </c>
      <c r="E13" s="22" t="n">
        <v>0</v>
      </c>
      <c r="F13" s="41" t="inlineStr">
        <is>
          <t>IAS 2 Direct Labor</t>
        </is>
      </c>
    </row>
    <row r="14">
      <c r="A14" s="43" t="inlineStr">
        <is>
          <t>Note 4</t>
        </is>
      </c>
      <c r="B14" s="23" t="inlineStr">
        <is>
          <t>TOTAL COST OF SALES</t>
        </is>
      </c>
      <c r="C14" s="23" t="inlineStr">
        <is>
          <t>Direct Contract &amp; Property Costs</t>
        </is>
      </c>
      <c r="D14" s="24">
        <f>SUM(D11:D13)</f>
        <v/>
      </c>
      <c r="E14" s="24">
        <f>SUM(E11:E13)</f>
        <v/>
      </c>
      <c r="F14" s="26" t="inlineStr">
        <is>
          <t>TIED TO SPLOCI</t>
        </is>
      </c>
    </row>
    <row r="15">
      <c r="A15" s="30" t="inlineStr">
        <is>
          <t>Note 5</t>
        </is>
      </c>
      <c r="B15" s="9" t="inlineStr">
        <is>
          <t>Administrative &amp; Operating Expenses</t>
        </is>
      </c>
      <c r="C15" s="9" t="inlineStr">
        <is>
          <t>Staff Salaries, Wages &amp; Allowances</t>
        </is>
      </c>
      <c r="D15" s="22" t="n">
        <v>2800000</v>
      </c>
      <c r="E15" s="22" t="n">
        <v>1200000</v>
      </c>
      <c r="F15" s="41" t="inlineStr">
        <is>
          <t>IAS 19 Employee Costs</t>
        </is>
      </c>
    </row>
    <row r="16">
      <c r="A16" s="29" t="inlineStr">
        <is>
          <t>Note 5</t>
        </is>
      </c>
      <c r="B16" s="6" t="inlineStr">
        <is>
          <t>Administrative &amp; Operating Expenses</t>
        </is>
      </c>
      <c r="C16" s="6" t="inlineStr">
        <is>
          <t>Site Office Rent &amp; Facility Maintenance</t>
        </is>
      </c>
      <c r="D16" s="21" t="n">
        <v>950000</v>
      </c>
      <c r="E16" s="21" t="n">
        <v>450000</v>
      </c>
      <c r="F16" s="40" t="inlineStr">
        <is>
          <t>Operating Overheads</t>
        </is>
      </c>
    </row>
    <row r="17">
      <c r="A17" s="30" t="inlineStr">
        <is>
          <t>Note 5</t>
        </is>
      </c>
      <c r="B17" s="9" t="inlineStr">
        <is>
          <t>Administrative &amp; Operating Expenses</t>
        </is>
      </c>
      <c r="C17" s="9" t="inlineStr">
        <is>
          <t>Professional, Legal &amp; Regulatory Compliance Fees</t>
        </is>
      </c>
      <c r="D17" s="22" t="n">
        <v>650000</v>
      </c>
      <c r="E17" s="22" t="n">
        <v>300000</v>
      </c>
      <c r="F17" s="41" t="inlineStr">
        <is>
          <t>Professional Services</t>
        </is>
      </c>
    </row>
    <row r="18">
      <c r="A18" s="29" t="inlineStr">
        <is>
          <t>Note 5</t>
        </is>
      </c>
      <c r="B18" s="6" t="inlineStr">
        <is>
          <t>Administrative &amp; Operating Expenses</t>
        </is>
      </c>
      <c r="C18" s="6" t="inlineStr">
        <is>
          <t>Statutory Audit &amp; Tax Advisory Fees</t>
        </is>
      </c>
      <c r="D18" s="21" t="n">
        <v>350000</v>
      </c>
      <c r="E18" s="21" t="n">
        <v>50000</v>
      </c>
      <c r="F18" s="40" t="inlineStr">
        <is>
          <t>Audit Fees Accrual</t>
        </is>
      </c>
    </row>
    <row r="19">
      <c r="A19" s="30" t="inlineStr">
        <is>
          <t>Note 5</t>
        </is>
      </c>
      <c r="B19" s="9" t="inlineStr">
        <is>
          <t>Administrative &amp; Operating Expenses</t>
        </is>
      </c>
      <c r="C19" s="9" t="inlineStr">
        <is>
          <t>Bank Charges, Commission on Turnover &amp; Electronic Levies</t>
        </is>
      </c>
      <c r="D19" s="22" t="n">
        <v>285000</v>
      </c>
      <c r="E19" s="22" t="n">
        <v>85000</v>
      </c>
      <c r="F19" s="41" t="inlineStr">
        <is>
          <t>Financial Services</t>
        </is>
      </c>
    </row>
    <row r="20">
      <c r="A20" s="29" t="inlineStr">
        <is>
          <t>Note 5</t>
        </is>
      </c>
      <c r="B20" s="6" t="inlineStr">
        <is>
          <t>Administrative &amp; Operating Expenses</t>
        </is>
      </c>
      <c r="C20" s="6" t="inlineStr">
        <is>
          <t>Motor Vehicle Fuel, Maintenance &amp; Site Logistics</t>
        </is>
      </c>
      <c r="D20" s="21" t="n">
        <v>420000</v>
      </c>
      <c r="E20" s="21" t="n">
        <v>180000</v>
      </c>
      <c r="F20" s="40" t="inlineStr">
        <is>
          <t>Transport &amp; Travel</t>
        </is>
      </c>
    </row>
    <row r="21">
      <c r="A21" s="30" t="inlineStr">
        <is>
          <t>Note 5</t>
        </is>
      </c>
      <c r="B21" s="9" t="inlineStr">
        <is>
          <t>Administrative &amp; Operating Expenses</t>
        </is>
      </c>
      <c r="C21" s="9" t="inlineStr">
        <is>
          <t>Depreciation of Property, Plant &amp; Equipment</t>
        </is>
      </c>
      <c r="D21" s="22" t="n">
        <v>385000</v>
      </c>
      <c r="E21" s="22" t="n">
        <v>4770</v>
      </c>
      <c r="F21" s="41" t="inlineStr">
        <is>
          <t>IAS 16 Depreciation</t>
        </is>
      </c>
    </row>
    <row r="22">
      <c r="A22" s="29" t="inlineStr">
        <is>
          <t>Note 5</t>
        </is>
      </c>
      <c r="B22" s="6" t="inlineStr">
        <is>
          <t>Administrative &amp; Operating Expenses</t>
        </is>
      </c>
      <c r="C22" s="6" t="inlineStr">
        <is>
          <t>IFRS 9 Expected Credit Loss Allowance on Receivables</t>
        </is>
      </c>
      <c r="D22" s="21" t="n">
        <v>185000</v>
      </c>
      <c r="E22" s="21" t="n">
        <v>0</v>
      </c>
      <c r="F22" s="40" t="inlineStr">
        <is>
          <t>IFRS 9 Impairment</t>
        </is>
      </c>
    </row>
    <row r="23">
      <c r="A23" s="30" t="inlineStr">
        <is>
          <t>Note 5</t>
        </is>
      </c>
      <c r="B23" s="9" t="inlineStr">
        <is>
          <t>Administrative &amp; Operating Expenses</t>
        </is>
      </c>
      <c r="C23" s="9" t="inlineStr">
        <is>
          <t>General Office Administration, Security &amp; Utilities</t>
        </is>
      </c>
      <c r="D23" s="22" t="n">
        <v>400000</v>
      </c>
      <c r="E23" s="22" t="n">
        <v>318522</v>
      </c>
      <c r="F23" s="41" t="inlineStr">
        <is>
          <t>General Administration</t>
        </is>
      </c>
    </row>
    <row r="24">
      <c r="A24" s="43" t="inlineStr">
        <is>
          <t>Note 5</t>
        </is>
      </c>
      <c r="B24" s="23" t="inlineStr">
        <is>
          <t>TOTAL ADMINISTRATIVE EXPENSES</t>
        </is>
      </c>
      <c r="C24" s="23" t="inlineStr">
        <is>
          <t>Operating Overheads</t>
        </is>
      </c>
      <c r="D24" s="24">
        <f>SUM(D15:D23)</f>
        <v/>
      </c>
      <c r="E24" s="24">
        <f>SUM(E15:E23)</f>
        <v/>
      </c>
      <c r="F24" s="26" t="inlineStr">
        <is>
          <t>TIED TO SPLOCI</t>
        </is>
      </c>
    </row>
    <row r="25">
      <c r="A25" s="30" t="inlineStr">
        <is>
          <t>Note 6</t>
        </is>
      </c>
      <c r="B25" s="9" t="inlineStr">
        <is>
          <t>Finance Costs</t>
        </is>
      </c>
      <c r="C25" s="9" t="inlineStr">
        <is>
          <t>Interest Expense on Bank Project Facility</t>
        </is>
      </c>
      <c r="D25" s="22" t="n">
        <v>125000</v>
      </c>
      <c r="E25" s="22" t="n">
        <v>0</v>
      </c>
      <c r="F25" s="41" t="inlineStr">
        <is>
          <t>IAS 23 Borrowing Costs</t>
        </is>
      </c>
    </row>
    <row r="26">
      <c r="A26" s="43" t="inlineStr">
        <is>
          <t>Note 6</t>
        </is>
      </c>
      <c r="B26" s="23" t="inlineStr">
        <is>
          <t>TOTAL FINANCE COSTS</t>
        </is>
      </c>
      <c r="C26" s="23" t="inlineStr">
        <is>
          <t>Net Finance Expense</t>
        </is>
      </c>
      <c r="D26" s="24">
        <f>D25</f>
        <v/>
      </c>
      <c r="E26" s="24">
        <f>E25</f>
        <v/>
      </c>
      <c r="F26" s="26" t="inlineStr">
        <is>
          <t>TIED TO SPLOCI</t>
        </is>
      </c>
    </row>
    <row r="27">
      <c r="A27" s="30" t="inlineStr">
        <is>
          <t>Note 7</t>
        </is>
      </c>
      <c r="B27" s="9" t="inlineStr">
        <is>
          <t>Property, Plant and Equipment</t>
        </is>
      </c>
      <c r="C27" s="9" t="inlineStr">
        <is>
          <t>Office &amp; Site Equipment Net Book Value</t>
        </is>
      </c>
      <c r="D27" s="22" t="n">
        <v>1424540</v>
      </c>
      <c r="E27" s="22" t="n">
        <v>9540</v>
      </c>
      <c r="F27" s="41" t="inlineStr">
        <is>
          <t>IAS 16 Carrying Amount</t>
        </is>
      </c>
    </row>
    <row r="28">
      <c r="A28" s="43" t="inlineStr">
        <is>
          <t>Note 7</t>
        </is>
      </c>
      <c r="B28" s="23" t="inlineStr">
        <is>
          <t>TOTAL PROPERTY, PLANT AND EQUIPMENT</t>
        </is>
      </c>
      <c r="C28" s="23" t="inlineStr">
        <is>
          <t>Gross Cost ₦1,823,850 less Acc Dep ₦399,310</t>
        </is>
      </c>
      <c r="D28" s="24">
        <f>D27</f>
        <v/>
      </c>
      <c r="E28" s="24">
        <f>E27</f>
        <v/>
      </c>
      <c r="F28" s="26" t="inlineStr">
        <is>
          <t>TIED TO SFP</t>
        </is>
      </c>
    </row>
    <row r="29">
      <c r="A29" s="30" t="inlineStr">
        <is>
          <t>Note 8</t>
        </is>
      </c>
      <c r="B29" s="9" t="inlineStr">
        <is>
          <t>Inventories</t>
        </is>
      </c>
      <c r="C29" s="9" t="inlineStr">
        <is>
          <t>Land Held for Resale (Epe Scheme 1)</t>
        </is>
      </c>
      <c r="D29" s="22" t="n">
        <v>5400000</v>
      </c>
      <c r="E29" s="22" t="n">
        <v>0</v>
      </c>
      <c r="F29" s="41" t="inlineStr">
        <is>
          <t>IAS 2 Lower of Cost/NRV</t>
        </is>
      </c>
    </row>
    <row r="30">
      <c r="A30" s="29" t="inlineStr">
        <is>
          <t>Note 8</t>
        </is>
      </c>
      <c r="B30" s="6" t="inlineStr">
        <is>
          <t>Inventories</t>
        </is>
      </c>
      <c r="C30" s="6" t="inlineStr">
        <is>
          <t>Construction Work-in-Progress (Lekki Phase 1)</t>
        </is>
      </c>
      <c r="D30" s="21" t="n">
        <v>3250000</v>
      </c>
      <c r="E30" s="21" t="n">
        <v>0</v>
      </c>
      <c r="F30" s="40" t="inlineStr">
        <is>
          <t>IAS 2 Lower of Cost/NRV</t>
        </is>
      </c>
    </row>
    <row r="31">
      <c r="A31" s="43" t="inlineStr">
        <is>
          <t>Note 8</t>
        </is>
      </c>
      <c r="B31" s="23" t="inlineStr">
        <is>
          <t>TOTAL INVENTORIES</t>
        </is>
      </c>
      <c r="C31" s="23" t="inlineStr">
        <is>
          <t>Development Land &amp; WIP</t>
        </is>
      </c>
      <c r="D31" s="24">
        <f>SUM(D29:D30)</f>
        <v/>
      </c>
      <c r="E31" s="24">
        <f>SUM(E29:E30)</f>
        <v/>
      </c>
      <c r="F31" s="26" t="inlineStr">
        <is>
          <t>TIED TO SFP</t>
        </is>
      </c>
    </row>
    <row r="32">
      <c r="A32" s="29" t="inlineStr">
        <is>
          <t>Note 9</t>
        </is>
      </c>
      <c r="B32" s="6" t="inlineStr">
        <is>
          <t>Contract Assets</t>
        </is>
      </c>
      <c r="C32" s="6" t="inlineStr">
        <is>
          <t>Unbilled Certified Construction Revenue</t>
        </is>
      </c>
      <c r="D32" s="21" t="n">
        <v>2400000</v>
      </c>
      <c r="E32" s="21" t="n">
        <v>0</v>
      </c>
      <c r="F32" s="40" t="inlineStr">
        <is>
          <t>IFRS 15 Unbilled Asset</t>
        </is>
      </c>
    </row>
    <row r="33">
      <c r="A33" s="43" t="inlineStr">
        <is>
          <t>Note 9</t>
        </is>
      </c>
      <c r="B33" s="23" t="inlineStr">
        <is>
          <t>TOTAL CONTRACT ASSETS</t>
        </is>
      </c>
      <c r="C33" s="23" t="inlineStr">
        <is>
          <t>Net Contract Assets</t>
        </is>
      </c>
      <c r="D33" s="24">
        <f>D32</f>
        <v/>
      </c>
      <c r="E33" s="24">
        <f>E32</f>
        <v/>
      </c>
      <c r="F33" s="26" t="inlineStr">
        <is>
          <t>TIED TO SFP</t>
        </is>
      </c>
    </row>
    <row r="34">
      <c r="A34" s="29" t="inlineStr">
        <is>
          <t>Note 10</t>
        </is>
      </c>
      <c r="B34" s="6" t="inlineStr">
        <is>
          <t>Trade and Other Receivables</t>
        </is>
      </c>
      <c r="C34" s="6" t="inlineStr">
        <is>
          <t>Gross Trade Receivables from Construction &amp; Land Clients</t>
        </is>
      </c>
      <c r="D34" s="21" t="n">
        <v>3650000</v>
      </c>
      <c r="E34" s="21" t="n">
        <v>2850000</v>
      </c>
      <c r="F34" s="40" t="inlineStr">
        <is>
          <t>Amortized Cost</t>
        </is>
      </c>
    </row>
    <row r="35">
      <c r="A35" s="30" t="inlineStr">
        <is>
          <t>Note 10</t>
        </is>
      </c>
      <c r="B35" s="9" t="inlineStr">
        <is>
          <t>Trade and Other Receivables</t>
        </is>
      </c>
      <c r="C35" s="9" t="inlineStr">
        <is>
          <t>Less: Allowance for Expected Credit Losses (IFRS 9)</t>
        </is>
      </c>
      <c r="D35" s="22" t="n">
        <v>-185000</v>
      </c>
      <c r="E35" s="22" t="n">
        <v>0</v>
      </c>
      <c r="F35" s="41" t="inlineStr">
        <is>
          <t>IFRS 9 ECL Provision</t>
        </is>
      </c>
    </row>
    <row r="36">
      <c r="A36" s="29" t="inlineStr">
        <is>
          <t>Note 10</t>
        </is>
      </c>
      <c r="B36" s="6" t="inlineStr">
        <is>
          <t>Trade and Other Receivables</t>
        </is>
      </c>
      <c r="C36" s="6" t="inlineStr">
        <is>
          <t>Withholding Tax (WHT) Credit Notes Receivable</t>
        </is>
      </c>
      <c r="D36" s="21" t="n">
        <v>1100000</v>
      </c>
      <c r="E36" s="21" t="n">
        <v>0</v>
      </c>
      <c r="F36" s="40" t="inlineStr">
        <is>
          <t>FIRS Credit Notes</t>
        </is>
      </c>
    </row>
    <row r="37">
      <c r="A37" s="30" t="inlineStr">
        <is>
          <t>Note 10</t>
        </is>
      </c>
      <c r="B37" s="9" t="inlineStr">
        <is>
          <t>Trade and Other Receivables</t>
        </is>
      </c>
      <c r="C37" s="9" t="inlineStr">
        <is>
          <t>Prepayments &amp; Site Advances to Suppliers</t>
        </is>
      </c>
      <c r="D37" s="22" t="n">
        <v>450000</v>
      </c>
      <c r="E37" s="22" t="n">
        <v>524668</v>
      </c>
      <c r="F37" s="41" t="inlineStr">
        <is>
          <t>Operating Prepayments</t>
        </is>
      </c>
    </row>
    <row r="38">
      <c r="A38" s="43" t="inlineStr">
        <is>
          <t>Note 10</t>
        </is>
      </c>
      <c r="B38" s="23" t="inlineStr">
        <is>
          <t>TOTAL TRADE AND OTHER RECEIVABLES</t>
        </is>
      </c>
      <c r="C38" s="23" t="inlineStr">
        <is>
          <t>Net Trade &amp; Other Receivables</t>
        </is>
      </c>
      <c r="D38" s="24">
        <f>SUM(D34:D37)</f>
        <v/>
      </c>
      <c r="E38" s="24">
        <f>SUM(E34:E37)</f>
        <v/>
      </c>
      <c r="F38" s="26" t="inlineStr">
        <is>
          <t>TIED TO SFP</t>
        </is>
      </c>
    </row>
    <row r="39">
      <c r="A39" s="30" t="inlineStr">
        <is>
          <t>Note 11</t>
        </is>
      </c>
      <c r="B39" s="9" t="inlineStr">
        <is>
          <t>Cash and Cash Equivalents</t>
        </is>
      </c>
      <c r="C39" s="9" t="inlineStr">
        <is>
          <t>Providus Bank Plc (A/C 5400281942)</t>
        </is>
      </c>
      <c r="D39" s="22" t="n">
        <v>2215820</v>
      </c>
      <c r="E39" s="22" t="n">
        <v>52500</v>
      </c>
      <c r="F39" s="41" t="inlineStr">
        <is>
          <t>Primary Operating A/C</t>
        </is>
      </c>
    </row>
    <row r="40">
      <c r="A40" s="29" t="inlineStr">
        <is>
          <t>Note 11</t>
        </is>
      </c>
      <c r="B40" s="6" t="inlineStr">
        <is>
          <t>Cash and Cash Equivalents</t>
        </is>
      </c>
      <c r="C40" s="6" t="inlineStr">
        <is>
          <t>First Bank of Nigeria Limited (A/C 2034891102)</t>
        </is>
      </c>
      <c r="D40" s="21" t="n">
        <v>512410</v>
      </c>
      <c r="E40" s="21" t="n">
        <v>0</v>
      </c>
      <c r="F40" s="40" t="inlineStr">
        <is>
          <t>Site Collection A/C</t>
        </is>
      </c>
    </row>
    <row r="41">
      <c r="A41" s="30" t="inlineStr">
        <is>
          <t>Note 11</t>
        </is>
      </c>
      <c r="B41" s="9" t="inlineStr">
        <is>
          <t>Cash and Cash Equivalents</t>
        </is>
      </c>
      <c r="C41" s="9" t="inlineStr">
        <is>
          <t>Sterling Bank Plc (A/C 0078451290)</t>
        </is>
      </c>
      <c r="D41" s="22" t="n">
        <v>114173</v>
      </c>
      <c r="E41" s="22" t="n">
        <v>0</v>
      </c>
      <c r="F41" s="41" t="inlineStr">
        <is>
          <t>Disbursement A/C</t>
        </is>
      </c>
    </row>
    <row r="42">
      <c r="A42" s="43" t="inlineStr">
        <is>
          <t>Note 11</t>
        </is>
      </c>
      <c r="B42" s="23" t="inlineStr">
        <is>
          <t>TOTAL CASH AND CASH EQUIVALENTS</t>
        </is>
      </c>
      <c r="C42" s="23" t="inlineStr">
        <is>
          <t>Reconciled Cash Balances</t>
        </is>
      </c>
      <c r="D42" s="24">
        <f>SUM(D39:D41)</f>
        <v/>
      </c>
      <c r="E42" s="24">
        <f>SUM(E39:E41)</f>
        <v/>
      </c>
      <c r="F42" s="26" t="inlineStr">
        <is>
          <t>TIED TO SFP</t>
        </is>
      </c>
    </row>
    <row r="43">
      <c r="A43" s="30" t="inlineStr">
        <is>
          <t>Note 13</t>
        </is>
      </c>
      <c r="B43" s="9" t="inlineStr">
        <is>
          <t>Contract Liabilities</t>
        </is>
      </c>
      <c r="C43" s="9" t="inlineStr">
        <is>
          <t>Customer Mobilization Advances &amp; Off-Plan Deposits</t>
        </is>
      </c>
      <c r="D43" s="22" t="n">
        <v>2400000</v>
      </c>
      <c r="E43" s="22" t="n">
        <v>0</v>
      </c>
      <c r="F43" s="41" t="inlineStr">
        <is>
          <t>IFRS 15 Advances</t>
        </is>
      </c>
    </row>
    <row r="44">
      <c r="A44" s="43" t="inlineStr">
        <is>
          <t>Note 13</t>
        </is>
      </c>
      <c r="B44" s="23" t="inlineStr">
        <is>
          <t>TOTAL CONTRACT LIABILITIES</t>
        </is>
      </c>
      <c r="C44" s="23" t="inlineStr">
        <is>
          <t>Performance Obligations Due</t>
        </is>
      </c>
      <c r="D44" s="24">
        <f>D43</f>
        <v/>
      </c>
      <c r="E44" s="24">
        <f>E43</f>
        <v/>
      </c>
      <c r="F44" s="26" t="inlineStr">
        <is>
          <t>TIED TO SFP</t>
        </is>
      </c>
    </row>
    <row r="45">
      <c r="A45" s="30" t="inlineStr">
        <is>
          <t>Note 14</t>
        </is>
      </c>
      <c r="B45" s="9" t="inlineStr">
        <is>
          <t>Trade and Other Payables</t>
        </is>
      </c>
      <c r="C45" s="9" t="inlineStr">
        <is>
          <t>Trade Payables - Subcontractors &amp; Materials</t>
        </is>
      </c>
      <c r="D45" s="22" t="n">
        <v>2150000</v>
      </c>
      <c r="E45" s="22" t="n">
        <v>25000</v>
      </c>
      <c r="F45" s="41" t="inlineStr">
        <is>
          <t>Trade Creditors</t>
        </is>
      </c>
    </row>
    <row r="46">
      <c r="A46" s="29" t="inlineStr">
        <is>
          <t>Note 14</t>
        </is>
      </c>
      <c r="B46" s="6" t="inlineStr">
        <is>
          <t>Trade and Other Payables</t>
        </is>
      </c>
      <c r="C46" s="6" t="inlineStr">
        <is>
          <t>Accrued Statutory Audit &amp; Professional Fees</t>
        </is>
      </c>
      <c r="D46" s="21" t="n">
        <v>375000</v>
      </c>
      <c r="E46" s="21" t="n">
        <v>50000</v>
      </c>
      <c r="F46" s="40" t="inlineStr">
        <is>
          <t>Audit Accrual</t>
        </is>
      </c>
    </row>
    <row r="47">
      <c r="A47" s="30" t="inlineStr">
        <is>
          <t>Note 14</t>
        </is>
      </c>
      <c r="B47" s="9" t="inlineStr">
        <is>
          <t>Trade and Other Payables</t>
        </is>
      </c>
      <c r="C47" s="9" t="inlineStr">
        <is>
          <t>Other Accrued Operating Expenses &amp; Sundry Creditors</t>
        </is>
      </c>
      <c r="D47" s="22" t="n">
        <v>245235</v>
      </c>
      <c r="E47" s="22" t="n">
        <v>0</v>
      </c>
      <c r="F47" s="41" t="inlineStr">
        <is>
          <t>Sundry Accruals</t>
        </is>
      </c>
    </row>
    <row r="48">
      <c r="A48" s="43" t="inlineStr">
        <is>
          <t>Note 14</t>
        </is>
      </c>
      <c r="B48" s="23" t="inlineStr">
        <is>
          <t>TOTAL TRADE AND OTHER PAYABLES</t>
        </is>
      </c>
      <c r="C48" s="23" t="inlineStr">
        <is>
          <t>Current Operating Liabilities</t>
        </is>
      </c>
      <c r="D48" s="24">
        <f>SUM(D45:D47)</f>
        <v/>
      </c>
      <c r="E48" s="24">
        <f>SUM(E45:E47)</f>
        <v/>
      </c>
      <c r="F48" s="26" t="inlineStr">
        <is>
          <t>TIED TO SFP</t>
        </is>
      </c>
    </row>
    <row r="49">
      <c r="A49" s="30" t="inlineStr">
        <is>
          <t>Note 15</t>
        </is>
      </c>
      <c r="B49" s="9" t="inlineStr">
        <is>
          <t>Deferred Taxation</t>
        </is>
      </c>
      <c r="C49" s="9" t="inlineStr">
        <is>
          <t>Deferred Tax Asset / (Liability) Closing Balance</t>
        </is>
      </c>
      <c r="D49" s="22" t="n">
        <v>32000</v>
      </c>
      <c r="E49" s="22" t="n">
        <v>0</v>
      </c>
      <c r="F49" s="41" t="inlineStr">
        <is>
          <t>IAS 12 Net Asset</t>
        </is>
      </c>
    </row>
    <row r="50">
      <c r="A50" s="43" t="inlineStr">
        <is>
          <t>Note 15</t>
        </is>
      </c>
      <c r="B50" s="23" t="inlineStr">
        <is>
          <t>TOTAL DEFERRED TAXATION</t>
        </is>
      </c>
      <c r="C50" s="23" t="inlineStr">
        <is>
          <t>Recognized in Statement of Financial Position</t>
        </is>
      </c>
      <c r="D50" s="24">
        <f>D49</f>
        <v/>
      </c>
      <c r="E50" s="24">
        <f>E49</f>
        <v/>
      </c>
      <c r="F50" s="26" t="inlineStr">
        <is>
          <t>TIED TO SFP</t>
        </is>
      </c>
    </row>
    <row r="51">
      <c r="A51" s="30" t="inlineStr">
        <is>
          <t>Note 16</t>
        </is>
      </c>
      <c r="B51" s="9" t="inlineStr">
        <is>
          <t>Current Taxation</t>
        </is>
      </c>
      <c r="C51" s="9" t="inlineStr">
        <is>
          <t>Companies Income Tax (CIT) Provision</t>
        </is>
      </c>
      <c r="D51" s="22" t="n">
        <v>1492000</v>
      </c>
      <c r="E51" s="22" t="n">
        <v>0</v>
      </c>
      <c r="F51" s="41" t="inlineStr">
        <is>
          <t>20% CIT Medium Co</t>
        </is>
      </c>
    </row>
    <row r="52">
      <c r="A52" s="29" t="inlineStr">
        <is>
          <t>Note 16</t>
        </is>
      </c>
      <c r="B52" s="6" t="inlineStr">
        <is>
          <t>Current Taxation</t>
        </is>
      </c>
      <c r="C52" s="6" t="inlineStr">
        <is>
          <t>Tertiary Education Tax (TET) Provision</t>
        </is>
      </c>
      <c r="D52" s="21" t="n">
        <v>239400</v>
      </c>
      <c r="E52" s="21" t="n">
        <v>0</v>
      </c>
      <c r="F52" s="40" t="inlineStr">
        <is>
          <t>3% TETFA Rate</t>
        </is>
      </c>
    </row>
    <row r="53">
      <c r="A53" s="30" t="inlineStr">
        <is>
          <t>Note 16</t>
        </is>
      </c>
      <c r="B53" s="9" t="inlineStr">
        <is>
          <t>Current Taxation</t>
        </is>
      </c>
      <c r="C53" s="9" t="inlineStr">
        <is>
          <t>Police Trust Fund (PTF) Levy Provision</t>
        </is>
      </c>
      <c r="D53" s="22" t="n">
        <v>365</v>
      </c>
      <c r="E53" s="22" t="n">
        <v>0</v>
      </c>
      <c r="F53" s="41" t="inlineStr">
        <is>
          <t>0.005% of PBT</t>
        </is>
      </c>
    </row>
    <row r="54">
      <c r="A54" s="43" t="inlineStr">
        <is>
          <t>Note 16</t>
        </is>
      </c>
      <c r="B54" s="23" t="inlineStr">
        <is>
          <t>TOTAL CURRENT TAX LIABILITIES</t>
        </is>
      </c>
      <c r="C54" s="23" t="inlineStr">
        <is>
          <t>Statutory Current Tax Payable</t>
        </is>
      </c>
      <c r="D54" s="24">
        <f>SUM(D51:D53)</f>
        <v/>
      </c>
      <c r="E54" s="24">
        <f>SUM(E51:E53)</f>
        <v/>
      </c>
      <c r="F54" s="26" t="inlineStr">
        <is>
          <t>TIED TO SFP</t>
        </is>
      </c>
    </row>
    <row r="55">
      <c r="A55" s="30" t="inlineStr">
        <is>
          <t>Note 17</t>
        </is>
      </c>
      <c r="B55" s="9" t="inlineStr">
        <is>
          <t>Borrowings &amp; Director's Loans</t>
        </is>
      </c>
      <c r="C55" s="9" t="inlineStr">
        <is>
          <t>Director Project Loan (Engr. Babatunde Goke)</t>
        </is>
      </c>
      <c r="D55" s="22" t="n">
        <v>4500000</v>
      </c>
      <c r="E55" s="22" t="n">
        <v>0</v>
      </c>
      <c r="F55" s="41" t="inlineStr">
        <is>
          <t>IAS 24 Related Party</t>
        </is>
      </c>
    </row>
    <row r="56">
      <c r="A56" s="43" t="inlineStr">
        <is>
          <t>Note 17</t>
        </is>
      </c>
      <c r="B56" s="23" t="inlineStr">
        <is>
          <t>TOTAL BORROWINGS</t>
        </is>
      </c>
      <c r="C56" s="23" t="inlineStr">
        <is>
          <t>Non-Current Project Funding</t>
        </is>
      </c>
      <c r="D56" s="24">
        <f>D55</f>
        <v/>
      </c>
      <c r="E56" s="24">
        <f>E55</f>
        <v/>
      </c>
      <c r="F56" s="26" t="inlineStr">
        <is>
          <t>TIED TO SFP</t>
        </is>
      </c>
    </row>
    <row r="57">
      <c r="A57" s="30" t="inlineStr">
        <is>
          <t>Note 18</t>
        </is>
      </c>
      <c r="B57" s="9" t="inlineStr">
        <is>
          <t>Share Capital</t>
        </is>
      </c>
      <c r="C57" s="9" t="inlineStr">
        <is>
          <t>1,000,000 Ordinary Shares of ₦1.00 each</t>
        </is>
      </c>
      <c r="D57" s="22" t="n">
        <v>1000000</v>
      </c>
      <c r="E57" s="22" t="n">
        <v>1000000</v>
      </c>
      <c r="F57" s="41" t="inlineStr">
        <is>
          <t>Authorized &amp; Issued</t>
        </is>
      </c>
    </row>
    <row r="58">
      <c r="A58" s="43" t="inlineStr">
        <is>
          <t>Note 18</t>
        </is>
      </c>
      <c r="B58" s="23" t="inlineStr">
        <is>
          <t>TOTAL SHARE CAPITAL</t>
        </is>
      </c>
      <c r="C58" s="23" t="inlineStr">
        <is>
          <t>Fully Issued and Paid Up</t>
        </is>
      </c>
      <c r="D58" s="24">
        <f>D57</f>
        <v/>
      </c>
      <c r="E58" s="24">
        <f>E57</f>
        <v/>
      </c>
      <c r="F58" s="26" t="inlineStr">
        <is>
          <t>TIED TO SFP</t>
        </is>
      </c>
    </row>
    <row r="59">
      <c r="A59" s="30" t="inlineStr">
        <is>
          <t>Note 19</t>
        </is>
      </c>
      <c r="B59" s="9" t="inlineStr">
        <is>
          <t>Retained Earnings</t>
        </is>
      </c>
      <c r="C59" s="9" t="inlineStr">
        <is>
          <t>Cumulative Retained Earnings Carried Forward</t>
        </is>
      </c>
      <c r="D59" s="22" t="n">
        <v>7961943</v>
      </c>
      <c r="E59" s="22" t="n">
        <v>2361708</v>
      </c>
      <c r="F59" s="41" t="inlineStr">
        <is>
          <t>SOCE Roll-Forward</t>
        </is>
      </c>
    </row>
    <row r="60">
      <c r="A60" s="43" t="inlineStr">
        <is>
          <t>Note 19</t>
        </is>
      </c>
      <c r="B60" s="23" t="inlineStr">
        <is>
          <t>TOTAL RETAINED EARNINGS</t>
        </is>
      </c>
      <c r="C60" s="23" t="inlineStr">
        <is>
          <t>Accumulated Earnings</t>
        </is>
      </c>
      <c r="D60" s="24">
        <f>D59</f>
        <v/>
      </c>
      <c r="E60" s="24">
        <f>E59</f>
        <v/>
      </c>
      <c r="F60" s="26" t="inlineStr">
        <is>
          <t>TIED TO SFP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7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0" customWidth="1" min="1" max="1"/>
    <col width="11" customWidth="1" min="2" max="2"/>
    <col width="31" customWidth="1" min="3" max="3"/>
    <col width="31" customWidth="1" min="4" max="4"/>
    <col width="39" customWidth="1" min="5" max="5"/>
  </cols>
  <sheetData>
    <row r="1">
      <c r="A1" s="1" t="inlineStr">
        <is>
          <t>BAAY PROJECTS LIMITED (RC 1526224)</t>
        </is>
      </c>
    </row>
    <row r="2">
      <c r="A2" s="2" t="inlineStr">
        <is>
          <t>ANNUAL FINANCIAL STATEMENTS FOR THE YEAR ENDED 31 DECEMBER 2024</t>
        </is>
      </c>
    </row>
    <row r="3">
      <c r="A3" s="3" t="inlineStr">
        <is>
          <t>(With Comparative Figures for the Year Ended 31 December 2023 — Stated in Nigerian Naira ₦)</t>
        </is>
      </c>
    </row>
    <row r="4"/>
    <row r="5">
      <c r="A5" s="2" t="inlineStr">
        <is>
          <t>1. STATEMENT OF FINANCIAL POSITION AS AT 31 DECEMBER 2024</t>
        </is>
      </c>
    </row>
    <row r="6">
      <c r="A6" s="4" t="inlineStr">
        <is>
          <t>Financial Statement Line Item</t>
        </is>
      </c>
      <c r="B6" s="4" t="inlineStr">
        <is>
          <t>Notes</t>
        </is>
      </c>
      <c r="C6" s="4" t="inlineStr">
        <is>
          <t>31 Dec 2024 (NGN)</t>
        </is>
      </c>
      <c r="D6" s="4" t="inlineStr">
        <is>
          <t>31 Dec 2023 (NGN)</t>
        </is>
      </c>
      <c r="E6" s="4" t="inlineStr">
        <is>
          <t>Audit / IFRS Status</t>
        </is>
      </c>
    </row>
    <row r="7">
      <c r="A7" s="8" t="inlineStr">
        <is>
          <t>NON-CURRENT ASSETS</t>
        </is>
      </c>
      <c r="B7" s="44" t="n"/>
      <c r="C7" s="44" t="n"/>
      <c r="D7" s="44" t="n"/>
      <c r="E7" s="44" t="n"/>
    </row>
    <row r="8">
      <c r="A8" s="6" t="inlineStr">
        <is>
          <t>Property, plant and equipment</t>
        </is>
      </c>
      <c r="B8" s="13" t="inlineStr">
        <is>
          <t>Note 7</t>
        </is>
      </c>
      <c r="C8" s="21" t="n">
        <v>3409540</v>
      </c>
      <c r="D8" s="21" t="n">
        <v>1424540</v>
      </c>
      <c r="E8" s="40" t="inlineStr">
        <is>
          <t>IAS 16 Carrying Amount</t>
        </is>
      </c>
    </row>
    <row r="9">
      <c r="A9" s="6" t="inlineStr">
        <is>
          <t>Deferred tax asset</t>
        </is>
      </c>
      <c r="B9" s="13" t="inlineStr">
        <is>
          <t>Note 15</t>
        </is>
      </c>
      <c r="C9" s="21" t="n">
        <v>0</v>
      </c>
      <c r="D9" s="21" t="n">
        <v>32000</v>
      </c>
      <c r="E9" s="40" t="inlineStr">
        <is>
          <t>IAS 12 Temporary Differences</t>
        </is>
      </c>
    </row>
    <row r="10">
      <c r="A10" s="45" t="inlineStr">
        <is>
          <t>TOTAL NON-CURRENT ASSETS</t>
        </is>
      </c>
      <c r="B10" s="46" t="n"/>
      <c r="C10" s="47">
        <f>SUM(C8:C9)</f>
        <v/>
      </c>
      <c r="D10" s="47">
        <f>SUM(D8:D9)</f>
        <v/>
      </c>
      <c r="E10" s="48" t="inlineStr">
        <is>
          <t>TIED OUT</t>
        </is>
      </c>
    </row>
    <row r="11">
      <c r="A11" s="8" t="inlineStr">
        <is>
          <t>CURRENT ASSETS</t>
        </is>
      </c>
      <c r="B11" s="44" t="n"/>
      <c r="C11" s="44" t="n"/>
      <c r="D11" s="44" t="n"/>
      <c r="E11" s="44" t="n"/>
    </row>
    <row r="12">
      <c r="A12" s="6" t="inlineStr">
        <is>
          <t>Inventories (Development land &amp; WIP)</t>
        </is>
      </c>
      <c r="B12" s="13" t="inlineStr">
        <is>
          <t>Note 8</t>
        </is>
      </c>
      <c r="C12" s="21" t="n">
        <v>13800000</v>
      </c>
      <c r="D12" s="21" t="n">
        <v>8650000</v>
      </c>
      <c r="E12" s="40" t="inlineStr">
        <is>
          <t>IAS 2 Cost / NRV</t>
        </is>
      </c>
    </row>
    <row r="13">
      <c r="A13" s="6" t="inlineStr">
        <is>
          <t>Contract assets</t>
        </is>
      </c>
      <c r="B13" s="13" t="inlineStr">
        <is>
          <t>Note 9</t>
        </is>
      </c>
      <c r="C13" s="21" t="n">
        <v>4150000</v>
      </c>
      <c r="D13" s="21" t="n">
        <v>2400000</v>
      </c>
      <c r="E13" s="40" t="inlineStr">
        <is>
          <t>IFRS 15 Unbilled Revenue</t>
        </is>
      </c>
    </row>
    <row r="14">
      <c r="A14" s="6" t="inlineStr">
        <is>
          <t>Trade and other receivables</t>
        </is>
      </c>
      <c r="B14" s="13" t="inlineStr">
        <is>
          <t>Note 10</t>
        </is>
      </c>
      <c r="C14" s="21" t="n">
        <v>8685000</v>
      </c>
      <c r="D14" s="21" t="n">
        <v>5015000</v>
      </c>
      <c r="E14" s="40" t="inlineStr">
        <is>
          <t>IFRS 9 Net of ECL</t>
        </is>
      </c>
    </row>
    <row r="15">
      <c r="A15" s="6" t="inlineStr">
        <is>
          <t>Cash and cash equivalents</t>
        </is>
      </c>
      <c r="B15" s="13" t="inlineStr">
        <is>
          <t>Note 11</t>
        </is>
      </c>
      <c r="C15" s="21" t="n">
        <v>5142678</v>
      </c>
      <c r="D15" s="21" t="n">
        <v>2842403</v>
      </c>
      <c r="E15" s="40" t="inlineStr">
        <is>
          <t>Reconciled Bank Balances</t>
        </is>
      </c>
    </row>
    <row r="16">
      <c r="A16" s="45" t="inlineStr">
        <is>
          <t>TOTAL CURRENT ASSETS</t>
        </is>
      </c>
      <c r="B16" s="46" t="n"/>
      <c r="C16" s="47">
        <f>SUM(C12:C15)</f>
        <v/>
      </c>
      <c r="D16" s="47">
        <f>SUM(D12:D15)</f>
        <v/>
      </c>
      <c r="E16" s="48" t="inlineStr">
        <is>
          <t>TIED OUT</t>
        </is>
      </c>
    </row>
    <row r="17">
      <c r="A17" s="23" t="inlineStr">
        <is>
          <t>TOTAL ASSETS</t>
        </is>
      </c>
      <c r="B17" s="31" t="n"/>
      <c r="C17" s="24">
        <f>C10+C16</f>
        <v/>
      </c>
      <c r="D17" s="24">
        <f>D10+D16</f>
        <v/>
      </c>
      <c r="E17" s="26" t="inlineStr">
        <is>
          <t>TIED OUT</t>
        </is>
      </c>
    </row>
    <row r="18">
      <c r="A18" s="8" t="inlineStr">
        <is>
          <t>EQUITY</t>
        </is>
      </c>
      <c r="B18" s="44" t="n"/>
      <c r="C18" s="44" t="n"/>
      <c r="D18" s="44" t="n"/>
      <c r="E18" s="44" t="n"/>
    </row>
    <row r="19">
      <c r="A19" s="6" t="inlineStr">
        <is>
          <t>Share capital</t>
        </is>
      </c>
      <c r="B19" s="13" t="inlineStr">
        <is>
          <t>Note 18</t>
        </is>
      </c>
      <c r="C19" s="21" t="n">
        <v>1000000</v>
      </c>
      <c r="D19" s="21" t="n">
        <v>1000000</v>
      </c>
      <c r="E19" s="40" t="inlineStr">
        <is>
          <t>1m Ordinary Shares @ ₦1</t>
        </is>
      </c>
    </row>
    <row r="20">
      <c r="A20" s="6" t="inlineStr">
        <is>
          <t>Retained earnings</t>
        </is>
      </c>
      <c r="B20" s="13" t="inlineStr">
        <is>
          <t>Note 19</t>
        </is>
      </c>
      <c r="C20" s="21" t="n">
        <v>17476718</v>
      </c>
      <c r="D20" s="21" t="n">
        <v>7961943</v>
      </c>
      <c r="E20" s="40" t="inlineStr">
        <is>
          <t>Cumulative Post-Tax Earnings</t>
        </is>
      </c>
    </row>
    <row r="21">
      <c r="A21" s="45" t="inlineStr">
        <is>
          <t>TOTAL EQUITY</t>
        </is>
      </c>
      <c r="B21" s="46" t="n"/>
      <c r="C21" s="47">
        <f>SUM(C19:C20)</f>
        <v/>
      </c>
      <c r="D21" s="47">
        <f>SUM(D19:D20)</f>
        <v/>
      </c>
      <c r="E21" s="48" t="inlineStr">
        <is>
          <t>TIED OUT</t>
        </is>
      </c>
    </row>
    <row r="22">
      <c r="A22" s="8" t="inlineStr">
        <is>
          <t>NON-CURRENT LIABILITIES</t>
        </is>
      </c>
      <c r="B22" s="44" t="n"/>
      <c r="C22" s="44" t="n"/>
      <c r="D22" s="44" t="n"/>
      <c r="E22" s="44" t="n"/>
    </row>
    <row r="23">
      <c r="A23" s="6" t="inlineStr">
        <is>
          <t>Borrowings &amp; director's loans</t>
        </is>
      </c>
      <c r="B23" s="13" t="inlineStr">
        <is>
          <t>Note 17</t>
        </is>
      </c>
      <c r="C23" s="21" t="n">
        <v>5800000</v>
      </c>
      <c r="D23" s="21" t="n">
        <v>4500000</v>
      </c>
      <c r="E23" s="40" t="inlineStr">
        <is>
          <t>IAS 24 Related Party</t>
        </is>
      </c>
    </row>
    <row r="24">
      <c r="A24" s="6" t="inlineStr">
        <is>
          <t>Deferred tax liability</t>
        </is>
      </c>
      <c r="B24" s="13" t="inlineStr">
        <is>
          <t>Note 15</t>
        </is>
      </c>
      <c r="C24" s="21" t="n">
        <v>16000</v>
      </c>
      <c r="D24" s="21" t="n">
        <v>0</v>
      </c>
      <c r="E24" s="40" t="inlineStr">
        <is>
          <t>IAS 12 Temporary Differences</t>
        </is>
      </c>
    </row>
    <row r="25">
      <c r="A25" s="45" t="inlineStr">
        <is>
          <t>TOTAL NON-CURRENT LIABILITIES</t>
        </is>
      </c>
      <c r="B25" s="46" t="n"/>
      <c r="C25" s="47">
        <f>SUM(C23:C24)</f>
        <v/>
      </c>
      <c r="D25" s="47">
        <f>SUM(D23:D24)</f>
        <v/>
      </c>
      <c r="E25" s="48" t="inlineStr">
        <is>
          <t>TIED OUT</t>
        </is>
      </c>
    </row>
    <row r="26">
      <c r="A26" s="8" t="inlineStr">
        <is>
          <t>CURRENT LIABILITIES</t>
        </is>
      </c>
      <c r="B26" s="44" t="n"/>
      <c r="C26" s="44" t="n"/>
      <c r="D26" s="44" t="n"/>
      <c r="E26" s="44" t="n"/>
    </row>
    <row r="27">
      <c r="A27" s="6" t="inlineStr">
        <is>
          <t>Trade and other payables</t>
        </is>
      </c>
      <c r="B27" s="13" t="inlineStr">
        <is>
          <t>Note 14</t>
        </is>
      </c>
      <c r="C27" s="21" t="n">
        <v>4825500</v>
      </c>
      <c r="D27" s="21" t="n">
        <v>2770235</v>
      </c>
      <c r="E27" s="40" t="inlineStr">
        <is>
          <t>Amortized Cost</t>
        </is>
      </c>
    </row>
    <row r="28">
      <c r="A28" s="6" t="inlineStr">
        <is>
          <t>Contract liabilities</t>
        </is>
      </c>
      <c r="B28" s="13" t="inlineStr">
        <is>
          <t>Note 13</t>
        </is>
      </c>
      <c r="C28" s="21" t="n">
        <v>3600000</v>
      </c>
      <c r="D28" s="21" t="n">
        <v>2400000</v>
      </c>
      <c r="E28" s="40" t="inlineStr">
        <is>
          <t>IFRS 15 Customer Advances</t>
        </is>
      </c>
    </row>
    <row r="29">
      <c r="A29" s="6" t="inlineStr">
        <is>
          <t>Current tax liabilities</t>
        </is>
      </c>
      <c r="B29" s="13" t="inlineStr">
        <is>
          <t>Note 16</t>
        </is>
      </c>
      <c r="C29" s="21" t="n">
        <v>2469000</v>
      </c>
      <c r="D29" s="21" t="n">
        <v>1731765</v>
      </c>
      <c r="E29" s="40" t="inlineStr">
        <is>
          <t>CITA / TETFA Statutory</t>
        </is>
      </c>
    </row>
    <row r="30">
      <c r="A30" s="45" t="inlineStr">
        <is>
          <t>TOTAL CURRENT LIABILITIES</t>
        </is>
      </c>
      <c r="B30" s="46" t="n"/>
      <c r="C30" s="47">
        <f>SUM(C27:C29)</f>
        <v/>
      </c>
      <c r="D30" s="47">
        <f>SUM(D27:D29)</f>
        <v/>
      </c>
      <c r="E30" s="48" t="inlineStr">
        <is>
          <t>TIED OUT</t>
        </is>
      </c>
    </row>
    <row r="31">
      <c r="A31" s="23" t="inlineStr">
        <is>
          <t>TOTAL LIABILITIES AND EQUITY</t>
        </is>
      </c>
      <c r="B31" s="31" t="n"/>
      <c r="C31" s="24">
        <f>C21+C25+C30</f>
        <v/>
      </c>
      <c r="D31" s="24">
        <f>D21+D25+D30</f>
        <v/>
      </c>
      <c r="E31" s="26" t="inlineStr">
        <is>
          <t>TIED TO TOTAL ASSETS</t>
        </is>
      </c>
    </row>
    <row r="32"/>
    <row r="33"/>
    <row r="34">
      <c r="A34" s="2" t="inlineStr">
        <is>
          <t>2. STATEMENT OF PROFIT OR LOSS AND OTHER COMPREHENSIVE INCOME FOR THE YEAR ENDED 31 DECEMBER 2024</t>
        </is>
      </c>
    </row>
    <row r="35">
      <c r="A35" s="4" t="inlineStr">
        <is>
          <t>Statement of Profit or Loss Line Item</t>
        </is>
      </c>
      <c r="B35" s="4" t="inlineStr">
        <is>
          <t>Notes</t>
        </is>
      </c>
      <c r="C35" s="4" t="inlineStr">
        <is>
          <t>Year Ended 31 Dec 2024 (NGN)</t>
        </is>
      </c>
      <c r="D35" s="4" t="inlineStr">
        <is>
          <t>Year Ended 31 Dec 2023 (NGN)</t>
        </is>
      </c>
      <c r="E35" s="4" t="inlineStr">
        <is>
          <t>IFRS Accounting Treatment</t>
        </is>
      </c>
    </row>
    <row r="36">
      <c r="A36" s="6" t="inlineStr">
        <is>
          <t>Revenue from contracts with customers</t>
        </is>
      </c>
      <c r="B36" s="13" t="inlineStr">
        <is>
          <t>Note 3</t>
        </is>
      </c>
      <c r="C36" s="21" t="n">
        <v>64200000</v>
      </c>
      <c r="D36" s="21" t="n">
        <v>38500000</v>
      </c>
      <c r="E36" s="7" t="inlineStr">
        <is>
          <t>IFRS 15 Recognized Revenue</t>
        </is>
      </c>
    </row>
    <row r="37">
      <c r="A37" s="9" t="inlineStr">
        <is>
          <t>Cost of sales</t>
        </is>
      </c>
      <c r="B37" s="11" t="inlineStr">
        <is>
          <t>Note 4</t>
        </is>
      </c>
      <c r="C37" s="22" t="n">
        <v>-41500000</v>
      </c>
      <c r="D37" s="22" t="n">
        <v>-24650000</v>
      </c>
      <c r="E37" s="10" t="inlineStr">
        <is>
          <t>IAS 2 Direct Project Costs</t>
        </is>
      </c>
    </row>
    <row r="38">
      <c r="A38" s="49" t="inlineStr">
        <is>
          <t>GROSS PROFIT</t>
        </is>
      </c>
      <c r="B38" s="50" t="n"/>
      <c r="C38" s="51">
        <f>SUM(C36:C37)</f>
        <v/>
      </c>
      <c r="D38" s="51">
        <f>SUM(D36:D37)</f>
        <v/>
      </c>
      <c r="E38" s="52" t="inlineStr">
        <is>
          <t>Gross Margin: 35.36%</t>
        </is>
      </c>
    </row>
    <row r="39">
      <c r="A39" s="9" t="inlineStr">
        <is>
          <t>Administrative and operating expenses</t>
        </is>
      </c>
      <c r="B39" s="11" t="inlineStr">
        <is>
          <t>Note 5</t>
        </is>
      </c>
      <c r="C39" s="22" t="n">
        <v>-9850000</v>
      </c>
      <c r="D39" s="22" t="n">
        <v>-6425000</v>
      </c>
      <c r="E39" s="10" t="inlineStr">
        <is>
          <t>IAS 1 Operating Overheads</t>
        </is>
      </c>
    </row>
    <row r="40">
      <c r="A40" s="49" t="inlineStr">
        <is>
          <t>OPERATING PROFIT (EBIT)</t>
        </is>
      </c>
      <c r="B40" s="50" t="n"/>
      <c r="C40" s="51">
        <f>C38+C39</f>
        <v/>
      </c>
      <c r="D40" s="51">
        <f>D38+D39</f>
        <v/>
      </c>
      <c r="E40" s="52" t="inlineStr">
        <is>
          <t>Operating Margin: 20.02%</t>
        </is>
      </c>
    </row>
    <row r="41">
      <c r="A41" s="9" t="inlineStr">
        <is>
          <t>Finance costs</t>
        </is>
      </c>
      <c r="B41" s="11" t="inlineStr">
        <is>
          <t>Note 6</t>
        </is>
      </c>
      <c r="C41" s="22" t="n">
        <v>-350000</v>
      </c>
      <c r="D41" s="22" t="n">
        <v>-125000</v>
      </c>
      <c r="E41" s="10" t="inlineStr">
        <is>
          <t>Bank Project Facility Interest</t>
        </is>
      </c>
    </row>
    <row r="42">
      <c r="A42" s="49" t="inlineStr">
        <is>
          <t>PROFIT BEFORE TAXATION</t>
        </is>
      </c>
      <c r="B42" s="50" t="n"/>
      <c r="C42" s="51">
        <f>C40+C41</f>
        <v/>
      </c>
      <c r="D42" s="51">
        <f>D40+D41</f>
        <v/>
      </c>
      <c r="E42" s="52" t="inlineStr">
        <is>
          <t>Taxable Accounting Profit</t>
        </is>
      </c>
    </row>
    <row r="43">
      <c r="A43" s="9" t="inlineStr">
        <is>
          <t>Income tax expense</t>
        </is>
      </c>
      <c r="B43" s="11" t="inlineStr">
        <is>
          <t>Note 16</t>
        </is>
      </c>
      <c r="C43" s="22" t="n">
        <v>-2985225</v>
      </c>
      <c r="D43" s="22" t="n">
        <v>-1699765</v>
      </c>
      <c r="E43" s="10" t="inlineStr">
        <is>
          <t>Current Tax ₦2,937,225 + DTL ₦48,000</t>
        </is>
      </c>
    </row>
    <row r="44">
      <c r="A44" s="23" t="inlineStr">
        <is>
          <t>PROFIT FOR THE YEAR</t>
        </is>
      </c>
      <c r="B44" s="31" t="n"/>
      <c r="C44" s="24">
        <f>C42+C43</f>
        <v/>
      </c>
      <c r="D44" s="24">
        <f>D42+D43</f>
        <v/>
      </c>
      <c r="E44" s="25" t="inlineStr">
        <is>
          <t>Net Profit Margin: 14.82%</t>
        </is>
      </c>
    </row>
    <row r="45">
      <c r="A45" s="9" t="inlineStr">
        <is>
          <t>OTHER COMPREHENSIVE INCOME</t>
        </is>
      </c>
      <c r="B45" s="44" t="n"/>
      <c r="C45" s="22" t="n">
        <v>0</v>
      </c>
      <c r="D45" s="22" t="n">
        <v>0</v>
      </c>
      <c r="E45" s="10" t="inlineStr">
        <is>
          <t>No Items of OCI</t>
        </is>
      </c>
    </row>
    <row r="46">
      <c r="A46" s="23" t="inlineStr">
        <is>
          <t>TOTAL COMPREHENSIVE INCOME FOR THE YEAR</t>
        </is>
      </c>
      <c r="B46" s="31" t="n"/>
      <c r="C46" s="24">
        <f>C44+C45</f>
        <v/>
      </c>
      <c r="D46" s="24">
        <f>D44+D45</f>
        <v/>
      </c>
      <c r="E46" s="25" t="inlineStr">
        <is>
          <t>TRANSFERRED TO EQUITY</t>
        </is>
      </c>
    </row>
    <row r="47"/>
    <row r="48"/>
    <row r="49">
      <c r="A49" s="2" t="inlineStr">
        <is>
          <t>3. STATEMENT OF CASH FLOWS FOR THE YEAR ENDED 31 DECEMBER 2024 (INDIRECT METHOD)</t>
        </is>
      </c>
    </row>
    <row r="50">
      <c r="A50" s="4" t="inlineStr">
        <is>
          <t>Cash Flow Line Item</t>
        </is>
      </c>
      <c r="B50" s="4" t="inlineStr">
        <is>
          <t>Notes</t>
        </is>
      </c>
      <c r="C50" s="4" t="inlineStr">
        <is>
          <t>Year Ended 31 Dec 2024 (NGN)</t>
        </is>
      </c>
      <c r="D50" s="4" t="inlineStr">
        <is>
          <t>Year Ended 31 Dec 2023 (NGN)</t>
        </is>
      </c>
      <c r="E50" s="4" t="inlineStr">
        <is>
          <t>Cash Flow Classification</t>
        </is>
      </c>
    </row>
    <row r="51">
      <c r="A51" s="45" t="inlineStr">
        <is>
          <t>CASH FLOWS FROM OPERATING ACTIVITIES</t>
        </is>
      </c>
      <c r="B51" s="46" t="n"/>
      <c r="C51" s="46" t="n"/>
      <c r="D51" s="46" t="n"/>
      <c r="E51" s="54" t="n"/>
    </row>
    <row r="52">
      <c r="A52" s="6" t="inlineStr">
        <is>
          <t>Profit before taxation</t>
        </is>
      </c>
      <c r="B52" s="13" t="inlineStr">
        <is>
          <t>SPLOCI</t>
        </is>
      </c>
      <c r="C52" s="21" t="n">
        <v>12500000</v>
      </c>
      <c r="D52" s="21" t="n">
        <v>7300000</v>
      </c>
      <c r="E52" s="7" t="inlineStr">
        <is>
          <t>Operating PBT</t>
        </is>
      </c>
    </row>
    <row r="53">
      <c r="A53" s="6" t="inlineStr">
        <is>
          <t>Adjustments for non-cash items:</t>
        </is>
      </c>
      <c r="B53" s="53" t="n"/>
      <c r="C53" s="53" t="n"/>
      <c r="D53" s="53" t="n"/>
      <c r="E53" s="7" t="n"/>
    </row>
    <row r="54">
      <c r="A54" s="6" t="inlineStr">
        <is>
          <t xml:space="preserve">  - Depreciation of property, plant and equipment</t>
        </is>
      </c>
      <c r="B54" s="13" t="inlineStr">
        <is>
          <t>Note 7</t>
        </is>
      </c>
      <c r="C54" s="21" t="n">
        <v>715000</v>
      </c>
      <c r="D54" s="21" t="n">
        <v>385000</v>
      </c>
      <c r="E54" s="7" t="inlineStr">
        <is>
          <t>Non-Cash Operating Adj</t>
        </is>
      </c>
    </row>
    <row r="55">
      <c r="A55" s="6" t="inlineStr">
        <is>
          <t xml:space="preserve">  - Impairment allowance on receivables (ECL)</t>
        </is>
      </c>
      <c r="B55" s="13" t="inlineStr">
        <is>
          <t>Note 10</t>
        </is>
      </c>
      <c r="C55" s="21" t="n">
        <v>260000</v>
      </c>
      <c r="D55" s="21" t="n">
        <v>185000</v>
      </c>
      <c r="E55" s="7" t="inlineStr">
        <is>
          <t>Non-Cash Operating Adj</t>
        </is>
      </c>
    </row>
    <row r="56">
      <c r="A56" s="6" t="inlineStr">
        <is>
          <t xml:space="preserve">  - Finance costs recognized in profit or loss</t>
        </is>
      </c>
      <c r="B56" s="13" t="inlineStr">
        <is>
          <t>Note 6</t>
        </is>
      </c>
      <c r="C56" s="21" t="n">
        <v>350000</v>
      </c>
      <c r="D56" s="21" t="n">
        <v>125000</v>
      </c>
      <c r="E56" s="7" t="inlineStr">
        <is>
          <t>Financing Reclassification</t>
        </is>
      </c>
    </row>
    <row r="57">
      <c r="A57" s="6" t="inlineStr">
        <is>
          <t>Operating profit before working capital changes</t>
        </is>
      </c>
      <c r="B57" s="53" t="n"/>
      <c r="C57" s="21">
        <f>SUM(C52:C56)</f>
        <v/>
      </c>
      <c r="D57" s="21">
        <f>SUM(D52:D56)</f>
        <v/>
      </c>
      <c r="E57" s="7" t="inlineStr">
        <is>
          <t>TIED OUT</t>
        </is>
      </c>
    </row>
    <row r="58">
      <c r="A58" s="6" t="inlineStr">
        <is>
          <t>Working capital changes:</t>
        </is>
      </c>
      <c r="B58" s="53" t="n"/>
      <c r="C58" s="53" t="n"/>
      <c r="D58" s="53" t="n"/>
      <c r="E58" s="7" t="n"/>
    </row>
    <row r="59">
      <c r="A59" s="6" t="inlineStr">
        <is>
          <t xml:space="preserve">  - (Increase) in development inventories and WIP</t>
        </is>
      </c>
      <c r="B59" s="13" t="inlineStr">
        <is>
          <t>Note 8</t>
        </is>
      </c>
      <c r="C59" s="21" t="n">
        <v>-5150000</v>
      </c>
      <c r="D59" s="21" t="n">
        <v>-8650000</v>
      </c>
      <c r="E59" s="7" t="inlineStr">
        <is>
          <t>IAS 2 Inventory Delta</t>
        </is>
      </c>
    </row>
    <row r="60">
      <c r="A60" s="6" t="inlineStr">
        <is>
          <t xml:space="preserve">  - (Increase) in contract assets</t>
        </is>
      </c>
      <c r="B60" s="13" t="inlineStr">
        <is>
          <t>Note 9</t>
        </is>
      </c>
      <c r="C60" s="21" t="n">
        <v>-1750000</v>
      </c>
      <c r="D60" s="21" t="n">
        <v>-2400000</v>
      </c>
      <c r="E60" s="7" t="inlineStr">
        <is>
          <t>IFRS 15 Asset Delta</t>
        </is>
      </c>
    </row>
    <row r="61">
      <c r="A61" s="6" t="inlineStr">
        <is>
          <t xml:space="preserve">  - (Increase) in trade and other receivables</t>
        </is>
      </c>
      <c r="B61" s="13" t="inlineStr">
        <is>
          <t>Note 10</t>
        </is>
      </c>
      <c r="C61" s="21" t="n">
        <v>-3930000</v>
      </c>
      <c r="D61" s="21" t="n">
        <v>-1825332</v>
      </c>
      <c r="E61" s="7" t="inlineStr">
        <is>
          <t>Receivables Delta</t>
        </is>
      </c>
    </row>
    <row r="62">
      <c r="A62" s="6" t="inlineStr">
        <is>
          <t xml:space="preserve">  - Increase in trade and other payables</t>
        </is>
      </c>
      <c r="B62" s="13" t="inlineStr">
        <is>
          <t>Note 14</t>
        </is>
      </c>
      <c r="C62" s="21" t="n">
        <v>2055265</v>
      </c>
      <c r="D62" s="21" t="n">
        <v>2695235</v>
      </c>
      <c r="E62" s="7" t="inlineStr">
        <is>
          <t>Payables Delta</t>
        </is>
      </c>
    </row>
    <row r="63">
      <c r="A63" s="6" t="inlineStr">
        <is>
          <t xml:space="preserve">  - Increase in contract liabilities (advances)</t>
        </is>
      </c>
      <c r="B63" s="13" t="inlineStr">
        <is>
          <t>Note 13</t>
        </is>
      </c>
      <c r="C63" s="21" t="n">
        <v>1200000</v>
      </c>
      <c r="D63" s="21" t="n">
        <v>2400000</v>
      </c>
      <c r="E63" s="7" t="inlineStr">
        <is>
          <t>IFRS 15 Liability Delta</t>
        </is>
      </c>
    </row>
    <row r="64">
      <c r="A64" s="6" t="inlineStr">
        <is>
          <t>Cash generated from operations</t>
        </is>
      </c>
      <c r="B64" s="53" t="n"/>
      <c r="C64" s="21">
        <f>C57+SUM(C59:C63)</f>
        <v/>
      </c>
      <c r="D64" s="21">
        <f>D57+SUM(D59:D63)</f>
        <v/>
      </c>
      <c r="E64" s="7" t="inlineStr">
        <is>
          <t>TIED OUT</t>
        </is>
      </c>
    </row>
    <row r="65">
      <c r="A65" s="6" t="inlineStr">
        <is>
          <t xml:space="preserve">  - Income taxes paid</t>
        </is>
      </c>
      <c r="B65" s="13" t="inlineStr">
        <is>
          <t>Note 16</t>
        </is>
      </c>
      <c r="C65" s="21" t="n">
        <v>-2200000</v>
      </c>
      <c r="D65" s="21" t="n">
        <v>0</v>
      </c>
      <c r="E65" s="7" t="inlineStr">
        <is>
          <t>Operating Tax Cash Flow</t>
        </is>
      </c>
    </row>
    <row r="66">
      <c r="A66" s="6" t="inlineStr">
        <is>
          <t xml:space="preserve">  - Interest paid on project facilities</t>
        </is>
      </c>
      <c r="B66" s="13" t="inlineStr">
        <is>
          <t>Note 6</t>
        </is>
      </c>
      <c r="C66" s="21" t="n">
        <v>-350000</v>
      </c>
      <c r="D66" s="21" t="n">
        <v>-125000</v>
      </c>
      <c r="E66" s="7" t="inlineStr">
        <is>
          <t>Operating Interest Cash Flow</t>
        </is>
      </c>
    </row>
    <row r="67">
      <c r="A67" s="8" t="inlineStr">
        <is>
          <t>Net cash flows from operating activities</t>
        </is>
      </c>
      <c r="B67" s="44" t="n"/>
      <c r="C67" s="17">
        <f>C64+C65+C66</f>
        <v/>
      </c>
      <c r="D67" s="17">
        <f>D64+D65+D66</f>
        <v/>
      </c>
      <c r="E67" s="10" t="inlineStr">
        <is>
          <t>TIED OUT</t>
        </is>
      </c>
    </row>
    <row r="68">
      <c r="A68" s="45" t="inlineStr">
        <is>
          <t>CASH FLOWS FROM INVESTING ACTIVITIES</t>
        </is>
      </c>
      <c r="B68" s="46" t="n"/>
      <c r="C68" s="46" t="n"/>
      <c r="D68" s="46" t="n"/>
      <c r="E68" s="54" t="n"/>
    </row>
    <row r="69">
      <c r="A69" s="6" t="inlineStr">
        <is>
          <t>Purchase of property, plant and equipment</t>
        </is>
      </c>
      <c r="B69" s="13" t="inlineStr">
        <is>
          <t>Note 7</t>
        </is>
      </c>
      <c r="C69" s="21" t="n">
        <v>-2700000</v>
      </c>
      <c r="D69" s="21" t="n">
        <v>-1800000</v>
      </c>
      <c r="E69" s="7" t="inlineStr">
        <is>
          <t>IAS 16 Cash Additions</t>
        </is>
      </c>
    </row>
    <row r="70">
      <c r="A70" s="8" t="inlineStr">
        <is>
          <t>Net cash flows used in investing activities</t>
        </is>
      </c>
      <c r="B70" s="44" t="n"/>
      <c r="C70" s="17">
        <f>C69</f>
        <v/>
      </c>
      <c r="D70" s="17">
        <f>D69</f>
        <v/>
      </c>
      <c r="E70" s="10" t="inlineStr">
        <is>
          <t>TIED OUT</t>
        </is>
      </c>
    </row>
    <row r="71">
      <c r="A71" s="45" t="inlineStr">
        <is>
          <t>CASH FLOWS FROM FINANCING ACTIVITIES</t>
        </is>
      </c>
      <c r="B71" s="46" t="n"/>
      <c r="C71" s="46" t="n"/>
      <c r="D71" s="46" t="n"/>
      <c r="E71" s="54" t="n"/>
    </row>
    <row r="72">
      <c r="A72" s="6" t="inlineStr">
        <is>
          <t>Proceeds from director's project loans</t>
        </is>
      </c>
      <c r="B72" s="13" t="inlineStr">
        <is>
          <t>Note 17</t>
        </is>
      </c>
      <c r="C72" s="21" t="n">
        <v>1300000</v>
      </c>
      <c r="D72" s="21" t="n">
        <v>4500000</v>
      </c>
      <c r="E72" s="7" t="inlineStr">
        <is>
          <t>IAS 24 Related Party</t>
        </is>
      </c>
    </row>
    <row r="73">
      <c r="A73" s="8" t="inlineStr">
        <is>
          <t>Net cash flows from financing activities</t>
        </is>
      </c>
      <c r="B73" s="44" t="n"/>
      <c r="C73" s="17">
        <f>C72</f>
        <v/>
      </c>
      <c r="D73" s="17">
        <f>D72</f>
        <v/>
      </c>
      <c r="E73" s="10" t="inlineStr">
        <is>
          <t>TIED OUT</t>
        </is>
      </c>
    </row>
    <row r="74">
      <c r="A74" s="6" t="inlineStr">
        <is>
          <t>Net increase in cash and cash equivalents</t>
        </is>
      </c>
      <c r="B74" s="53" t="n"/>
      <c r="C74" s="21">
        <f>C67+C70+C73</f>
        <v/>
      </c>
      <c r="D74" s="21">
        <f>D67+D70+D73</f>
        <v/>
      </c>
      <c r="E74" s="7" t="inlineStr">
        <is>
          <t>Net Annual Liquidity Delta</t>
        </is>
      </c>
    </row>
    <row r="75">
      <c r="A75" s="6" t="inlineStr">
        <is>
          <t>Cash and cash equivalents at 1 January</t>
        </is>
      </c>
      <c r="B75" s="13" t="inlineStr">
        <is>
          <t>Note 11</t>
        </is>
      </c>
      <c r="C75" s="21" t="n">
        <v>2842403</v>
      </c>
      <c r="D75" s="21" t="n">
        <v>52500</v>
      </c>
      <c r="E75" s="7" t="inlineStr">
        <is>
          <t>Opening Cash B/F</t>
        </is>
      </c>
    </row>
    <row r="76">
      <c r="A76" s="23" t="inlineStr">
        <is>
          <t>CASH AND CASH EQUIVALENTS AT 31 DECEMBER</t>
        </is>
      </c>
      <c r="B76" s="37" t="inlineStr">
        <is>
          <t>Note 11</t>
        </is>
      </c>
      <c r="C76" s="24">
        <f>C74+C75</f>
        <v/>
      </c>
      <c r="D76" s="24">
        <f>D74+D75</f>
        <v/>
      </c>
      <c r="E76" s="55" t="inlineStr">
        <is>
          <t>TIED TO SFP NOTE 11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5" customWidth="1" min="1" max="1"/>
    <col width="45" customWidth="1" min="2" max="2"/>
    <col width="66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BAAY PROJECTS LIMITED — NOTES TO THE FINANCIAL STATEMENTS (FY 2024)</t>
        </is>
      </c>
    </row>
    <row r="2">
      <c r="A2" s="3" t="inlineStr">
        <is>
          <t>Numbered Notes 1 to 28 Supporting the Audited Financial Statements for the Year Ended 31 December 2024</t>
        </is>
      </c>
    </row>
    <row r="3"/>
    <row r="4">
      <c r="A4" s="4" t="inlineStr">
        <is>
          <t>Note #</t>
        </is>
      </c>
      <c r="B4" s="4" t="inlineStr">
        <is>
          <t>Note Description / Accounting Line</t>
        </is>
      </c>
      <c r="C4" s="4" t="inlineStr">
        <is>
          <t>Sub-Item Breakdown</t>
        </is>
      </c>
      <c r="D4" s="4" t="inlineStr">
        <is>
          <t>31 Dec 2024 (NGN)</t>
        </is>
      </c>
      <c r="E4" s="4" t="inlineStr">
        <is>
          <t>31 Dec 2023 (NGN)</t>
        </is>
      </c>
      <c r="F4" s="4" t="inlineStr">
        <is>
          <t>IFRS Standard / Disclosures</t>
        </is>
      </c>
    </row>
    <row r="5">
      <c r="A5" s="30" t="inlineStr">
        <is>
          <t>Note 1</t>
        </is>
      </c>
      <c r="B5" s="9" t="inlineStr">
        <is>
          <t>General Information</t>
        </is>
      </c>
      <c r="C5" s="9" t="inlineStr">
        <is>
          <t>Corporate Profile, RC 1526224, Registered in Nigeria under CAMA</t>
        </is>
      </c>
      <c r="D5" s="44" t="n"/>
      <c r="E5" s="44" t="n"/>
      <c r="F5" s="41" t="inlineStr">
        <is>
          <t>IAS 1.51</t>
        </is>
      </c>
    </row>
    <row r="6">
      <c r="A6" s="29" t="inlineStr">
        <is>
          <t>Note 2</t>
        </is>
      </c>
      <c r="B6" s="6" t="inlineStr">
        <is>
          <t>Basis of Preparation &amp; Accounting Policies</t>
        </is>
      </c>
      <c r="C6" s="6" t="inlineStr">
        <is>
          <t>Compliance with full IFRS, FRCN &amp; historical cost convention</t>
        </is>
      </c>
      <c r="D6" s="53" t="n"/>
      <c r="E6" s="53" t="n"/>
      <c r="F6" s="40" t="inlineStr">
        <is>
          <t>IAS 1.112</t>
        </is>
      </c>
    </row>
    <row r="7">
      <c r="A7" s="30" t="inlineStr">
        <is>
          <t>Note 3</t>
        </is>
      </c>
      <c r="B7" s="9" t="inlineStr">
        <is>
          <t>Revenue from Contracts with Customers</t>
        </is>
      </c>
      <c r="C7" s="9" t="inlineStr">
        <is>
          <t>Civil Engineering &amp; Building Construction Contracts</t>
        </is>
      </c>
      <c r="D7" s="22" t="n">
        <v>38000000</v>
      </c>
      <c r="E7" s="22" t="n">
        <v>22000000</v>
      </c>
      <c r="F7" s="41" t="inlineStr">
        <is>
          <t>IFRS 15 Over Time</t>
        </is>
      </c>
    </row>
    <row r="8">
      <c r="A8" s="29" t="inlineStr">
        <is>
          <t>Note 3</t>
        </is>
      </c>
      <c r="B8" s="6" t="inlineStr">
        <is>
          <t>Revenue from Contracts with Customers</t>
        </is>
      </c>
      <c r="C8" s="6" t="inlineStr">
        <is>
          <t>Land Subdivision &amp; Serviced Plot Resale</t>
        </is>
      </c>
      <c r="D8" s="21" t="n">
        <v>19500000</v>
      </c>
      <c r="E8" s="21" t="n">
        <v>12500000</v>
      </c>
      <c r="F8" s="40" t="inlineStr">
        <is>
          <t>IFRS 15 Point in Time</t>
        </is>
      </c>
    </row>
    <row r="9">
      <c r="A9" s="30" t="inlineStr">
        <is>
          <t>Note 3</t>
        </is>
      </c>
      <c r="B9" s="9" t="inlineStr">
        <is>
          <t>Revenue from Contracts with Customers</t>
        </is>
      </c>
      <c r="C9" s="9" t="inlineStr">
        <is>
          <t>Project Management &amp; Engineering Consulting Services</t>
        </is>
      </c>
      <c r="D9" s="22" t="n">
        <v>6700000</v>
      </c>
      <c r="E9" s="22" t="n">
        <v>4000000</v>
      </c>
      <c r="F9" s="41" t="inlineStr">
        <is>
          <t>IFRS 15 Over Time</t>
        </is>
      </c>
    </row>
    <row r="10">
      <c r="A10" s="43" t="inlineStr">
        <is>
          <t>Note 3</t>
        </is>
      </c>
      <c r="B10" s="23" t="inlineStr">
        <is>
          <t>TOTAL REVENUE</t>
        </is>
      </c>
      <c r="C10" s="23" t="inlineStr">
        <is>
          <t>Gross Statutory Turnover</t>
        </is>
      </c>
      <c r="D10" s="24">
        <f>SUM(D7:D9)</f>
        <v/>
      </c>
      <c r="E10" s="24">
        <f>SUM(E7:E9)</f>
        <v/>
      </c>
      <c r="F10" s="26" t="inlineStr">
        <is>
          <t>TIED TO SPLOCI</t>
        </is>
      </c>
    </row>
    <row r="11">
      <c r="A11" s="30" t="inlineStr">
        <is>
          <t>Note 4</t>
        </is>
      </c>
      <c r="B11" s="9" t="inlineStr">
        <is>
          <t>Cost of Sales</t>
        </is>
      </c>
      <c r="C11" s="9" t="inlineStr">
        <is>
          <t>Construction Materials &amp; Subcontracting Services</t>
        </is>
      </c>
      <c r="D11" s="22" t="n">
        <v>26400000</v>
      </c>
      <c r="E11" s="22" t="n">
        <v>14200000</v>
      </c>
      <c r="F11" s="41" t="inlineStr">
        <is>
          <t>IAS 2 Direct Materials</t>
        </is>
      </c>
    </row>
    <row r="12">
      <c r="A12" s="29" t="inlineStr">
        <is>
          <t>Note 4</t>
        </is>
      </c>
      <c r="B12" s="6" t="inlineStr">
        <is>
          <t>Cost of Sales</t>
        </is>
      </c>
      <c r="C12" s="6" t="inlineStr">
        <is>
          <t>Land Inventory Released on Sold Plots</t>
        </is>
      </c>
      <c r="D12" s="21" t="n">
        <v>11800000</v>
      </c>
      <c r="E12" s="21" t="n">
        <v>8100000</v>
      </c>
      <c r="F12" s="40" t="inlineStr">
        <is>
          <t>IAS 2 Inventory Cost</t>
        </is>
      </c>
    </row>
    <row r="13">
      <c r="A13" s="30" t="inlineStr">
        <is>
          <t>Note 4</t>
        </is>
      </c>
      <c r="B13" s="9" t="inlineStr">
        <is>
          <t>Cost of Sales</t>
        </is>
      </c>
      <c r="C13" s="9" t="inlineStr">
        <is>
          <t>Direct Site Labor &amp; Heavy Equipment Rentals</t>
        </is>
      </c>
      <c r="D13" s="22" t="n">
        <v>3300000</v>
      </c>
      <c r="E13" s="22" t="n">
        <v>2350000</v>
      </c>
      <c r="F13" s="41" t="inlineStr">
        <is>
          <t>IAS 2 Direct Labor</t>
        </is>
      </c>
    </row>
    <row r="14">
      <c r="A14" s="43" t="inlineStr">
        <is>
          <t>Note 4</t>
        </is>
      </c>
      <c r="B14" s="23" t="inlineStr">
        <is>
          <t>TOTAL COST OF SALES</t>
        </is>
      </c>
      <c r="C14" s="23" t="inlineStr">
        <is>
          <t>Direct Contract &amp; Property Costs</t>
        </is>
      </c>
      <c r="D14" s="24">
        <f>SUM(D11:D13)</f>
        <v/>
      </c>
      <c r="E14" s="24">
        <f>SUM(E11:E13)</f>
        <v/>
      </c>
      <c r="F14" s="26" t="inlineStr">
        <is>
          <t>TIED TO SPLOCI</t>
        </is>
      </c>
    </row>
    <row r="15">
      <c r="A15" s="30" t="inlineStr">
        <is>
          <t>Note 5</t>
        </is>
      </c>
      <c r="B15" s="9" t="inlineStr">
        <is>
          <t>Administrative &amp; Operating Expenses</t>
        </is>
      </c>
      <c r="C15" s="9" t="inlineStr">
        <is>
          <t>Staff Salaries, Wages &amp; Allowances</t>
        </is>
      </c>
      <c r="D15" s="22" t="n">
        <v>4200000</v>
      </c>
      <c r="E15" s="22" t="n">
        <v>2800000</v>
      </c>
      <c r="F15" s="41" t="inlineStr">
        <is>
          <t>IAS 19 Employee Costs</t>
        </is>
      </c>
    </row>
    <row r="16">
      <c r="A16" s="29" t="inlineStr">
        <is>
          <t>Note 5</t>
        </is>
      </c>
      <c r="B16" s="6" t="inlineStr">
        <is>
          <t>Administrative &amp; Operating Expenses</t>
        </is>
      </c>
      <c r="C16" s="6" t="inlineStr">
        <is>
          <t>Site Office Rent &amp; Facility Maintenance</t>
        </is>
      </c>
      <c r="D16" s="21" t="n">
        <v>1450000</v>
      </c>
      <c r="E16" s="21" t="n">
        <v>950000</v>
      </c>
      <c r="F16" s="40" t="inlineStr">
        <is>
          <t>Operating Overheads</t>
        </is>
      </c>
    </row>
    <row r="17">
      <c r="A17" s="30" t="inlineStr">
        <is>
          <t>Note 5</t>
        </is>
      </c>
      <c r="B17" s="9" t="inlineStr">
        <is>
          <t>Administrative &amp; Operating Expenses</t>
        </is>
      </c>
      <c r="C17" s="9" t="inlineStr">
        <is>
          <t>Professional, Legal &amp; Regulatory Compliance Fees</t>
        </is>
      </c>
      <c r="D17" s="22" t="n">
        <v>980000</v>
      </c>
      <c r="E17" s="22" t="n">
        <v>650000</v>
      </c>
      <c r="F17" s="41" t="inlineStr">
        <is>
          <t>Professional Services</t>
        </is>
      </c>
    </row>
    <row r="18">
      <c r="A18" s="29" t="inlineStr">
        <is>
          <t>Note 5</t>
        </is>
      </c>
      <c r="B18" s="6" t="inlineStr">
        <is>
          <t>Administrative &amp; Operating Expenses</t>
        </is>
      </c>
      <c r="C18" s="6" t="inlineStr">
        <is>
          <t>Statutory Audit &amp; Tax Advisory Fees</t>
        </is>
      </c>
      <c r="D18" s="21" t="n">
        <v>450000</v>
      </c>
      <c r="E18" s="21" t="n">
        <v>350000</v>
      </c>
      <c r="F18" s="40" t="inlineStr">
        <is>
          <t>Audit Fees Accrual</t>
        </is>
      </c>
    </row>
    <row r="19">
      <c r="A19" s="30" t="inlineStr">
        <is>
          <t>Note 5</t>
        </is>
      </c>
      <c r="B19" s="9" t="inlineStr">
        <is>
          <t>Administrative &amp; Operating Expenses</t>
        </is>
      </c>
      <c r="C19" s="9" t="inlineStr">
        <is>
          <t>Bank Charges, Commission on Turnover &amp; Electronic Levies</t>
        </is>
      </c>
      <c r="D19" s="22" t="n">
        <v>420000</v>
      </c>
      <c r="E19" s="22" t="n">
        <v>285000</v>
      </c>
      <c r="F19" s="41" t="inlineStr">
        <is>
          <t>Financial Services</t>
        </is>
      </c>
    </row>
    <row r="20">
      <c r="A20" s="29" t="inlineStr">
        <is>
          <t>Note 5</t>
        </is>
      </c>
      <c r="B20" s="6" t="inlineStr">
        <is>
          <t>Administrative &amp; Operating Expenses</t>
        </is>
      </c>
      <c r="C20" s="6" t="inlineStr">
        <is>
          <t>Motor Vehicle Fuel, Maintenance &amp; Site Logistics</t>
        </is>
      </c>
      <c r="D20" s="21" t="n">
        <v>750000</v>
      </c>
      <c r="E20" s="21" t="n">
        <v>420000</v>
      </c>
      <c r="F20" s="40" t="inlineStr">
        <is>
          <t>Transport &amp; Travel</t>
        </is>
      </c>
    </row>
    <row r="21">
      <c r="A21" s="30" t="inlineStr">
        <is>
          <t>Note 5</t>
        </is>
      </c>
      <c r="B21" s="9" t="inlineStr">
        <is>
          <t>Administrative &amp; Operating Expenses</t>
        </is>
      </c>
      <c r="C21" s="9" t="inlineStr">
        <is>
          <t>Depreciation of Property, Plant &amp; Equipment</t>
        </is>
      </c>
      <c r="D21" s="22" t="n">
        <v>715000</v>
      </c>
      <c r="E21" s="22" t="n">
        <v>385000</v>
      </c>
      <c r="F21" s="41" t="inlineStr">
        <is>
          <t>IAS 16 Depreciation</t>
        </is>
      </c>
    </row>
    <row r="22">
      <c r="A22" s="29" t="inlineStr">
        <is>
          <t>Note 5</t>
        </is>
      </c>
      <c r="B22" s="6" t="inlineStr">
        <is>
          <t>Administrative &amp; Operating Expenses</t>
        </is>
      </c>
      <c r="C22" s="6" t="inlineStr">
        <is>
          <t>IFRS 9 Expected Credit Loss Allowance on Receivables</t>
        </is>
      </c>
      <c r="D22" s="21" t="n">
        <v>260000</v>
      </c>
      <c r="E22" s="21" t="n">
        <v>185000</v>
      </c>
      <c r="F22" s="40" t="inlineStr">
        <is>
          <t>IFRS 9 Impairment</t>
        </is>
      </c>
    </row>
    <row r="23">
      <c r="A23" s="30" t="inlineStr">
        <is>
          <t>Note 5</t>
        </is>
      </c>
      <c r="B23" s="9" t="inlineStr">
        <is>
          <t>Administrative &amp; Operating Expenses</t>
        </is>
      </c>
      <c r="C23" s="9" t="inlineStr">
        <is>
          <t>General Office Administration, Security &amp; Utilities</t>
        </is>
      </c>
      <c r="D23" s="22" t="n">
        <v>625000</v>
      </c>
      <c r="E23" s="22" t="n">
        <v>400000</v>
      </c>
      <c r="F23" s="41" t="inlineStr">
        <is>
          <t>General Administration</t>
        </is>
      </c>
    </row>
    <row r="24">
      <c r="A24" s="43" t="inlineStr">
        <is>
          <t>Note 5</t>
        </is>
      </c>
      <c r="B24" s="23" t="inlineStr">
        <is>
          <t>TOTAL ADMINISTRATIVE EXPENSES</t>
        </is>
      </c>
      <c r="C24" s="23" t="inlineStr">
        <is>
          <t>Operating Overheads</t>
        </is>
      </c>
      <c r="D24" s="24">
        <f>SUM(D15:D23)</f>
        <v/>
      </c>
      <c r="E24" s="24">
        <f>SUM(E15:E23)</f>
        <v/>
      </c>
      <c r="F24" s="26" t="inlineStr">
        <is>
          <t>TIED TO SPLOCI</t>
        </is>
      </c>
    </row>
    <row r="25">
      <c r="A25" s="30" t="inlineStr">
        <is>
          <t>Note 6</t>
        </is>
      </c>
      <c r="B25" s="9" t="inlineStr">
        <is>
          <t>Finance Costs</t>
        </is>
      </c>
      <c r="C25" s="9" t="inlineStr">
        <is>
          <t>Interest Expense on Bank Project Facility</t>
        </is>
      </c>
      <c r="D25" s="22" t="n">
        <v>350000</v>
      </c>
      <c r="E25" s="22" t="n">
        <v>125000</v>
      </c>
      <c r="F25" s="41" t="inlineStr">
        <is>
          <t>IAS 23 Borrowing Costs</t>
        </is>
      </c>
    </row>
    <row r="26">
      <c r="A26" s="43" t="inlineStr">
        <is>
          <t>Note 6</t>
        </is>
      </c>
      <c r="B26" s="23" t="inlineStr">
        <is>
          <t>TOTAL FINANCE COSTS</t>
        </is>
      </c>
      <c r="C26" s="23" t="inlineStr">
        <is>
          <t>Net Finance Expense</t>
        </is>
      </c>
      <c r="D26" s="24">
        <f>D25</f>
        <v/>
      </c>
      <c r="E26" s="24">
        <f>E25</f>
        <v/>
      </c>
      <c r="F26" s="26" t="inlineStr">
        <is>
          <t>TIED TO SPLOCI</t>
        </is>
      </c>
    </row>
    <row r="27">
      <c r="A27" s="30" t="inlineStr">
        <is>
          <t>Note 7</t>
        </is>
      </c>
      <c r="B27" s="9" t="inlineStr">
        <is>
          <t>Property, Plant and Equipment</t>
        </is>
      </c>
      <c r="C27" s="9" t="inlineStr">
        <is>
          <t>Office &amp; Site Equipment Net Book Value</t>
        </is>
      </c>
      <c r="D27" s="22" t="n">
        <v>1047040</v>
      </c>
      <c r="E27" s="22" t="n">
        <v>1424540</v>
      </c>
      <c r="F27" s="41" t="inlineStr">
        <is>
          <t>IAS 16 Carrying Amount</t>
        </is>
      </c>
    </row>
    <row r="28">
      <c r="A28" s="29" t="inlineStr">
        <is>
          <t>Note 7</t>
        </is>
      </c>
      <c r="B28" s="6" t="inlineStr">
        <is>
          <t>Property, Plant and Equipment</t>
        </is>
      </c>
      <c r="C28" s="6" t="inlineStr">
        <is>
          <t>Motor &amp; Project Vehicles Net Book Value</t>
        </is>
      </c>
      <c r="D28" s="21" t="n">
        <v>2362500</v>
      </c>
      <c r="E28" s="21" t="n">
        <v>0</v>
      </c>
      <c r="F28" s="40" t="inlineStr">
        <is>
          <t>IAS 16 Carrying Amount</t>
        </is>
      </c>
    </row>
    <row r="29">
      <c r="A29" s="43" t="inlineStr">
        <is>
          <t>Note 7</t>
        </is>
      </c>
      <c r="B29" s="23" t="inlineStr">
        <is>
          <t>TOTAL PROPERTY, PLANT AND EQUIPMENT</t>
        </is>
      </c>
      <c r="C29" s="23" t="inlineStr">
        <is>
          <t>Gross Cost ₦4,523,850 less Acc Dep ₦1,114,310</t>
        </is>
      </c>
      <c r="D29" s="24">
        <f>SUM(D27:D28)</f>
        <v/>
      </c>
      <c r="E29" s="24">
        <f>SUM(E27:E28)</f>
        <v/>
      </c>
      <c r="F29" s="26" t="inlineStr">
        <is>
          <t>TIED TO SFP</t>
        </is>
      </c>
    </row>
    <row r="30">
      <c r="A30" s="29" t="inlineStr">
        <is>
          <t>Note 8</t>
        </is>
      </c>
      <c r="B30" s="6" t="inlineStr">
        <is>
          <t>Inventories</t>
        </is>
      </c>
      <c r="C30" s="6" t="inlineStr">
        <is>
          <t>Land Held for Resale (Epe &amp; Ibeju Schemes)</t>
        </is>
      </c>
      <c r="D30" s="21" t="n">
        <v>8200000</v>
      </c>
      <c r="E30" s="21" t="n">
        <v>5400000</v>
      </c>
      <c r="F30" s="40" t="inlineStr">
        <is>
          <t>IAS 2 Lower of Cost/NRV</t>
        </is>
      </c>
    </row>
    <row r="31">
      <c r="A31" s="30" t="inlineStr">
        <is>
          <t>Note 8</t>
        </is>
      </c>
      <c r="B31" s="9" t="inlineStr">
        <is>
          <t>Inventories</t>
        </is>
      </c>
      <c r="C31" s="9" t="inlineStr">
        <is>
          <t>Construction Work-in-Progress (Lekki &amp; VI Projects)</t>
        </is>
      </c>
      <c r="D31" s="22" t="n">
        <v>5600000</v>
      </c>
      <c r="E31" s="22" t="n">
        <v>3250000</v>
      </c>
      <c r="F31" s="41" t="inlineStr">
        <is>
          <t>IAS 2 Lower of Cost/NRV</t>
        </is>
      </c>
    </row>
    <row r="32">
      <c r="A32" s="43" t="inlineStr">
        <is>
          <t>Note 8</t>
        </is>
      </c>
      <c r="B32" s="23" t="inlineStr">
        <is>
          <t>TOTAL INVENTORIES</t>
        </is>
      </c>
      <c r="C32" s="23" t="inlineStr">
        <is>
          <t>Development Land &amp; WIP</t>
        </is>
      </c>
      <c r="D32" s="24">
        <f>SUM(D30:D31)</f>
        <v/>
      </c>
      <c r="E32" s="24">
        <f>SUM(E30:E31)</f>
        <v/>
      </c>
      <c r="F32" s="26" t="inlineStr">
        <is>
          <t>TIED TO SFP</t>
        </is>
      </c>
    </row>
    <row r="33">
      <c r="A33" s="30" t="inlineStr">
        <is>
          <t>Note 9</t>
        </is>
      </c>
      <c r="B33" s="9" t="inlineStr">
        <is>
          <t>Contract Assets</t>
        </is>
      </c>
      <c r="C33" s="9" t="inlineStr">
        <is>
          <t>Unbilled Certified Construction Revenue</t>
        </is>
      </c>
      <c r="D33" s="22" t="n">
        <v>4150000</v>
      </c>
      <c r="E33" s="22" t="n">
        <v>2400000</v>
      </c>
      <c r="F33" s="41" t="inlineStr">
        <is>
          <t>IFRS 15 Unbilled Asset</t>
        </is>
      </c>
    </row>
    <row r="34">
      <c r="A34" s="43" t="inlineStr">
        <is>
          <t>Note 9</t>
        </is>
      </c>
      <c r="B34" s="23" t="inlineStr">
        <is>
          <t>TOTAL CONTRACT ASSETS</t>
        </is>
      </c>
      <c r="C34" s="23" t="inlineStr">
        <is>
          <t>Net Contract Assets</t>
        </is>
      </c>
      <c r="D34" s="24">
        <f>D33</f>
        <v/>
      </c>
      <c r="E34" s="24">
        <f>E33</f>
        <v/>
      </c>
      <c r="F34" s="26" t="inlineStr">
        <is>
          <t>TIED TO SFP</t>
        </is>
      </c>
    </row>
    <row r="35">
      <c r="A35" s="30" t="inlineStr">
        <is>
          <t>Note 10</t>
        </is>
      </c>
      <c r="B35" s="9" t="inlineStr">
        <is>
          <t>Trade and Other Receivables</t>
        </is>
      </c>
      <c r="C35" s="9" t="inlineStr">
        <is>
          <t>Gross Trade Receivables from Clients</t>
        </is>
      </c>
      <c r="D35" s="22" t="n">
        <v>5800000</v>
      </c>
      <c r="E35" s="22" t="n">
        <v>3650000</v>
      </c>
      <c r="F35" s="41" t="inlineStr">
        <is>
          <t>Amortized Cost</t>
        </is>
      </c>
    </row>
    <row r="36">
      <c r="A36" s="29" t="inlineStr">
        <is>
          <t>Note 10</t>
        </is>
      </c>
      <c r="B36" s="6" t="inlineStr">
        <is>
          <t>Trade and Other Receivables</t>
        </is>
      </c>
      <c r="C36" s="6" t="inlineStr">
        <is>
          <t>Less: Allowance for Expected Credit Losses (IFRS 9)</t>
        </is>
      </c>
      <c r="D36" s="21" t="n">
        <v>-445000</v>
      </c>
      <c r="E36" s="21" t="n">
        <v>-185000</v>
      </c>
      <c r="F36" s="40" t="inlineStr">
        <is>
          <t>IFRS 9 ECL Provision</t>
        </is>
      </c>
    </row>
    <row r="37">
      <c r="A37" s="30" t="inlineStr">
        <is>
          <t>Note 10</t>
        </is>
      </c>
      <c r="B37" s="9" t="inlineStr">
        <is>
          <t>Trade and Other Receivables</t>
        </is>
      </c>
      <c r="C37" s="9" t="inlineStr">
        <is>
          <t>Withholding Tax (WHT) Credit Notes Receivable</t>
        </is>
      </c>
      <c r="D37" s="22" t="n">
        <v>2650000</v>
      </c>
      <c r="E37" s="22" t="n">
        <v>1100000</v>
      </c>
      <c r="F37" s="41" t="inlineStr">
        <is>
          <t>FIRS Credit Notes</t>
        </is>
      </c>
    </row>
    <row r="38">
      <c r="A38" s="29" t="inlineStr">
        <is>
          <t>Note 10</t>
        </is>
      </c>
      <c r="B38" s="6" t="inlineStr">
        <is>
          <t>Trade and Other Receivables</t>
        </is>
      </c>
      <c r="C38" s="6" t="inlineStr">
        <is>
          <t>Prepayments &amp; Site Advances to Suppliers</t>
        </is>
      </c>
      <c r="D38" s="21" t="n">
        <v>680000</v>
      </c>
      <c r="E38" s="21" t="n">
        <v>450000</v>
      </c>
      <c r="F38" s="40" t="inlineStr">
        <is>
          <t>Operating Prepayments</t>
        </is>
      </c>
    </row>
    <row r="39">
      <c r="A39" s="43" t="inlineStr">
        <is>
          <t>Note 10</t>
        </is>
      </c>
      <c r="B39" s="23" t="inlineStr">
        <is>
          <t>TOTAL TRADE AND OTHER RECEIVABLES</t>
        </is>
      </c>
      <c r="C39" s="23" t="inlineStr">
        <is>
          <t>Net Trade &amp; Other Receivables</t>
        </is>
      </c>
      <c r="D39" s="24">
        <f>SUM(D35:D38)</f>
        <v/>
      </c>
      <c r="E39" s="24">
        <f>SUM(E35:E38)</f>
        <v/>
      </c>
      <c r="F39" s="26" t="inlineStr">
        <is>
          <t>TIED TO SFP</t>
        </is>
      </c>
    </row>
    <row r="40">
      <c r="A40" s="29" t="inlineStr">
        <is>
          <t>Note 11</t>
        </is>
      </c>
      <c r="B40" s="6" t="inlineStr">
        <is>
          <t>Cash and Cash Equivalents</t>
        </is>
      </c>
      <c r="C40" s="6" t="inlineStr">
        <is>
          <t>Providus Bank Plc (A/C 5400281942)</t>
        </is>
      </c>
      <c r="D40" s="21" t="n">
        <v>3850210</v>
      </c>
      <c r="E40" s="21" t="n">
        <v>2215820</v>
      </c>
      <c r="F40" s="40" t="inlineStr">
        <is>
          <t>Primary Operating A/C</t>
        </is>
      </c>
    </row>
    <row r="41">
      <c r="A41" s="30" t="inlineStr">
        <is>
          <t>Note 11</t>
        </is>
      </c>
      <c r="B41" s="9" t="inlineStr">
        <is>
          <t>Cash and Cash Equivalents</t>
        </is>
      </c>
      <c r="C41" s="9" t="inlineStr">
        <is>
          <t>First Bank of Nigeria Limited (A/C 2034891102)</t>
        </is>
      </c>
      <c r="D41" s="22" t="n">
        <v>980118</v>
      </c>
      <c r="E41" s="22" t="n">
        <v>512410</v>
      </c>
      <c r="F41" s="41" t="inlineStr">
        <is>
          <t>Site Collection A/C</t>
        </is>
      </c>
    </row>
    <row r="42">
      <c r="A42" s="29" t="inlineStr">
        <is>
          <t>Note 11</t>
        </is>
      </c>
      <c r="B42" s="6" t="inlineStr">
        <is>
          <t>Cash and Cash Equivalents</t>
        </is>
      </c>
      <c r="C42" s="6" t="inlineStr">
        <is>
          <t>Sterling Bank Plc (A/C 0078451290)</t>
        </is>
      </c>
      <c r="D42" s="21" t="n">
        <v>312350</v>
      </c>
      <c r="E42" s="21" t="n">
        <v>114173</v>
      </c>
      <c r="F42" s="40" t="inlineStr">
        <is>
          <t>Disbursement A/C</t>
        </is>
      </c>
    </row>
    <row r="43">
      <c r="A43" s="43" t="inlineStr">
        <is>
          <t>Note 11</t>
        </is>
      </c>
      <c r="B43" s="23" t="inlineStr">
        <is>
          <t>TOTAL CASH AND CASH EQUIVALENTS</t>
        </is>
      </c>
      <c r="C43" s="23" t="inlineStr">
        <is>
          <t>Reconciled Cash Balances</t>
        </is>
      </c>
      <c r="D43" s="24">
        <f>SUM(D40:D42)</f>
        <v/>
      </c>
      <c r="E43" s="24">
        <f>SUM(E40:E42)</f>
        <v/>
      </c>
      <c r="F43" s="26" t="inlineStr">
        <is>
          <t>TIED TO SFP</t>
        </is>
      </c>
    </row>
    <row r="44">
      <c r="A44" s="29" t="inlineStr">
        <is>
          <t>Note 13</t>
        </is>
      </c>
      <c r="B44" s="6" t="inlineStr">
        <is>
          <t>Contract Liabilities</t>
        </is>
      </c>
      <c r="C44" s="6" t="inlineStr">
        <is>
          <t>Customer Mobilization Advances &amp; Off-Plan Deposits</t>
        </is>
      </c>
      <c r="D44" s="21" t="n">
        <v>3600000</v>
      </c>
      <c r="E44" s="21" t="n">
        <v>2400000</v>
      </c>
      <c r="F44" s="40" t="inlineStr">
        <is>
          <t>IFRS 15 Advances</t>
        </is>
      </c>
    </row>
    <row r="45">
      <c r="A45" s="43" t="inlineStr">
        <is>
          <t>Note 13</t>
        </is>
      </c>
      <c r="B45" s="23" t="inlineStr">
        <is>
          <t>TOTAL CONTRACT LIABILITIES</t>
        </is>
      </c>
      <c r="C45" s="23" t="inlineStr">
        <is>
          <t>Performance Obligations Due</t>
        </is>
      </c>
      <c r="D45" s="24">
        <f>D44</f>
        <v/>
      </c>
      <c r="E45" s="24">
        <f>E44</f>
        <v/>
      </c>
      <c r="F45" s="26" t="inlineStr">
        <is>
          <t>TIED TO SFP</t>
        </is>
      </c>
    </row>
    <row r="46">
      <c r="A46" s="29" t="inlineStr">
        <is>
          <t>Note 14</t>
        </is>
      </c>
      <c r="B46" s="6" t="inlineStr">
        <is>
          <t>Trade and Other Payables</t>
        </is>
      </c>
      <c r="C46" s="6" t="inlineStr">
        <is>
          <t>Trade Payables - Subcontractors &amp; Materials</t>
        </is>
      </c>
      <c r="D46" s="21" t="n">
        <v>3850000</v>
      </c>
      <c r="E46" s="21" t="n">
        <v>2150000</v>
      </c>
      <c r="F46" s="40" t="inlineStr">
        <is>
          <t>Trade Creditors</t>
        </is>
      </c>
    </row>
    <row r="47">
      <c r="A47" s="30" t="inlineStr">
        <is>
          <t>Note 14</t>
        </is>
      </c>
      <c r="B47" s="9" t="inlineStr">
        <is>
          <t>Trade and Other Payables</t>
        </is>
      </c>
      <c r="C47" s="9" t="inlineStr">
        <is>
          <t>Accrued Statutory Audit &amp; Professional Fees</t>
        </is>
      </c>
      <c r="D47" s="22" t="n">
        <v>550000</v>
      </c>
      <c r="E47" s="22" t="n">
        <v>375000</v>
      </c>
      <c r="F47" s="41" t="inlineStr">
        <is>
          <t>Audit Accrual</t>
        </is>
      </c>
    </row>
    <row r="48">
      <c r="A48" s="29" t="inlineStr">
        <is>
          <t>Note 14</t>
        </is>
      </c>
      <c r="B48" s="6" t="inlineStr">
        <is>
          <t>Trade and Other Payables</t>
        </is>
      </c>
      <c r="C48" s="6" t="inlineStr">
        <is>
          <t>Other Accrued Operating Expenses &amp; Sundry Creditors</t>
        </is>
      </c>
      <c r="D48" s="21" t="n">
        <v>425500</v>
      </c>
      <c r="E48" s="21" t="n">
        <v>245235</v>
      </c>
      <c r="F48" s="40" t="inlineStr">
        <is>
          <t>Sundry Accruals</t>
        </is>
      </c>
    </row>
    <row r="49">
      <c r="A49" s="43" t="inlineStr">
        <is>
          <t>Note 14</t>
        </is>
      </c>
      <c r="B49" s="23" t="inlineStr">
        <is>
          <t>TOTAL TRADE AND OTHER PAYABLES</t>
        </is>
      </c>
      <c r="C49" s="23" t="inlineStr">
        <is>
          <t>Current Operating Liabilities</t>
        </is>
      </c>
      <c r="D49" s="24">
        <f>SUM(D46:D48)</f>
        <v/>
      </c>
      <c r="E49" s="24">
        <f>SUM(E46:E48)</f>
        <v/>
      </c>
      <c r="F49" s="26" t="inlineStr">
        <is>
          <t>TIED TO SFP</t>
        </is>
      </c>
    </row>
    <row r="50">
      <c r="A50" s="29" t="inlineStr">
        <is>
          <t>Note 15</t>
        </is>
      </c>
      <c r="B50" s="6" t="inlineStr">
        <is>
          <t>Deferred Taxation</t>
        </is>
      </c>
      <c r="C50" s="6" t="inlineStr">
        <is>
          <t>Deferred Tax Asset / (Liability) Closing Balance</t>
        </is>
      </c>
      <c r="D50" s="21" t="n">
        <v>-16000</v>
      </c>
      <c r="E50" s="21" t="n">
        <v>32000</v>
      </c>
      <c r="F50" s="40" t="inlineStr">
        <is>
          <t>IAS 12 Net Liability</t>
        </is>
      </c>
    </row>
    <row r="51">
      <c r="A51" s="43" t="inlineStr">
        <is>
          <t>Note 15</t>
        </is>
      </c>
      <c r="B51" s="23" t="inlineStr">
        <is>
          <t>TOTAL DEFERRED TAXATION</t>
        </is>
      </c>
      <c r="C51" s="23" t="inlineStr">
        <is>
          <t>Recognized in Statement of Financial Position</t>
        </is>
      </c>
      <c r="D51" s="24">
        <f>D50</f>
        <v/>
      </c>
      <c r="E51" s="24">
        <f>E50</f>
        <v/>
      </c>
      <c r="F51" s="26" t="inlineStr">
        <is>
          <t>TIED TO SFP</t>
        </is>
      </c>
    </row>
    <row r="52">
      <c r="A52" s="29" t="inlineStr">
        <is>
          <t>Note 16</t>
        </is>
      </c>
      <c r="B52" s="6" t="inlineStr">
        <is>
          <t>Current Taxation</t>
        </is>
      </c>
      <c r="C52" s="6" t="inlineStr">
        <is>
          <t>Companies Income Tax (CIT) Provision</t>
        </is>
      </c>
      <c r="D52" s="21" t="n">
        <v>2528000</v>
      </c>
      <c r="E52" s="21" t="n">
        <v>1492000</v>
      </c>
      <c r="F52" s="40" t="inlineStr">
        <is>
          <t>20% CIT Medium Co</t>
        </is>
      </c>
    </row>
    <row r="53">
      <c r="A53" s="30" t="inlineStr">
        <is>
          <t>Note 16</t>
        </is>
      </c>
      <c r="B53" s="9" t="inlineStr">
        <is>
          <t>Current Taxation</t>
        </is>
      </c>
      <c r="C53" s="9" t="inlineStr">
        <is>
          <t>Tertiary Education Tax (TET) Provision</t>
        </is>
      </c>
      <c r="D53" s="22" t="n">
        <v>408600</v>
      </c>
      <c r="E53" s="22" t="n">
        <v>239400</v>
      </c>
      <c r="F53" s="41" t="inlineStr">
        <is>
          <t>3% TETFA Rate</t>
        </is>
      </c>
    </row>
    <row r="54">
      <c r="A54" s="29" t="inlineStr">
        <is>
          <t>Note 16</t>
        </is>
      </c>
      <c r="B54" s="6" t="inlineStr">
        <is>
          <t>Current Taxation</t>
        </is>
      </c>
      <c r="C54" s="6" t="inlineStr">
        <is>
          <t>Police Trust Fund (PTF) Levy Provision</t>
        </is>
      </c>
      <c r="D54" s="21" t="n">
        <v>625</v>
      </c>
      <c r="E54" s="21" t="n">
        <v>365</v>
      </c>
      <c r="F54" s="40" t="inlineStr">
        <is>
          <t>0.005% of PBT</t>
        </is>
      </c>
    </row>
    <row r="55">
      <c r="A55" s="43" t="inlineStr">
        <is>
          <t>Note 16</t>
        </is>
      </c>
      <c r="B55" s="23" t="inlineStr">
        <is>
          <t>TOTAL CURRENT TAX CHARGE</t>
        </is>
      </c>
      <c r="C55" s="23" t="inlineStr">
        <is>
          <t>Current Tax Provision for Year</t>
        </is>
      </c>
      <c r="D55" s="24">
        <f>SUM(D52:D54)</f>
        <v/>
      </c>
      <c r="E55" s="24">
        <f>SUM(E52:E54)</f>
        <v/>
      </c>
      <c r="F55" s="26" t="inlineStr">
        <is>
          <t>TIED TO SPLOCI</t>
        </is>
      </c>
    </row>
    <row r="56">
      <c r="A56" s="29" t="inlineStr">
        <is>
          <t>Note 17</t>
        </is>
      </c>
      <c r="B56" s="6" t="inlineStr">
        <is>
          <t>Borrowings &amp; Director's Loans</t>
        </is>
      </c>
      <c r="C56" s="6" t="inlineStr">
        <is>
          <t>Director Project Loan (Engr. Babatunde Goke)</t>
        </is>
      </c>
      <c r="D56" s="21" t="n">
        <v>5800000</v>
      </c>
      <c r="E56" s="21" t="n">
        <v>4500000</v>
      </c>
      <c r="F56" s="40" t="inlineStr">
        <is>
          <t>IAS 24 Related Party</t>
        </is>
      </c>
    </row>
    <row r="57">
      <c r="A57" s="43" t="inlineStr">
        <is>
          <t>Note 17</t>
        </is>
      </c>
      <c r="B57" s="23" t="inlineStr">
        <is>
          <t>TOTAL BORROWINGS</t>
        </is>
      </c>
      <c r="C57" s="23" t="inlineStr">
        <is>
          <t>Non-Current Project Funding</t>
        </is>
      </c>
      <c r="D57" s="24">
        <f>D56</f>
        <v/>
      </c>
      <c r="E57" s="24">
        <f>E56</f>
        <v/>
      </c>
      <c r="F57" s="26" t="inlineStr">
        <is>
          <t>TIED TO SFP</t>
        </is>
      </c>
    </row>
    <row r="58">
      <c r="A58" s="29" t="inlineStr">
        <is>
          <t>Note 18</t>
        </is>
      </c>
      <c r="B58" s="6" t="inlineStr">
        <is>
          <t>Share Capital</t>
        </is>
      </c>
      <c r="C58" s="6" t="inlineStr">
        <is>
          <t>1,000,000 Ordinary Shares of ₦1.00 each</t>
        </is>
      </c>
      <c r="D58" s="21" t="n">
        <v>1000000</v>
      </c>
      <c r="E58" s="21" t="n">
        <v>1000000</v>
      </c>
      <c r="F58" s="40" t="inlineStr">
        <is>
          <t>Authorized &amp; Issued</t>
        </is>
      </c>
    </row>
    <row r="59">
      <c r="A59" s="43" t="inlineStr">
        <is>
          <t>Note 18</t>
        </is>
      </c>
      <c r="B59" s="23" t="inlineStr">
        <is>
          <t>TOTAL SHARE CAPITAL</t>
        </is>
      </c>
      <c r="C59" s="23" t="inlineStr">
        <is>
          <t>Fully Issued and Paid Up</t>
        </is>
      </c>
      <c r="D59" s="24">
        <f>D58</f>
        <v/>
      </c>
      <c r="E59" s="24">
        <f>E58</f>
        <v/>
      </c>
      <c r="F59" s="26" t="inlineStr">
        <is>
          <t>TIED TO SFP</t>
        </is>
      </c>
    </row>
    <row r="60">
      <c r="A60" s="29" t="inlineStr">
        <is>
          <t>Note 19</t>
        </is>
      </c>
      <c r="B60" s="6" t="inlineStr">
        <is>
          <t>Retained Earnings</t>
        </is>
      </c>
      <c r="C60" s="6" t="inlineStr">
        <is>
          <t>Cumulative Retained Earnings Carried Forward</t>
        </is>
      </c>
      <c r="D60" s="21" t="n">
        <v>17476718</v>
      </c>
      <c r="E60" s="21" t="n">
        <v>7961943</v>
      </c>
      <c r="F60" s="40" t="inlineStr">
        <is>
          <t>SOCE Roll-Forward</t>
        </is>
      </c>
    </row>
    <row r="61">
      <c r="A61" s="43" t="inlineStr">
        <is>
          <t>Note 19</t>
        </is>
      </c>
      <c r="B61" s="23" t="inlineStr">
        <is>
          <t>TOTAL RETAINED EARNINGS</t>
        </is>
      </c>
      <c r="C61" s="23" t="inlineStr">
        <is>
          <t>Accumulated Earnings</t>
        </is>
      </c>
      <c r="D61" s="24">
        <f>D60</f>
        <v/>
      </c>
      <c r="E61" s="24">
        <f>E60</f>
        <v/>
      </c>
      <c r="F61" s="26" t="inlineStr">
        <is>
          <t>TIED TO SFP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7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0" customWidth="1" min="1" max="1"/>
    <col width="11" customWidth="1" min="2" max="2"/>
    <col width="31" customWidth="1" min="3" max="3"/>
    <col width="31" customWidth="1" min="4" max="4"/>
    <col width="39" customWidth="1" min="5" max="5"/>
  </cols>
  <sheetData>
    <row r="1">
      <c r="A1" s="1" t="inlineStr">
        <is>
          <t>BAAY PROJECTS LIMITED (RC 1526224)</t>
        </is>
      </c>
    </row>
    <row r="2">
      <c r="A2" s="2" t="inlineStr">
        <is>
          <t>ANNUAL FINANCIAL STATEMENTS FOR THE YEAR ENDED 31 DECEMBER 2025</t>
        </is>
      </c>
    </row>
    <row r="3">
      <c r="A3" s="3" t="inlineStr">
        <is>
          <t>(With Comparative Figures for the Year Ended 31 December 2024 — Stated in Nigerian Naira ₦)</t>
        </is>
      </c>
    </row>
    <row r="4"/>
    <row r="5">
      <c r="A5" s="2" t="inlineStr">
        <is>
          <t>1. STATEMENT OF FINANCIAL POSITION AS AT 31 DECEMBER 2025</t>
        </is>
      </c>
    </row>
    <row r="6">
      <c r="A6" s="4" t="inlineStr">
        <is>
          <t>Financial Statement Line Item</t>
        </is>
      </c>
      <c r="B6" s="4" t="inlineStr">
        <is>
          <t>Notes</t>
        </is>
      </c>
      <c r="C6" s="4" t="inlineStr">
        <is>
          <t>31 Dec 2025 (NGN)</t>
        </is>
      </c>
      <c r="D6" s="4" t="inlineStr">
        <is>
          <t>31 Dec 2024 (NGN)</t>
        </is>
      </c>
      <c r="E6" s="4" t="inlineStr">
        <is>
          <t>Audit / IFRS Status</t>
        </is>
      </c>
    </row>
    <row r="7">
      <c r="A7" s="8" t="inlineStr">
        <is>
          <t>NON-CURRENT ASSETS</t>
        </is>
      </c>
      <c r="B7" s="44" t="n"/>
      <c r="C7" s="44" t="n"/>
      <c r="D7" s="44" t="n"/>
      <c r="E7" s="44" t="n"/>
    </row>
    <row r="8">
      <c r="A8" s="6" t="inlineStr">
        <is>
          <t>Property, plant and equipment</t>
        </is>
      </c>
      <c r="B8" s="13" t="inlineStr">
        <is>
          <t>Note 7</t>
        </is>
      </c>
      <c r="C8" s="21" t="n">
        <v>5724540</v>
      </c>
      <c r="D8" s="21" t="n">
        <v>3409540</v>
      </c>
      <c r="E8" s="40" t="inlineStr">
        <is>
          <t>IAS 16 Carrying Amount</t>
        </is>
      </c>
    </row>
    <row r="9">
      <c r="A9" s="45" t="inlineStr">
        <is>
          <t>TOTAL NON-CURRENT ASSETS</t>
        </is>
      </c>
      <c r="B9" s="46" t="n"/>
      <c r="C9" s="47">
        <f>C8</f>
        <v/>
      </c>
      <c r="D9" s="47">
        <f>D8</f>
        <v/>
      </c>
      <c r="E9" s="48" t="inlineStr">
        <is>
          <t>TIED OUT</t>
        </is>
      </c>
    </row>
    <row r="10">
      <c r="A10" s="8" t="inlineStr">
        <is>
          <t>CURRENT ASSETS</t>
        </is>
      </c>
      <c r="B10" s="44" t="n"/>
      <c r="C10" s="44" t="n"/>
      <c r="D10" s="44" t="n"/>
      <c r="E10" s="44" t="n"/>
    </row>
    <row r="11">
      <c r="A11" s="6" t="inlineStr">
        <is>
          <t>Inventories (Development land &amp; WIP)</t>
        </is>
      </c>
      <c r="B11" s="13" t="inlineStr">
        <is>
          <t>Note 8</t>
        </is>
      </c>
      <c r="C11" s="21" t="n">
        <v>24300000</v>
      </c>
      <c r="D11" s="21" t="n">
        <v>13800000</v>
      </c>
      <c r="E11" s="40" t="inlineStr">
        <is>
          <t>IAS 2 Cost / NRV</t>
        </is>
      </c>
    </row>
    <row r="12">
      <c r="A12" s="6" t="inlineStr">
        <is>
          <t>Contract assets</t>
        </is>
      </c>
      <c r="B12" s="13" t="inlineStr">
        <is>
          <t>Note 9</t>
        </is>
      </c>
      <c r="C12" s="21" t="n">
        <v>6850000</v>
      </c>
      <c r="D12" s="21" t="n">
        <v>4150000</v>
      </c>
      <c r="E12" s="40" t="inlineStr">
        <is>
          <t>IFRS 15 Unbilled Revenue</t>
        </is>
      </c>
    </row>
    <row r="13">
      <c r="A13" s="6" t="inlineStr">
        <is>
          <t>Trade and other receivables</t>
        </is>
      </c>
      <c r="B13" s="13" t="inlineStr">
        <is>
          <t>Note 10</t>
        </is>
      </c>
      <c r="C13" s="21" t="n">
        <v>14360000</v>
      </c>
      <c r="D13" s="21" t="n">
        <v>8685000</v>
      </c>
      <c r="E13" s="40" t="inlineStr">
        <is>
          <t>IFRS 9 Net of ECL</t>
        </is>
      </c>
    </row>
    <row r="14">
      <c r="A14" s="6" t="inlineStr">
        <is>
          <t>Cash and cash equivalents</t>
        </is>
      </c>
      <c r="B14" s="13" t="inlineStr">
        <is>
          <t>Note 11</t>
        </is>
      </c>
      <c r="C14" s="21" t="n">
        <v>8924048</v>
      </c>
      <c r="D14" s="21" t="n">
        <v>5142678</v>
      </c>
      <c r="E14" s="40" t="inlineStr">
        <is>
          <t>Reconciled Bank Balances</t>
        </is>
      </c>
    </row>
    <row r="15">
      <c r="A15" s="45" t="inlineStr">
        <is>
          <t>TOTAL CURRENT ASSETS</t>
        </is>
      </c>
      <c r="B15" s="46" t="n"/>
      <c r="C15" s="47">
        <f>SUM(C11:C14)</f>
        <v/>
      </c>
      <c r="D15" s="47">
        <f>SUM(D11:D14)</f>
        <v/>
      </c>
      <c r="E15" s="48" t="inlineStr">
        <is>
          <t>TIED OUT</t>
        </is>
      </c>
    </row>
    <row r="16">
      <c r="A16" s="23" t="inlineStr">
        <is>
          <t>TOTAL ASSETS</t>
        </is>
      </c>
      <c r="B16" s="31" t="n"/>
      <c r="C16" s="24">
        <f>C9+C15</f>
        <v/>
      </c>
      <c r="D16" s="24">
        <f>D9+D15</f>
        <v/>
      </c>
      <c r="E16" s="26" t="inlineStr">
        <is>
          <t>TIED OUT</t>
        </is>
      </c>
    </row>
    <row r="17">
      <c r="A17" s="8" t="inlineStr">
        <is>
          <t>EQUITY</t>
        </is>
      </c>
      <c r="B17" s="44" t="n"/>
      <c r="C17" s="44" t="n"/>
      <c r="D17" s="44" t="n"/>
      <c r="E17" s="44" t="n"/>
    </row>
    <row r="18">
      <c r="A18" s="6" t="inlineStr">
        <is>
          <t>Share capital</t>
        </is>
      </c>
      <c r="B18" s="13" t="inlineStr">
        <is>
          <t>Note 18</t>
        </is>
      </c>
      <c r="C18" s="21" t="n">
        <v>1000000</v>
      </c>
      <c r="D18" s="21" t="n">
        <v>1000000</v>
      </c>
      <c r="E18" s="40" t="inlineStr">
        <is>
          <t>1m Ordinary Shares @ ₦1</t>
        </is>
      </c>
    </row>
    <row r="19">
      <c r="A19" s="6" t="inlineStr">
        <is>
          <t>Retained earnings</t>
        </is>
      </c>
      <c r="B19" s="13" t="inlineStr">
        <is>
          <t>Note 19</t>
        </is>
      </c>
      <c r="C19" s="21" t="n">
        <v>32376588</v>
      </c>
      <c r="D19" s="21" t="n">
        <v>17476718</v>
      </c>
      <c r="E19" s="40" t="inlineStr">
        <is>
          <t>Cumulative Post-Tax Earnings</t>
        </is>
      </c>
    </row>
    <row r="20">
      <c r="A20" s="45" t="inlineStr">
        <is>
          <t>TOTAL EQUITY</t>
        </is>
      </c>
      <c r="B20" s="46" t="n"/>
      <c r="C20" s="47">
        <f>SUM(C18:C19)</f>
        <v/>
      </c>
      <c r="D20" s="47">
        <f>SUM(D18:D19)</f>
        <v/>
      </c>
      <c r="E20" s="48" t="inlineStr">
        <is>
          <t>TIED OUT</t>
        </is>
      </c>
    </row>
    <row r="21">
      <c r="A21" s="8" t="inlineStr">
        <is>
          <t>NON-CURRENT LIABILITIES</t>
        </is>
      </c>
      <c r="B21" s="44" t="n"/>
      <c r="C21" s="44" t="n"/>
      <c r="D21" s="44" t="n"/>
      <c r="E21" s="44" t="n"/>
    </row>
    <row r="22">
      <c r="A22" s="6" t="inlineStr">
        <is>
          <t>Borrowings &amp; director's loans</t>
        </is>
      </c>
      <c r="B22" s="13" t="inlineStr">
        <is>
          <t>Note 17</t>
        </is>
      </c>
      <c r="C22" s="21" t="n">
        <v>7500000</v>
      </c>
      <c r="D22" s="21" t="n">
        <v>5800000</v>
      </c>
      <c r="E22" s="40" t="inlineStr">
        <is>
          <t>IAS 24 Related Party</t>
        </is>
      </c>
    </row>
    <row r="23">
      <c r="A23" s="6" t="inlineStr">
        <is>
          <t>Deferred tax liability</t>
        </is>
      </c>
      <c r="B23" s="13" t="inlineStr">
        <is>
          <t>Note 15</t>
        </is>
      </c>
      <c r="C23" s="21" t="n">
        <v>98500</v>
      </c>
      <c r="D23" s="21" t="n">
        <v>16000</v>
      </c>
      <c r="E23" s="40" t="inlineStr">
        <is>
          <t>IAS 12 Temporary Differences</t>
        </is>
      </c>
    </row>
    <row r="24">
      <c r="A24" s="45" t="inlineStr">
        <is>
          <t>TOTAL NON-CURRENT LIABILITIES</t>
        </is>
      </c>
      <c r="B24" s="46" t="n"/>
      <c r="C24" s="47">
        <f>SUM(C22:C23)</f>
        <v/>
      </c>
      <c r="D24" s="47">
        <f>SUM(D22:D23)</f>
        <v/>
      </c>
      <c r="E24" s="48" t="inlineStr">
        <is>
          <t>TIED OUT</t>
        </is>
      </c>
    </row>
    <row r="25">
      <c r="A25" s="8" t="inlineStr">
        <is>
          <t>CURRENT LIABILITIES</t>
        </is>
      </c>
      <c r="B25" s="44" t="n"/>
      <c r="C25" s="44" t="n"/>
      <c r="D25" s="44" t="n"/>
      <c r="E25" s="44" t="n"/>
    </row>
    <row r="26">
      <c r="A26" s="6" t="inlineStr">
        <is>
          <t>Trade and other payables</t>
        </is>
      </c>
      <c r="B26" s="13" t="inlineStr">
        <is>
          <t>Note 14</t>
        </is>
      </c>
      <c r="C26" s="21" t="n">
        <v>7983500</v>
      </c>
      <c r="D26" s="21" t="n">
        <v>4825500</v>
      </c>
      <c r="E26" s="40" t="inlineStr">
        <is>
          <t>Amortized Cost</t>
        </is>
      </c>
    </row>
    <row r="27">
      <c r="A27" s="6" t="inlineStr">
        <is>
          <t>Contract liabilities</t>
        </is>
      </c>
      <c r="B27" s="13" t="inlineStr">
        <is>
          <t>Note 13</t>
        </is>
      </c>
      <c r="C27" s="21" t="n">
        <v>5800000</v>
      </c>
      <c r="D27" s="21" t="n">
        <v>3600000</v>
      </c>
      <c r="E27" s="40" t="inlineStr">
        <is>
          <t>IFRS 15 Customer Advances</t>
        </is>
      </c>
    </row>
    <row r="28">
      <c r="A28" s="6" t="inlineStr">
        <is>
          <t>Current tax liabilities</t>
        </is>
      </c>
      <c r="B28" s="13" t="inlineStr">
        <is>
          <t>Note 16</t>
        </is>
      </c>
      <c r="C28" s="21" t="n">
        <v>5400000</v>
      </c>
      <c r="D28" s="21" t="n">
        <v>2469000</v>
      </c>
      <c r="E28" s="40" t="inlineStr">
        <is>
          <t>CITA / TETFA Statutory</t>
        </is>
      </c>
    </row>
    <row r="29">
      <c r="A29" s="45" t="inlineStr">
        <is>
          <t>TOTAL CURRENT LIABILITIES</t>
        </is>
      </c>
      <c r="B29" s="46" t="n"/>
      <c r="C29" s="47">
        <f>SUM(C26:C28)</f>
        <v/>
      </c>
      <c r="D29" s="47">
        <f>SUM(D26:D28)</f>
        <v/>
      </c>
      <c r="E29" s="48" t="inlineStr">
        <is>
          <t>TIED OUT</t>
        </is>
      </c>
    </row>
    <row r="30">
      <c r="A30" s="23" t="inlineStr">
        <is>
          <t>TOTAL LIABILITIES AND EQUITY</t>
        </is>
      </c>
      <c r="B30" s="31" t="n"/>
      <c r="C30" s="24">
        <f>C20+C24+C29</f>
        <v/>
      </c>
      <c r="D30" s="24">
        <f>D20+D24+D29</f>
        <v/>
      </c>
      <c r="E30" s="26" t="inlineStr">
        <is>
          <t>TIED TO TOTAL ASSETS</t>
        </is>
      </c>
    </row>
    <row r="31"/>
    <row r="32"/>
    <row r="33">
      <c r="A33" s="2" t="inlineStr">
        <is>
          <t>2. STATEMENT OF PROFIT OR LOSS AND OTHER COMPREHENSIVE INCOME FOR THE YEAR ENDED 31 DECEMBER 2025</t>
        </is>
      </c>
    </row>
    <row r="34">
      <c r="A34" s="4" t="inlineStr">
        <is>
          <t>Statement of Profit or Loss Line Item</t>
        </is>
      </c>
      <c r="B34" s="4" t="inlineStr">
        <is>
          <t>Notes</t>
        </is>
      </c>
      <c r="C34" s="4" t="inlineStr">
        <is>
          <t>Year Ended 31 Dec 2025 (NGN)</t>
        </is>
      </c>
      <c r="D34" s="4" t="inlineStr">
        <is>
          <t>Year Ended 31 Dec 2024 (NGN)</t>
        </is>
      </c>
      <c r="E34" s="4" t="inlineStr">
        <is>
          <t>IFRS Accounting Treatment</t>
        </is>
      </c>
    </row>
    <row r="35">
      <c r="A35" s="9" t="inlineStr">
        <is>
          <t>Revenue from contracts with customers</t>
        </is>
      </c>
      <c r="B35" s="11" t="inlineStr">
        <is>
          <t>Note 3</t>
        </is>
      </c>
      <c r="C35" s="22" t="n">
        <v>112500000</v>
      </c>
      <c r="D35" s="22" t="n">
        <v>64200000</v>
      </c>
      <c r="E35" s="10" t="inlineStr">
        <is>
          <t>IFRS 15 Recognized Revenue</t>
        </is>
      </c>
    </row>
    <row r="36">
      <c r="A36" s="6" t="inlineStr">
        <is>
          <t>Cost of sales</t>
        </is>
      </c>
      <c r="B36" s="13" t="inlineStr">
        <is>
          <t>Note 4</t>
        </is>
      </c>
      <c r="C36" s="21" t="n">
        <v>-72800000</v>
      </c>
      <c r="D36" s="21" t="n">
        <v>-41500000</v>
      </c>
      <c r="E36" s="7" t="inlineStr">
        <is>
          <t>IAS 2 Direct Project Costs</t>
        </is>
      </c>
    </row>
    <row r="37">
      <c r="A37" s="49" t="inlineStr">
        <is>
          <t>GROSS PROFIT</t>
        </is>
      </c>
      <c r="B37" s="50" t="n"/>
      <c r="C37" s="51">
        <f>SUM(C35:C36)</f>
        <v/>
      </c>
      <c r="D37" s="51">
        <f>SUM(D35:D36)</f>
        <v/>
      </c>
      <c r="E37" s="52" t="inlineStr">
        <is>
          <t>Gross Margin: 35.29%</t>
        </is>
      </c>
    </row>
    <row r="38">
      <c r="A38" s="6" t="inlineStr">
        <is>
          <t>Administrative and operating expenses</t>
        </is>
      </c>
      <c r="B38" s="13" t="inlineStr">
        <is>
          <t>Note 5</t>
        </is>
      </c>
      <c r="C38" s="21" t="n">
        <v>-16450000</v>
      </c>
      <c r="D38" s="21" t="n">
        <v>-9850000</v>
      </c>
      <c r="E38" s="7" t="inlineStr">
        <is>
          <t>IAS 1 Operating Overheads</t>
        </is>
      </c>
    </row>
    <row r="39">
      <c r="A39" s="49" t="inlineStr">
        <is>
          <t>OPERATING PROFIT (EBIT)</t>
        </is>
      </c>
      <c r="B39" s="50" t="n"/>
      <c r="C39" s="51">
        <f>C37+C38</f>
        <v/>
      </c>
      <c r="D39" s="51">
        <f>D37+D38</f>
        <v/>
      </c>
      <c r="E39" s="52" t="inlineStr">
        <is>
          <t>Operating Margin: 20.67%</t>
        </is>
      </c>
    </row>
    <row r="40">
      <c r="A40" s="6" t="inlineStr">
        <is>
          <t>Finance costs</t>
        </is>
      </c>
      <c r="B40" s="13" t="inlineStr">
        <is>
          <t>Note 6</t>
        </is>
      </c>
      <c r="C40" s="21" t="n">
        <v>-650000</v>
      </c>
      <c r="D40" s="21" t="n">
        <v>-350000</v>
      </c>
      <c r="E40" s="7" t="inlineStr">
        <is>
          <t>Bank Project Facility Interest</t>
        </is>
      </c>
    </row>
    <row r="41">
      <c r="A41" s="49" t="inlineStr">
        <is>
          <t>PROFIT BEFORE TAXATION</t>
        </is>
      </c>
      <c r="B41" s="50" t="n"/>
      <c r="C41" s="51">
        <f>C39+C40</f>
        <v/>
      </c>
      <c r="D41" s="51">
        <f>D39+D40</f>
        <v/>
      </c>
      <c r="E41" s="52" t="inlineStr">
        <is>
          <t>Taxable Accounting Profit</t>
        </is>
      </c>
    </row>
    <row r="42">
      <c r="A42" s="6" t="inlineStr">
        <is>
          <t>Income tax expense</t>
        </is>
      </c>
      <c r="B42" s="13" t="inlineStr">
        <is>
          <t>Note 16</t>
        </is>
      </c>
      <c r="C42" s="21" t="n">
        <v>-7700130</v>
      </c>
      <c r="D42" s="21" t="n">
        <v>-2985225</v>
      </c>
      <c r="E42" s="7" t="inlineStr">
        <is>
          <t>Current Tax ₦7,617,630 + DTL ₦82,500</t>
        </is>
      </c>
    </row>
    <row r="43">
      <c r="A43" s="23" t="inlineStr">
        <is>
          <t>PROFIT FOR THE YEAR</t>
        </is>
      </c>
      <c r="B43" s="31" t="n"/>
      <c r="C43" s="24">
        <f>C41+C42</f>
        <v/>
      </c>
      <c r="D43" s="24">
        <f>D41+D42</f>
        <v/>
      </c>
      <c r="E43" s="25" t="inlineStr">
        <is>
          <t>Net Profit Margin: 13.24%</t>
        </is>
      </c>
    </row>
    <row r="44">
      <c r="A44" s="6" t="inlineStr">
        <is>
          <t>OTHER COMPREHENSIVE INCOME</t>
        </is>
      </c>
      <c r="B44" s="53" t="n"/>
      <c r="C44" s="21" t="n">
        <v>0</v>
      </c>
      <c r="D44" s="21" t="n">
        <v>0</v>
      </c>
      <c r="E44" s="7" t="inlineStr">
        <is>
          <t>No Items of OCI</t>
        </is>
      </c>
    </row>
    <row r="45">
      <c r="A45" s="23" t="inlineStr">
        <is>
          <t>TOTAL COMPREHENSIVE INCOME FOR THE YEAR</t>
        </is>
      </c>
      <c r="B45" s="31" t="n"/>
      <c r="C45" s="24">
        <f>C43+C44</f>
        <v/>
      </c>
      <c r="D45" s="24">
        <f>D43+D44</f>
        <v/>
      </c>
      <c r="E45" s="25" t="inlineStr">
        <is>
          <t>TRANSFERRED TO EQUITY</t>
        </is>
      </c>
    </row>
    <row r="46"/>
    <row r="47"/>
    <row r="48">
      <c r="A48" s="2" t="inlineStr">
        <is>
          <t>3. STATEMENT OF CASH FLOWS FOR THE YEAR ENDED 31 DECEMBER 2025 (INDIRECT METHOD)</t>
        </is>
      </c>
    </row>
    <row r="49">
      <c r="A49" s="4" t="inlineStr">
        <is>
          <t>Cash Flow Line Item</t>
        </is>
      </c>
      <c r="B49" s="4" t="inlineStr">
        <is>
          <t>Notes</t>
        </is>
      </c>
      <c r="C49" s="4" t="inlineStr">
        <is>
          <t>Year Ended 31 Dec 2025 (NGN)</t>
        </is>
      </c>
      <c r="D49" s="4" t="inlineStr">
        <is>
          <t>Year Ended 31 Dec 2024 (NGN)</t>
        </is>
      </c>
      <c r="E49" s="4" t="inlineStr">
        <is>
          <t>Cash Flow Classification</t>
        </is>
      </c>
    </row>
    <row r="50">
      <c r="A50" s="45" t="inlineStr">
        <is>
          <t>CASH FLOWS FROM OPERATING ACTIVITIES</t>
        </is>
      </c>
      <c r="B50" s="46" t="n"/>
      <c r="C50" s="46" t="n"/>
      <c r="D50" s="46" t="n"/>
      <c r="E50" s="54" t="n"/>
    </row>
    <row r="51">
      <c r="A51" s="6" t="inlineStr">
        <is>
          <t>Profit before taxation</t>
        </is>
      </c>
      <c r="B51" s="13" t="inlineStr">
        <is>
          <t>SPLOCI</t>
        </is>
      </c>
      <c r="C51" s="21" t="n">
        <v>22600000</v>
      </c>
      <c r="D51" s="21" t="n">
        <v>12500000</v>
      </c>
      <c r="E51" s="7" t="inlineStr">
        <is>
          <t>Operating PBT</t>
        </is>
      </c>
    </row>
    <row r="52">
      <c r="A52" s="6" t="inlineStr">
        <is>
          <t>Adjustments for non-cash items:</t>
        </is>
      </c>
      <c r="B52" s="53" t="n"/>
      <c r="C52" s="53" t="n"/>
      <c r="D52" s="53" t="n"/>
      <c r="E52" s="7" t="n"/>
    </row>
    <row r="53">
      <c r="A53" s="6" t="inlineStr">
        <is>
          <t xml:space="preserve">  - Depreciation of property, plant and equipment</t>
        </is>
      </c>
      <c r="B53" s="13" t="inlineStr">
        <is>
          <t>Note 7</t>
        </is>
      </c>
      <c r="C53" s="21" t="n">
        <v>1285000</v>
      </c>
      <c r="D53" s="21" t="n">
        <v>715000</v>
      </c>
      <c r="E53" s="7" t="inlineStr">
        <is>
          <t>Non-Cash Operating Adj</t>
        </is>
      </c>
    </row>
    <row r="54">
      <c r="A54" s="6" t="inlineStr">
        <is>
          <t xml:space="preserve">  - Impairment allowance on receivables (ECL)</t>
        </is>
      </c>
      <c r="B54" s="13" t="inlineStr">
        <is>
          <t>Note 10</t>
        </is>
      </c>
      <c r="C54" s="21" t="n">
        <v>395000</v>
      </c>
      <c r="D54" s="21" t="n">
        <v>260000</v>
      </c>
      <c r="E54" s="7" t="inlineStr">
        <is>
          <t>Non-Cash Operating Adj</t>
        </is>
      </c>
    </row>
    <row r="55">
      <c r="A55" s="6" t="inlineStr">
        <is>
          <t xml:space="preserve">  - Finance costs recognized in profit or loss</t>
        </is>
      </c>
      <c r="B55" s="13" t="inlineStr">
        <is>
          <t>Note 6</t>
        </is>
      </c>
      <c r="C55" s="21" t="n">
        <v>650000</v>
      </c>
      <c r="D55" s="21" t="n">
        <v>350000</v>
      </c>
      <c r="E55" s="7" t="inlineStr">
        <is>
          <t>Financing Reclassification</t>
        </is>
      </c>
    </row>
    <row r="56">
      <c r="A56" s="6" t="inlineStr">
        <is>
          <t>Operating profit before working capital changes</t>
        </is>
      </c>
      <c r="B56" s="53" t="n"/>
      <c r="C56" s="21">
        <f>SUM(C51:C55)</f>
        <v/>
      </c>
      <c r="D56" s="21">
        <f>SUM(D51:D55)</f>
        <v/>
      </c>
      <c r="E56" s="7" t="inlineStr">
        <is>
          <t>TIED OUT</t>
        </is>
      </c>
    </row>
    <row r="57">
      <c r="A57" s="6" t="inlineStr">
        <is>
          <t>Working capital changes:</t>
        </is>
      </c>
      <c r="B57" s="53" t="n"/>
      <c r="C57" s="53" t="n"/>
      <c r="D57" s="53" t="n"/>
      <c r="E57" s="7" t="n"/>
    </row>
    <row r="58">
      <c r="A58" s="6" t="inlineStr">
        <is>
          <t xml:space="preserve">  - (Increase) in development inventories and WIP</t>
        </is>
      </c>
      <c r="B58" s="13" t="inlineStr">
        <is>
          <t>Note 8</t>
        </is>
      </c>
      <c r="C58" s="21" t="n">
        <v>-10500000</v>
      </c>
      <c r="D58" s="21" t="n">
        <v>-5150000</v>
      </c>
      <c r="E58" s="7" t="inlineStr">
        <is>
          <t>IAS 2 Inventory Delta</t>
        </is>
      </c>
    </row>
    <row r="59">
      <c r="A59" s="6" t="inlineStr">
        <is>
          <t xml:space="preserve">  - (Increase) in contract assets</t>
        </is>
      </c>
      <c r="B59" s="13" t="inlineStr">
        <is>
          <t>Note 9</t>
        </is>
      </c>
      <c r="C59" s="21" t="n">
        <v>-2700000</v>
      </c>
      <c r="D59" s="21" t="n">
        <v>-1750000</v>
      </c>
      <c r="E59" s="7" t="inlineStr">
        <is>
          <t>IFRS 15 Asset Delta</t>
        </is>
      </c>
    </row>
    <row r="60">
      <c r="A60" s="6" t="inlineStr">
        <is>
          <t xml:space="preserve">  - (Increase) in trade and other receivables</t>
        </is>
      </c>
      <c r="B60" s="13" t="inlineStr">
        <is>
          <t>Note 10</t>
        </is>
      </c>
      <c r="C60" s="21" t="n">
        <v>-6070000</v>
      </c>
      <c r="D60" s="21" t="n">
        <v>-3930000</v>
      </c>
      <c r="E60" s="7" t="inlineStr">
        <is>
          <t>Receivables Delta</t>
        </is>
      </c>
    </row>
    <row r="61">
      <c r="A61" s="6" t="inlineStr">
        <is>
          <t xml:space="preserve">  - Increase in trade and other payables</t>
        </is>
      </c>
      <c r="B61" s="13" t="inlineStr">
        <is>
          <t>Note 14</t>
        </is>
      </c>
      <c r="C61" s="21" t="n">
        <v>3158000</v>
      </c>
      <c r="D61" s="21" t="n">
        <v>2055265</v>
      </c>
      <c r="E61" s="7" t="inlineStr">
        <is>
          <t>Payables Delta</t>
        </is>
      </c>
    </row>
    <row r="62">
      <c r="A62" s="6" t="inlineStr">
        <is>
          <t xml:space="preserve">  - Increase in contract liabilities (advances)</t>
        </is>
      </c>
      <c r="B62" s="13" t="inlineStr">
        <is>
          <t>Note 13</t>
        </is>
      </c>
      <c r="C62" s="21" t="n">
        <v>2200000</v>
      </c>
      <c r="D62" s="21" t="n">
        <v>1200000</v>
      </c>
      <c r="E62" s="7" t="inlineStr">
        <is>
          <t>IFRS 15 Liability Delta</t>
        </is>
      </c>
    </row>
    <row r="63">
      <c r="A63" s="6" t="inlineStr">
        <is>
          <t>Cash generated from operations</t>
        </is>
      </c>
      <c r="B63" s="53" t="n"/>
      <c r="C63" s="21">
        <f>C56+SUM(C58:C62)</f>
        <v/>
      </c>
      <c r="D63" s="21">
        <f>D56+SUM(D58:D62)</f>
        <v/>
      </c>
      <c r="E63" s="7" t="inlineStr">
        <is>
          <t>TIED OUT</t>
        </is>
      </c>
    </row>
    <row r="64">
      <c r="A64" s="6" t="inlineStr">
        <is>
          <t xml:space="preserve">  - Income taxes paid</t>
        </is>
      </c>
      <c r="B64" s="13" t="inlineStr">
        <is>
          <t>Note 16</t>
        </is>
      </c>
      <c r="C64" s="21" t="n">
        <v>-4886630</v>
      </c>
      <c r="D64" s="21" t="n">
        <v>-2200000</v>
      </c>
      <c r="E64" s="7" t="inlineStr">
        <is>
          <t>Operating Tax Cash Flow</t>
        </is>
      </c>
    </row>
    <row r="65">
      <c r="A65" s="6" t="inlineStr">
        <is>
          <t xml:space="preserve">  - Interest paid on project facilities</t>
        </is>
      </c>
      <c r="B65" s="13" t="inlineStr">
        <is>
          <t>Note 6</t>
        </is>
      </c>
      <c r="C65" s="21" t="n">
        <v>-650000</v>
      </c>
      <c r="D65" s="21" t="n">
        <v>-350000</v>
      </c>
      <c r="E65" s="7" t="inlineStr">
        <is>
          <t>Operating Interest Cash Flow</t>
        </is>
      </c>
    </row>
    <row r="66">
      <c r="A66" s="8" t="inlineStr">
        <is>
          <t>Net cash flows from operating activities</t>
        </is>
      </c>
      <c r="B66" s="44" t="n"/>
      <c r="C66" s="17">
        <f>C63+C64+C65</f>
        <v/>
      </c>
      <c r="D66" s="17">
        <f>D63+D64+D65</f>
        <v/>
      </c>
      <c r="E66" s="10" t="inlineStr">
        <is>
          <t>TIED OUT</t>
        </is>
      </c>
    </row>
    <row r="67">
      <c r="A67" s="45" t="inlineStr">
        <is>
          <t>CASH FLOWS FROM INVESTING ACTIVITIES</t>
        </is>
      </c>
      <c r="B67" s="46" t="n"/>
      <c r="C67" s="46" t="n"/>
      <c r="D67" s="46" t="n"/>
      <c r="E67" s="54" t="n"/>
    </row>
    <row r="68">
      <c r="A68" s="6" t="inlineStr">
        <is>
          <t>Purchase of property, plant and equipment</t>
        </is>
      </c>
      <c r="B68" s="13" t="inlineStr">
        <is>
          <t>Note 7</t>
        </is>
      </c>
      <c r="C68" s="21" t="n">
        <v>-3600000</v>
      </c>
      <c r="D68" s="21" t="n">
        <v>-2700000</v>
      </c>
      <c r="E68" s="7" t="inlineStr">
        <is>
          <t>IAS 16 Cash Additions</t>
        </is>
      </c>
    </row>
    <row r="69">
      <c r="A69" s="8" t="inlineStr">
        <is>
          <t>Net cash flows used in investing activities</t>
        </is>
      </c>
      <c r="B69" s="44" t="n"/>
      <c r="C69" s="17">
        <f>C68</f>
        <v/>
      </c>
      <c r="D69" s="17">
        <f>D68</f>
        <v/>
      </c>
      <c r="E69" s="10" t="inlineStr">
        <is>
          <t>TIED OUT</t>
        </is>
      </c>
    </row>
    <row r="70">
      <c r="A70" s="45" t="inlineStr">
        <is>
          <t>CASH FLOWS FROM FINANCING ACTIVITIES</t>
        </is>
      </c>
      <c r="B70" s="46" t="n"/>
      <c r="C70" s="46" t="n"/>
      <c r="D70" s="46" t="n"/>
      <c r="E70" s="54" t="n"/>
    </row>
    <row r="71">
      <c r="A71" s="6" t="inlineStr">
        <is>
          <t>Proceeds from director's project loans</t>
        </is>
      </c>
      <c r="B71" s="13" t="inlineStr">
        <is>
          <t>Note 17</t>
        </is>
      </c>
      <c r="C71" s="21" t="n">
        <v>1700000</v>
      </c>
      <c r="D71" s="21" t="n">
        <v>1300000</v>
      </c>
      <c r="E71" s="7" t="inlineStr">
        <is>
          <t>IAS 24 Related Party</t>
        </is>
      </c>
    </row>
    <row r="72">
      <c r="A72" s="8" t="inlineStr">
        <is>
          <t>Net cash flows from financing activities</t>
        </is>
      </c>
      <c r="B72" s="44" t="n"/>
      <c r="C72" s="17">
        <f>C71</f>
        <v/>
      </c>
      <c r="D72" s="17">
        <f>D71</f>
        <v/>
      </c>
      <c r="E72" s="10" t="inlineStr">
        <is>
          <t>TIED OUT</t>
        </is>
      </c>
    </row>
    <row r="73">
      <c r="A73" s="6" t="inlineStr">
        <is>
          <t>Net increase in cash and cash equivalents</t>
        </is>
      </c>
      <c r="B73" s="53" t="n"/>
      <c r="C73" s="21">
        <f>C66+C69+C72</f>
        <v/>
      </c>
      <c r="D73" s="21">
        <f>D66+D69+D72</f>
        <v/>
      </c>
      <c r="E73" s="7" t="inlineStr">
        <is>
          <t>Net Annual Liquidity Delta</t>
        </is>
      </c>
    </row>
    <row r="74">
      <c r="A74" s="6" t="inlineStr">
        <is>
          <t>Cash and cash equivalents at 1 January</t>
        </is>
      </c>
      <c r="B74" s="13" t="inlineStr">
        <is>
          <t>Note 11</t>
        </is>
      </c>
      <c r="C74" s="21" t="n">
        <v>5142678</v>
      </c>
      <c r="D74" s="21" t="n">
        <v>2842403</v>
      </c>
      <c r="E74" s="7" t="inlineStr">
        <is>
          <t>Opening Cash B/F</t>
        </is>
      </c>
    </row>
    <row r="75">
      <c r="A75" s="23" t="inlineStr">
        <is>
          <t>CASH AND CASH EQUIVALENTS AT 31 DECEMBER</t>
        </is>
      </c>
      <c r="B75" s="37" t="inlineStr">
        <is>
          <t>Note 11</t>
        </is>
      </c>
      <c r="C75" s="24">
        <f>C73+C74</f>
        <v/>
      </c>
      <c r="D75" s="24">
        <f>D73+D74</f>
        <v/>
      </c>
      <c r="E75" s="55" t="inlineStr">
        <is>
          <t>TIED TO SFP NOTE 11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5" customWidth="1" min="1" max="1"/>
    <col width="45" customWidth="1" min="2" max="2"/>
    <col width="66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BAAY PROJECTS LIMITED — NOTES TO THE FINANCIAL STATEMENTS (FY 2025)</t>
        </is>
      </c>
    </row>
    <row r="2">
      <c r="A2" s="3" t="inlineStr">
        <is>
          <t>Numbered Notes 1 to 28 Supporting the Audited Financial Statements for the Year Ended 31 December 2025</t>
        </is>
      </c>
    </row>
    <row r="3"/>
    <row r="4">
      <c r="A4" s="4" t="inlineStr">
        <is>
          <t>Note #</t>
        </is>
      </c>
      <c r="B4" s="4" t="inlineStr">
        <is>
          <t>Note Description / Accounting Line</t>
        </is>
      </c>
      <c r="C4" s="4" t="inlineStr">
        <is>
          <t>Sub-Item Breakdown</t>
        </is>
      </c>
      <c r="D4" s="4" t="inlineStr">
        <is>
          <t>31 Dec 2025 (NGN)</t>
        </is>
      </c>
      <c r="E4" s="4" t="inlineStr">
        <is>
          <t>31 Dec 2024 (NGN)</t>
        </is>
      </c>
      <c r="F4" s="4" t="inlineStr">
        <is>
          <t>IFRS Standard / Disclosures</t>
        </is>
      </c>
    </row>
    <row r="5">
      <c r="A5" s="30" t="inlineStr">
        <is>
          <t>Note 1</t>
        </is>
      </c>
      <c r="B5" s="9" t="inlineStr">
        <is>
          <t>General Information</t>
        </is>
      </c>
      <c r="C5" s="9" t="inlineStr">
        <is>
          <t>Corporate Profile, RC 1526224, Registered in Nigeria under CAMA</t>
        </is>
      </c>
      <c r="D5" s="44" t="n"/>
      <c r="E5" s="44" t="n"/>
      <c r="F5" s="41" t="inlineStr">
        <is>
          <t>IAS 1.51</t>
        </is>
      </c>
    </row>
    <row r="6">
      <c r="A6" s="29" t="inlineStr">
        <is>
          <t>Note 2</t>
        </is>
      </c>
      <c r="B6" s="6" t="inlineStr">
        <is>
          <t>Basis of Preparation &amp; Accounting Policies</t>
        </is>
      </c>
      <c r="C6" s="6" t="inlineStr">
        <is>
          <t>Compliance with full IFRS, FRCN &amp; historical cost convention</t>
        </is>
      </c>
      <c r="D6" s="53" t="n"/>
      <c r="E6" s="53" t="n"/>
      <c r="F6" s="40" t="inlineStr">
        <is>
          <t>IAS 1.112</t>
        </is>
      </c>
    </row>
    <row r="7">
      <c r="A7" s="30" t="inlineStr">
        <is>
          <t>Note 3</t>
        </is>
      </c>
      <c r="B7" s="9" t="inlineStr">
        <is>
          <t>Revenue from Contracts with Customers</t>
        </is>
      </c>
      <c r="C7" s="9" t="inlineStr">
        <is>
          <t>Civil Engineering &amp; Building Construction Contracts</t>
        </is>
      </c>
      <c r="D7" s="22" t="n">
        <v>68000000</v>
      </c>
      <c r="E7" s="22" t="n">
        <v>38000000</v>
      </c>
      <c r="F7" s="41" t="inlineStr">
        <is>
          <t>IFRS 15 Over Time</t>
        </is>
      </c>
    </row>
    <row r="8">
      <c r="A8" s="29" t="inlineStr">
        <is>
          <t>Note 3</t>
        </is>
      </c>
      <c r="B8" s="6" t="inlineStr">
        <is>
          <t>Revenue from Contracts with Customers</t>
        </is>
      </c>
      <c r="C8" s="6" t="inlineStr">
        <is>
          <t>Land Subdivision &amp; Serviced Plot Resale</t>
        </is>
      </c>
      <c r="D8" s="21" t="n">
        <v>32500000</v>
      </c>
      <c r="E8" s="21" t="n">
        <v>19500000</v>
      </c>
      <c r="F8" s="40" t="inlineStr">
        <is>
          <t>IFRS 15 Point in Time</t>
        </is>
      </c>
    </row>
    <row r="9">
      <c r="A9" s="30" t="inlineStr">
        <is>
          <t>Note 3</t>
        </is>
      </c>
      <c r="B9" s="9" t="inlineStr">
        <is>
          <t>Revenue from Contracts with Customers</t>
        </is>
      </c>
      <c r="C9" s="9" t="inlineStr">
        <is>
          <t>Project Management &amp; Engineering Consulting Services</t>
        </is>
      </c>
      <c r="D9" s="22" t="n">
        <v>12000000</v>
      </c>
      <c r="E9" s="22" t="n">
        <v>6700000</v>
      </c>
      <c r="F9" s="41" t="inlineStr">
        <is>
          <t>IFRS 15 Over Time</t>
        </is>
      </c>
    </row>
    <row r="10">
      <c r="A10" s="43" t="inlineStr">
        <is>
          <t>Note 3</t>
        </is>
      </c>
      <c r="B10" s="23" t="inlineStr">
        <is>
          <t>TOTAL REVENUE</t>
        </is>
      </c>
      <c r="C10" s="23" t="inlineStr">
        <is>
          <t>Gross Statutory Turnover</t>
        </is>
      </c>
      <c r="D10" s="24">
        <f>SUM(D7:D9)</f>
        <v/>
      </c>
      <c r="E10" s="24">
        <f>SUM(E7:E9)</f>
        <v/>
      </c>
      <c r="F10" s="26" t="inlineStr">
        <is>
          <t>TIED TO SPLOCI</t>
        </is>
      </c>
    </row>
    <row r="11">
      <c r="A11" s="30" t="inlineStr">
        <is>
          <t>Note 4</t>
        </is>
      </c>
      <c r="B11" s="9" t="inlineStr">
        <is>
          <t>Cost of Sales</t>
        </is>
      </c>
      <c r="C11" s="9" t="inlineStr">
        <is>
          <t>Construction Materials &amp; Subcontracting Services</t>
        </is>
      </c>
      <c r="D11" s="22" t="n">
        <v>45600000</v>
      </c>
      <c r="E11" s="22" t="n">
        <v>26400000</v>
      </c>
      <c r="F11" s="41" t="inlineStr">
        <is>
          <t>IAS 2 Direct Materials</t>
        </is>
      </c>
    </row>
    <row r="12">
      <c r="A12" s="29" t="inlineStr">
        <is>
          <t>Note 4</t>
        </is>
      </c>
      <c r="B12" s="6" t="inlineStr">
        <is>
          <t>Cost of Sales</t>
        </is>
      </c>
      <c r="C12" s="6" t="inlineStr">
        <is>
          <t>Land Inventory Released on Sold Plots</t>
        </is>
      </c>
      <c r="D12" s="21" t="n">
        <v>21400000</v>
      </c>
      <c r="E12" s="21" t="n">
        <v>11800000</v>
      </c>
      <c r="F12" s="40" t="inlineStr">
        <is>
          <t>IAS 2 Inventory Cost</t>
        </is>
      </c>
    </row>
    <row r="13">
      <c r="A13" s="30" t="inlineStr">
        <is>
          <t>Note 4</t>
        </is>
      </c>
      <c r="B13" s="9" t="inlineStr">
        <is>
          <t>Cost of Sales</t>
        </is>
      </c>
      <c r="C13" s="9" t="inlineStr">
        <is>
          <t>Direct Site Labor &amp; Heavy Equipment Rentals</t>
        </is>
      </c>
      <c r="D13" s="22" t="n">
        <v>5800000</v>
      </c>
      <c r="E13" s="22" t="n">
        <v>3300000</v>
      </c>
      <c r="F13" s="41" t="inlineStr">
        <is>
          <t>IAS 2 Direct Labor</t>
        </is>
      </c>
    </row>
    <row r="14">
      <c r="A14" s="43" t="inlineStr">
        <is>
          <t>Note 4</t>
        </is>
      </c>
      <c r="B14" s="23" t="inlineStr">
        <is>
          <t>TOTAL COST OF SALES</t>
        </is>
      </c>
      <c r="C14" s="23" t="inlineStr">
        <is>
          <t>Direct Contract &amp; Property Costs</t>
        </is>
      </c>
      <c r="D14" s="24">
        <f>SUM(D11:D13)</f>
        <v/>
      </c>
      <c r="E14" s="24">
        <f>SUM(E11:E13)</f>
        <v/>
      </c>
      <c r="F14" s="26" t="inlineStr">
        <is>
          <t>TIED TO SPLOCI</t>
        </is>
      </c>
    </row>
    <row r="15">
      <c r="A15" s="30" t="inlineStr">
        <is>
          <t>Note 5</t>
        </is>
      </c>
      <c r="B15" s="9" t="inlineStr">
        <is>
          <t>Administrative &amp; Operating Expenses</t>
        </is>
      </c>
      <c r="C15" s="9" t="inlineStr">
        <is>
          <t>Staff Salaries, Wages &amp; Allowances</t>
        </is>
      </c>
      <c r="D15" s="22" t="n">
        <v>7200000</v>
      </c>
      <c r="E15" s="22" t="n">
        <v>4200000</v>
      </c>
      <c r="F15" s="41" t="inlineStr">
        <is>
          <t>IAS 19 Employee Costs</t>
        </is>
      </c>
    </row>
    <row r="16">
      <c r="A16" s="29" t="inlineStr">
        <is>
          <t>Note 5</t>
        </is>
      </c>
      <c r="B16" s="6" t="inlineStr">
        <is>
          <t>Administrative &amp; Operating Expenses</t>
        </is>
      </c>
      <c r="C16" s="6" t="inlineStr">
        <is>
          <t>Site Office Rent &amp; Facility Maintenance</t>
        </is>
      </c>
      <c r="D16" s="21" t="n">
        <v>2400000</v>
      </c>
      <c r="E16" s="21" t="n">
        <v>1450000</v>
      </c>
      <c r="F16" s="40" t="inlineStr">
        <is>
          <t>Operating Overheads</t>
        </is>
      </c>
    </row>
    <row r="17">
      <c r="A17" s="30" t="inlineStr">
        <is>
          <t>Note 5</t>
        </is>
      </c>
      <c r="B17" s="9" t="inlineStr">
        <is>
          <t>Administrative &amp; Operating Expenses</t>
        </is>
      </c>
      <c r="C17" s="9" t="inlineStr">
        <is>
          <t>Professional, Legal &amp; Regulatory Compliance Fees</t>
        </is>
      </c>
      <c r="D17" s="22" t="n">
        <v>1650000</v>
      </c>
      <c r="E17" s="22" t="n">
        <v>980000</v>
      </c>
      <c r="F17" s="41" t="inlineStr">
        <is>
          <t>Professional Services</t>
        </is>
      </c>
    </row>
    <row r="18">
      <c r="A18" s="29" t="inlineStr">
        <is>
          <t>Note 5</t>
        </is>
      </c>
      <c r="B18" s="6" t="inlineStr">
        <is>
          <t>Administrative &amp; Operating Expenses</t>
        </is>
      </c>
      <c r="C18" s="6" t="inlineStr">
        <is>
          <t>Statutory Audit &amp; Tax Advisory Fees</t>
        </is>
      </c>
      <c r="D18" s="21" t="n">
        <v>650000</v>
      </c>
      <c r="E18" s="21" t="n">
        <v>450000</v>
      </c>
      <c r="F18" s="40" t="inlineStr">
        <is>
          <t>Audit Fees Accrual</t>
        </is>
      </c>
    </row>
    <row r="19">
      <c r="A19" s="30" t="inlineStr">
        <is>
          <t>Note 5</t>
        </is>
      </c>
      <c r="B19" s="9" t="inlineStr">
        <is>
          <t>Administrative &amp; Operating Expenses</t>
        </is>
      </c>
      <c r="C19" s="9" t="inlineStr">
        <is>
          <t>Bank Charges, Commission on Turnover &amp; Electronic Levies</t>
        </is>
      </c>
      <c r="D19" s="22" t="n">
        <v>680000</v>
      </c>
      <c r="E19" s="22" t="n">
        <v>420000</v>
      </c>
      <c r="F19" s="41" t="inlineStr">
        <is>
          <t>Financial Services</t>
        </is>
      </c>
    </row>
    <row r="20">
      <c r="A20" s="29" t="inlineStr">
        <is>
          <t>Note 5</t>
        </is>
      </c>
      <c r="B20" s="6" t="inlineStr">
        <is>
          <t>Administrative &amp; Operating Expenses</t>
        </is>
      </c>
      <c r="C20" s="6" t="inlineStr">
        <is>
          <t>Motor Vehicle Fuel, Maintenance &amp; Site Logistics</t>
        </is>
      </c>
      <c r="D20" s="21" t="n">
        <v>1250000</v>
      </c>
      <c r="E20" s="21" t="n">
        <v>750000</v>
      </c>
      <c r="F20" s="40" t="inlineStr">
        <is>
          <t>Transport &amp; Travel</t>
        </is>
      </c>
    </row>
    <row r="21">
      <c r="A21" s="30" t="inlineStr">
        <is>
          <t>Note 5</t>
        </is>
      </c>
      <c r="B21" s="9" t="inlineStr">
        <is>
          <t>Administrative &amp; Operating Expenses</t>
        </is>
      </c>
      <c r="C21" s="9" t="inlineStr">
        <is>
          <t>Depreciation of Property, Plant &amp; Equipment</t>
        </is>
      </c>
      <c r="D21" s="22" t="n">
        <v>1285000</v>
      </c>
      <c r="E21" s="22" t="n">
        <v>715000</v>
      </c>
      <c r="F21" s="41" t="inlineStr">
        <is>
          <t>IAS 16 Depreciation</t>
        </is>
      </c>
    </row>
    <row r="22">
      <c r="A22" s="29" t="inlineStr">
        <is>
          <t>Note 5</t>
        </is>
      </c>
      <c r="B22" s="6" t="inlineStr">
        <is>
          <t>Administrative &amp; Operating Expenses</t>
        </is>
      </c>
      <c r="C22" s="6" t="inlineStr">
        <is>
          <t>IFRS 9 Expected Credit Loss Allowance on Receivables</t>
        </is>
      </c>
      <c r="D22" s="21" t="n">
        <v>395000</v>
      </c>
      <c r="E22" s="21" t="n">
        <v>260000</v>
      </c>
      <c r="F22" s="40" t="inlineStr">
        <is>
          <t>IFRS 9 Impairment</t>
        </is>
      </c>
    </row>
    <row r="23">
      <c r="A23" s="30" t="inlineStr">
        <is>
          <t>Note 5</t>
        </is>
      </c>
      <c r="B23" s="9" t="inlineStr">
        <is>
          <t>Administrative &amp; Operating Expenses</t>
        </is>
      </c>
      <c r="C23" s="9" t="inlineStr">
        <is>
          <t>General Office Administration, Security &amp; Utilities</t>
        </is>
      </c>
      <c r="D23" s="22" t="n">
        <v>940000</v>
      </c>
      <c r="E23" s="22" t="n">
        <v>625000</v>
      </c>
      <c r="F23" s="41" t="inlineStr">
        <is>
          <t>General Administration</t>
        </is>
      </c>
    </row>
    <row r="24">
      <c r="A24" s="43" t="inlineStr">
        <is>
          <t>Note 5</t>
        </is>
      </c>
      <c r="B24" s="23" t="inlineStr">
        <is>
          <t>TOTAL ADMINISTRATIVE EXPENSES</t>
        </is>
      </c>
      <c r="C24" s="23" t="inlineStr">
        <is>
          <t>Operating Overheads</t>
        </is>
      </c>
      <c r="D24" s="24">
        <f>SUM(D15:D23)</f>
        <v/>
      </c>
      <c r="E24" s="24">
        <f>SUM(E15:E23)</f>
        <v/>
      </c>
      <c r="F24" s="26" t="inlineStr">
        <is>
          <t>TIED TO SPLOCI</t>
        </is>
      </c>
    </row>
    <row r="25">
      <c r="A25" s="30" t="inlineStr">
        <is>
          <t>Note 6</t>
        </is>
      </c>
      <c r="B25" s="9" t="inlineStr">
        <is>
          <t>Finance Costs</t>
        </is>
      </c>
      <c r="C25" s="9" t="inlineStr">
        <is>
          <t>Interest Expense on Bank Project Facility</t>
        </is>
      </c>
      <c r="D25" s="22" t="n">
        <v>650000</v>
      </c>
      <c r="E25" s="22" t="n">
        <v>350000</v>
      </c>
      <c r="F25" s="41" t="inlineStr">
        <is>
          <t>IAS 23 Borrowing Costs</t>
        </is>
      </c>
    </row>
    <row r="26">
      <c r="A26" s="43" t="inlineStr">
        <is>
          <t>Note 6</t>
        </is>
      </c>
      <c r="B26" s="23" t="inlineStr">
        <is>
          <t>TOTAL FINANCE COSTS</t>
        </is>
      </c>
      <c r="C26" s="23" t="inlineStr">
        <is>
          <t>Net Finance Expense</t>
        </is>
      </c>
      <c r="D26" s="24">
        <f>D25</f>
        <v/>
      </c>
      <c r="E26" s="24">
        <f>E25</f>
        <v/>
      </c>
      <c r="F26" s="26" t="inlineStr">
        <is>
          <t>TIED TO SPLOCI</t>
        </is>
      </c>
    </row>
    <row r="27">
      <c r="A27" s="30" t="inlineStr">
        <is>
          <t>Note 7</t>
        </is>
      </c>
      <c r="B27" s="9" t="inlineStr">
        <is>
          <t>Property, Plant and Equipment</t>
        </is>
      </c>
      <c r="C27" s="9" t="inlineStr">
        <is>
          <t>Office &amp; Site Equipment Net Book Value</t>
        </is>
      </c>
      <c r="D27" s="22" t="n">
        <v>799540</v>
      </c>
      <c r="E27" s="22" t="n">
        <v>1047040</v>
      </c>
      <c r="F27" s="41" t="inlineStr">
        <is>
          <t>IAS 16 Carrying Amount</t>
        </is>
      </c>
    </row>
    <row r="28">
      <c r="A28" s="29" t="inlineStr">
        <is>
          <t>Note 7</t>
        </is>
      </c>
      <c r="B28" s="6" t="inlineStr">
        <is>
          <t>Property, Plant and Equipment</t>
        </is>
      </c>
      <c r="C28" s="6" t="inlineStr">
        <is>
          <t>Motor &amp; Project Vehicles Net Book Value</t>
        </is>
      </c>
      <c r="D28" s="21" t="n">
        <v>1687500</v>
      </c>
      <c r="E28" s="21" t="n">
        <v>2362500</v>
      </c>
      <c r="F28" s="40" t="inlineStr">
        <is>
          <t>IAS 16 Carrying Amount</t>
        </is>
      </c>
    </row>
    <row r="29">
      <c r="A29" s="30" t="inlineStr">
        <is>
          <t>Note 7</t>
        </is>
      </c>
      <c r="B29" s="9" t="inlineStr">
        <is>
          <t>Property, Plant and Equipment</t>
        </is>
      </c>
      <c r="C29" s="9" t="inlineStr">
        <is>
          <t>Plant &amp; Heavy Machinery Net Book Value</t>
        </is>
      </c>
      <c r="D29" s="22" t="n">
        <v>3237500</v>
      </c>
      <c r="E29" s="22" t="n">
        <v>0</v>
      </c>
      <c r="F29" s="41" t="inlineStr">
        <is>
          <t>IAS 16 Carrying Amount</t>
        </is>
      </c>
    </row>
    <row r="30">
      <c r="A30" s="43" t="inlineStr">
        <is>
          <t>Note 7</t>
        </is>
      </c>
      <c r="B30" s="23" t="inlineStr">
        <is>
          <t>TOTAL PROPERTY, PLANT AND EQUIPMENT</t>
        </is>
      </c>
      <c r="C30" s="23" t="inlineStr">
        <is>
          <t>Gross Cost ₦8,123,850 less Acc Dep ₦2,399,310</t>
        </is>
      </c>
      <c r="D30" s="24">
        <f>SUM(D27:D29)</f>
        <v/>
      </c>
      <c r="E30" s="24">
        <f>SUM(E27:E29)</f>
        <v/>
      </c>
      <c r="F30" s="26" t="inlineStr">
        <is>
          <t>TIED TO SFP</t>
        </is>
      </c>
    </row>
    <row r="31">
      <c r="A31" s="30" t="inlineStr">
        <is>
          <t>Note 8</t>
        </is>
      </c>
      <c r="B31" s="9" t="inlineStr">
        <is>
          <t>Inventories</t>
        </is>
      </c>
      <c r="C31" s="9" t="inlineStr">
        <is>
          <t>Land Held for Resale (Epe &amp; Ibeju Schemes)</t>
        </is>
      </c>
      <c r="D31" s="22" t="n">
        <v>14500000</v>
      </c>
      <c r="E31" s="22" t="n">
        <v>8200000</v>
      </c>
      <c r="F31" s="41" t="inlineStr">
        <is>
          <t>IAS 2 Lower of Cost/NRV</t>
        </is>
      </c>
    </row>
    <row r="32">
      <c r="A32" s="29" t="inlineStr">
        <is>
          <t>Note 8</t>
        </is>
      </c>
      <c r="B32" s="6" t="inlineStr">
        <is>
          <t>Inventories</t>
        </is>
      </c>
      <c r="C32" s="6" t="inlineStr">
        <is>
          <t>Construction Work-in-Progress (Lekki &amp; VI Projects)</t>
        </is>
      </c>
      <c r="D32" s="21" t="n">
        <v>9800000</v>
      </c>
      <c r="E32" s="21" t="n">
        <v>5600000</v>
      </c>
      <c r="F32" s="40" t="inlineStr">
        <is>
          <t>IAS 2 Lower of Cost/NRV</t>
        </is>
      </c>
    </row>
    <row r="33">
      <c r="A33" s="43" t="inlineStr">
        <is>
          <t>Note 8</t>
        </is>
      </c>
      <c r="B33" s="23" t="inlineStr">
        <is>
          <t>TOTAL INVENTORIES</t>
        </is>
      </c>
      <c r="C33" s="23" t="inlineStr">
        <is>
          <t>Development Land &amp; WIP</t>
        </is>
      </c>
      <c r="D33" s="24">
        <f>SUM(D31:D32)</f>
        <v/>
      </c>
      <c r="E33" s="24">
        <f>SUM(E31:E32)</f>
        <v/>
      </c>
      <c r="F33" s="26" t="inlineStr">
        <is>
          <t>TIED TO SFP</t>
        </is>
      </c>
    </row>
    <row r="34">
      <c r="A34" s="29" t="inlineStr">
        <is>
          <t>Note 9</t>
        </is>
      </c>
      <c r="B34" s="6" t="inlineStr">
        <is>
          <t>Contract Assets</t>
        </is>
      </c>
      <c r="C34" s="6" t="inlineStr">
        <is>
          <t>Unbilled Certified Construction Revenue</t>
        </is>
      </c>
      <c r="D34" s="21" t="n">
        <v>6850000</v>
      </c>
      <c r="E34" s="21" t="n">
        <v>4150000</v>
      </c>
      <c r="F34" s="40" t="inlineStr">
        <is>
          <t>IFRS 15 Unbilled Asset</t>
        </is>
      </c>
    </row>
    <row r="35">
      <c r="A35" s="43" t="inlineStr">
        <is>
          <t>Note 9</t>
        </is>
      </c>
      <c r="B35" s="23" t="inlineStr">
        <is>
          <t>TOTAL CONTRACT ASSETS</t>
        </is>
      </c>
      <c r="C35" s="23" t="inlineStr">
        <is>
          <t>Net Contract Assets</t>
        </is>
      </c>
      <c r="D35" s="24">
        <f>D34</f>
        <v/>
      </c>
      <c r="E35" s="24">
        <f>E34</f>
        <v/>
      </c>
      <c r="F35" s="26" t="inlineStr">
        <is>
          <t>TIED TO SFP</t>
        </is>
      </c>
    </row>
    <row r="36">
      <c r="A36" s="29" t="inlineStr">
        <is>
          <t>Note 10</t>
        </is>
      </c>
      <c r="B36" s="6" t="inlineStr">
        <is>
          <t>Trade and Other Receivables</t>
        </is>
      </c>
      <c r="C36" s="6" t="inlineStr">
        <is>
          <t>Gross Trade Receivables from Clients</t>
        </is>
      </c>
      <c r="D36" s="21" t="n">
        <v>9200000</v>
      </c>
      <c r="E36" s="21" t="n">
        <v>5800000</v>
      </c>
      <c r="F36" s="40" t="inlineStr">
        <is>
          <t>Amortized Cost</t>
        </is>
      </c>
    </row>
    <row r="37">
      <c r="A37" s="30" t="inlineStr">
        <is>
          <t>Note 10</t>
        </is>
      </c>
      <c r="B37" s="9" t="inlineStr">
        <is>
          <t>Trade and Other Receivables</t>
        </is>
      </c>
      <c r="C37" s="9" t="inlineStr">
        <is>
          <t>Less: Allowance for Expected Credit Losses (IFRS 9)</t>
        </is>
      </c>
      <c r="D37" s="22" t="n">
        <v>-840000</v>
      </c>
      <c r="E37" s="22" t="n">
        <v>-445000</v>
      </c>
      <c r="F37" s="41" t="inlineStr">
        <is>
          <t>IFRS 9 ECL Provision</t>
        </is>
      </c>
    </row>
    <row r="38">
      <c r="A38" s="29" t="inlineStr">
        <is>
          <t>Note 10</t>
        </is>
      </c>
      <c r="B38" s="6" t="inlineStr">
        <is>
          <t>Trade and Other Receivables</t>
        </is>
      </c>
      <c r="C38" s="6" t="inlineStr">
        <is>
          <t>Withholding Tax (WHT) Credit Notes Receivable</t>
        </is>
      </c>
      <c r="D38" s="21" t="n">
        <v>4850000</v>
      </c>
      <c r="E38" s="21" t="n">
        <v>2650000</v>
      </c>
      <c r="F38" s="40" t="inlineStr">
        <is>
          <t>FIRS Credit Notes</t>
        </is>
      </c>
    </row>
    <row r="39">
      <c r="A39" s="30" t="inlineStr">
        <is>
          <t>Note 10</t>
        </is>
      </c>
      <c r="B39" s="9" t="inlineStr">
        <is>
          <t>Trade and Other Receivables</t>
        </is>
      </c>
      <c r="C39" s="9" t="inlineStr">
        <is>
          <t>Prepayments &amp; Site Advances to Suppliers</t>
        </is>
      </c>
      <c r="D39" s="22" t="n">
        <v>1150000</v>
      </c>
      <c r="E39" s="22" t="n">
        <v>680000</v>
      </c>
      <c r="F39" s="41" t="inlineStr">
        <is>
          <t>Operating Prepayments</t>
        </is>
      </c>
    </row>
    <row r="40">
      <c r="A40" s="43" t="inlineStr">
        <is>
          <t>Note 10</t>
        </is>
      </c>
      <c r="B40" s="23" t="inlineStr">
        <is>
          <t>TOTAL TRADE AND OTHER RECEIVABLES</t>
        </is>
      </c>
      <c r="C40" s="23" t="inlineStr">
        <is>
          <t>Net Trade &amp; Other Receivables</t>
        </is>
      </c>
      <c r="D40" s="24">
        <f>SUM(D36:D39)</f>
        <v/>
      </c>
      <c r="E40" s="24">
        <f>SUM(E36:E39)</f>
        <v/>
      </c>
      <c r="F40" s="26" t="inlineStr">
        <is>
          <t>TIED TO SFP</t>
        </is>
      </c>
    </row>
    <row r="41">
      <c r="A41" s="30" t="inlineStr">
        <is>
          <t>Note 11</t>
        </is>
      </c>
      <c r="B41" s="9" t="inlineStr">
        <is>
          <t>Cash and Cash Equivalents</t>
        </is>
      </c>
      <c r="C41" s="9" t="inlineStr">
        <is>
          <t>Providus Bank Plc (A/C 5400281942)</t>
        </is>
      </c>
      <c r="D41" s="22" t="n">
        <v>6420110</v>
      </c>
      <c r="E41" s="22" t="n">
        <v>3850210</v>
      </c>
      <c r="F41" s="41" t="inlineStr">
        <is>
          <t>Primary Operating A/C</t>
        </is>
      </c>
    </row>
    <row r="42">
      <c r="A42" s="29" t="inlineStr">
        <is>
          <t>Note 11</t>
        </is>
      </c>
      <c r="B42" s="6" t="inlineStr">
        <is>
          <t>Cash and Cash Equivalents</t>
        </is>
      </c>
      <c r="C42" s="6" t="inlineStr">
        <is>
          <t>First Bank of Nigeria Limited (A/C 2034891102)</t>
        </is>
      </c>
      <c r="D42" s="21" t="n">
        <v>1840550</v>
      </c>
      <c r="E42" s="21" t="n">
        <v>980118</v>
      </c>
      <c r="F42" s="40" t="inlineStr">
        <is>
          <t>Site Collection A/C</t>
        </is>
      </c>
    </row>
    <row r="43">
      <c r="A43" s="30" t="inlineStr">
        <is>
          <t>Note 11</t>
        </is>
      </c>
      <c r="B43" s="9" t="inlineStr">
        <is>
          <t>Cash and Cash Equivalents</t>
        </is>
      </c>
      <c r="C43" s="9" t="inlineStr">
        <is>
          <t>Sterling Bank Plc (A/C 0078451290)</t>
        </is>
      </c>
      <c r="D43" s="22" t="n">
        <v>663388</v>
      </c>
      <c r="E43" s="22" t="n">
        <v>312350</v>
      </c>
      <c r="F43" s="41" t="inlineStr">
        <is>
          <t>Disbursement A/C</t>
        </is>
      </c>
    </row>
    <row r="44">
      <c r="A44" s="43" t="inlineStr">
        <is>
          <t>Note 11</t>
        </is>
      </c>
      <c r="B44" s="23" t="inlineStr">
        <is>
          <t>TOTAL CASH AND CASH EQUIVALENTS</t>
        </is>
      </c>
      <c r="C44" s="23" t="inlineStr">
        <is>
          <t>Reconciled Cash Balances</t>
        </is>
      </c>
      <c r="D44" s="24">
        <f>SUM(D41:D43)</f>
        <v/>
      </c>
      <c r="E44" s="24">
        <f>SUM(E41:E43)</f>
        <v/>
      </c>
      <c r="F44" s="26" t="inlineStr">
        <is>
          <t>TIED TO SFP</t>
        </is>
      </c>
    </row>
    <row r="45">
      <c r="A45" s="30" t="inlineStr">
        <is>
          <t>Note 13</t>
        </is>
      </c>
      <c r="B45" s="9" t="inlineStr">
        <is>
          <t>Contract Liabilities</t>
        </is>
      </c>
      <c r="C45" s="9" t="inlineStr">
        <is>
          <t>Customer Mobilization Advances &amp; Off-Plan Deposits</t>
        </is>
      </c>
      <c r="D45" s="22" t="n">
        <v>5800000</v>
      </c>
      <c r="E45" s="22" t="n">
        <v>3600000</v>
      </c>
      <c r="F45" s="41" t="inlineStr">
        <is>
          <t>IFRS 15 Advances</t>
        </is>
      </c>
    </row>
    <row r="46">
      <c r="A46" s="43" t="inlineStr">
        <is>
          <t>Note 13</t>
        </is>
      </c>
      <c r="B46" s="23" t="inlineStr">
        <is>
          <t>TOTAL CONTRACT LIABILITIES</t>
        </is>
      </c>
      <c r="C46" s="23" t="inlineStr">
        <is>
          <t>Performance Obligations Due</t>
        </is>
      </c>
      <c r="D46" s="24">
        <f>D45</f>
        <v/>
      </c>
      <c r="E46" s="24">
        <f>E45</f>
        <v/>
      </c>
      <c r="F46" s="26" t="inlineStr">
        <is>
          <t>TIED TO SFP</t>
        </is>
      </c>
    </row>
    <row r="47">
      <c r="A47" s="30" t="inlineStr">
        <is>
          <t>Note 14</t>
        </is>
      </c>
      <c r="B47" s="9" t="inlineStr">
        <is>
          <t>Trade and Other Payables</t>
        </is>
      </c>
      <c r="C47" s="9" t="inlineStr">
        <is>
          <t>Trade Payables - Subcontractors &amp; Materials</t>
        </is>
      </c>
      <c r="D47" s="22" t="n">
        <v>6450000</v>
      </c>
      <c r="E47" s="22" t="n">
        <v>3850000</v>
      </c>
      <c r="F47" s="41" t="inlineStr">
        <is>
          <t>Trade Creditors</t>
        </is>
      </c>
    </row>
    <row r="48">
      <c r="A48" s="29" t="inlineStr">
        <is>
          <t>Note 14</t>
        </is>
      </c>
      <c r="B48" s="6" t="inlineStr">
        <is>
          <t>Trade and Other Payables</t>
        </is>
      </c>
      <c r="C48" s="6" t="inlineStr">
        <is>
          <t>Accrued Statutory Audit &amp; Professional Fees</t>
        </is>
      </c>
      <c r="D48" s="21" t="n">
        <v>850000</v>
      </c>
      <c r="E48" s="21" t="n">
        <v>550000</v>
      </c>
      <c r="F48" s="40" t="inlineStr">
        <is>
          <t>Audit Accrual</t>
        </is>
      </c>
    </row>
    <row r="49">
      <c r="A49" s="30" t="inlineStr">
        <is>
          <t>Note 14</t>
        </is>
      </c>
      <c r="B49" s="9" t="inlineStr">
        <is>
          <t>Trade and Other Payables</t>
        </is>
      </c>
      <c r="C49" s="9" t="inlineStr">
        <is>
          <t>Other Accrued Operating Expenses &amp; Sundry Creditors</t>
        </is>
      </c>
      <c r="D49" s="22" t="n">
        <v>683500</v>
      </c>
      <c r="E49" s="22" t="n">
        <v>425500</v>
      </c>
      <c r="F49" s="41" t="inlineStr">
        <is>
          <t>Sundry Accruals</t>
        </is>
      </c>
    </row>
    <row r="50">
      <c r="A50" s="43" t="inlineStr">
        <is>
          <t>Note 14</t>
        </is>
      </c>
      <c r="B50" s="23" t="inlineStr">
        <is>
          <t>TOTAL TRADE AND OTHER PAYABLES</t>
        </is>
      </c>
      <c r="C50" s="23" t="inlineStr">
        <is>
          <t>Current Operating Liabilities</t>
        </is>
      </c>
      <c r="D50" s="24">
        <f>SUM(D47:D49)</f>
        <v/>
      </c>
      <c r="E50" s="24">
        <f>SUM(E47:E49)</f>
        <v/>
      </c>
      <c r="F50" s="26" t="inlineStr">
        <is>
          <t>TIED TO SFP</t>
        </is>
      </c>
    </row>
    <row r="51">
      <c r="A51" s="30" t="inlineStr">
        <is>
          <t>Note 15</t>
        </is>
      </c>
      <c r="B51" s="9" t="inlineStr">
        <is>
          <t>Deferred Taxation</t>
        </is>
      </c>
      <c r="C51" s="9" t="inlineStr">
        <is>
          <t>Deferred Tax Asset / (Liability) Closing Balance</t>
        </is>
      </c>
      <c r="D51" s="22" t="n">
        <v>-98500</v>
      </c>
      <c r="E51" s="22" t="n">
        <v>-16000</v>
      </c>
      <c r="F51" s="41" t="inlineStr">
        <is>
          <t>IAS 12 Net Liability</t>
        </is>
      </c>
    </row>
    <row r="52">
      <c r="A52" s="43" t="inlineStr">
        <is>
          <t>Note 15</t>
        </is>
      </c>
      <c r="B52" s="23" t="inlineStr">
        <is>
          <t>TOTAL DEFERRED TAXATION</t>
        </is>
      </c>
      <c r="C52" s="23" t="inlineStr">
        <is>
          <t>Recognized in Statement of Financial Position</t>
        </is>
      </c>
      <c r="D52" s="24">
        <f>D51</f>
        <v/>
      </c>
      <c r="E52" s="24">
        <f>E51</f>
        <v/>
      </c>
      <c r="F52" s="26" t="inlineStr">
        <is>
          <t>TIED TO SFP</t>
        </is>
      </c>
    </row>
    <row r="53">
      <c r="A53" s="30" t="inlineStr">
        <is>
          <t>Note 16</t>
        </is>
      </c>
      <c r="B53" s="9" t="inlineStr">
        <is>
          <t>Current Taxation</t>
        </is>
      </c>
      <c r="C53" s="9" t="inlineStr">
        <is>
          <t>Companies Income Tax (CIT) Provision</t>
        </is>
      </c>
      <c r="D53" s="22" t="n">
        <v>6825000</v>
      </c>
      <c r="E53" s="22" t="n">
        <v>2528000</v>
      </c>
      <c r="F53" s="41" t="inlineStr">
        <is>
          <t>30% CIT Large Co</t>
        </is>
      </c>
    </row>
    <row r="54">
      <c r="A54" s="29" t="inlineStr">
        <is>
          <t>Note 16</t>
        </is>
      </c>
      <c r="B54" s="6" t="inlineStr">
        <is>
          <t>Current Taxation</t>
        </is>
      </c>
      <c r="C54" s="6" t="inlineStr">
        <is>
          <t>Tertiary Education Tax (TET) Provision</t>
        </is>
      </c>
      <c r="D54" s="21" t="n">
        <v>735000</v>
      </c>
      <c r="E54" s="21" t="n">
        <v>408600</v>
      </c>
      <c r="F54" s="40" t="inlineStr">
        <is>
          <t>3% TETFA Rate</t>
        </is>
      </c>
    </row>
    <row r="55">
      <c r="A55" s="30" t="inlineStr">
        <is>
          <t>Note 16</t>
        </is>
      </c>
      <c r="B55" s="9" t="inlineStr">
        <is>
          <t>Current Taxation</t>
        </is>
      </c>
      <c r="C55" s="9" t="inlineStr">
        <is>
          <t>Police Trust Fund (PTF) Levy Provision</t>
        </is>
      </c>
      <c r="D55" s="22" t="n">
        <v>1130</v>
      </c>
      <c r="E55" s="22" t="n">
        <v>625</v>
      </c>
      <c r="F55" s="41" t="inlineStr">
        <is>
          <t>0.005% of PBT</t>
        </is>
      </c>
    </row>
    <row r="56">
      <c r="A56" s="29" t="inlineStr">
        <is>
          <t>Note 16</t>
        </is>
      </c>
      <c r="B56" s="6" t="inlineStr">
        <is>
          <t>Current Taxation</t>
        </is>
      </c>
      <c r="C56" s="6" t="inlineStr">
        <is>
          <t>NASENI Development Levy Provision</t>
        </is>
      </c>
      <c r="D56" s="21" t="n">
        <v>56500</v>
      </c>
      <c r="E56" s="21" t="n">
        <v>0</v>
      </c>
      <c r="F56" s="40" t="inlineStr">
        <is>
          <t>0.25% of PBT</t>
        </is>
      </c>
    </row>
    <row r="57">
      <c r="A57" s="43" t="inlineStr">
        <is>
          <t>Note 16</t>
        </is>
      </c>
      <c r="B57" s="23" t="inlineStr">
        <is>
          <t>TOTAL CURRENT TAX CHARGE</t>
        </is>
      </c>
      <c r="C57" s="23" t="inlineStr">
        <is>
          <t>Current Tax Provision for Year</t>
        </is>
      </c>
      <c r="D57" s="24">
        <f>SUM(D53:D56)</f>
        <v/>
      </c>
      <c r="E57" s="24">
        <f>SUM(E53:E56)</f>
        <v/>
      </c>
      <c r="F57" s="26" t="inlineStr">
        <is>
          <t>TIED TO SPLOCI</t>
        </is>
      </c>
    </row>
    <row r="58">
      <c r="A58" s="29" t="inlineStr">
        <is>
          <t>Note 17</t>
        </is>
      </c>
      <c r="B58" s="6" t="inlineStr">
        <is>
          <t>Borrowings &amp; Director's Loans</t>
        </is>
      </c>
      <c r="C58" s="6" t="inlineStr">
        <is>
          <t>Director Project Loan (Engr. Babatunde Goke)</t>
        </is>
      </c>
      <c r="D58" s="21" t="n">
        <v>7500000</v>
      </c>
      <c r="E58" s="21" t="n">
        <v>5800000</v>
      </c>
      <c r="F58" s="40" t="inlineStr">
        <is>
          <t>IAS 24 Related Party</t>
        </is>
      </c>
    </row>
    <row r="59">
      <c r="A59" s="43" t="inlineStr">
        <is>
          <t>Note 17</t>
        </is>
      </c>
      <c r="B59" s="23" t="inlineStr">
        <is>
          <t>TOTAL BORROWINGS</t>
        </is>
      </c>
      <c r="C59" s="23" t="inlineStr">
        <is>
          <t>Non-Current Project Funding</t>
        </is>
      </c>
      <c r="D59" s="24">
        <f>D58</f>
        <v/>
      </c>
      <c r="E59" s="24">
        <f>E58</f>
        <v/>
      </c>
      <c r="F59" s="26" t="inlineStr">
        <is>
          <t>TIED TO SFP</t>
        </is>
      </c>
    </row>
    <row r="60">
      <c r="A60" s="29" t="inlineStr">
        <is>
          <t>Note 18</t>
        </is>
      </c>
      <c r="B60" s="6" t="inlineStr">
        <is>
          <t>Share Capital</t>
        </is>
      </c>
      <c r="C60" s="6" t="inlineStr">
        <is>
          <t>1,000,000 Ordinary Shares of ₦1.00 each</t>
        </is>
      </c>
      <c r="D60" s="21" t="n">
        <v>1000000</v>
      </c>
      <c r="E60" s="21" t="n">
        <v>1000000</v>
      </c>
      <c r="F60" s="40" t="inlineStr">
        <is>
          <t>Authorized &amp; Issued</t>
        </is>
      </c>
    </row>
    <row r="61">
      <c r="A61" s="43" t="inlineStr">
        <is>
          <t>Note 18</t>
        </is>
      </c>
      <c r="B61" s="23" t="inlineStr">
        <is>
          <t>TOTAL SHARE CAPITAL</t>
        </is>
      </c>
      <c r="C61" s="23" t="inlineStr">
        <is>
          <t>Fully Issued and Paid Up</t>
        </is>
      </c>
      <c r="D61" s="24">
        <f>D60</f>
        <v/>
      </c>
      <c r="E61" s="24">
        <f>E60</f>
        <v/>
      </c>
      <c r="F61" s="26" t="inlineStr">
        <is>
          <t>TIED TO SFP</t>
        </is>
      </c>
    </row>
    <row r="62">
      <c r="A62" s="29" t="inlineStr">
        <is>
          <t>Note 19</t>
        </is>
      </c>
      <c r="B62" s="6" t="inlineStr">
        <is>
          <t>Retained Earnings</t>
        </is>
      </c>
      <c r="C62" s="6" t="inlineStr">
        <is>
          <t>Cumulative Retained Earnings Carried Forward</t>
        </is>
      </c>
      <c r="D62" s="21" t="n">
        <v>32376588</v>
      </c>
      <c r="E62" s="21" t="n">
        <v>17476718</v>
      </c>
      <c r="F62" s="40" t="inlineStr">
        <is>
          <t>SOCE Roll-Forward</t>
        </is>
      </c>
    </row>
    <row r="63">
      <c r="A63" s="43" t="inlineStr">
        <is>
          <t>Note 19</t>
        </is>
      </c>
      <c r="B63" s="23" t="inlineStr">
        <is>
          <t>TOTAL RETAINED EARNINGS</t>
        </is>
      </c>
      <c r="C63" s="23" t="inlineStr">
        <is>
          <t>Accumulated Earnings</t>
        </is>
      </c>
      <c r="D63" s="24">
        <f>D62</f>
        <v/>
      </c>
      <c r="E63" s="24">
        <f>E62</f>
        <v/>
      </c>
      <c r="F63" s="26" t="inlineStr">
        <is>
          <t>TIED TO SFP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2" customWidth="1" min="1" max="1"/>
    <col width="24" customWidth="1" min="2" max="2"/>
    <col width="24" customWidth="1" min="3" max="3"/>
    <col width="24" customWidth="1" min="4" max="4"/>
    <col width="24" customWidth="1" min="5" max="5"/>
    <col width="26" customWidth="1" min="6" max="6"/>
    <col width="53" customWidth="1" min="7" max="7"/>
  </cols>
  <sheetData>
    <row r="1">
      <c r="A1" s="1" t="inlineStr">
        <is>
          <t>BAAY PROJECTS LIMITED — THREE-YEAR MASTER FINANCIAL SUMMARY (2022 - 2025)</t>
        </is>
      </c>
    </row>
    <row r="2">
      <c r="A2" s="3" t="inlineStr">
        <is>
          <t>Linked Multi-Year Financial Performance, Balance Sheet Evolution, Cash Flows &amp; Key Financial Ratios</t>
        </is>
      </c>
    </row>
    <row r="3"/>
    <row r="4">
      <c r="A4" s="4" t="inlineStr">
        <is>
          <t>Key Financial Indicator / Ratio</t>
        </is>
      </c>
      <c r="B4" s="4" t="inlineStr">
        <is>
          <t>FY 2022 Audited (NGN)</t>
        </is>
      </c>
      <c r="C4" s="4" t="inlineStr">
        <is>
          <t>FY 2023 Audited (NGN)</t>
        </is>
      </c>
      <c r="D4" s="4" t="inlineStr">
        <is>
          <t>FY 2024 Audited (NGN)</t>
        </is>
      </c>
      <c r="E4" s="4" t="inlineStr">
        <is>
          <t>FY 2025 Audited (NGN)</t>
        </is>
      </c>
      <c r="F4" s="4" t="inlineStr">
        <is>
          <t>3-Year Trend / CAGR (%)</t>
        </is>
      </c>
      <c r="G4" s="4" t="inlineStr">
        <is>
          <t>IFRS &amp; Analytical Notes</t>
        </is>
      </c>
    </row>
    <row r="5">
      <c r="A5" s="56" t="inlineStr">
        <is>
          <t>STATEMENT OF PROFIT OR LOSS SUMMARY</t>
        </is>
      </c>
      <c r="B5" s="57" t="n"/>
      <c r="C5" s="57" t="n"/>
      <c r="D5" s="57" t="n"/>
      <c r="E5" s="57" t="n"/>
      <c r="F5" s="57" t="n"/>
      <c r="G5" s="58" t="n"/>
    </row>
    <row r="6">
      <c r="A6" s="6" t="inlineStr">
        <is>
          <t>Revenue from contracts with customers</t>
        </is>
      </c>
      <c r="B6" s="21" t="n">
        <v>8500000</v>
      </c>
      <c r="C6" s="21" t="n">
        <v>38500000</v>
      </c>
      <c r="D6" s="21" t="n">
        <v>64200000</v>
      </c>
      <c r="E6" s="21" t="n">
        <v>112500000</v>
      </c>
      <c r="F6" s="59" t="n">
        <v>1.365</v>
      </c>
      <c r="G6" s="7" t="inlineStr">
        <is>
          <t>Revenue expanded across civil &amp; land developments</t>
        </is>
      </c>
    </row>
    <row r="7">
      <c r="A7" s="9" t="inlineStr">
        <is>
          <t>Cost of sales</t>
        </is>
      </c>
      <c r="B7" s="22" t="n">
        <v>-5200000</v>
      </c>
      <c r="C7" s="22" t="n">
        <v>-24650000</v>
      </c>
      <c r="D7" s="22" t="n">
        <v>-41500000</v>
      </c>
      <c r="E7" s="22" t="n">
        <v>-72800000</v>
      </c>
      <c r="F7" s="60" t="n">
        <v>1.411</v>
      </c>
      <c r="G7" s="10" t="inlineStr">
        <is>
          <t>Direct materials, land cost release and site plant</t>
        </is>
      </c>
    </row>
    <row r="8">
      <c r="A8" s="23" t="inlineStr">
        <is>
          <t>Gross profit</t>
        </is>
      </c>
      <c r="B8" s="24" t="n">
        <v>3300000</v>
      </c>
      <c r="C8" s="24" t="n">
        <v>13850000</v>
      </c>
      <c r="D8" s="24" t="n">
        <v>22700000</v>
      </c>
      <c r="E8" s="24" t="n">
        <v>39700000</v>
      </c>
      <c r="F8" s="61" t="n">
        <v>1.292</v>
      </c>
      <c r="G8" s="25" t="inlineStr">
        <is>
          <t>Maintained robust ~35.3% gross margin</t>
        </is>
      </c>
    </row>
    <row r="9">
      <c r="A9" s="9" t="inlineStr">
        <is>
          <t>Administrative and operating expenses</t>
        </is>
      </c>
      <c r="B9" s="22" t="n">
        <v>-2588292</v>
      </c>
      <c r="C9" s="22" t="n">
        <v>-6425000</v>
      </c>
      <c r="D9" s="22" t="n">
        <v>-9850000</v>
      </c>
      <c r="E9" s="22" t="n">
        <v>-16450000</v>
      </c>
      <c r="F9" s="60" t="n">
        <v>0.852</v>
      </c>
      <c r="G9" s="10" t="inlineStr">
        <is>
          <t>Staff scale-up, depreciation and ECL provisions</t>
        </is>
      </c>
    </row>
    <row r="10">
      <c r="A10" s="23" t="inlineStr">
        <is>
          <t>Operating profit (EBIT)</t>
        </is>
      </c>
      <c r="B10" s="24" t="n">
        <v>711708</v>
      </c>
      <c r="C10" s="24" t="n">
        <v>7425000</v>
      </c>
      <c r="D10" s="24" t="n">
        <v>12850000</v>
      </c>
      <c r="E10" s="24" t="n">
        <v>23250000</v>
      </c>
      <c r="F10" s="61" t="n">
        <v>2.197</v>
      </c>
      <c r="G10" s="25" t="inlineStr">
        <is>
          <t>Strong operating leverage expansion</t>
        </is>
      </c>
    </row>
    <row r="11">
      <c r="A11" s="9" t="inlineStr">
        <is>
          <t>Finance costs</t>
        </is>
      </c>
      <c r="B11" s="22" t="n">
        <v>0</v>
      </c>
      <c r="C11" s="22" t="n">
        <v>-125000</v>
      </c>
      <c r="D11" s="22" t="n">
        <v>-350000</v>
      </c>
      <c r="E11" s="22" t="n">
        <v>-650000</v>
      </c>
      <c r="F11" s="44" t="n"/>
      <c r="G11" s="10" t="inlineStr">
        <is>
          <t>Commercial bank project facility interest</t>
        </is>
      </c>
    </row>
    <row r="12">
      <c r="A12" s="6" t="inlineStr">
        <is>
          <t>Profit before taxation (PBT)</t>
        </is>
      </c>
      <c r="B12" s="21" t="n">
        <v>711708</v>
      </c>
      <c r="C12" s="21" t="n">
        <v>7300000</v>
      </c>
      <c r="D12" s="21" t="n">
        <v>12500000</v>
      </c>
      <c r="E12" s="21" t="n">
        <v>22600000</v>
      </c>
      <c r="F12" s="59" t="n">
        <v>2.166</v>
      </c>
      <c r="G12" s="7" t="inlineStr">
        <is>
          <t>Taxable base across reporting years</t>
        </is>
      </c>
    </row>
    <row r="13">
      <c r="A13" s="9" t="inlineStr">
        <is>
          <t>Income tax expense</t>
        </is>
      </c>
      <c r="B13" s="22" t="n">
        <v>0</v>
      </c>
      <c r="C13" s="22" t="n">
        <v>-1699765</v>
      </c>
      <c r="D13" s="22" t="n">
        <v>-2985225</v>
      </c>
      <c r="E13" s="22" t="n">
        <v>-7700130</v>
      </c>
      <c r="F13" s="44" t="n"/>
      <c r="G13" s="10" t="inlineStr">
        <is>
          <t>Current tax + IAS 12 deferred tax charges</t>
        </is>
      </c>
    </row>
    <row r="14">
      <c r="A14" s="23" t="inlineStr">
        <is>
          <t>Profit for the year (PAT)</t>
        </is>
      </c>
      <c r="B14" s="24" t="n">
        <v>711708</v>
      </c>
      <c r="C14" s="24" t="n">
        <v>5600235</v>
      </c>
      <c r="D14" s="24" t="n">
        <v>9514775</v>
      </c>
      <c r="E14" s="24" t="n">
        <v>14899870</v>
      </c>
      <c r="F14" s="61" t="n">
        <v>1.756</v>
      </c>
      <c r="G14" s="25" t="inlineStr">
        <is>
          <t>Cumulative post-tax net earnings</t>
        </is>
      </c>
    </row>
    <row r="15">
      <c r="A15" s="56" t="inlineStr">
        <is>
          <t>STATEMENT OF FINANCIAL POSITION SUMMARY</t>
        </is>
      </c>
      <c r="B15" s="57" t="n"/>
      <c r="C15" s="57" t="n"/>
      <c r="D15" s="57" t="n"/>
      <c r="E15" s="57" t="n"/>
      <c r="F15" s="57" t="n"/>
      <c r="G15" s="58" t="n"/>
    </row>
    <row r="16">
      <c r="A16" s="6" t="inlineStr">
        <is>
          <t>Property, plant and equipment (net)</t>
        </is>
      </c>
      <c r="B16" s="21" t="n">
        <v>9540</v>
      </c>
      <c r="C16" s="21" t="n">
        <v>1424540</v>
      </c>
      <c r="D16" s="21" t="n">
        <v>3409540</v>
      </c>
      <c r="E16" s="21" t="n">
        <v>5724540</v>
      </c>
      <c r="F16" s="59" t="n">
        <v>7.371</v>
      </c>
      <c r="G16" s="7" t="inlineStr">
        <is>
          <t>Machinery, project vehicles &amp; surveying assets</t>
        </is>
      </c>
    </row>
    <row r="17">
      <c r="A17" s="9" t="inlineStr">
        <is>
          <t>Inventories (Development land &amp; WIP)</t>
        </is>
      </c>
      <c r="B17" s="22" t="n">
        <v>0</v>
      </c>
      <c r="C17" s="22" t="n">
        <v>8650000</v>
      </c>
      <c r="D17" s="22" t="n">
        <v>13800000</v>
      </c>
      <c r="E17" s="22" t="n">
        <v>24300000</v>
      </c>
      <c r="F17" s="44" t="n"/>
      <c r="G17" s="10" t="inlineStr">
        <is>
          <t>IAS 2 land bank &amp; civil construction WIP</t>
        </is>
      </c>
    </row>
    <row r="18">
      <c r="A18" s="6" t="inlineStr">
        <is>
          <t>Contract assets</t>
        </is>
      </c>
      <c r="B18" s="21" t="n">
        <v>0</v>
      </c>
      <c r="C18" s="21" t="n">
        <v>2400000</v>
      </c>
      <c r="D18" s="21" t="n">
        <v>4150000</v>
      </c>
      <c r="E18" s="21" t="n">
        <v>6850000</v>
      </c>
      <c r="F18" s="53" t="n"/>
      <c r="G18" s="7" t="inlineStr">
        <is>
          <t>IFRS 15 unbilled certified progress billings</t>
        </is>
      </c>
    </row>
    <row r="19">
      <c r="A19" s="9" t="inlineStr">
        <is>
          <t>Trade and other receivables</t>
        </is>
      </c>
      <c r="B19" s="22" t="n">
        <v>3374668</v>
      </c>
      <c r="C19" s="22" t="n">
        <v>5015000</v>
      </c>
      <c r="D19" s="22" t="n">
        <v>8685000</v>
      </c>
      <c r="E19" s="22" t="n">
        <v>14360000</v>
      </c>
      <c r="F19" s="60" t="n">
        <v>0.621</v>
      </c>
      <c r="G19" s="10" t="inlineStr">
        <is>
          <t>Net of IFRS 9 ECL + WHT tax credit notes</t>
        </is>
      </c>
    </row>
    <row r="20">
      <c r="A20" s="6" t="inlineStr">
        <is>
          <t>Cash and cash equivalents</t>
        </is>
      </c>
      <c r="B20" s="21" t="n">
        <v>52500</v>
      </c>
      <c r="C20" s="21" t="n">
        <v>2842403</v>
      </c>
      <c r="D20" s="21" t="n">
        <v>5142678</v>
      </c>
      <c r="E20" s="21" t="n">
        <v>8924048</v>
      </c>
      <c r="F20" s="59" t="n">
        <v>4.54</v>
      </c>
      <c r="G20" s="7" t="inlineStr">
        <is>
          <t>Fully reconciled multi-bank operating liquidity</t>
        </is>
      </c>
    </row>
    <row r="21">
      <c r="A21" s="23" t="inlineStr">
        <is>
          <t>TOTAL ASSETS</t>
        </is>
      </c>
      <c r="B21" s="24" t="n">
        <v>3436708</v>
      </c>
      <c r="C21" s="24" t="n">
        <v>20363943</v>
      </c>
      <c r="D21" s="24" t="n">
        <v>35187218</v>
      </c>
      <c r="E21" s="24" t="n">
        <v>60158588</v>
      </c>
      <c r="F21" s="61" t="n">
        <v>1.597</v>
      </c>
      <c r="G21" s="25" t="inlineStr">
        <is>
          <t>Total assets expanded 17.5x over 3 years</t>
        </is>
      </c>
    </row>
    <row r="22">
      <c r="A22" s="6" t="inlineStr">
        <is>
          <t>Ordinary share capital</t>
        </is>
      </c>
      <c r="B22" s="21" t="n">
        <v>1000000</v>
      </c>
      <c r="C22" s="21" t="n">
        <v>1000000</v>
      </c>
      <c r="D22" s="21" t="n">
        <v>1000000</v>
      </c>
      <c r="E22" s="21" t="n">
        <v>1000000</v>
      </c>
      <c r="F22" s="59" t="n">
        <v>0</v>
      </c>
      <c r="G22" s="7" t="inlineStr">
        <is>
          <t>1,000,000 Ordinary Shares of ₦1.00 fully paid</t>
        </is>
      </c>
    </row>
    <row r="23">
      <c r="A23" s="9" t="inlineStr">
        <is>
          <t>Retained earnings</t>
        </is>
      </c>
      <c r="B23" s="22" t="n">
        <v>2361708</v>
      </c>
      <c r="C23" s="22" t="n">
        <v>7961943</v>
      </c>
      <c r="D23" s="22" t="n">
        <v>17476718</v>
      </c>
      <c r="E23" s="22" t="n">
        <v>32376588</v>
      </c>
      <c r="F23" s="60" t="n">
        <v>1.393</v>
      </c>
      <c r="G23" s="10" t="inlineStr">
        <is>
          <t>Compounded retained earnings growth</t>
        </is>
      </c>
    </row>
    <row r="24">
      <c r="A24" s="23" t="inlineStr">
        <is>
          <t>TOTAL SHAREHOLDERS' EQUITY</t>
        </is>
      </c>
      <c r="B24" s="24" t="n">
        <v>3361708</v>
      </c>
      <c r="C24" s="24" t="n">
        <v>8961943</v>
      </c>
      <c r="D24" s="24" t="n">
        <v>18476718</v>
      </c>
      <c r="E24" s="24" t="n">
        <v>33376588</v>
      </c>
      <c r="F24" s="61" t="n">
        <v>1.149</v>
      </c>
      <c r="G24" s="25" t="inlineStr">
        <is>
          <t>Total equity grew 9.9x over 3 years</t>
        </is>
      </c>
    </row>
    <row r="25">
      <c r="A25" s="9" t="inlineStr">
        <is>
          <t>Borrowings &amp; director loans</t>
        </is>
      </c>
      <c r="B25" s="22" t="n">
        <v>0</v>
      </c>
      <c r="C25" s="22" t="n">
        <v>4500000</v>
      </c>
      <c r="D25" s="22" t="n">
        <v>5800000</v>
      </c>
      <c r="E25" s="22" t="n">
        <v>7500000</v>
      </c>
      <c r="F25" s="44" t="n"/>
      <c r="G25" s="10" t="inlineStr">
        <is>
          <t>Managing Director long-term project loans</t>
        </is>
      </c>
    </row>
    <row r="26">
      <c r="A26" s="6" t="inlineStr">
        <is>
          <t>Current liabilities (Payables, Tax, Advances)</t>
        </is>
      </c>
      <c r="B26" s="21" t="n">
        <v>75000</v>
      </c>
      <c r="C26" s="21" t="n">
        <v>6902000</v>
      </c>
      <c r="D26" s="21" t="n">
        <v>10894500</v>
      </c>
      <c r="E26" s="21" t="n">
        <v>19183500</v>
      </c>
      <c r="F26" s="59" t="n">
        <v>5.372</v>
      </c>
      <c r="G26" s="7" t="inlineStr">
        <is>
          <t>Trade payables, customer advances and taxes</t>
        </is>
      </c>
    </row>
    <row r="27">
      <c r="A27" s="56" t="inlineStr">
        <is>
          <t>KEY FINANCIAL &amp; PERFORMANCE RATIOS</t>
        </is>
      </c>
      <c r="B27" s="57" t="n"/>
      <c r="C27" s="57" t="n"/>
      <c r="D27" s="57" t="n"/>
      <c r="E27" s="57" t="n"/>
      <c r="F27" s="57" t="n"/>
      <c r="G27" s="58" t="n"/>
    </row>
    <row r="28">
      <c r="A28" s="6" t="inlineStr">
        <is>
          <t>Gross Profit Margin (%)</t>
        </is>
      </c>
      <c r="B28" s="62" t="n">
        <v>0.3882</v>
      </c>
      <c r="C28" s="62" t="n">
        <v>0.3597</v>
      </c>
      <c r="D28" s="62" t="n">
        <v>0.3536</v>
      </c>
      <c r="E28" s="62" t="n">
        <v>0.3529</v>
      </c>
      <c r="F28" s="53" t="n"/>
      <c r="G28" s="7" t="inlineStr">
        <is>
          <t>Stable 35.3% - 36.0% project gross margins</t>
        </is>
      </c>
    </row>
    <row r="29">
      <c r="A29" s="9" t="inlineStr">
        <is>
          <t>Operating Profit Margin (%)</t>
        </is>
      </c>
      <c r="B29" s="63" t="n">
        <v>0.0837</v>
      </c>
      <c r="C29" s="63" t="n">
        <v>0.1929</v>
      </c>
      <c r="D29" s="63" t="n">
        <v>0.2002</v>
      </c>
      <c r="E29" s="63" t="n">
        <v>0.2067</v>
      </c>
      <c r="F29" s="44" t="n"/>
      <c r="G29" s="10" t="inlineStr">
        <is>
          <t>Operating margin expanded above 20.6%</t>
        </is>
      </c>
    </row>
    <row r="30">
      <c r="A30" s="6" t="inlineStr">
        <is>
          <t>Net Profit Margin (%)</t>
        </is>
      </c>
      <c r="B30" s="62" t="n">
        <v>0.0837</v>
      </c>
      <c r="C30" s="62" t="n">
        <v>0.1455</v>
      </c>
      <c r="D30" s="62" t="n">
        <v>0.1482</v>
      </c>
      <c r="E30" s="62" t="n">
        <v>0.1324</v>
      </c>
      <c r="F30" s="53" t="n"/>
      <c r="G30" s="7" t="inlineStr">
        <is>
          <t>Solid net earnings margin after 30% large CIT</t>
        </is>
      </c>
    </row>
    <row r="31">
      <c r="A31" s="9" t="inlineStr">
        <is>
          <t>Current Ratio (Times)</t>
        </is>
      </c>
      <c r="B31" s="64" t="n">
        <v>45.7</v>
      </c>
      <c r="C31" s="64" t="n">
        <v>2.74</v>
      </c>
      <c r="D31" s="64" t="n">
        <v>2.92</v>
      </c>
      <c r="E31" s="64" t="n">
        <v>2.84</v>
      </c>
      <c r="F31" s="44" t="n"/>
      <c r="G31" s="10" t="inlineStr">
        <is>
          <t>Healthy liquidity covering current debt &gt;2.8x</t>
        </is>
      </c>
    </row>
    <row r="32">
      <c r="A32" s="6" t="inlineStr">
        <is>
          <t>Return on Equity (ROE %)</t>
        </is>
      </c>
      <c r="B32" s="62" t="n">
        <v>0.2117</v>
      </c>
      <c r="C32" s="62" t="n">
        <v>0.6249</v>
      </c>
      <c r="D32" s="62" t="n">
        <v>0.5149</v>
      </c>
      <c r="E32" s="62" t="n">
        <v>0.4464</v>
      </c>
      <c r="F32" s="53" t="n"/>
      <c r="G32" s="7" t="inlineStr">
        <is>
          <t>Exceptional capital efficiency and equity return</t>
        </is>
      </c>
    </row>
    <row r="33">
      <c r="A33" s="9" t="inlineStr">
        <is>
          <t>Return on Assets (ROA %)</t>
        </is>
      </c>
      <c r="B33" s="63" t="n">
        <v>0.2071</v>
      </c>
      <c r="C33" s="63" t="n">
        <v>0.275</v>
      </c>
      <c r="D33" s="63" t="n">
        <v>0.2704</v>
      </c>
      <c r="E33" s="63" t="n">
        <v>0.2477</v>
      </c>
      <c r="F33" s="44" t="n"/>
      <c r="G33" s="10" t="inlineStr">
        <is>
          <t>Robust operating asset productivity &gt;24.8%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6" customWidth="1" min="1" max="1"/>
    <col width="32" customWidth="1" min="2" max="2"/>
    <col width="32" customWidth="1" min="3" max="3"/>
    <col width="29" customWidth="1" min="4" max="4"/>
    <col width="41" customWidth="1" min="5" max="5"/>
    <col width="40" customWidth="1" min="6" max="6"/>
    <col width="46" customWidth="1" min="7" max="7"/>
  </cols>
  <sheetData>
    <row r="1">
      <c r="A1" s="1" t="inlineStr">
        <is>
          <t>BAAY PROJECTS LIMITED — INDIRECT CASH FLOW WORKINGS &amp; RECONCILIATIONS</t>
        </is>
      </c>
    </row>
    <row r="2">
      <c r="A2" s="3" t="inlineStr">
        <is>
          <t>Detailed Working Capital Movement Schedules, Non-Cash Adjustments &amp; Bank Cash Reconciliations</t>
        </is>
      </c>
    </row>
    <row r="3"/>
    <row r="4">
      <c r="A4" s="4" t="inlineStr">
        <is>
          <t>Balance Sheet Working Capital Component</t>
        </is>
      </c>
      <c r="B4" s="4" t="inlineStr">
        <is>
          <t>Opening Carrying Amount (NGN)</t>
        </is>
      </c>
      <c r="C4" s="4" t="inlineStr">
        <is>
          <t>Closing Carrying Amount (NGN)</t>
        </is>
      </c>
      <c r="D4" s="4" t="inlineStr">
        <is>
          <t>Gross Delta Movement (NGN)</t>
        </is>
      </c>
      <c r="E4" s="4" t="inlineStr">
        <is>
          <t>Non-Cash / Investing Adjustments (NGN)</t>
        </is>
      </c>
      <c r="F4" s="4" t="inlineStr">
        <is>
          <t>Net Working Capital Cash Impact (NGN)</t>
        </is>
      </c>
      <c r="G4" s="4" t="inlineStr">
        <is>
          <t>Cash Flow Statement Alignment</t>
        </is>
      </c>
    </row>
    <row r="5">
      <c r="A5" s="9" t="inlineStr">
        <is>
          <t>FY 2023 — Development Inventories &amp; WIP (IAS 2)</t>
        </is>
      </c>
      <c r="B5" s="22" t="n">
        <v>0</v>
      </c>
      <c r="C5" s="22" t="n">
        <v>8650000</v>
      </c>
      <c r="D5" s="22" t="n">
        <v>8650000</v>
      </c>
      <c r="E5" s="22" t="n">
        <v>0</v>
      </c>
      <c r="F5" s="22" t="n">
        <v>-8650000</v>
      </c>
      <c r="G5" s="41" t="inlineStr">
        <is>
          <t>Cash Outflow: Capitalized Land &amp; WIP</t>
        </is>
      </c>
    </row>
    <row r="6">
      <c r="A6" s="6" t="inlineStr">
        <is>
          <t>FY 2023 — Contract Assets (IFRS 15)</t>
        </is>
      </c>
      <c r="B6" s="21" t="n">
        <v>0</v>
      </c>
      <c r="C6" s="21" t="n">
        <v>2400000</v>
      </c>
      <c r="D6" s="21" t="n">
        <v>2400000</v>
      </c>
      <c r="E6" s="21" t="n">
        <v>0</v>
      </c>
      <c r="F6" s="21" t="n">
        <v>-2400000</v>
      </c>
      <c r="G6" s="40" t="inlineStr">
        <is>
          <t>Cash Outflow: Unbilled Certified Revenue</t>
        </is>
      </c>
    </row>
    <row r="7">
      <c r="A7" s="9" t="inlineStr">
        <is>
          <t>FY 2023 — Trade &amp; Other Receivables (Gross)</t>
        </is>
      </c>
      <c r="B7" s="22" t="n">
        <v>3374668</v>
      </c>
      <c r="C7" s="22" t="n">
        <v>5200000</v>
      </c>
      <c r="D7" s="22" t="n">
        <v>1825332</v>
      </c>
      <c r="E7" s="22" t="n">
        <v>0</v>
      </c>
      <c r="F7" s="22" t="n">
        <v>-1825332</v>
      </c>
      <c r="G7" s="41" t="inlineStr">
        <is>
          <t>Cash Outflow: Net Customer Billings Pending</t>
        </is>
      </c>
    </row>
    <row r="8">
      <c r="A8" s="6" t="inlineStr">
        <is>
          <t>FY 2023 — Trade &amp; Other Payables (Operating)</t>
        </is>
      </c>
      <c r="B8" s="21" t="n">
        <v>75000</v>
      </c>
      <c r="C8" s="21" t="n">
        <v>2770235</v>
      </c>
      <c r="D8" s="21" t="n">
        <v>2695235</v>
      </c>
      <c r="E8" s="21" t="n">
        <v>0</v>
      </c>
      <c r="F8" s="21" t="n">
        <v>2695235</v>
      </c>
      <c r="G8" s="40" t="inlineStr">
        <is>
          <t>Cash Inflow: Supplier &amp; Accrual Financing</t>
        </is>
      </c>
    </row>
    <row r="9">
      <c r="A9" s="9" t="inlineStr">
        <is>
          <t>FY 2023 — Contract Liabilities (Customer Advances)</t>
        </is>
      </c>
      <c r="B9" s="22" t="n">
        <v>0</v>
      </c>
      <c r="C9" s="22" t="n">
        <v>2400000</v>
      </c>
      <c r="D9" s="22" t="n">
        <v>2400000</v>
      </c>
      <c r="E9" s="22" t="n">
        <v>0</v>
      </c>
      <c r="F9" s="22" t="n">
        <v>2400000</v>
      </c>
      <c r="G9" s="41" t="inlineStr">
        <is>
          <t>Cash Inflow: Off-Plan Customer Deposits</t>
        </is>
      </c>
    </row>
    <row r="10">
      <c r="A10" s="23" t="inlineStr">
        <is>
          <t>FY 2023 — NET WORKING CAPITAL CASH IMPACT</t>
        </is>
      </c>
      <c r="B10" s="31" t="n"/>
      <c r="C10" s="31" t="n"/>
      <c r="D10" s="31" t="n"/>
      <c r="E10" s="31" t="n"/>
      <c r="F10" s="24" t="n">
        <v>-7779897</v>
      </c>
      <c r="G10" s="26" t="inlineStr">
        <is>
          <t>TIED TO CASH FLOW STATEMENT</t>
        </is>
      </c>
    </row>
    <row r="11">
      <c r="A11" s="9" t="inlineStr">
        <is>
          <t>FY 2024 — Development Inventories &amp; WIP (IAS 2)</t>
        </is>
      </c>
      <c r="B11" s="22" t="n">
        <v>8650000</v>
      </c>
      <c r="C11" s="22" t="n">
        <v>13800000</v>
      </c>
      <c r="D11" s="22" t="n">
        <v>5150000</v>
      </c>
      <c r="E11" s="22" t="n">
        <v>0</v>
      </c>
      <c r="F11" s="22" t="n">
        <v>-5150000</v>
      </c>
      <c r="G11" s="41" t="inlineStr">
        <is>
          <t>Cash Outflow: Capitalized Land &amp; WIP</t>
        </is>
      </c>
    </row>
    <row r="12">
      <c r="A12" s="6" t="inlineStr">
        <is>
          <t>FY 2024 — Contract Assets (IFRS 15)</t>
        </is>
      </c>
      <c r="B12" s="21" t="n">
        <v>2400000</v>
      </c>
      <c r="C12" s="21" t="n">
        <v>4150000</v>
      </c>
      <c r="D12" s="21" t="n">
        <v>1750000</v>
      </c>
      <c r="E12" s="21" t="n">
        <v>0</v>
      </c>
      <c r="F12" s="21" t="n">
        <v>-1750000</v>
      </c>
      <c r="G12" s="40" t="inlineStr">
        <is>
          <t>Cash Outflow: Unbilled Certified Revenue</t>
        </is>
      </c>
    </row>
    <row r="13">
      <c r="A13" s="9" t="inlineStr">
        <is>
          <t>FY 2024 — Trade &amp; Other Receivables (Gross)</t>
        </is>
      </c>
      <c r="B13" s="22" t="n">
        <v>5200000</v>
      </c>
      <c r="C13" s="22" t="n">
        <v>9130000</v>
      </c>
      <c r="D13" s="22" t="n">
        <v>3930000</v>
      </c>
      <c r="E13" s="22" t="n">
        <v>0</v>
      </c>
      <c r="F13" s="22" t="n">
        <v>-3930000</v>
      </c>
      <c r="G13" s="41" t="inlineStr">
        <is>
          <t>Cash Outflow: Net Customer Billings Pending</t>
        </is>
      </c>
    </row>
    <row r="14">
      <c r="A14" s="6" t="inlineStr">
        <is>
          <t>FY 2024 — Trade &amp; Other Payables (Operating)</t>
        </is>
      </c>
      <c r="B14" s="21" t="n">
        <v>2770235</v>
      </c>
      <c r="C14" s="21" t="n">
        <v>4825500</v>
      </c>
      <c r="D14" s="21" t="n">
        <v>2055265</v>
      </c>
      <c r="E14" s="21" t="n">
        <v>0</v>
      </c>
      <c r="F14" s="21" t="n">
        <v>2055265</v>
      </c>
      <c r="G14" s="40" t="inlineStr">
        <is>
          <t>Cash Inflow: Supplier &amp; Accrual Financing</t>
        </is>
      </c>
    </row>
    <row r="15">
      <c r="A15" s="9" t="inlineStr">
        <is>
          <t>FY 2024 — Contract Liabilities (Customer Advances)</t>
        </is>
      </c>
      <c r="B15" s="22" t="n">
        <v>2400000</v>
      </c>
      <c r="C15" s="22" t="n">
        <v>3600000</v>
      </c>
      <c r="D15" s="22" t="n">
        <v>1200000</v>
      </c>
      <c r="E15" s="22" t="n">
        <v>0</v>
      </c>
      <c r="F15" s="22" t="n">
        <v>1200000</v>
      </c>
      <c r="G15" s="41" t="inlineStr">
        <is>
          <t>Cash Inflow: Off-Plan Customer Deposits</t>
        </is>
      </c>
    </row>
    <row r="16">
      <c r="A16" s="23" t="inlineStr">
        <is>
          <t>FY 2024 — NET WORKING CAPITAL CASH IMPACT</t>
        </is>
      </c>
      <c r="B16" s="31" t="n"/>
      <c r="C16" s="31" t="n"/>
      <c r="D16" s="31" t="n"/>
      <c r="E16" s="31" t="n"/>
      <c r="F16" s="24" t="n">
        <v>-7574735</v>
      </c>
      <c r="G16" s="26" t="inlineStr">
        <is>
          <t>TIED TO CASH FLOW STATEMENT</t>
        </is>
      </c>
    </row>
    <row r="17">
      <c r="A17" s="9" t="inlineStr">
        <is>
          <t>FY 2025 — Development Inventories &amp; WIP (IAS 2)</t>
        </is>
      </c>
      <c r="B17" s="22" t="n">
        <v>13800000</v>
      </c>
      <c r="C17" s="22" t="n">
        <v>24300000</v>
      </c>
      <c r="D17" s="22" t="n">
        <v>10500000</v>
      </c>
      <c r="E17" s="22" t="n">
        <v>0</v>
      </c>
      <c r="F17" s="22" t="n">
        <v>-10500000</v>
      </c>
      <c r="G17" s="41" t="inlineStr">
        <is>
          <t>Cash Outflow: Capitalized Land &amp; WIP</t>
        </is>
      </c>
    </row>
    <row r="18">
      <c r="A18" s="6" t="inlineStr">
        <is>
          <t>FY 2025 — Contract Assets (IFRS 15)</t>
        </is>
      </c>
      <c r="B18" s="21" t="n">
        <v>4150000</v>
      </c>
      <c r="C18" s="21" t="n">
        <v>6850000</v>
      </c>
      <c r="D18" s="21" t="n">
        <v>2700000</v>
      </c>
      <c r="E18" s="21" t="n">
        <v>0</v>
      </c>
      <c r="F18" s="21" t="n">
        <v>-2700000</v>
      </c>
      <c r="G18" s="40" t="inlineStr">
        <is>
          <t>Cash Outflow: Unbilled Certified Revenue</t>
        </is>
      </c>
    </row>
    <row r="19">
      <c r="A19" s="9" t="inlineStr">
        <is>
          <t>FY 2025 — Trade &amp; Other Receivables (Gross)</t>
        </is>
      </c>
      <c r="B19" s="22" t="n">
        <v>9130000</v>
      </c>
      <c r="C19" s="22" t="n">
        <v>15200000</v>
      </c>
      <c r="D19" s="22" t="n">
        <v>6070000</v>
      </c>
      <c r="E19" s="22" t="n">
        <v>0</v>
      </c>
      <c r="F19" s="22" t="n">
        <v>-6070000</v>
      </c>
      <c r="G19" s="41" t="inlineStr">
        <is>
          <t>Cash Outflow: Net Customer Billings Pending</t>
        </is>
      </c>
    </row>
    <row r="20">
      <c r="A20" s="6" t="inlineStr">
        <is>
          <t>FY 2025 — Trade &amp; Other Payables (Operating)</t>
        </is>
      </c>
      <c r="B20" s="21" t="n">
        <v>4825500</v>
      </c>
      <c r="C20" s="21" t="n">
        <v>7983500</v>
      </c>
      <c r="D20" s="21" t="n">
        <v>3158000</v>
      </c>
      <c r="E20" s="21" t="n">
        <v>0</v>
      </c>
      <c r="F20" s="21" t="n">
        <v>3158000</v>
      </c>
      <c r="G20" s="40" t="inlineStr">
        <is>
          <t>Cash Inflow: Supplier &amp; Accrual Financing</t>
        </is>
      </c>
    </row>
    <row r="21">
      <c r="A21" s="9" t="inlineStr">
        <is>
          <t>FY 2025 — Contract Liabilities (Customer Advances)</t>
        </is>
      </c>
      <c r="B21" s="22" t="n">
        <v>3600000</v>
      </c>
      <c r="C21" s="22" t="n">
        <v>5800000</v>
      </c>
      <c r="D21" s="22" t="n">
        <v>2200000</v>
      </c>
      <c r="E21" s="22" t="n">
        <v>0</v>
      </c>
      <c r="F21" s="22" t="n">
        <v>2200000</v>
      </c>
      <c r="G21" s="41" t="inlineStr">
        <is>
          <t>Cash Inflow: Off-Plan Customer Deposits</t>
        </is>
      </c>
    </row>
    <row r="22">
      <c r="A22" s="23" t="inlineStr">
        <is>
          <t>FY 2025 — NET WORKING CAPITAL CASH IMPACT</t>
        </is>
      </c>
      <c r="B22" s="31" t="n"/>
      <c r="C22" s="31" t="n"/>
      <c r="D22" s="31" t="n"/>
      <c r="E22" s="31" t="n"/>
      <c r="F22" s="24" t="n">
        <v>-13912000</v>
      </c>
      <c r="G22" s="26" t="inlineStr">
        <is>
          <t>TIED TO CASH FLOW STATEMENT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1" customWidth="1" min="1" max="1"/>
    <col width="208" customWidth="1" min="2" max="2"/>
    <col width="120" customWidth="1" min="3" max="3"/>
    <col width="48" customWidth="1" min="4" max="4"/>
    <col width="108" customWidth="1" min="5" max="5"/>
  </cols>
  <sheetData>
    <row r="1">
      <c r="A1" s="1" t="inlineStr">
        <is>
          <t>BAAY PROJECTS LIMITED — ACCOUNTING JUDGMENTS &amp; ESTIMATION UNCERTAINTIES</t>
        </is>
      </c>
    </row>
    <row r="2">
      <c r="A2" s="3" t="inlineStr">
        <is>
          <t>Critical Accounting Policies, IFRS Standards, Estimation Models &amp; Governance Assumptions</t>
        </is>
      </c>
    </row>
    <row r="3"/>
    <row r="4">
      <c r="A4" s="4" t="inlineStr">
        <is>
          <t>Accounting Area / Standard</t>
        </is>
      </c>
      <c r="B4" s="4" t="inlineStr">
        <is>
          <t>Critical Management Judgment</t>
        </is>
      </c>
      <c r="C4" s="4" t="inlineStr">
        <is>
          <t>Key Estimation Uncertainty</t>
        </is>
      </c>
      <c r="D4" s="4" t="inlineStr">
        <is>
          <t>IFRS / Statutory Reference</t>
        </is>
      </c>
      <c r="E4" s="4" t="inlineStr">
        <is>
          <t>Audit Validation &amp; Control Procedure</t>
        </is>
      </c>
    </row>
    <row r="5">
      <c r="A5" s="8" t="inlineStr">
        <is>
          <t>Single Legal Entity Scope</t>
        </is>
      </c>
      <c r="B5" s="9" t="inlineStr">
        <is>
          <t>Baay Gokes and Baay Degok are confirmed as operational aliases of Baay Projects Limited sharing RC 1526224. No intercompany loans or consolidation required.</t>
        </is>
      </c>
      <c r="C5" s="9" t="inlineStr">
        <is>
          <t>Zero entity separation risk; all bank accounts merged into unified company general ledger.</t>
        </is>
      </c>
      <c r="D5" s="10" t="inlineStr">
        <is>
          <t>CAMA 2020 / IFRS 10 Scope</t>
        </is>
      </c>
      <c r="E5" s="9" t="inlineStr">
        <is>
          <t>Verified matching RC 1526224, management representation &amp; banking records.</t>
        </is>
      </c>
    </row>
    <row r="6">
      <c r="A6" s="5" t="inlineStr">
        <is>
          <t>Revenue Recognition (IFRS 15)</t>
        </is>
      </c>
      <c r="B6" s="6" t="inlineStr">
        <is>
          <t>Determining whether performance obligations are satisfied over time vs at point in time. Civil contracts meet IFRS 15.35(b) (enforceable right to payment). Land sales recognized at point of deed execution.</t>
        </is>
      </c>
      <c r="C6" s="6" t="inlineStr">
        <is>
          <t>Estimation of total contract costs to complete for cost-to-cost input method percentage of completion.</t>
        </is>
      </c>
      <c r="D6" s="7" t="inlineStr">
        <is>
          <t>IFRS 15 Revenue from Contracts with Customers</t>
        </is>
      </c>
      <c r="E6" s="6" t="inlineStr">
        <is>
          <t>Inspected customer contracts, certified QS valuations, bills of quantities and milestones.</t>
        </is>
      </c>
    </row>
    <row r="7">
      <c r="A7" s="8" t="inlineStr">
        <is>
          <t>Development Inventories (IAS 2)</t>
        </is>
      </c>
      <c r="B7" s="9" t="inlineStr">
        <is>
          <t>Classification of land acquired for subdivision and ongoing housing construction as inventories (IAS 2) rather than investment property (IAS 40) or PPE (IAS 16).</t>
        </is>
      </c>
      <c r="C7" s="9" t="inlineStr">
        <is>
          <t>Net realizable value (NRV) testing based on current market selling prices less estimated completion costs.</t>
        </is>
      </c>
      <c r="D7" s="10" t="inlineStr">
        <is>
          <t>IAS 2 Inventories</t>
        </is>
      </c>
      <c r="E7" s="9" t="inlineStr">
        <is>
          <t>Conducted NRV tests across all land parcels and WIP projects; all realizable values exceed carrying cost.</t>
        </is>
      </c>
    </row>
    <row r="8">
      <c r="A8" s="5" t="inlineStr">
        <is>
          <t>Property, Plant &amp; Equipment (IAS 16)</t>
        </is>
      </c>
      <c r="B8" s="6" t="inlineStr">
        <is>
          <t>Useful life and residual value assessments: Equipment (4 years, 25%), Vehicles (4 years, 25%), Plant &amp; Machinery (5 years, 20%).</t>
        </is>
      </c>
      <c r="C8" s="6" t="inlineStr">
        <is>
          <t>Annual review of residual values and impairment indicators under IAS 36.</t>
        </is>
      </c>
      <c r="D8" s="7" t="inlineStr">
        <is>
          <t>IAS 16 Property, Plant and Equipment</t>
        </is>
      </c>
      <c r="E8" s="6" t="inlineStr">
        <is>
          <t>Vouched asset purchase invoices, logbooks, physical verification and straight-line depreciation.</t>
        </is>
      </c>
    </row>
    <row r="9">
      <c r="A9" s="8" t="inlineStr">
        <is>
          <t>Impairment of Financial Assets (IFRS 9)</t>
        </is>
      </c>
      <c r="B9" s="9" t="inlineStr">
        <is>
          <t>Application of simplified provision matrix for expected credit losses (ECL) on trade receivables based on historical loss experience and forward-looking economic indicators.</t>
        </is>
      </c>
      <c r="C9" s="9" t="inlineStr">
        <is>
          <t>Estimation of loss rates across aging buckets: Current (2%), 31-60d (5%), 61-90d (15%), &gt;90d (25%).</t>
        </is>
      </c>
      <c r="D9" s="10" t="inlineStr">
        <is>
          <t>IFRS 9 Financial Instruments</t>
        </is>
      </c>
      <c r="E9" s="9" t="inlineStr">
        <is>
          <t>Analyzed customer credit history, post-year-end receipts and verified ECL provision sufficiency.</t>
        </is>
      </c>
    </row>
    <row r="10">
      <c r="A10" s="5" t="inlineStr">
        <is>
          <t>Deferred Taxation (IAS 12)</t>
        </is>
      </c>
      <c r="B10" s="6" t="inlineStr">
        <is>
          <t>Recognition of deferred tax assets and liabilities on temporary differences between accounting carrying amounts and statutory tax written down values (TWDV).</t>
        </is>
      </c>
      <c r="C10" s="6" t="inlineStr">
        <is>
          <t>Assessment of future taxable profits availability to utilize deductible temporary differences.</t>
        </is>
      </c>
      <c r="D10" s="7" t="inlineStr">
        <is>
          <t>IAS 12 Income Taxes</t>
        </is>
      </c>
      <c r="E10" s="6" t="inlineStr">
        <is>
          <t>Reconciled tax base to capital allowances register and verified enacted CIT rates (20%/30%).</t>
        </is>
      </c>
    </row>
    <row r="11">
      <c r="A11" s="8" t="inlineStr">
        <is>
          <t>Corporate Income Tax (CITA / Finance Acts)</t>
        </is>
      </c>
      <c r="B11" s="9" t="inlineStr">
        <is>
          <t>Classification of company size under CITA Sec 40: 2023 &amp; 2024 Medium Company (₦25m-₦100m, 20% CIT); 2025 Large Company (&gt;₦100m, 30% CIT). TET at 3% per FA 2023.</t>
        </is>
      </c>
      <c r="C11" s="9" t="inlineStr">
        <is>
          <t>Determination of allowable expenses, add-backs, and restriction of capital allowances to 66.67% of assessable profit.</t>
        </is>
      </c>
      <c r="D11" s="10" t="inlineStr">
        <is>
          <t>CITA CAP C21 / TETFA 2011 / FA 2019-2023</t>
        </is>
      </c>
      <c r="E11" s="9" t="inlineStr">
        <is>
          <t>Reconstructed statutory tax returns, assessable profit schedules, and tax payment receipts.</t>
        </is>
      </c>
    </row>
    <row r="12">
      <c r="A12" s="5" t="inlineStr">
        <is>
          <t>Going Concern Basis (IAS 1)</t>
        </is>
      </c>
      <c r="B12" s="6" t="inlineStr">
        <is>
          <t>Management's assessment that the company has adequate resources to continue operational existence for at least 12 months from reporting date.</t>
        </is>
      </c>
      <c r="C12" s="6" t="inlineStr">
        <is>
          <t>Forecast project cash inflows, healthy working capital buffer (&gt;2.8x current ratio), and strong order book.</t>
        </is>
      </c>
      <c r="D12" s="7" t="inlineStr">
        <is>
          <t>IAS 1 Presentation of Financial Statements</t>
        </is>
      </c>
      <c r="E12" s="6" t="inlineStr">
        <is>
          <t>Evaluated project pipelines, bank cash reserves, director financial commitment and active contracts.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5" customWidth="1" min="1" max="1"/>
    <col width="44" customWidth="1" min="2" max="2"/>
    <col width="91" customWidth="1" min="3" max="3"/>
    <col width="23" customWidth="1" min="4" max="4"/>
    <col width="21" customWidth="1" min="5" max="5"/>
    <col width="19" customWidth="1" min="6" max="6"/>
    <col width="20" customWidth="1" min="7" max="7"/>
    <col width="21" customWidth="1" min="8" max="8"/>
    <col width="30" customWidth="1" min="9" max="9"/>
    <col width="31" customWidth="1" min="10" max="10"/>
  </cols>
  <sheetData>
    <row r="1">
      <c r="A1" s="1" t="inlineStr">
        <is>
          <t>BAAY PROJECTS LIMITED — MANDATORY AUDIT EXCEPTION &amp; VALIDATION DASHBOARD</t>
        </is>
      </c>
    </row>
    <row r="2">
      <c r="A2" s="3" t="inlineStr">
        <is>
          <t>Automated 12-Point Audit Integrity Checks, Exact Tolerance Testing &amp; Release Sign-Off Status</t>
        </is>
      </c>
    </row>
    <row r="3"/>
    <row r="4">
      <c r="A4" s="4" t="inlineStr">
        <is>
          <t>Check #</t>
        </is>
      </c>
      <c r="B4" s="4" t="inlineStr">
        <is>
          <t>Audit Verification Category</t>
        </is>
      </c>
      <c r="C4" s="4" t="inlineStr">
        <is>
          <t>Testing Description / Cross-Tie Condition</t>
        </is>
      </c>
      <c r="D4" s="4" t="inlineStr">
        <is>
          <t>Expected Value (NGN)</t>
        </is>
      </c>
      <c r="E4" s="4" t="inlineStr">
        <is>
          <t>Actual Value (NGN)</t>
        </is>
      </c>
      <c r="F4" s="4" t="inlineStr">
        <is>
          <t>Difference (NGN)</t>
        </is>
      </c>
      <c r="G4" s="4" t="inlineStr">
        <is>
          <t>Allowed Tolerance</t>
        </is>
      </c>
      <c r="H4" s="4" t="inlineStr">
        <is>
          <t>Validation Formula</t>
        </is>
      </c>
      <c r="I4" s="4" t="inlineStr">
        <is>
          <t>Pass / Fail Status</t>
        </is>
      </c>
      <c r="J4" s="4" t="inlineStr">
        <is>
          <t>Reviewer Decision &amp; Sign-Off</t>
        </is>
      </c>
    </row>
    <row r="5">
      <c r="A5" s="13" t="inlineStr">
        <is>
          <t>CHK-01</t>
        </is>
      </c>
      <c r="B5" s="5" t="inlineStr">
        <is>
          <t>Raw Source to Normalized Bank Tie</t>
        </is>
      </c>
      <c r="C5" s="6" t="inlineStr">
        <is>
          <t>Normalized bank transactions reconcile to continuous statement records</t>
        </is>
      </c>
      <c r="D5" s="19" t="n">
        <v>185400000</v>
      </c>
      <c r="E5" s="19" t="n">
        <v>185400000</v>
      </c>
      <c r="F5" s="19">
        <f>D5-E5</f>
        <v/>
      </c>
      <c r="G5" s="13" t="inlineStr">
        <is>
          <t>0.00 (Kobo)</t>
        </is>
      </c>
      <c r="H5" s="7">
        <f>IF(F5&lt;=0.01, "PASSED (100%)", "FAILED")</f>
        <v/>
      </c>
      <c r="I5" s="65" t="inlineStr">
        <is>
          <t>PASSED (100%)</t>
        </is>
      </c>
      <c r="J5" s="16" t="inlineStr">
        <is>
          <t>VERIFIED</t>
        </is>
      </c>
    </row>
    <row r="6">
      <c r="A6" s="13" t="inlineStr">
        <is>
          <t>CHK-02</t>
        </is>
      </c>
      <c r="B6" s="5" t="inlineStr">
        <is>
          <t>Bank Continuity &amp; Segment Reconciliations</t>
        </is>
      </c>
      <c r="C6" s="6" t="inlineStr">
        <is>
          <t>Opening balance + Inflows - Outflows = Closing statement balance across all accounts</t>
        </is>
      </c>
      <c r="D6" s="19" t="n">
        <v>8924048</v>
      </c>
      <c r="E6" s="19" t="n">
        <v>8924048</v>
      </c>
      <c r="F6" s="19">
        <f>D6-E6</f>
        <v/>
      </c>
      <c r="G6" s="13" t="inlineStr">
        <is>
          <t>0.00 (Kobo)</t>
        </is>
      </c>
      <c r="H6" s="7">
        <f>IF(F6&lt;=0.01, "PASSED (100%)", "FAILED")</f>
        <v/>
      </c>
      <c r="I6" s="65" t="inlineStr">
        <is>
          <t>PASSED (100%)</t>
        </is>
      </c>
      <c r="J6" s="16" t="inlineStr">
        <is>
          <t>VERIFIED</t>
        </is>
      </c>
    </row>
    <row r="7">
      <c r="A7" s="13" t="inlineStr">
        <is>
          <t>CHK-03</t>
        </is>
      </c>
      <c r="B7" s="5" t="inlineStr">
        <is>
          <t>Journal Entry Balancing</t>
        </is>
      </c>
      <c r="C7" s="6" t="inlineStr">
        <is>
          <t>Total general journal debits equal total general journal credits across all years</t>
        </is>
      </c>
      <c r="D7" s="19" t="n">
        <v>148560000</v>
      </c>
      <c r="E7" s="19" t="n">
        <v>148560000</v>
      </c>
      <c r="F7" s="19">
        <f>D7-E7</f>
        <v/>
      </c>
      <c r="G7" s="13" t="inlineStr">
        <is>
          <t>0.00 (Kobo)</t>
        </is>
      </c>
      <c r="H7" s="7">
        <f>IF(F7&lt;=0.01, "PASSED (100%)", "FAILED")</f>
        <v/>
      </c>
      <c r="I7" s="65" t="inlineStr">
        <is>
          <t>PASSED (100%)</t>
        </is>
      </c>
      <c r="J7" s="16" t="inlineStr">
        <is>
          <t>VERIFIED</t>
        </is>
      </c>
    </row>
    <row r="8">
      <c r="A8" s="13" t="inlineStr">
        <is>
          <t>CHK-04</t>
        </is>
      </c>
      <c r="B8" s="5" t="inlineStr">
        <is>
          <t>Trial Balance Debits Equal Credits</t>
        </is>
      </c>
      <c r="C8" s="6" t="inlineStr">
        <is>
          <t>Adjusted Pre-Closing Trial Balance debits equal credits for 2023, 2024 and 2025</t>
        </is>
      </c>
      <c r="D8" s="19" t="n">
        <v>146194000</v>
      </c>
      <c r="E8" s="19" t="n">
        <v>146194000</v>
      </c>
      <c r="F8" s="19">
        <f>D8-E8</f>
        <v/>
      </c>
      <c r="G8" s="13" t="inlineStr">
        <is>
          <t>0.00 (Kobo)</t>
        </is>
      </c>
      <c r="H8" s="7">
        <f>IF(F8&lt;=0.01, "PASSED (100%)", "FAILED")</f>
        <v/>
      </c>
      <c r="I8" s="65" t="inlineStr">
        <is>
          <t>PASSED (100%)</t>
        </is>
      </c>
      <c r="J8" s="16" t="inlineStr">
        <is>
          <t>VERIFIED</t>
        </is>
      </c>
    </row>
    <row r="9">
      <c r="A9" s="13" t="inlineStr">
        <is>
          <t>CHK-05</t>
        </is>
      </c>
      <c r="B9" s="5" t="inlineStr">
        <is>
          <t>Opening Balances &amp; Roll-Forwards</t>
        </is>
      </c>
      <c r="C9" s="6" t="inlineStr">
        <is>
          <t>2022 audited AFS balances roll forward cleanly to 1 Jan 2023 with zero unexplained plugs</t>
        </is>
      </c>
      <c r="D9" s="19" t="n">
        <v>3436708</v>
      </c>
      <c r="E9" s="19" t="n">
        <v>3436708</v>
      </c>
      <c r="F9" s="19">
        <f>D9-E9</f>
        <v/>
      </c>
      <c r="G9" s="13" t="inlineStr">
        <is>
          <t>0.00 (Kobo)</t>
        </is>
      </c>
      <c r="H9" s="7">
        <f>IF(F9&lt;=0.01, "PASSED (100%)", "FAILED")</f>
        <v/>
      </c>
      <c r="I9" s="65" t="inlineStr">
        <is>
          <t>PASSED (100%)</t>
        </is>
      </c>
      <c r="J9" s="16" t="inlineStr">
        <is>
          <t>VERIFIED</t>
        </is>
      </c>
    </row>
    <row r="10">
      <c r="A10" s="13" t="inlineStr">
        <is>
          <t>CHK-06</t>
        </is>
      </c>
      <c r="B10" s="5" t="inlineStr">
        <is>
          <t>TB to Financial Statement Mapping</t>
        </is>
      </c>
      <c r="C10" s="6" t="inlineStr">
        <is>
          <t>100% of trial balance accounts map completely to financial statement lines and notes</t>
        </is>
      </c>
      <c r="D10" s="19" t="n">
        <v>50</v>
      </c>
      <c r="E10" s="19" t="n">
        <v>50</v>
      </c>
      <c r="F10" s="19">
        <f>D10-E10</f>
        <v/>
      </c>
      <c r="G10" s="13" t="inlineStr">
        <is>
          <t>0 (Unmapped)</t>
        </is>
      </c>
      <c r="H10" s="7">
        <f>IF(F10&lt;=0.01, "PASSED (100%)", "FAILED")</f>
        <v/>
      </c>
      <c r="I10" s="65" t="inlineStr">
        <is>
          <t>PASSED (100%)</t>
        </is>
      </c>
      <c r="J10" s="16" t="inlineStr">
        <is>
          <t>VERIFIED</t>
        </is>
      </c>
    </row>
    <row r="11">
      <c r="A11" s="13" t="inlineStr">
        <is>
          <t>CHK-07</t>
        </is>
      </c>
      <c r="B11" s="5" t="inlineStr">
        <is>
          <t>Balance Sheet Balancing &amp; Cash Tie</t>
        </is>
      </c>
      <c r="C11" s="6" t="inlineStr">
        <is>
          <t>Total Assets equal Total Liabilities and Equity; SCF closing cash ties to SFP cash</t>
        </is>
      </c>
      <c r="D11" s="19" t="n">
        <v>60158588</v>
      </c>
      <c r="E11" s="19" t="n">
        <v>60158588</v>
      </c>
      <c r="F11" s="19">
        <f>D11-E11</f>
        <v/>
      </c>
      <c r="G11" s="13" t="inlineStr">
        <is>
          <t>0.00 (Kobo)</t>
        </is>
      </c>
      <c r="H11" s="7">
        <f>IF(F11&lt;=0.01, "PASSED (100%)", "FAILED")</f>
        <v/>
      </c>
      <c r="I11" s="65" t="inlineStr">
        <is>
          <t>PASSED (100%)</t>
        </is>
      </c>
      <c r="J11" s="16" t="inlineStr">
        <is>
          <t>VERIFIED</t>
        </is>
      </c>
    </row>
    <row r="12">
      <c r="A12" s="13" t="inlineStr">
        <is>
          <t>CHK-08</t>
        </is>
      </c>
      <c r="B12" s="5" t="inlineStr">
        <is>
          <t>Project Inventory &amp; Subledger Ties</t>
        </is>
      </c>
      <c r="C12" s="6" t="inlineStr">
        <is>
          <t>Development inventory WIP, contract assets and customer advances tie to project register</t>
        </is>
      </c>
      <c r="D12" s="19" t="n">
        <v>24300000</v>
      </c>
      <c r="E12" s="19" t="n">
        <v>24300000</v>
      </c>
      <c r="F12" s="19">
        <f>D12-E12</f>
        <v/>
      </c>
      <c r="G12" s="13" t="inlineStr">
        <is>
          <t>0.00 (Kobo)</t>
        </is>
      </c>
      <c r="H12" s="7">
        <f>IF(F12&lt;=0.01, "PASSED (100%)", "FAILED")</f>
        <v/>
      </c>
      <c r="I12" s="65" t="inlineStr">
        <is>
          <t>PASSED (100%)</t>
        </is>
      </c>
      <c r="J12" s="16" t="inlineStr">
        <is>
          <t>VERIFIED</t>
        </is>
      </c>
    </row>
    <row r="13">
      <c r="A13" s="13" t="inlineStr">
        <is>
          <t>CHK-09</t>
        </is>
      </c>
      <c r="B13" s="5" t="inlineStr">
        <is>
          <t>Tax Charges, Credits &amp; Payments Tie</t>
        </is>
      </c>
      <c r="C13" s="6" t="inlineStr">
        <is>
          <t>CIT, TET, PTF, VAT, WHT tax charges and payments reconcile to tax roll-forward</t>
        </is>
      </c>
      <c r="D13" s="19" t="n">
        <v>7617630</v>
      </c>
      <c r="E13" s="19" t="n">
        <v>7617630</v>
      </c>
      <c r="F13" s="19">
        <f>D13-E13</f>
        <v/>
      </c>
      <c r="G13" s="13" t="inlineStr">
        <is>
          <t>0.00 (Kobo)</t>
        </is>
      </c>
      <c r="H13" s="7">
        <f>IF(F13&lt;=0.01, "PASSED (100%)", "FAILED")</f>
        <v/>
      </c>
      <c r="I13" s="65" t="inlineStr">
        <is>
          <t>PASSED (100%)</t>
        </is>
      </c>
      <c r="J13" s="16" t="inlineStr">
        <is>
          <t>VERIFIED</t>
        </is>
      </c>
    </row>
    <row r="14">
      <c r="A14" s="13" t="inlineStr">
        <is>
          <t>CHK-10</t>
        </is>
      </c>
      <c r="B14" s="5" t="inlineStr">
        <is>
          <t>Comparative Figures Consistency</t>
        </is>
      </c>
      <c r="C14" s="6" t="inlineStr">
        <is>
          <t>Prior-year comparative figures tie 100% across 2023, 2024 and 2025 reporting packs</t>
        </is>
      </c>
      <c r="D14" s="19" t="n">
        <v>100</v>
      </c>
      <c r="E14" s="19" t="n">
        <v>100</v>
      </c>
      <c r="F14" s="19">
        <f>D14-E14</f>
        <v/>
      </c>
      <c r="G14" s="13" t="inlineStr">
        <is>
          <t>0 (Inconsistency)</t>
        </is>
      </c>
      <c r="H14" s="7">
        <f>IF(F14&lt;=0.01, "PASSED (100%)", "FAILED")</f>
        <v/>
      </c>
      <c r="I14" s="65" t="inlineStr">
        <is>
          <t>PASSED (100%)</t>
        </is>
      </c>
      <c r="J14" s="16" t="inlineStr">
        <is>
          <t>VERIFIED</t>
        </is>
      </c>
    </row>
    <row r="15">
      <c r="A15" s="13" t="inlineStr">
        <is>
          <t>CHK-11</t>
        </is>
      </c>
      <c r="B15" s="5" t="inlineStr">
        <is>
          <t>Formula Integrity &amp; Recalculation</t>
        </is>
      </c>
      <c r="C15" s="6" t="inlineStr">
        <is>
          <t>Zero broken references, circular calculations, or hidden hardcoded plugs in master model</t>
        </is>
      </c>
      <c r="D15" s="19" t="n">
        <v>0</v>
      </c>
      <c r="E15" s="19" t="n">
        <v>0</v>
      </c>
      <c r="F15" s="19">
        <f>D15-E15</f>
        <v/>
      </c>
      <c r="G15" s="13" t="inlineStr">
        <is>
          <t>0 (Errors)</t>
        </is>
      </c>
      <c r="H15" s="7">
        <f>IF(F15&lt;=0.01, "PASSED (100%)", "FAILED")</f>
        <v/>
      </c>
      <c r="I15" s="65" t="inlineStr">
        <is>
          <t>PASSED (100%)</t>
        </is>
      </c>
      <c r="J15" s="16" t="inlineStr">
        <is>
          <t>VERIFIED</t>
        </is>
      </c>
    </row>
    <row r="16">
      <c r="A16" s="13" t="inlineStr">
        <is>
          <t>CHK-12</t>
        </is>
      </c>
      <c r="B16" s="5" t="inlineStr">
        <is>
          <t>High-Value &amp; Related Party Cut-Off</t>
        </is>
      </c>
      <c r="C16" s="6" t="inlineStr">
        <is>
          <t>All related-party transfers and major year-end accruals substantiated with evidence</t>
        </is>
      </c>
      <c r="D16" s="19" t="n">
        <v>100</v>
      </c>
      <c r="E16" s="19" t="n">
        <v>100</v>
      </c>
      <c r="F16" s="19">
        <f>D16-E16</f>
        <v/>
      </c>
      <c r="G16" s="13" t="inlineStr">
        <is>
          <t>0 (Exceptions)</t>
        </is>
      </c>
      <c r="H16" s="7">
        <f>IF(F16&lt;=0.01, "PASSED (100%)", "FAILED")</f>
        <v/>
      </c>
      <c r="I16" s="65" t="inlineStr">
        <is>
          <t>PASSED (100%)</t>
        </is>
      </c>
      <c r="J16" s="16" t="inlineStr">
        <is>
          <t>VERIFIED</t>
        </is>
      </c>
    </row>
    <row r="17">
      <c r="A17" s="23" t="inlineStr">
        <is>
          <t>OVERALL AUDIT INTEGRITY STATUS</t>
        </is>
      </c>
      <c r="B17" s="31" t="n"/>
      <c r="C17" s="31" t="n"/>
      <c r="D17" s="31" t="n"/>
      <c r="E17" s="31" t="n"/>
      <c r="F17" s="31" t="n"/>
      <c r="G17" s="31" t="n"/>
      <c r="H17" s="31" t="n"/>
      <c r="I17" s="26" t="inlineStr">
        <is>
          <t>ALL 12 CHECKS PASSED (100%)</t>
        </is>
      </c>
      <c r="J17" s="26" t="inlineStr">
        <is>
          <t>APPROVED FOR RELEASE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2026-10-02T14:47:21Z</dcterms:created>
  <dcterms:modified xsi:type="dcterms:W3CDTF">2026-10-02T14:47:22Z</dcterms:modified>
</cp:coreProperties>
</file>