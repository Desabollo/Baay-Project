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rol_Readme" sheetId="1" state="visible" r:id="rId1"/>
    <sheet name="Entity_Register" sheetId="2" state="visible" r:id="rId2"/>
    <sheet name="Sources_InfoGap" sheetId="3" state="visible" r:id="rId3"/>
    <sheet name="Opening_Balance_Bridge" sheetId="4" state="visible" r:id="rId4"/>
    <sheet name="Chart_of_Accounts" sheetId="5" state="visible" r:id="rId5"/>
    <sheet name="Coverage_Bank_Matrix" sheetId="6" state="visible" r:id="rId6"/>
    <sheet name="Normalized_Bank_Data" sheetId="7" state="visible" r:id="rId7"/>
    <sheet name="Interbank_Transfers" sheetId="8" state="visible" r:id="rId8"/>
    <sheet name="Journal_Entries" sheetId="9" state="visible" r:id="rId9"/>
    <sheet name="GL_Ledgers" sheetId="10" state="visible" r:id="rId10"/>
    <sheet name="TB_Unadjusted" sheetId="11" state="visible" r:id="rId11"/>
    <sheet name="TB_Adjusted_PreClosing" sheetId="12" state="visible" r:id="rId12"/>
    <sheet name="TB_PostClosing" sheetId="13" state="visible" r:id="rId13"/>
    <sheet name="GL_Index_Mapping" sheetId="14" state="visible" r:id="rId14"/>
    <sheet name="Project_Register" sheetId="15" state="visible" r:id="rId15"/>
    <sheet name="IFRS15_Revenue_WIP" sheetId="16" state="visible" r:id="rId16"/>
    <sheet name="PPE_Depreciation" sheetId="17" state="visible" r:id="rId17"/>
    <sheet name="Receivables_ECL_Payables" sheetId="18" state="visible" r:id="rId18"/>
    <sheet name="Related_Parties_Equity" sheetId="19" state="visible" r:id="rId19"/>
    <sheet name="Tax_Law_Matrix" sheetId="20" state="visible" r:id="rId20"/>
    <sheet name="CIT_TET_MinTax" sheetId="21" state="visible" r:id="rId21"/>
    <sheet name="Capital_Allowances_Losses" sheetId="22" state="visible" r:id="rId22"/>
    <sheet name="VAT_Monthly" sheetId="23" state="visible" r:id="rId23"/>
    <sheet name="WHT_Receivable_Payable" sheetId="24" state="visible" r:id="rId24"/>
    <sheet name="Deferred_Tax_IAS12" sheetId="25" state="visible" r:id="rId25"/>
    <sheet name="Tax_Payable_Rollforward" sheetId="26" state="visible" r:id="rId26"/>
    <sheet name="AFS_2023" sheetId="27" state="visible" r:id="rId27"/>
    <sheet name="Notes_2023" sheetId="28" state="visible" r:id="rId28"/>
    <sheet name="AFS_2024" sheetId="29" state="visible" r:id="rId29"/>
    <sheet name="Notes_2024" sheetId="30" state="visible" r:id="rId30"/>
    <sheet name="AFS_2025" sheetId="31" state="visible" r:id="rId31"/>
    <sheet name="Notes_2025" sheetId="32" state="visible" r:id="rId32"/>
    <sheet name="Three_Year_Summary" sheetId="33" state="visible" r:id="rId33"/>
    <sheet name="Cash_Flow_Workings" sheetId="34" state="visible" r:id="rId34"/>
    <sheet name="Assumptions_Estimates" sheetId="35" state="visible" r:id="rId35"/>
    <sheet name="Exception_Dashboard_Checks" sheetId="36" state="visible" r:id="rId36"/>
  </sheets>
  <definedNames/>
  <calcPr calcId="124519" calcMode="auto" fullCalcOnLoad="1" forceFullCalc="1"/>
</workbook>
</file>

<file path=xl/styles.xml><?xml version="1.0" encoding="utf-8"?>
<styleSheet xmlns="http://schemas.openxmlformats.org/spreadsheetml/2006/main">
  <numFmts count="4">
    <numFmt numFmtId="164" formatCode="yyyy-mm-dd h:mm:ss"/>
    <numFmt numFmtId="165" formatCode="dd\-mmm\-yyyy"/>
    <numFmt numFmtId="166" formatCode="#,##0;\(#,##0\);\-"/>
    <numFmt numFmtId="167" formatCode="#,##0.00;[Red](#,##0.00);-"/>
  </numFmts>
  <fonts count="14">
    <font>
      <name val="Calibri"/>
      <family val="2"/>
      <color theme="1"/>
      <sz val="11"/>
      <scheme val="minor"/>
    </font>
    <font>
      <name val="Calibri"/>
      <b val="1"/>
      <color rgb="001F4E79"/>
      <sz val="13"/>
    </font>
    <font>
      <name val="Calibri"/>
      <b val="1"/>
      <color rgb="001F4E79"/>
      <sz val="11"/>
    </font>
    <font>
      <name val="Calibri"/>
      <i val="1"/>
      <color rgb="00595959"/>
      <sz val="8"/>
    </font>
    <font>
      <name val="Calibri"/>
      <b val="1"/>
      <color rgb="00FFFFFF"/>
      <sz val="9"/>
    </font>
    <font>
      <name val="Calibri"/>
      <b val="1"/>
      <sz val="9"/>
    </font>
    <font>
      <name val="Calibri"/>
      <sz val="9"/>
    </font>
    <font>
      <name val="Calibri"/>
      <b val="1"/>
      <color rgb="00375623"/>
      <sz val="9"/>
    </font>
    <font>
      <name val="Calibri"/>
      <b val="1"/>
      <color rgb="00C00000"/>
      <sz val="9"/>
    </font>
    <font>
      <name val="Calibri"/>
      <i val="1"/>
      <color rgb="00595959"/>
      <sz val="9"/>
    </font>
    <font>
      <b val="1"/>
      <color rgb="00FFFFFF"/>
      <sz val="8"/>
    </font>
    <font>
      <name val="Calibri"/>
      <b val="1"/>
      <color rgb="00FFFFFF"/>
      <sz val="8"/>
    </font>
    <font>
      <name val="Calibri"/>
      <sz val="8"/>
    </font>
    <font>
      <b val="1"/>
      <color rgb="00375623"/>
    </font>
  </fonts>
  <fills count="10">
    <fill>
      <patternFill/>
    </fill>
    <fill>
      <patternFill patternType="gray125"/>
    </fill>
    <fill>
      <patternFill patternType="solid">
        <fgColor rgb="001F4E79"/>
        <bgColor rgb="001F4E79"/>
      </patternFill>
    </fill>
    <fill>
      <patternFill patternType="solid">
        <fgColor rgb="00F9FAFB"/>
        <bgColor rgb="00F9FAFB"/>
      </patternFill>
    </fill>
    <fill>
      <patternFill patternType="solid">
        <fgColor rgb="00EAECEE"/>
        <bgColor rgb="00EAECEE"/>
      </patternFill>
    </fill>
    <fill>
      <patternFill patternType="solid">
        <fgColor rgb="00D9E1F2"/>
        <bgColor rgb="00D9E1F2"/>
      </patternFill>
    </fill>
    <fill>
      <patternFill patternType="solid">
        <fgColor rgb="002F5597"/>
        <bgColor rgb="002F5597"/>
      </patternFill>
    </fill>
    <fill>
      <patternFill patternType="solid">
        <fgColor rgb="00E2EFDA"/>
        <bgColor rgb="00E2EFDA"/>
      </patternFill>
    </fill>
    <fill>
      <patternFill patternType="solid">
        <fgColor rgb="001F4E79"/>
      </patternFill>
    </fill>
    <fill>
      <patternFill patternType="solid">
        <fgColor rgb="00FAFAFA"/>
      </patternFill>
    </fill>
  </fills>
  <borders count="3">
    <border>
      <left/>
      <right/>
      <top/>
      <bottom/>
      <diagonal/>
    </border>
    <border>
      <left style="thin">
        <color rgb="00D9D9D9"/>
      </left>
      <right style="thin">
        <color rgb="00D9D9D9"/>
      </right>
      <top style="thin">
        <color rgb="00D9D9D9"/>
      </top>
      <bottom style="thin">
        <color rgb="00D9D9D9"/>
      </bottom>
    </border>
    <border>
      <left style="thin">
        <color rgb="00D9D9D9"/>
      </left>
      <right style="thin">
        <color rgb="00D9D9D9"/>
      </right>
      <top style="thin">
        <color rgb="00D9D9D9"/>
      </top>
      <bottom style="double">
        <color rgb="001F4E79"/>
      </bottom>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xf>
    <xf numFmtId="0" fontId="5" fillId="0" borderId="1" pivotButton="0" quotePrefix="0" xfId="0"/>
    <xf numFmtId="0" fontId="6" fillId="0" borderId="1" pivotButton="0" quotePrefix="0" xfId="0"/>
    <xf numFmtId="0" fontId="3" fillId="0" borderId="1" pivotButton="0" quotePrefix="0" xfId="0"/>
    <xf numFmtId="0" fontId="5" fillId="3" borderId="1" pivotButton="0" quotePrefix="0" xfId="0"/>
    <xf numFmtId="0" fontId="6" fillId="3" borderId="1" pivotButton="0" quotePrefix="0" xfId="0"/>
    <xf numFmtId="0" fontId="3" fillId="3" borderId="1" pivotButton="0" quotePrefix="0" xfId="0"/>
    <xf numFmtId="0" fontId="0" fillId="3" borderId="1" applyAlignment="1" pivotButton="0" quotePrefix="0" xfId="0">
      <alignment horizontal="center" vertical="center"/>
    </xf>
    <xf numFmtId="0" fontId="7" fillId="3" borderId="1" applyAlignment="1" pivotButton="0" quotePrefix="0" xfId="0">
      <alignment horizontal="center" vertical="center"/>
    </xf>
    <xf numFmtId="0" fontId="0" fillId="0" borderId="1" applyAlignment="1" pivotButton="0" quotePrefix="0" xfId="0">
      <alignment horizontal="center" vertical="center"/>
    </xf>
    <xf numFmtId="0" fontId="7" fillId="0" borderId="1" applyAlignment="1" pivotButton="0" quotePrefix="0" xfId="0">
      <alignment horizontal="center" vertical="center"/>
    </xf>
    <xf numFmtId="0" fontId="5" fillId="3" borderId="1" applyAlignment="1" pivotButton="0" quotePrefix="0" xfId="0">
      <alignment horizontal="center" vertical="center"/>
    </xf>
    <xf numFmtId="0" fontId="5" fillId="0" borderId="1" applyAlignment="1" pivotButton="0" quotePrefix="0" xfId="0">
      <alignment horizontal="center" vertical="center"/>
    </xf>
    <xf numFmtId="4" fontId="5" fillId="3" borderId="1" applyAlignment="1" pivotButton="0" quotePrefix="0" xfId="0">
      <alignment horizontal="right" vertical="center"/>
    </xf>
    <xf numFmtId="0" fontId="8" fillId="3" borderId="1" applyAlignment="1" pivotButton="0" quotePrefix="0" xfId="0">
      <alignment horizontal="center" vertical="center"/>
    </xf>
    <xf numFmtId="4" fontId="5" fillId="0" borderId="1" applyAlignment="1" pivotButton="0" quotePrefix="0" xfId="0">
      <alignment horizontal="right" vertical="center"/>
    </xf>
    <xf numFmtId="0" fontId="8" fillId="0" borderId="1" applyAlignment="1" pivotButton="0" quotePrefix="0" xfId="0">
      <alignment horizontal="center" vertical="center"/>
    </xf>
    <xf numFmtId="4" fontId="6" fillId="0" borderId="1" applyAlignment="1" pivotButton="0" quotePrefix="0" xfId="0">
      <alignment horizontal="right" vertical="center"/>
    </xf>
    <xf numFmtId="4" fontId="6" fillId="3" borderId="1" applyAlignment="1" pivotButton="0" quotePrefix="0" xfId="0">
      <alignment horizontal="right" vertical="center"/>
    </xf>
    <xf numFmtId="0" fontId="5" fillId="4" borderId="2" pivotButton="0" quotePrefix="0" xfId="0"/>
    <xf numFmtId="4" fontId="5" fillId="4" borderId="2" applyAlignment="1" pivotButton="0" quotePrefix="0" xfId="0">
      <alignment horizontal="right" vertical="center"/>
    </xf>
    <xf numFmtId="0" fontId="3" fillId="4" borderId="2" pivotButton="0" quotePrefix="0" xfId="0"/>
    <xf numFmtId="0" fontId="7" fillId="4" borderId="2" applyAlignment="1" pivotButton="0" quotePrefix="0" xfId="0">
      <alignment horizontal="center" vertical="center"/>
    </xf>
    <xf numFmtId="4" fontId="0" fillId="0" borderId="1" applyAlignment="1" pivotButton="0" quotePrefix="0" xfId="0">
      <alignment horizontal="right" vertical="center"/>
    </xf>
    <xf numFmtId="4" fontId="0" fillId="3" borderId="1" applyAlignment="1" pivotButton="0" quotePrefix="0" xfId="0">
      <alignment horizontal="right" vertical="center"/>
    </xf>
    <xf numFmtId="0" fontId="6" fillId="0" borderId="1" applyAlignment="1" pivotButton="0" quotePrefix="0" xfId="0">
      <alignment horizontal="center" vertical="center"/>
    </xf>
    <xf numFmtId="0" fontId="6" fillId="3" borderId="1" applyAlignment="1" pivotButton="0" quotePrefix="0" xfId="0">
      <alignment horizontal="center" vertical="center"/>
    </xf>
    <xf numFmtId="0" fontId="0" fillId="4" borderId="2" pivotButton="0" quotePrefix="0" xfId="0"/>
    <xf numFmtId="3" fontId="0" fillId="3" borderId="1" applyAlignment="1" pivotButton="0" quotePrefix="0" xfId="0">
      <alignment horizontal="center" vertical="center"/>
    </xf>
    <xf numFmtId="10" fontId="0" fillId="3" borderId="1" applyAlignment="1" pivotButton="0" quotePrefix="0" xfId="0">
      <alignment horizontal="right" vertical="center"/>
    </xf>
    <xf numFmtId="0" fontId="7" fillId="3" borderId="1" pivotButton="0" quotePrefix="0" xfId="0"/>
    <xf numFmtId="3" fontId="0" fillId="0" borderId="1" applyAlignment="1" pivotButton="0" quotePrefix="0" xfId="0">
      <alignment horizontal="center" vertical="center"/>
    </xf>
    <xf numFmtId="10" fontId="0" fillId="0" borderId="1" applyAlignment="1" pivotButton="0" quotePrefix="0" xfId="0">
      <alignment horizontal="right" vertical="center"/>
    </xf>
    <xf numFmtId="0" fontId="7" fillId="0" borderId="1" pivotButton="0" quotePrefix="0" xfId="0"/>
    <xf numFmtId="0" fontId="0" fillId="5" borderId="2" pivotButton="0" quotePrefix="0" xfId="0"/>
    <xf numFmtId="0" fontId="5" fillId="5" borderId="2" pivotButton="0" quotePrefix="0" xfId="0"/>
    <xf numFmtId="3" fontId="5" fillId="5" borderId="2" applyAlignment="1" pivotButton="0" quotePrefix="0" xfId="0">
      <alignment horizontal="center" vertical="center"/>
    </xf>
    <xf numFmtId="4" fontId="5" fillId="5" borderId="2" applyAlignment="1" pivotButton="0" quotePrefix="0" xfId="0">
      <alignment horizontal="right" vertical="center"/>
    </xf>
    <xf numFmtId="0" fontId="6" fillId="4" borderId="2" pivotButton="0" quotePrefix="0" xfId="0"/>
    <xf numFmtId="10" fontId="6" fillId="0" borderId="1" applyAlignment="1" pivotButton="0" quotePrefix="0" xfId="0">
      <alignment horizontal="center" vertical="center"/>
    </xf>
    <xf numFmtId="10" fontId="0" fillId="3" borderId="1" applyAlignment="1" pivotButton="0" quotePrefix="0" xfId="0">
      <alignment horizontal="center" vertical="center"/>
    </xf>
    <xf numFmtId="0" fontId="0" fillId="4" borderId="2" applyAlignment="1" pivotButton="0" quotePrefix="0" xfId="0">
      <alignment horizontal="center" vertical="center"/>
    </xf>
    <xf numFmtId="10" fontId="0" fillId="0" borderId="1" applyAlignment="1" pivotButton="0" quotePrefix="0" xfId="0">
      <alignment horizontal="center" vertical="center"/>
    </xf>
    <xf numFmtId="0" fontId="5" fillId="4" borderId="2" applyAlignment="1" pivotButton="0" quotePrefix="0" xfId="0">
      <alignment horizontal="center" vertical="center"/>
    </xf>
    <xf numFmtId="0" fontId="3" fillId="3" borderId="1" applyAlignment="1" pivotButton="0" quotePrefix="0" xfId="0">
      <alignment horizontal="left" vertical="center"/>
    </xf>
    <xf numFmtId="0" fontId="3" fillId="0" borderId="1" applyAlignment="1" pivotButton="0" quotePrefix="0" xfId="0">
      <alignment horizontal="left" vertical="center"/>
    </xf>
    <xf numFmtId="0" fontId="0" fillId="3" borderId="1" pivotButton="0" quotePrefix="0" xfId="0"/>
    <xf numFmtId="0" fontId="5" fillId="5" borderId="1" pivotButton="0" quotePrefix="0" xfId="0"/>
    <xf numFmtId="0" fontId="0" fillId="5" borderId="1" pivotButton="0" quotePrefix="0" xfId="0"/>
    <xf numFmtId="4" fontId="5" fillId="5" borderId="1" applyAlignment="1" pivotButton="0" quotePrefix="0" xfId="0">
      <alignment horizontal="right" vertical="center"/>
    </xf>
    <xf numFmtId="0" fontId="7" fillId="5" borderId="1" applyAlignment="1" pivotButton="0" quotePrefix="0" xfId="0">
      <alignment horizontal="center" vertical="center"/>
    </xf>
    <xf numFmtId="0" fontId="5" fillId="4" borderId="1" pivotButton="0" quotePrefix="0" xfId="0"/>
    <xf numFmtId="0" fontId="0" fillId="4" borderId="1" pivotButton="0" quotePrefix="0" xfId="0"/>
    <xf numFmtId="4" fontId="5" fillId="4" borderId="1" applyAlignment="1" pivotButton="0" quotePrefix="0" xfId="0">
      <alignment horizontal="right" vertical="center"/>
    </xf>
    <xf numFmtId="0" fontId="3" fillId="4" borderId="1" pivotButton="0" quotePrefix="0" xfId="0"/>
    <xf numFmtId="0" fontId="0" fillId="0" borderId="1" pivotButton="0" quotePrefix="0" xfId="0"/>
    <xf numFmtId="0" fontId="3" fillId="5" borderId="1" pivotButton="0" quotePrefix="0" xfId="0"/>
    <xf numFmtId="0" fontId="7" fillId="4" borderId="2" pivotButton="0" quotePrefix="0" xfId="0"/>
    <xf numFmtId="0" fontId="4" fillId="6" borderId="1" pivotButton="0" quotePrefix="0" xfId="0"/>
    <xf numFmtId="0" fontId="0" fillId="6" borderId="1" pivotButton="0" quotePrefix="0" xfId="0"/>
    <xf numFmtId="0" fontId="3" fillId="6" borderId="1" pivotButton="0" quotePrefix="0" xfId="0"/>
    <xf numFmtId="10" fontId="5" fillId="0" borderId="1" applyAlignment="1" pivotButton="0" quotePrefix="0" xfId="0">
      <alignment horizontal="right" vertical="center"/>
    </xf>
    <xf numFmtId="10" fontId="5" fillId="3" borderId="1" applyAlignment="1" pivotButton="0" quotePrefix="0" xfId="0">
      <alignment horizontal="right" vertical="center"/>
    </xf>
    <xf numFmtId="10" fontId="5" fillId="4" borderId="2" applyAlignment="1" pivotButton="0" quotePrefix="0" xfId="0">
      <alignment horizontal="right" vertical="center"/>
    </xf>
    <xf numFmtId="10" fontId="6" fillId="0" borderId="1" applyAlignment="1" pivotButton="0" quotePrefix="0" xfId="0">
      <alignment horizontal="right" vertical="center"/>
    </xf>
    <xf numFmtId="10" fontId="6" fillId="3" borderId="1" applyAlignment="1" pivotButton="0" quotePrefix="0" xfId="0">
      <alignment horizontal="right" vertical="center"/>
    </xf>
    <xf numFmtId="2" fontId="6" fillId="3" borderId="1" applyAlignment="1" pivotButton="0" quotePrefix="0" xfId="0">
      <alignment horizontal="right" vertical="center"/>
    </xf>
    <xf numFmtId="0" fontId="7" fillId="7" borderId="1" applyAlignment="1" pivotButton="0" quotePrefix="0" xfId="0">
      <alignment horizontal="center" vertical="center"/>
    </xf>
    <xf numFmtId="0" fontId="9" fillId="0" borderId="0" pivotButton="0" quotePrefix="0" xfId="0"/>
    <xf numFmtId="0" fontId="10" fillId="8" borderId="1" pivotButton="0" quotePrefix="0" xfId="0"/>
    <xf numFmtId="0" fontId="11" fillId="8" borderId="1" applyAlignment="1" pivotButton="0" quotePrefix="0" xfId="0">
      <alignment vertical="top" wrapText="1"/>
    </xf>
    <xf numFmtId="0" fontId="12" fillId="0" borderId="1" applyAlignment="1" pivotButton="0" quotePrefix="0" xfId="0">
      <alignment vertical="top" wrapText="1"/>
    </xf>
    <xf numFmtId="165" fontId="12" fillId="0" borderId="1" applyAlignment="1" pivotButton="0" quotePrefix="0" xfId="0">
      <alignment vertical="top" wrapText="1"/>
    </xf>
    <xf numFmtId="166" fontId="12" fillId="0" borderId="1" applyAlignment="1" pivotButton="0" quotePrefix="0" xfId="0">
      <alignment vertical="top" wrapText="1"/>
    </xf>
    <xf numFmtId="0" fontId="12" fillId="9" borderId="1" applyAlignment="1" pivotButton="0" quotePrefix="0" xfId="0">
      <alignment vertical="top" wrapText="1"/>
    </xf>
    <xf numFmtId="165" fontId="12" fillId="9" borderId="1" applyAlignment="1" pivotButton="0" quotePrefix="0" xfId="0">
      <alignment vertical="top" wrapText="1"/>
    </xf>
    <xf numFmtId="166" fontId="12" fillId="9" borderId="1" applyAlignment="1" pivotButton="0" quotePrefix="0" xfId="0">
      <alignment vertical="top" wrapText="1"/>
    </xf>
    <xf numFmtId="167" fontId="0" fillId="0" borderId="1" pivotButton="0" quotePrefix="0" xfId="0"/>
    <xf numFmtId="167" fontId="5" fillId="0" borderId="1" applyAlignment="1" pivotButton="0" quotePrefix="0" xfId="0">
      <alignment horizontal="right" vertical="center"/>
    </xf>
    <xf numFmtId="0" fontId="13" fillId="7" borderId="1" applyAlignment="1" pivotButton="0" quotePrefix="0" xfId="0">
      <alignment horizontal="center" vertical="center"/>
    </xf>
    <xf numFmtId="3" fontId="12" fillId="9" borderId="1" applyAlignment="1" pivotButton="0" quotePrefix="0" xfId="0">
      <alignment vertical="top" wrapText="1"/>
    </xf>
    <xf numFmtId="3" fontId="1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6"/>
  <sheetViews>
    <sheetView showGridLines="1" workbookViewId="0">
      <pane ySplit="5" topLeftCell="A6" activePane="bottomLeft" state="frozen"/>
      <selection pane="bottomLeft" activeCell="A1" sqref="A1"/>
    </sheetView>
  </sheetViews>
  <sheetFormatPr baseColWidth="8" defaultRowHeight="15"/>
  <cols>
    <col width="125" customWidth="1" min="1" max="1"/>
    <col width="100" customWidth="1" min="2" max="2"/>
    <col width="58" customWidth="1" min="3" max="3"/>
    <col width="86" customWidth="1" min="4" max="4"/>
    <col width="26" customWidth="1" min="5" max="5"/>
    <col width="18" customWidth="1" min="6" max="6"/>
  </cols>
  <sheetData>
    <row r="1">
      <c r="A1" s="1" t="inlineStr">
        <is>
          <t>BAAY PROJECTS LIMITED (RC 1526224)</t>
        </is>
      </c>
    </row>
    <row r="2">
      <c r="A2" s="2" t="inlineStr">
        <is>
          <t>MASTER IFRS ACCOUNTING WORKBOOK &amp; THREE-YEAR AUDIT-READY FINANCIAL STATEMENTS (2023 - 2025)</t>
        </is>
      </c>
    </row>
    <row r="3">
      <c r="A3" s="3" t="inlineStr">
        <is>
          <t>Prepared in compliance with International Financial Reporting Standards (IFRS), CAMA 2020, CITA, TETFA &amp; Nigerian Tax Laws</t>
        </is>
      </c>
    </row>
    <row r="4"/>
    <row r="5">
      <c r="A5" s="4" t="inlineStr">
        <is>
          <t>Parameter</t>
        </is>
      </c>
      <c r="B5" s="4" t="inlineStr">
        <is>
          <t>Detail / Specification</t>
        </is>
      </c>
      <c r="C5" s="4" t="inlineStr">
        <is>
          <t>Statutory &amp; Reporting Reference</t>
        </is>
      </c>
    </row>
    <row r="6">
      <c r="A6" s="5" t="inlineStr">
        <is>
          <t>Entity Name</t>
        </is>
      </c>
      <c r="B6" s="6" t="inlineStr">
        <is>
          <t>BAAY PROJECTS LIMITED</t>
        </is>
      </c>
      <c r="C6" s="7" t="inlineStr">
        <is>
          <t>Corporate Affairs Commission (CAC)</t>
        </is>
      </c>
    </row>
    <row r="7">
      <c r="A7" s="8" t="inlineStr">
        <is>
          <t>Registration Number</t>
        </is>
      </c>
      <c r="B7" s="9" t="inlineStr">
        <is>
          <t>RC 1526224</t>
        </is>
      </c>
      <c r="C7" s="10" t="inlineStr">
        <is>
          <t>CAMA 2020 Registration</t>
        </is>
      </c>
    </row>
    <row r="8">
      <c r="A8" s="5" t="inlineStr">
        <is>
          <t>Former Corporate Name</t>
        </is>
      </c>
      <c r="B8" s="6" t="inlineStr">
        <is>
          <t>BAAY DEGOK NIG LTD (name changed 28 June 2021)</t>
        </is>
      </c>
      <c r="C8" s="7" t="inlineStr">
        <is>
          <t>CAC Status Report dated 26 August 2026</t>
        </is>
      </c>
    </row>
    <row r="9">
      <c r="A9" s="8" t="inlineStr">
        <is>
          <t>Tax Identification Number (TIN)</t>
        </is>
      </c>
      <c r="B9" s="9" t="inlineStr">
        <is>
          <t>21548976-0001</t>
        </is>
      </c>
      <c r="C9" s="10" t="inlineStr">
        <is>
          <t>Federal Inland Revenue Service (FIRS) / Tax Authorities</t>
        </is>
      </c>
    </row>
    <row r="10">
      <c r="A10" s="5" t="inlineStr">
        <is>
          <t>Registered Principal Activities</t>
        </is>
      </c>
      <c r="B10" s="6" t="inlineStr">
        <is>
          <t>Integrated livestock farming, irrigation, cold room, animal farming, poultry, piggery and fishing</t>
        </is>
      </c>
      <c r="C10" s="7" t="inlineStr">
        <is>
          <t>CAC Status Report dated 26 August 2026</t>
        </is>
      </c>
    </row>
    <row r="11">
      <c r="A11" s="8" t="inlineStr">
        <is>
          <t>Functional &amp; Presentation Currency</t>
        </is>
      </c>
      <c r="B11" s="9" t="inlineStr">
        <is>
          <t>Nigerian Naira (NGN / ₦)</t>
        </is>
      </c>
      <c r="C11" s="10" t="inlineStr">
        <is>
          <t>IAS 21 The Effects of Changes in Foreign Exchange Rates</t>
        </is>
      </c>
    </row>
    <row r="12">
      <c r="A12" s="5" t="inlineStr">
        <is>
          <t>Accounting Framework</t>
        </is>
      </c>
      <c r="B12" s="6" t="inlineStr">
        <is>
          <t>Full International Financial Reporting Standards (IFRS)</t>
        </is>
      </c>
      <c r="C12" s="7" t="inlineStr">
        <is>
          <t>Financial Reporting Council of Nigeria (FRCN)</t>
        </is>
      </c>
    </row>
    <row r="13">
      <c r="A13" s="8" t="inlineStr">
        <is>
          <t>Basis of Preparation</t>
        </is>
      </c>
      <c r="B13" s="9" t="inlineStr">
        <is>
          <t>Accrual Accounting, Historical Cost Convention, Going Concern Basis</t>
        </is>
      </c>
      <c r="C13" s="10" t="inlineStr">
        <is>
          <t>IAS 1 Presentation of Financial Statements</t>
        </is>
      </c>
    </row>
    <row r="14">
      <c r="A14" s="5" t="inlineStr">
        <is>
          <t>Reporting Periods</t>
        </is>
      </c>
      <c r="B14" s="6" t="inlineStr">
        <is>
          <t>Years Ended 31 December 2023, 31 December 2024, 31 December 2025</t>
        </is>
      </c>
      <c r="C14" s="7" t="inlineStr">
        <is>
          <t>Annual Audited Reporting Packs with Prior Comparatives</t>
        </is>
      </c>
    </row>
    <row r="15">
      <c r="A15" s="8" t="inlineStr">
        <is>
          <t>Independent Auditor</t>
        </is>
      </c>
      <c r="B15" s="9" t="inlineStr">
        <is>
          <t>Sanni Waheed &amp; Co. (Chartered Accountants)</t>
        </is>
      </c>
      <c r="C15" s="10" t="inlineStr">
        <is>
          <t>Engagement Partner FRC/2016/ICAN/2016/00000013886</t>
        </is>
      </c>
    </row>
    <row r="16">
      <c r="A16" s="5" t="inlineStr">
        <is>
          <t>Audit Status &amp; Pack Classification</t>
        </is>
      </c>
      <c r="B16" s="6" t="inlineStr">
        <is>
          <t>Audit-Ready Draft Financial Statements &amp; Comprehensive Working Papers</t>
        </is>
      </c>
      <c r="C16" s="7" t="inlineStr">
        <is>
          <t>Management Approved for Independent Audit Opinion</t>
        </is>
      </c>
    </row>
    <row r="17">
      <c r="A17" s="8" t="inlineStr">
        <is>
          <t>Master Workbook Version</t>
        </is>
      </c>
      <c r="B17" s="9" t="inlineStr">
        <is>
          <t>Release v3.4 - Linked 3-Year Master Model with Transaction Ledgers</t>
        </is>
      </c>
      <c r="C17" s="10" t="inlineStr">
        <is>
          <t>Final Multi-Year Accounting Model</t>
        </is>
      </c>
    </row>
    <row r="18"/>
    <row r="19">
      <c r="A19" s="2" t="inlineStr">
        <is>
          <t>MASTER WORKBOOK STRUCTURE &amp; SCHEDULE INDEX (36 LOGICAL TABS)</t>
        </is>
      </c>
    </row>
    <row r="20">
      <c r="A20" s="4" t="inlineStr">
        <is>
          <t>Tab #</t>
        </is>
      </c>
      <c r="B20" s="4" t="inlineStr">
        <is>
          <t>Sheet Name</t>
        </is>
      </c>
      <c r="C20" s="4" t="inlineStr">
        <is>
          <t>Logical Functional Area</t>
        </is>
      </c>
      <c r="D20" s="4" t="inlineStr">
        <is>
          <t>Content Description &amp; Key Exhibits</t>
        </is>
      </c>
      <c r="E20" s="4" t="inlineStr">
        <is>
          <t>Formula Status</t>
        </is>
      </c>
      <c r="F20" s="4" t="inlineStr">
        <is>
          <t>Reviewer Status</t>
        </is>
      </c>
    </row>
    <row r="21">
      <c r="A21" s="11" t="n">
        <v>1</v>
      </c>
      <c r="B21" s="8" t="inlineStr">
        <is>
          <t>Control_Readme</t>
        </is>
      </c>
      <c r="C21" s="9" t="inlineStr">
        <is>
          <t>Reporting Outputs</t>
        </is>
      </c>
      <c r="D21" s="9" t="inlineStr">
        <is>
          <t>Executive summary, metadata, master index, release criteria</t>
        </is>
      </c>
      <c r="E21" s="10" t="inlineStr">
        <is>
          <t>Formulas/Static</t>
        </is>
      </c>
      <c r="F21" s="12" t="inlineStr">
        <is>
          <t>VERIFIED</t>
        </is>
      </c>
    </row>
    <row r="22">
      <c r="A22" s="13" t="n">
        <v>2</v>
      </c>
      <c r="B22" s="5" t="inlineStr">
        <is>
          <t>Entity_Register</t>
        </is>
      </c>
      <c r="C22" s="6" t="inlineStr">
        <is>
          <t>Evidence &amp; Legal</t>
        </is>
      </c>
      <c r="D22" s="6" t="inlineStr">
        <is>
          <t>Legal entity profile, aliases, RC 1526224, bank accounts, mandates</t>
        </is>
      </c>
      <c r="E22" s="7" t="inlineStr">
        <is>
          <t>Static Master</t>
        </is>
      </c>
      <c r="F22" s="14" t="inlineStr">
        <is>
          <t>VERIFIED</t>
        </is>
      </c>
    </row>
    <row r="23">
      <c r="A23" s="11" t="n">
        <v>3</v>
      </c>
      <c r="B23" s="8" t="inlineStr">
        <is>
          <t>Sources_InfoGap</t>
        </is>
      </c>
      <c r="C23" s="9" t="inlineStr">
        <is>
          <t>Evidence &amp; Audit</t>
        </is>
      </c>
      <c r="D23" s="9" t="inlineStr">
        <is>
          <t>Information request schedule, evidence inventory, risk &amp; priority matrix</t>
        </is>
      </c>
      <c r="E23" s="10" t="inlineStr">
        <is>
          <t>Summary Formulas</t>
        </is>
      </c>
      <c r="F23" s="12" t="inlineStr">
        <is>
          <t>VERIFIED</t>
        </is>
      </c>
    </row>
    <row r="24">
      <c r="A24" s="13" t="n">
        <v>4</v>
      </c>
      <c r="B24" s="5" t="inlineStr">
        <is>
          <t>Opening_Balance_Bridge</t>
        </is>
      </c>
      <c r="C24" s="6" t="inlineStr">
        <is>
          <t>Evidence &amp; Opening</t>
        </is>
      </c>
      <c r="D24" s="6" t="inlineStr">
        <is>
          <t>2022 audited AFS bridge, tax filing variance analysis, opening cash tie</t>
        </is>
      </c>
      <c r="E24" s="7" t="inlineStr">
        <is>
          <t>Formulas/Links</t>
        </is>
      </c>
      <c r="F24" s="14" t="inlineStr">
        <is>
          <t>VERIFIED</t>
        </is>
      </c>
    </row>
    <row r="25">
      <c r="A25" s="11" t="n">
        <v>5</v>
      </c>
      <c r="B25" s="8" t="inlineStr">
        <is>
          <t>Chart_of_Accounts</t>
        </is>
      </c>
      <c r="C25" s="9" t="inlineStr">
        <is>
          <t>Bookkeeping Control</t>
        </is>
      </c>
      <c r="D25" s="9" t="inlineStr">
        <is>
          <t>Controlled 50-account COA with IFRS mapping, normal balance, tax tag</t>
        </is>
      </c>
      <c r="E25" s="10" t="inlineStr">
        <is>
          <t>Static Master</t>
        </is>
      </c>
      <c r="F25" s="12" t="inlineStr">
        <is>
          <t>VERIFIED</t>
        </is>
      </c>
    </row>
    <row r="26">
      <c r="A26" s="13" t="n">
        <v>6</v>
      </c>
      <c r="B26" s="5" t="inlineStr">
        <is>
          <t>Coverage_Bank_Matrix</t>
        </is>
      </c>
      <c r="C26" s="6" t="inlineStr">
        <is>
          <t>Bank Normalization</t>
        </is>
      </c>
      <c r="D26" s="6" t="inlineStr">
        <is>
          <t>Bank-by-month coverage matrix (2023-2025), missing statement tracker</t>
        </is>
      </c>
      <c r="E26" s="7" t="inlineStr">
        <is>
          <t>Formulas</t>
        </is>
      </c>
      <c r="F26" s="14" t="inlineStr">
        <is>
          <t>VERIFIED</t>
        </is>
      </c>
    </row>
    <row r="27">
      <c r="A27" s="11" t="n">
        <v>7</v>
      </c>
      <c r="B27" s="8" t="inlineStr">
        <is>
          <t>Normalized_Bank_Data</t>
        </is>
      </c>
      <c r="C27" s="9" t="inlineStr">
        <is>
          <t>Bank Normalization</t>
        </is>
      </c>
      <c r="D27" s="9" t="inlineStr">
        <is>
          <t>Granular normalized bank transaction register across all 4 accounts</t>
        </is>
      </c>
      <c r="E27" s="10" t="inlineStr">
        <is>
          <t>Recomputed</t>
        </is>
      </c>
      <c r="F27" s="12" t="inlineStr">
        <is>
          <t>VERIFIED</t>
        </is>
      </c>
    </row>
    <row r="28">
      <c r="A28" s="13" t="n">
        <v>8</v>
      </c>
      <c r="B28" s="5" t="inlineStr">
        <is>
          <t>Interbank_Transfers</t>
        </is>
      </c>
      <c r="C28" s="6" t="inlineStr">
        <is>
          <t>Bank Normalization</t>
        </is>
      </c>
      <c r="D28" s="6" t="inlineStr">
        <is>
          <t>Same-entity interbank transfer matching schedule &amp; COT fee identification</t>
        </is>
      </c>
      <c r="E28" s="7" t="inlineStr">
        <is>
          <t>Matched Formulas</t>
        </is>
      </c>
      <c r="F28" s="14" t="inlineStr">
        <is>
          <t>VERIFIED</t>
        </is>
      </c>
    </row>
    <row r="29">
      <c r="A29" s="11" t="n">
        <v>9</v>
      </c>
      <c r="B29" s="8" t="inlineStr">
        <is>
          <t>Journal_Entries</t>
        </is>
      </c>
      <c r="C29" s="9" t="inlineStr">
        <is>
          <t>Bookkeeping &amp; Accruals</t>
        </is>
      </c>
      <c r="D29" s="9" t="inlineStr">
        <is>
          <t>Complete balanced double-entry journal register (2023-2025)</t>
        </is>
      </c>
      <c r="E29" s="10" t="inlineStr">
        <is>
          <t>Balanced Debits/Credits</t>
        </is>
      </c>
      <c r="F29" s="12" t="inlineStr">
        <is>
          <t>VERIFIED</t>
        </is>
      </c>
    </row>
    <row r="30">
      <c r="A30" s="13" t="n">
        <v>10</v>
      </c>
      <c r="B30" s="5" t="inlineStr">
        <is>
          <t>GL_Ledgers</t>
        </is>
      </c>
      <c r="C30" s="6" t="inlineStr">
        <is>
          <t>General Ledgers</t>
        </is>
      </c>
      <c r="D30" s="6" t="inlineStr">
        <is>
          <t>Transaction-level general ledger for EVERY account in the COA</t>
        </is>
      </c>
      <c r="E30" s="7" t="inlineStr">
        <is>
          <t>Running Formulas</t>
        </is>
      </c>
      <c r="F30" s="14" t="inlineStr">
        <is>
          <t>VERIFIED</t>
        </is>
      </c>
    </row>
    <row r="31">
      <c r="A31" s="11" t="n">
        <v>11</v>
      </c>
      <c r="B31" s="8" t="inlineStr">
        <is>
          <t>TB_Unadjusted</t>
        </is>
      </c>
      <c r="C31" s="9" t="inlineStr">
        <is>
          <t>Trial Balances</t>
        </is>
      </c>
      <c r="D31" s="9" t="inlineStr">
        <is>
          <t>Unadjusted Trial Balances for 2023, 2024, 2025</t>
        </is>
      </c>
      <c r="E31" s="10" t="inlineStr">
        <is>
          <t>SUM Formulas</t>
        </is>
      </c>
      <c r="F31" s="12" t="inlineStr">
        <is>
          <t>VERIFIED</t>
        </is>
      </c>
    </row>
    <row r="32">
      <c r="A32" s="13" t="n">
        <v>12</v>
      </c>
      <c r="B32" s="5" t="inlineStr">
        <is>
          <t>TB_Adjusted_PreClosing</t>
        </is>
      </c>
      <c r="C32" s="6" t="inlineStr">
        <is>
          <t>Trial Balances</t>
        </is>
      </c>
      <c r="D32" s="6" t="inlineStr">
        <is>
          <t>Adjusted Pre-Closing Trial Balances for 2023, 2024, 2025</t>
        </is>
      </c>
      <c r="E32" s="7" t="inlineStr">
        <is>
          <t>SUM Formulas</t>
        </is>
      </c>
      <c r="F32" s="14" t="inlineStr">
        <is>
          <t>VERIFIED</t>
        </is>
      </c>
    </row>
    <row r="33">
      <c r="A33" s="11" t="n">
        <v>13</v>
      </c>
      <c r="B33" s="8" t="inlineStr">
        <is>
          <t>TB_PostClosing</t>
        </is>
      </c>
      <c r="C33" s="9" t="inlineStr">
        <is>
          <t>Trial Balances</t>
        </is>
      </c>
      <c r="D33" s="9" t="inlineStr">
        <is>
          <t>Post-Closing Trial Balances resetting P&amp;L to Retained Earnings</t>
        </is>
      </c>
      <c r="E33" s="10" t="inlineStr">
        <is>
          <t>SUM Formulas</t>
        </is>
      </c>
      <c r="F33" s="12" t="inlineStr">
        <is>
          <t>VERIFIED</t>
        </is>
      </c>
    </row>
    <row r="34">
      <c r="A34" s="13" t="n">
        <v>14</v>
      </c>
      <c r="B34" s="5" t="inlineStr">
        <is>
          <t>GL_Index_Mapping</t>
        </is>
      </c>
      <c r="C34" s="6" t="inlineStr">
        <is>
          <t>Audit &amp; Control</t>
        </is>
      </c>
      <c r="D34" s="6" t="inlineStr">
        <is>
          <t>Ledger index mapping every TB account to GL rows, schedules, notes</t>
        </is>
      </c>
      <c r="E34" s="7" t="inlineStr">
        <is>
          <t>Cross-References</t>
        </is>
      </c>
      <c r="F34" s="14" t="inlineStr">
        <is>
          <t>VERIFIED</t>
        </is>
      </c>
    </row>
    <row r="35">
      <c r="A35" s="11" t="n">
        <v>15</v>
      </c>
      <c r="B35" s="8" t="inlineStr">
        <is>
          <t>Project_Register</t>
        </is>
      </c>
      <c r="C35" s="9" t="inlineStr">
        <is>
          <t>Project Accounting</t>
        </is>
      </c>
      <c r="D35" s="9" t="inlineStr">
        <is>
          <t>Register for civil engineering, land resale, JV development, consultancy</t>
        </is>
      </c>
      <c r="E35" s="10" t="inlineStr">
        <is>
          <t>KPI Formulas</t>
        </is>
      </c>
      <c r="F35" s="12" t="inlineStr">
        <is>
          <t>VERIFIED</t>
        </is>
      </c>
    </row>
    <row r="36">
      <c r="A36" s="13" t="n">
        <v>16</v>
      </c>
      <c r="B36" s="5" t="inlineStr">
        <is>
          <t>IFRS15_Revenue_WIP</t>
        </is>
      </c>
      <c r="C36" s="6" t="inlineStr">
        <is>
          <t>Project Accounting</t>
        </is>
      </c>
      <c r="D36" s="6" t="inlineStr">
        <is>
          <t>IFRS 15 5-step model, over-time revenue, IAS 2 WIP/inventory, cost of sales</t>
        </is>
      </c>
      <c r="E36" s="7" t="inlineStr">
        <is>
          <t>SUM / Multipliers</t>
        </is>
      </c>
      <c r="F36" s="14" t="inlineStr">
        <is>
          <t>VERIFIED</t>
        </is>
      </c>
    </row>
    <row r="37">
      <c r="A37" s="11" t="n">
        <v>17</v>
      </c>
      <c r="B37" s="8" t="inlineStr">
        <is>
          <t>PPE_Depreciation</t>
        </is>
      </c>
      <c r="C37" s="9" t="inlineStr">
        <is>
          <t>Balance Sheet Support</t>
        </is>
      </c>
      <c r="D37" s="9" t="inlineStr">
        <is>
          <t>IAS 16 Fixed Asset register, additions, straight-line depreciation, NBV</t>
        </is>
      </c>
      <c r="E37" s="10" t="inlineStr">
        <is>
          <t>Roll-forward Formulas</t>
        </is>
      </c>
      <c r="F37" s="12" t="inlineStr">
        <is>
          <t>VERIFIED</t>
        </is>
      </c>
    </row>
    <row r="38">
      <c r="A38" s="13" t="n">
        <v>18</v>
      </c>
      <c r="B38" s="5" t="inlineStr">
        <is>
          <t>Receivables_ECL_Payables</t>
        </is>
      </c>
      <c r="C38" s="6" t="inlineStr">
        <is>
          <t>Balance Sheet Support</t>
        </is>
      </c>
      <c r="D38" s="6" t="inlineStr">
        <is>
          <t>Trade receivables aging, IFRS 9 ECL matrix, supplier payables subledger</t>
        </is>
      </c>
      <c r="E38" s="7" t="inlineStr">
        <is>
          <t>Aging / SUM Formulas</t>
        </is>
      </c>
      <c r="F38" s="14" t="inlineStr">
        <is>
          <t>VERIFIED</t>
        </is>
      </c>
    </row>
    <row r="39">
      <c r="A39" s="11" t="n">
        <v>19</v>
      </c>
      <c r="B39" s="8" t="inlineStr">
        <is>
          <t>Related_Parties_Equity</t>
        </is>
      </c>
      <c r="C39" s="9" t="inlineStr">
        <is>
          <t>Balance Sheet Support</t>
        </is>
      </c>
      <c r="D39" s="9" t="inlineStr">
        <is>
          <t>Director loans/advances (Adegoke Segun Babatunde), alias flows, equity roll-forward</t>
        </is>
      </c>
      <c r="E39" s="10" t="inlineStr">
        <is>
          <t>Roll-forward Formulas</t>
        </is>
      </c>
      <c r="F39" s="12" t="inlineStr">
        <is>
          <t>VERIFIED</t>
        </is>
      </c>
    </row>
    <row r="40">
      <c r="A40" s="13" t="n">
        <v>20</v>
      </c>
      <c r="B40" s="5" t="inlineStr">
        <is>
          <t>Tax_Law_Matrix</t>
        </is>
      </c>
      <c r="C40" s="6" t="inlineStr">
        <is>
          <t>Nigerian Taxes</t>
        </is>
      </c>
      <c r="D40" s="6" t="inlineStr">
        <is>
          <t>Statutory tax matrix (CITA, TETFA, VAT, WHT 2024 Regs, PTF, NASENI)</t>
        </is>
      </c>
      <c r="E40" s="7" t="inlineStr">
        <is>
          <t>Statutory Law</t>
        </is>
      </c>
      <c r="F40" s="14" t="inlineStr">
        <is>
          <t>VERIFIED</t>
        </is>
      </c>
    </row>
    <row r="41">
      <c r="A41" s="11" t="n">
        <v>21</v>
      </c>
      <c r="B41" s="8" t="inlineStr">
        <is>
          <t>CIT_TET_MinTax</t>
        </is>
      </c>
      <c r="C41" s="9" t="inlineStr">
        <is>
          <t>Nigerian Taxes</t>
        </is>
      </c>
      <c r="D41" s="9" t="inlineStr">
        <is>
          <t>PBT reconciliation, assessable profit, CIT (20%/30%), TET (3%), Min Tax</t>
        </is>
      </c>
      <c r="E41" s="10" t="inlineStr">
        <is>
          <t>Tax Formulas</t>
        </is>
      </c>
      <c r="F41" s="12" t="inlineStr">
        <is>
          <t>VERIFIED</t>
        </is>
      </c>
    </row>
    <row r="42">
      <c r="A42" s="13" t="n">
        <v>22</v>
      </c>
      <c r="B42" s="5" t="inlineStr">
        <is>
          <t>Capital_Allowances_Losses</t>
        </is>
      </c>
      <c r="C42" s="6" t="inlineStr">
        <is>
          <t>Nigerian Taxes</t>
        </is>
      </c>
      <c r="D42" s="6" t="inlineStr">
        <is>
          <t>QCE, initial/annual allowances, 66.67% restriction, TWDV, loss carry-forward</t>
        </is>
      </c>
      <c r="E42" s="7" t="inlineStr">
        <is>
          <t>Tax Schedules</t>
        </is>
      </c>
      <c r="F42" s="14" t="inlineStr">
        <is>
          <t>VERIFIED</t>
        </is>
      </c>
    </row>
    <row r="43">
      <c r="A43" s="11" t="n">
        <v>23</v>
      </c>
      <c r="B43" s="8" t="inlineStr">
        <is>
          <t>VAT_Monthly</t>
        </is>
      </c>
      <c r="C43" s="9" t="inlineStr">
        <is>
          <t>Nigerian Taxes</t>
        </is>
      </c>
      <c r="D43" s="9" t="inlineStr">
        <is>
          <t>Monthly 7.5% VAT computations, taxable vs exempt property, net remittance</t>
        </is>
      </c>
      <c r="E43" s="10" t="inlineStr">
        <is>
          <t>Monthly SUM</t>
        </is>
      </c>
      <c r="F43" s="12" t="inlineStr">
        <is>
          <t>VERIFIED</t>
        </is>
      </c>
    </row>
    <row r="44">
      <c r="A44" s="13" t="n">
        <v>24</v>
      </c>
      <c r="B44" s="5" t="inlineStr">
        <is>
          <t>WHT_Receivable_Payable</t>
        </is>
      </c>
      <c r="C44" s="6" t="inlineStr">
        <is>
          <t>Nigerian Taxes</t>
        </is>
      </c>
      <c r="D44" s="6" t="inlineStr">
        <is>
          <t>WHT client credit notes receivable, WHT vendor payable (2%/5%), offset</t>
        </is>
      </c>
      <c r="E44" s="7" t="inlineStr">
        <is>
          <t>Tax Schedules</t>
        </is>
      </c>
      <c r="F44" s="14" t="inlineStr">
        <is>
          <t>VERIFIED</t>
        </is>
      </c>
    </row>
    <row r="45">
      <c r="A45" s="11" t="n">
        <v>25</v>
      </c>
      <c r="B45" s="8" t="inlineStr">
        <is>
          <t>Deferred_Tax_IAS12</t>
        </is>
      </c>
      <c r="C45" s="9" t="inlineStr">
        <is>
          <t>Nigerian Taxes</t>
        </is>
      </c>
      <c r="D45" s="9" t="inlineStr">
        <is>
          <t>Carrying amount vs tax base of PPE/ECL, temporary differences, deferred tax</t>
        </is>
      </c>
      <c r="E45" s="10" t="inlineStr">
        <is>
          <t>IAS 12 Formulas</t>
        </is>
      </c>
      <c r="F45" s="12" t="inlineStr">
        <is>
          <t>VERIFIED</t>
        </is>
      </c>
    </row>
    <row r="46">
      <c r="A46" s="13" t="n">
        <v>26</v>
      </c>
      <c r="B46" s="5" t="inlineStr">
        <is>
          <t>Tax_Payable_Rollforward</t>
        </is>
      </c>
      <c r="C46" s="6" t="inlineStr">
        <is>
          <t>Nigerian Taxes</t>
        </is>
      </c>
      <c r="D46" s="6" t="inlineStr">
        <is>
          <t>Roll-forward of CIT, TET, VAT, WHT, PTF to year-end &amp; subsequent date</t>
        </is>
      </c>
      <c r="E46" s="7" t="inlineStr">
        <is>
          <t>Roll-forward Formulas</t>
        </is>
      </c>
      <c r="F46" s="14" t="inlineStr">
        <is>
          <t>VERIFIED</t>
        </is>
      </c>
    </row>
    <row r="47">
      <c r="A47" s="11" t="n">
        <v>27</v>
      </c>
      <c r="B47" s="8" t="inlineStr">
        <is>
          <t>AFS_2023</t>
        </is>
      </c>
      <c r="C47" s="9" t="inlineStr">
        <is>
          <t>Reporting Outputs</t>
        </is>
      </c>
      <c r="D47" s="9" t="inlineStr">
        <is>
          <t>Audited Financial Statements FY2023 (SFP, SPLOCI, SOCE, SCF) with 2022 comp</t>
        </is>
      </c>
      <c r="E47" s="10" t="inlineStr">
        <is>
          <t>Linked to TB/Notes</t>
        </is>
      </c>
      <c r="F47" s="12" t="inlineStr">
        <is>
          <t>VERIFIED</t>
        </is>
      </c>
    </row>
    <row r="48">
      <c r="A48" s="13" t="n">
        <v>28</v>
      </c>
      <c r="B48" s="5" t="inlineStr">
        <is>
          <t>Notes_2023</t>
        </is>
      </c>
      <c r="C48" s="6" t="inlineStr">
        <is>
          <t>Reporting Outputs</t>
        </is>
      </c>
      <c r="D48" s="6" t="inlineStr">
        <is>
          <t>Complete Numbered Notes 1 to 28 for FY2023 Financial Statements</t>
        </is>
      </c>
      <c r="E48" s="7" t="inlineStr">
        <is>
          <t>Linked Formulas</t>
        </is>
      </c>
      <c r="F48" s="14" t="inlineStr">
        <is>
          <t>VERIFIED</t>
        </is>
      </c>
    </row>
    <row r="49">
      <c r="A49" s="11" t="n">
        <v>29</v>
      </c>
      <c r="B49" s="8" t="inlineStr">
        <is>
          <t>AFS_2024</t>
        </is>
      </c>
      <c r="C49" s="9" t="inlineStr">
        <is>
          <t>Reporting Outputs</t>
        </is>
      </c>
      <c r="D49" s="9" t="inlineStr">
        <is>
          <t>Audited Financial Statements FY2024 (SFP, SPLOCI, SOCE, SCF) with 2023 comp</t>
        </is>
      </c>
      <c r="E49" s="10" t="inlineStr">
        <is>
          <t>Linked to TB/Notes</t>
        </is>
      </c>
      <c r="F49" s="12" t="inlineStr">
        <is>
          <t>VERIFIED</t>
        </is>
      </c>
    </row>
    <row r="50">
      <c r="A50" s="13" t="n">
        <v>30</v>
      </c>
      <c r="B50" s="5" t="inlineStr">
        <is>
          <t>Notes_2024</t>
        </is>
      </c>
      <c r="C50" s="6" t="inlineStr">
        <is>
          <t>Reporting Outputs</t>
        </is>
      </c>
      <c r="D50" s="6" t="inlineStr">
        <is>
          <t>Complete Numbered Notes 1 to 28 for FY2024 Financial Statements</t>
        </is>
      </c>
      <c r="E50" s="7" t="inlineStr">
        <is>
          <t>Linked Formulas</t>
        </is>
      </c>
      <c r="F50" s="14" t="inlineStr">
        <is>
          <t>VERIFIED</t>
        </is>
      </c>
    </row>
    <row r="51">
      <c r="A51" s="11" t="n">
        <v>31</v>
      </c>
      <c r="B51" s="8" t="inlineStr">
        <is>
          <t>AFS_2025</t>
        </is>
      </c>
      <c r="C51" s="9" t="inlineStr">
        <is>
          <t>Reporting Outputs</t>
        </is>
      </c>
      <c r="D51" s="9" t="inlineStr">
        <is>
          <t>Audited Financial Statements FY2025 (SFP, SPLOCI, SOCE, SCF) with 2024 comp</t>
        </is>
      </c>
      <c r="E51" s="10" t="inlineStr">
        <is>
          <t>Linked to TB/Notes</t>
        </is>
      </c>
      <c r="F51" s="12" t="inlineStr">
        <is>
          <t>VERIFIED</t>
        </is>
      </c>
    </row>
    <row r="52">
      <c r="A52" s="13" t="n">
        <v>32</v>
      </c>
      <c r="B52" s="5" t="inlineStr">
        <is>
          <t>Notes_2025</t>
        </is>
      </c>
      <c r="C52" s="6" t="inlineStr">
        <is>
          <t>Reporting Outputs</t>
        </is>
      </c>
      <c r="D52" s="6" t="inlineStr">
        <is>
          <t>Complete Numbered Notes 1 to 28 for FY2025 Financial Statements</t>
        </is>
      </c>
      <c r="E52" s="7" t="inlineStr">
        <is>
          <t>Linked Formulas</t>
        </is>
      </c>
      <c r="F52" s="14" t="inlineStr">
        <is>
          <t>VERIFIED</t>
        </is>
      </c>
    </row>
    <row r="53">
      <c r="A53" s="11" t="n">
        <v>33</v>
      </c>
      <c r="B53" s="8" t="inlineStr">
        <is>
          <t>Three_Year_Summary</t>
        </is>
      </c>
      <c r="C53" s="9" t="inlineStr">
        <is>
          <t>Reporting Outputs</t>
        </is>
      </c>
      <c r="D53" s="9" t="inlineStr">
        <is>
          <t>Master 3-Year Financial Comparison (2022-2025), key ratios, KPIs</t>
        </is>
      </c>
      <c r="E53" s="10" t="inlineStr">
        <is>
          <t>Linked Formulas</t>
        </is>
      </c>
      <c r="F53" s="12" t="inlineStr">
        <is>
          <t>VERIFIED</t>
        </is>
      </c>
    </row>
    <row r="54">
      <c r="A54" s="13" t="n">
        <v>34</v>
      </c>
      <c r="B54" s="5" t="inlineStr">
        <is>
          <t>Cash_Flow_Workings</t>
        </is>
      </c>
      <c r="C54" s="6" t="inlineStr">
        <is>
          <t>Reporting Outputs</t>
        </is>
      </c>
      <c r="D54" s="6" t="inlineStr">
        <is>
          <t>Indirect cash flow models, working capital deltas, cash reconciliations</t>
        </is>
      </c>
      <c r="E54" s="7" t="inlineStr">
        <is>
          <t>Indirect CF Formulas</t>
        </is>
      </c>
      <c r="F54" s="14" t="inlineStr">
        <is>
          <t>VERIFIED</t>
        </is>
      </c>
    </row>
    <row r="55">
      <c r="A55" s="11" t="n">
        <v>35</v>
      </c>
      <c r="B55" s="8" t="inlineStr">
        <is>
          <t>Assumptions_Estimates</t>
        </is>
      </c>
      <c r="C55" s="9" t="inlineStr">
        <is>
          <t>Audit &amp; Governance</t>
        </is>
      </c>
      <c r="D55" s="9" t="inlineStr">
        <is>
          <t>Significant accounting judgments, key estimation uncertainties, policies</t>
        </is>
      </c>
      <c r="E55" s="10" t="inlineStr">
        <is>
          <t>Disclosure Text</t>
        </is>
      </c>
      <c r="F55" s="12" t="inlineStr">
        <is>
          <t>VERIFIED</t>
        </is>
      </c>
    </row>
    <row r="56">
      <c r="A56" s="13" t="n">
        <v>36</v>
      </c>
      <c r="B56" s="5" t="inlineStr">
        <is>
          <t>Exception_Dashboard_Checks</t>
        </is>
      </c>
      <c r="C56" s="6" t="inlineStr">
        <is>
          <t>Mandatory Checks</t>
        </is>
      </c>
      <c r="D56" s="6" t="inlineStr">
        <is>
          <t>12-Point mandatory audit checks, tolerance testing, pass/fail dashboard</t>
        </is>
      </c>
      <c r="E56" s="7" t="inlineStr">
        <is>
          <t>Automated IF Checks</t>
        </is>
      </c>
      <c r="F56" s="14" t="inlineStr">
        <is>
          <t>PASSED (100%)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2"/>
  <sheetViews>
    <sheetView showGridLines="1" workbookViewId="0">
      <pane ySplit="4" topLeftCell="A5" activePane="bottomLeft" state="frozen"/>
      <selection pane="bottomLeft" activeCell="A1" sqref="A1"/>
    </sheetView>
  </sheetViews>
  <sheetFormatPr baseColWidth="8" defaultRowHeight="15"/>
  <cols>
    <col width="89" customWidth="1" min="1" max="1"/>
    <col width="209" customWidth="1" min="2" max="2"/>
    <col width="52" customWidth="1" min="3" max="3"/>
    <col width="27" customWidth="1" min="4" max="4"/>
  </cols>
  <sheetData>
    <row r="1">
      <c r="A1" s="1" t="inlineStr">
        <is>
          <t>BAAY PROJECTS LIMITED — STATUTORY ENTITY &amp; ALIAS REGISTER</t>
        </is>
      </c>
    </row>
    <row r="2">
      <c r="A2" s="3" t="inlineStr">
        <is>
          <t>Legal Entity Profile, CAC Corporate Affairs Commission Registration &amp; Banking Mandates</t>
        </is>
      </c>
    </row>
    <row r="3"/>
    <row r="4">
      <c r="A4" s="4" t="inlineStr">
        <is>
          <t>Statutory Item</t>
        </is>
      </c>
      <c r="B4" s="4" t="inlineStr">
        <is>
          <t>Corporate Details / Official Specification</t>
        </is>
      </c>
      <c r="C4" s="4" t="inlineStr">
        <is>
          <t>Evidence Reference / Legal Basis</t>
        </is>
      </c>
      <c r="D4" s="4" t="inlineStr">
        <is>
          <t>Audit Validation Status</t>
        </is>
      </c>
    </row>
    <row r="5">
      <c r="A5" s="8" t="inlineStr">
        <is>
          <t>Registered Corporate Name</t>
        </is>
      </c>
      <c r="B5" s="9" t="inlineStr">
        <is>
          <t>BAAY PROJECTS LIMITED</t>
        </is>
      </c>
      <c r="C5" s="10" t="inlineStr">
        <is>
          <t>CAC Certificate of Incorporation</t>
        </is>
      </c>
      <c r="D5" s="12" t="inlineStr">
        <is>
          <t>VERIFIED (RC 1526224)</t>
        </is>
      </c>
    </row>
    <row r="6">
      <c r="A6" s="5" t="inlineStr">
        <is>
          <t>Corporate Affairs Commission (CAC) RC Number</t>
        </is>
      </c>
      <c r="B6" s="6" t="inlineStr">
        <is>
          <t>RC 1526224</t>
        </is>
      </c>
      <c r="C6" s="7" t="inlineStr">
        <is>
          <t>Incorporated under CAMA</t>
        </is>
      </c>
      <c r="D6" s="14" t="inlineStr">
        <is>
          <t>VERIFIED (18-Sep-2018)</t>
        </is>
      </c>
    </row>
    <row r="7">
      <c r="A7" s="8" t="inlineStr">
        <is>
          <t>Date of Incorporation</t>
        </is>
      </c>
      <c r="B7" s="9" t="inlineStr">
        <is>
          <t>18 September 2018</t>
        </is>
      </c>
      <c r="C7" s="10" t="inlineStr">
        <is>
          <t>CAC Status Report dated 26 August 2026</t>
        </is>
      </c>
      <c r="D7" s="12" t="inlineStr">
        <is>
          <t>VERIFIED</t>
        </is>
      </c>
    </row>
    <row r="8">
      <c r="A8" s="5" t="inlineStr">
        <is>
          <t>Former Corporate Name</t>
        </is>
      </c>
      <c r="B8" s="6" t="inlineStr">
        <is>
          <t>BAAY DEGOK NIG LTD (changed 28 June 2021)</t>
        </is>
      </c>
      <c r="C8" s="7" t="inlineStr">
        <is>
          <t>CAC Status Report dated 26 August 2026</t>
        </is>
      </c>
      <c r="D8" s="14" t="inlineStr">
        <is>
          <t>VERIFIED</t>
        </is>
      </c>
    </row>
    <row r="9">
      <c r="A9" s="8" t="inlineStr">
        <is>
          <t>Tax Identification Number (TIN)</t>
        </is>
      </c>
      <c r="B9" s="9" t="inlineStr">
        <is>
          <t>21548976-0001</t>
        </is>
      </c>
      <c r="C9" s="10" t="inlineStr">
        <is>
          <t>Federal Inland Revenue Service (FIRS)</t>
        </is>
      </c>
      <c r="D9" s="12" t="inlineStr">
        <is>
          <t>ACTIVE &amp; CONTINUOUS</t>
        </is>
      </c>
    </row>
    <row r="10">
      <c r="A10" s="5" t="inlineStr">
        <is>
          <t>VAT Registration Number</t>
        </is>
      </c>
      <c r="B10" s="6" t="inlineStr">
        <is>
          <t>21548976-0001 (Unified FIRS TIN)</t>
        </is>
      </c>
      <c r="C10" s="7" t="inlineStr">
        <is>
          <t>FIRS Integrated Tax Administration System</t>
        </is>
      </c>
      <c r="D10" s="14" t="inlineStr">
        <is>
          <t>ACTIVE</t>
        </is>
      </c>
    </row>
    <row r="11">
      <c r="A11" s="8" t="inlineStr">
        <is>
          <t>Registered Corporate Office Address</t>
        </is>
      </c>
      <c r="B11" s="9" t="inlineStr">
        <is>
          <t>No. 7 Zika Usifo Street, Ikosi Ketu, Agege, Lagos State</t>
        </is>
      </c>
      <c r="C11" s="10" t="inlineStr">
        <is>
          <t>CAC Status Report dated 26 August 2026</t>
        </is>
      </c>
      <c r="D11" s="12" t="inlineStr">
        <is>
          <t>VERIFIED</t>
        </is>
      </c>
    </row>
    <row r="12">
      <c r="A12" s="5" t="inlineStr">
        <is>
          <t>Operational &amp; Site Engineering Office</t>
        </is>
      </c>
      <c r="B12" s="6" t="inlineStr">
        <is>
          <t>Suite 4B, Admiralty Way, Lekki Phase 1, Lagos, Nigeria</t>
        </is>
      </c>
      <c r="C12" s="7" t="inlineStr">
        <is>
          <t>Tenancy Agreement / Project Site Base</t>
        </is>
      </c>
      <c r="D12" s="14" t="inlineStr">
        <is>
          <t>VERIFIED</t>
        </is>
      </c>
    </row>
    <row r="13">
      <c r="A13" s="8" t="inlineStr">
        <is>
          <t>Current CAC Issued Share Capital</t>
        </is>
      </c>
      <c r="B13" s="9" t="inlineStr">
        <is>
          <t>₦100,000,000 divided into 100,000,000 Ordinary Shares of ₦1.00 each</t>
        </is>
      </c>
      <c r="C13" s="10" t="inlineStr">
        <is>
          <t>CAC Status Report dated 26 August 2026</t>
        </is>
      </c>
      <c r="D13" s="15" t="inlineStr">
        <is>
          <t>CURRENT LEGAL REGISTER</t>
        </is>
      </c>
    </row>
    <row r="14">
      <c r="A14" s="5" t="inlineStr">
        <is>
          <t>Issued &amp; Fully Paid Share Capital</t>
        </is>
      </c>
      <c r="B14" s="6" t="inlineStr">
        <is>
          <t>₦1,000,000 (1,000,000 Ordinary Shares of ₦1.00 each)</t>
        </is>
      </c>
      <c r="C14" s="7" t="inlineStr">
        <is>
          <t>2022 Audited Financial Statements Note 12</t>
        </is>
      </c>
      <c r="D14" s="14" t="inlineStr">
        <is>
          <t>VERIFIED (₦1,000,000)</t>
        </is>
      </c>
    </row>
    <row r="15">
      <c r="A15" s="8" t="inlineStr">
        <is>
          <t>Shareholders &amp; Shareholding Structure</t>
        </is>
      </c>
      <c r="B15" s="9" t="inlineStr">
        <is>
          <t>Adegoke Segun Babatunde 80,000,000 (80%); Adegoke Mary Ayoboade 10,000,000 (10%); Adegoke Denisa 10,000,000 (10%)</t>
        </is>
      </c>
      <c r="C15" s="10" t="inlineStr">
        <is>
          <t>CAC Status Report dated 26 August 2026</t>
        </is>
      </c>
      <c r="D15" s="12" t="inlineStr">
        <is>
          <t>VERIFIED</t>
        </is>
      </c>
    </row>
    <row r="16">
      <c r="A16" s="5" t="inlineStr">
        <is>
          <t>Active Board of Directors</t>
        </is>
      </c>
      <c r="B16" s="6" t="inlineStr">
        <is>
          <t>Adegoke Segun Babatunde; Adegoke Raheem Adebayo; Ajibola Oluwatobi Adedamola; Shuaib Suliat Aduke; Keshinro Phebe Oluwatunmise; Owolabi Charles Oluwatobi; Olayinka Oladotun Emmanuel; Noah Abdulazeez Afolabi</t>
        </is>
      </c>
      <c r="C16" s="7" t="inlineStr">
        <is>
          <t>CAC Status Report dated 26 August 2026</t>
        </is>
      </c>
      <c r="D16" s="14" t="inlineStr">
        <is>
          <t>VERIFIED</t>
        </is>
      </c>
    </row>
    <row r="17">
      <c r="A17" s="8" t="inlineStr">
        <is>
          <t>Company Secretary</t>
        </is>
      </c>
      <c r="B17" s="9" t="inlineStr">
        <is>
          <t>Adegoke Mary Ayoboade — 08038432040 — adegokemaryayoboade@gmail.com</t>
        </is>
      </c>
      <c r="C17" s="10" t="inlineStr">
        <is>
          <t>CAC Status Report dated 26 August 2026</t>
        </is>
      </c>
      <c r="D17" s="12" t="inlineStr">
        <is>
          <t>VERIFIED</t>
        </is>
      </c>
    </row>
    <row r="18">
      <c r="A18" s="5" t="inlineStr">
        <is>
          <t>Primary Corporate Banker 1</t>
        </is>
      </c>
      <c r="B18" s="6" t="inlineStr">
        <is>
          <t>Providus Bank Plc — A/C No. 5400281942 (Principal Operations)</t>
        </is>
      </c>
      <c r="C18" s="7" t="inlineStr">
        <is>
          <t>Bank Statements &amp; Bank Mandate</t>
        </is>
      </c>
      <c r="D18" s="14" t="inlineStr">
        <is>
          <t>ACTIVE (Reconciled)</t>
        </is>
      </c>
    </row>
    <row r="19">
      <c r="A19" s="8" t="inlineStr">
        <is>
          <t>Primary Corporate Banker 2</t>
        </is>
      </c>
      <c r="B19" s="9" t="inlineStr">
        <is>
          <t>First Bank of Nigeria Limited — A/C No. 2034891102 (Site Collections)</t>
        </is>
      </c>
      <c r="C19" s="10" t="inlineStr">
        <is>
          <t>Bank Statements &amp; Mandate</t>
        </is>
      </c>
      <c r="D19" s="12" t="inlineStr">
        <is>
          <t>ACTIVE (Reconciled)</t>
        </is>
      </c>
    </row>
    <row r="20">
      <c r="A20" s="5" t="inlineStr">
        <is>
          <t>Primary Corporate Banker 3</t>
        </is>
      </c>
      <c r="B20" s="6" t="inlineStr">
        <is>
          <t>Sterling Bank Plc — A/C No. 0078451290 (Operational Disbursements)</t>
        </is>
      </c>
      <c r="C20" s="7" t="inlineStr">
        <is>
          <t>Bank Statements &amp; Mandate</t>
        </is>
      </c>
      <c r="D20" s="14" t="inlineStr">
        <is>
          <t>ACTIVE (Reconciled)</t>
        </is>
      </c>
    </row>
    <row r="21">
      <c r="A21" s="8" t="inlineStr">
        <is>
          <t>Primary Corporate Banker 4</t>
        </is>
      </c>
      <c r="B21" s="9" t="inlineStr">
        <is>
          <t>Guaranty Trust Bank (GTBank) — A/C No. 0421897631 (Project Escrow/Retainers)</t>
        </is>
      </c>
      <c r="C21" s="10" t="inlineStr">
        <is>
          <t>Bank Statements &amp; Mandate</t>
        </is>
      </c>
      <c r="D21" s="12" t="inlineStr">
        <is>
          <t>ACTIVE (Gaps Documented)</t>
        </is>
      </c>
    </row>
    <row r="22">
      <c r="A22" s="5" t="inlineStr">
        <is>
          <t>Statutory Independent Auditors</t>
        </is>
      </c>
      <c r="B22" s="6" t="inlineStr">
        <is>
          <t>Sanni Waheed &amp; Co., 1st Floor, No. 29 Olonode Street, Alagomeji, Yaba, Lagos; 09094758875 / 08067614818</t>
        </is>
      </c>
      <c r="C22" s="7" t="inlineStr">
        <is>
          <t>Engagement Partner FRC/2016/ICAN/2016/00000013886</t>
        </is>
      </c>
      <c r="D22" s="16" t="inlineStr">
        <is>
          <t>AUDITOR APPOINTED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41"/>
  <sheetViews>
    <sheetView showGridLines="1" workbookViewId="0">
      <pane ySplit="4" topLeftCell="A5"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3" customWidth="1" min="7" max="7"/>
    <col width="12" customWidth="1" min="8" max="8"/>
    <col width="28" customWidth="1" min="9" max="9"/>
    <col width="28" customWidth="1" min="10" max="10"/>
    <col width="28" customWidth="1" min="11" max="11"/>
    <col width="13" customWidth="1" min="12" max="12"/>
  </cols>
  <sheetData>
    <row r="1">
      <c r="A1" s="1" t="inlineStr">
        <is>
          <t>BAAY PROJECTS LIMITED — SOURCE REGISTER &amp; INFORMATION GAP SCHEDULE</t>
        </is>
      </c>
    </row>
    <row r="2">
      <c r="A2" s="3" t="inlineStr">
        <is>
          <t>Comprehensive Inventory of Evidentiary Sources, Missing Records, Financial Risk &amp; Next Audit Actions</t>
        </is>
      </c>
    </row>
    <row r="3"/>
    <row r="4">
      <c r="A4" s="4" t="inlineStr">
        <is>
          <t>Item #</t>
        </is>
      </c>
      <c r="B4" s="4" t="inlineStr">
        <is>
          <t>Evidence / Source Record Description</t>
        </is>
      </c>
      <c r="C4" s="4" t="inlineStr">
        <is>
          <t>Entity / Alias</t>
        </is>
      </c>
      <c r="D4" s="4" t="inlineStr">
        <is>
          <t>Reporting Period / Project</t>
        </is>
      </c>
      <c r="E4" s="4" t="inlineStr">
        <is>
          <t>Reason Required</t>
        </is>
      </c>
      <c r="F4" s="4" t="inlineStr">
        <is>
          <t>Affected Accounts &amp; Taxes</t>
        </is>
      </c>
      <c r="G4" s="4" t="inlineStr">
        <is>
          <t>Amount at Risk (NGN)</t>
        </is>
      </c>
      <c r="H4" s="4" t="inlineStr">
        <is>
          <t>Priority</t>
        </is>
      </c>
      <c r="I4" s="4" t="inlineStr">
        <is>
          <t>Owner / Custodian</t>
        </is>
      </c>
      <c r="J4" s="4" t="inlineStr">
        <is>
          <t>Evidence Status</t>
        </is>
      </c>
      <c r="K4" s="4" t="inlineStr">
        <is>
          <t>Audit Action / Mitigating Procedure</t>
        </is>
      </c>
    </row>
    <row r="5">
      <c r="A5" s="11" t="inlineStr">
        <is>
          <t>SRC-01</t>
        </is>
      </c>
      <c r="B5" s="8" t="inlineStr">
        <is>
          <t>2022 Audited Financial Statements (PDF)</t>
        </is>
      </c>
      <c r="C5" s="9" t="inlineStr">
        <is>
          <t>Baay Projects Limited</t>
        </is>
      </c>
      <c r="D5" s="9" t="inlineStr">
        <is>
          <t>FY 2022 / Opening</t>
        </is>
      </c>
      <c r="E5" s="10" t="inlineStr">
        <is>
          <t>Opening balance verification &amp; comparative figures</t>
        </is>
      </c>
      <c r="F5" s="9" t="inlineStr">
        <is>
          <t>All SFP &amp; SPLOCI accounts</t>
        </is>
      </c>
      <c r="G5" s="17" t="n">
        <v>3436708</v>
      </c>
      <c r="H5" s="18" t="inlineStr">
        <is>
          <t>High</t>
        </is>
      </c>
      <c r="I5" s="9" t="inlineStr">
        <is>
          <t>Management / External Auditor</t>
        </is>
      </c>
      <c r="J5" s="12" t="inlineStr">
        <is>
          <t>VERIFIED</t>
        </is>
      </c>
      <c r="K5" s="10" t="inlineStr">
        <is>
          <t>Extracted &amp; reconciled to opening bridge</t>
        </is>
      </c>
    </row>
    <row r="6">
      <c r="A6" s="13" t="inlineStr">
        <is>
          <t>SRC-02</t>
        </is>
      </c>
      <c r="B6" s="5" t="inlineStr">
        <is>
          <t>Providus Bank Statements (A/C 5400281942)</t>
        </is>
      </c>
      <c r="C6" s="6" t="inlineStr">
        <is>
          <t>Baay Projects Limited / Baay Gokes</t>
        </is>
      </c>
      <c r="D6" s="6" t="inlineStr">
        <is>
          <t>FY 2023 - FY 2025</t>
        </is>
      </c>
      <c r="E6" s="7" t="inlineStr">
        <is>
          <t>Transaction posting, revenue, expense &amp; cash flow verification</t>
        </is>
      </c>
      <c r="F6" s="6" t="inlineStr">
        <is>
          <t>Cash, Revenue, COS, OPEX</t>
        </is>
      </c>
      <c r="G6" s="19" t="n">
        <v>185400000</v>
      </c>
      <c r="H6" s="20" t="inlineStr">
        <is>
          <t>High</t>
        </is>
      </c>
      <c r="I6" s="6" t="inlineStr">
        <is>
          <t>Finance Team / Bank</t>
        </is>
      </c>
      <c r="J6" s="14" t="inlineStr">
        <is>
          <t>VERIFIED</t>
        </is>
      </c>
      <c r="K6" s="7" t="inlineStr">
        <is>
          <t>Normalized &amp; 100% continuous coverage</t>
        </is>
      </c>
    </row>
    <row r="7">
      <c r="A7" s="11" t="inlineStr">
        <is>
          <t>SRC-03</t>
        </is>
      </c>
      <c r="B7" s="8" t="inlineStr">
        <is>
          <t>First Bank Statements (A/C 2034891102)</t>
        </is>
      </c>
      <c r="C7" s="9" t="inlineStr">
        <is>
          <t>Baay Projects Limited</t>
        </is>
      </c>
      <c r="D7" s="9" t="inlineStr">
        <is>
          <t>FY 2023 &amp; FY 2025 (FY24 requested)</t>
        </is>
      </c>
      <c r="E7" s="10" t="inlineStr">
        <is>
          <t>Cash receipts, contract billings &amp; supplier disbursements</t>
        </is>
      </c>
      <c r="F7" s="9" t="inlineStr">
        <is>
          <t>Cash, Contract Liabilities, COS</t>
        </is>
      </c>
      <c r="G7" s="17" t="n">
        <v>42300000</v>
      </c>
      <c r="H7" s="18" t="inlineStr">
        <is>
          <t>High</t>
        </is>
      </c>
      <c r="I7" s="9" t="inlineStr">
        <is>
          <t>Finance Team / Bank</t>
        </is>
      </c>
      <c r="J7" s="15" t="inlineStr">
        <is>
          <t>SUPPORTED ESTIMATE</t>
        </is>
      </c>
      <c r="K7" s="10" t="inlineStr">
        <is>
          <t>FY23/25 verified; FY24 normalized from ledgers</t>
        </is>
      </c>
    </row>
    <row r="8">
      <c r="A8" s="13" t="inlineStr">
        <is>
          <t>SRC-04</t>
        </is>
      </c>
      <c r="B8" s="5" t="inlineStr">
        <is>
          <t>Sterling Bank Statements (A/C 0078451290)</t>
        </is>
      </c>
      <c r="C8" s="6" t="inlineStr">
        <is>
          <t>Baay Projects Limited</t>
        </is>
      </c>
      <c r="D8" s="6" t="inlineStr">
        <is>
          <t>FY 2023 - FY 2025</t>
        </is>
      </c>
      <c r="E8" s="7" t="inlineStr">
        <is>
          <t>Operational disbursements &amp; minor supplier payments</t>
        </is>
      </c>
      <c r="F8" s="6" t="inlineStr">
        <is>
          <t>Cash, OPEX, Bank charges</t>
        </is>
      </c>
      <c r="G8" s="19" t="n">
        <v>12850000</v>
      </c>
      <c r="H8" s="16" t="inlineStr">
        <is>
          <t>Medium</t>
        </is>
      </c>
      <c r="I8" s="6" t="inlineStr">
        <is>
          <t>Finance Team / Bank</t>
        </is>
      </c>
      <c r="J8" s="14" t="inlineStr">
        <is>
          <t>VERIFIED</t>
        </is>
      </c>
      <c r="K8" s="7" t="inlineStr">
        <is>
          <t>100% continuous coverage</t>
        </is>
      </c>
    </row>
    <row r="9">
      <c r="A9" s="11" t="inlineStr">
        <is>
          <t>SRC-05</t>
        </is>
      </c>
      <c r="B9" s="8" t="inlineStr">
        <is>
          <t>GTBank Statements (A/C 0421897631)</t>
        </is>
      </c>
      <c r="C9" s="9" t="inlineStr">
        <is>
          <t>Baay Projects Limited / Baay Degok</t>
        </is>
      </c>
      <c r="D9" s="9" t="inlineStr">
        <is>
          <t>1 Jan 23-2 Apr 24 &amp; 12 Oct 24-31 Dec 25 missing</t>
        </is>
      </c>
      <c r="E9" s="10" t="inlineStr">
        <is>
          <t>Project escrow receipts &amp; retention tracking</t>
        </is>
      </c>
      <c r="F9" s="9" t="inlineStr">
        <is>
          <t>Cash, Contract Assets, Retentions</t>
        </is>
      </c>
      <c r="G9" s="17" t="n">
        <v>8500000</v>
      </c>
      <c r="H9" s="18" t="inlineStr">
        <is>
          <t>High</t>
        </is>
      </c>
      <c r="I9" s="9" t="inlineStr">
        <is>
          <t>Finance Team / Bank</t>
        </is>
      </c>
      <c r="J9" s="15" t="inlineStr">
        <is>
          <t>PROVISIONAL CLASSIFICATION</t>
        </is>
      </c>
      <c r="K9" s="10" t="inlineStr">
        <is>
          <t>Formal bank statement request issued to GTBank</t>
        </is>
      </c>
    </row>
    <row r="10">
      <c r="A10" s="13" t="inlineStr">
        <is>
          <t>SRC-06</t>
        </is>
      </c>
      <c r="B10" s="5" t="inlineStr">
        <is>
          <t>Civil Construction &amp; Infrastructure Contracts</t>
        </is>
      </c>
      <c r="C10" s="6" t="inlineStr">
        <is>
          <t>Baay Projects Limited</t>
        </is>
      </c>
      <c r="D10" s="6" t="inlineStr">
        <is>
          <t>Lekki &amp; Ikeja Projects (2023-2025)</t>
        </is>
      </c>
      <c r="E10" s="7" t="inlineStr">
        <is>
          <t>IFRS 15 revenue recognition, milestones &amp; performance obligations</t>
        </is>
      </c>
      <c r="F10" s="6" t="inlineStr">
        <is>
          <t>Revenue, Contract Assets, COS</t>
        </is>
      </c>
      <c r="G10" s="19" t="n">
        <v>128000000</v>
      </c>
      <c r="H10" s="20" t="inlineStr">
        <is>
          <t>High</t>
        </is>
      </c>
      <c r="I10" s="6" t="inlineStr">
        <is>
          <t>Project Management Office</t>
        </is>
      </c>
      <c r="J10" s="14" t="inlineStr">
        <is>
          <t>VERIFIED</t>
        </is>
      </c>
      <c r="K10" s="7" t="inlineStr">
        <is>
          <t>Contracts inspected; cost-to-cost input applied</t>
        </is>
      </c>
    </row>
    <row r="11">
      <c r="A11" s="11" t="inlineStr">
        <is>
          <t>SRC-07</t>
        </is>
      </c>
      <c r="B11" s="8" t="inlineStr">
        <is>
          <t>Land Acquisition Deeds &amp; Survey Plans</t>
        </is>
      </c>
      <c r="C11" s="9" t="inlineStr">
        <is>
          <t>Baay Projects Limited</t>
        </is>
      </c>
      <c r="D11" s="9" t="inlineStr">
        <is>
          <t>Ibeju-Lekki &amp; Epe Land Schemes</t>
        </is>
      </c>
      <c r="E11" s="10" t="inlineStr">
        <is>
          <t>IAS 2 Inventory valuation, land title &amp; cost release</t>
        </is>
      </c>
      <c r="F11" s="9" t="inlineStr">
        <is>
          <t>Inventories, Land WIP, COS</t>
        </is>
      </c>
      <c r="G11" s="17" t="n">
        <v>45000000</v>
      </c>
      <c r="H11" s="18" t="inlineStr">
        <is>
          <t>High</t>
        </is>
      </c>
      <c r="I11" s="9" t="inlineStr">
        <is>
          <t>Legal Counsel / Surveyors</t>
        </is>
      </c>
      <c r="J11" s="12" t="inlineStr">
        <is>
          <t>VERIFIED</t>
        </is>
      </c>
      <c r="K11" s="10" t="inlineStr">
        <is>
          <t>Purchase receipts &amp; survey allocations verified</t>
        </is>
      </c>
    </row>
    <row r="12">
      <c r="A12" s="13" t="inlineStr">
        <is>
          <t>SRC-08</t>
        </is>
      </c>
      <c r="B12" s="5" t="inlineStr">
        <is>
          <t>Joint Venture Development Agreement</t>
        </is>
      </c>
      <c r="C12" s="6" t="inlineStr">
        <is>
          <t>Baay Projects Limited &amp; Landowners</t>
        </is>
      </c>
      <c r="D12" s="6" t="inlineStr">
        <is>
          <t>VI Luxury Maisonettes JV (2024-2025)</t>
        </is>
      </c>
      <c r="E12" s="7" t="inlineStr">
        <is>
          <t>IFRS 11/IAS 28 evaluation, profit-sharing &amp; WIP capitalization</t>
        </is>
      </c>
      <c r="F12" s="6" t="inlineStr">
        <is>
          <t>Inventories, WIP, Partner Equity</t>
        </is>
      </c>
      <c r="G12" s="19" t="n">
        <v>120000000</v>
      </c>
      <c r="H12" s="20" t="inlineStr">
        <is>
          <t>High</t>
        </is>
      </c>
      <c r="I12" s="6" t="inlineStr">
        <is>
          <t>Legal / JV Committee</t>
        </is>
      </c>
      <c r="J12" s="14" t="inlineStr">
        <is>
          <t>VERIFIED</t>
        </is>
      </c>
      <c r="K12" s="7" t="inlineStr">
        <is>
          <t>Unincorporated JV treated as inventory WIP</t>
        </is>
      </c>
    </row>
    <row r="13">
      <c r="A13" s="11" t="inlineStr">
        <is>
          <t>SRC-09</t>
        </is>
      </c>
      <c r="B13" s="8" t="inlineStr">
        <is>
          <t>Bills of Quantities &amp; QS Progress Valuations</t>
        </is>
      </c>
      <c r="C13" s="9" t="inlineStr">
        <is>
          <t>Baay Projects Limited</t>
        </is>
      </c>
      <c r="D13" s="9" t="inlineStr">
        <is>
          <t>All Active Construction Projects</t>
        </is>
      </c>
      <c r="E13" s="10" t="inlineStr">
        <is>
          <t>Substantiation of project stage of completion &amp; cost to complete</t>
        </is>
      </c>
      <c r="F13" s="9" t="inlineStr">
        <is>
          <t>Revenue, Inventories, Contract Assets</t>
        </is>
      </c>
      <c r="G13" s="17" t="n">
        <v>85000000</v>
      </c>
      <c r="H13" s="15" t="inlineStr">
        <is>
          <t>Medium</t>
        </is>
      </c>
      <c r="I13" s="9" t="inlineStr">
        <is>
          <t>Lead Quantity Surveyor</t>
        </is>
      </c>
      <c r="J13" s="12" t="inlineStr">
        <is>
          <t>VERIFIED</t>
        </is>
      </c>
      <c r="K13" s="10" t="inlineStr">
        <is>
          <t>Certified valuations tied to unbilled revenue</t>
        </is>
      </c>
    </row>
    <row r="14">
      <c r="A14" s="13" t="inlineStr">
        <is>
          <t>SRC-10</t>
        </is>
      </c>
      <c r="B14" s="5" t="inlineStr">
        <is>
          <t>Subcontractor &amp; Supplier Invoices</t>
        </is>
      </c>
      <c r="C14" s="6" t="inlineStr">
        <is>
          <t>Baay Projects Limited</t>
        </is>
      </c>
      <c r="D14" s="6" t="inlineStr">
        <is>
          <t>FY 2023 - FY 2025</t>
        </is>
      </c>
      <c r="E14" s="7" t="inlineStr">
        <is>
          <t>Direct cost substantiation, WHT deduction &amp; supplier balances</t>
        </is>
      </c>
      <c r="F14" s="6" t="inlineStr">
        <is>
          <t>Cost of Sales, Payables, WHT</t>
        </is>
      </c>
      <c r="G14" s="19" t="n">
        <v>98500000</v>
      </c>
      <c r="H14" s="20" t="inlineStr">
        <is>
          <t>High</t>
        </is>
      </c>
      <c r="I14" s="6" t="inlineStr">
        <is>
          <t>Procurement / Site Store</t>
        </is>
      </c>
      <c r="J14" s="14" t="inlineStr">
        <is>
          <t>VERIFIED</t>
        </is>
      </c>
      <c r="K14" s="7" t="inlineStr">
        <is>
          <t>Invoices matched to payments &amp; WHT deducted</t>
        </is>
      </c>
    </row>
    <row r="15">
      <c r="A15" s="11" t="inlineStr">
        <is>
          <t>SRC-11</t>
        </is>
      </c>
      <c r="B15" s="8" t="inlineStr">
        <is>
          <t>Tax Returns, CIT Assessments &amp; Receipts</t>
        </is>
      </c>
      <c r="C15" s="9" t="inlineStr">
        <is>
          <t>Baay Projects Limited (TIN 21548976)</t>
        </is>
      </c>
      <c r="D15" s="9" t="inlineStr">
        <is>
          <t>YOA 2020 - YOA 2025</t>
        </is>
      </c>
      <c r="E15" s="10" t="inlineStr">
        <is>
          <t>Tax liability roll-forward, loss relief, capital allowance validation</t>
        </is>
      </c>
      <c r="F15" s="9" t="inlineStr">
        <is>
          <t>CIT, TET, PTF, VAT, WHT</t>
        </is>
      </c>
      <c r="G15" s="17" t="n">
        <v>14500000</v>
      </c>
      <c r="H15" s="18" t="inlineStr">
        <is>
          <t>High</t>
        </is>
      </c>
      <c r="I15" s="9" t="inlineStr">
        <is>
          <t>Tax Consultant / FIRS</t>
        </is>
      </c>
      <c r="J15" s="15" t="inlineStr">
        <is>
          <t>SUPPORTED ESTIMATE</t>
        </is>
      </c>
      <c r="K15" s="10" t="inlineStr">
        <is>
          <t>Reconstructed under CITA, TETFA &amp; FA 2019-2023</t>
        </is>
      </c>
    </row>
    <row r="16">
      <c r="A16" s="13" t="inlineStr">
        <is>
          <t>SRC-12</t>
        </is>
      </c>
      <c r="B16" s="5" t="inlineStr">
        <is>
          <t>Withholding Tax (WHT) Credit Notes</t>
        </is>
      </c>
      <c r="C16" s="6" t="inlineStr">
        <is>
          <t>Baay Projects Limited</t>
        </is>
      </c>
      <c r="D16" s="6" t="inlineStr">
        <is>
          <t>FY 2023 - FY 2025</t>
        </is>
      </c>
      <c r="E16" s="7" t="inlineStr">
        <is>
          <t>Verification of tax deducted at source by corporate clients</t>
        </is>
      </c>
      <c r="F16" s="6" t="inlineStr">
        <is>
          <t>WHT Receivable, CIT Payable</t>
        </is>
      </c>
      <c r="G16" s="19" t="n">
        <v>8600000</v>
      </c>
      <c r="H16" s="16" t="inlineStr">
        <is>
          <t>Medium</t>
        </is>
      </c>
      <c r="I16" s="6" t="inlineStr">
        <is>
          <t>Clients / FIRS Portal</t>
        </is>
      </c>
      <c r="J16" s="16" t="inlineStr">
        <is>
          <t>SUPPORTED ESTIMATE</t>
        </is>
      </c>
      <c r="K16" s="7" t="inlineStr">
        <is>
          <t>Deductions tied to contracts; credits offset against CIT</t>
        </is>
      </c>
    </row>
    <row r="17">
      <c r="A17" s="11" t="inlineStr">
        <is>
          <t>SRC-13</t>
        </is>
      </c>
      <c r="B17" s="8" t="inlineStr">
        <is>
          <t>Fixed Asset Purchase Invoices &amp; Logbooks</t>
        </is>
      </c>
      <c r="C17" s="9" t="inlineStr">
        <is>
          <t>Baay Projects Limited</t>
        </is>
      </c>
      <c r="D17" s="9" t="inlineStr">
        <is>
          <t>FY 2023 - FY 2025 Additions</t>
        </is>
      </c>
      <c r="E17" s="10" t="inlineStr">
        <is>
          <t>IAS 16 asset additions, ownership proof &amp; capital allowances</t>
        </is>
      </c>
      <c r="F17" s="9" t="inlineStr">
        <is>
          <t>PPE, Depreciation, CA</t>
        </is>
      </c>
      <c r="G17" s="17" t="n">
        <v>8100000</v>
      </c>
      <c r="H17" s="15" t="inlineStr">
        <is>
          <t>Medium</t>
        </is>
      </c>
      <c r="I17" s="9" t="inlineStr">
        <is>
          <t>Administration / Finance</t>
        </is>
      </c>
      <c r="J17" s="12" t="inlineStr">
        <is>
          <t>VERIFIED</t>
        </is>
      </c>
      <c r="K17" s="10" t="inlineStr">
        <is>
          <t>Invoices inspected; straight-line depreciation applied</t>
        </is>
      </c>
    </row>
    <row r="18">
      <c r="A18" s="13" t="inlineStr">
        <is>
          <t>SRC-14</t>
        </is>
      </c>
      <c r="B18" s="5" t="inlineStr">
        <is>
          <t>Payroll Records &amp; State PAYE Schedules</t>
        </is>
      </c>
      <c r="C18" s="6" t="inlineStr">
        <is>
          <t>Baay Projects Limited</t>
        </is>
      </c>
      <c r="D18" s="6" t="inlineStr">
        <is>
          <t>FY 2023 - FY 2025</t>
        </is>
      </c>
      <c r="E18" s="7" t="inlineStr">
        <is>
          <t>Staff salary substantiation, PITA PAYE remittances &amp; pension</t>
        </is>
      </c>
      <c r="F18" s="6" t="inlineStr">
        <is>
          <t>Staff Costs, PAYE Payable</t>
        </is>
      </c>
      <c r="G18" s="19" t="n">
        <v>14200000</v>
      </c>
      <c r="H18" s="16" t="inlineStr">
        <is>
          <t>Medium</t>
        </is>
      </c>
      <c r="I18" s="6" t="inlineStr">
        <is>
          <t>Human Resources / LIRS</t>
        </is>
      </c>
      <c r="J18" s="14" t="inlineStr">
        <is>
          <t>VERIFIED</t>
        </is>
      </c>
      <c r="K18" s="7" t="inlineStr">
        <is>
          <t>Monthly payroll reconstructed under PITA bands</t>
        </is>
      </c>
    </row>
    <row r="19">
      <c r="A19" s="11" t="inlineStr">
        <is>
          <t>SRC-15</t>
        </is>
      </c>
      <c r="B19" s="8" t="inlineStr">
        <is>
          <t>Sales &amp; Customers Register (BAAY_Sales_and_Customers_2022_2025_for_Audit.xlsx)</t>
        </is>
      </c>
      <c r="C19" s="9" t="inlineStr">
        <is>
          <t>Baay Projects Limited</t>
        </is>
      </c>
      <c r="D19" s="9" t="inlineStr">
        <is>
          <t>FY 2022 - FY 2025</t>
        </is>
      </c>
      <c r="E19" s="10" t="inlineStr">
        <is>
          <t>Customer subscriptions, sales receipts, customer master, project cash receipts</t>
        </is>
      </c>
      <c r="F19" s="9" t="inlineStr">
        <is>
          <t>Revenue, Contract Liabilities, Trade Receivables</t>
        </is>
      </c>
      <c r="G19" s="17" t="n">
        <v>2584814000</v>
      </c>
      <c r="H19" s="18" t="inlineStr">
        <is>
          <t>High</t>
        </is>
      </c>
      <c r="I19" s="9" t="inlineStr">
        <is>
          <t>Company Accountant / Client Relations</t>
        </is>
      </c>
      <c r="J19" s="12" t="inlineStr">
        <is>
          <t>VERIFIED</t>
        </is>
      </c>
      <c r="K19" s="10" t="inlineStr">
        <is>
          <t>Extracted 860 sales receipts, 219 subscriptions, 241 customer master records &amp; reconciled to bank</t>
        </is>
      </c>
    </row>
    <row r="20"/>
    <row r="21"/>
    <row r="22">
      <c r="A22" s="2" t="inlineStr">
        <is>
          <t>ACCOUNTANT SALES &amp; CUSTOMER DATA — COMPLETE INGESTION</t>
        </is>
      </c>
    </row>
    <row r="23">
      <c r="A23" s="72" t="inlineStr">
        <is>
          <t>Cash-receipt evidence is retained separately from IFRS 15 revenue recognition.</t>
        </is>
      </c>
    </row>
    <row r="24"/>
    <row r="25">
      <c r="A25" s="73" t="inlineStr">
        <is>
          <t>Source ID</t>
        </is>
      </c>
      <c r="B25" s="73" t="inlineStr">
        <is>
          <t>Source workbook / tab</t>
        </is>
      </c>
      <c r="C25" s="73" t="inlineStr">
        <is>
          <t>Rows ingested</t>
        </is>
      </c>
      <c r="D25" s="73" t="inlineStr">
        <is>
          <t>Formulas parsed</t>
        </is>
      </c>
      <c r="E25" s="73" t="inlineStr">
        <is>
          <t>Accounting use</t>
        </is>
      </c>
      <c r="F25" s="73" t="inlineStr">
        <is>
          <t>Reliance / treatment</t>
        </is>
      </c>
    </row>
    <row r="26">
      <c r="A26" s="59" t="inlineStr">
        <is>
          <t>SRC-SALES-01</t>
        </is>
      </c>
      <c r="B26" s="59" t="inlineStr">
        <is>
          <t>Summary</t>
        </is>
      </c>
      <c r="C26" s="59" t="n">
        <v>72</v>
      </c>
      <c r="D26" s="59" t="n">
        <v>192</v>
      </c>
      <c r="E26" s="59" t="inlineStr">
        <is>
          <t>Sales/customer subledger and audit evidence</t>
        </is>
      </c>
      <c r="F26" s="59" t="inlineStr">
        <is>
          <t>Parsed in full; receipts are not automatically treated as revenue</t>
        </is>
      </c>
    </row>
    <row r="27">
      <c r="A27" s="59" t="inlineStr">
        <is>
          <t>SRC-SALES-02</t>
        </is>
      </c>
      <c r="B27" s="59" t="inlineStr">
        <is>
          <t>Notes</t>
        </is>
      </c>
      <c r="C27" s="59" t="n">
        <v>33</v>
      </c>
      <c r="D27" s="59" t="n">
        <v>0</v>
      </c>
      <c r="E27" s="59" t="inlineStr">
        <is>
          <t>Sales/customer subledger and audit evidence</t>
        </is>
      </c>
      <c r="F27" s="59" t="inlineStr">
        <is>
          <t>Parsed in full; receipts are not automatically treated as revenue</t>
        </is>
      </c>
    </row>
    <row r="28">
      <c r="A28" s="59" t="inlineStr">
        <is>
          <t>SRC-SALES-03</t>
        </is>
      </c>
      <c r="B28" s="59" t="inlineStr">
        <is>
          <t>Sales_Ledger</t>
        </is>
      </c>
      <c r="C28" s="59" t="n">
        <v>864</v>
      </c>
      <c r="D28" s="59" t="n">
        <v>1</v>
      </c>
      <c r="E28" s="59" t="inlineStr">
        <is>
          <t>Sales/customer subledger and audit evidence</t>
        </is>
      </c>
      <c r="F28" s="59" t="inlineStr">
        <is>
          <t>Parsed in full; receipts are not automatically treated as revenue</t>
        </is>
      </c>
    </row>
    <row r="29">
      <c r="A29" s="59" t="inlineStr">
        <is>
          <t>SRC-SALES-04</t>
        </is>
      </c>
      <c r="B29" s="59" t="inlineStr">
        <is>
          <t>Subscriptions</t>
        </is>
      </c>
      <c r="C29" s="59" t="n">
        <v>219</v>
      </c>
      <c r="D29" s="59" t="n">
        <v>431</v>
      </c>
      <c r="E29" s="59" t="inlineStr">
        <is>
          <t>Sales/customer subledger and audit evidence</t>
        </is>
      </c>
      <c r="F29" s="59" t="inlineStr">
        <is>
          <t>Parsed in full; receipts are not automatically treated as revenue</t>
        </is>
      </c>
    </row>
    <row r="30">
      <c r="A30" s="59" t="inlineStr">
        <is>
          <t>SRC-SALES-05</t>
        </is>
      </c>
      <c r="B30" s="59" t="inlineStr">
        <is>
          <t>Customer_Master</t>
        </is>
      </c>
      <c r="C30" s="59" t="n">
        <v>241</v>
      </c>
      <c r="D30" s="59" t="n">
        <v>1894</v>
      </c>
      <c r="E30" s="59" t="inlineStr">
        <is>
          <t>Sales/customer subledger and audit evidence</t>
        </is>
      </c>
      <c r="F30" s="59" t="inlineStr">
        <is>
          <t>Parsed in full; receipts are not automatically treated as revenue</t>
        </is>
      </c>
    </row>
    <row r="31">
      <c r="A31" s="59" t="inlineStr">
        <is>
          <t>SRC-SALES-06</t>
        </is>
      </c>
      <c r="B31" s="59" t="inlineStr">
        <is>
          <t>Exclusions</t>
        </is>
      </c>
      <c r="C31" s="59" t="n">
        <v>109</v>
      </c>
      <c r="D31" s="59" t="n">
        <v>1</v>
      </c>
      <c r="E31" s="59" t="inlineStr">
        <is>
          <t>Sales/customer subledger and audit evidence</t>
        </is>
      </c>
      <c r="F31" s="59" t="inlineStr">
        <is>
          <t>Parsed in full; receipts are not automatically treated as revenue</t>
        </is>
      </c>
    </row>
    <row r="32">
      <c r="A32" s="59" t="inlineStr">
        <is>
          <t>SRC-SALES-07</t>
        </is>
      </c>
      <c r="B32" s="59" t="inlineStr">
        <is>
          <t>Exceptions_Dec23_Dec24</t>
        </is>
      </c>
      <c r="C32" s="59" t="n">
        <v>95</v>
      </c>
      <c r="D32" s="59" t="n">
        <v>1</v>
      </c>
      <c r="E32" s="59" t="inlineStr">
        <is>
          <t>Sales/customer subledger and audit evidence</t>
        </is>
      </c>
      <c r="F32" s="59" t="inlineStr">
        <is>
          <t>Parsed in full; receipts are not automatically treated as revenue</t>
        </is>
      </c>
    </row>
    <row r="33">
      <c r="A33" s="59" t="inlineStr">
        <is>
          <t>SRC-SALES-08</t>
        </is>
      </c>
      <c r="B33" s="59" t="inlineStr">
        <is>
          <t>Turnover_Recon</t>
        </is>
      </c>
      <c r="C33" s="59" t="n">
        <v>18</v>
      </c>
      <c r="D33" s="59" t="n">
        <v>56</v>
      </c>
      <c r="E33" s="59" t="inlineStr">
        <is>
          <t>Sales/customer subledger and audit evidence</t>
        </is>
      </c>
      <c r="F33" s="59" t="inlineStr">
        <is>
          <t>Parsed in full; receipts are not automatically treated as revenue</t>
        </is>
      </c>
    </row>
    <row r="34"/>
    <row r="35"/>
    <row r="36">
      <c r="A36" s="2" t="inlineStr">
        <is>
          <t>NON-SALES SOURCE ITEMS / EXCLUSIONS</t>
        </is>
      </c>
    </row>
    <row r="37">
      <c r="A37" s="72" t="inlineStr">
        <is>
          <t>Retained for completeness; includes co-ownership receipts, credit memos and service income.</t>
        </is>
      </c>
    </row>
    <row r="38"/>
    <row r="39" ht="32" customHeight="1">
      <c r="A39" s="74" t="inlineStr">
        <is>
          <t>Ref</t>
        </is>
      </c>
      <c r="B39" s="74" t="inlineStr">
        <is>
          <t>Date</t>
        </is>
      </c>
      <c r="C39" s="74" t="inlineStr">
        <is>
          <t>Reporting month</t>
        </is>
      </c>
      <c r="D39" s="74" t="inlineStr">
        <is>
          <t>Year</t>
        </is>
      </c>
      <c r="E39" s="74" t="inlineStr">
        <is>
          <t>Customer</t>
        </is>
      </c>
      <c r="F39" s="74" t="inlineStr">
        <is>
          <t>Amount (₦)</t>
        </is>
      </c>
      <c r="G39" s="74" t="inlineStr">
        <is>
          <t>Category in source</t>
        </is>
      </c>
      <c r="H39" s="74" t="inlineStr">
        <is>
          <t>Reason excluded</t>
        </is>
      </c>
      <c r="I39" s="74" t="inlineStr">
        <is>
          <t>Source file</t>
        </is>
      </c>
      <c r="J39" s="74" t="inlineStr">
        <is>
          <t>Source sheet</t>
        </is>
      </c>
      <c r="K39" s="74" t="inlineStr">
        <is>
          <t>Source row</t>
        </is>
      </c>
      <c r="L39" s="74" t="inlineStr">
        <is>
          <t>Date as recorded</t>
        </is>
      </c>
    </row>
    <row r="40" ht="25" customHeight="1">
      <c r="A40" s="75" t="inlineStr">
        <is>
          <t>EX001</t>
        </is>
      </c>
      <c r="B40" s="76" t="n">
        <v>45355</v>
      </c>
      <c r="C40" s="75" t="inlineStr">
        <is>
          <t>2024-03</t>
        </is>
      </c>
      <c r="D40" s="75" t="n">
        <v>2024</v>
      </c>
      <c r="E40" s="75" t="inlineStr">
        <is>
          <t>Miss Oji Blessing</t>
        </is>
      </c>
      <c r="F40" s="77" t="n">
        <v>175000</v>
      </c>
      <c r="G40" s="75" t="inlineStr">
        <is>
          <t>Credit Memo</t>
        </is>
      </c>
      <c r="H40" s="75" t="inlineStr">
        <is>
          <t>Credit memo: non-cash transfer of an earlier payment between products; not a new receipt</t>
        </is>
      </c>
      <c r="I40" s="75" t="inlineStr">
        <is>
          <t>BAAY PROJECTS FINANCIALS 2024.xlsx</t>
        </is>
      </c>
      <c r="J40" s="75" t="inlineStr">
        <is>
          <t>MARCH TURNOVER</t>
        </is>
      </c>
      <c r="K40" s="75" t="n">
        <v>12</v>
      </c>
      <c r="L40" s="75" t="inlineStr">
        <is>
          <t>2024-04-03</t>
        </is>
      </c>
    </row>
    <row r="41" ht="25" customHeight="1">
      <c r="A41" s="78" t="inlineStr">
        <is>
          <t>EX002</t>
        </is>
      </c>
      <c r="B41" s="79" t="n">
        <v>45379</v>
      </c>
      <c r="C41" s="78" t="inlineStr">
        <is>
          <t>2024-03</t>
        </is>
      </c>
      <c r="D41" s="78" t="n">
        <v>2024</v>
      </c>
      <c r="E41" s="78" t="inlineStr">
        <is>
          <t>Miss Oji Blessing</t>
        </is>
      </c>
      <c r="F41" s="80" t="n">
        <v>85000</v>
      </c>
      <c r="G41" s="78" t="inlineStr">
        <is>
          <t>Credit Memo</t>
        </is>
      </c>
      <c r="H41" s="78" t="inlineStr">
        <is>
          <t>Credit memo: non-cash transfer of an earlier payment between products; not a new receipt</t>
        </is>
      </c>
      <c r="I41" s="78" t="inlineStr">
        <is>
          <t>BAAY PROJECTS FINANCIALS 2024.xlsx</t>
        </is>
      </c>
      <c r="J41" s="78" t="inlineStr">
        <is>
          <t>MARCH TURNOVER</t>
        </is>
      </c>
      <c r="K41" s="78" t="n">
        <v>58</v>
      </c>
      <c r="L41" s="78" t="inlineStr">
        <is>
          <t>28/03/2024</t>
        </is>
      </c>
    </row>
    <row r="42" ht="25" customHeight="1">
      <c r="A42" s="75" t="inlineStr">
        <is>
          <t>EX003</t>
        </is>
      </c>
      <c r="B42" s="76" t="n">
        <v>45447</v>
      </c>
      <c r="C42" s="75" t="inlineStr">
        <is>
          <t>2024-06</t>
        </is>
      </c>
      <c r="D42" s="75" t="n">
        <v>2024</v>
      </c>
      <c r="E42" s="75" t="inlineStr">
        <is>
          <t>Mr Salawudeen Yusuf Olayemi</t>
        </is>
      </c>
      <c r="F42" s="77" t="n">
        <v>1000000</v>
      </c>
      <c r="G42" s="75" t="inlineStr">
        <is>
          <t>Co-ownership</t>
        </is>
      </c>
      <c r="H42" s="75" t="inlineStr">
        <is>
          <t>Co-ownership investment receipt: fixed-return product, not a sale of land/housing</t>
        </is>
      </c>
      <c r="I42" s="75" t="inlineStr">
        <is>
          <t>BAAY PROJECTS FINANCIALS 2024.xlsx</t>
        </is>
      </c>
      <c r="J42" s="75" t="inlineStr">
        <is>
          <t>JUNE TURNOVER</t>
        </is>
      </c>
      <c r="K42" s="75" t="n">
        <v>9</v>
      </c>
      <c r="L42" s="75" t="inlineStr">
        <is>
          <t>2024-04-06</t>
        </is>
      </c>
    </row>
    <row r="43" ht="25" customHeight="1">
      <c r="A43" s="78" t="inlineStr">
        <is>
          <t>EX004</t>
        </is>
      </c>
      <c r="B43" s="79" t="n">
        <v>45455</v>
      </c>
      <c r="C43" s="78" t="inlineStr">
        <is>
          <t>2024-06</t>
        </is>
      </c>
      <c r="D43" s="78" t="n">
        <v>2024</v>
      </c>
      <c r="E43" s="78" t="inlineStr">
        <is>
          <t>Mr Ademola Adeniran</t>
        </is>
      </c>
      <c r="F43" s="80" t="n">
        <v>1000000</v>
      </c>
      <c r="G43" s="78" t="inlineStr">
        <is>
          <t>Co-ownership</t>
        </is>
      </c>
      <c r="H43" s="78" t="inlineStr">
        <is>
          <t>Co-ownership investment receipt: fixed-return product, not a sale of land/housing</t>
        </is>
      </c>
      <c r="I43" s="78" t="inlineStr">
        <is>
          <t>BAAY PROJECTS FINANCIALS 2024.xlsx</t>
        </is>
      </c>
      <c r="J43" s="78" t="inlineStr">
        <is>
          <t>JUNE TURNOVER</t>
        </is>
      </c>
      <c r="K43" s="78" t="n">
        <v>22</v>
      </c>
      <c r="L43" s="78" t="inlineStr">
        <is>
          <t>12/06/0204</t>
        </is>
      </c>
    </row>
    <row r="44" ht="25" customHeight="1">
      <c r="A44" s="75" t="inlineStr">
        <is>
          <t>EX005</t>
        </is>
      </c>
      <c r="B44" s="76" t="n">
        <v>45467</v>
      </c>
      <c r="C44" s="75" t="inlineStr">
        <is>
          <t>2024-06</t>
        </is>
      </c>
      <c r="D44" s="75" t="n">
        <v>2024</v>
      </c>
      <c r="E44" s="75" t="inlineStr">
        <is>
          <t>Mr Taiwo John Adeleye</t>
        </is>
      </c>
      <c r="F44" s="77" t="n">
        <v>1000000</v>
      </c>
      <c r="G44" s="75" t="inlineStr">
        <is>
          <t>Co-ownership</t>
        </is>
      </c>
      <c r="H44" s="75" t="inlineStr">
        <is>
          <t>Co-ownership investment receipt: fixed-return product, not a sale of land/housing</t>
        </is>
      </c>
      <c r="I44" s="75" t="inlineStr">
        <is>
          <t>BAAY PROJECTS FINANCIALS 2024.xlsx</t>
        </is>
      </c>
      <c r="J44" s="75" t="inlineStr">
        <is>
          <t>JUNE TURNOVER</t>
        </is>
      </c>
      <c r="K44" s="75" t="n">
        <v>35</v>
      </c>
      <c r="L44" s="75" t="inlineStr">
        <is>
          <t>24/06/2024</t>
        </is>
      </c>
    </row>
    <row r="45" ht="25" customHeight="1">
      <c r="A45" s="78" t="inlineStr">
        <is>
          <t>EX006</t>
        </is>
      </c>
      <c r="B45" s="79" t="n">
        <v>45469</v>
      </c>
      <c r="C45" s="78" t="inlineStr">
        <is>
          <t>2024-06</t>
        </is>
      </c>
      <c r="D45" s="78" t="n">
        <v>2024</v>
      </c>
      <c r="E45" s="78" t="inlineStr">
        <is>
          <t>Mr Ademola Adeniran</t>
        </is>
      </c>
      <c r="F45" s="80" t="n">
        <v>1000000</v>
      </c>
      <c r="G45" s="78" t="inlineStr">
        <is>
          <t>Co-ownership</t>
        </is>
      </c>
      <c r="H45" s="78" t="inlineStr">
        <is>
          <t>Co-ownership investment receipt: fixed-return product, not a sale of land/housing</t>
        </is>
      </c>
      <c r="I45" s="78" t="inlineStr">
        <is>
          <t>BAAY PROJECTS FINANCIALS 2024.xlsx</t>
        </is>
      </c>
      <c r="J45" s="78" t="inlineStr">
        <is>
          <t>JUNE TURNOVER</t>
        </is>
      </c>
      <c r="K45" s="78" t="n">
        <v>39</v>
      </c>
      <c r="L45" s="78" t="inlineStr">
        <is>
          <t>26/06/2024</t>
        </is>
      </c>
    </row>
    <row r="46" ht="25" customHeight="1">
      <c r="A46" s="75" t="inlineStr">
        <is>
          <t>EX007</t>
        </is>
      </c>
      <c r="B46" s="76" t="n">
        <v>45469</v>
      </c>
      <c r="C46" s="75" t="inlineStr">
        <is>
          <t>2024-06</t>
        </is>
      </c>
      <c r="D46" s="75" t="n">
        <v>2024</v>
      </c>
      <c r="E46" s="75" t="inlineStr">
        <is>
          <t>Mr Taiwo John Adeleye</t>
        </is>
      </c>
      <c r="F46" s="77" t="n">
        <v>1000000</v>
      </c>
      <c r="G46" s="75" t="inlineStr">
        <is>
          <t>Co-ownership</t>
        </is>
      </c>
      <c r="H46" s="75" t="inlineStr">
        <is>
          <t>Co-ownership investment receipt: fixed-return product, not a sale of land/housing</t>
        </is>
      </c>
      <c r="I46" s="75" t="inlineStr">
        <is>
          <t>BAAY PROJECTS FINANCIALS 2024.xlsx</t>
        </is>
      </c>
      <c r="J46" s="75" t="inlineStr">
        <is>
          <t>JUNE TURNOVER</t>
        </is>
      </c>
      <c r="K46" s="75" t="n">
        <v>40</v>
      </c>
      <c r="L46" s="75" t="inlineStr">
        <is>
          <t>26/06/2024</t>
        </is>
      </c>
    </row>
    <row r="47" ht="25" customHeight="1">
      <c r="A47" s="78" t="inlineStr">
        <is>
          <t>EX008</t>
        </is>
      </c>
      <c r="B47" s="79" t="n">
        <v>45474</v>
      </c>
      <c r="C47" s="78" t="inlineStr">
        <is>
          <t>2024-07</t>
        </is>
      </c>
      <c r="D47" s="78" t="n">
        <v>2024</v>
      </c>
      <c r="E47" s="78" t="inlineStr">
        <is>
          <t>Mr Taiwo John Adeleye</t>
        </is>
      </c>
      <c r="F47" s="80" t="n">
        <v>1000000</v>
      </c>
      <c r="G47" s="78" t="inlineStr">
        <is>
          <t>(blank)</t>
        </is>
      </c>
      <c r="H47" s="78" t="inlineStr">
        <is>
          <t>Co-ownership investment receipt: fixed-return product, not a sale of land/housing</t>
        </is>
      </c>
      <c r="I47" s="78" t="inlineStr">
        <is>
          <t>BAAY PROJECTS SALES EXPENSES (COMMISSION) RECORDS (1)</t>
        </is>
      </c>
      <c r="J47" s="78" t="inlineStr">
        <is>
          <t>MS JOCHEBED</t>
        </is>
      </c>
      <c r="K47" s="78" t="n">
        <v>13</v>
      </c>
      <c r="L47" s="78" t="inlineStr">
        <is>
          <t>2024-01-07</t>
        </is>
      </c>
    </row>
    <row r="48" ht="25" customHeight="1">
      <c r="A48" s="75" t="inlineStr">
        <is>
          <t>EX009</t>
        </is>
      </c>
      <c r="B48" s="76" t="n">
        <v>45488</v>
      </c>
      <c r="C48" s="75" t="inlineStr">
        <is>
          <t>2024-07</t>
        </is>
      </c>
      <c r="D48" s="75" t="n">
        <v>2024</v>
      </c>
      <c r="E48" s="75" t="inlineStr">
        <is>
          <t>Ferderick Jennifer</t>
        </is>
      </c>
      <c r="F48" s="77" t="n">
        <v>220000</v>
      </c>
      <c r="G48" s="75" t="inlineStr">
        <is>
          <t>(blank)</t>
        </is>
      </c>
      <c r="H48" s="75" t="inlineStr">
        <is>
          <t>Co-ownership investment receipt: fixed-return product, not a sale of land/housing</t>
        </is>
      </c>
      <c r="I48" s="75" t="inlineStr">
        <is>
          <t>BAAY PROJECTS SALES EXPENSES (COMMISSION) RECORDS (1)</t>
        </is>
      </c>
      <c r="J48" s="75" t="inlineStr">
        <is>
          <t>MS TOBI AJAYI</t>
        </is>
      </c>
      <c r="K48" s="75" t="n">
        <v>3</v>
      </c>
      <c r="L48" s="75" t="inlineStr">
        <is>
          <t>15/07/2024</t>
        </is>
      </c>
    </row>
    <row r="49" ht="25" customHeight="1">
      <c r="A49" s="78" t="inlineStr">
        <is>
          <t>EX010</t>
        </is>
      </c>
      <c r="B49" s="79" t="n">
        <v>45490</v>
      </c>
      <c r="C49" s="78" t="inlineStr">
        <is>
          <t>2024-07</t>
        </is>
      </c>
      <c r="D49" s="78" t="n">
        <v>2024</v>
      </c>
      <c r="E49" s="78" t="inlineStr">
        <is>
          <t>Mrs Ogunbowale Oluwaseun Mausi</t>
        </is>
      </c>
      <c r="F49" s="80" t="n">
        <v>1000000</v>
      </c>
      <c r="G49" s="78" t="inlineStr">
        <is>
          <t>Co-ownership</t>
        </is>
      </c>
      <c r="H49" s="78" t="inlineStr">
        <is>
          <t>Co-ownership investment receipt: fixed-return product, not a sale of land/housing</t>
        </is>
      </c>
      <c r="I49" s="78" t="inlineStr">
        <is>
          <t>BAAY PROJECTS FINANCIALS 2024.xlsx</t>
        </is>
      </c>
      <c r="J49" s="78" t="inlineStr">
        <is>
          <t>JULY TURNOVER</t>
        </is>
      </c>
      <c r="K49" s="78" t="n">
        <v>24</v>
      </c>
      <c r="L49" s="78" t="inlineStr">
        <is>
          <t>17/07/2024</t>
        </is>
      </c>
    </row>
    <row r="50" ht="25" customHeight="1">
      <c r="A50" s="75" t="inlineStr">
        <is>
          <t>EX011</t>
        </is>
      </c>
      <c r="B50" s="76" t="n">
        <v>45498</v>
      </c>
      <c r="C50" s="75" t="inlineStr">
        <is>
          <t>2024-07</t>
        </is>
      </c>
      <c r="D50" s="75" t="n">
        <v>2024</v>
      </c>
      <c r="E50" s="75" t="inlineStr">
        <is>
          <t>Mr Taiwo John Adeleye</t>
        </is>
      </c>
      <c r="F50" s="77" t="n">
        <v>1000000</v>
      </c>
      <c r="G50" s="75" t="inlineStr">
        <is>
          <t>Co-ownership</t>
        </is>
      </c>
      <c r="H50" s="75" t="inlineStr">
        <is>
          <t>Co-ownership investment receipt: fixed-return product, not a sale of land/housing</t>
        </is>
      </c>
      <c r="I50" s="75" t="inlineStr">
        <is>
          <t>BAAY PROJECTS FINANCIALS 2024.xlsx</t>
        </is>
      </c>
      <c r="J50" s="75" t="inlineStr">
        <is>
          <t>JULY TURNOVER</t>
        </is>
      </c>
      <c r="K50" s="75" t="n">
        <v>11</v>
      </c>
      <c r="L50" s="75" t="inlineStr">
        <is>
          <t>25/07/2024</t>
        </is>
      </c>
    </row>
    <row r="51" ht="25" customHeight="1">
      <c r="A51" s="78" t="inlineStr">
        <is>
          <t>EX012</t>
        </is>
      </c>
      <c r="B51" s="79" t="n">
        <v>45501</v>
      </c>
      <c r="C51" s="78" t="inlineStr">
        <is>
          <t>2024-07</t>
        </is>
      </c>
      <c r="D51" s="78" t="n">
        <v>2024</v>
      </c>
      <c r="E51" s="78" t="inlineStr">
        <is>
          <t>Mr Adetona Abayomi</t>
        </is>
      </c>
      <c r="F51" s="80" t="n">
        <v>200000</v>
      </c>
      <c r="G51" s="78" t="inlineStr">
        <is>
          <t>Co-ownership</t>
        </is>
      </c>
      <c r="H51" s="78" t="inlineStr">
        <is>
          <t>Co-ownership investment receipt: fixed-return product, not a sale of land/housing</t>
        </is>
      </c>
      <c r="I51" s="78" t="inlineStr">
        <is>
          <t>BAAY PROJECTS FINANCIALS 2024.xlsx</t>
        </is>
      </c>
      <c r="J51" s="78" t="inlineStr">
        <is>
          <t>JULY TURNOVER</t>
        </is>
      </c>
      <c r="K51" s="78" t="n">
        <v>31</v>
      </c>
      <c r="L51" s="78" t="inlineStr">
        <is>
          <t>28/07/2024</t>
        </is>
      </c>
    </row>
    <row r="52" ht="25" customHeight="1">
      <c r="A52" s="75" t="inlineStr">
        <is>
          <t>EX013</t>
        </is>
      </c>
      <c r="B52" s="76" t="n">
        <v>45501</v>
      </c>
      <c r="C52" s="75" t="inlineStr">
        <is>
          <t>2024-07</t>
        </is>
      </c>
      <c r="D52" s="75" t="n">
        <v>2024</v>
      </c>
      <c r="E52" s="75" t="inlineStr">
        <is>
          <t>Mr Adeniran</t>
        </is>
      </c>
      <c r="F52" s="77" t="n">
        <v>3500000</v>
      </c>
      <c r="G52" s="75" t="inlineStr">
        <is>
          <t>Co-ownership</t>
        </is>
      </c>
      <c r="H52" s="75" t="inlineStr">
        <is>
          <t>Co-ownership investment receipt: fixed-return product, not a sale of land/housing</t>
        </is>
      </c>
      <c r="I52" s="75" t="inlineStr">
        <is>
          <t>BAAY PROJECTS FINANCIALS 2024.xlsx</t>
        </is>
      </c>
      <c r="J52" s="75" t="inlineStr">
        <is>
          <t>JULY TURNOVER</t>
        </is>
      </c>
      <c r="K52" s="75" t="n">
        <v>32</v>
      </c>
      <c r="L52" s="75" t="inlineStr">
        <is>
          <t>28/07/2024</t>
        </is>
      </c>
    </row>
    <row r="53" ht="25" customHeight="1">
      <c r="A53" s="78" t="inlineStr">
        <is>
          <t>EX014</t>
        </is>
      </c>
      <c r="B53" s="79" t="n">
        <v>45509</v>
      </c>
      <c r="C53" s="78" t="inlineStr">
        <is>
          <t>2024-08</t>
        </is>
      </c>
      <c r="D53" s="78" t="n">
        <v>2024</v>
      </c>
      <c r="E53" s="78" t="inlineStr">
        <is>
          <t>Mrs Ojelabi Abimbola Adejumoke</t>
        </is>
      </c>
      <c r="F53" s="80" t="n">
        <v>300000</v>
      </c>
      <c r="G53" s="78" t="inlineStr">
        <is>
          <t>Co-ownership</t>
        </is>
      </c>
      <c r="H53" s="78" t="inlineStr">
        <is>
          <t>Co-ownership investment receipt: fixed-return product, not a sale of land/housing</t>
        </is>
      </c>
      <c r="I53" s="78" t="inlineStr">
        <is>
          <t>BAAY PROJECTS FINANCIALS 2024.xlsx</t>
        </is>
      </c>
      <c r="J53" s="78" t="inlineStr">
        <is>
          <t>AUGUST TURNOVER</t>
        </is>
      </c>
      <c r="K53" s="78" t="n">
        <v>12</v>
      </c>
      <c r="L53" s="78" t="inlineStr">
        <is>
          <t>2024-05-08</t>
        </is>
      </c>
    </row>
    <row r="54" ht="25" customHeight="1">
      <c r="A54" s="75" t="inlineStr">
        <is>
          <t>EX015</t>
        </is>
      </c>
      <c r="B54" s="76" t="n">
        <v>45512</v>
      </c>
      <c r="C54" s="75" t="inlineStr">
        <is>
          <t>2024-08</t>
        </is>
      </c>
      <c r="D54" s="75" t="n">
        <v>2024</v>
      </c>
      <c r="E54" s="75" t="inlineStr">
        <is>
          <t>Olatunji Balikis</t>
        </is>
      </c>
      <c r="F54" s="77" t="n">
        <v>500000</v>
      </c>
      <c r="G54" s="75" t="inlineStr">
        <is>
          <t>Co-ownership</t>
        </is>
      </c>
      <c r="H54" s="75" t="inlineStr">
        <is>
          <t>Co-ownership investment receipt: fixed-return product, not a sale of land/housing</t>
        </is>
      </c>
      <c r="I54" s="75" t="inlineStr">
        <is>
          <t>BAAY PROJECTS FINANCIALS 2024.xlsx</t>
        </is>
      </c>
      <c r="J54" s="75" t="inlineStr">
        <is>
          <t>AUGUST TURNOVER</t>
        </is>
      </c>
      <c r="K54" s="75" t="n">
        <v>16</v>
      </c>
      <c r="L54" s="75" t="inlineStr">
        <is>
          <t>2024-08-08</t>
        </is>
      </c>
    </row>
    <row r="55" ht="25" customHeight="1">
      <c r="A55" s="78" t="inlineStr">
        <is>
          <t>EX016</t>
        </is>
      </c>
      <c r="B55" s="79" t="n">
        <v>45519</v>
      </c>
      <c r="C55" s="78" t="inlineStr">
        <is>
          <t>2024-08</t>
        </is>
      </c>
      <c r="D55" s="78" t="n">
        <v>2024</v>
      </c>
      <c r="E55" s="78" t="inlineStr">
        <is>
          <t>Mr Boluwatife Arewa</t>
        </is>
      </c>
      <c r="F55" s="80" t="n">
        <v>500000</v>
      </c>
      <c r="G55" s="78" t="inlineStr">
        <is>
          <t>Service Engagement</t>
        </is>
      </c>
      <c r="H55" s="78" t="inlineStr">
        <is>
          <t>Service/engagement income: not a land, housing or construction sale</t>
        </is>
      </c>
      <c r="I55" s="78" t="inlineStr">
        <is>
          <t>BAAY PROJECTS FINANCIALS 2024.xlsx</t>
        </is>
      </c>
      <c r="J55" s="78" t="inlineStr">
        <is>
          <t>AUGUST TURNOVER</t>
        </is>
      </c>
      <c r="K55" s="78" t="n">
        <v>19</v>
      </c>
      <c r="L55" s="78" t="inlineStr">
        <is>
          <t>15/08/2024</t>
        </is>
      </c>
    </row>
    <row r="56" ht="25" customHeight="1">
      <c r="A56" s="75" t="inlineStr">
        <is>
          <t>EX017</t>
        </is>
      </c>
      <c r="B56" s="76" t="n">
        <v>45541</v>
      </c>
      <c r="C56" s="75" t="inlineStr">
        <is>
          <t>2024-09</t>
        </is>
      </c>
      <c r="D56" s="75" t="n">
        <v>2024</v>
      </c>
      <c r="E56" s="75" t="inlineStr">
        <is>
          <t>Pastor Jude Usifoh</t>
        </is>
      </c>
      <c r="F56" s="77" t="n">
        <v>100000</v>
      </c>
      <c r="G56" s="75" t="inlineStr">
        <is>
          <t>Engagement Service</t>
        </is>
      </c>
      <c r="H56" s="75" t="inlineStr">
        <is>
          <t>Service/engagement income: not a land, housing or construction sale</t>
        </is>
      </c>
      <c r="I56" s="75" t="inlineStr">
        <is>
          <t>BAAY PROJECTS FINANCIALS 2024.xlsx</t>
        </is>
      </c>
      <c r="J56" s="75" t="inlineStr">
        <is>
          <t>SEPTEMBER TURNOVER</t>
        </is>
      </c>
      <c r="K56" s="75" t="n">
        <v>14</v>
      </c>
      <c r="L56" s="75" t="inlineStr">
        <is>
          <t>2024-06-09</t>
        </is>
      </c>
    </row>
    <row r="57" ht="25" customHeight="1">
      <c r="A57" s="78" t="inlineStr">
        <is>
          <t>EX018</t>
        </is>
      </c>
      <c r="B57" s="79" t="n">
        <v>45546</v>
      </c>
      <c r="C57" s="78" t="inlineStr">
        <is>
          <t>2024-09</t>
        </is>
      </c>
      <c r="D57" s="78" t="n">
        <v>2024</v>
      </c>
      <c r="E57" s="78" t="inlineStr">
        <is>
          <t>Mr Adenusi David Olamide</t>
        </is>
      </c>
      <c r="F57" s="80" t="n">
        <v>200000</v>
      </c>
      <c r="G57" s="78" t="inlineStr">
        <is>
          <t>Co-ownership</t>
        </is>
      </c>
      <c r="H57" s="78" t="inlineStr">
        <is>
          <t>Co-ownership investment receipt: fixed-return product, not a sale of land/housing</t>
        </is>
      </c>
      <c r="I57" s="78" t="inlineStr">
        <is>
          <t>BAAY PROJECTS FINANCIALS 2024.xlsx</t>
        </is>
      </c>
      <c r="J57" s="78" t="inlineStr">
        <is>
          <t>SEPTEMBER TURNOVER</t>
        </is>
      </c>
      <c r="K57" s="78" t="n">
        <v>10</v>
      </c>
      <c r="L57" s="78" t="inlineStr">
        <is>
          <t>2024-11-09</t>
        </is>
      </c>
    </row>
    <row r="58" ht="25" customHeight="1">
      <c r="A58" s="75" t="inlineStr">
        <is>
          <t>EX019</t>
        </is>
      </c>
      <c r="B58" s="76" t="n">
        <v>45562</v>
      </c>
      <c r="C58" s="75" t="inlineStr">
        <is>
          <t>2024-09</t>
        </is>
      </c>
      <c r="D58" s="75" t="n">
        <v>2024</v>
      </c>
      <c r="E58" s="75" t="inlineStr">
        <is>
          <t>Scrapays Technologies Ltd</t>
        </is>
      </c>
      <c r="F58" s="77" t="n">
        <v>1450000</v>
      </c>
      <c r="G58" s="75" t="inlineStr">
        <is>
          <t>Engagement Service</t>
        </is>
      </c>
      <c r="H58" s="75" t="inlineStr">
        <is>
          <t>Service/engagement income: not a land, housing or construction sale</t>
        </is>
      </c>
      <c r="I58" s="75" t="inlineStr">
        <is>
          <t>BAAY PROJECTS FINANCIALS 2024.xlsx</t>
        </is>
      </c>
      <c r="J58" s="75" t="inlineStr">
        <is>
          <t>SEPTEMBER TURNOVER</t>
        </is>
      </c>
      <c r="K58" s="75" t="n">
        <v>35</v>
      </c>
      <c r="L58" s="75" t="inlineStr">
        <is>
          <t>27/09/2024</t>
        </is>
      </c>
    </row>
    <row r="59" ht="25" customHeight="1">
      <c r="A59" s="78" t="inlineStr">
        <is>
          <t>EX020</t>
        </is>
      </c>
      <c r="B59" s="79" t="n">
        <v>45565</v>
      </c>
      <c r="C59" s="78" t="inlineStr">
        <is>
          <t>2024-09</t>
        </is>
      </c>
      <c r="D59" s="78" t="n">
        <v>2024</v>
      </c>
      <c r="E59" s="78" t="inlineStr">
        <is>
          <t>Mr Oloro Sunday Irewole</t>
        </is>
      </c>
      <c r="F59" s="80" t="n">
        <v>500000</v>
      </c>
      <c r="G59" s="78" t="inlineStr">
        <is>
          <t>Co-ownership</t>
        </is>
      </c>
      <c r="H59" s="78" t="inlineStr">
        <is>
          <t>Co-ownership investment receipt: fixed-return product, not a sale of land/housing</t>
        </is>
      </c>
      <c r="I59" s="78" t="inlineStr">
        <is>
          <t>BAAY PROJECTS FINANCIALS 2024.xlsx</t>
        </is>
      </c>
      <c r="J59" s="78" t="inlineStr">
        <is>
          <t>SEPTEMBER TURNOVER</t>
        </is>
      </c>
      <c r="K59" s="78" t="n">
        <v>37</v>
      </c>
      <c r="L59" s="78" t="inlineStr">
        <is>
          <t>30/09/2024</t>
        </is>
      </c>
    </row>
    <row r="60" ht="25" customHeight="1">
      <c r="A60" s="75" t="inlineStr">
        <is>
          <t>EX021</t>
        </is>
      </c>
      <c r="B60" s="76" t="n">
        <v>45568</v>
      </c>
      <c r="C60" s="75" t="inlineStr">
        <is>
          <t>2024-10</t>
        </is>
      </c>
      <c r="D60" s="75" t="n">
        <v>2024</v>
      </c>
      <c r="E60" s="75" t="inlineStr">
        <is>
          <t>Mr Agunloye Praise Ayomide</t>
        </is>
      </c>
      <c r="F60" s="77" t="n">
        <v>1000000</v>
      </c>
      <c r="G60" s="75" t="inlineStr">
        <is>
          <t>Co-ownership</t>
        </is>
      </c>
      <c r="H60" s="75" t="inlineStr">
        <is>
          <t>Co-ownership investment receipt: fixed-return product, not a sale of land/housing</t>
        </is>
      </c>
      <c r="I60" s="75" t="inlineStr">
        <is>
          <t>BAAY PROJECTS FINANCIALS 2024.xlsx</t>
        </is>
      </c>
      <c r="J60" s="75" t="inlineStr">
        <is>
          <t>OCTOBER TURNOVER</t>
        </is>
      </c>
      <c r="K60" s="75" t="n">
        <v>8</v>
      </c>
      <c r="L60" s="75" t="inlineStr">
        <is>
          <t>2024-03-10</t>
        </is>
      </c>
    </row>
    <row r="61" ht="25" customHeight="1">
      <c r="A61" s="78" t="inlineStr">
        <is>
          <t>EX022</t>
        </is>
      </c>
      <c r="B61" s="79" t="n">
        <v>45583</v>
      </c>
      <c r="C61" s="78" t="inlineStr">
        <is>
          <t>2024-10</t>
        </is>
      </c>
      <c r="D61" s="78" t="n">
        <v>2024</v>
      </c>
      <c r="E61" s="78" t="inlineStr">
        <is>
          <t>Scrapays Technologies</t>
        </is>
      </c>
      <c r="F61" s="80" t="n">
        <v>600000</v>
      </c>
      <c r="G61" s="78" t="inlineStr">
        <is>
          <t>Survey</t>
        </is>
      </c>
      <c r="H61" s="78" t="inlineStr">
        <is>
          <t>Service/engagement income: not a land, housing or construction sale</t>
        </is>
      </c>
      <c r="I61" s="78" t="inlineStr">
        <is>
          <t>BAAY PROJECTS FINANCIALS 2024.xlsx</t>
        </is>
      </c>
      <c r="J61" s="78" t="inlineStr">
        <is>
          <t>OCTOBER TURNOVER</t>
        </is>
      </c>
      <c r="K61" s="78" t="n">
        <v>18</v>
      </c>
      <c r="L61" s="78" t="inlineStr">
        <is>
          <t>18/10/2024</t>
        </is>
      </c>
    </row>
    <row r="62" ht="25" customHeight="1">
      <c r="A62" s="75" t="inlineStr">
        <is>
          <t>EX023</t>
        </is>
      </c>
      <c r="B62" s="76" t="n">
        <v>45590</v>
      </c>
      <c r="C62" s="75" t="inlineStr">
        <is>
          <t>2024-10</t>
        </is>
      </c>
      <c r="D62" s="75" t="n">
        <v>2024</v>
      </c>
      <c r="E62" s="75" t="inlineStr">
        <is>
          <t>Miss Keshinro Phebe Oluwatunmise</t>
        </is>
      </c>
      <c r="F62" s="77" t="n">
        <v>1000000</v>
      </c>
      <c r="G62" s="75" t="inlineStr">
        <is>
          <t>Co-ownership</t>
        </is>
      </c>
      <c r="H62" s="75" t="inlineStr">
        <is>
          <t>Co-ownership investment receipt: fixed-return product, not a sale of land/housing</t>
        </is>
      </c>
      <c r="I62" s="75" t="inlineStr">
        <is>
          <t>BAAY PROJECTS FINANCIALS 2024.xlsx</t>
        </is>
      </c>
      <c r="J62" s="75" t="inlineStr">
        <is>
          <t>OCTOBER TURNOVER</t>
        </is>
      </c>
      <c r="K62" s="75" t="n">
        <v>16</v>
      </c>
      <c r="L62" s="75" t="inlineStr">
        <is>
          <t>25/10/2024</t>
        </is>
      </c>
    </row>
    <row r="63" ht="25" customHeight="1">
      <c r="A63" s="78" t="inlineStr">
        <is>
          <t>EX024</t>
        </is>
      </c>
      <c r="B63" s="79" t="n">
        <v>45591</v>
      </c>
      <c r="C63" s="78" t="inlineStr">
        <is>
          <t>2024-10</t>
        </is>
      </c>
      <c r="D63" s="78" t="n">
        <v>2024</v>
      </c>
      <c r="E63" s="78" t="inlineStr">
        <is>
          <t>Miss Keshinro Phebe Oluwatunmise</t>
        </is>
      </c>
      <c r="F63" s="80" t="n">
        <v>1000000</v>
      </c>
      <c r="G63" s="78" t="inlineStr">
        <is>
          <t>Co-ownership</t>
        </is>
      </c>
      <c r="H63" s="78" t="inlineStr">
        <is>
          <t>Co-ownership investment receipt: fixed-return product, not a sale of land/housing</t>
        </is>
      </c>
      <c r="I63" s="78" t="inlineStr">
        <is>
          <t>BAAY PROJECTS FINANCIALS 2024.xlsx</t>
        </is>
      </c>
      <c r="J63" s="78" t="inlineStr">
        <is>
          <t>OCTOBER TURNOVER</t>
        </is>
      </c>
      <c r="K63" s="78" t="n">
        <v>19</v>
      </c>
      <c r="L63" s="78" t="inlineStr">
        <is>
          <t>26/10/2024</t>
        </is>
      </c>
    </row>
    <row r="64" ht="25" customHeight="1">
      <c r="A64" s="75" t="inlineStr">
        <is>
          <t>EX025</t>
        </is>
      </c>
      <c r="B64" s="76" t="n">
        <v>45596</v>
      </c>
      <c r="C64" s="75" t="inlineStr">
        <is>
          <t>2024-10</t>
        </is>
      </c>
      <c r="D64" s="75" t="n">
        <v>2024</v>
      </c>
      <c r="E64" s="75" t="inlineStr">
        <is>
          <t>Mr Seun</t>
        </is>
      </c>
      <c r="F64" s="77" t="n">
        <v>5000000</v>
      </c>
      <c r="G64" s="75" t="inlineStr">
        <is>
          <t>Co-ownership</t>
        </is>
      </c>
      <c r="H64" s="75" t="inlineStr">
        <is>
          <t>Co-ownership investment receipt: fixed-return product, not a sale of land/housing</t>
        </is>
      </c>
      <c r="I64" s="75" t="inlineStr">
        <is>
          <t>BAAY PROJECTS FINANCIALS 2024.xlsx</t>
        </is>
      </c>
      <c r="J64" s="75" t="inlineStr">
        <is>
          <t>OCTOBER TURNOVER</t>
        </is>
      </c>
      <c r="K64" s="75" t="n">
        <v>31</v>
      </c>
      <c r="L64" s="75" t="inlineStr">
        <is>
          <t>31/10/2024</t>
        </is>
      </c>
    </row>
    <row r="65" ht="25" customHeight="1">
      <c r="A65" s="78" t="inlineStr">
        <is>
          <t>EX026</t>
        </is>
      </c>
      <c r="B65" s="79" t="n">
        <v>45597</v>
      </c>
      <c r="C65" s="78" t="inlineStr">
        <is>
          <t>2024-11</t>
        </is>
      </c>
      <c r="D65" s="78" t="n">
        <v>2024</v>
      </c>
      <c r="E65" s="78" t="inlineStr">
        <is>
          <t>Mr Shobola Michael Olakunle</t>
        </is>
      </c>
      <c r="F65" s="80" t="n">
        <v>1000000</v>
      </c>
      <c r="G65" s="78" t="inlineStr">
        <is>
          <t>Co-ownership</t>
        </is>
      </c>
      <c r="H65" s="78" t="inlineStr">
        <is>
          <t>Co-ownership investment receipt: fixed-return product, not a sale of land/housing</t>
        </is>
      </c>
      <c r="I65" s="78" t="inlineStr">
        <is>
          <t>BAAY PROJECTS FINANCIALS 2024.xlsx</t>
        </is>
      </c>
      <c r="J65" s="78" t="inlineStr">
        <is>
          <t>NOVEMBER TURNOVER</t>
        </is>
      </c>
      <c r="K65" s="78" t="n">
        <v>7</v>
      </c>
      <c r="L65" s="78" t="inlineStr">
        <is>
          <t>2024-01-11</t>
        </is>
      </c>
    </row>
    <row r="66" ht="25" customHeight="1">
      <c r="A66" s="75" t="inlineStr">
        <is>
          <t>EX027</t>
        </is>
      </c>
      <c r="B66" s="76" t="n">
        <v>45597</v>
      </c>
      <c r="C66" s="75" t="inlineStr">
        <is>
          <t>2024-11</t>
        </is>
      </c>
      <c r="D66" s="75" t="n">
        <v>2024</v>
      </c>
      <c r="E66" s="75" t="inlineStr">
        <is>
          <t>Miss Dada Grace Oluwaseun</t>
        </is>
      </c>
      <c r="F66" s="77" t="n">
        <v>1000000</v>
      </c>
      <c r="G66" s="75" t="inlineStr">
        <is>
          <t>Co-ownership</t>
        </is>
      </c>
      <c r="H66" s="75" t="inlineStr">
        <is>
          <t>Co-ownership investment receipt: fixed-return product, not a sale of land/housing</t>
        </is>
      </c>
      <c r="I66" s="75" t="inlineStr">
        <is>
          <t>BAAY PROJECTS FINANCIALS 2024.xlsx</t>
        </is>
      </c>
      <c r="J66" s="75" t="inlineStr">
        <is>
          <t>NOVEMBER TURNOVER</t>
        </is>
      </c>
      <c r="K66" s="75" t="n">
        <v>7</v>
      </c>
      <c r="L66" s="75" t="inlineStr">
        <is>
          <t>2024-01-11</t>
        </is>
      </c>
    </row>
    <row r="67" ht="25" customHeight="1">
      <c r="A67" s="78" t="inlineStr">
        <is>
          <t>EX028</t>
        </is>
      </c>
      <c r="B67" s="79" t="n">
        <v>45628</v>
      </c>
      <c r="C67" s="78" t="inlineStr">
        <is>
          <t>2024-12</t>
        </is>
      </c>
      <c r="D67" s="78" t="n">
        <v>2024</v>
      </c>
      <c r="E67" s="78" t="inlineStr">
        <is>
          <t>Miss Oji Blessing Mary</t>
        </is>
      </c>
      <c r="F67" s="80" t="n">
        <v>153250</v>
      </c>
      <c r="G67" s="78" t="inlineStr">
        <is>
          <t>Credit Memo (Omu-Epe)</t>
        </is>
      </c>
      <c r="H67" s="78" t="inlineStr">
        <is>
          <t>Credit memo: non-cash transfer of an earlier payment between products; not a new receipt</t>
        </is>
      </c>
      <c r="I67" s="78" t="inlineStr">
        <is>
          <t>BAAY PROJECTS FINANCIALS 2024.xlsx</t>
        </is>
      </c>
      <c r="J67" s="78" t="inlineStr">
        <is>
          <t>DECEMBER TURNOVER</t>
        </is>
      </c>
      <c r="K67" s="78" t="n">
        <v>8</v>
      </c>
      <c r="L67" s="78" t="inlineStr">
        <is>
          <t>2024-02-12</t>
        </is>
      </c>
    </row>
    <row r="68" ht="25" customHeight="1">
      <c r="A68" s="75" t="inlineStr">
        <is>
          <t>EX029</t>
        </is>
      </c>
      <c r="B68" s="76" t="n">
        <v>45657</v>
      </c>
      <c r="C68" s="75" t="inlineStr">
        <is>
          <t>2024-12</t>
        </is>
      </c>
      <c r="D68" s="75" t="n">
        <v>2024</v>
      </c>
      <c r="E68" s="75" t="inlineStr">
        <is>
          <t>Miss Uthman Alimot Modupe</t>
        </is>
      </c>
      <c r="F68" s="77" t="n">
        <v>200000</v>
      </c>
      <c r="G68" s="75" t="inlineStr">
        <is>
          <t>Credit Memo (Omu-Epe)</t>
        </is>
      </c>
      <c r="H68" s="75" t="inlineStr">
        <is>
          <t>Credit memo: non-cash transfer of an earlier payment between products; not a new receipt</t>
        </is>
      </c>
      <c r="I68" s="75" t="inlineStr">
        <is>
          <t>BAAY PROJECTS FINANCIALS 2024.xlsx</t>
        </is>
      </c>
      <c r="J68" s="75" t="inlineStr">
        <is>
          <t>DECEMBER TURNOVER</t>
        </is>
      </c>
      <c r="K68" s="75" t="n">
        <v>30</v>
      </c>
      <c r="L68" s="75" t="inlineStr">
        <is>
          <t>31/12/2024</t>
        </is>
      </c>
    </row>
    <row r="69" ht="25" customHeight="1">
      <c r="A69" s="78" t="inlineStr">
        <is>
          <t>EX030</t>
        </is>
      </c>
      <c r="B69" s="79" t="n">
        <v>45658</v>
      </c>
      <c r="C69" s="78" t="inlineStr">
        <is>
          <t>2025-01</t>
        </is>
      </c>
      <c r="D69" s="78" t="n">
        <v>2025</v>
      </c>
      <c r="E69" s="78" t="inlineStr">
        <is>
          <t>Okonji Tobechukwu Favour</t>
        </is>
      </c>
      <c r="F69" s="80" t="n">
        <v>200000</v>
      </c>
      <c r="G69" s="78" t="inlineStr">
        <is>
          <t>CO-OWNNERSHIP</t>
        </is>
      </c>
      <c r="H69" s="78" t="inlineStr">
        <is>
          <t>Co-ownership investment receipt: fixed-return product, not a sale of land/housing</t>
        </is>
      </c>
      <c r="I69" s="78" t="inlineStr">
        <is>
          <t>BAAY PROJECTS SALES EXPENSES (COMMISSION) RECORDS (1)</t>
        </is>
      </c>
      <c r="J69" s="78" t="inlineStr">
        <is>
          <t>MS FAITH</t>
        </is>
      </c>
      <c r="K69" s="78" t="n">
        <v>2</v>
      </c>
      <c r="L69" s="78" t="inlineStr">
        <is>
          <t>2025-01-01</t>
        </is>
      </c>
    </row>
    <row r="70" ht="25" customHeight="1">
      <c r="A70" s="75" t="inlineStr">
        <is>
          <t>EX031</t>
        </is>
      </c>
      <c r="B70" s="76" t="n">
        <v>45662</v>
      </c>
      <c r="C70" s="75" t="inlineStr">
        <is>
          <t>2025-01</t>
        </is>
      </c>
      <c r="D70" s="75" t="n">
        <v>2025</v>
      </c>
      <c r="E70" s="75" t="inlineStr">
        <is>
          <t>Miss Dada Gift Moyosoreoluwa</t>
        </is>
      </c>
      <c r="F70" s="77" t="n">
        <v>500000</v>
      </c>
      <c r="G70" s="75" t="inlineStr">
        <is>
          <t>CO-OWNERSHIP</t>
        </is>
      </c>
      <c r="H70" s="75" t="inlineStr">
        <is>
          <t>Co-ownership investment receipt: fixed-return product, not a sale of land/housing</t>
        </is>
      </c>
      <c r="I70" s="75" t="inlineStr">
        <is>
          <t>BAAY PROJECTS SALES EXPENSES (COMMISSION) RECORDS (1)</t>
        </is>
      </c>
      <c r="J70" s="75" t="inlineStr">
        <is>
          <t>MS OPEYEMI ADEGOKE</t>
        </is>
      </c>
      <c r="K70" s="75" t="n">
        <v>18</v>
      </c>
      <c r="L70" s="75" t="inlineStr">
        <is>
          <t>2025-05-01</t>
        </is>
      </c>
    </row>
    <row r="71" ht="25" customHeight="1">
      <c r="A71" s="78" t="inlineStr">
        <is>
          <t>EX032</t>
        </is>
      </c>
      <c r="B71" s="79" t="n">
        <v>45673</v>
      </c>
      <c r="C71" s="78" t="inlineStr">
        <is>
          <t>2025-01</t>
        </is>
      </c>
      <c r="D71" s="78" t="n">
        <v>2025</v>
      </c>
      <c r="E71" s="78" t="inlineStr">
        <is>
          <t>Mr Adeniran Ibrahim Ademola</t>
        </is>
      </c>
      <c r="F71" s="80" t="n">
        <v>4000000</v>
      </c>
      <c r="G71" s="78" t="inlineStr">
        <is>
          <t>CO-OWNERSHIP</t>
        </is>
      </c>
      <c r="H71" s="78" t="inlineStr">
        <is>
          <t>Co-ownership investment receipt: fixed-return product, not a sale of land/housing</t>
        </is>
      </c>
      <c r="I71" s="78" t="inlineStr">
        <is>
          <t>BAAY PROJECTS SALES EXPENSES (COMMISSION) RECORDS (1)</t>
        </is>
      </c>
      <c r="J71" s="78" t="inlineStr">
        <is>
          <t>MD</t>
        </is>
      </c>
      <c r="K71" s="78" t="n">
        <v>105</v>
      </c>
      <c r="L71" s="78" t="inlineStr">
        <is>
          <t>16/01/2025</t>
        </is>
      </c>
    </row>
    <row r="72" ht="25" customHeight="1">
      <c r="A72" s="75" t="inlineStr">
        <is>
          <t>EX033</t>
        </is>
      </c>
      <c r="B72" s="76" t="n">
        <v>45681</v>
      </c>
      <c r="C72" s="75" t="inlineStr">
        <is>
          <t>2025-01</t>
        </is>
      </c>
      <c r="D72" s="75" t="n">
        <v>2025</v>
      </c>
      <c r="E72" s="75" t="inlineStr">
        <is>
          <t>Mr Shobola Michael Olakunle</t>
        </is>
      </c>
      <c r="F72" s="77" t="n">
        <v>1000000</v>
      </c>
      <c r="G72" s="75" t="inlineStr">
        <is>
          <t>CO-OWNERSHIP</t>
        </is>
      </c>
      <c r="H72" s="75" t="inlineStr">
        <is>
          <t>Co-ownership investment receipt: fixed-return product, not a sale of land/housing</t>
        </is>
      </c>
      <c r="I72" s="75" t="inlineStr">
        <is>
          <t>BAAY PROJECTS SALES EXPENSES (COMMISSION) RECORDS (1)</t>
        </is>
      </c>
      <c r="J72" s="75" t="inlineStr">
        <is>
          <t>MD</t>
        </is>
      </c>
      <c r="K72" s="75" t="n">
        <v>110</v>
      </c>
      <c r="L72" s="75" t="inlineStr">
        <is>
          <t>24/01/2025</t>
        </is>
      </c>
    </row>
    <row r="73" ht="25" customHeight="1">
      <c r="A73" s="78" t="inlineStr">
        <is>
          <t>EX034</t>
        </is>
      </c>
      <c r="B73" s="79" t="n">
        <v>45684</v>
      </c>
      <c r="C73" s="78" t="inlineStr">
        <is>
          <t>2025-01</t>
        </is>
      </c>
      <c r="D73" s="78" t="n">
        <v>2025</v>
      </c>
      <c r="E73" s="78" t="inlineStr">
        <is>
          <t>Mr Owolabi Taiwo Goodness</t>
        </is>
      </c>
      <c r="F73" s="80" t="n">
        <v>550000</v>
      </c>
      <c r="G73" s="78" t="inlineStr">
        <is>
          <t>Co-ownership</t>
        </is>
      </c>
      <c r="H73" s="78" t="inlineStr">
        <is>
          <t>Co-ownership investment receipt: fixed-return product, not a sale of land/housing</t>
        </is>
      </c>
      <c r="I73" s="78" t="inlineStr">
        <is>
          <t>BAAY PROJECTS SALES EXPENSES (COMMISSION) RECORDS (1)</t>
        </is>
      </c>
      <c r="J73" s="78" t="inlineStr">
        <is>
          <t>MR CHARLES</t>
        </is>
      </c>
      <c r="K73" s="78" t="n">
        <v>139</v>
      </c>
      <c r="L73" s="78" t="inlineStr">
        <is>
          <t>27/01/2025</t>
        </is>
      </c>
    </row>
    <row r="74" ht="25" customHeight="1">
      <c r="A74" s="75" t="inlineStr">
        <is>
          <t>EX035</t>
        </is>
      </c>
      <c r="B74" s="76" t="n">
        <v>45702</v>
      </c>
      <c r="C74" s="75" t="inlineStr">
        <is>
          <t>2025-02</t>
        </is>
      </c>
      <c r="D74" s="75" t="n">
        <v>2025</v>
      </c>
      <c r="E74" s="75" t="inlineStr">
        <is>
          <t>Mr Adeyera Augustine Adegoke</t>
        </is>
      </c>
      <c r="F74" s="77" t="n">
        <v>1000000</v>
      </c>
      <c r="G74" s="75" t="inlineStr">
        <is>
          <t>CO-OWNERSHIP</t>
        </is>
      </c>
      <c r="H74" s="75" t="inlineStr">
        <is>
          <t>Co-ownership investment receipt: fixed-return product, not a sale of land/housing</t>
        </is>
      </c>
      <c r="I74" s="75" t="inlineStr">
        <is>
          <t>BAAY PROJECTS SALES EXPENSES (COMMISSION) RECORDS (1)</t>
        </is>
      </c>
      <c r="J74" s="75" t="inlineStr">
        <is>
          <t>MS CELINA</t>
        </is>
      </c>
      <c r="K74" s="75" t="n">
        <v>30</v>
      </c>
      <c r="L74" s="75" t="inlineStr">
        <is>
          <t>14/02/2025</t>
        </is>
      </c>
    </row>
    <row r="75" ht="25" customHeight="1">
      <c r="A75" s="78" t="inlineStr">
        <is>
          <t>EX036</t>
        </is>
      </c>
      <c r="B75" s="79" t="n">
        <v>45705</v>
      </c>
      <c r="C75" s="78" t="inlineStr">
        <is>
          <t>2025-02</t>
        </is>
      </c>
      <c r="D75" s="78" t="n">
        <v>2025</v>
      </c>
      <c r="E75" s="78" t="inlineStr">
        <is>
          <t>Mr Mmezi Benjamin</t>
        </is>
      </c>
      <c r="F75" s="80" t="n">
        <v>400000</v>
      </c>
      <c r="G75" s="78" t="inlineStr">
        <is>
          <t>CO-OWNERSHIP</t>
        </is>
      </c>
      <c r="H75" s="78" t="inlineStr">
        <is>
          <t>Co-ownership investment receipt: fixed-return product, not a sale of land/housing</t>
        </is>
      </c>
      <c r="I75" s="78" t="inlineStr">
        <is>
          <t>BAAY PROJECTS SALES EXPENSES (COMMISSION) RECORDS (1)</t>
        </is>
      </c>
      <c r="J75" s="78" t="inlineStr">
        <is>
          <t>MS ROSEMARY</t>
        </is>
      </c>
      <c r="K75" s="78" t="n">
        <v>3</v>
      </c>
      <c r="L75" s="78" t="inlineStr">
        <is>
          <t>17/02/2025</t>
        </is>
      </c>
    </row>
    <row r="76" ht="25" customHeight="1">
      <c r="A76" s="75" t="inlineStr">
        <is>
          <t>EX037</t>
        </is>
      </c>
      <c r="B76" s="76" t="n">
        <v>45721</v>
      </c>
      <c r="C76" s="75" t="inlineStr">
        <is>
          <t>2025-03</t>
        </is>
      </c>
      <c r="D76" s="75" t="n">
        <v>2025</v>
      </c>
      <c r="E76" s="75" t="inlineStr">
        <is>
          <t>Mr Olawepo Toheeb Olamilekan</t>
        </is>
      </c>
      <c r="F76" s="77" t="n">
        <v>500000</v>
      </c>
      <c r="G76" s="75" t="inlineStr">
        <is>
          <t>CO-OWNERSHIP</t>
        </is>
      </c>
      <c r="H76" s="75" t="inlineStr">
        <is>
          <t>Co-ownership investment receipt: fixed-return product, not a sale of land/housing</t>
        </is>
      </c>
      <c r="I76" s="75" t="inlineStr">
        <is>
          <t>BAAY PROJECTS SALES EXPENSES (COMMISSION) RECORDS (1)</t>
        </is>
      </c>
      <c r="J76" s="75" t="inlineStr">
        <is>
          <t>MR AFUN SOGO</t>
        </is>
      </c>
      <c r="K76" s="75" t="n">
        <v>2</v>
      </c>
      <c r="L76" s="75" t="inlineStr">
        <is>
          <t>2025-05-03</t>
        </is>
      </c>
    </row>
    <row r="77" ht="25" customHeight="1">
      <c r="A77" s="78" t="inlineStr">
        <is>
          <t>EX038</t>
        </is>
      </c>
      <c r="B77" s="79" t="n">
        <v>45725</v>
      </c>
      <c r="C77" s="78" t="inlineStr">
        <is>
          <t>2025-03</t>
        </is>
      </c>
      <c r="D77" s="78" t="n">
        <v>2025</v>
      </c>
      <c r="E77" s="78" t="inlineStr">
        <is>
          <t>Mr Adekunle Temitope Ajayi</t>
        </is>
      </c>
      <c r="F77" s="80" t="n">
        <v>3000000</v>
      </c>
      <c r="G77" s="78" t="inlineStr">
        <is>
          <t>CO-OWNEERSHIP</t>
        </is>
      </c>
      <c r="H77" s="78" t="inlineStr">
        <is>
          <t>Co-ownership investment receipt: fixed-return product, not a sale of land/housing</t>
        </is>
      </c>
      <c r="I77" s="78" t="inlineStr">
        <is>
          <t>BAAY PROJECTS SALES EXPENSES (COMMISSION) RECORDS (1)</t>
        </is>
      </c>
      <c r="J77" s="78" t="inlineStr">
        <is>
          <t>MD</t>
        </is>
      </c>
      <c r="K77" s="78" t="n">
        <v>150</v>
      </c>
      <c r="L77" s="78" t="inlineStr">
        <is>
          <t>2025-09-03</t>
        </is>
      </c>
    </row>
    <row r="78" ht="25" customHeight="1">
      <c r="A78" s="75" t="inlineStr">
        <is>
          <t>EX039</t>
        </is>
      </c>
      <c r="B78" s="76" t="n">
        <v>45727</v>
      </c>
      <c r="C78" s="75" t="inlineStr">
        <is>
          <t>2025-03</t>
        </is>
      </c>
      <c r="D78" s="75" t="n">
        <v>2025</v>
      </c>
      <c r="E78" s="75" t="inlineStr">
        <is>
          <t>Miss Olotu Tabitha Olamide</t>
        </is>
      </c>
      <c r="F78" s="77" t="n">
        <v>500000</v>
      </c>
      <c r="G78" s="75" t="inlineStr">
        <is>
          <t>CO-OWNERSHIP</t>
        </is>
      </c>
      <c r="H78" s="75" t="inlineStr">
        <is>
          <t>Co-ownership investment receipt: fixed-return product, not a sale of land/housing</t>
        </is>
      </c>
      <c r="I78" s="75" t="inlineStr">
        <is>
          <t>BAAY PROJECTS SALES EXPENSES (COMMISSION) RECORDS (1)</t>
        </is>
      </c>
      <c r="J78" s="75" t="inlineStr">
        <is>
          <t>MS OKIKIOLA</t>
        </is>
      </c>
      <c r="K78" s="75" t="n">
        <v>2</v>
      </c>
      <c r="L78" s="75" t="inlineStr">
        <is>
          <t>2025-11-03</t>
        </is>
      </c>
    </row>
    <row r="79" ht="25" customHeight="1">
      <c r="A79" s="78" t="inlineStr">
        <is>
          <t>EX040</t>
        </is>
      </c>
      <c r="B79" s="79" t="n">
        <v>45728</v>
      </c>
      <c r="C79" s="78" t="inlineStr">
        <is>
          <t>2025-03</t>
        </is>
      </c>
      <c r="D79" s="78" t="n">
        <v>2025</v>
      </c>
      <c r="E79" s="78" t="inlineStr">
        <is>
          <t>Mr Adenusi David Olamide</t>
        </is>
      </c>
      <c r="F79" s="80" t="n">
        <v>274000</v>
      </c>
      <c r="G79" s="78" t="inlineStr">
        <is>
          <t>CO-OWNERSHIP</t>
        </is>
      </c>
      <c r="H79" s="78" t="inlineStr">
        <is>
          <t>Co-ownership investment receipt: fixed-return product, not a sale of land/housing</t>
        </is>
      </c>
      <c r="I79" s="78" t="inlineStr">
        <is>
          <t>BAAY PROJECTS SALES EXPENSES (COMMISSION) RECORDS (1)</t>
        </is>
      </c>
      <c r="J79" s="78" t="inlineStr">
        <is>
          <t>MS TAIWO</t>
        </is>
      </c>
      <c r="K79" s="78" t="n">
        <v>92</v>
      </c>
      <c r="L79" s="78" t="inlineStr">
        <is>
          <t>2025-12-03</t>
        </is>
      </c>
    </row>
    <row r="80" ht="25" customHeight="1">
      <c r="A80" s="75" t="inlineStr">
        <is>
          <t>EX041</t>
        </is>
      </c>
      <c r="B80" s="76" t="n">
        <v>45734</v>
      </c>
      <c r="C80" s="75" t="inlineStr">
        <is>
          <t>2025-03</t>
        </is>
      </c>
      <c r="D80" s="75" t="n">
        <v>2025</v>
      </c>
      <c r="E80" s="75" t="inlineStr">
        <is>
          <t>Mr Oniyide Olaoluwa</t>
        </is>
      </c>
      <c r="F80" s="77" t="n">
        <v>6006000</v>
      </c>
      <c r="G80" s="75" t="inlineStr">
        <is>
          <t>CO-OWNEERSHIP</t>
        </is>
      </c>
      <c r="H80" s="75" t="inlineStr">
        <is>
          <t>Co-ownership investment receipt: fixed-return product, not a sale of land/housing</t>
        </is>
      </c>
      <c r="I80" s="75" t="inlineStr">
        <is>
          <t>BAAY PROJECTS SALES EXPENSES (COMMISSION) RECORDS (1)</t>
        </is>
      </c>
      <c r="J80" s="75" t="inlineStr">
        <is>
          <t>MD</t>
        </is>
      </c>
      <c r="K80" s="75" t="n">
        <v>148</v>
      </c>
      <c r="L80" s="75" t="inlineStr">
        <is>
          <t>18/03/2025</t>
        </is>
      </c>
    </row>
    <row r="81" ht="25" customHeight="1">
      <c r="A81" s="78" t="inlineStr">
        <is>
          <t>EX042</t>
        </is>
      </c>
      <c r="B81" s="79" t="n">
        <v>45736</v>
      </c>
      <c r="C81" s="78" t="inlineStr">
        <is>
          <t>2025-03</t>
        </is>
      </c>
      <c r="D81" s="78" t="n">
        <v>2025</v>
      </c>
      <c r="E81" s="78" t="inlineStr">
        <is>
          <t>Mr Oniyide Olaoluwa</t>
        </is>
      </c>
      <c r="F81" s="80" t="n">
        <v>4004000</v>
      </c>
      <c r="G81" s="78" t="inlineStr">
        <is>
          <t>CO-OWNEERSHIP</t>
        </is>
      </c>
      <c r="H81" s="78" t="inlineStr">
        <is>
          <t>Co-ownership investment receipt: fixed-return product, not a sale of land/housing</t>
        </is>
      </c>
      <c r="I81" s="78" t="inlineStr">
        <is>
          <t>BAAY PROJECTS SALES EXPENSES (COMMISSION) RECORDS (1)</t>
        </is>
      </c>
      <c r="J81" s="78" t="inlineStr">
        <is>
          <t>MD</t>
        </is>
      </c>
      <c r="K81" s="78" t="n">
        <v>149</v>
      </c>
      <c r="L81" s="78" t="inlineStr">
        <is>
          <t>20/03/2025</t>
        </is>
      </c>
    </row>
    <row r="82" ht="25" customHeight="1">
      <c r="A82" s="75" t="inlineStr">
        <is>
          <t>EX043</t>
        </is>
      </c>
      <c r="B82" s="76" t="n">
        <v>45740</v>
      </c>
      <c r="C82" s="75" t="inlineStr">
        <is>
          <t>2025-03</t>
        </is>
      </c>
      <c r="D82" s="75" t="n">
        <v>2025</v>
      </c>
      <c r="E82" s="75" t="inlineStr">
        <is>
          <t>Miss Obilor Uchechukwu Samuella</t>
        </is>
      </c>
      <c r="F82" s="77" t="n">
        <v>1000000</v>
      </c>
      <c r="G82" s="75" t="inlineStr">
        <is>
          <t>CO-OWNERSHIP</t>
        </is>
      </c>
      <c r="H82" s="75" t="inlineStr">
        <is>
          <t>Co-ownership investment receipt: fixed-return product, not a sale of land/housing</t>
        </is>
      </c>
      <c r="I82" s="75" t="inlineStr">
        <is>
          <t>BAAY PROJECTS SALES EXPENSES (COMMISSION) RECORDS (1)</t>
        </is>
      </c>
      <c r="J82" s="75" t="inlineStr">
        <is>
          <t>MS SAMUELLA</t>
        </is>
      </c>
      <c r="K82" s="75" t="n">
        <v>25</v>
      </c>
      <c r="L82" s="75" t="inlineStr">
        <is>
          <t>24/03/2025</t>
        </is>
      </c>
    </row>
    <row r="83" ht="25" customHeight="1">
      <c r="A83" s="78" t="inlineStr">
        <is>
          <t>EX044</t>
        </is>
      </c>
      <c r="B83" s="79" t="n">
        <v>45741</v>
      </c>
      <c r="C83" s="78" t="inlineStr">
        <is>
          <t>2025-03</t>
        </is>
      </c>
      <c r="D83" s="78" t="n">
        <v>2025</v>
      </c>
      <c r="E83" s="78" t="inlineStr">
        <is>
          <t>Mrs Adenekan Opeyemi Kafayat</t>
        </is>
      </c>
      <c r="F83" s="80" t="n">
        <v>500000</v>
      </c>
      <c r="G83" s="78" t="inlineStr">
        <is>
          <t>CO-OWNERSHIP</t>
        </is>
      </c>
      <c r="H83" s="78" t="inlineStr">
        <is>
          <t>Co-ownership investment receipt: fixed-return product, not a sale of land/housing</t>
        </is>
      </c>
      <c r="I83" s="78" t="inlineStr">
        <is>
          <t>BAAY PROJECTS SALES EXPENSES (COMMISSION) RECORDS (1)</t>
        </is>
      </c>
      <c r="J83" s="78" t="inlineStr">
        <is>
          <t>MS OKIKIOLA</t>
        </is>
      </c>
      <c r="K83" s="78" t="n">
        <v>4</v>
      </c>
      <c r="L83" s="78" t="inlineStr">
        <is>
          <t>25/03/2025</t>
        </is>
      </c>
    </row>
    <row r="84" ht="25" customHeight="1">
      <c r="A84" s="75" t="inlineStr">
        <is>
          <t>EX045</t>
        </is>
      </c>
      <c r="B84" s="76" t="n">
        <v>45742</v>
      </c>
      <c r="C84" s="75" t="inlineStr">
        <is>
          <t>2025-03</t>
        </is>
      </c>
      <c r="D84" s="75" t="n">
        <v>2025</v>
      </c>
      <c r="E84" s="75" t="inlineStr">
        <is>
          <t>Mr Ajibola Oluwatobi Adedamola</t>
        </is>
      </c>
      <c r="F84" s="77" t="n">
        <v>18018000</v>
      </c>
      <c r="G84" s="75" t="inlineStr">
        <is>
          <t>CO-OWNEERSHIP</t>
        </is>
      </c>
      <c r="H84" s="75" t="inlineStr">
        <is>
          <t>Co-ownership investment receipt: fixed-return product, not a sale of land/housing</t>
        </is>
      </c>
      <c r="I84" s="75" t="inlineStr">
        <is>
          <t>BAAY PROJECTS SALES EXPENSES (COMMISSION) RECORDS (1)</t>
        </is>
      </c>
      <c r="J84" s="75" t="inlineStr">
        <is>
          <t>MD</t>
        </is>
      </c>
      <c r="K84" s="75" t="n">
        <v>153</v>
      </c>
      <c r="L84" s="75" t="inlineStr">
        <is>
          <t>26/03/2025</t>
        </is>
      </c>
    </row>
    <row r="85" ht="25" customHeight="1">
      <c r="A85" s="78" t="inlineStr">
        <is>
          <t>EX046</t>
        </is>
      </c>
      <c r="B85" s="79" t="n">
        <v>45755</v>
      </c>
      <c r="C85" s="78" t="inlineStr">
        <is>
          <t>2025-04</t>
        </is>
      </c>
      <c r="D85" s="78" t="n">
        <v>2025</v>
      </c>
      <c r="E85" s="78" t="inlineStr">
        <is>
          <t>Mrs Ajibola Abosede F.</t>
        </is>
      </c>
      <c r="F85" s="80" t="n">
        <v>700000</v>
      </c>
      <c r="G85" s="78" t="inlineStr">
        <is>
          <t>CO-OWNERSHIP</t>
        </is>
      </c>
      <c r="H85" s="78" t="inlineStr">
        <is>
          <t>Co-ownership investment receipt: fixed-return product, not a sale of land/housing</t>
        </is>
      </c>
      <c r="I85" s="78" t="inlineStr">
        <is>
          <t>BAAY PROJECTS SALES EXPENSES (COMMISSION) RECORDS (1)</t>
        </is>
      </c>
      <c r="J85" s="78" t="inlineStr">
        <is>
          <t>MS ADENIKE</t>
        </is>
      </c>
      <c r="K85" s="78" t="n">
        <v>52</v>
      </c>
      <c r="L85" s="78" t="inlineStr">
        <is>
          <t>2025-08-04</t>
        </is>
      </c>
    </row>
    <row r="86" ht="25" customHeight="1">
      <c r="A86" s="75" t="inlineStr">
        <is>
          <t>EX047</t>
        </is>
      </c>
      <c r="B86" s="76" t="n">
        <v>45758</v>
      </c>
      <c r="C86" s="75" t="inlineStr">
        <is>
          <t>2025-04</t>
        </is>
      </c>
      <c r="D86" s="75" t="n">
        <v>2025</v>
      </c>
      <c r="E86" s="75" t="inlineStr">
        <is>
          <t>Mrs Okeleke Elizabeth adeola Adejoke</t>
        </is>
      </c>
      <c r="F86" s="77" t="n">
        <v>1000000</v>
      </c>
      <c r="G86" s="75" t="inlineStr">
        <is>
          <t>CO-OWNEERSHIP</t>
        </is>
      </c>
      <c r="H86" s="75" t="inlineStr">
        <is>
          <t>Co-ownership investment receipt: fixed-return product, not a sale of land/housing</t>
        </is>
      </c>
      <c r="I86" s="75" t="inlineStr">
        <is>
          <t>BAAY PROJECTS SALES EXPENSES (COMMISSION) RECORDS (1)</t>
        </is>
      </c>
      <c r="J86" s="75" t="inlineStr">
        <is>
          <t>MD</t>
        </is>
      </c>
      <c r="K86" s="75" t="n">
        <v>164</v>
      </c>
      <c r="L86" s="75" t="inlineStr">
        <is>
          <t>2025-11-04</t>
        </is>
      </c>
    </row>
    <row r="87" ht="25" customHeight="1">
      <c r="A87" s="78" t="inlineStr">
        <is>
          <t>EX048</t>
        </is>
      </c>
      <c r="B87" s="79" t="n">
        <v>45763</v>
      </c>
      <c r="C87" s="78" t="inlineStr">
        <is>
          <t>2025-04</t>
        </is>
      </c>
      <c r="D87" s="78" t="n">
        <v>2025</v>
      </c>
      <c r="E87" s="78" t="inlineStr">
        <is>
          <t>Mr Olatunde Selim Olowodagba</t>
        </is>
      </c>
      <c r="F87" s="80" t="n">
        <v>1400000</v>
      </c>
      <c r="G87" s="78" t="inlineStr">
        <is>
          <t>CO-OWNERSHIP</t>
        </is>
      </c>
      <c r="H87" s="78" t="inlineStr">
        <is>
          <t>Co-ownership investment receipt: fixed-return product, not a sale of land/housing</t>
        </is>
      </c>
      <c r="I87" s="78" t="inlineStr">
        <is>
          <t>BAAY PROJECTS SALES EXPENSES (COMMISSION) RECORDS (1)</t>
        </is>
      </c>
      <c r="J87" s="78" t="inlineStr">
        <is>
          <t>OGIDAN</t>
        </is>
      </c>
      <c r="K87" s="78" t="n">
        <v>117</v>
      </c>
      <c r="L87" s="78" t="inlineStr">
        <is>
          <t>16/04/2025</t>
        </is>
      </c>
    </row>
    <row r="88" ht="25" customHeight="1">
      <c r="A88" s="75" t="inlineStr">
        <is>
          <t>EX049</t>
        </is>
      </c>
      <c r="B88" s="76" t="n">
        <v>45769</v>
      </c>
      <c r="C88" s="75" t="inlineStr">
        <is>
          <t>2025-04</t>
        </is>
      </c>
      <c r="D88" s="75" t="n">
        <v>2025</v>
      </c>
      <c r="E88" s="75" t="inlineStr">
        <is>
          <t>Mr Olajide Afeez</t>
        </is>
      </c>
      <c r="F88" s="77" t="n">
        <v>5000000</v>
      </c>
      <c r="G88" s="75" t="inlineStr">
        <is>
          <t>CO-OWNEERSHIP</t>
        </is>
      </c>
      <c r="H88" s="75" t="inlineStr">
        <is>
          <t>Co-ownership investment receipt: fixed-return product, not a sale of land/housing</t>
        </is>
      </c>
      <c r="I88" s="75" t="inlineStr">
        <is>
          <t>BAAY PROJECTS SALES EXPENSES (COMMISSION) RECORDS (1)</t>
        </is>
      </c>
      <c r="J88" s="75" t="inlineStr">
        <is>
          <t>MD</t>
        </is>
      </c>
      <c r="K88" s="75" t="n">
        <v>161</v>
      </c>
      <c r="L88" s="75" t="inlineStr">
        <is>
          <t>22/04/2025</t>
        </is>
      </c>
    </row>
    <row r="89" ht="25" customHeight="1">
      <c r="A89" s="78" t="inlineStr">
        <is>
          <t>EX050</t>
        </is>
      </c>
      <c r="B89" s="79" t="n">
        <v>45770</v>
      </c>
      <c r="C89" s="78" t="inlineStr">
        <is>
          <t>2025-04</t>
        </is>
      </c>
      <c r="D89" s="78" t="n">
        <v>2025</v>
      </c>
      <c r="E89" s="78" t="inlineStr">
        <is>
          <t>Mr Obilor Udochukwu Justice</t>
        </is>
      </c>
      <c r="F89" s="80" t="n">
        <v>4000000</v>
      </c>
      <c r="G89" s="78" t="inlineStr">
        <is>
          <t>CO-OWNERSHIP</t>
        </is>
      </c>
      <c r="H89" s="78" t="inlineStr">
        <is>
          <t>Co-ownership investment receipt: fixed-return product, not a sale of land/housing</t>
        </is>
      </c>
      <c r="I89" s="78" t="inlineStr">
        <is>
          <t>BAAY PROJECTS SALES EXPENSES (COMMISSION) RECORDS (1)</t>
        </is>
      </c>
      <c r="J89" s="78" t="inlineStr">
        <is>
          <t>MS SAMUELLA</t>
        </is>
      </c>
      <c r="K89" s="78" t="n">
        <v>33</v>
      </c>
      <c r="L89" s="78" t="inlineStr">
        <is>
          <t>23/04/2025</t>
        </is>
      </c>
    </row>
    <row r="90" ht="25" customHeight="1">
      <c r="A90" s="75" t="inlineStr">
        <is>
          <t>EX051</t>
        </is>
      </c>
      <c r="B90" s="76" t="n">
        <v>45772</v>
      </c>
      <c r="C90" s="75" t="inlineStr">
        <is>
          <t>2025-04</t>
        </is>
      </c>
      <c r="D90" s="75" t="n">
        <v>2025</v>
      </c>
      <c r="E90" s="75" t="inlineStr">
        <is>
          <t>Ms Ajayi Oluwatobi Tomilola</t>
        </is>
      </c>
      <c r="F90" s="77" t="n">
        <v>500000</v>
      </c>
      <c r="G90" s="75" t="inlineStr">
        <is>
          <t>CO-OWNERSHIP</t>
        </is>
      </c>
      <c r="H90" s="75" t="inlineStr">
        <is>
          <t>Co-ownership investment receipt: fixed-return product, not a sale of land/housing</t>
        </is>
      </c>
      <c r="I90" s="75" t="inlineStr">
        <is>
          <t>BAAY PROJECTS SALES EXPENSES (COMMISSION) RECORDS (1)</t>
        </is>
      </c>
      <c r="J90" s="75" t="inlineStr">
        <is>
          <t>MS TOBI AJAYI</t>
        </is>
      </c>
      <c r="K90" s="75" t="n">
        <v>70</v>
      </c>
      <c r="L90" s="75" t="inlineStr">
        <is>
          <t>25/04/2025</t>
        </is>
      </c>
    </row>
    <row r="91" ht="25" customHeight="1">
      <c r="A91" s="78" t="inlineStr">
        <is>
          <t>EX052</t>
        </is>
      </c>
      <c r="B91" s="79" t="n">
        <v>45778</v>
      </c>
      <c r="C91" s="78" t="inlineStr">
        <is>
          <t>2025-05</t>
        </is>
      </c>
      <c r="D91" s="78" t="n">
        <v>2025</v>
      </c>
      <c r="E91" s="78" t="inlineStr">
        <is>
          <t>Mrs Olatunde Adeyinka Mojisola</t>
        </is>
      </c>
      <c r="F91" s="80" t="n">
        <v>500000</v>
      </c>
      <c r="G91" s="78" t="inlineStr">
        <is>
          <t>CO-OWNERSHIP</t>
        </is>
      </c>
      <c r="H91" s="78" t="inlineStr">
        <is>
          <t>Co-ownership investment receipt: fixed-return product, not a sale of land/housing</t>
        </is>
      </c>
      <c r="I91" s="78" t="inlineStr">
        <is>
          <t>BAAY PROJECTS SALES EXPENSES (COMMISSION) RECORDS (1)</t>
        </is>
      </c>
      <c r="J91" s="78" t="inlineStr">
        <is>
          <t>MS ADENIKE</t>
        </is>
      </c>
      <c r="K91" s="78" t="n">
        <v>59</v>
      </c>
      <c r="L91" s="78" t="inlineStr">
        <is>
          <t>2025-01-05</t>
        </is>
      </c>
    </row>
    <row r="92" ht="25" customHeight="1">
      <c r="A92" s="75" t="inlineStr">
        <is>
          <t>EX053</t>
        </is>
      </c>
      <c r="B92" s="76" t="n">
        <v>45801</v>
      </c>
      <c r="C92" s="75" t="inlineStr">
        <is>
          <t>2025-05</t>
        </is>
      </c>
      <c r="D92" s="75" t="n">
        <v>2025</v>
      </c>
      <c r="E92" s="75" t="inlineStr">
        <is>
          <t>Mrs Braimoh Salimot Ajoke</t>
        </is>
      </c>
      <c r="F92" s="77" t="n">
        <v>500000</v>
      </c>
      <c r="G92" s="75" t="inlineStr">
        <is>
          <t>CO-OWNERSHIP</t>
        </is>
      </c>
      <c r="H92" s="75" t="inlineStr">
        <is>
          <t>Co-ownership investment receipt: fixed-return product, not a sale of land/housing</t>
        </is>
      </c>
      <c r="I92" s="75" t="inlineStr">
        <is>
          <t>BAAY PROJECTS SALES EXPENSES (COMMISSION) RECORDS (1)</t>
        </is>
      </c>
      <c r="J92" s="75" t="inlineStr">
        <is>
          <t>MS MAYOWA BRAIMOH</t>
        </is>
      </c>
      <c r="K92" s="75" t="n">
        <v>73</v>
      </c>
      <c r="L92" s="75" t="inlineStr">
        <is>
          <t>24/05/2025</t>
        </is>
      </c>
    </row>
    <row r="93" ht="25" customHeight="1">
      <c r="A93" s="78" t="inlineStr">
        <is>
          <t>EX054</t>
        </is>
      </c>
      <c r="B93" s="79" t="n">
        <v>45803</v>
      </c>
      <c r="C93" s="78" t="inlineStr">
        <is>
          <t>2025-05</t>
        </is>
      </c>
      <c r="D93" s="78" t="n">
        <v>2025</v>
      </c>
      <c r="E93" s="78" t="inlineStr">
        <is>
          <t>Mr Ogbu Pius Ejaka</t>
        </is>
      </c>
      <c r="F93" s="80" t="n">
        <v>1000000</v>
      </c>
      <c r="G93" s="78" t="inlineStr">
        <is>
          <t>CO-OWNERSHIP</t>
        </is>
      </c>
      <c r="H93" s="78" t="inlineStr">
        <is>
          <t>Co-ownership investment receipt: fixed-return product, not a sale of land/housing</t>
        </is>
      </c>
      <c r="I93" s="78" t="inlineStr">
        <is>
          <t>BAAY PROJECTS SALES EXPENSES (COMMISSION) RECORDS (1)</t>
        </is>
      </c>
      <c r="J93" s="78" t="inlineStr">
        <is>
          <t>MS MAYOWA BRAIMOH</t>
        </is>
      </c>
      <c r="K93" s="78" t="n">
        <v>74</v>
      </c>
      <c r="L93" s="78" t="inlineStr">
        <is>
          <t>26/05/2025</t>
        </is>
      </c>
    </row>
    <row r="94" ht="25" customHeight="1">
      <c r="A94" s="75" t="inlineStr">
        <is>
          <t>EX055</t>
        </is>
      </c>
      <c r="B94" s="76" t="n">
        <v>45803</v>
      </c>
      <c r="C94" s="75" t="inlineStr">
        <is>
          <t>2025-05</t>
        </is>
      </c>
      <c r="D94" s="75" t="n">
        <v>2025</v>
      </c>
      <c r="E94" s="75" t="inlineStr">
        <is>
          <t>Mr Obilor Udochukwu Justice</t>
        </is>
      </c>
      <c r="F94" s="77" t="n">
        <v>1000000</v>
      </c>
      <c r="G94" s="75" t="inlineStr">
        <is>
          <t>CO-OWNERSHIP</t>
        </is>
      </c>
      <c r="H94" s="75" t="inlineStr">
        <is>
          <t>Co-ownership investment receipt: fixed-return product, not a sale of land/housing</t>
        </is>
      </c>
      <c r="I94" s="75" t="inlineStr">
        <is>
          <t>BAAY PROJECTS SALES EXPENSES (COMMISSION) RECORDS (1)</t>
        </is>
      </c>
      <c r="J94" s="75" t="inlineStr">
        <is>
          <t>MS SAMUELLA</t>
        </is>
      </c>
      <c r="K94" s="75" t="n">
        <v>40</v>
      </c>
      <c r="L94" s="75" t="inlineStr">
        <is>
          <t>26/05/2025</t>
        </is>
      </c>
    </row>
    <row r="95" ht="25" customHeight="1">
      <c r="A95" s="78" t="inlineStr">
        <is>
          <t>EX056</t>
        </is>
      </c>
      <c r="B95" s="79" t="n">
        <v>45811</v>
      </c>
      <c r="C95" s="78" t="inlineStr">
        <is>
          <t>2025-06</t>
        </is>
      </c>
      <c r="D95" s="78" t="n">
        <v>2025</v>
      </c>
      <c r="E95" s="78" t="inlineStr">
        <is>
          <t>Mr Olafusi Oladapo Alexander</t>
        </is>
      </c>
      <c r="F95" s="80" t="n">
        <v>500000</v>
      </c>
      <c r="G95" s="78" t="inlineStr">
        <is>
          <t>CO-OWNERSHIP</t>
        </is>
      </c>
      <c r="H95" s="78" t="inlineStr">
        <is>
          <t>Co-ownership investment receipt: fixed-return product, not a sale of land/housing</t>
        </is>
      </c>
      <c r="I95" s="78" t="inlineStr">
        <is>
          <t>BAAY PROJECTS SALES EXPENSES (COMMISSION) RECORDS (1)</t>
        </is>
      </c>
      <c r="J95" s="78" t="inlineStr">
        <is>
          <t>MR ALEX OLAFUSI</t>
        </is>
      </c>
      <c r="K95" s="78" t="n">
        <v>2</v>
      </c>
      <c r="L95" s="78" t="inlineStr">
        <is>
          <t>2025-03-06</t>
        </is>
      </c>
    </row>
    <row r="96" ht="25" customHeight="1">
      <c r="A96" s="75" t="inlineStr">
        <is>
          <t>EX057</t>
        </is>
      </c>
      <c r="B96" s="76" t="n">
        <v>45811</v>
      </c>
      <c r="C96" s="75" t="inlineStr">
        <is>
          <t>2025-06</t>
        </is>
      </c>
      <c r="D96" s="75" t="n">
        <v>2025</v>
      </c>
      <c r="E96" s="75" t="inlineStr">
        <is>
          <t>Miss Olotu Oyinkansola Comfort</t>
        </is>
      </c>
      <c r="F96" s="77" t="n">
        <v>1000000</v>
      </c>
      <c r="G96" s="75" t="inlineStr">
        <is>
          <t>CO-OWNERSHIP</t>
        </is>
      </c>
      <c r="H96" s="75" t="inlineStr">
        <is>
          <t>Co-ownership investment receipt: fixed-return product, not a sale of land/housing</t>
        </is>
      </c>
      <c r="I96" s="75" t="inlineStr">
        <is>
          <t>BAAY PROJECTS SALES EXPENSES (COMMISSION) RECORDS (1)</t>
        </is>
      </c>
      <c r="J96" s="75" t="inlineStr">
        <is>
          <t>MS TABITHA OLOTU</t>
        </is>
      </c>
      <c r="K96" s="75" t="n">
        <v>2</v>
      </c>
      <c r="L96" s="75" t="inlineStr">
        <is>
          <t>2025-03-06</t>
        </is>
      </c>
    </row>
    <row r="97" ht="25" customHeight="1">
      <c r="A97" s="78" t="inlineStr">
        <is>
          <t>EX058</t>
        </is>
      </c>
      <c r="B97" s="79" t="n">
        <v>45813</v>
      </c>
      <c r="C97" s="78" t="inlineStr">
        <is>
          <t>2025-06</t>
        </is>
      </c>
      <c r="D97" s="78" t="n">
        <v>2025</v>
      </c>
      <c r="E97" s="78" t="inlineStr">
        <is>
          <t>Mr Salami Babatunde</t>
        </is>
      </c>
      <c r="F97" s="80" t="n">
        <v>2000000</v>
      </c>
      <c r="G97" s="78" t="inlineStr">
        <is>
          <t>CO-OWNEERSHIP</t>
        </is>
      </c>
      <c r="H97" s="78" t="inlineStr">
        <is>
          <t>Co-ownership investment receipt: fixed-return product, not a sale of land/housing</t>
        </is>
      </c>
      <c r="I97" s="78" t="inlineStr">
        <is>
          <t>BAAY PROJECTS SALES EXPENSES (COMMISSION) RECORDS (1)</t>
        </is>
      </c>
      <c r="J97" s="78" t="inlineStr">
        <is>
          <t>MD</t>
        </is>
      </c>
      <c r="K97" s="78" t="n">
        <v>176</v>
      </c>
      <c r="L97" s="78" t="inlineStr">
        <is>
          <t>2025-05-06</t>
        </is>
      </c>
    </row>
    <row r="98" ht="25" customHeight="1">
      <c r="A98" s="75" t="inlineStr">
        <is>
          <t>EX059</t>
        </is>
      </c>
      <c r="B98" s="76" t="n">
        <v>45821</v>
      </c>
      <c r="C98" s="75" t="inlineStr">
        <is>
          <t>2025-06</t>
        </is>
      </c>
      <c r="D98" s="75" t="n">
        <v>2025</v>
      </c>
      <c r="E98" s="75" t="inlineStr">
        <is>
          <t>Dr Afowowe Tosin Oladipo</t>
        </is>
      </c>
      <c r="F98" s="77" t="n">
        <v>1000000</v>
      </c>
      <c r="G98" s="75" t="inlineStr">
        <is>
          <t>CO-OWNERSHIP</t>
        </is>
      </c>
      <c r="H98" s="75" t="inlineStr">
        <is>
          <t>Co-ownership investment receipt: fixed-return product, not a sale of land/housing</t>
        </is>
      </c>
      <c r="I98" s="75" t="inlineStr">
        <is>
          <t>BAAY PROJECTS SALES EXPENSES (COMMISSION) RECORDS (1)</t>
        </is>
      </c>
      <c r="J98" s="75" t="inlineStr">
        <is>
          <t>MS PRAISE</t>
        </is>
      </c>
      <c r="K98" s="75" t="n">
        <v>20</v>
      </c>
      <c r="L98" s="75" t="inlineStr">
        <is>
          <t>13/06/2025</t>
        </is>
      </c>
    </row>
    <row r="99" ht="25" customHeight="1">
      <c r="A99" s="78" t="inlineStr">
        <is>
          <t>EX060</t>
        </is>
      </c>
      <c r="B99" s="79" t="n">
        <v>45824</v>
      </c>
      <c r="C99" s="78" t="inlineStr">
        <is>
          <t>2025-06</t>
        </is>
      </c>
      <c r="D99" s="78" t="n">
        <v>2025</v>
      </c>
      <c r="E99" s="78" t="inlineStr">
        <is>
          <t>Mrs Albert Chinelo Gift</t>
        </is>
      </c>
      <c r="F99" s="80" t="n">
        <v>500000</v>
      </c>
      <c r="G99" s="78" t="inlineStr">
        <is>
          <t>CO-OWNERSHIP</t>
        </is>
      </c>
      <c r="H99" s="78" t="inlineStr">
        <is>
          <t>Co-ownership investment receipt: fixed-return product, not a sale of land/housing</t>
        </is>
      </c>
      <c r="I99" s="78" t="inlineStr">
        <is>
          <t>BAAY PROJECTS SALES EXPENSES (COMMISSION) RECORDS (1)</t>
        </is>
      </c>
      <c r="J99" s="78" t="inlineStr">
        <is>
          <t>MS ADENIKE</t>
        </is>
      </c>
      <c r="K99" s="78" t="n">
        <v>67</v>
      </c>
      <c r="L99" s="78" t="inlineStr">
        <is>
          <t>16/06/2025</t>
        </is>
      </c>
    </row>
    <row r="100" ht="25" customHeight="1">
      <c r="A100" s="75" t="inlineStr">
        <is>
          <t>EX061</t>
        </is>
      </c>
      <c r="B100" s="76" t="n">
        <v>45827</v>
      </c>
      <c r="C100" s="75" t="inlineStr">
        <is>
          <t>2025-06</t>
        </is>
      </c>
      <c r="D100" s="75" t="n">
        <v>2025</v>
      </c>
      <c r="E100" s="75" t="inlineStr">
        <is>
          <t>Mrs Oluwagbemiro Olajumoke Oluwakemi</t>
        </is>
      </c>
      <c r="F100" s="77" t="n">
        <v>500000</v>
      </c>
      <c r="G100" s="75" t="inlineStr">
        <is>
          <t>CO-OWNERSHIP</t>
        </is>
      </c>
      <c r="H100" s="75" t="inlineStr">
        <is>
          <t>Co-ownership investment receipt: fixed-return product, not a sale of land/housing</t>
        </is>
      </c>
      <c r="I100" s="75" t="inlineStr">
        <is>
          <t>BAAY PROJECTS SALES EXPENSES (COMMISSION) RECORDS (1)</t>
        </is>
      </c>
      <c r="J100" s="75" t="inlineStr">
        <is>
          <t>MS TOBI AJAYI</t>
        </is>
      </c>
      <c r="K100" s="75" t="n">
        <v>78</v>
      </c>
      <c r="L100" s="75" t="inlineStr">
        <is>
          <t>19/06/2025</t>
        </is>
      </c>
    </row>
    <row r="101" ht="25" customHeight="1">
      <c r="A101" s="78" t="inlineStr">
        <is>
          <t>EX062</t>
        </is>
      </c>
      <c r="B101" s="79" t="n">
        <v>45828</v>
      </c>
      <c r="C101" s="78" t="inlineStr">
        <is>
          <t>2025-06</t>
        </is>
      </c>
      <c r="D101" s="78" t="n">
        <v>2025</v>
      </c>
      <c r="E101" s="78" t="inlineStr">
        <is>
          <t>Mr Omoria Emmanuel Osaikweme</t>
        </is>
      </c>
      <c r="F101" s="80" t="n">
        <v>500000</v>
      </c>
      <c r="G101" s="78" t="inlineStr">
        <is>
          <t>CO-OWNERSHIP</t>
        </is>
      </c>
      <c r="H101" s="78" t="inlineStr">
        <is>
          <t>Co-ownership investment receipt: fixed-return product, not a sale of land/housing</t>
        </is>
      </c>
      <c r="I101" s="78" t="inlineStr">
        <is>
          <t>BAAY PROJECTS SALES EXPENSES (COMMISSION) RECORDS (1)</t>
        </is>
      </c>
      <c r="J101" s="78" t="inlineStr">
        <is>
          <t>MS DORCAS</t>
        </is>
      </c>
      <c r="K101" s="78" t="n">
        <v>2</v>
      </c>
      <c r="L101" s="78" t="inlineStr">
        <is>
          <t>20/06/2025</t>
        </is>
      </c>
    </row>
    <row r="102" ht="25" customHeight="1">
      <c r="A102" s="75" t="inlineStr">
        <is>
          <t>EX063</t>
        </is>
      </c>
      <c r="B102" s="76" t="n">
        <v>45831</v>
      </c>
      <c r="C102" s="75" t="inlineStr">
        <is>
          <t>2025-06</t>
        </is>
      </c>
      <c r="D102" s="75" t="n">
        <v>2025</v>
      </c>
      <c r="E102" s="75" t="inlineStr">
        <is>
          <t>Mrs Ezeh Amaka Nnenna</t>
        </is>
      </c>
      <c r="F102" s="77" t="n">
        <v>1000000</v>
      </c>
      <c r="G102" s="75" t="inlineStr">
        <is>
          <t>CO-OWNERSHIP</t>
        </is>
      </c>
      <c r="H102" s="75" t="inlineStr">
        <is>
          <t>Co-ownership investment receipt: fixed-return product, not a sale of land/housing</t>
        </is>
      </c>
      <c r="I102" s="75" t="inlineStr">
        <is>
          <t>BAAY PROJECTS SALES EXPENSES (COMMISSION) RECORDS (1)</t>
        </is>
      </c>
      <c r="J102" s="75" t="inlineStr">
        <is>
          <t>MS AMAKA</t>
        </is>
      </c>
      <c r="K102" s="75" t="n">
        <v>2</v>
      </c>
      <c r="L102" s="75" t="inlineStr">
        <is>
          <t>23/06/2025</t>
        </is>
      </c>
    </row>
    <row r="103" ht="25" customHeight="1">
      <c r="A103" s="78" t="inlineStr">
        <is>
          <t>EX064</t>
        </is>
      </c>
      <c r="B103" s="79" t="n">
        <v>45835</v>
      </c>
      <c r="C103" s="78" t="inlineStr">
        <is>
          <t>2025-06</t>
        </is>
      </c>
      <c r="D103" s="78" t="n">
        <v>2025</v>
      </c>
      <c r="E103" s="78" t="inlineStr">
        <is>
          <t>Mr Owolabi Taiwo Goodness</t>
        </is>
      </c>
      <c r="F103" s="80" t="n">
        <v>500000</v>
      </c>
      <c r="G103" s="78" t="inlineStr">
        <is>
          <t>Co-ownership</t>
        </is>
      </c>
      <c r="H103" s="78" t="inlineStr">
        <is>
          <t>Co-ownership investment receipt: fixed-return product, not a sale of land/housing</t>
        </is>
      </c>
      <c r="I103" s="78" t="inlineStr">
        <is>
          <t>BAAY PROJECTS SALES EXPENSES (COMMISSION) RECORDS (1)</t>
        </is>
      </c>
      <c r="J103" s="78" t="inlineStr">
        <is>
          <t>MR CHARLES</t>
        </is>
      </c>
      <c r="K103" s="78" t="n">
        <v>101</v>
      </c>
      <c r="L103" s="78" t="inlineStr">
        <is>
          <t>27/06/2025</t>
        </is>
      </c>
    </row>
    <row r="104" ht="25" customHeight="1">
      <c r="A104" s="75" t="inlineStr">
        <is>
          <t>EX065</t>
        </is>
      </c>
      <c r="B104" s="76" t="n">
        <v>45835</v>
      </c>
      <c r="C104" s="75" t="inlineStr">
        <is>
          <t>2025-06</t>
        </is>
      </c>
      <c r="D104" s="75" t="n">
        <v>2025</v>
      </c>
      <c r="E104" s="75" t="inlineStr">
        <is>
          <t>Mr Dada Oladele John</t>
        </is>
      </c>
      <c r="F104" s="77" t="n">
        <v>29000000</v>
      </c>
      <c r="G104" s="75" t="inlineStr">
        <is>
          <t>CO-OWNEERSHIP</t>
        </is>
      </c>
      <c r="H104" s="75" t="inlineStr">
        <is>
          <t>Co-ownership investment receipt: fixed-return product, not a sale of land/housing</t>
        </is>
      </c>
      <c r="I104" s="75" t="inlineStr">
        <is>
          <t>BAAY PROJECTS SALES EXPENSES (COMMISSION) RECORDS (1)</t>
        </is>
      </c>
      <c r="J104" s="75" t="inlineStr">
        <is>
          <t>MD</t>
        </is>
      </c>
      <c r="K104" s="75" t="n">
        <v>181</v>
      </c>
      <c r="L104" s="75" t="inlineStr">
        <is>
          <t>27/06/2025</t>
        </is>
      </c>
    </row>
    <row r="105" ht="25" customHeight="1">
      <c r="A105" s="78" t="inlineStr">
        <is>
          <t>EX066</t>
        </is>
      </c>
      <c r="B105" s="79" t="n">
        <v>45835</v>
      </c>
      <c r="C105" s="78" t="inlineStr">
        <is>
          <t>2025-06</t>
        </is>
      </c>
      <c r="D105" s="78" t="n">
        <v>2025</v>
      </c>
      <c r="E105" s="78" t="inlineStr">
        <is>
          <t>Mr Ogunleye Oladapo Johnson</t>
        </is>
      </c>
      <c r="F105" s="80" t="n">
        <v>1000000</v>
      </c>
      <c r="G105" s="78" t="inlineStr">
        <is>
          <t>CO-OWNEERSHIP</t>
        </is>
      </c>
      <c r="H105" s="78" t="inlineStr">
        <is>
          <t>Co-ownership investment receipt: fixed-return product, not a sale of land/housing</t>
        </is>
      </c>
      <c r="I105" s="78" t="inlineStr">
        <is>
          <t>BAAY PROJECTS SALES EXPENSES (COMMISSION) RECORDS (1)</t>
        </is>
      </c>
      <c r="J105" s="78" t="inlineStr">
        <is>
          <t>MD</t>
        </is>
      </c>
      <c r="K105" s="78" t="n">
        <v>182</v>
      </c>
      <c r="L105" s="78" t="inlineStr">
        <is>
          <t>27/06/2025</t>
        </is>
      </c>
    </row>
    <row r="106" ht="25" customHeight="1">
      <c r="A106" s="75" t="inlineStr">
        <is>
          <t>EX067</t>
        </is>
      </c>
      <c r="B106" s="76" t="n">
        <v>45841</v>
      </c>
      <c r="C106" s="75" t="inlineStr">
        <is>
          <t>2025-07</t>
        </is>
      </c>
      <c r="D106" s="75" t="n">
        <v>2025</v>
      </c>
      <c r="E106" s="75" t="inlineStr">
        <is>
          <t>Mrs Ezeh Amaka Ajoke Nnenna</t>
        </is>
      </c>
      <c r="F106" s="77" t="n">
        <v>500000</v>
      </c>
      <c r="G106" s="75" t="inlineStr">
        <is>
          <t>CO-OWNERSHIP</t>
        </is>
      </c>
      <c r="H106" s="75" t="inlineStr">
        <is>
          <t>Co-ownership investment receipt: fixed-return product, not a sale of land/housing</t>
        </is>
      </c>
      <c r="I106" s="75" t="inlineStr">
        <is>
          <t>BAAY PROJECTS SALES EXPENSES (COMMISSION) RECORDS (1)</t>
        </is>
      </c>
      <c r="J106" s="75" t="inlineStr">
        <is>
          <t>MS AMAKA</t>
        </is>
      </c>
      <c r="K106" s="75" t="n">
        <v>10</v>
      </c>
      <c r="L106" s="75" t="inlineStr">
        <is>
          <t>2025-03-07</t>
        </is>
      </c>
    </row>
    <row r="107" ht="25" customHeight="1">
      <c r="A107" s="78" t="inlineStr">
        <is>
          <t>EX068</t>
        </is>
      </c>
      <c r="B107" s="79" t="n">
        <v>45849</v>
      </c>
      <c r="C107" s="78" t="inlineStr">
        <is>
          <t>2025-07</t>
        </is>
      </c>
      <c r="D107" s="78" t="n">
        <v>2025</v>
      </c>
      <c r="E107" s="78" t="inlineStr">
        <is>
          <t>Miss Omotoso Cathrine Ayobami</t>
        </is>
      </c>
      <c r="F107" s="80" t="n">
        <v>1800000</v>
      </c>
      <c r="G107" s="78" t="inlineStr">
        <is>
          <t>CO-OWNERSHIP</t>
        </is>
      </c>
      <c r="H107" s="78" t="inlineStr">
        <is>
          <t>Co-ownership investment receipt: fixed-return product, not a sale of land/housing</t>
        </is>
      </c>
      <c r="I107" s="78" t="inlineStr">
        <is>
          <t>BAAY PROJECTS SALES EXPENSES (COMMISSION) RECORDS (1)</t>
        </is>
      </c>
      <c r="J107" s="78" t="inlineStr">
        <is>
          <t>MS ADENIKE</t>
        </is>
      </c>
      <c r="K107" s="78" t="n">
        <v>74</v>
      </c>
      <c r="L107" s="78" t="inlineStr">
        <is>
          <t>2025-11-07</t>
        </is>
      </c>
    </row>
    <row r="108" ht="25" customHeight="1">
      <c r="A108" s="75" t="inlineStr">
        <is>
          <t>EX069</t>
        </is>
      </c>
      <c r="B108" s="76" t="n">
        <v>45851</v>
      </c>
      <c r="C108" s="75" t="inlineStr">
        <is>
          <t>2025-07</t>
        </is>
      </c>
      <c r="D108" s="75" t="n">
        <v>2025</v>
      </c>
      <c r="E108" s="75" t="inlineStr">
        <is>
          <t>Mrs Sonuga Morenike Oluwayemisi</t>
        </is>
      </c>
      <c r="F108" s="77" t="n">
        <v>1000000</v>
      </c>
      <c r="G108" s="75" t="inlineStr">
        <is>
          <t>CO-OWNERSHIP</t>
        </is>
      </c>
      <c r="H108" s="75" t="inlineStr">
        <is>
          <t>Co-ownership investment receipt: fixed-return product, not a sale of land/housing</t>
        </is>
      </c>
      <c r="I108" s="75" t="inlineStr">
        <is>
          <t>BAAY PROJECTS SALES EXPENSES (COMMISSION) RECORDS (1)</t>
        </is>
      </c>
      <c r="J108" s="75" t="inlineStr">
        <is>
          <t>MS ADENIKE</t>
        </is>
      </c>
      <c r="K108" s="75" t="n">
        <v>75</v>
      </c>
      <c r="L108" s="75" t="inlineStr">
        <is>
          <t>13/07/2025</t>
        </is>
      </c>
    </row>
    <row r="109" ht="25" customHeight="1">
      <c r="A109" s="78" t="inlineStr">
        <is>
          <t>EX070</t>
        </is>
      </c>
      <c r="B109" s="79" t="n">
        <v>45855</v>
      </c>
      <c r="C109" s="78" t="inlineStr">
        <is>
          <t>2025-07</t>
        </is>
      </c>
      <c r="D109" s="78" t="n">
        <v>2025</v>
      </c>
      <c r="E109" s="78" t="inlineStr">
        <is>
          <t>Mrs Akinsanya Adebimpe Idowu</t>
        </is>
      </c>
      <c r="F109" s="80" t="n">
        <v>20000000</v>
      </c>
      <c r="G109" s="78" t="inlineStr">
        <is>
          <t>CO-OWNERSHIP</t>
        </is>
      </c>
      <c r="H109" s="78" t="inlineStr">
        <is>
          <t>Co-ownership investment receipt: fixed-return product, not a sale of land/housing</t>
        </is>
      </c>
      <c r="I109" s="78" t="inlineStr">
        <is>
          <t>BAAY PROJECTS SALES EXPENSES (COMMISSION) RECORDS (1)</t>
        </is>
      </c>
      <c r="J109" s="78" t="inlineStr">
        <is>
          <t>MAMA ADEBIMPE</t>
        </is>
      </c>
      <c r="K109" s="78" t="n">
        <v>225</v>
      </c>
      <c r="L109" s="78" t="inlineStr">
        <is>
          <t>17/07/2025</t>
        </is>
      </c>
    </row>
    <row r="110" ht="25" customHeight="1">
      <c r="A110" s="75" t="inlineStr">
        <is>
          <t>EX071</t>
        </is>
      </c>
      <c r="B110" s="76" t="n">
        <v>45860</v>
      </c>
      <c r="C110" s="75" t="inlineStr">
        <is>
          <t>2025-07</t>
        </is>
      </c>
      <c r="D110" s="75" t="n">
        <v>2025</v>
      </c>
      <c r="E110" s="75" t="inlineStr">
        <is>
          <t>Mrs Akinsanya Adebimpe Idowu</t>
        </is>
      </c>
      <c r="F110" s="77" t="n">
        <v>2000000</v>
      </c>
      <c r="G110" s="75" t="inlineStr">
        <is>
          <t>CO-OWNERSHIP</t>
        </is>
      </c>
      <c r="H110" s="75" t="inlineStr">
        <is>
          <t>Co-ownership investment receipt: fixed-return product, not a sale of land/housing</t>
        </is>
      </c>
      <c r="I110" s="75" t="inlineStr">
        <is>
          <t>BAAY PROJECTS SALES EXPENSES (COMMISSION) RECORDS (1)</t>
        </is>
      </c>
      <c r="J110" s="75" t="inlineStr">
        <is>
          <t>MAMA ADEBIMPE</t>
        </is>
      </c>
      <c r="K110" s="75" t="n">
        <v>231</v>
      </c>
      <c r="L110" s="75" t="inlineStr">
        <is>
          <t>22/07/2025</t>
        </is>
      </c>
    </row>
    <row r="111" ht="25" customHeight="1">
      <c r="A111" s="78" t="inlineStr">
        <is>
          <t>EX072</t>
        </is>
      </c>
      <c r="B111" s="79" t="n">
        <v>45863</v>
      </c>
      <c r="C111" s="78" t="inlineStr">
        <is>
          <t>2025-07</t>
        </is>
      </c>
      <c r="D111" s="78" t="n">
        <v>2025</v>
      </c>
      <c r="E111" s="78" t="inlineStr">
        <is>
          <t>Mrs Akinsanya Adebimpe Idowu</t>
        </is>
      </c>
      <c r="F111" s="80" t="n">
        <v>3000000</v>
      </c>
      <c r="G111" s="78" t="inlineStr">
        <is>
          <t>CO-OWNERSHIP</t>
        </is>
      </c>
      <c r="H111" s="78" t="inlineStr">
        <is>
          <t>Co-ownership investment receipt: fixed-return product, not a sale of land/housing</t>
        </is>
      </c>
      <c r="I111" s="78" t="inlineStr">
        <is>
          <t>BAAY PROJECTS SALES EXPENSES (COMMISSION) RECORDS (1)</t>
        </is>
      </c>
      <c r="J111" s="78" t="inlineStr">
        <is>
          <t>MAMA ADEBIMPE</t>
        </is>
      </c>
      <c r="K111" s="78" t="n">
        <v>232</v>
      </c>
      <c r="L111" s="78" t="inlineStr">
        <is>
          <t>25/07/2025</t>
        </is>
      </c>
    </row>
    <row r="112" ht="25" customHeight="1">
      <c r="A112" s="75" t="inlineStr">
        <is>
          <t>EX073</t>
        </is>
      </c>
      <c r="B112" s="76" t="n">
        <v>45867</v>
      </c>
      <c r="C112" s="75" t="inlineStr">
        <is>
          <t>2025-07</t>
        </is>
      </c>
      <c r="D112" s="75" t="n">
        <v>2025</v>
      </c>
      <c r="E112" s="75" t="inlineStr">
        <is>
          <t>Mrs Akinsanya Adebimpe Idowu</t>
        </is>
      </c>
      <c r="F112" s="77" t="n">
        <v>20000000</v>
      </c>
      <c r="G112" s="75" t="inlineStr">
        <is>
          <t>CO-OWNERSHIP</t>
        </is>
      </c>
      <c r="H112" s="75" t="inlineStr">
        <is>
          <t>Co-ownership investment receipt: fixed-return product, not a sale of land/housing</t>
        </is>
      </c>
      <c r="I112" s="75" t="inlineStr">
        <is>
          <t>BAAY PROJECTS SALES EXPENSES (COMMISSION) RECORDS (1)</t>
        </is>
      </c>
      <c r="J112" s="75" t="inlineStr">
        <is>
          <t>MAMA ADEBIMPE</t>
        </is>
      </c>
      <c r="K112" s="75" t="n">
        <v>244</v>
      </c>
      <c r="L112" s="75" t="inlineStr">
        <is>
          <t>29/07/2025</t>
        </is>
      </c>
    </row>
    <row r="113" ht="25" customHeight="1">
      <c r="A113" s="78" t="inlineStr">
        <is>
          <t>EX074</t>
        </is>
      </c>
      <c r="B113" s="79" t="n">
        <v>45870</v>
      </c>
      <c r="C113" s="78" t="inlineStr">
        <is>
          <t>2025-08</t>
        </is>
      </c>
      <c r="D113" s="78" t="n">
        <v>2025</v>
      </c>
      <c r="E113" s="78" t="inlineStr">
        <is>
          <t>Ms Uzochukwu Adaeze Keren</t>
        </is>
      </c>
      <c r="F113" s="80" t="n">
        <v>2000000</v>
      </c>
      <c r="G113" s="78" t="inlineStr">
        <is>
          <t>CO-OWNERSHIP</t>
        </is>
      </c>
      <c r="H113" s="78" t="inlineStr">
        <is>
          <t>Co-ownership investment receipt: fixed-return product, not a sale of land/housing</t>
        </is>
      </c>
      <c r="I113" s="78" t="inlineStr">
        <is>
          <t>BAAY PROJECTS SALES EXPENSES (COMMISSION) RECORDS (1)</t>
        </is>
      </c>
      <c r="J113" s="78" t="inlineStr">
        <is>
          <t>MS MAYOWA BRAIMOH</t>
        </is>
      </c>
      <c r="K113" s="78" t="n">
        <v>80</v>
      </c>
      <c r="L113" s="78" t="inlineStr">
        <is>
          <t>2025-01-08</t>
        </is>
      </c>
    </row>
    <row r="114" ht="25" customHeight="1">
      <c r="A114" s="75" t="inlineStr">
        <is>
          <t>EX075</t>
        </is>
      </c>
      <c r="B114" s="76" t="n">
        <v>45879</v>
      </c>
      <c r="C114" s="75" t="inlineStr">
        <is>
          <t>2025-08</t>
        </is>
      </c>
      <c r="D114" s="75" t="n">
        <v>2025</v>
      </c>
      <c r="E114" s="75" t="inlineStr">
        <is>
          <t>Miss Olotu Oyinkansola Comfort</t>
        </is>
      </c>
      <c r="F114" s="77" t="n">
        <v>500000</v>
      </c>
      <c r="G114" s="75" t="inlineStr">
        <is>
          <t>CO-OWNERSHIP</t>
        </is>
      </c>
      <c r="H114" s="75" t="inlineStr">
        <is>
          <t>Co-ownership investment receipt: fixed-return product, not a sale of land/housing</t>
        </is>
      </c>
      <c r="I114" s="75" t="inlineStr">
        <is>
          <t>BAAY PROJECTS SALES EXPENSES (COMMISSION) RECORDS (1)</t>
        </is>
      </c>
      <c r="J114" s="75" t="inlineStr">
        <is>
          <t>MS TABITHA OLOTU</t>
        </is>
      </c>
      <c r="K114" s="75" t="n">
        <v>9</v>
      </c>
      <c r="L114" s="75" t="inlineStr">
        <is>
          <t>2025-10-08</t>
        </is>
      </c>
    </row>
    <row r="115" ht="25" customHeight="1">
      <c r="A115" s="78" t="inlineStr">
        <is>
          <t>EX076</t>
        </is>
      </c>
      <c r="B115" s="79" t="n">
        <v>45883</v>
      </c>
      <c r="C115" s="78" t="inlineStr">
        <is>
          <t>2025-08</t>
        </is>
      </c>
      <c r="D115" s="78" t="n">
        <v>2025</v>
      </c>
      <c r="E115" s="78" t="inlineStr">
        <is>
          <t>Miss Olotu Oyinkansola Comfort</t>
        </is>
      </c>
      <c r="F115" s="80" t="n">
        <v>500000</v>
      </c>
      <c r="G115" s="78" t="inlineStr">
        <is>
          <t>CO-OWNERSHIP</t>
        </is>
      </c>
      <c r="H115" s="78" t="inlineStr">
        <is>
          <t>Co-ownership investment receipt: fixed-return product, not a sale of land/housing</t>
        </is>
      </c>
      <c r="I115" s="78" t="inlineStr">
        <is>
          <t>BAAY PROJECTS SALES EXPENSES (COMMISSION) RECORDS (1)</t>
        </is>
      </c>
      <c r="J115" s="78" t="inlineStr">
        <is>
          <t>MS TABITHA OLOTU</t>
        </is>
      </c>
      <c r="K115" s="78" t="n">
        <v>10</v>
      </c>
      <c r="L115" s="78" t="inlineStr">
        <is>
          <t>14/08/2025</t>
        </is>
      </c>
    </row>
    <row r="116" ht="25" customHeight="1">
      <c r="A116" s="75" t="inlineStr">
        <is>
          <t>EX077</t>
        </is>
      </c>
      <c r="B116" s="76" t="n">
        <v>45887</v>
      </c>
      <c r="C116" s="75" t="inlineStr">
        <is>
          <t>2025-08</t>
        </is>
      </c>
      <c r="D116" s="75" t="n">
        <v>2025</v>
      </c>
      <c r="E116" s="75" t="inlineStr">
        <is>
          <t>Engr Ogungbamigbe Samuel Oluwagbemisola</t>
        </is>
      </c>
      <c r="F116" s="77" t="n">
        <v>1000000</v>
      </c>
      <c r="G116" s="75" t="inlineStr">
        <is>
          <t>CO-OWNERSHIP</t>
        </is>
      </c>
      <c r="H116" s="75" t="inlineStr">
        <is>
          <t>Co-ownership investment receipt: fixed-return product, not a sale of land/housing</t>
        </is>
      </c>
      <c r="I116" s="75" t="inlineStr">
        <is>
          <t>BAAY PROJECTS SALES EXPENSES (COMMISSION) RECORDS (1)</t>
        </is>
      </c>
      <c r="J116" s="75" t="inlineStr">
        <is>
          <t>MS DORCAS</t>
        </is>
      </c>
      <c r="K116" s="75" t="n">
        <v>9</v>
      </c>
      <c r="L116" s="75" t="inlineStr">
        <is>
          <t>18/08/2025</t>
        </is>
      </c>
    </row>
    <row r="117" ht="25" customHeight="1">
      <c r="A117" s="78" t="inlineStr">
        <is>
          <t>EX078</t>
        </is>
      </c>
      <c r="B117" s="79" t="n">
        <v>45896</v>
      </c>
      <c r="C117" s="78" t="inlineStr">
        <is>
          <t>2025-08</t>
        </is>
      </c>
      <c r="D117" s="78" t="n">
        <v>2025</v>
      </c>
      <c r="E117" s="78" t="inlineStr">
        <is>
          <t>Mr Adeyera Augustine Adegoke</t>
        </is>
      </c>
      <c r="F117" s="80" t="n">
        <v>500000</v>
      </c>
      <c r="G117" s="78" t="inlineStr">
        <is>
          <t>CO-OWNERSHIP</t>
        </is>
      </c>
      <c r="H117" s="78" t="inlineStr">
        <is>
          <t>Co-ownership investment receipt: fixed-return product, not a sale of land/housing</t>
        </is>
      </c>
      <c r="I117" s="78" t="inlineStr">
        <is>
          <t>BAAY PROJECTS SALES EXPENSES (COMMISSION) RECORDS (1)</t>
        </is>
      </c>
      <c r="J117" s="78" t="inlineStr">
        <is>
          <t>MS CELINA</t>
        </is>
      </c>
      <c r="K117" s="78" t="n">
        <v>37</v>
      </c>
      <c r="L117" s="78" t="inlineStr">
        <is>
          <t>27/08/2025</t>
        </is>
      </c>
    </row>
    <row r="118" ht="25" customHeight="1">
      <c r="A118" s="75" t="inlineStr">
        <is>
          <t>EX079</t>
        </is>
      </c>
      <c r="B118" s="76" t="n">
        <v>45897</v>
      </c>
      <c r="C118" s="75" t="inlineStr">
        <is>
          <t>2025-08</t>
        </is>
      </c>
      <c r="D118" s="75" t="n">
        <v>2025</v>
      </c>
      <c r="E118" s="75" t="inlineStr">
        <is>
          <t>Miss Oyedele Christianah Omofoyeke</t>
        </is>
      </c>
      <c r="F118" s="77" t="n">
        <v>500000</v>
      </c>
      <c r="G118" s="75" t="inlineStr">
        <is>
          <t>CO-OWNERSHIP</t>
        </is>
      </c>
      <c r="H118" s="75" t="inlineStr">
        <is>
          <t>Co-ownership investment receipt: fixed-return product, not a sale of land/housing</t>
        </is>
      </c>
      <c r="I118" s="75" t="inlineStr">
        <is>
          <t>BAAY PROJECTS SALES EXPENSES (COMMISSION) RECORDS (1)</t>
        </is>
      </c>
      <c r="J118" s="75" t="inlineStr">
        <is>
          <t>MR PELUMI</t>
        </is>
      </c>
      <c r="K118" s="75" t="n">
        <v>33</v>
      </c>
      <c r="L118" s="75" t="inlineStr">
        <is>
          <t>28/08/2025</t>
        </is>
      </c>
    </row>
    <row r="119" ht="25" customHeight="1">
      <c r="A119" s="78" t="inlineStr">
        <is>
          <t>EX080</t>
        </is>
      </c>
      <c r="B119" s="79" t="n">
        <v>45897</v>
      </c>
      <c r="C119" s="78" t="inlineStr">
        <is>
          <t>2025-08</t>
        </is>
      </c>
      <c r="D119" s="78" t="n">
        <v>2025</v>
      </c>
      <c r="E119" s="78" t="inlineStr">
        <is>
          <t>Miss Oyedele Christianah Omofoyeke</t>
        </is>
      </c>
      <c r="F119" s="80" t="n">
        <v>1000000</v>
      </c>
      <c r="G119" s="78" t="inlineStr">
        <is>
          <t>CO-OWNERSHIP</t>
        </is>
      </c>
      <c r="H119" s="78" t="inlineStr">
        <is>
          <t>Co-ownership investment receipt: fixed-return product, not a sale of land/housing</t>
        </is>
      </c>
      <c r="I119" s="78" t="inlineStr">
        <is>
          <t>BAAY PROJECTS SALES EXPENSES (COMMISSION) RECORDS (1)</t>
        </is>
      </c>
      <c r="J119" s="78" t="inlineStr">
        <is>
          <t>MS CELINA</t>
        </is>
      </c>
      <c r="K119" s="78" t="n">
        <v>38</v>
      </c>
      <c r="L119" s="78" t="inlineStr">
        <is>
          <t>28/08/2025</t>
        </is>
      </c>
    </row>
    <row r="120" ht="25" customHeight="1">
      <c r="A120" s="75" t="inlineStr">
        <is>
          <t>EX081</t>
        </is>
      </c>
      <c r="B120" s="76" t="n">
        <v>45901</v>
      </c>
      <c r="C120" s="75" t="inlineStr">
        <is>
          <t>2025-09</t>
        </is>
      </c>
      <c r="D120" s="75" t="n">
        <v>2025</v>
      </c>
      <c r="E120" s="75" t="inlineStr">
        <is>
          <t>Zaynab Oyewo</t>
        </is>
      </c>
      <c r="F120" s="77" t="n">
        <v>6000000</v>
      </c>
      <c r="G120" s="75" t="inlineStr">
        <is>
          <t>CO-OWNERSHIP</t>
        </is>
      </c>
      <c r="H120" s="75" t="inlineStr">
        <is>
          <t>Co-ownership investment receipt: fixed-return product, not a sale of land/housing</t>
        </is>
      </c>
      <c r="I120" s="75" t="inlineStr">
        <is>
          <t>BAAY PROJECTS SALES EXPENSES (COMMISSION) RECORDS (1)</t>
        </is>
      </c>
      <c r="J120" s="75" t="inlineStr">
        <is>
          <t>MD</t>
        </is>
      </c>
      <c r="K120" s="75" t="n">
        <v>202</v>
      </c>
      <c r="L120" s="75" t="inlineStr">
        <is>
          <t>2025-01-09</t>
        </is>
      </c>
    </row>
    <row r="121" ht="25" customHeight="1">
      <c r="A121" s="78" t="inlineStr">
        <is>
          <t>EX082</t>
        </is>
      </c>
      <c r="B121" s="79" t="n">
        <v>45902</v>
      </c>
      <c r="C121" s="78" t="inlineStr">
        <is>
          <t>2025-09</t>
        </is>
      </c>
      <c r="D121" s="78" t="n">
        <v>2025</v>
      </c>
      <c r="E121" s="78" t="inlineStr">
        <is>
          <t>Mr Agunloye Praise Ayodeji</t>
        </is>
      </c>
      <c r="F121" s="80" t="n">
        <v>1000000</v>
      </c>
      <c r="G121" s="78" t="inlineStr">
        <is>
          <t>CO-OWNERSHIP</t>
        </is>
      </c>
      <c r="H121" s="78" t="inlineStr">
        <is>
          <t>Co-ownership investment receipt: fixed-return product, not a sale of land/housing</t>
        </is>
      </c>
      <c r="I121" s="78" t="inlineStr">
        <is>
          <t>BAAY PROJECTS SALES EXPENSES (COMMISSION) RECORDS (1)</t>
        </is>
      </c>
      <c r="J121" s="78" t="inlineStr">
        <is>
          <t>MR PRAISE</t>
        </is>
      </c>
      <c r="K121" s="78" t="n">
        <v>18</v>
      </c>
      <c r="L121" s="78" t="inlineStr">
        <is>
          <t>2025-02-09</t>
        </is>
      </c>
    </row>
    <row r="122" ht="25" customHeight="1">
      <c r="A122" s="75" t="inlineStr">
        <is>
          <t>EX083</t>
        </is>
      </c>
      <c r="B122" s="76" t="n">
        <v>45902</v>
      </c>
      <c r="C122" s="75" t="inlineStr">
        <is>
          <t>2025-09</t>
        </is>
      </c>
      <c r="D122" s="75" t="n">
        <v>2025</v>
      </c>
      <c r="E122" s="75" t="inlineStr">
        <is>
          <t>Mr Salawudeen Yusuff Olayemi</t>
        </is>
      </c>
      <c r="F122" s="77" t="n">
        <v>200000</v>
      </c>
      <c r="G122" s="75" t="inlineStr">
        <is>
          <t>CO-OWNERSHIP</t>
        </is>
      </c>
      <c r="H122" s="75" t="inlineStr">
        <is>
          <t>Co-ownership investment receipt: fixed-return product, not a sale of land/housing</t>
        </is>
      </c>
      <c r="I122" s="75" t="inlineStr">
        <is>
          <t>BAAY PROJECTS SALES EXPENSES (COMMISSION) RECORDS (1)</t>
        </is>
      </c>
      <c r="J122" s="75" t="inlineStr">
        <is>
          <t>MR BAKI</t>
        </is>
      </c>
      <c r="K122" s="75" t="n">
        <v>29</v>
      </c>
      <c r="L122" s="75" t="inlineStr">
        <is>
          <t>2025-02-09</t>
        </is>
      </c>
    </row>
    <row r="123" ht="25" customHeight="1">
      <c r="A123" s="78" t="inlineStr">
        <is>
          <t>EX084</t>
        </is>
      </c>
      <c r="B123" s="79" t="n">
        <v>45902</v>
      </c>
      <c r="C123" s="78" t="inlineStr">
        <is>
          <t>2025-09</t>
        </is>
      </c>
      <c r="D123" s="78" t="n">
        <v>2025</v>
      </c>
      <c r="E123" s="78" t="inlineStr">
        <is>
          <t>Zaynab Oyewo</t>
        </is>
      </c>
      <c r="F123" s="80" t="n">
        <v>2000000</v>
      </c>
      <c r="G123" s="78" t="inlineStr">
        <is>
          <t>CO-OWNERSHIP</t>
        </is>
      </c>
      <c r="H123" s="78" t="inlineStr">
        <is>
          <t>Co-ownership investment receipt: fixed-return product, not a sale of land/housing</t>
        </is>
      </c>
      <c r="I123" s="78" t="inlineStr">
        <is>
          <t>BAAY PROJECTS SALES EXPENSES (COMMISSION) RECORDS (1)</t>
        </is>
      </c>
      <c r="J123" s="78" t="inlineStr">
        <is>
          <t>MD</t>
        </is>
      </c>
      <c r="K123" s="78" t="n">
        <v>203</v>
      </c>
      <c r="L123" s="78" t="inlineStr">
        <is>
          <t>2025-02-09</t>
        </is>
      </c>
    </row>
    <row r="124" ht="25" customHeight="1">
      <c r="A124" s="75" t="inlineStr">
        <is>
          <t>EX085</t>
        </is>
      </c>
      <c r="B124" s="76" t="n">
        <v>45919</v>
      </c>
      <c r="C124" s="75" t="inlineStr">
        <is>
          <t>2025-09</t>
        </is>
      </c>
      <c r="D124" s="75" t="n">
        <v>2025</v>
      </c>
      <c r="E124" s="75" t="inlineStr">
        <is>
          <t>Mr Okelezo David Emmanuel</t>
        </is>
      </c>
      <c r="F124" s="77" t="n">
        <v>500000</v>
      </c>
      <c r="G124" s="75" t="inlineStr">
        <is>
          <t>CO-OWNERSHIP</t>
        </is>
      </c>
      <c r="H124" s="75" t="inlineStr">
        <is>
          <t>Co-ownership investment receipt: fixed-return product, not a sale of land/housing</t>
        </is>
      </c>
      <c r="I124" s="75" t="inlineStr">
        <is>
          <t>BAAY PROJECTS SALES EXPENSES (COMMISSION) RECORDS (1)</t>
        </is>
      </c>
      <c r="J124" s="75" t="inlineStr">
        <is>
          <t>MS ADENIKE</t>
        </is>
      </c>
      <c r="K124" s="75" t="n">
        <v>82</v>
      </c>
      <c r="L124" s="75" t="inlineStr">
        <is>
          <t>19/09/2025</t>
        </is>
      </c>
    </row>
    <row r="125" ht="25" customHeight="1">
      <c r="A125" s="78" t="inlineStr">
        <is>
          <t>EX086</t>
        </is>
      </c>
      <c r="B125" s="79" t="n">
        <v>45920</v>
      </c>
      <c r="C125" s="78" t="inlineStr">
        <is>
          <t>2025-09</t>
        </is>
      </c>
      <c r="D125" s="78" t="n">
        <v>2025</v>
      </c>
      <c r="E125" s="78" t="inlineStr">
        <is>
          <t>Mr Kolawole babatunde Olupona</t>
        </is>
      </c>
      <c r="F125" s="80" t="n">
        <v>1000000</v>
      </c>
      <c r="G125" s="78" t="inlineStr">
        <is>
          <t>CO-OWNERSHIP</t>
        </is>
      </c>
      <c r="H125" s="78" t="inlineStr">
        <is>
          <t>Co-ownership investment receipt: fixed-return product, not a sale of land/housing</t>
        </is>
      </c>
      <c r="I125" s="78" t="inlineStr">
        <is>
          <t>BAAY PROJECTS SALES EXPENSES (COMMISSION) RECORDS (1)</t>
        </is>
      </c>
      <c r="J125" s="78" t="inlineStr">
        <is>
          <t>MR ALEX OLAFUSI</t>
        </is>
      </c>
      <c r="K125" s="78" t="n">
        <v>9</v>
      </c>
      <c r="L125" s="78" t="inlineStr">
        <is>
          <t>20/09/2025</t>
        </is>
      </c>
    </row>
    <row r="126" ht="25" customHeight="1">
      <c r="A126" s="75" t="inlineStr">
        <is>
          <t>EX087</t>
        </is>
      </c>
      <c r="B126" s="76" t="n">
        <v>45922</v>
      </c>
      <c r="C126" s="75" t="inlineStr">
        <is>
          <t>2025-09</t>
        </is>
      </c>
      <c r="D126" s="75" t="n">
        <v>2025</v>
      </c>
      <c r="E126" s="75" t="inlineStr">
        <is>
          <t>Mr Kolawole babatunde Olupona</t>
        </is>
      </c>
      <c r="F126" s="77" t="n">
        <v>1000000</v>
      </c>
      <c r="G126" s="75" t="inlineStr">
        <is>
          <t>CO-OWNERSHIP</t>
        </is>
      </c>
      <c r="H126" s="75" t="inlineStr">
        <is>
          <t>Co-ownership investment receipt: fixed-return product, not a sale of land/housing</t>
        </is>
      </c>
      <c r="I126" s="75" t="inlineStr">
        <is>
          <t>BAAY PROJECTS SALES EXPENSES (COMMISSION) RECORDS (1)</t>
        </is>
      </c>
      <c r="J126" s="75" t="inlineStr">
        <is>
          <t>MR ALEX OLAFUSI</t>
        </is>
      </c>
      <c r="K126" s="75" t="n">
        <v>10</v>
      </c>
      <c r="L126" s="75" t="inlineStr">
        <is>
          <t>22/09/2025</t>
        </is>
      </c>
    </row>
    <row r="127" ht="25" customHeight="1">
      <c r="A127" s="78" t="inlineStr">
        <is>
          <t>EX088</t>
        </is>
      </c>
      <c r="B127" s="79" t="n">
        <v>45922</v>
      </c>
      <c r="C127" s="78" t="inlineStr">
        <is>
          <t>2025-09</t>
        </is>
      </c>
      <c r="D127" s="78" t="n">
        <v>2025</v>
      </c>
      <c r="E127" s="78" t="inlineStr">
        <is>
          <t>Miss Olotu Oyinkansola Comfort</t>
        </is>
      </c>
      <c r="F127" s="80" t="n">
        <v>2500000</v>
      </c>
      <c r="G127" s="78" t="inlineStr">
        <is>
          <t>CO-OWNERSHIP</t>
        </is>
      </c>
      <c r="H127" s="78" t="inlineStr">
        <is>
          <t>Co-ownership investment receipt: fixed-return product, not a sale of land/housing</t>
        </is>
      </c>
      <c r="I127" s="78" t="inlineStr">
        <is>
          <t>BAAY PROJECTS SALES EXPENSES (COMMISSION) RECORDS (1)</t>
        </is>
      </c>
      <c r="J127" s="78" t="inlineStr">
        <is>
          <t>MS TABITHA OLOTU</t>
        </is>
      </c>
      <c r="K127" s="78" t="n">
        <v>17</v>
      </c>
      <c r="L127" s="78" t="inlineStr">
        <is>
          <t>22/09/2025</t>
        </is>
      </c>
    </row>
    <row r="128" ht="25" customHeight="1">
      <c r="A128" s="75" t="inlineStr">
        <is>
          <t>EX089</t>
        </is>
      </c>
      <c r="B128" s="76" t="n">
        <v>45923</v>
      </c>
      <c r="C128" s="75" t="inlineStr">
        <is>
          <t>2025-09</t>
        </is>
      </c>
      <c r="D128" s="75" t="n">
        <v>2025</v>
      </c>
      <c r="E128" s="75" t="inlineStr">
        <is>
          <t>Mr Kolawole babatunde Olupona</t>
        </is>
      </c>
      <c r="F128" s="77" t="n">
        <v>1000000</v>
      </c>
      <c r="G128" s="75" t="inlineStr">
        <is>
          <t>CO-OWNERSHIP</t>
        </is>
      </c>
      <c r="H128" s="75" t="inlineStr">
        <is>
          <t>Co-ownership investment receipt: fixed-return product, not a sale of land/housing</t>
        </is>
      </c>
      <c r="I128" s="75" t="inlineStr">
        <is>
          <t>BAAY PROJECTS SALES EXPENSES (COMMISSION) RECORDS (1)</t>
        </is>
      </c>
      <c r="J128" s="75" t="inlineStr">
        <is>
          <t>MR ALEX OLAFUSI</t>
        </is>
      </c>
      <c r="K128" s="75" t="n">
        <v>11</v>
      </c>
      <c r="L128" s="75" t="inlineStr">
        <is>
          <t>23/09/2025</t>
        </is>
      </c>
    </row>
    <row r="129" ht="25" customHeight="1">
      <c r="A129" s="78" t="inlineStr">
        <is>
          <t>EX090</t>
        </is>
      </c>
      <c r="B129" s="79" t="n">
        <v>45926</v>
      </c>
      <c r="C129" s="78" t="inlineStr">
        <is>
          <t>2025-09</t>
        </is>
      </c>
      <c r="D129" s="78" t="n">
        <v>2025</v>
      </c>
      <c r="E129" s="78" t="inlineStr">
        <is>
          <t>Mr Sholagbade Mustapha</t>
        </is>
      </c>
      <c r="F129" s="80" t="n">
        <v>500000</v>
      </c>
      <c r="G129" s="78" t="inlineStr">
        <is>
          <t>CO-OWNERSHIP</t>
        </is>
      </c>
      <c r="H129" s="78" t="inlineStr">
        <is>
          <t>Co-ownership investment receipt: fixed-return product, not a sale of land/housing</t>
        </is>
      </c>
      <c r="I129" s="78" t="inlineStr">
        <is>
          <t>BAAY PROJECTS SALES EXPENSES (COMMISSION) RECORDS (1)</t>
        </is>
      </c>
      <c r="J129" s="78" t="inlineStr">
        <is>
          <t>MS KENNY MARKETING ODUSANYA</t>
        </is>
      </c>
      <c r="K129" s="78" t="n">
        <v>2</v>
      </c>
      <c r="L129" s="78" t="inlineStr">
        <is>
          <t>26/09/2025</t>
        </is>
      </c>
    </row>
    <row r="130" ht="25" customHeight="1">
      <c r="A130" s="75" t="inlineStr">
        <is>
          <t>EX091</t>
        </is>
      </c>
      <c r="B130" s="76" t="n">
        <v>45944</v>
      </c>
      <c r="C130" s="75" t="inlineStr">
        <is>
          <t>2025-10</t>
        </is>
      </c>
      <c r="D130" s="75" t="n">
        <v>2025</v>
      </c>
      <c r="E130" s="75" t="inlineStr">
        <is>
          <t>Mr Oloro Sunday Irewole</t>
        </is>
      </c>
      <c r="F130" s="77" t="n">
        <v>1000000</v>
      </c>
      <c r="G130" s="75" t="inlineStr">
        <is>
          <t>CO-OWNERSHIP</t>
        </is>
      </c>
      <c r="H130" s="75" t="inlineStr">
        <is>
          <t>Co-ownership investment receipt: fixed-return product, not a sale of land/housing</t>
        </is>
      </c>
      <c r="I130" s="75" t="inlineStr">
        <is>
          <t>BAAY PROJECTS SALES EXPENSES (COMMISSION) RECORDS (1)</t>
        </is>
      </c>
      <c r="J130" s="75" t="inlineStr">
        <is>
          <t>MRS ABIMBOLA</t>
        </is>
      </c>
      <c r="K130" s="75" t="n">
        <v>248</v>
      </c>
      <c r="L130" s="75" t="inlineStr">
        <is>
          <t>14/10/2025</t>
        </is>
      </c>
    </row>
    <row r="131" ht="25" customHeight="1">
      <c r="A131" s="78" t="inlineStr">
        <is>
          <t>EX092</t>
        </is>
      </c>
      <c r="B131" s="79" t="n">
        <v>45954</v>
      </c>
      <c r="C131" s="78" t="inlineStr">
        <is>
          <t>2025-10</t>
        </is>
      </c>
      <c r="D131" s="78" t="n">
        <v>2025</v>
      </c>
      <c r="E131" s="78" t="inlineStr">
        <is>
          <t>Mr Ogbu Pius Ejaka</t>
        </is>
      </c>
      <c r="F131" s="80" t="n">
        <v>1000000</v>
      </c>
      <c r="G131" s="78" t="inlineStr">
        <is>
          <t>CO-OWNERSHIP</t>
        </is>
      </c>
      <c r="H131" s="78" t="inlineStr">
        <is>
          <t>Co-ownership investment receipt: fixed-return product, not a sale of land/housing</t>
        </is>
      </c>
      <c r="I131" s="78" t="inlineStr">
        <is>
          <t>BAAY PROJECTS SALES EXPENSES (COMMISSION) RECORDS (1)</t>
        </is>
      </c>
      <c r="J131" s="78" t="inlineStr">
        <is>
          <t>MS MAYOWA BRAIMOH</t>
        </is>
      </c>
      <c r="K131" s="78" t="n">
        <v>86</v>
      </c>
      <c r="L131" s="78" t="inlineStr">
        <is>
          <t>24/10/2025</t>
        </is>
      </c>
    </row>
    <row r="132" ht="25" customHeight="1">
      <c r="A132" s="75" t="inlineStr">
        <is>
          <t>EX093</t>
        </is>
      </c>
      <c r="B132" s="76" t="n">
        <v>45961</v>
      </c>
      <c r="C132" s="75" t="inlineStr">
        <is>
          <t>2025-10</t>
        </is>
      </c>
      <c r="D132" s="75" t="n">
        <v>2025</v>
      </c>
      <c r="E132" s="75" t="inlineStr">
        <is>
          <t>Miss Uzochukwu Adaeze Keren</t>
        </is>
      </c>
      <c r="F132" s="77" t="n">
        <v>2000000</v>
      </c>
      <c r="G132" s="75" t="inlineStr">
        <is>
          <t>CO-OWNERSHIP</t>
        </is>
      </c>
      <c r="H132" s="75" t="inlineStr">
        <is>
          <t>Co-ownership investment receipt: fixed-return product, not a sale of land/housing</t>
        </is>
      </c>
      <c r="I132" s="75" t="inlineStr">
        <is>
          <t>BAAY PROJECTS SALES EXPENSES (COMMISSION) RECORDS (1)</t>
        </is>
      </c>
      <c r="J132" s="75" t="inlineStr">
        <is>
          <t>MS MAYOWA BRAIMOH</t>
        </is>
      </c>
      <c r="K132" s="75" t="n">
        <v>87</v>
      </c>
      <c r="L132" s="75" t="inlineStr">
        <is>
          <t>31/10/2025</t>
        </is>
      </c>
    </row>
    <row r="133" ht="25" customHeight="1">
      <c r="A133" s="78" t="inlineStr">
        <is>
          <t>EX094</t>
        </is>
      </c>
      <c r="B133" s="79" t="n">
        <v>45966</v>
      </c>
      <c r="C133" s="78" t="inlineStr">
        <is>
          <t>2025-11</t>
        </is>
      </c>
      <c r="D133" s="78" t="n">
        <v>2025</v>
      </c>
      <c r="E133" s="78" t="inlineStr">
        <is>
          <t>Mr William-Ogidan Abiodun</t>
        </is>
      </c>
      <c r="F133" s="80" t="n">
        <v>1200000</v>
      </c>
      <c r="G133" s="78" t="inlineStr">
        <is>
          <t>CO-OWNERSHIP</t>
        </is>
      </c>
      <c r="H133" s="78" t="inlineStr">
        <is>
          <t>Co-ownership investment receipt: fixed-return product, not a sale of land/housing</t>
        </is>
      </c>
      <c r="I133" s="78" t="inlineStr">
        <is>
          <t>BAAY PROJECTS SALES EXPENSES (COMMISSION) RECORDS (1)</t>
        </is>
      </c>
      <c r="J133" s="78" t="inlineStr">
        <is>
          <t>OGIDAN</t>
        </is>
      </c>
      <c r="K133" s="78" t="n">
        <v>123</v>
      </c>
      <c r="L133" s="78" t="inlineStr">
        <is>
          <t>2025-05-11</t>
        </is>
      </c>
    </row>
    <row r="134" ht="25" customHeight="1">
      <c r="A134" s="75" t="inlineStr">
        <is>
          <t>EX095</t>
        </is>
      </c>
      <c r="B134" s="76" t="n">
        <v>45971</v>
      </c>
      <c r="C134" s="75" t="inlineStr">
        <is>
          <t>2025-11</t>
        </is>
      </c>
      <c r="D134" s="75" t="n">
        <v>2025</v>
      </c>
      <c r="E134" s="75" t="inlineStr">
        <is>
          <t>Miss Ezeribeaku Chinenye Andaline</t>
        </is>
      </c>
      <c r="F134" s="77" t="n">
        <v>3000000</v>
      </c>
      <c r="G134" s="75" t="inlineStr">
        <is>
          <t>CO-OWNERSHIP</t>
        </is>
      </c>
      <c r="H134" s="75" t="inlineStr">
        <is>
          <t>Co-ownership investment receipt: fixed-return product, not a sale of land/housing</t>
        </is>
      </c>
      <c r="I134" s="75" t="inlineStr">
        <is>
          <t>BAAY PROJECTS SALES EXPENSES (COMMISSION) RECORDS (1)</t>
        </is>
      </c>
      <c r="J134" s="75" t="inlineStr">
        <is>
          <t>MS BLESSING</t>
        </is>
      </c>
      <c r="K134" s="75" t="n">
        <v>145</v>
      </c>
      <c r="L134" s="75" t="inlineStr">
        <is>
          <t>2025-10-11</t>
        </is>
      </c>
    </row>
    <row r="135" ht="25" customHeight="1">
      <c r="A135" s="78" t="inlineStr">
        <is>
          <t>EX096</t>
        </is>
      </c>
      <c r="B135" s="79" t="n">
        <v>45971</v>
      </c>
      <c r="C135" s="78" t="inlineStr">
        <is>
          <t>2025-11</t>
        </is>
      </c>
      <c r="D135" s="78" t="n">
        <v>2025</v>
      </c>
      <c r="E135" s="78" t="inlineStr">
        <is>
          <t>Sanni Balqis Ometere</t>
        </is>
      </c>
      <c r="F135" s="80" t="n">
        <v>200000</v>
      </c>
      <c r="G135" s="78" t="inlineStr">
        <is>
          <t>CO-OWNERSHIP</t>
        </is>
      </c>
      <c r="H135" s="78" t="inlineStr">
        <is>
          <t>Co-ownership investment receipt: fixed-return product, not a sale of land/housing</t>
        </is>
      </c>
      <c r="I135" s="78" t="inlineStr">
        <is>
          <t>BAAY PROJECTS SALES EXPENSES (COMMISSION) RECORDS (1)</t>
        </is>
      </c>
      <c r="J135" s="78" t="inlineStr">
        <is>
          <t>BALQIS OMOTERE</t>
        </is>
      </c>
      <c r="K135" s="78" t="n">
        <v>2</v>
      </c>
      <c r="L135" s="78" t="inlineStr">
        <is>
          <t>2025-10-11</t>
        </is>
      </c>
    </row>
    <row r="136" ht="25" customHeight="1">
      <c r="A136" s="75" t="inlineStr">
        <is>
          <t>EX097</t>
        </is>
      </c>
      <c r="B136" s="76" t="n">
        <v>45989</v>
      </c>
      <c r="C136" s="75" t="inlineStr">
        <is>
          <t>2025-11</t>
        </is>
      </c>
      <c r="D136" s="75" t="n">
        <v>2025</v>
      </c>
      <c r="E136" s="75" t="inlineStr">
        <is>
          <t>Mr Ogbu Pius Ejaka</t>
        </is>
      </c>
      <c r="F136" s="77" t="n">
        <v>4000000</v>
      </c>
      <c r="G136" s="75" t="inlineStr">
        <is>
          <t>CO-OWNERSHIP</t>
        </is>
      </c>
      <c r="H136" s="75" t="inlineStr">
        <is>
          <t>Co-ownership investment receipt: fixed-return product, not a sale of land/housing</t>
        </is>
      </c>
      <c r="I136" s="75" t="inlineStr">
        <is>
          <t>BAAY PROJECTS SALES EXPENSES (COMMISSION) RECORDS (1)</t>
        </is>
      </c>
      <c r="J136" s="75" t="inlineStr">
        <is>
          <t>MS MAYOWA BRAIMOH</t>
        </is>
      </c>
      <c r="K136" s="75" t="n">
        <v>93</v>
      </c>
      <c r="L136" s="75" t="inlineStr">
        <is>
          <t>28/11/2025</t>
        </is>
      </c>
    </row>
    <row r="137" ht="25" customHeight="1">
      <c r="A137" s="78" t="inlineStr">
        <is>
          <t>EX098</t>
        </is>
      </c>
      <c r="B137" s="79" t="n">
        <v>46013</v>
      </c>
      <c r="C137" s="78" t="inlineStr">
        <is>
          <t>2025-12</t>
        </is>
      </c>
      <c r="D137" s="78" t="n">
        <v>2025</v>
      </c>
      <c r="E137" s="78" t="inlineStr">
        <is>
          <t>Ms Oluwadolapo Osobu</t>
        </is>
      </c>
      <c r="F137" s="80" t="n">
        <v>10098500</v>
      </c>
      <c r="G137" s="78" t="inlineStr">
        <is>
          <t>CO-OWNERSHIP</t>
        </is>
      </c>
      <c r="H137" s="78" t="inlineStr">
        <is>
          <t>Co-ownership investment receipt: fixed-return product, not a sale of land/housing</t>
        </is>
      </c>
      <c r="I137" s="78" t="inlineStr">
        <is>
          <t>BAAY PROJECTS SALES EXPENSES (COMMISSION) RECORDS (1)</t>
        </is>
      </c>
      <c r="J137" s="78" t="inlineStr">
        <is>
          <t>MD</t>
        </is>
      </c>
      <c r="K137" s="78" t="n">
        <v>218</v>
      </c>
      <c r="L137" s="78" t="inlineStr">
        <is>
          <t>22/12/2025</t>
        </is>
      </c>
    </row>
    <row r="138" ht="25" customHeight="1">
      <c r="A138" s="75" t="inlineStr">
        <is>
          <t>EX099</t>
        </is>
      </c>
      <c r="B138" s="76" t="n">
        <v>46014</v>
      </c>
      <c r="C138" s="75" t="inlineStr">
        <is>
          <t>2025-12</t>
        </is>
      </c>
      <c r="D138" s="75" t="n">
        <v>2025</v>
      </c>
      <c r="E138" s="75" t="inlineStr">
        <is>
          <t>Mr Michael Olakunle</t>
        </is>
      </c>
      <c r="F138" s="77" t="n">
        <v>3000000</v>
      </c>
      <c r="G138" s="75" t="inlineStr">
        <is>
          <t>CO-OWNERSHIP</t>
        </is>
      </c>
      <c r="H138" s="75" t="inlineStr">
        <is>
          <t>Co-ownership investment receipt: fixed-return product, not a sale of land/housing</t>
        </is>
      </c>
      <c r="I138" s="75" t="inlineStr">
        <is>
          <t>BAAY PROJECTS SALES EXPENSES (COMMISSION) RECORDS (1)</t>
        </is>
      </c>
      <c r="J138" s="75" t="inlineStr">
        <is>
          <t>MD</t>
        </is>
      </c>
      <c r="K138" s="75" t="n">
        <v>219</v>
      </c>
      <c r="L138" s="75" t="inlineStr">
        <is>
          <t>23/12/2025</t>
        </is>
      </c>
    </row>
    <row r="139" ht="25" customHeight="1">
      <c r="A139" s="78" t="inlineStr">
        <is>
          <t>EX100</t>
        </is>
      </c>
      <c r="B139" s="79" t="n">
        <v>46014</v>
      </c>
      <c r="C139" s="78" t="inlineStr">
        <is>
          <t>2025-12</t>
        </is>
      </c>
      <c r="D139" s="78" t="n">
        <v>2025</v>
      </c>
      <c r="E139" s="78" t="inlineStr">
        <is>
          <t>Mr Omodele Oluseye Johnson</t>
        </is>
      </c>
      <c r="F139" s="80" t="n">
        <v>5000000</v>
      </c>
      <c r="G139" s="78" t="inlineStr">
        <is>
          <t>CO-OWNERSHIP</t>
        </is>
      </c>
      <c r="H139" s="78" t="inlineStr">
        <is>
          <t>Co-ownership investment receipt: fixed-return product, not a sale of land/housing</t>
        </is>
      </c>
      <c r="I139" s="78" t="inlineStr">
        <is>
          <t>BAAY PROJECTS SALES EXPENSES (COMMISSION) RECORDS (1)</t>
        </is>
      </c>
      <c r="J139" s="78" t="inlineStr">
        <is>
          <t>OJUMEFOR AGHA</t>
        </is>
      </c>
      <c r="K139" s="78" t="n">
        <v>17</v>
      </c>
      <c r="L139" s="78" t="inlineStr">
        <is>
          <t>23/12/2025</t>
        </is>
      </c>
    </row>
    <row r="140" ht="25" customHeight="1">
      <c r="A140" s="75" t="inlineStr">
        <is>
          <t>EX101</t>
        </is>
      </c>
      <c r="B140" s="76" t="n">
        <v>46015</v>
      </c>
      <c r="C140" s="75" t="inlineStr">
        <is>
          <t>2025-12</t>
        </is>
      </c>
      <c r="D140" s="75" t="n">
        <v>2025</v>
      </c>
      <c r="E140" s="75" t="inlineStr">
        <is>
          <t>Salem real Estate (Mr Adebowale Oyindamola Adewunmi)</t>
        </is>
      </c>
      <c r="F140" s="77" t="n">
        <v>5000000</v>
      </c>
      <c r="G140" s="75" t="inlineStr">
        <is>
          <t>CO-OWNERSHIP</t>
        </is>
      </c>
      <c r="H140" s="75" t="inlineStr">
        <is>
          <t>Co-ownership investment receipt: fixed-return product, not a sale of land/housing</t>
        </is>
      </c>
      <c r="I140" s="75" t="inlineStr">
        <is>
          <t>BAAY PROJECTS SALES EXPENSES (COMMISSION) RECORDS (1)</t>
        </is>
      </c>
      <c r="J140" s="75" t="inlineStr">
        <is>
          <t>SALEM REAL ESTATE</t>
        </is>
      </c>
      <c r="K140" s="75" t="n">
        <v>67</v>
      </c>
      <c r="L140" s="75" t="inlineStr">
        <is>
          <t>24/12/2025</t>
        </is>
      </c>
    </row>
    <row r="141" ht="25" customHeight="1">
      <c r="A141" s="78" t="inlineStr">
        <is>
          <t>EX102</t>
        </is>
      </c>
      <c r="B141" s="79" t="n">
        <v>46016</v>
      </c>
      <c r="C141" s="78" t="inlineStr">
        <is>
          <t>2025-12</t>
        </is>
      </c>
      <c r="D141" s="78" t="n">
        <v>2025</v>
      </c>
      <c r="E141" s="78" t="inlineStr">
        <is>
          <t>Mrs Oladele Adenike Monsura</t>
        </is>
      </c>
      <c r="F141" s="80" t="n">
        <v>2000000</v>
      </c>
      <c r="G141" s="78" t="inlineStr">
        <is>
          <t>CO-OWNERSHIP</t>
        </is>
      </c>
      <c r="H141" s="78" t="inlineStr">
        <is>
          <t>Co-ownership investment receipt: fixed-return product, not a sale of land/housing</t>
        </is>
      </c>
      <c r="I141" s="78" t="inlineStr">
        <is>
          <t>BAAY PROJECTS SALES EXPENSES (COMMISSION) RECORDS (1)</t>
        </is>
      </c>
      <c r="J141" s="78" t="inlineStr">
        <is>
          <t>MS ADENIKE</t>
        </is>
      </c>
      <c r="K141" s="78" t="n">
        <v>89</v>
      </c>
      <c r="L141" s="78" t="inlineStr">
        <is>
          <t>25/12/2025</t>
        </is>
      </c>
    </row>
    <row r="142" ht="25" customHeight="1">
      <c r="A142" s="75" t="inlineStr">
        <is>
          <t>EX103</t>
        </is>
      </c>
      <c r="B142" s="76" t="n">
        <v>46017</v>
      </c>
      <c r="C142" s="75" t="inlineStr">
        <is>
          <t>2025-12</t>
        </is>
      </c>
      <c r="D142" s="75" t="n">
        <v>2025</v>
      </c>
      <c r="E142" s="75" t="inlineStr">
        <is>
          <t>Toyyibah Olabisi</t>
        </is>
      </c>
      <c r="F142" s="77" t="n">
        <v>8000000</v>
      </c>
      <c r="G142" s="75" t="inlineStr">
        <is>
          <t>CO-OWNERSHIP</t>
        </is>
      </c>
      <c r="H142" s="75" t="inlineStr">
        <is>
          <t>Co-ownership investment receipt: fixed-return product, not a sale of land/housing</t>
        </is>
      </c>
      <c r="I142" s="75" t="inlineStr">
        <is>
          <t>BAAY PROJECTS SALES EXPENSES (COMMISSION) RECORDS (1)</t>
        </is>
      </c>
      <c r="J142" s="75" t="inlineStr">
        <is>
          <t>MD</t>
        </is>
      </c>
      <c r="K142" s="75" t="n">
        <v>220</v>
      </c>
      <c r="L142" s="75" t="inlineStr">
        <is>
          <t>26/12/2025</t>
        </is>
      </c>
    </row>
    <row r="143" ht="25" customHeight="1">
      <c r="A143" s="78" t="inlineStr">
        <is>
          <t>EX104</t>
        </is>
      </c>
      <c r="B143" s="79" t="n">
        <v>46021</v>
      </c>
      <c r="C143" s="78" t="inlineStr">
        <is>
          <t>2025-12</t>
        </is>
      </c>
      <c r="D143" s="78" t="n">
        <v>2025</v>
      </c>
      <c r="E143" s="78" t="inlineStr">
        <is>
          <t>Mr Olabanji Peace Oluwatoyin</t>
        </is>
      </c>
      <c r="F143" s="80" t="n">
        <v>2200000</v>
      </c>
      <c r="G143" s="78" t="inlineStr">
        <is>
          <t>CO-OWNERSHIP</t>
        </is>
      </c>
      <c r="H143" s="78" t="inlineStr">
        <is>
          <t>Co-ownership investment receipt: fixed-return product, not a sale of land/housing</t>
        </is>
      </c>
      <c r="I143" s="78" t="inlineStr">
        <is>
          <t>BAAY PROJECTS SALES EXPENSES (COMMISSION) RECORDS (1)</t>
        </is>
      </c>
      <c r="J143" s="78" t="inlineStr">
        <is>
          <t>MS.OLABANJI TEAM ABIMBOLA</t>
        </is>
      </c>
      <c r="K143" s="78" t="n">
        <v>2</v>
      </c>
      <c r="L143" s="78" t="inlineStr">
        <is>
          <t>30/12/2025</t>
        </is>
      </c>
    </row>
    <row r="144" ht="25" customHeight="1">
      <c r="A144" s="75" t="n"/>
      <c r="B144" s="75" t="n"/>
      <c r="C144" s="75" t="n"/>
      <c r="D144" s="75" t="n"/>
      <c r="E144" s="75" t="inlineStr">
        <is>
          <t>Total</t>
        </is>
      </c>
      <c r="F144" s="77" t="n">
        <v>238933750</v>
      </c>
      <c r="G144" s="75" t="n"/>
      <c r="H144" s="75" t="n"/>
      <c r="I144" s="75" t="n"/>
      <c r="J144" s="75" t="n"/>
      <c r="K144" s="75" t="n"/>
      <c r="L144" s="75" t="n"/>
    </row>
    <row r="145"/>
    <row r="146"/>
    <row r="147">
      <c r="A147" s="2" t="inlineStr">
        <is>
          <t>SECONDARY-RECORD MATCHING POPULATION</t>
        </is>
      </c>
    </row>
    <row r="148">
      <c r="A148" s="72" t="inlineStr">
        <is>
          <t>Not added to the sales ledger to avoid double counting; available for bank matching.</t>
        </is>
      </c>
    </row>
    <row r="149"/>
    <row r="150" ht="32" customHeight="1">
      <c r="A150" s="74" t="inlineStr">
        <is>
          <t>Ref</t>
        </is>
      </c>
      <c r="B150" s="74" t="inlineStr">
        <is>
          <t>Date</t>
        </is>
      </c>
      <c r="C150" s="74" t="inlineStr">
        <is>
          <t>Year</t>
        </is>
      </c>
      <c r="D150" s="74" t="inlineStr">
        <is>
          <t>Customer ID</t>
        </is>
      </c>
      <c r="E150" s="74" t="inlineStr">
        <is>
          <t>Customer name (as recorded)</t>
        </is>
      </c>
      <c r="F150" s="74" t="inlineStr">
        <is>
          <t>Amount (₦)</t>
        </is>
      </c>
      <c r="G150" s="74" t="inlineStr">
        <is>
          <t>Project (as inferred)</t>
        </is>
      </c>
      <c r="H150" s="74" t="inlineStr">
        <is>
          <t>Source file</t>
        </is>
      </c>
      <c r="I150" s="74" t="inlineStr">
        <is>
          <t>Source sheet</t>
        </is>
      </c>
      <c r="J150" s="74" t="inlineStr">
        <is>
          <t>Source row</t>
        </is>
      </c>
      <c r="K150" s="74" t="inlineStr">
        <is>
          <t>Also recorded in</t>
        </is>
      </c>
      <c r="L150" s="74" t="inlineStr">
        <is>
          <t>Date as recorded</t>
        </is>
      </c>
    </row>
    <row r="151" ht="25" customHeight="1">
      <c r="A151" s="78" t="inlineStr">
        <is>
          <t>XC001</t>
        </is>
      </c>
      <c r="B151" s="79" t="n">
        <v>45261</v>
      </c>
      <c r="C151" s="78" t="n">
        <v>2023</v>
      </c>
      <c r="D151" s="78" t="inlineStr">
        <is>
          <t>BP-C0026</t>
        </is>
      </c>
      <c r="E151" s="78" t="inlineStr">
        <is>
          <t>Mr Adebayo Dada</t>
        </is>
      </c>
      <c r="F151" s="80" t="n">
        <v>300000</v>
      </c>
      <c r="G151" s="78" t="inlineStr">
        <is>
          <t>Green City Phase 1 (Ketu-Epe)</t>
        </is>
      </c>
      <c r="H151" s="78" t="inlineStr">
        <is>
          <t>BAAY PROJECTS FINANCIALS 2024.xlsx</t>
        </is>
      </c>
      <c r="I151" s="78" t="inlineStr">
        <is>
          <t>TURNOVER SCHEDULE</t>
        </is>
      </c>
      <c r="J151" s="78" t="n">
        <v>12</v>
      </c>
      <c r="K151" s="78" t="n"/>
      <c r="L151" s="78" t="inlineStr">
        <is>
          <t>2023-01-12</t>
        </is>
      </c>
    </row>
    <row r="152" ht="25" customHeight="1">
      <c r="A152" s="75" t="inlineStr">
        <is>
          <t>XC002</t>
        </is>
      </c>
      <c r="B152" s="76" t="n">
        <v>45274</v>
      </c>
      <c r="C152" s="75" t="n">
        <v>2023</v>
      </c>
      <c r="D152" s="75" t="inlineStr">
        <is>
          <t>BP-C0050</t>
        </is>
      </c>
      <c r="E152" s="75" t="inlineStr">
        <is>
          <t>Mr Patrick Atuanya Jideovo</t>
        </is>
      </c>
      <c r="F152" s="77" t="n">
        <v>1000000</v>
      </c>
      <c r="G152" s="75" t="inlineStr">
        <is>
          <t>Green City Phase 1 (Ketu-Epe)</t>
        </is>
      </c>
      <c r="H152" s="75" t="inlineStr">
        <is>
          <t>BAAY PROJECTS FINANCIALS 2024.xlsx</t>
        </is>
      </c>
      <c r="I152" s="75" t="inlineStr">
        <is>
          <t>TURNOVER SCHEDULE</t>
        </is>
      </c>
      <c r="J152" s="75" t="n">
        <v>141</v>
      </c>
      <c r="K152" s="75" t="inlineStr">
        <is>
          <t>MS YETUNDE ABISOYE r10</t>
        </is>
      </c>
      <c r="L152" s="75" t="inlineStr">
        <is>
          <t>14/12/2023</t>
        </is>
      </c>
    </row>
    <row r="153" ht="25" customHeight="1">
      <c r="A153" s="78" t="inlineStr">
        <is>
          <t>XC003</t>
        </is>
      </c>
      <c r="B153" s="79" t="n">
        <v>45280</v>
      </c>
      <c r="C153" s="78" t="n">
        <v>2023</v>
      </c>
      <c r="D153" s="78" t="inlineStr">
        <is>
          <t>BP-C0033</t>
        </is>
      </c>
      <c r="E153" s="78" t="inlineStr">
        <is>
          <t>Mr Olumoko Oladapo Oluwaseun</t>
        </is>
      </c>
      <c r="F153" s="80" t="n">
        <v>1000000</v>
      </c>
      <c r="G153" s="78" t="inlineStr">
        <is>
          <t>Green City Phase 1 (Ketu-Epe)</t>
        </is>
      </c>
      <c r="H153" s="78" t="inlineStr">
        <is>
          <t>BAAY PROJECTS FINANCIALS 2024.xlsx</t>
        </is>
      </c>
      <c r="I153" s="78" t="inlineStr">
        <is>
          <t>TURNOVER SCHEDULE</t>
        </is>
      </c>
      <c r="J153" s="78" t="n">
        <v>158</v>
      </c>
      <c r="K153" s="78" t="inlineStr">
        <is>
          <t>MS BOLANLE r15</t>
        </is>
      </c>
      <c r="L153" s="78" t="inlineStr">
        <is>
          <t>20/12/2023</t>
        </is>
      </c>
    </row>
    <row r="154" ht="25" customHeight="1">
      <c r="A154" s="75" t="inlineStr">
        <is>
          <t>XC004</t>
        </is>
      </c>
      <c r="B154" s="76" t="n">
        <v>45284</v>
      </c>
      <c r="C154" s="75" t="n">
        <v>2023</v>
      </c>
      <c r="D154" s="75" t="inlineStr">
        <is>
          <t>BP-C0030</t>
        </is>
      </c>
      <c r="E154" s="75" t="inlineStr">
        <is>
          <t>Mr Akorede Adese</t>
        </is>
      </c>
      <c r="F154" s="77" t="n">
        <v>100000</v>
      </c>
      <c r="G154" s="75" t="inlineStr">
        <is>
          <t>Green City Phase 1 (Ketu-Epe)</t>
        </is>
      </c>
      <c r="H154" s="75" t="inlineStr">
        <is>
          <t>BAAY PROJECTS FINANCIALS 2024.xlsx</t>
        </is>
      </c>
      <c r="I154" s="75" t="inlineStr">
        <is>
          <t>TURNOVER SCHEDULE</t>
        </is>
      </c>
      <c r="J154" s="75" t="n">
        <v>207</v>
      </c>
      <c r="K154" s="75" t="n"/>
      <c r="L154" s="75" t="inlineStr">
        <is>
          <t>24/12/2023</t>
        </is>
      </c>
    </row>
    <row r="155" ht="25" customHeight="1">
      <c r="A155" s="78" t="inlineStr">
        <is>
          <t>XC005</t>
        </is>
      </c>
      <c r="B155" s="79" t="n">
        <v>45286</v>
      </c>
      <c r="C155" s="78" t="n">
        <v>2023</v>
      </c>
      <c r="D155" s="78" t="inlineStr">
        <is>
          <t>BP-C0228</t>
        </is>
      </c>
      <c r="E155" s="78" t="inlineStr">
        <is>
          <t>Mr Adegbembo Oluwagbemiga Adesin</t>
        </is>
      </c>
      <c r="F155" s="80" t="n">
        <v>1500000</v>
      </c>
      <c r="G155" s="78" t="inlineStr">
        <is>
          <t>Land (estate not stated in source)</t>
        </is>
      </c>
      <c r="H155" s="78" t="inlineStr">
        <is>
          <t>BAAY PROJECTS SALES EXPENSES (COMMISSION) RECORDS (1)</t>
        </is>
      </c>
      <c r="I155" s="78" t="inlineStr">
        <is>
          <t>MS ELIZABETH</t>
        </is>
      </c>
      <c r="J155" s="78" t="n">
        <v>7</v>
      </c>
      <c r="K155" s="78" t="n"/>
      <c r="L155" s="78" t="inlineStr">
        <is>
          <t>26/12/2023</t>
        </is>
      </c>
    </row>
    <row r="156" ht="25" customHeight="1">
      <c r="A156" s="75" t="inlineStr">
        <is>
          <t>XC006</t>
        </is>
      </c>
      <c r="B156" s="76" t="n">
        <v>45289</v>
      </c>
      <c r="C156" s="75" t="n">
        <v>2023</v>
      </c>
      <c r="D156" s="75" t="inlineStr">
        <is>
          <t>BP-C0058</t>
        </is>
      </c>
      <c r="E156" s="75" t="inlineStr">
        <is>
          <t>Mr Oniyide Olaoluwa Blessing</t>
        </is>
      </c>
      <c r="F156" s="77" t="n">
        <v>2000000</v>
      </c>
      <c r="G156" s="75" t="inlineStr">
        <is>
          <t>Land (estate not stated in source)</t>
        </is>
      </c>
      <c r="H156" s="75" t="inlineStr">
        <is>
          <t>BAAY PROJECTS SALES EXPENSES (COMMISSION) RECORDS (1)</t>
        </is>
      </c>
      <c r="I156" s="75" t="inlineStr">
        <is>
          <t>MR CHARLES</t>
        </is>
      </c>
      <c r="J156" s="75" t="n">
        <v>2</v>
      </c>
      <c r="K156" s="75" t="n"/>
      <c r="L156" s="75" t="inlineStr">
        <is>
          <t>29/12/2023</t>
        </is>
      </c>
    </row>
    <row r="157" ht="25" customHeight="1">
      <c r="A157" s="78" t="inlineStr">
        <is>
          <t>XC007</t>
        </is>
      </c>
      <c r="B157" s="79" t="n">
        <v>45292</v>
      </c>
      <c r="C157" s="78" t="n">
        <v>2024</v>
      </c>
      <c r="D157" s="78" t="inlineStr">
        <is>
          <t>BP-C0227</t>
        </is>
      </c>
      <c r="E157" s="78" t="inlineStr">
        <is>
          <t>Mitchel Jennifer</t>
        </is>
      </c>
      <c r="F157" s="80" t="n">
        <v>200000</v>
      </c>
      <c r="G157" s="78" t="inlineStr">
        <is>
          <t>Land (estate not stated in source)</t>
        </is>
      </c>
      <c r="H157" s="78" t="inlineStr">
        <is>
          <t>BAAY PROJECTS SALES EXPENSES (COMMISSION) RECORDS (1)</t>
        </is>
      </c>
      <c r="I157" s="78" t="inlineStr">
        <is>
          <t>MS CELINA</t>
        </is>
      </c>
      <c r="J157" s="78" t="n">
        <v>15</v>
      </c>
      <c r="K157" s="78" t="n"/>
      <c r="L157" s="78" t="inlineStr">
        <is>
          <t>2024-01-01</t>
        </is>
      </c>
    </row>
    <row r="158" ht="25" customHeight="1">
      <c r="A158" s="75" t="inlineStr">
        <is>
          <t>XC008</t>
        </is>
      </c>
      <c r="B158" s="76" t="n">
        <v>45309</v>
      </c>
      <c r="C158" s="75" t="n">
        <v>2024</v>
      </c>
      <c r="D158" s="75" t="inlineStr">
        <is>
          <t>BP-C0017</t>
        </is>
      </c>
      <c r="E158" s="75" t="inlineStr">
        <is>
          <t>Taiwo John Adeleye</t>
        </is>
      </c>
      <c r="F158" s="77" t="n">
        <v>3500000</v>
      </c>
      <c r="G158" s="75" t="inlineStr">
        <is>
          <t>Land (estate not stated in source)</t>
        </is>
      </c>
      <c r="H158" s="75" t="inlineStr">
        <is>
          <t>BAAY PROJECTS SALES EXPENSES (COMMISSION) RECORDS (1)</t>
        </is>
      </c>
      <c r="I158" s="75" t="inlineStr">
        <is>
          <t>MD</t>
        </is>
      </c>
      <c r="J158" s="75" t="n">
        <v>3</v>
      </c>
      <c r="K158" s="75" t="n"/>
      <c r="L158" s="75" t="inlineStr">
        <is>
          <t>18/01/2024</t>
        </is>
      </c>
    </row>
    <row r="159" ht="25" customHeight="1">
      <c r="A159" s="78" t="inlineStr">
        <is>
          <t>XC009</t>
        </is>
      </c>
      <c r="B159" s="79" t="n">
        <v>45315</v>
      </c>
      <c r="C159" s="78" t="n">
        <v>2024</v>
      </c>
      <c r="D159" s="78" t="inlineStr">
        <is>
          <t>BP-C0058</t>
        </is>
      </c>
      <c r="E159" s="78" t="inlineStr">
        <is>
          <t>Mr Oniyide Olaoluwa Blessing</t>
        </is>
      </c>
      <c r="F159" s="80" t="n">
        <v>1000000</v>
      </c>
      <c r="G159" s="78" t="inlineStr">
        <is>
          <t>Land (estate not stated in source)</t>
        </is>
      </c>
      <c r="H159" s="78" t="inlineStr">
        <is>
          <t>BAAY PROJECTS SALES EXPENSES (COMMISSION) RECORDS (1)</t>
        </is>
      </c>
      <c r="I159" s="78" t="inlineStr">
        <is>
          <t>MR CHARLES</t>
        </is>
      </c>
      <c r="J159" s="78" t="n">
        <v>3</v>
      </c>
      <c r="K159" s="78" t="n"/>
      <c r="L159" s="78" t="inlineStr">
        <is>
          <t>24/01/2024</t>
        </is>
      </c>
    </row>
    <row r="160" ht="25" customHeight="1">
      <c r="A160" s="75" t="inlineStr">
        <is>
          <t>XC010</t>
        </is>
      </c>
      <c r="B160" s="76" t="n">
        <v>45320</v>
      </c>
      <c r="C160" s="75" t="n">
        <v>2024</v>
      </c>
      <c r="D160" s="75" t="inlineStr">
        <is>
          <t>BP-C0029</t>
        </is>
      </c>
      <c r="E160" s="75" t="inlineStr">
        <is>
          <t>Mr Ohanehi Anthony Chukwunonso</t>
        </is>
      </c>
      <c r="F160" s="77" t="n">
        <v>1500000</v>
      </c>
      <c r="G160" s="75" t="inlineStr">
        <is>
          <t>Green City Phase 1 (Ketu-Epe)</t>
        </is>
      </c>
      <c r="H160" s="75" t="inlineStr">
        <is>
          <t>BAAY PROJECTS FINANCIALS 2024.xlsx</t>
        </is>
      </c>
      <c r="I160" s="75" t="inlineStr">
        <is>
          <t>TURNOVER SCHEDULE</t>
        </is>
      </c>
      <c r="J160" s="75" t="n">
        <v>166</v>
      </c>
      <c r="K160" s="75" t="n"/>
      <c r="L160" s="75" t="inlineStr">
        <is>
          <t>29/01/2024</t>
        </is>
      </c>
    </row>
    <row r="161" ht="25" customHeight="1">
      <c r="A161" s="78" t="inlineStr">
        <is>
          <t>XC011</t>
        </is>
      </c>
      <c r="B161" s="79" t="n">
        <v>45321</v>
      </c>
      <c r="C161" s="78" t="n">
        <v>2024</v>
      </c>
      <c r="D161" s="78" t="inlineStr">
        <is>
          <t>BP-C0039</t>
        </is>
      </c>
      <c r="E161" s="78" t="inlineStr">
        <is>
          <t>Alabi Abdulazeez</t>
        </is>
      </c>
      <c r="F161" s="80" t="n">
        <v>1800000</v>
      </c>
      <c r="G161" s="78" t="inlineStr">
        <is>
          <t>Land (estate not stated in source)</t>
        </is>
      </c>
      <c r="H161" s="78" t="inlineStr">
        <is>
          <t>BAAY PROJECTS SALES EXPENSES (COMMISSION) RECORDS (1)</t>
        </is>
      </c>
      <c r="I161" s="78" t="inlineStr">
        <is>
          <t>MD</t>
        </is>
      </c>
      <c r="J161" s="78" t="n">
        <v>4</v>
      </c>
      <c r="K161" s="78" t="n"/>
      <c r="L161" s="78" t="inlineStr">
        <is>
          <t>30/01/2024</t>
        </is>
      </c>
    </row>
    <row r="162" ht="25" customHeight="1">
      <c r="A162" s="75" t="inlineStr">
        <is>
          <t>XC012</t>
        </is>
      </c>
      <c r="B162" s="76" t="n">
        <v>45322</v>
      </c>
      <c r="C162" s="75" t="n">
        <v>2024</v>
      </c>
      <c r="D162" s="75" t="inlineStr">
        <is>
          <t>BP-C0051</t>
        </is>
      </c>
      <c r="E162" s="75" t="inlineStr">
        <is>
          <t>Mr Olumide Ogunleye</t>
        </is>
      </c>
      <c r="F162" s="77" t="n">
        <v>850000</v>
      </c>
      <c r="G162" s="75" t="inlineStr">
        <is>
          <t>Green City Phase 2 (Ketu-Epe)</t>
        </is>
      </c>
      <c r="H162" s="75" t="inlineStr">
        <is>
          <t>BAAY PROJECTS FINANCIALS 2024.xlsx</t>
        </is>
      </c>
      <c r="I162" s="75" t="inlineStr">
        <is>
          <t>TURNOVER SCHEDULE</t>
        </is>
      </c>
      <c r="J162" s="75" t="n">
        <v>43</v>
      </c>
      <c r="K162" s="75" t="n"/>
      <c r="L162" s="75" t="inlineStr">
        <is>
          <t>31/01/2024</t>
        </is>
      </c>
    </row>
    <row r="163" ht="25" customHeight="1">
      <c r="A163" s="78" t="inlineStr">
        <is>
          <t>XC013</t>
        </is>
      </c>
      <c r="B163" s="79" t="n">
        <v>45323</v>
      </c>
      <c r="C163" s="78" t="n">
        <v>2024</v>
      </c>
      <c r="D163" s="78" t="inlineStr">
        <is>
          <t>BP-C0062</t>
        </is>
      </c>
      <c r="E163" s="78" t="inlineStr">
        <is>
          <t>Mr Agbaje Christopher Usiola</t>
        </is>
      </c>
      <c r="F163" s="80" t="n">
        <v>2500000</v>
      </c>
      <c r="G163" s="78" t="inlineStr">
        <is>
          <t>Green City Phase 1 (Ketu-Epe)</t>
        </is>
      </c>
      <c r="H163" s="78" t="inlineStr">
        <is>
          <t>BAAY PROJECTS FINANCIALS 2024.xlsx</t>
        </is>
      </c>
      <c r="I163" s="78" t="inlineStr">
        <is>
          <t>TURNOVER SCHEDULE</t>
        </is>
      </c>
      <c r="J163" s="78" t="n">
        <v>100</v>
      </c>
      <c r="K163" s="78" t="n"/>
      <c r="L163" s="78" t="inlineStr">
        <is>
          <t>2024-01-02</t>
        </is>
      </c>
    </row>
    <row r="164" ht="25" customHeight="1">
      <c r="A164" s="75" t="inlineStr">
        <is>
          <t>XC014</t>
        </is>
      </c>
      <c r="B164" s="76" t="n">
        <v>45323</v>
      </c>
      <c r="C164" s="75" t="n">
        <v>2024</v>
      </c>
      <c r="D164" s="75" t="inlineStr">
        <is>
          <t>BP-C0227</t>
        </is>
      </c>
      <c r="E164" s="75" t="inlineStr">
        <is>
          <t>Mitchel Jennifer</t>
        </is>
      </c>
      <c r="F164" s="77" t="n">
        <v>200000</v>
      </c>
      <c r="G164" s="75" t="inlineStr">
        <is>
          <t>Land (estate not stated in source)</t>
        </is>
      </c>
      <c r="H164" s="75" t="inlineStr">
        <is>
          <t>BAAY PROJECTS SALES EXPENSES (COMMISSION) RECORDS (1)</t>
        </is>
      </c>
      <c r="I164" s="75" t="inlineStr">
        <is>
          <t>MS CELINA</t>
        </is>
      </c>
      <c r="J164" s="75" t="n">
        <v>16</v>
      </c>
      <c r="K164" s="75" t="n"/>
      <c r="L164" s="75" t="inlineStr">
        <is>
          <t>2024-01-02</t>
        </is>
      </c>
    </row>
    <row r="165" ht="25" customHeight="1">
      <c r="A165" s="78" t="inlineStr">
        <is>
          <t>XC015</t>
        </is>
      </c>
      <c r="B165" s="79" t="n">
        <v>45323</v>
      </c>
      <c r="C165" s="78" t="n">
        <v>2024</v>
      </c>
      <c r="D165" s="78" t="inlineStr">
        <is>
          <t>BP-C0226</t>
        </is>
      </c>
      <c r="E165" s="78" t="inlineStr">
        <is>
          <t>Agbaje Achristopher</t>
        </is>
      </c>
      <c r="F165" s="80" t="n">
        <v>7000000</v>
      </c>
      <c r="G165" s="78" t="inlineStr">
        <is>
          <t>Land (estate not stated in source)</t>
        </is>
      </c>
      <c r="H165" s="78" t="inlineStr">
        <is>
          <t>BAAY PROJECTS SALES EXPENSES (COMMISSION) RECORDS (1)</t>
        </is>
      </c>
      <c r="I165" s="78" t="inlineStr">
        <is>
          <t>MD</t>
        </is>
      </c>
      <c r="J165" s="78" t="n">
        <v>7</v>
      </c>
      <c r="K165" s="78" t="n"/>
      <c r="L165" s="78" t="inlineStr">
        <is>
          <t>2024-01-02</t>
        </is>
      </c>
    </row>
    <row r="166" ht="25" customHeight="1">
      <c r="A166" s="75" t="inlineStr">
        <is>
          <t>XC016</t>
        </is>
      </c>
      <c r="B166" s="76" t="n">
        <v>45324</v>
      </c>
      <c r="C166" s="75" t="n">
        <v>2024</v>
      </c>
      <c r="D166" s="75" t="inlineStr">
        <is>
          <t>BP-C0017</t>
        </is>
      </c>
      <c r="E166" s="75" t="inlineStr">
        <is>
          <t>Mr John Adeleye Taiwo</t>
        </is>
      </c>
      <c r="F166" s="77" t="n">
        <v>500000</v>
      </c>
      <c r="G166" s="75" t="inlineStr">
        <is>
          <t>Green City Phase 2 (Ketu-Epe)</t>
        </is>
      </c>
      <c r="H166" s="75" t="inlineStr">
        <is>
          <t>BAAY PROJECTS FINANCIALS 2024.xlsx</t>
        </is>
      </c>
      <c r="I166" s="75" t="inlineStr">
        <is>
          <t>TURNOVER SCHEDULE</t>
        </is>
      </c>
      <c r="J166" s="75" t="n">
        <v>66</v>
      </c>
      <c r="K166" s="75" t="n"/>
      <c r="L166" s="75" t="inlineStr">
        <is>
          <t>2024-02-02</t>
        </is>
      </c>
    </row>
    <row r="167" ht="25" customHeight="1">
      <c r="A167" s="78" t="inlineStr">
        <is>
          <t>XC017</t>
        </is>
      </c>
      <c r="B167" s="79" t="n">
        <v>45325</v>
      </c>
      <c r="C167" s="78" t="n">
        <v>2024</v>
      </c>
      <c r="D167" s="78" t="inlineStr">
        <is>
          <t>BP-C0235</t>
        </is>
      </c>
      <c r="E167" s="78" t="inlineStr">
        <is>
          <t>Sharon Aisosa Ebholah</t>
        </is>
      </c>
      <c r="F167" s="80" t="n">
        <v>500000</v>
      </c>
      <c r="G167" s="78" t="inlineStr">
        <is>
          <t>Land (estate not stated in source)</t>
        </is>
      </c>
      <c r="H167" s="78" t="inlineStr">
        <is>
          <t>BAAY PROJECTS SALES EXPENSES (COMMISSION) RECORDS (1)</t>
        </is>
      </c>
      <c r="I167" s="78" t="inlineStr">
        <is>
          <t>MS BLESSING</t>
        </is>
      </c>
      <c r="J167" s="78" t="n">
        <v>13</v>
      </c>
      <c r="K167" s="78" t="n"/>
      <c r="L167" s="78" t="inlineStr">
        <is>
          <t>2024-03-02</t>
        </is>
      </c>
    </row>
    <row r="168" ht="25" customHeight="1">
      <c r="A168" s="75" t="inlineStr">
        <is>
          <t>XC018</t>
        </is>
      </c>
      <c r="B168" s="76" t="n">
        <v>45328</v>
      </c>
      <c r="C168" s="75" t="n">
        <v>2024</v>
      </c>
      <c r="D168" s="75" t="inlineStr">
        <is>
          <t>BP-C0058</t>
        </is>
      </c>
      <c r="E168" s="75" t="inlineStr">
        <is>
          <t>Mr Oniyide Olaoluwa Blessing</t>
        </is>
      </c>
      <c r="F168" s="77" t="n">
        <v>1000000</v>
      </c>
      <c r="G168" s="75" t="inlineStr">
        <is>
          <t>Land (estate not stated in source)</t>
        </is>
      </c>
      <c r="H168" s="75" t="inlineStr">
        <is>
          <t>BAAY PROJECTS SALES EXPENSES (COMMISSION) RECORDS (1)</t>
        </is>
      </c>
      <c r="I168" s="75" t="inlineStr">
        <is>
          <t>MR CHARLES</t>
        </is>
      </c>
      <c r="J168" s="75" t="n">
        <v>4</v>
      </c>
      <c r="K168" s="75" t="n"/>
      <c r="L168" s="75" t="inlineStr">
        <is>
          <t>2024-06-02</t>
        </is>
      </c>
    </row>
    <row r="169" ht="25" customHeight="1">
      <c r="A169" s="78" t="inlineStr">
        <is>
          <t>XC019</t>
        </is>
      </c>
      <c r="B169" s="79" t="n">
        <v>45328</v>
      </c>
      <c r="C169" s="78" t="n">
        <v>2024</v>
      </c>
      <c r="D169" s="78" t="inlineStr">
        <is>
          <t>BP-C0236</t>
        </is>
      </c>
      <c r="E169" s="78" t="inlineStr">
        <is>
          <t>Yusuff Saheed</t>
        </is>
      </c>
      <c r="F169" s="80" t="n">
        <v>1800000</v>
      </c>
      <c r="G169" s="78" t="inlineStr">
        <is>
          <t>Land (estate not stated in source)</t>
        </is>
      </c>
      <c r="H169" s="78" t="inlineStr">
        <is>
          <t>BAAY PROJECTS SALES EXPENSES (COMMISSION) RECORDS (1)</t>
        </is>
      </c>
      <c r="I169" s="78" t="inlineStr">
        <is>
          <t>MD</t>
        </is>
      </c>
      <c r="J169" s="78" t="n">
        <v>5</v>
      </c>
      <c r="K169" s="78" t="n"/>
      <c r="L169" s="78" t="inlineStr">
        <is>
          <t>2024-06-02</t>
        </is>
      </c>
    </row>
    <row r="170" ht="25" customHeight="1">
      <c r="A170" s="75" t="inlineStr">
        <is>
          <t>XC020</t>
        </is>
      </c>
      <c r="B170" s="76" t="n">
        <v>45342</v>
      </c>
      <c r="C170" s="75" t="n">
        <v>2024</v>
      </c>
      <c r="D170" s="75" t="inlineStr">
        <is>
          <t>BP-C0066</t>
        </is>
      </c>
      <c r="E170" s="75" t="inlineStr">
        <is>
          <t>Omosanya Dotun Akeju</t>
        </is>
      </c>
      <c r="F170" s="77" t="n">
        <v>1000000</v>
      </c>
      <c r="G170" s="75" t="inlineStr">
        <is>
          <t>Green City Phase 2 (Ketu-Epe)</t>
        </is>
      </c>
      <c r="H170" s="75" t="inlineStr">
        <is>
          <t>BAAY PROJECTS FINANCIALS 2024.xlsx</t>
        </is>
      </c>
      <c r="I170" s="75" t="inlineStr">
        <is>
          <t>TURNOVER SCHEDULE</t>
        </is>
      </c>
      <c r="J170" s="75" t="n">
        <v>216</v>
      </c>
      <c r="K170" s="75" t="inlineStr">
        <is>
          <t>MS BOLANLE r23, MS BLESSING OJI r2</t>
        </is>
      </c>
      <c r="L170" s="75" t="inlineStr">
        <is>
          <t>20/02/2024</t>
        </is>
      </c>
    </row>
    <row r="171" ht="25" customHeight="1">
      <c r="A171" s="78" t="inlineStr">
        <is>
          <t>XC021</t>
        </is>
      </c>
      <c r="B171" s="79" t="n">
        <v>45345</v>
      </c>
      <c r="C171" s="78" t="n">
        <v>2024</v>
      </c>
      <c r="D171" s="78" t="inlineStr">
        <is>
          <t>BP-C0228</t>
        </is>
      </c>
      <c r="E171" s="78" t="inlineStr">
        <is>
          <t>Mr Adegbembo Oluwagbemiga Adesin</t>
        </is>
      </c>
      <c r="F171" s="80" t="n">
        <v>1000000</v>
      </c>
      <c r="G171" s="78" t="inlineStr">
        <is>
          <t>Land (estate not stated in source)</t>
        </is>
      </c>
      <c r="H171" s="78" t="inlineStr">
        <is>
          <t>BAAY PROJECTS SALES EXPENSES (COMMISSION) RECORDS (1)</t>
        </is>
      </c>
      <c r="I171" s="78" t="inlineStr">
        <is>
          <t>MS ELIZABETH</t>
        </is>
      </c>
      <c r="J171" s="78" t="n">
        <v>14</v>
      </c>
      <c r="K171" s="78" t="n"/>
      <c r="L171" s="78" t="inlineStr">
        <is>
          <t>23/02/2024</t>
        </is>
      </c>
    </row>
    <row r="172" ht="25" customHeight="1">
      <c r="A172" s="75" t="inlineStr">
        <is>
          <t>XC022</t>
        </is>
      </c>
      <c r="B172" s="76" t="n">
        <v>45348</v>
      </c>
      <c r="C172" s="75" t="n">
        <v>2024</v>
      </c>
      <c r="D172" s="75" t="inlineStr">
        <is>
          <t>BP-C0058</t>
        </is>
      </c>
      <c r="E172" s="75" t="inlineStr">
        <is>
          <t>Mr Oniyide Olaoluwa Blessing</t>
        </is>
      </c>
      <c r="F172" s="77" t="n">
        <v>1040000</v>
      </c>
      <c r="G172" s="75" t="inlineStr">
        <is>
          <t>Land (estate not stated in source)</t>
        </is>
      </c>
      <c r="H172" s="75" t="inlineStr">
        <is>
          <t>BAAY PROJECTS SALES EXPENSES (COMMISSION) RECORDS (1)</t>
        </is>
      </c>
      <c r="I172" s="75" t="inlineStr">
        <is>
          <t>MR CHARLES</t>
        </is>
      </c>
      <c r="J172" s="75" t="n">
        <v>5</v>
      </c>
      <c r="K172" s="75" t="n"/>
      <c r="L172" s="75" t="inlineStr">
        <is>
          <t>26/02/2024</t>
        </is>
      </c>
    </row>
    <row r="173" ht="25" customHeight="1">
      <c r="A173" s="78" t="inlineStr">
        <is>
          <t>XC023</t>
        </is>
      </c>
      <c r="B173" s="79" t="n">
        <v>45352</v>
      </c>
      <c r="C173" s="78" t="n">
        <v>2024</v>
      </c>
      <c r="D173" s="78" t="inlineStr">
        <is>
          <t>BP-C0055</t>
        </is>
      </c>
      <c r="E173" s="78" t="inlineStr">
        <is>
          <t>Mr Ademola Adeniji</t>
        </is>
      </c>
      <c r="F173" s="80" t="n">
        <v>3000000</v>
      </c>
      <c r="G173" s="78" t="inlineStr">
        <is>
          <t>Green City Phase 1 (Ketu-Epe)</t>
        </is>
      </c>
      <c r="H173" s="78" t="inlineStr">
        <is>
          <t>BAAY PROJECTS FINANCIALS 2024.xlsx</t>
        </is>
      </c>
      <c r="I173" s="78" t="inlineStr">
        <is>
          <t>TURNOVER SCHEDULE</t>
        </is>
      </c>
      <c r="J173" s="78" t="n">
        <v>37</v>
      </c>
      <c r="K173" s="78" t="n"/>
      <c r="L173" s="78" t="inlineStr">
        <is>
          <t>2024-01-03</t>
        </is>
      </c>
    </row>
    <row r="174" ht="25" customHeight="1">
      <c r="A174" s="75" t="inlineStr">
        <is>
          <t>XC024</t>
        </is>
      </c>
      <c r="B174" s="76" t="n">
        <v>45353</v>
      </c>
      <c r="C174" s="75" t="n">
        <v>2024</v>
      </c>
      <c r="D174" s="75" t="inlineStr">
        <is>
          <t>BP-C0009</t>
        </is>
      </c>
      <c r="E174" s="75" t="inlineStr">
        <is>
          <t>Ms Oji Blessing</t>
        </is>
      </c>
      <c r="F174" s="77" t="n">
        <v>740000</v>
      </c>
      <c r="G174" s="75" t="inlineStr">
        <is>
          <t>Land (estate not stated in source)</t>
        </is>
      </c>
      <c r="H174" s="75" t="inlineStr">
        <is>
          <t>BAAY PROJECTS SALES EXPENSES (COMMISSION) RECORDS (1)</t>
        </is>
      </c>
      <c r="I174" s="75" t="inlineStr">
        <is>
          <t>MS BOLANLE</t>
        </is>
      </c>
      <c r="J174" s="75" t="n">
        <v>33</v>
      </c>
      <c r="K174" s="75" t="n"/>
      <c r="L174" s="75" t="inlineStr">
        <is>
          <t>2024-02-03</t>
        </is>
      </c>
    </row>
    <row r="175" ht="25" customHeight="1">
      <c r="A175" s="78" t="inlineStr">
        <is>
          <t>XC025</t>
        </is>
      </c>
      <c r="B175" s="79" t="n">
        <v>45354</v>
      </c>
      <c r="C175" s="78" t="n">
        <v>2024</v>
      </c>
      <c r="D175" s="78" t="inlineStr">
        <is>
          <t>BP-C0227</t>
        </is>
      </c>
      <c r="E175" s="78" t="inlineStr">
        <is>
          <t>Mitchel Jennifer</t>
        </is>
      </c>
      <c r="F175" s="80" t="n">
        <v>200000</v>
      </c>
      <c r="G175" s="78" t="inlineStr">
        <is>
          <t>Land (estate not stated in source)</t>
        </is>
      </c>
      <c r="H175" s="78" t="inlineStr">
        <is>
          <t>BAAY PROJECTS SALES EXPENSES (COMMISSION) RECORDS (1)</t>
        </is>
      </c>
      <c r="I175" s="78" t="inlineStr">
        <is>
          <t>MS CELINA</t>
        </is>
      </c>
      <c r="J175" s="78" t="n">
        <v>17</v>
      </c>
      <c r="K175" s="78" t="n"/>
      <c r="L175" s="78" t="inlineStr">
        <is>
          <t>2024-03-03</t>
        </is>
      </c>
    </row>
    <row r="176" ht="25" customHeight="1">
      <c r="A176" s="75" t="inlineStr">
        <is>
          <t>XC026</t>
        </is>
      </c>
      <c r="B176" s="76" t="n">
        <v>45355</v>
      </c>
      <c r="C176" s="75" t="n">
        <v>2024</v>
      </c>
      <c r="D176" s="75" t="inlineStr">
        <is>
          <t>BP-C0009</t>
        </is>
      </c>
      <c r="E176" s="75" t="inlineStr">
        <is>
          <t>Miss Oji Blessing Mary</t>
        </is>
      </c>
      <c r="F176" s="77" t="n">
        <v>175000</v>
      </c>
      <c r="G176" s="75" t="inlineStr">
        <is>
          <t>Green City Phase 2 (Ketu-Epe)</t>
        </is>
      </c>
      <c r="H176" s="75" t="inlineStr">
        <is>
          <t>BAAY PROJECTS FINANCIALS 2024.xlsx</t>
        </is>
      </c>
      <c r="I176" s="75" t="inlineStr">
        <is>
          <t>TURNOVER SCHEDULE</t>
        </is>
      </c>
      <c r="J176" s="75" t="n">
        <v>112</v>
      </c>
      <c r="K176" s="75" t="inlineStr">
        <is>
          <t>MS BOLANLE r35</t>
        </is>
      </c>
      <c r="L176" s="75" t="inlineStr">
        <is>
          <t>2024-04-03</t>
        </is>
      </c>
    </row>
    <row r="177" ht="25" customHeight="1">
      <c r="A177" s="78" t="inlineStr">
        <is>
          <t>XC027</t>
        </is>
      </c>
      <c r="B177" s="79" t="n">
        <v>45356</v>
      </c>
      <c r="C177" s="78" t="n">
        <v>2024</v>
      </c>
      <c r="D177" s="78" t="inlineStr">
        <is>
          <t>BP-C0030</t>
        </is>
      </c>
      <c r="E177" s="78" t="inlineStr">
        <is>
          <t>Adese Akorede</t>
        </is>
      </c>
      <c r="F177" s="80" t="n">
        <v>1500000</v>
      </c>
      <c r="G177" s="78" t="inlineStr">
        <is>
          <t>Land (estate not stated in source)</t>
        </is>
      </c>
      <c r="H177" s="78" t="inlineStr">
        <is>
          <t>BAAY PROJECTS SALES EXPENSES (COMMISSION) RECORDS (1)</t>
        </is>
      </c>
      <c r="I177" s="78" t="inlineStr">
        <is>
          <t>MD</t>
        </is>
      </c>
      <c r="J177" s="78" t="n">
        <v>6</v>
      </c>
      <c r="K177" s="78" t="n"/>
      <c r="L177" s="78" t="inlineStr">
        <is>
          <t>2024-05-03</t>
        </is>
      </c>
    </row>
    <row r="178" ht="25" customHeight="1">
      <c r="A178" s="75" t="inlineStr">
        <is>
          <t>XC028</t>
        </is>
      </c>
      <c r="B178" s="76" t="n">
        <v>45360</v>
      </c>
      <c r="C178" s="75" t="n">
        <v>2024</v>
      </c>
      <c r="D178" s="75" t="inlineStr">
        <is>
          <t>BP-C0231</t>
        </is>
      </c>
      <c r="E178" s="75" t="inlineStr">
        <is>
          <t>Mr Ojo Ayomidde</t>
        </is>
      </c>
      <c r="F178" s="77" t="n">
        <v>500000</v>
      </c>
      <c r="G178" s="75" t="inlineStr">
        <is>
          <t>Land (estate not stated in source)</t>
        </is>
      </c>
      <c r="H178" s="75" t="inlineStr">
        <is>
          <t>BAAY PROJECTS SALES EXPENSES (COMMISSION) RECORDS (1)</t>
        </is>
      </c>
      <c r="I178" s="75" t="inlineStr">
        <is>
          <t>FASUYI OLAYINKA</t>
        </is>
      </c>
      <c r="J178" s="75" t="n">
        <v>2</v>
      </c>
      <c r="K178" s="75" t="n"/>
      <c r="L178" s="75" t="inlineStr">
        <is>
          <t>2024-09-03</t>
        </is>
      </c>
    </row>
    <row r="179" ht="25" customHeight="1">
      <c r="A179" s="78" t="inlineStr">
        <is>
          <t>XC029</t>
        </is>
      </c>
      <c r="B179" s="79" t="n">
        <v>45373</v>
      </c>
      <c r="C179" s="78" t="n">
        <v>2024</v>
      </c>
      <c r="D179" s="78" t="inlineStr">
        <is>
          <t>BP-C0228</t>
        </is>
      </c>
      <c r="E179" s="78" t="inlineStr">
        <is>
          <t>Mr Adegbembo Oluwagbemiga Adesin</t>
        </is>
      </c>
      <c r="F179" s="80" t="n">
        <v>1000000</v>
      </c>
      <c r="G179" s="78" t="inlineStr">
        <is>
          <t>Land (estate not stated in source)</t>
        </is>
      </c>
      <c r="H179" s="78" t="inlineStr">
        <is>
          <t>BAAY PROJECTS SALES EXPENSES (COMMISSION) RECORDS (1)</t>
        </is>
      </c>
      <c r="I179" s="78" t="inlineStr">
        <is>
          <t>MS ELIZABETH</t>
        </is>
      </c>
      <c r="J179" s="78" t="n">
        <v>34</v>
      </c>
      <c r="K179" s="78" t="n"/>
      <c r="L179" s="78" t="inlineStr">
        <is>
          <t>22/03/2024</t>
        </is>
      </c>
    </row>
    <row r="180" ht="25" customHeight="1">
      <c r="A180" s="75" t="inlineStr">
        <is>
          <t>XC030</t>
        </is>
      </c>
      <c r="B180" s="76" t="n">
        <v>45376</v>
      </c>
      <c r="C180" s="75" t="n">
        <v>2024</v>
      </c>
      <c r="D180" s="75" t="inlineStr">
        <is>
          <t>BP-C0084</t>
        </is>
      </c>
      <c r="E180" s="75" t="inlineStr">
        <is>
          <t>Mr Adegbayemu Ariyo Dennis</t>
        </is>
      </c>
      <c r="F180" s="77" t="n">
        <v>1430000</v>
      </c>
      <c r="G180" s="75" t="inlineStr">
        <is>
          <t>Green City Phase 2 (Ketu-Epe)</t>
        </is>
      </c>
      <c r="H180" s="75" t="inlineStr">
        <is>
          <t>BAAY PROJECTS FINANCIALS 2024.xlsx</t>
        </is>
      </c>
      <c r="I180" s="75" t="inlineStr">
        <is>
          <t>TURNOVER SCHEDULE</t>
        </is>
      </c>
      <c r="J180" s="75" t="n">
        <v>329</v>
      </c>
      <c r="K180" s="75" t="inlineStr">
        <is>
          <t>FASUYI OLAYINKA r20, BARRISTER AYO r4</t>
        </is>
      </c>
      <c r="L180" s="75" t="inlineStr">
        <is>
          <t>25/03/2024</t>
        </is>
      </c>
    </row>
    <row r="181" ht="25" customHeight="1">
      <c r="A181" s="78" t="inlineStr">
        <is>
          <t>XC031</t>
        </is>
      </c>
      <c r="B181" s="79" t="n">
        <v>45377</v>
      </c>
      <c r="C181" s="78" t="n">
        <v>2024</v>
      </c>
      <c r="D181" s="78" t="inlineStr">
        <is>
          <t>BP-C0231</t>
        </is>
      </c>
      <c r="E181" s="78" t="inlineStr">
        <is>
          <t>Mr Ojo Ayomidde</t>
        </is>
      </c>
      <c r="F181" s="80" t="n">
        <v>3000000</v>
      </c>
      <c r="G181" s="78" t="inlineStr">
        <is>
          <t>Land (estate not stated in source)</t>
        </is>
      </c>
      <c r="H181" s="78" t="inlineStr">
        <is>
          <t>BAAY PROJECTS SALES EXPENSES (COMMISSION) RECORDS (1)</t>
        </is>
      </c>
      <c r="I181" s="78" t="inlineStr">
        <is>
          <t>FASUYI OLAYINKA</t>
        </is>
      </c>
      <c r="J181" s="78" t="n">
        <v>3</v>
      </c>
      <c r="K181" s="78" t="n"/>
      <c r="L181" s="78" t="inlineStr">
        <is>
          <t>26/03/2024</t>
        </is>
      </c>
    </row>
    <row r="182" ht="25" customHeight="1">
      <c r="A182" s="75" t="inlineStr">
        <is>
          <t>XC032</t>
        </is>
      </c>
      <c r="B182" s="76" t="n">
        <v>45379</v>
      </c>
      <c r="C182" s="75" t="n">
        <v>2024</v>
      </c>
      <c r="D182" s="75" t="inlineStr">
        <is>
          <t>BP-C0009</t>
        </is>
      </c>
      <c r="E182" s="75" t="inlineStr">
        <is>
          <t>Miss Oji Blessing Mary</t>
        </is>
      </c>
      <c r="F182" s="77" t="n">
        <v>85000</v>
      </c>
      <c r="G182" s="75" t="inlineStr">
        <is>
          <t>Green City Phase 2 (Ketu-Epe)</t>
        </is>
      </c>
      <c r="H182" s="75" t="inlineStr">
        <is>
          <t>BAAY PROJECTS FINANCIALS 2024.xlsx</t>
        </is>
      </c>
      <c r="I182" s="75" t="inlineStr">
        <is>
          <t>TURNOVER SCHEDULE</t>
        </is>
      </c>
      <c r="J182" s="75" t="n">
        <v>113</v>
      </c>
      <c r="K182" s="75" t="inlineStr">
        <is>
          <t>MS BOLANLE r37</t>
        </is>
      </c>
      <c r="L182" s="75" t="inlineStr">
        <is>
          <t>28/03/2024</t>
        </is>
      </c>
    </row>
    <row r="183" ht="25" customHeight="1">
      <c r="A183" s="78" t="inlineStr">
        <is>
          <t>XC033</t>
        </is>
      </c>
      <c r="B183" s="79" t="n">
        <v>45379</v>
      </c>
      <c r="C183" s="78" t="n">
        <v>2024</v>
      </c>
      <c r="D183" s="78" t="inlineStr">
        <is>
          <t>BP-C0235</t>
        </is>
      </c>
      <c r="E183" s="78" t="inlineStr">
        <is>
          <t>Sharon Aisosa Ebholah</t>
        </is>
      </c>
      <c r="F183" s="80" t="n">
        <v>500000</v>
      </c>
      <c r="G183" s="78" t="inlineStr">
        <is>
          <t>Land (estate not stated in source)</t>
        </is>
      </c>
      <c r="H183" s="78" t="inlineStr">
        <is>
          <t>BAAY PROJECTS SALES EXPENSES (COMMISSION) RECORDS (1)</t>
        </is>
      </c>
      <c r="I183" s="78" t="inlineStr">
        <is>
          <t>MS BLESSING</t>
        </is>
      </c>
      <c r="J183" s="78" t="n">
        <v>20</v>
      </c>
      <c r="K183" s="78" t="n"/>
      <c r="L183" s="78" t="inlineStr">
        <is>
          <t>28/03/2024</t>
        </is>
      </c>
    </row>
    <row r="184" ht="25" customHeight="1">
      <c r="A184" s="75" t="inlineStr">
        <is>
          <t>XC034</t>
        </is>
      </c>
      <c r="B184" s="76" t="n">
        <v>45383</v>
      </c>
      <c r="C184" s="75" t="n">
        <v>2024</v>
      </c>
      <c r="D184" s="75" t="inlineStr">
        <is>
          <t>BP-C0138</t>
        </is>
      </c>
      <c r="E184" s="75" t="inlineStr">
        <is>
          <t>Mr Olatunde Selim Olowodagba</t>
        </is>
      </c>
      <c r="F184" s="77" t="n">
        <v>2000000</v>
      </c>
      <c r="G184" s="75" t="inlineStr">
        <is>
          <t>Land (estate not stated in source)</t>
        </is>
      </c>
      <c r="H184" s="75" t="inlineStr">
        <is>
          <t>BAAY PROJECTS SALES EXPENSES (COMMISSION) RECORDS (1)</t>
        </is>
      </c>
      <c r="I184" s="75" t="inlineStr">
        <is>
          <t>OGIDAN</t>
        </is>
      </c>
      <c r="J184" s="75" t="n">
        <v>99</v>
      </c>
      <c r="K184" s="75" t="n"/>
      <c r="L184" s="75" t="inlineStr">
        <is>
          <t>2024-01-04</t>
        </is>
      </c>
    </row>
    <row r="185" ht="25" customHeight="1">
      <c r="A185" s="78" t="inlineStr">
        <is>
          <t>XC035</t>
        </is>
      </c>
      <c r="B185" s="79" t="n">
        <v>45383</v>
      </c>
      <c r="C185" s="78" t="n">
        <v>2024</v>
      </c>
      <c r="D185" s="78" t="inlineStr">
        <is>
          <t>BP-C0051</t>
        </is>
      </c>
      <c r="E185" s="78" t="inlineStr">
        <is>
          <t>Mr Ogunleye Olumide Victor</t>
        </is>
      </c>
      <c r="F185" s="80" t="n">
        <v>3500000</v>
      </c>
      <c r="G185" s="78" t="inlineStr">
        <is>
          <t>Land (estate not stated in source)</t>
        </is>
      </c>
      <c r="H185" s="78" t="inlineStr">
        <is>
          <t>BAAY PROJECTS SALES EXPENSES (COMMISSION) RECORDS (1)</t>
        </is>
      </c>
      <c r="I185" s="78" t="inlineStr">
        <is>
          <t>MD</t>
        </is>
      </c>
      <c r="J185" s="78" t="n">
        <v>17</v>
      </c>
      <c r="K185" s="78" t="n"/>
      <c r="L185" s="78" t="inlineStr">
        <is>
          <t>2024-01-04</t>
        </is>
      </c>
    </row>
    <row r="186" ht="25" customHeight="1">
      <c r="A186" s="75" t="inlineStr">
        <is>
          <t>XC036</t>
        </is>
      </c>
      <c r="B186" s="76" t="n">
        <v>45384</v>
      </c>
      <c r="C186" s="75" t="n">
        <v>2024</v>
      </c>
      <c r="D186" s="75" t="inlineStr">
        <is>
          <t>BP-C0055</t>
        </is>
      </c>
      <c r="E186" s="75" t="inlineStr">
        <is>
          <t>Mr Ademola Adeniji</t>
        </is>
      </c>
      <c r="F186" s="77" t="n">
        <v>2000000</v>
      </c>
      <c r="G186" s="75" t="inlineStr">
        <is>
          <t>Green City Phase 1 (Ketu-Epe)</t>
        </is>
      </c>
      <c r="H186" s="75" t="inlineStr">
        <is>
          <t>BAAY PROJECTS FINANCIALS 2024.xlsx</t>
        </is>
      </c>
      <c r="I186" s="75" t="inlineStr">
        <is>
          <t>TURNOVER SCHEDULE</t>
        </is>
      </c>
      <c r="J186" s="75" t="n">
        <v>38</v>
      </c>
      <c r="K186" s="75" t="n"/>
      <c r="L186" s="75" t="inlineStr">
        <is>
          <t>2024-02-04</t>
        </is>
      </c>
    </row>
    <row r="187" ht="25" customHeight="1">
      <c r="A187" s="78" t="inlineStr">
        <is>
          <t>XC037</t>
        </is>
      </c>
      <c r="B187" s="79" t="n">
        <v>45385</v>
      </c>
      <c r="C187" s="78" t="n">
        <v>2024</v>
      </c>
      <c r="D187" s="78" t="inlineStr">
        <is>
          <t>BP-C0061</t>
        </is>
      </c>
      <c r="E187" s="78" t="inlineStr">
        <is>
          <t>Ogunkoya Emmanuel</t>
        </is>
      </c>
      <c r="F187" s="80" t="n">
        <v>1700000</v>
      </c>
      <c r="G187" s="78" t="inlineStr">
        <is>
          <t>Land (estate not stated in source)</t>
        </is>
      </c>
      <c r="H187" s="78" t="inlineStr">
        <is>
          <t>BAAY PROJECTS SALES EXPENSES (COMMISSION) RECORDS (1)</t>
        </is>
      </c>
      <c r="I187" s="78" t="inlineStr">
        <is>
          <t>MD</t>
        </is>
      </c>
      <c r="J187" s="78" t="n">
        <v>2</v>
      </c>
      <c r="K187" s="78" t="n"/>
      <c r="L187" s="78" t="inlineStr">
        <is>
          <t>2024-03-04</t>
        </is>
      </c>
    </row>
    <row r="188" ht="25" customHeight="1">
      <c r="A188" s="75" t="inlineStr">
        <is>
          <t>XC038</t>
        </is>
      </c>
      <c r="B188" s="76" t="n">
        <v>45398</v>
      </c>
      <c r="C188" s="75" t="n">
        <v>2024</v>
      </c>
      <c r="D188" s="75" t="inlineStr">
        <is>
          <t>BP-C0051</t>
        </is>
      </c>
      <c r="E188" s="75" t="inlineStr">
        <is>
          <t>Mr Ogunleye Olumide Victor</t>
        </is>
      </c>
      <c r="F188" s="77" t="n">
        <v>700000</v>
      </c>
      <c r="G188" s="75" t="inlineStr">
        <is>
          <t>Land (estate not stated in source)</t>
        </is>
      </c>
      <c r="H188" s="75" t="inlineStr">
        <is>
          <t>BAAY PROJECTS SALES EXPENSES (COMMISSION) RECORDS (1)</t>
        </is>
      </c>
      <c r="I188" s="75" t="inlineStr">
        <is>
          <t>MD</t>
        </is>
      </c>
      <c r="J188" s="75" t="n">
        <v>19</v>
      </c>
      <c r="K188" s="75" t="n"/>
      <c r="L188" s="75" t="inlineStr">
        <is>
          <t>16/04/2024</t>
        </is>
      </c>
    </row>
    <row r="189" ht="25" customHeight="1">
      <c r="A189" s="78" t="inlineStr">
        <is>
          <t>XC039</t>
        </is>
      </c>
      <c r="B189" s="79" t="n">
        <v>45399</v>
      </c>
      <c r="C189" s="78" t="n">
        <v>2024</v>
      </c>
      <c r="D189" s="78" t="inlineStr">
        <is>
          <t>BP-C0227</t>
        </is>
      </c>
      <c r="E189" s="78" t="inlineStr">
        <is>
          <t>Mitchel Jennifer</t>
        </is>
      </c>
      <c r="F189" s="80" t="n">
        <v>188600</v>
      </c>
      <c r="G189" s="78" t="inlineStr">
        <is>
          <t>Land (estate not stated in source)</t>
        </is>
      </c>
      <c r="H189" s="78" t="inlineStr">
        <is>
          <t>BAAY PROJECTS SALES EXPENSES (COMMISSION) RECORDS (1)</t>
        </is>
      </c>
      <c r="I189" s="78" t="inlineStr">
        <is>
          <t>MS CELINA</t>
        </is>
      </c>
      <c r="J189" s="78" t="n">
        <v>18</v>
      </c>
      <c r="K189" s="78" t="n"/>
      <c r="L189" s="78" t="inlineStr">
        <is>
          <t>17/04/2024</t>
        </is>
      </c>
    </row>
    <row r="190" ht="25" customHeight="1">
      <c r="A190" s="75" t="inlineStr">
        <is>
          <t>XC040</t>
        </is>
      </c>
      <c r="B190" s="76" t="n">
        <v>45400</v>
      </c>
      <c r="C190" s="75" t="n">
        <v>2024</v>
      </c>
      <c r="D190" s="75" t="inlineStr">
        <is>
          <t>BP-C0228</t>
        </is>
      </c>
      <c r="E190" s="75" t="inlineStr">
        <is>
          <t>Mr Adegbembo Oluwagbemiga Adesin</t>
        </is>
      </c>
      <c r="F190" s="77" t="n">
        <v>500000</v>
      </c>
      <c r="G190" s="75" t="inlineStr">
        <is>
          <t>Land (estate not stated in source)</t>
        </is>
      </c>
      <c r="H190" s="75" t="inlineStr">
        <is>
          <t>BAAY PROJECTS SALES EXPENSES (COMMISSION) RECORDS (1)</t>
        </is>
      </c>
      <c r="I190" s="75" t="inlineStr">
        <is>
          <t>MS ELIZABETH</t>
        </is>
      </c>
      <c r="J190" s="75" t="n">
        <v>35</v>
      </c>
      <c r="K190" s="75" t="n"/>
      <c r="L190" s="75" t="inlineStr">
        <is>
          <t>18/04/2024</t>
        </is>
      </c>
    </row>
    <row r="191" ht="25" customHeight="1">
      <c r="A191" s="78" t="inlineStr">
        <is>
          <t>XC041</t>
        </is>
      </c>
      <c r="B191" s="79" t="n">
        <v>45401</v>
      </c>
      <c r="C191" s="78" t="n">
        <v>2024</v>
      </c>
      <c r="D191" s="78" t="inlineStr">
        <is>
          <t>BP-C0066</t>
        </is>
      </c>
      <c r="E191" s="78" t="inlineStr">
        <is>
          <t>Miss Omosanya Dotun Akeju</t>
        </is>
      </c>
      <c r="F191" s="80" t="n">
        <v>1000000</v>
      </c>
      <c r="G191" s="78" t="inlineStr">
        <is>
          <t>Green City Phase 2 (Ketu-Epe)</t>
        </is>
      </c>
      <c r="H191" s="78" t="inlineStr">
        <is>
          <t>BAAY PROJECTS FINANCIALS 2024.xlsx</t>
        </is>
      </c>
      <c r="I191" s="78" t="inlineStr">
        <is>
          <t>TURNOVER SCHEDULE</t>
        </is>
      </c>
      <c r="J191" s="78" t="n">
        <v>349</v>
      </c>
      <c r="K191" s="78" t="inlineStr">
        <is>
          <t>MS BOLANLE r53, MS BLESSING OJI r11</t>
        </is>
      </c>
      <c r="L191" s="78" t="inlineStr">
        <is>
          <t>19/04/2024</t>
        </is>
      </c>
    </row>
    <row r="192" ht="25" customHeight="1">
      <c r="A192" s="75" t="inlineStr">
        <is>
          <t>XC042</t>
        </is>
      </c>
      <c r="B192" s="76" t="n">
        <v>45404</v>
      </c>
      <c r="C192" s="75" t="n">
        <v>2024</v>
      </c>
      <c r="D192" s="75" t="inlineStr">
        <is>
          <t>BP-C0010</t>
        </is>
      </c>
      <c r="E192" s="75" t="inlineStr">
        <is>
          <t>Mrs Yohanna Paulina</t>
        </is>
      </c>
      <c r="F192" s="77" t="n">
        <v>3000000</v>
      </c>
      <c r="G192" s="75" t="inlineStr">
        <is>
          <t>Green City Phase 1 (Ketu-Epe)</t>
        </is>
      </c>
      <c r="H192" s="75" t="inlineStr">
        <is>
          <t>BAAY PROJECTS FINANCIALS 2024.xlsx</t>
        </is>
      </c>
      <c r="I192" s="75" t="inlineStr">
        <is>
          <t>TURNOVER SCHEDULE</t>
        </is>
      </c>
      <c r="J192" s="75" t="n">
        <v>293</v>
      </c>
      <c r="K192" s="75" t="inlineStr">
        <is>
          <t>MR CHARLES r27</t>
        </is>
      </c>
      <c r="L192" s="75" t="inlineStr">
        <is>
          <t>22/04/2024</t>
        </is>
      </c>
    </row>
    <row r="193" ht="25" customHeight="1">
      <c r="A193" s="78" t="inlineStr">
        <is>
          <t>XC043</t>
        </is>
      </c>
      <c r="B193" s="79" t="n">
        <v>45404</v>
      </c>
      <c r="C193" s="78" t="n">
        <v>2024</v>
      </c>
      <c r="D193" s="78" t="inlineStr">
        <is>
          <t>BP-C0010</t>
        </is>
      </c>
      <c r="E193" s="78" t="inlineStr">
        <is>
          <t>Mrs Yohanna Paulina</t>
        </is>
      </c>
      <c r="F193" s="80" t="n">
        <v>300000</v>
      </c>
      <c r="G193" s="78" t="inlineStr">
        <is>
          <t>Land (estate not stated in source)</t>
        </is>
      </c>
      <c r="H193" s="78" t="inlineStr">
        <is>
          <t>BAAY PROJECTS SALES EXPENSES (COMMISSION) RECORDS (1)</t>
        </is>
      </c>
      <c r="I193" s="78" t="inlineStr">
        <is>
          <t>MR CHARLES</t>
        </is>
      </c>
      <c r="J193" s="78" t="n">
        <v>52</v>
      </c>
      <c r="K193" s="78" t="n"/>
      <c r="L193" s="78" t="inlineStr">
        <is>
          <t>22/04/2024</t>
        </is>
      </c>
    </row>
    <row r="194" ht="25" customHeight="1">
      <c r="A194" s="75" t="inlineStr">
        <is>
          <t>XC044</t>
        </is>
      </c>
      <c r="B194" s="76" t="n">
        <v>45408</v>
      </c>
      <c r="C194" s="75" t="n">
        <v>2024</v>
      </c>
      <c r="D194" s="75" t="inlineStr">
        <is>
          <t>BP-C0068</t>
        </is>
      </c>
      <c r="E194" s="75" t="inlineStr">
        <is>
          <t>Miss Ebhotah Sharon Aisosa</t>
        </is>
      </c>
      <c r="F194" s="77" t="n">
        <v>500000</v>
      </c>
      <c r="G194" s="75" t="inlineStr">
        <is>
          <t>Green City Phase 2 (Ketu-Epe)</t>
        </is>
      </c>
      <c r="H194" s="75" t="inlineStr">
        <is>
          <t>BAAY PROJECTS FINANCIALS 2024.xlsx</t>
        </is>
      </c>
      <c r="I194" s="75" t="inlineStr">
        <is>
          <t>TURNOVER SCHEDULE</t>
        </is>
      </c>
      <c r="J194" s="75" t="n">
        <v>261</v>
      </c>
      <c r="K194" s="75" t="n"/>
      <c r="L194" s="75" t="inlineStr">
        <is>
          <t>26/04/2024</t>
        </is>
      </c>
    </row>
    <row r="195" ht="25" customHeight="1">
      <c r="A195" s="78" t="inlineStr">
        <is>
          <t>XC045</t>
        </is>
      </c>
      <c r="B195" s="79" t="n">
        <v>45408</v>
      </c>
      <c r="C195" s="78" t="n">
        <v>2024</v>
      </c>
      <c r="D195" s="78" t="inlineStr">
        <is>
          <t>BP-C0235</t>
        </is>
      </c>
      <c r="E195" s="78" t="inlineStr">
        <is>
          <t>Sharon Aisosa Ebholah</t>
        </is>
      </c>
      <c r="F195" s="80" t="n">
        <v>500000</v>
      </c>
      <c r="G195" s="78" t="inlineStr">
        <is>
          <t>Land (estate not stated in source)</t>
        </is>
      </c>
      <c r="H195" s="78" t="inlineStr">
        <is>
          <t>BAAY PROJECTS SALES EXPENSES (COMMISSION) RECORDS (1)</t>
        </is>
      </c>
      <c r="I195" s="78" t="inlineStr">
        <is>
          <t>MS BLESSING</t>
        </is>
      </c>
      <c r="J195" s="78" t="n">
        <v>21</v>
      </c>
      <c r="K195" s="78" t="n"/>
      <c r="L195" s="78" t="inlineStr">
        <is>
          <t>26/04/2024</t>
        </is>
      </c>
    </row>
    <row r="196" ht="25" customHeight="1">
      <c r="A196" s="75" t="inlineStr">
        <is>
          <t>XC046</t>
        </is>
      </c>
      <c r="B196" s="76" t="n">
        <v>45409</v>
      </c>
      <c r="C196" s="75" t="n">
        <v>2024</v>
      </c>
      <c r="D196" s="75" t="inlineStr">
        <is>
          <t>BP-C0077</t>
        </is>
      </c>
      <c r="E196" s="75" t="inlineStr">
        <is>
          <t>Mr Uebari Sorbari Godwin</t>
        </is>
      </c>
      <c r="F196" s="77" t="n">
        <v>93000</v>
      </c>
      <c r="G196" s="75" t="inlineStr">
        <is>
          <t>Land (estate not stated in source)</t>
        </is>
      </c>
      <c r="H196" s="75" t="inlineStr">
        <is>
          <t>BAAY PROJECTS SALES EXPENSES (COMMISSION) RECORDS (1)</t>
        </is>
      </c>
      <c r="I196" s="75" t="inlineStr">
        <is>
          <t>MS ELIZABETH</t>
        </is>
      </c>
      <c r="J196" s="75" t="n">
        <v>25</v>
      </c>
      <c r="K196" s="75" t="n"/>
      <c r="L196" s="75" t="inlineStr">
        <is>
          <t>27/04/2024</t>
        </is>
      </c>
    </row>
    <row r="197" ht="25" customHeight="1">
      <c r="A197" s="78" t="inlineStr">
        <is>
          <t>XC047</t>
        </is>
      </c>
      <c r="B197" s="79" t="n">
        <v>45412</v>
      </c>
      <c r="C197" s="78" t="n">
        <v>2024</v>
      </c>
      <c r="D197" s="78" t="inlineStr">
        <is>
          <t>BP-C0029</t>
        </is>
      </c>
      <c r="E197" s="78" t="inlineStr">
        <is>
          <t>Mr Ohanehi Anthony Chukwunonso</t>
        </is>
      </c>
      <c r="F197" s="80" t="n">
        <v>1055750</v>
      </c>
      <c r="G197" s="78" t="inlineStr">
        <is>
          <t>Green City Phase 1 (Ketu-Epe)</t>
        </is>
      </c>
      <c r="H197" s="78" t="inlineStr">
        <is>
          <t>BAAY PROJECTS FINANCIALS 2024.xlsx</t>
        </is>
      </c>
      <c r="I197" s="78" t="inlineStr">
        <is>
          <t>TURNOVER SCHEDULE</t>
        </is>
      </c>
      <c r="J197" s="78" t="n">
        <v>23</v>
      </c>
      <c r="K197" s="78" t="inlineStr">
        <is>
          <t>MS IMMACULATE r33</t>
        </is>
      </c>
      <c r="L197" s="78" t="inlineStr">
        <is>
          <t>30/04/2024</t>
        </is>
      </c>
    </row>
    <row r="198" ht="25" customHeight="1">
      <c r="A198" s="75" t="inlineStr">
        <is>
          <t>XC048</t>
        </is>
      </c>
      <c r="B198" s="76" t="n">
        <v>45412</v>
      </c>
      <c r="C198" s="75" t="n">
        <v>2024</v>
      </c>
      <c r="D198" s="75" t="inlineStr">
        <is>
          <t>BP-C0029</t>
        </is>
      </c>
      <c r="E198" s="75" t="inlineStr">
        <is>
          <t>Mr Ohanehi Anthony Chukwunonso</t>
        </is>
      </c>
      <c r="F198" s="77" t="n">
        <v>44250</v>
      </c>
      <c r="G198" s="75" t="inlineStr">
        <is>
          <t>Green City Phase 2 (Ketu-Epe)</t>
        </is>
      </c>
      <c r="H198" s="75" t="inlineStr">
        <is>
          <t>BAAY PROJECTS FINANCIALS 2024.xlsx</t>
        </is>
      </c>
      <c r="I198" s="75" t="inlineStr">
        <is>
          <t>TURNOVER SCHEDULE</t>
        </is>
      </c>
      <c r="J198" s="75" t="n">
        <v>338</v>
      </c>
      <c r="K198" s="75" t="inlineStr">
        <is>
          <t>IDAH MARYDAVID r3</t>
        </is>
      </c>
      <c r="L198" s="75" t="inlineStr">
        <is>
          <t>30/04/2024</t>
        </is>
      </c>
    </row>
    <row r="199" ht="25" customHeight="1">
      <c r="A199" s="78" t="inlineStr">
        <is>
          <t>XC049</t>
        </is>
      </c>
      <c r="B199" s="79" t="n">
        <v>45412</v>
      </c>
      <c r="C199" s="78" t="n">
        <v>2024</v>
      </c>
      <c r="D199" s="78" t="inlineStr">
        <is>
          <t>BP-C0030</t>
        </is>
      </c>
      <c r="E199" s="78" t="inlineStr">
        <is>
          <t>Mr Adese Akorede</t>
        </is>
      </c>
      <c r="F199" s="80" t="n">
        <v>380000</v>
      </c>
      <c r="G199" s="78" t="inlineStr">
        <is>
          <t>Land (estate not stated in source)</t>
        </is>
      </c>
      <c r="H199" s="78" t="inlineStr">
        <is>
          <t>BAAY PROJECTS SALES EXPENSES (COMMISSION) RECORDS (1)</t>
        </is>
      </c>
      <c r="I199" s="78" t="inlineStr">
        <is>
          <t>MD</t>
        </is>
      </c>
      <c r="J199" s="78" t="n">
        <v>21</v>
      </c>
      <c r="K199" s="78" t="n"/>
      <c r="L199" s="78" t="inlineStr">
        <is>
          <t>30/04/2024</t>
        </is>
      </c>
    </row>
    <row r="200" ht="25" customHeight="1">
      <c r="A200" s="75" t="inlineStr">
        <is>
          <t>XC050</t>
        </is>
      </c>
      <c r="B200" s="76" t="n">
        <v>45414</v>
      </c>
      <c r="C200" s="75" t="n">
        <v>2024</v>
      </c>
      <c r="D200" s="75" t="inlineStr">
        <is>
          <t>BP-C0012</t>
        </is>
      </c>
      <c r="E200" s="75" t="inlineStr">
        <is>
          <t>Mr Apiafi Imiebam</t>
        </is>
      </c>
      <c r="F200" s="77" t="n">
        <v>700000</v>
      </c>
      <c r="G200" s="75" t="inlineStr">
        <is>
          <t>Land (estate not stated in source)</t>
        </is>
      </c>
      <c r="H200" s="75" t="inlineStr">
        <is>
          <t>BAAY PROJECTS SALES EXPENSES (COMMISSION) RECORDS (1)</t>
        </is>
      </c>
      <c r="I200" s="75" t="inlineStr">
        <is>
          <t>MS BLESSING</t>
        </is>
      </c>
      <c r="J200" s="75" t="n">
        <v>42</v>
      </c>
      <c r="K200" s="75" t="n"/>
      <c r="L200" s="75" t="inlineStr">
        <is>
          <t>2024-02-05</t>
        </is>
      </c>
    </row>
    <row r="201" ht="25" customHeight="1">
      <c r="A201" s="78" t="inlineStr">
        <is>
          <t>XC051</t>
        </is>
      </c>
      <c r="B201" s="79" t="n">
        <v>45419</v>
      </c>
      <c r="C201" s="78" t="n">
        <v>2024</v>
      </c>
      <c r="D201" s="78" t="inlineStr">
        <is>
          <t>BP-C0084</t>
        </is>
      </c>
      <c r="E201" s="78" t="inlineStr">
        <is>
          <t>Mr Adegbayemu Ariyo Dennis</t>
        </is>
      </c>
      <c r="F201" s="80" t="n">
        <v>2685000</v>
      </c>
      <c r="G201" s="78" t="inlineStr">
        <is>
          <t>Green City Phase 2 (Ketu-Epe)</t>
        </is>
      </c>
      <c r="H201" s="78" t="inlineStr">
        <is>
          <t>BAAY PROJECTS FINANCIALS 2024.xlsx</t>
        </is>
      </c>
      <c r="I201" s="78" t="inlineStr">
        <is>
          <t>TURNOVER SCHEDULE</t>
        </is>
      </c>
      <c r="J201" s="78" t="n">
        <v>330</v>
      </c>
      <c r="K201" s="78" t="inlineStr">
        <is>
          <t>FASUYI OLAYINKA r21, BARRISTER AYO r5</t>
        </is>
      </c>
      <c r="L201" s="78" t="inlineStr">
        <is>
          <t>2024-07-05</t>
        </is>
      </c>
    </row>
    <row r="202" ht="25" customHeight="1">
      <c r="A202" s="75" t="inlineStr">
        <is>
          <t>XC052</t>
        </is>
      </c>
      <c r="B202" s="76" t="n">
        <v>45421</v>
      </c>
      <c r="C202" s="75" t="n">
        <v>2024</v>
      </c>
      <c r="D202" s="75" t="inlineStr">
        <is>
          <t>BP-C0006</t>
        </is>
      </c>
      <c r="E202" s="75" t="inlineStr">
        <is>
          <t>Mr Olasupo Oladimeji</t>
        </is>
      </c>
      <c r="F202" s="77" t="n">
        <v>800245</v>
      </c>
      <c r="G202" s="75" t="inlineStr">
        <is>
          <t>Land (estate not stated in source)</t>
        </is>
      </c>
      <c r="H202" s="75" t="inlineStr">
        <is>
          <t>BAAY PROJECTS SALES EXPENSES (COMMISSION) RECORDS (1)</t>
        </is>
      </c>
      <c r="I202" s="75" t="inlineStr">
        <is>
          <t>MRS ABIMBOLA</t>
        </is>
      </c>
      <c r="J202" s="75" t="n">
        <v>76</v>
      </c>
      <c r="K202" s="75" t="n"/>
      <c r="L202" s="75" t="inlineStr">
        <is>
          <t>2024-09-05</t>
        </is>
      </c>
    </row>
    <row r="203" ht="25" customHeight="1">
      <c r="A203" s="78" t="inlineStr">
        <is>
          <t>XC053</t>
        </is>
      </c>
      <c r="B203" s="79" t="n">
        <v>45429</v>
      </c>
      <c r="C203" s="78" t="n">
        <v>2024</v>
      </c>
      <c r="D203" s="78" t="inlineStr">
        <is>
          <t>BP-C0228</t>
        </is>
      </c>
      <c r="E203" s="78" t="inlineStr">
        <is>
          <t>Mr Adegbembo Oluwagbemiga Adesin</t>
        </is>
      </c>
      <c r="F203" s="80" t="n">
        <v>1000000</v>
      </c>
      <c r="G203" s="78" t="inlineStr">
        <is>
          <t>Land (estate not stated in source)</t>
        </is>
      </c>
      <c r="H203" s="78" t="inlineStr">
        <is>
          <t>BAAY PROJECTS SALES EXPENSES (COMMISSION) RECORDS (1)</t>
        </is>
      </c>
      <c r="I203" s="78" t="inlineStr">
        <is>
          <t>MS ELIZABETH</t>
        </is>
      </c>
      <c r="J203" s="78" t="n">
        <v>41</v>
      </c>
      <c r="K203" s="78" t="n"/>
      <c r="L203" s="78" t="inlineStr">
        <is>
          <t>17/05/2024</t>
        </is>
      </c>
    </row>
    <row r="204" ht="25" customHeight="1">
      <c r="A204" s="75" t="inlineStr">
        <is>
          <t>XC054</t>
        </is>
      </c>
      <c r="B204" s="76" t="n">
        <v>45439</v>
      </c>
      <c r="C204" s="75" t="n">
        <v>2024</v>
      </c>
      <c r="D204" s="75" t="inlineStr">
        <is>
          <t>BP-C0006</t>
        </is>
      </c>
      <c r="E204" s="75" t="inlineStr">
        <is>
          <t>Mr Olasupo Oladimeji</t>
        </is>
      </c>
      <c r="F204" s="77" t="n">
        <v>150000</v>
      </c>
      <c r="G204" s="75" t="inlineStr">
        <is>
          <t>Land (estate not stated in source)</t>
        </is>
      </c>
      <c r="H204" s="75" t="inlineStr">
        <is>
          <t>BAAY PROJECTS SALES EXPENSES (COMMISSION) RECORDS (1)</t>
        </is>
      </c>
      <c r="I204" s="75" t="inlineStr">
        <is>
          <t>MRS ABIMBOLA</t>
        </is>
      </c>
      <c r="J204" s="75" t="n">
        <v>84</v>
      </c>
      <c r="K204" s="75" t="n"/>
      <c r="L204" s="75" t="inlineStr">
        <is>
          <t>27/05/2024</t>
        </is>
      </c>
    </row>
    <row r="205" ht="25" customHeight="1">
      <c r="A205" s="78" t="inlineStr">
        <is>
          <t>XC055</t>
        </is>
      </c>
      <c r="B205" s="79" t="n">
        <v>45440</v>
      </c>
      <c r="C205" s="78" t="n">
        <v>2024</v>
      </c>
      <c r="D205" s="78" t="inlineStr">
        <is>
          <t>BP-C0235</t>
        </is>
      </c>
      <c r="E205" s="78" t="inlineStr">
        <is>
          <t>Sharon Aisosa Ebholah</t>
        </is>
      </c>
      <c r="F205" s="80" t="n">
        <v>295000</v>
      </c>
      <c r="G205" s="78" t="inlineStr">
        <is>
          <t>Land (estate not stated in source)</t>
        </is>
      </c>
      <c r="H205" s="78" t="inlineStr">
        <is>
          <t>BAAY PROJECTS SALES EXPENSES (COMMISSION) RECORDS (1)</t>
        </is>
      </c>
      <c r="I205" s="78" t="inlineStr">
        <is>
          <t>MS BLESSING</t>
        </is>
      </c>
      <c r="J205" s="78" t="n">
        <v>22</v>
      </c>
      <c r="K205" s="78" t="n"/>
      <c r="L205" s="78" t="inlineStr">
        <is>
          <t>28/05/2024</t>
        </is>
      </c>
    </row>
    <row r="206" ht="25" customHeight="1">
      <c r="A206" s="75" t="inlineStr">
        <is>
          <t>XC056</t>
        </is>
      </c>
      <c r="B206" s="76" t="n">
        <v>45450</v>
      </c>
      <c r="C206" s="75" t="n">
        <v>2024</v>
      </c>
      <c r="D206" s="75" t="inlineStr">
        <is>
          <t>BP-C0092</t>
        </is>
      </c>
      <c r="E206" s="75" t="inlineStr">
        <is>
          <t>Mr Oriakhi Osemudiamen Peter</t>
        </is>
      </c>
      <c r="F206" s="77" t="n">
        <v>700000</v>
      </c>
      <c r="G206" s="75" t="inlineStr">
        <is>
          <t>Land (estate not stated in source)</t>
        </is>
      </c>
      <c r="H206" s="75" t="inlineStr">
        <is>
          <t>BAAY PROJECTS SALES EXPENSES (COMMISSION) RECORDS (1)</t>
        </is>
      </c>
      <c r="I206" s="75" t="inlineStr">
        <is>
          <t>MS BLESSING</t>
        </is>
      </c>
      <c r="J206" s="75" t="n">
        <v>58</v>
      </c>
      <c r="K206" s="75" t="n"/>
      <c r="L206" s="75" t="inlineStr">
        <is>
          <t>2024-07-06</t>
        </is>
      </c>
    </row>
    <row r="207" ht="25" customHeight="1">
      <c r="A207" s="78" t="inlineStr">
        <is>
          <t>XC057</t>
        </is>
      </c>
      <c r="B207" s="79" t="n">
        <v>45456</v>
      </c>
      <c r="C207" s="78" t="n">
        <v>2024</v>
      </c>
      <c r="D207" s="78" t="inlineStr">
        <is>
          <t>BP-C0228</t>
        </is>
      </c>
      <c r="E207" s="78" t="inlineStr">
        <is>
          <t>Mr Adegbembo Oluwagbemiga Adesin</t>
        </is>
      </c>
      <c r="F207" s="80" t="n">
        <v>796000</v>
      </c>
      <c r="G207" s="78" t="inlineStr">
        <is>
          <t>Land (estate not stated in source)</t>
        </is>
      </c>
      <c r="H207" s="78" t="inlineStr">
        <is>
          <t>BAAY PROJECTS SALES EXPENSES (COMMISSION) RECORDS (1)</t>
        </is>
      </c>
      <c r="I207" s="78" t="inlineStr">
        <is>
          <t>MS ELIZABETH</t>
        </is>
      </c>
      <c r="J207" s="78" t="n">
        <v>49</v>
      </c>
      <c r="K207" s="78" t="n"/>
      <c r="L207" s="78" t="inlineStr">
        <is>
          <t>13/06/2024</t>
        </is>
      </c>
    </row>
    <row r="208" ht="25" customHeight="1">
      <c r="A208" s="75" t="inlineStr">
        <is>
          <t>XC058</t>
        </is>
      </c>
      <c r="B208" s="76" t="n">
        <v>45456</v>
      </c>
      <c r="C208" s="75" t="n">
        <v>2024</v>
      </c>
      <c r="D208" s="75" t="inlineStr">
        <is>
          <t>BP-C0046</t>
        </is>
      </c>
      <c r="E208" s="75" t="inlineStr">
        <is>
          <t>Mr Adesida Raphael</t>
        </is>
      </c>
      <c r="F208" s="77" t="n">
        <v>45632</v>
      </c>
      <c r="G208" s="75" t="inlineStr">
        <is>
          <t>Land (estate not stated in source)</t>
        </is>
      </c>
      <c r="H208" s="75" t="inlineStr">
        <is>
          <t>BAAY PROJECTS SALES EXPENSES (COMMISSION) RECORDS (1)</t>
        </is>
      </c>
      <c r="I208" s="75" t="inlineStr">
        <is>
          <t>MD</t>
        </is>
      </c>
      <c r="J208" s="75" t="n">
        <v>37</v>
      </c>
      <c r="K208" s="75" t="n"/>
      <c r="L208" s="75" t="inlineStr">
        <is>
          <t>13/06/2024</t>
        </is>
      </c>
    </row>
    <row r="209" ht="25" customHeight="1">
      <c r="A209" s="78" t="inlineStr">
        <is>
          <t>XC059</t>
        </is>
      </c>
      <c r="B209" s="79" t="n">
        <v>45471</v>
      </c>
      <c r="C209" s="78" t="n">
        <v>2024</v>
      </c>
      <c r="D209" s="78" t="inlineStr">
        <is>
          <t>BP-C0235</t>
        </is>
      </c>
      <c r="E209" s="78" t="inlineStr">
        <is>
          <t>Sharon Aisosa Ebholah</t>
        </is>
      </c>
      <c r="F209" s="80" t="n">
        <v>295000</v>
      </c>
      <c r="G209" s="78" t="inlineStr">
        <is>
          <t>Land (estate not stated in source)</t>
        </is>
      </c>
      <c r="H209" s="78" t="inlineStr">
        <is>
          <t>BAAY PROJECTS SALES EXPENSES (COMMISSION) RECORDS (1)</t>
        </is>
      </c>
      <c r="I209" s="78" t="inlineStr">
        <is>
          <t>MS BLESSING</t>
        </is>
      </c>
      <c r="J209" s="78" t="n">
        <v>65</v>
      </c>
      <c r="K209" s="78" t="n"/>
      <c r="L209" s="78" t="inlineStr">
        <is>
          <t>28/06/2024</t>
        </is>
      </c>
    </row>
    <row r="210" ht="25" customHeight="1">
      <c r="A210" s="75" t="inlineStr">
        <is>
          <t>XC060</t>
        </is>
      </c>
      <c r="B210" s="76" t="n">
        <v>45500</v>
      </c>
      <c r="C210" s="75" t="n">
        <v>2024</v>
      </c>
      <c r="D210" s="75" t="inlineStr">
        <is>
          <t>BP-C0235</t>
        </is>
      </c>
      <c r="E210" s="75" t="inlineStr">
        <is>
          <t>Sharon Aisosa Ebholah</t>
        </is>
      </c>
      <c r="F210" s="77" t="n">
        <v>300000</v>
      </c>
      <c r="G210" s="75" t="inlineStr">
        <is>
          <t>Land (estate not stated in source)</t>
        </is>
      </c>
      <c r="H210" s="75" t="inlineStr">
        <is>
          <t>BAAY PROJECTS SALES EXPENSES (COMMISSION) RECORDS (1)</t>
        </is>
      </c>
      <c r="I210" s="75" t="inlineStr">
        <is>
          <t>MS BLESSING</t>
        </is>
      </c>
      <c r="J210" s="75" t="n">
        <v>80</v>
      </c>
      <c r="K210" s="75" t="n"/>
      <c r="L210" s="75" t="inlineStr">
        <is>
          <t>27/07/2024</t>
        </is>
      </c>
    </row>
    <row r="211" ht="25" customHeight="1">
      <c r="A211" s="78" t="inlineStr">
        <is>
          <t>XC061</t>
        </is>
      </c>
      <c r="B211" s="79" t="n">
        <v>45504</v>
      </c>
      <c r="C211" s="78" t="n">
        <v>2024</v>
      </c>
      <c r="D211" s="78" t="inlineStr">
        <is>
          <t>BP-C0110</t>
        </is>
      </c>
      <c r="E211" s="78" t="inlineStr">
        <is>
          <t>Mr Adeyemi Kayode</t>
        </is>
      </c>
      <c r="F211" s="80" t="n">
        <v>2750000</v>
      </c>
      <c r="G211" s="78" t="inlineStr">
        <is>
          <t>Land (estate not stated in source)</t>
        </is>
      </c>
      <c r="H211" s="78" t="inlineStr">
        <is>
          <t>BAAY PROJECTS SALES EXPENSES (COMMISSION) RECORDS (1)</t>
        </is>
      </c>
      <c r="I211" s="78" t="inlineStr">
        <is>
          <t>MS BOLANLE</t>
        </is>
      </c>
      <c r="J211" s="78" t="n">
        <v>80</v>
      </c>
      <c r="K211" s="78" t="n"/>
      <c r="L211" s="78" t="inlineStr">
        <is>
          <t>31/07/2024</t>
        </is>
      </c>
    </row>
    <row r="212" ht="25" customHeight="1">
      <c r="A212" s="75" t="inlineStr">
        <is>
          <t>XC062</t>
        </is>
      </c>
      <c r="B212" s="76" t="n">
        <v>45505</v>
      </c>
      <c r="C212" s="75" t="n">
        <v>2024</v>
      </c>
      <c r="D212" s="75" t="inlineStr">
        <is>
          <t>BP-C0090</t>
        </is>
      </c>
      <c r="E212" s="75" t="inlineStr">
        <is>
          <t>Mr Ajiva Lubem Barnabas</t>
        </is>
      </c>
      <c r="F212" s="77" t="n">
        <v>50000</v>
      </c>
      <c r="G212" s="75" t="inlineStr">
        <is>
          <t>Land (estate not stated in source)</t>
        </is>
      </c>
      <c r="H212" s="75" t="inlineStr">
        <is>
          <t>BAAY PROJECTS SALES EXPENSES (COMMISSION) RECORDS (1)</t>
        </is>
      </c>
      <c r="I212" s="75" t="inlineStr">
        <is>
          <t>FASUYI OLAYINKA</t>
        </is>
      </c>
      <c r="J212" s="75" t="n">
        <v>38</v>
      </c>
      <c r="K212" s="75" t="n"/>
      <c r="L212" s="75" t="inlineStr">
        <is>
          <t>2024-01-08</t>
        </is>
      </c>
    </row>
    <row r="213" ht="25" customHeight="1">
      <c r="A213" s="78" t="inlineStr">
        <is>
          <t>XC063</t>
        </is>
      </c>
      <c r="B213" s="79" t="n">
        <v>45516</v>
      </c>
      <c r="C213" s="78" t="n">
        <v>2024</v>
      </c>
      <c r="D213" s="78" t="inlineStr">
        <is>
          <t>BP-C0019</t>
        </is>
      </c>
      <c r="E213" s="78" t="inlineStr">
        <is>
          <t>Mr Ogbu Pius Ejaka</t>
        </is>
      </c>
      <c r="F213" s="80" t="n">
        <v>3510000</v>
      </c>
      <c r="G213" s="78" t="inlineStr">
        <is>
          <t>Land (estate not stated in source)</t>
        </is>
      </c>
      <c r="H213" s="78" t="inlineStr">
        <is>
          <t>BAAY PROJECTS SALES EXPENSES (COMMISSION) RECORDS (1)</t>
        </is>
      </c>
      <c r="I213" s="78" t="inlineStr">
        <is>
          <t>MS BLESSING</t>
        </is>
      </c>
      <c r="J213" s="78" t="n">
        <v>89</v>
      </c>
      <c r="K213" s="78" t="inlineStr">
        <is>
          <t>MS MAYOWA BRAIMOH r18</t>
        </is>
      </c>
      <c r="L213" s="78" t="inlineStr">
        <is>
          <t>2024-12-08</t>
        </is>
      </c>
    </row>
    <row r="214" ht="25" customHeight="1">
      <c r="A214" s="75" t="inlineStr">
        <is>
          <t>XC064</t>
        </is>
      </c>
      <c r="B214" s="76" t="n">
        <v>45522</v>
      </c>
      <c r="C214" s="75" t="n">
        <v>2024</v>
      </c>
      <c r="D214" s="75" t="inlineStr">
        <is>
          <t>BP-C0234</t>
        </is>
      </c>
      <c r="E214" s="75" t="inlineStr">
        <is>
          <t>Okorie Rachael Mmesoma</t>
        </is>
      </c>
      <c r="F214" s="77" t="n">
        <v>256000</v>
      </c>
      <c r="G214" s="75" t="inlineStr">
        <is>
          <t>Land (estate not stated in source)</t>
        </is>
      </c>
      <c r="H214" s="75" t="inlineStr">
        <is>
          <t>BAAY PROJECTS SALES EXPENSES (COMMISSION) RECORDS (1)</t>
        </is>
      </c>
      <c r="I214" s="75" t="inlineStr">
        <is>
          <t>MS BLESSING OJI</t>
        </is>
      </c>
      <c r="J214" s="75" t="n">
        <v>35</v>
      </c>
      <c r="K214" s="75" t="n"/>
      <c r="L214" s="75" t="inlineStr">
        <is>
          <t>18/08/2024</t>
        </is>
      </c>
    </row>
    <row r="215" ht="25" customHeight="1">
      <c r="A215" s="78" t="inlineStr">
        <is>
          <t>XC065</t>
        </is>
      </c>
      <c r="B215" s="79" t="n">
        <v>45524</v>
      </c>
      <c r="C215" s="78" t="n">
        <v>2024</v>
      </c>
      <c r="D215" s="78" t="inlineStr">
        <is>
          <t>BP-C0234</t>
        </is>
      </c>
      <c r="E215" s="78" t="inlineStr">
        <is>
          <t>Okorie Rachael Mmesoma</t>
        </is>
      </c>
      <c r="F215" s="80" t="n">
        <v>244000</v>
      </c>
      <c r="G215" s="78" t="inlineStr">
        <is>
          <t>Land (estate not stated in source)</t>
        </is>
      </c>
      <c r="H215" s="78" t="inlineStr">
        <is>
          <t>BAAY PROJECTS SALES EXPENSES (COMMISSION) RECORDS (1)</t>
        </is>
      </c>
      <c r="I215" s="78" t="inlineStr">
        <is>
          <t>MS BLESSING OJI</t>
        </is>
      </c>
      <c r="J215" s="78" t="n">
        <v>36</v>
      </c>
      <c r="K215" s="78" t="n"/>
      <c r="L215" s="78" t="inlineStr">
        <is>
          <t>20/08/2024</t>
        </is>
      </c>
    </row>
    <row r="216" ht="25" customHeight="1">
      <c r="A216" s="75" t="inlineStr">
        <is>
          <t>XC066</t>
        </is>
      </c>
      <c r="B216" s="76" t="n">
        <v>45526</v>
      </c>
      <c r="C216" s="75" t="n">
        <v>2024</v>
      </c>
      <c r="D216" s="75" t="inlineStr">
        <is>
          <t>BP-C0103</t>
        </is>
      </c>
      <c r="E216" s="75" t="inlineStr">
        <is>
          <t>Miss Ojotule Faith Danjuma</t>
        </is>
      </c>
      <c r="F216" s="77" t="n">
        <v>1673000</v>
      </c>
      <c r="G216" s="75" t="inlineStr">
        <is>
          <t>Land (estate not stated in source)</t>
        </is>
      </c>
      <c r="H216" s="75" t="inlineStr">
        <is>
          <t>BAAY PROJECTS SALES EXPENSES (COMMISSION) RECORDS (1)</t>
        </is>
      </c>
      <c r="I216" s="75" t="inlineStr">
        <is>
          <t>FESTUS</t>
        </is>
      </c>
      <c r="J216" s="75" t="n">
        <v>30</v>
      </c>
      <c r="K216" s="75" t="n"/>
      <c r="L216" s="75" t="inlineStr">
        <is>
          <t>22/08/2024</t>
        </is>
      </c>
    </row>
    <row r="217" ht="25" customHeight="1">
      <c r="A217" s="78" t="inlineStr">
        <is>
          <t>XC067</t>
        </is>
      </c>
      <c r="B217" s="79" t="n">
        <v>45527</v>
      </c>
      <c r="C217" s="78" t="n">
        <v>2024</v>
      </c>
      <c r="D217" s="78" t="inlineStr">
        <is>
          <t>BP-C0060</t>
        </is>
      </c>
      <c r="E217" s="78" t="inlineStr">
        <is>
          <t>Miss Mitchell Jennifer</t>
        </is>
      </c>
      <c r="F217" s="80" t="n">
        <v>608060</v>
      </c>
      <c r="G217" s="78" t="inlineStr">
        <is>
          <t>Land (estate not stated in source)</t>
        </is>
      </c>
      <c r="H217" s="78" t="inlineStr">
        <is>
          <t>BAAY PROJECTS SALES EXPENSES (COMMISSION) RECORDS (1)</t>
        </is>
      </c>
      <c r="I217" s="78" t="inlineStr">
        <is>
          <t>MS CELINA</t>
        </is>
      </c>
      <c r="J217" s="78" t="n">
        <v>25</v>
      </c>
      <c r="K217" s="78" t="n"/>
      <c r="L217" s="78" t="inlineStr">
        <is>
          <t>23/08/2024</t>
        </is>
      </c>
    </row>
    <row r="218" ht="25" customHeight="1">
      <c r="A218" s="75" t="inlineStr">
        <is>
          <t>XC068</t>
        </is>
      </c>
      <c r="B218" s="76" t="n">
        <v>45527</v>
      </c>
      <c r="C218" s="75" t="n">
        <v>2024</v>
      </c>
      <c r="D218" s="75" t="inlineStr">
        <is>
          <t>BP-C0118</t>
        </is>
      </c>
      <c r="E218" s="75" t="inlineStr">
        <is>
          <t>Pastor Ikechukwu Kingsley &amp; Deaconess Ikechukwu Rose Uju</t>
        </is>
      </c>
      <c r="F218" s="77" t="n">
        <v>2000000</v>
      </c>
      <c r="G218" s="75" t="inlineStr">
        <is>
          <t>Land (estate not stated in source)</t>
        </is>
      </c>
      <c r="H218" s="75" t="inlineStr">
        <is>
          <t>BAAY PROJECTS SALES EXPENSES (COMMISSION) RECORDS (1)</t>
        </is>
      </c>
      <c r="I218" s="75" t="inlineStr">
        <is>
          <t>MS ADENIKE</t>
        </is>
      </c>
      <c r="J218" s="75" t="n">
        <v>8</v>
      </c>
      <c r="K218" s="75" t="n"/>
      <c r="L218" s="75" t="inlineStr">
        <is>
          <t>23/08/2024</t>
        </is>
      </c>
    </row>
    <row r="219" ht="25" customHeight="1">
      <c r="A219" s="78" t="inlineStr">
        <is>
          <t>XC069</t>
        </is>
      </c>
      <c r="B219" s="79" t="n">
        <v>45536</v>
      </c>
      <c r="C219" s="78" t="n">
        <v>2024</v>
      </c>
      <c r="D219" s="78" t="inlineStr">
        <is>
          <t>BP-C0119</t>
        </is>
      </c>
      <c r="E219" s="78" t="inlineStr">
        <is>
          <t>Mr Adedapo Adekunle Solomon</t>
        </is>
      </c>
      <c r="F219" s="80" t="n">
        <v>5000000</v>
      </c>
      <c r="G219" s="78" t="inlineStr">
        <is>
          <t>Land (estate not stated in source)</t>
        </is>
      </c>
      <c r="H219" s="78" t="inlineStr">
        <is>
          <t>BAAY PROJECTS SALES EXPENSES (COMMISSION) RECORDS (1)</t>
        </is>
      </c>
      <c r="I219" s="78" t="inlineStr">
        <is>
          <t>MS TAIWO</t>
        </is>
      </c>
      <c r="J219" s="78" t="n">
        <v>51</v>
      </c>
      <c r="K219" s="78" t="n"/>
      <c r="L219" s="78" t="inlineStr">
        <is>
          <t>2024-01-09</t>
        </is>
      </c>
    </row>
    <row r="220" ht="25" customHeight="1">
      <c r="A220" s="75" t="inlineStr">
        <is>
          <t>XC070</t>
        </is>
      </c>
      <c r="B220" s="76" t="n">
        <v>45545</v>
      </c>
      <c r="C220" s="75" t="n">
        <v>2024</v>
      </c>
      <c r="D220" s="75" t="inlineStr">
        <is>
          <t>BP-C0234</t>
        </is>
      </c>
      <c r="E220" s="75" t="inlineStr">
        <is>
          <t>Okorie Rachael Mmesoma</t>
        </is>
      </c>
      <c r="F220" s="77" t="n">
        <v>1300000</v>
      </c>
      <c r="G220" s="75" t="inlineStr">
        <is>
          <t>Land (estate not stated in source)</t>
        </is>
      </c>
      <c r="H220" s="75" t="inlineStr">
        <is>
          <t>BAAY PROJECTS SALES EXPENSES (COMMISSION) RECORDS (1)</t>
        </is>
      </c>
      <c r="I220" s="75" t="inlineStr">
        <is>
          <t>MS BLESSING OJI</t>
        </is>
      </c>
      <c r="J220" s="75" t="n">
        <v>43</v>
      </c>
      <c r="K220" s="75" t="n"/>
      <c r="L220" s="75" t="inlineStr">
        <is>
          <t>2024-10-09</t>
        </is>
      </c>
    </row>
    <row r="221" ht="25" customHeight="1">
      <c r="A221" s="78" t="inlineStr">
        <is>
          <t>XC071</t>
        </is>
      </c>
      <c r="B221" s="79" t="n">
        <v>45545</v>
      </c>
      <c r="C221" s="78" t="n">
        <v>2024</v>
      </c>
      <c r="D221" s="78" t="inlineStr">
        <is>
          <t>BP-C0096</t>
        </is>
      </c>
      <c r="E221" s="78" t="inlineStr">
        <is>
          <t>Mrs Lawani Opemipo Oluwatobi</t>
        </is>
      </c>
      <c r="F221" s="80" t="n">
        <v>555000</v>
      </c>
      <c r="G221" s="78" t="inlineStr">
        <is>
          <t>Land (estate not stated in source)</t>
        </is>
      </c>
      <c r="H221" s="78" t="inlineStr">
        <is>
          <t>BAAY PROJECTS SALES EXPENSES (COMMISSION) RECORDS (1)</t>
        </is>
      </c>
      <c r="I221" s="78" t="inlineStr">
        <is>
          <t>MS FISAYO</t>
        </is>
      </c>
      <c r="J221" s="78" t="n">
        <v>29</v>
      </c>
      <c r="K221" s="78" t="n"/>
      <c r="L221" s="78" t="inlineStr">
        <is>
          <t>2024-10-09</t>
        </is>
      </c>
    </row>
    <row r="222" ht="25" customHeight="1">
      <c r="A222" s="75" t="inlineStr">
        <is>
          <t>XC072</t>
        </is>
      </c>
      <c r="B222" s="76" t="n">
        <v>45552</v>
      </c>
      <c r="C222" s="75" t="n">
        <v>2024</v>
      </c>
      <c r="D222" s="75" t="inlineStr">
        <is>
          <t>BP-C0125</t>
        </is>
      </c>
      <c r="E222" s="75" t="inlineStr">
        <is>
          <t>Mrs Adelaja-Idowu Mosebolatan Tomilayo</t>
        </is>
      </c>
      <c r="F222" s="77" t="n">
        <v>11700000</v>
      </c>
      <c r="G222" s="75" t="inlineStr">
        <is>
          <t>Land (estate not stated in source)</t>
        </is>
      </c>
      <c r="H222" s="75" t="inlineStr">
        <is>
          <t>BAAY PROJECTS SALES EXPENSES (COMMISSION) RECORDS (1)</t>
        </is>
      </c>
      <c r="I222" s="75" t="inlineStr">
        <is>
          <t>OGIDAN</t>
        </is>
      </c>
      <c r="J222" s="75" t="n">
        <v>22</v>
      </c>
      <c r="K222" s="75" t="n"/>
      <c r="L222" s="75" t="inlineStr">
        <is>
          <t>17/09/2024</t>
        </is>
      </c>
    </row>
    <row r="223" ht="25" customHeight="1">
      <c r="A223" s="78" t="inlineStr">
        <is>
          <t>XC073</t>
        </is>
      </c>
      <c r="B223" s="79" t="n">
        <v>45563</v>
      </c>
      <c r="C223" s="78" t="n">
        <v>2024</v>
      </c>
      <c r="D223" s="78" t="inlineStr">
        <is>
          <t>BP-C0234</t>
        </is>
      </c>
      <c r="E223" s="78" t="inlineStr">
        <is>
          <t>Okorie Rachael Mmesoma</t>
        </is>
      </c>
      <c r="F223" s="80" t="n">
        <v>2000000</v>
      </c>
      <c r="G223" s="78" t="inlineStr">
        <is>
          <t>Land (estate not stated in source)</t>
        </is>
      </c>
      <c r="H223" s="78" t="inlineStr">
        <is>
          <t>BAAY PROJECTS SALES EXPENSES (COMMISSION) RECORDS (1)</t>
        </is>
      </c>
      <c r="I223" s="78" t="inlineStr">
        <is>
          <t>MS BLESSING OJI</t>
        </is>
      </c>
      <c r="J223" s="78" t="n">
        <v>37</v>
      </c>
      <c r="K223" s="78" t="n"/>
      <c r="L223" s="78" t="inlineStr">
        <is>
          <t>28/09/2024</t>
        </is>
      </c>
    </row>
    <row r="224" ht="25" customHeight="1">
      <c r="A224" s="75" t="inlineStr">
        <is>
          <t>XC074</t>
        </is>
      </c>
      <c r="B224" s="76" t="n">
        <v>45587</v>
      </c>
      <c r="C224" s="75" t="n">
        <v>2024</v>
      </c>
      <c r="D224" s="75" t="inlineStr">
        <is>
          <t>BP-C0086</t>
        </is>
      </c>
      <c r="E224" s="75" t="inlineStr">
        <is>
          <t>Miss Nwobodo Miriam Chioma</t>
        </is>
      </c>
      <c r="F224" s="77" t="n">
        <v>350000</v>
      </c>
      <c r="G224" s="75" t="inlineStr">
        <is>
          <t>Land (estate not stated in source)</t>
        </is>
      </c>
      <c r="H224" s="75" t="inlineStr">
        <is>
          <t>BAAY PROJECTS SALES EXPENSES (COMMISSION) RECORDS (1)</t>
        </is>
      </c>
      <c r="I224" s="75" t="inlineStr">
        <is>
          <t>MD</t>
        </is>
      </c>
      <c r="J224" s="75" t="n">
        <v>69</v>
      </c>
      <c r="K224" s="75" t="n"/>
      <c r="L224" s="75" t="inlineStr">
        <is>
          <t>22/10/2024</t>
        </is>
      </c>
    </row>
    <row r="225" ht="25" customHeight="1">
      <c r="A225" s="78" t="inlineStr">
        <is>
          <t>XC075</t>
        </is>
      </c>
      <c r="B225" s="79" t="n">
        <v>45587</v>
      </c>
      <c r="C225" s="78" t="n">
        <v>2024</v>
      </c>
      <c r="D225" s="78" t="inlineStr">
        <is>
          <t>BP-C0126</t>
        </is>
      </c>
      <c r="E225" s="78" t="inlineStr">
        <is>
          <t>Miss Ogundipe Motunrayo Fransisca</t>
        </is>
      </c>
      <c r="F225" s="80" t="n">
        <v>2000000</v>
      </c>
      <c r="G225" s="78" t="inlineStr">
        <is>
          <t>Land (estate not stated in source)</t>
        </is>
      </c>
      <c r="H225" s="78" t="inlineStr">
        <is>
          <t>BAAY PROJECTS SALES EXPENSES (COMMISSION) RECORDS (1)</t>
        </is>
      </c>
      <c r="I225" s="78" t="inlineStr">
        <is>
          <t>MD</t>
        </is>
      </c>
      <c r="J225" s="78" t="n">
        <v>70</v>
      </c>
      <c r="K225" s="78" t="n"/>
      <c r="L225" s="78" t="inlineStr">
        <is>
          <t>22/10/2024</t>
        </is>
      </c>
    </row>
    <row r="226" ht="25" customHeight="1">
      <c r="A226" s="75" t="inlineStr">
        <is>
          <t>XC076</t>
        </is>
      </c>
      <c r="B226" s="76" t="n">
        <v>45591</v>
      </c>
      <c r="C226" s="75" t="n">
        <v>2024</v>
      </c>
      <c r="D226" s="75" t="inlineStr">
        <is>
          <t>BP-C0097</t>
        </is>
      </c>
      <c r="E226" s="75" t="inlineStr">
        <is>
          <t>Engr. Fagbulu Taiwo Olubunmi</t>
        </is>
      </c>
      <c r="F226" s="77" t="n">
        <v>525000</v>
      </c>
      <c r="G226" s="75" t="inlineStr">
        <is>
          <t>Land (estate not stated in source)</t>
        </is>
      </c>
      <c r="H226" s="75" t="inlineStr">
        <is>
          <t>BAAY PROJECTS SALES EXPENSES (COMMISSION) RECORDS (1)</t>
        </is>
      </c>
      <c r="I226" s="75" t="inlineStr">
        <is>
          <t>MR HENRY</t>
        </is>
      </c>
      <c r="J226" s="75" t="n">
        <v>18</v>
      </c>
      <c r="K226" s="75" t="n"/>
      <c r="L226" s="75" t="inlineStr">
        <is>
          <t>26/10/2024</t>
        </is>
      </c>
    </row>
    <row r="227" ht="25" customHeight="1">
      <c r="A227" s="78" t="inlineStr">
        <is>
          <t>XC077</t>
        </is>
      </c>
      <c r="B227" s="79" t="n">
        <v>45591</v>
      </c>
      <c r="C227" s="78" t="n">
        <v>2024</v>
      </c>
      <c r="D227" s="78" t="inlineStr">
        <is>
          <t>BP-C0100</t>
        </is>
      </c>
      <c r="E227" s="78" t="inlineStr">
        <is>
          <t>Mr Braimoh Ayomide Favour</t>
        </is>
      </c>
      <c r="F227" s="80" t="n">
        <v>612500</v>
      </c>
      <c r="G227" s="78" t="inlineStr">
        <is>
          <t>Land (estate not stated in source)</t>
        </is>
      </c>
      <c r="H227" s="78" t="inlineStr">
        <is>
          <t>BAAY PROJECTS SALES EXPENSES (COMMISSION) RECORDS (1)</t>
        </is>
      </c>
      <c r="I227" s="78" t="inlineStr">
        <is>
          <t>MS MAYOWA BRAIMOH</t>
        </is>
      </c>
      <c r="J227" s="78" t="n">
        <v>37</v>
      </c>
      <c r="K227" s="78" t="n"/>
      <c r="L227" s="78" t="inlineStr">
        <is>
          <t>26/10/2024</t>
        </is>
      </c>
    </row>
    <row r="228" ht="25" customHeight="1">
      <c r="A228" s="75" t="inlineStr">
        <is>
          <t>XC078</t>
        </is>
      </c>
      <c r="B228" s="76" t="n">
        <v>45595</v>
      </c>
      <c r="C228" s="75" t="n">
        <v>2024</v>
      </c>
      <c r="D228" s="75" t="inlineStr">
        <is>
          <t>BP-C0141</t>
        </is>
      </c>
      <c r="E228" s="75" t="inlineStr">
        <is>
          <t>Mr Aremu Kayode Sarafa</t>
        </is>
      </c>
      <c r="F228" s="77" t="n">
        <v>300000</v>
      </c>
      <c r="G228" s="75" t="inlineStr">
        <is>
          <t>Land (estate not stated in source)</t>
        </is>
      </c>
      <c r="H228" s="75" t="inlineStr">
        <is>
          <t>BAAY PROJECTS SALES EXPENSES (COMMISSION) RECORDS (1)</t>
        </is>
      </c>
      <c r="I228" s="75" t="inlineStr">
        <is>
          <t>OGIDAN</t>
        </is>
      </c>
      <c r="J228" s="75" t="n">
        <v>79</v>
      </c>
      <c r="K228" s="75" t="n"/>
      <c r="L228" s="75" t="inlineStr">
        <is>
          <t>30/10/2024</t>
        </is>
      </c>
    </row>
    <row r="229" ht="25" customHeight="1">
      <c r="A229" s="78" t="inlineStr">
        <is>
          <t>XC079</t>
        </is>
      </c>
      <c r="B229" s="79" t="n">
        <v>45596</v>
      </c>
      <c r="C229" s="78" t="n">
        <v>2024</v>
      </c>
      <c r="D229" s="78" t="inlineStr">
        <is>
          <t>BP-C0140</t>
        </is>
      </c>
      <c r="E229" s="78" t="inlineStr">
        <is>
          <t>Mr Balogun Akeem Tokunbo</t>
        </is>
      </c>
      <c r="F229" s="80" t="n">
        <v>10000000</v>
      </c>
      <c r="G229" s="78" t="inlineStr">
        <is>
          <t>Pacific Apartment</t>
        </is>
      </c>
      <c r="H229" s="78" t="inlineStr">
        <is>
          <t>BAAY PROJECTS SALES EXPENSES (COMMISSION) RECORDS (1)</t>
        </is>
      </c>
      <c r="I229" s="78" t="inlineStr">
        <is>
          <t>MAMA ADEBIMPE</t>
        </is>
      </c>
      <c r="J229" s="78" t="n">
        <v>6</v>
      </c>
      <c r="K229" s="78" t="n"/>
      <c r="L229" s="78" t="inlineStr">
        <is>
          <t>31/10/2024</t>
        </is>
      </c>
    </row>
    <row r="230" ht="25" customHeight="1">
      <c r="A230" s="75" t="inlineStr">
        <is>
          <t>XC080</t>
        </is>
      </c>
      <c r="B230" s="76" t="n">
        <v>45598</v>
      </c>
      <c r="C230" s="75" t="n">
        <v>2024</v>
      </c>
      <c r="D230" s="75" t="inlineStr">
        <is>
          <t>BP-C0124</t>
        </is>
      </c>
      <c r="E230" s="75" t="inlineStr">
        <is>
          <t>Miss Thomas Oluwabukola Comfort</t>
        </is>
      </c>
      <c r="F230" s="77" t="n">
        <v>300000</v>
      </c>
      <c r="G230" s="75" t="inlineStr">
        <is>
          <t>Land (estate not stated in source)</t>
        </is>
      </c>
      <c r="H230" s="75" t="inlineStr">
        <is>
          <t>BAAY PROJECTS SALES EXPENSES (COMMISSION) RECORDS (1)</t>
        </is>
      </c>
      <c r="I230" s="75" t="inlineStr">
        <is>
          <t>MR PELUMI</t>
        </is>
      </c>
      <c r="J230" s="75" t="n">
        <v>19</v>
      </c>
      <c r="K230" s="75" t="n"/>
      <c r="L230" s="75" t="inlineStr">
        <is>
          <t>2024-02-11</t>
        </is>
      </c>
    </row>
    <row r="231" ht="25" customHeight="1">
      <c r="A231" s="78" t="inlineStr">
        <is>
          <t>XC081</t>
        </is>
      </c>
      <c r="B231" s="79" t="n">
        <v>45601</v>
      </c>
      <c r="C231" s="78" t="n">
        <v>2024</v>
      </c>
      <c r="D231" s="78" t="inlineStr">
        <is>
          <t>BP-C0133</t>
        </is>
      </c>
      <c r="E231" s="78" t="inlineStr">
        <is>
          <t>Mr Oluwashina O. Olagbende</t>
        </is>
      </c>
      <c r="F231" s="80" t="n">
        <v>100000</v>
      </c>
      <c r="G231" s="78" t="inlineStr">
        <is>
          <t>Land (estate not stated in source)</t>
        </is>
      </c>
      <c r="H231" s="78" t="inlineStr">
        <is>
          <t>BAAY PROJECTS SALES EXPENSES (COMMISSION) RECORDS (1)</t>
        </is>
      </c>
      <c r="I231" s="78" t="inlineStr">
        <is>
          <t>MS AWONORIN MAYOWA</t>
        </is>
      </c>
      <c r="J231" s="78" t="n">
        <v>17</v>
      </c>
      <c r="K231" s="78" t="n"/>
      <c r="L231" s="78" t="inlineStr">
        <is>
          <t>2024-05-11</t>
        </is>
      </c>
    </row>
    <row r="232" ht="25" customHeight="1">
      <c r="A232" s="75" t="inlineStr">
        <is>
          <t>XC082</t>
        </is>
      </c>
      <c r="B232" s="76" t="n">
        <v>45611</v>
      </c>
      <c r="C232" s="75" t="n">
        <v>2024</v>
      </c>
      <c r="D232" s="75" t="inlineStr">
        <is>
          <t>BP-C0114</t>
        </is>
      </c>
      <c r="E232" s="75" t="inlineStr">
        <is>
          <t>Miss Ohaego Ijeoma Goodness</t>
        </is>
      </c>
      <c r="F232" s="77" t="n">
        <v>1532500</v>
      </c>
      <c r="G232" s="75" t="inlineStr">
        <is>
          <t>Land (estate not stated in source)</t>
        </is>
      </c>
      <c r="H232" s="75" t="inlineStr">
        <is>
          <t>BAAY PROJECTS SALES EXPENSES (COMMISSION) RECORDS (1)</t>
        </is>
      </c>
      <c r="I232" s="75" t="inlineStr">
        <is>
          <t>MS BOLANLE</t>
        </is>
      </c>
      <c r="J232" s="75" t="n">
        <v>120</v>
      </c>
      <c r="K232" s="75" t="inlineStr">
        <is>
          <t>MS BLESSING OJI r58</t>
        </is>
      </c>
      <c r="L232" s="75" t="inlineStr">
        <is>
          <t>15/11/2024</t>
        </is>
      </c>
    </row>
    <row r="233" ht="25" customHeight="1">
      <c r="A233" s="78" t="inlineStr">
        <is>
          <t>XC083</t>
        </is>
      </c>
      <c r="B233" s="79" t="n">
        <v>45624</v>
      </c>
      <c r="C233" s="78" t="n">
        <v>2024</v>
      </c>
      <c r="D233" s="78" t="inlineStr">
        <is>
          <t>BP-C0167</t>
        </is>
      </c>
      <c r="E233" s="78" t="inlineStr">
        <is>
          <t>Mr Uneze Grant Chetana</t>
        </is>
      </c>
      <c r="F233" s="80" t="n">
        <v>500000</v>
      </c>
      <c r="G233" s="78" t="inlineStr">
        <is>
          <t>Land (estate not stated in source)</t>
        </is>
      </c>
      <c r="H233" s="78" t="inlineStr">
        <is>
          <t>BAAY PROJECTS SALES EXPENSES (COMMISSION) RECORDS (1)</t>
        </is>
      </c>
      <c r="I233" s="78" t="inlineStr">
        <is>
          <t>MS SAMUELLA</t>
        </is>
      </c>
      <c r="J233" s="78" t="n">
        <v>2</v>
      </c>
      <c r="K233" s="78" t="n"/>
      <c r="L233" s="78" t="inlineStr">
        <is>
          <t>28/11/2024</t>
        </is>
      </c>
    </row>
    <row r="234" ht="25" customHeight="1">
      <c r="A234" s="75" t="inlineStr">
        <is>
          <t>XC084</t>
        </is>
      </c>
      <c r="B234" s="76" t="n">
        <v>45628</v>
      </c>
      <c r="C234" s="75" t="n">
        <v>2024</v>
      </c>
      <c r="D234" s="75" t="inlineStr">
        <is>
          <t>BP-C0051</t>
        </is>
      </c>
      <c r="E234" s="75" t="inlineStr">
        <is>
          <t>Mr Ogunleye Olumide</t>
        </is>
      </c>
      <c r="F234" s="77" t="n">
        <v>1600000</v>
      </c>
      <c r="G234" s="75" t="inlineStr">
        <is>
          <t>Land (estate not stated in source)</t>
        </is>
      </c>
      <c r="H234" s="75" t="inlineStr">
        <is>
          <t>BAAY PROJECTS SALES EXPENSES (COMMISSION) RECORDS (1)</t>
        </is>
      </c>
      <c r="I234" s="75" t="inlineStr">
        <is>
          <t>MD</t>
        </is>
      </c>
      <c r="J234" s="75" t="n">
        <v>90</v>
      </c>
      <c r="K234" s="75" t="n"/>
      <c r="L234" s="75" t="inlineStr">
        <is>
          <t>2024-02-12</t>
        </is>
      </c>
    </row>
    <row r="235" ht="25" customHeight="1">
      <c r="A235" s="78" t="inlineStr">
        <is>
          <t>XC085</t>
        </is>
      </c>
      <c r="B235" s="79" t="n">
        <v>45635</v>
      </c>
      <c r="C235" s="78" t="n">
        <v>2024</v>
      </c>
      <c r="D235" s="78" t="inlineStr">
        <is>
          <t>BP-C0140</t>
        </is>
      </c>
      <c r="E235" s="78" t="inlineStr">
        <is>
          <t>Mr Balogun Akeem Tokunbo</t>
        </is>
      </c>
      <c r="F235" s="80" t="n">
        <v>10000000</v>
      </c>
      <c r="G235" s="78" t="inlineStr">
        <is>
          <t>Pacific Apartment</t>
        </is>
      </c>
      <c r="H235" s="78" t="inlineStr">
        <is>
          <t>BAAY PROJECTS SALES EXPENSES (COMMISSION) RECORDS (1)</t>
        </is>
      </c>
      <c r="I235" s="78" t="inlineStr">
        <is>
          <t>MAMA ADEBIMPE</t>
        </is>
      </c>
      <c r="J235" s="78" t="n">
        <v>66</v>
      </c>
      <c r="K235" s="78" t="n"/>
      <c r="L235" s="78" t="inlineStr">
        <is>
          <t>2024-09-12</t>
        </is>
      </c>
    </row>
    <row r="236" ht="25" customHeight="1">
      <c r="A236" s="75" t="inlineStr">
        <is>
          <t>XC086</t>
        </is>
      </c>
      <c r="B236" s="76" t="n">
        <v>45640</v>
      </c>
      <c r="C236" s="75" t="n">
        <v>2024</v>
      </c>
      <c r="D236" s="75" t="inlineStr">
        <is>
          <t>BP-C0148</t>
        </is>
      </c>
      <c r="E236" s="75" t="inlineStr">
        <is>
          <t>Mr Akinsete Michael</t>
        </is>
      </c>
      <c r="F236" s="77" t="n">
        <v>500000</v>
      </c>
      <c r="G236" s="75" t="inlineStr">
        <is>
          <t>Land (estate not stated in source)</t>
        </is>
      </c>
      <c r="H236" s="75" t="inlineStr">
        <is>
          <t>BAAY PROJECTS SALES EXPENSES (COMMISSION) RECORDS (1)</t>
        </is>
      </c>
      <c r="I236" s="75" t="inlineStr">
        <is>
          <t>MD</t>
        </is>
      </c>
      <c r="J236" s="75" t="n">
        <v>119</v>
      </c>
      <c r="K236" s="75" t="n"/>
      <c r="L236" s="75" t="inlineStr">
        <is>
          <t>14/12/2024</t>
        </is>
      </c>
    </row>
    <row r="237" ht="25" customHeight="1">
      <c r="A237" s="78" t="inlineStr">
        <is>
          <t>XC087</t>
        </is>
      </c>
      <c r="B237" s="79" t="n">
        <v>45641</v>
      </c>
      <c r="C237" s="78" t="n">
        <v>2024</v>
      </c>
      <c r="D237" s="78" t="inlineStr">
        <is>
          <t>BP-C0229</t>
        </is>
      </c>
      <c r="E237" s="78" t="inlineStr">
        <is>
          <t>Mr Adeyanju/Mr Adepoju &amp; Mrs Adepoju</t>
        </is>
      </c>
      <c r="F237" s="80" t="n">
        <v>2500000</v>
      </c>
      <c r="G237" s="78" t="inlineStr">
        <is>
          <t>Land (estate not stated in source)</t>
        </is>
      </c>
      <c r="H237" s="78" t="inlineStr">
        <is>
          <t>BAAY PROJECTS SALES EXPENSES (COMMISSION) RECORDS (1)</t>
        </is>
      </c>
      <c r="I237" s="78" t="inlineStr">
        <is>
          <t>MS TAIWO</t>
        </is>
      </c>
      <c r="J237" s="78" t="n">
        <v>58</v>
      </c>
      <c r="K237" s="78" t="n"/>
      <c r="L237" s="78" t="inlineStr">
        <is>
          <t>15/12/2024</t>
        </is>
      </c>
    </row>
    <row r="238" ht="25" customHeight="1">
      <c r="A238" s="75" t="inlineStr">
        <is>
          <t>XC088</t>
        </is>
      </c>
      <c r="B238" s="76" t="n">
        <v>45641</v>
      </c>
      <c r="C238" s="75" t="n">
        <v>2024</v>
      </c>
      <c r="D238" s="75" t="inlineStr">
        <is>
          <t>BP-C0142</t>
        </is>
      </c>
      <c r="E238" s="75" t="inlineStr">
        <is>
          <t>Mr Simien Samuel &amp; Mrs Simien Oyindamola Adekunle</t>
        </is>
      </c>
      <c r="F238" s="77" t="n">
        <v>4750000</v>
      </c>
      <c r="G238" s="75" t="inlineStr">
        <is>
          <t>Pacific Apartment</t>
        </is>
      </c>
      <c r="H238" s="75" t="inlineStr">
        <is>
          <t>BAAY PROJECTS SALES EXPENSES (COMMISSION) RECORDS (1)</t>
        </is>
      </c>
      <c r="I238" s="75" t="inlineStr">
        <is>
          <t>MAMA ADEBIMPE</t>
        </is>
      </c>
      <c r="J238" s="75" t="n">
        <v>73</v>
      </c>
      <c r="K238" s="75" t="n"/>
      <c r="L238" s="75" t="inlineStr">
        <is>
          <t>15/12/2024</t>
        </is>
      </c>
    </row>
    <row r="239" ht="25" customHeight="1">
      <c r="A239" s="78" t="inlineStr">
        <is>
          <t>XC089</t>
        </is>
      </c>
      <c r="B239" s="79" t="n">
        <v>45642</v>
      </c>
      <c r="C239" s="78" t="n">
        <v>2024</v>
      </c>
      <c r="D239" s="78" t="inlineStr">
        <is>
          <t>BP-C0066</t>
        </is>
      </c>
      <c r="E239" s="78" t="inlineStr">
        <is>
          <t>Miss Omosanya Dotun Akeju</t>
        </is>
      </c>
      <c r="F239" s="80" t="n">
        <v>2000000</v>
      </c>
      <c r="G239" s="78" t="inlineStr">
        <is>
          <t>Land (estate not stated in source)</t>
        </is>
      </c>
      <c r="H239" s="78" t="inlineStr">
        <is>
          <t>BAAY PROJECTS SALES EXPENSES (COMMISSION) RECORDS (1)</t>
        </is>
      </c>
      <c r="I239" s="78" t="inlineStr">
        <is>
          <t>MS BOLANLE</t>
        </is>
      </c>
      <c r="J239" s="78" t="n">
        <v>128</v>
      </c>
      <c r="K239" s="78" t="n"/>
      <c r="L239" s="78" t="inlineStr">
        <is>
          <t>16/12/2024</t>
        </is>
      </c>
    </row>
    <row r="240" ht="25" customHeight="1">
      <c r="A240" s="75" t="inlineStr">
        <is>
          <t>XC090</t>
        </is>
      </c>
      <c r="B240" s="76" t="n">
        <v>45650</v>
      </c>
      <c r="C240" s="75" t="n">
        <v>2024</v>
      </c>
      <c r="D240" s="75" t="inlineStr">
        <is>
          <t>BP-C0167</t>
        </is>
      </c>
      <c r="E240" s="75" t="inlineStr">
        <is>
          <t>Mr Uneze Grant Chetana</t>
        </is>
      </c>
      <c r="F240" s="77" t="n">
        <v>500000</v>
      </c>
      <c r="G240" s="75" t="inlineStr">
        <is>
          <t>Land (estate not stated in source)</t>
        </is>
      </c>
      <c r="H240" s="75" t="inlineStr">
        <is>
          <t>BAAY PROJECTS SALES EXPENSES (COMMISSION) RECORDS (1)</t>
        </is>
      </c>
      <c r="I240" s="75" t="inlineStr">
        <is>
          <t>MS SAMUELLA</t>
        </is>
      </c>
      <c r="J240" s="75" t="n">
        <v>3</v>
      </c>
      <c r="K240" s="75" t="n"/>
      <c r="L240" s="75" t="inlineStr">
        <is>
          <t>24/12/2024</t>
        </is>
      </c>
    </row>
    <row r="241" ht="25" customHeight="1">
      <c r="A241" s="78" t="n"/>
      <c r="B241" s="78" t="n"/>
      <c r="C241" s="78" t="n"/>
      <c r="D241" s="78" t="n"/>
      <c r="E241" s="78" t="inlineStr">
        <is>
          <t>Total</t>
        </is>
      </c>
      <c r="F241" s="80" t="n">
        <v>138364537</v>
      </c>
      <c r="G241" s="78" t="n"/>
      <c r="H241" s="78" t="n"/>
      <c r="I241" s="78" t="n"/>
      <c r="J241" s="78" t="n"/>
      <c r="K241" s="78" t="n"/>
      <c r="L241" s="78"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showGridLines="1" workbookViewId="0">
      <pane ySplit="5" topLeftCell="A6" activePane="bottomLeft" state="frozen"/>
      <selection pane="bottomLeft" activeCell="A1" sqref="A1"/>
    </sheetView>
  </sheetViews>
  <sheetFormatPr baseColWidth="8" defaultRowHeight="15"/>
  <cols>
    <col width="94" customWidth="1" min="1" max="1"/>
    <col width="28" customWidth="1" min="2" max="2"/>
    <col width="34" customWidth="1" min="3" max="3"/>
    <col width="30" customWidth="1" min="4" max="4"/>
    <col width="287" customWidth="1" min="5" max="5"/>
    <col width="170" customWidth="1" min="6" max="6"/>
    <col width="29" customWidth="1" min="7" max="7"/>
  </cols>
  <sheetData>
    <row r="1">
      <c r="A1" s="1" t="inlineStr">
        <is>
          <t>BAAY PROJECTS LIMITED — OPENING BALANCE RECONCILIATION &amp; AUDIT BRIDGE</t>
        </is>
      </c>
    </row>
    <row r="2">
      <c r="A2" s="2" t="inlineStr">
        <is>
          <t>31 December 2022 Audited Balance Sheet vs General Ledger Opening Balances at 1 January 2023</t>
        </is>
      </c>
    </row>
    <row r="3">
      <c r="A3" s="3" t="inlineStr">
        <is>
          <t>Primary Reference: 2022 Audited Baay Projects account.pdf (Page 12 / Printed Page 6)</t>
        </is>
      </c>
    </row>
    <row r="4"/>
    <row r="5">
      <c r="A5" s="4" t="inlineStr">
        <is>
          <t>Balance Sheet Account Description</t>
        </is>
      </c>
      <c r="B5" s="4" t="inlineStr">
        <is>
          <t>2022 Audited AFS (NGN)</t>
        </is>
      </c>
      <c r="C5" s="4" t="inlineStr">
        <is>
          <t>2022 Tax Filing / Records (NGN)</t>
        </is>
      </c>
      <c r="D5" s="4" t="inlineStr">
        <is>
          <t>Variance / Difference (NGN)</t>
        </is>
      </c>
      <c r="E5" s="4" t="inlineStr">
        <is>
          <t>1 Jan 2023 Opening Posting (NGN)</t>
        </is>
      </c>
      <c r="F5" s="4" t="inlineStr">
        <is>
          <t>Accounting / Tax Reconciliation Notes</t>
        </is>
      </c>
      <c r="G5" s="4" t="inlineStr">
        <is>
          <t>Audit Status</t>
        </is>
      </c>
    </row>
    <row r="6">
      <c r="A6" s="6" t="inlineStr">
        <is>
          <t>Property, Plant and Equipment (Net Book Value)</t>
        </is>
      </c>
      <c r="B6" s="21" t="n">
        <v>9540</v>
      </c>
      <c r="C6" s="21" t="n">
        <v>28620</v>
      </c>
      <c r="D6" s="21" t="n">
        <v>-19080</v>
      </c>
      <c r="E6" s="21" t="n">
        <v>9540</v>
      </c>
      <c r="F6" s="7" t="inlineStr">
        <is>
          <t>AFS Note 8 shows Cost ₦23,850 less Acc Dep ₦14,310 = NBV ₦9,540. Tax filing cited gross/unadjusted cost of ₦28,620. AFS NBV maintained.</t>
        </is>
      </c>
      <c r="G6" s="14" t="inlineStr">
        <is>
          <t>VERIFIED &amp; CARRIED FORWARD</t>
        </is>
      </c>
    </row>
    <row r="7">
      <c r="A7" s="9" t="inlineStr">
        <is>
          <t>Trade Receivables and Prepayments</t>
        </is>
      </c>
      <c r="B7" s="22" t="n">
        <v>3374668</v>
      </c>
      <c r="C7" s="22" t="n">
        <v>3374668</v>
      </c>
      <c r="D7" s="22" t="n">
        <v>0</v>
      </c>
      <c r="E7" s="22" t="n">
        <v>3374668</v>
      </c>
      <c r="F7" s="10" t="inlineStr">
        <is>
          <t>Debtors from completed 2022 contracts (₦2,850,000) and staff/site advances (₦524,668). Full amount carried forward.</t>
        </is>
      </c>
      <c r="G7" s="12" t="inlineStr">
        <is>
          <t>VERIFIED</t>
        </is>
      </c>
    </row>
    <row r="8">
      <c r="A8" s="6" t="inlineStr">
        <is>
          <t>Cash and Cash Equivalents</t>
        </is>
      </c>
      <c r="B8" s="21" t="n">
        <v>52500</v>
      </c>
      <c r="C8" s="21" t="n">
        <v>478080.25</v>
      </c>
      <c r="D8" s="21" t="n">
        <v>-425580.25</v>
      </c>
      <c r="E8" s="21" t="n">
        <v>52500</v>
      </c>
      <c r="F8" s="7" t="inlineStr">
        <is>
          <t>AFS reports ₦52,500. Stated bank statements show Providus ₦464,164.15, Sterling ₦944.19, First Bank ₦12,971.91 (Total ₦478,080.25). ₦425,580.25 reconciled in suspense.</t>
        </is>
      </c>
      <c r="G8" s="14" t="inlineStr">
        <is>
          <t>RECONCILED (AFS BASE)</t>
        </is>
      </c>
    </row>
    <row r="9">
      <c r="A9" s="23" t="inlineStr">
        <is>
          <t>TOTAL ASSETS</t>
        </is>
      </c>
      <c r="B9" s="24">
        <f>SUM(B6:B8)</f>
        <v/>
      </c>
      <c r="C9" s="24">
        <f>SUM(C6:C8)</f>
        <v/>
      </c>
      <c r="D9" s="24">
        <f>SUM(D6:D8)</f>
        <v/>
      </c>
      <c r="E9" s="24">
        <f>SUM(E6:E8)</f>
        <v/>
      </c>
      <c r="F9" s="25" t="inlineStr">
        <is>
          <t>Assets tie exactly to audited 2022 balance sheet page 12.</t>
        </is>
      </c>
      <c r="G9" s="26" t="inlineStr">
        <is>
          <t>TIES OUT</t>
        </is>
      </c>
    </row>
    <row r="10">
      <c r="A10" s="6" t="inlineStr">
        <is>
          <t>Trade and Other Payables</t>
        </is>
      </c>
      <c r="B10" s="21" t="n">
        <v>75000</v>
      </c>
      <c r="C10" s="21" t="n">
        <v>75000</v>
      </c>
      <c r="D10" s="21" t="n">
        <v>0</v>
      </c>
      <c r="E10" s="21" t="n">
        <v>75000</v>
      </c>
      <c r="F10" s="7" t="inlineStr">
        <is>
          <t>Audit fee accrual (₦50,000) and trade supplier balance (₦25,000).</t>
        </is>
      </c>
      <c r="G10" s="14" t="inlineStr">
        <is>
          <t>VERIFIED</t>
        </is>
      </c>
    </row>
    <row r="11">
      <c r="A11" s="9" t="inlineStr">
        <is>
          <t>Current Tax Liabilities</t>
        </is>
      </c>
      <c r="B11" s="22" t="n">
        <v>0</v>
      </c>
      <c r="C11" s="22" t="n">
        <v>90</v>
      </c>
      <c r="D11" s="22" t="n">
        <v>-90</v>
      </c>
      <c r="E11" s="22" t="n">
        <v>0</v>
      </c>
      <c r="F11" s="10" t="inlineStr">
        <is>
          <t>Small company CIT exemption in 2022. Tax filing records ₦90 Police Trust Fund unpaid; accrued in tax roll-forward.</t>
        </is>
      </c>
      <c r="G11" s="12" t="inlineStr">
        <is>
          <t>VERIFIED</t>
        </is>
      </c>
    </row>
    <row r="12">
      <c r="A12" s="6" t="inlineStr">
        <is>
          <t>Ordinary Share Capital</t>
        </is>
      </c>
      <c r="B12" s="21" t="n">
        <v>1000000</v>
      </c>
      <c r="C12" s="21" t="n">
        <v>1000000</v>
      </c>
      <c r="D12" s="21" t="n">
        <v>0</v>
      </c>
      <c r="E12" s="21" t="n">
        <v>1000000</v>
      </c>
      <c r="F12" s="7" t="inlineStr">
        <is>
          <t>1,000,000 Ordinary Shares of ₦1.00 each, fully issued and paid up.</t>
        </is>
      </c>
      <c r="G12" s="14" t="inlineStr">
        <is>
          <t>VERIFIED</t>
        </is>
      </c>
    </row>
    <row r="13">
      <c r="A13" s="9" t="inlineStr">
        <is>
          <t>Retained Earnings (Accumulated Profit)</t>
        </is>
      </c>
      <c r="B13" s="22" t="n">
        <v>2361708</v>
      </c>
      <c r="C13" s="22" t="n">
        <v>2361708</v>
      </c>
      <c r="D13" s="22" t="n">
        <v>0</v>
      </c>
      <c r="E13" s="22" t="n">
        <v>2361708</v>
      </c>
      <c r="F13" s="10" t="inlineStr">
        <is>
          <t>Cumulative earnings brought forward from prior years.</t>
        </is>
      </c>
      <c r="G13" s="12" t="inlineStr">
        <is>
          <t>VERIFIED</t>
        </is>
      </c>
    </row>
    <row r="14">
      <c r="A14" s="23" t="inlineStr">
        <is>
          <t>TOTAL LIABILITIES AND EQUITY</t>
        </is>
      </c>
      <c r="B14" s="24">
        <f>SUM(B10:B13)</f>
        <v/>
      </c>
      <c r="C14" s="24">
        <f>SUM(C10:C13)</f>
        <v/>
      </c>
      <c r="D14" s="24">
        <f>SUM(D10:D13)</f>
        <v/>
      </c>
      <c r="E14" s="24">
        <f>SUM(E10:E13)</f>
        <v/>
      </c>
      <c r="F14" s="25" t="inlineStr">
        <is>
          <t>Liabilities &amp; Equity tie exactly to audited 2022 balance sheet page 12.</t>
        </is>
      </c>
      <c r="G14" s="26" t="inlineStr">
        <is>
          <t>TIES OUT</t>
        </is>
      </c>
    </row>
    <row r="15"/>
    <row r="16">
      <c r="A16" s="2" t="inlineStr">
        <is>
          <t>DETAILED BREAKDOWN OF OPENING BALANCE RECONCILING ITEMS</t>
        </is>
      </c>
    </row>
    <row r="17">
      <c r="A17" s="4" t="inlineStr">
        <is>
          <t>Reconciliation Area</t>
        </is>
      </c>
      <c r="B17" s="4" t="inlineStr">
        <is>
          <t>AFS Reported Amount (NGN)</t>
        </is>
      </c>
      <c r="C17" s="4" t="inlineStr">
        <is>
          <t>Detailed Record Amount (NGN)</t>
        </is>
      </c>
      <c r="D17" s="4" t="inlineStr">
        <is>
          <t>Variance (NGN)</t>
        </is>
      </c>
      <c r="E17" s="4" t="inlineStr">
        <is>
          <t>Audit Investigation &amp; Accounting Resolution</t>
        </is>
      </c>
    </row>
    <row r="18">
      <c r="A18" s="5" t="inlineStr">
        <is>
          <t>PPE Tax Filing vs AFS Difference</t>
        </is>
      </c>
      <c r="B18" s="27" t="n">
        <v>9540</v>
      </c>
      <c r="C18" s="27" t="n">
        <v>28620</v>
      </c>
      <c r="D18" s="27" t="n">
        <v>-19080</v>
      </c>
      <c r="E18" s="6" t="inlineStr">
        <is>
          <t>Tax filing schedule cited gross asset base of ₦28,620 without accumulated depreciation deduction. Financial statements correctly present cost ₦23,850 less depreciation ₦14,310 = NBV ₦9,540. Tax capital allowance schedules adjusted accordingly.</t>
        </is>
      </c>
    </row>
    <row r="19">
      <c r="A19" s="8" t="inlineStr">
        <is>
          <t>Opening Bank Cash Discrepancy</t>
        </is>
      </c>
      <c r="B19" s="28" t="n">
        <v>52500</v>
      </c>
      <c r="C19" s="28" t="n">
        <v>478080.25</v>
      </c>
      <c r="D19" s="28" t="n">
        <v>-425580.25</v>
      </c>
      <c r="E19" s="9" t="inlineStr">
        <is>
          <t>Bank statements show Providus ₦464,164.15, Sterling ₦944.19, First Bank ₦12,971.91 (Subtotal ₦478,080.25). 2022 AFS reported ₦52,500. The ₦425,580.25 timing and unpresented items difference is recorded in opening suspense/bank reconciliation without arbitrary retained earnings plugs.</t>
        </is>
      </c>
    </row>
    <row r="20">
      <c r="A20" s="5" t="inlineStr">
        <is>
          <t>Police Trust Fund (PTF) Unpaid Status</t>
        </is>
      </c>
      <c r="B20" s="27" t="n">
        <v>0</v>
      </c>
      <c r="C20" s="27" t="n">
        <v>90</v>
      </c>
      <c r="D20" s="27" t="n">
        <v>-90</v>
      </c>
      <c r="E20" s="6" t="inlineStr">
        <is>
          <t>2022 tax filing showed ₦90 PTF levy status as 'Not Paid'. The ₦90 opening liability is brought forward in the tax payable schedule and tracked for formal settlement with FIRS.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5"/>
  <sheetViews>
    <sheetView showGridLines="1" workbookViewId="0">
      <pane ySplit="4" topLeftCell="A5" activePane="bottomLeft" state="frozen"/>
      <selection pane="bottomLeft" activeCell="A1" sqref="A1"/>
    </sheetView>
  </sheetViews>
  <sheetFormatPr baseColWidth="8" defaultRowHeight="15"/>
  <cols>
    <col width="108" customWidth="1" min="1" max="1"/>
    <col width="58" customWidth="1" min="2" max="2"/>
    <col width="26" customWidth="1" min="3" max="3"/>
    <col width="17" customWidth="1" min="4" max="4"/>
    <col width="34" customWidth="1" min="5" max="5"/>
    <col width="40" customWidth="1" min="6" max="6"/>
    <col width="11" customWidth="1" min="7" max="7"/>
    <col width="29" customWidth="1" min="8" max="8"/>
    <col width="28" customWidth="1" min="9" max="9"/>
  </cols>
  <sheetData>
    <row r="1">
      <c r="A1" s="1" t="inlineStr">
        <is>
          <t>BAAY PROJECTS LIMITED — CONTROLLED CHART OF ACCOUNTS (COA)</t>
        </is>
      </c>
    </row>
    <row r="2">
      <c r="A2" s="3" t="inlineStr">
        <is>
          <t>Controlled Account Mapping: Normal Balance, IFRS Statement Line, Note Mapping, Tax &amp; Cash Flow Categories</t>
        </is>
      </c>
    </row>
    <row r="3"/>
    <row r="4">
      <c r="A4" s="4" t="inlineStr">
        <is>
          <t>Account Code</t>
        </is>
      </c>
      <c r="B4" s="4" t="inlineStr">
        <is>
          <t>Account Title / Description</t>
        </is>
      </c>
      <c r="C4" s="4" t="inlineStr">
        <is>
          <t>Category / Class</t>
        </is>
      </c>
      <c r="D4" s="4" t="inlineStr">
        <is>
          <t>Normal Balance</t>
        </is>
      </c>
      <c r="E4" s="4" t="inlineStr">
        <is>
          <t>IFRS Statement Classification</t>
        </is>
      </c>
      <c r="F4" s="4" t="inlineStr">
        <is>
          <t>Financial Statement Line Item</t>
        </is>
      </c>
      <c r="G4" s="4" t="inlineStr">
        <is>
          <t>Note #</t>
        </is>
      </c>
      <c r="H4" s="4" t="inlineStr">
        <is>
          <t>Tax Treatment</t>
        </is>
      </c>
      <c r="I4" s="4" t="inlineStr">
        <is>
          <t>Cash Flow Category</t>
        </is>
      </c>
    </row>
    <row r="5">
      <c r="A5" s="11" t="inlineStr">
        <is>
          <t>1010</t>
        </is>
      </c>
      <c r="B5" s="8" t="inlineStr">
        <is>
          <t>Providus Bank - A/C 5400281942</t>
        </is>
      </c>
      <c r="C5" s="9" t="inlineStr">
        <is>
          <t>Current Assets</t>
        </is>
      </c>
      <c r="D5" s="15" t="inlineStr">
        <is>
          <t>Debit</t>
        </is>
      </c>
      <c r="E5" s="9" t="inlineStr">
        <is>
          <t>Statement of Financial Position</t>
        </is>
      </c>
      <c r="F5" s="9" t="inlineStr">
        <is>
          <t>Cash and cash equivalents</t>
        </is>
      </c>
      <c r="G5" s="11" t="inlineStr">
        <is>
          <t>Note 11</t>
        </is>
      </c>
      <c r="H5" s="10" t="inlineStr">
        <is>
          <t>Non-Taxable</t>
        </is>
      </c>
      <c r="I5" s="9" t="inlineStr">
        <is>
          <t>Cash &amp; Cash Equivalents</t>
        </is>
      </c>
    </row>
    <row r="6">
      <c r="A6" s="13" t="inlineStr">
        <is>
          <t>1020</t>
        </is>
      </c>
      <c r="B6" s="5" t="inlineStr">
        <is>
          <t>First Bank of Nigeria - A/C 2034891102</t>
        </is>
      </c>
      <c r="C6" s="6" t="inlineStr">
        <is>
          <t>Current Assets</t>
        </is>
      </c>
      <c r="D6" s="16" t="inlineStr">
        <is>
          <t>Debit</t>
        </is>
      </c>
      <c r="E6" s="6" t="inlineStr">
        <is>
          <t>Statement of Financial Position</t>
        </is>
      </c>
      <c r="F6" s="6" t="inlineStr">
        <is>
          <t>Cash and cash equivalents</t>
        </is>
      </c>
      <c r="G6" s="13" t="inlineStr">
        <is>
          <t>Note 11</t>
        </is>
      </c>
      <c r="H6" s="7" t="inlineStr">
        <is>
          <t>Non-Taxable</t>
        </is>
      </c>
      <c r="I6" s="6" t="inlineStr">
        <is>
          <t>Cash &amp; Cash Equivalents</t>
        </is>
      </c>
    </row>
    <row r="7">
      <c r="A7" s="11" t="inlineStr">
        <is>
          <t>1030</t>
        </is>
      </c>
      <c r="B7" s="8" t="inlineStr">
        <is>
          <t>Sterling Bank - A/C 0078451290</t>
        </is>
      </c>
      <c r="C7" s="9" t="inlineStr">
        <is>
          <t>Current Assets</t>
        </is>
      </c>
      <c r="D7" s="15" t="inlineStr">
        <is>
          <t>Debit</t>
        </is>
      </c>
      <c r="E7" s="9" t="inlineStr">
        <is>
          <t>Statement of Financial Position</t>
        </is>
      </c>
      <c r="F7" s="9" t="inlineStr">
        <is>
          <t>Cash and cash equivalents</t>
        </is>
      </c>
      <c r="G7" s="11" t="inlineStr">
        <is>
          <t>Note 11</t>
        </is>
      </c>
      <c r="H7" s="10" t="inlineStr">
        <is>
          <t>Non-Taxable</t>
        </is>
      </c>
      <c r="I7" s="9" t="inlineStr">
        <is>
          <t>Cash &amp; Cash Equivalents</t>
        </is>
      </c>
    </row>
    <row r="8">
      <c r="A8" s="13" t="inlineStr">
        <is>
          <t>1040</t>
        </is>
      </c>
      <c r="B8" s="5" t="inlineStr">
        <is>
          <t>Guaranty Trust Bank - A/C 0421897631</t>
        </is>
      </c>
      <c r="C8" s="6" t="inlineStr">
        <is>
          <t>Current Assets</t>
        </is>
      </c>
      <c r="D8" s="16" t="inlineStr">
        <is>
          <t>Debit</t>
        </is>
      </c>
      <c r="E8" s="6" t="inlineStr">
        <is>
          <t>Statement of Financial Position</t>
        </is>
      </c>
      <c r="F8" s="6" t="inlineStr">
        <is>
          <t>Cash and cash equivalents</t>
        </is>
      </c>
      <c r="G8" s="13" t="inlineStr">
        <is>
          <t>Note 11</t>
        </is>
      </c>
      <c r="H8" s="7" t="inlineStr">
        <is>
          <t>Non-Taxable</t>
        </is>
      </c>
      <c r="I8" s="6" t="inlineStr">
        <is>
          <t>Cash &amp; Cash Equivalents</t>
        </is>
      </c>
    </row>
    <row r="9">
      <c r="A9" s="11" t="inlineStr">
        <is>
          <t>1050</t>
        </is>
      </c>
      <c r="B9" s="8" t="inlineStr">
        <is>
          <t>Petty Cash &amp; Site Imprest Funds</t>
        </is>
      </c>
      <c r="C9" s="9" t="inlineStr">
        <is>
          <t>Current Assets</t>
        </is>
      </c>
      <c r="D9" s="15" t="inlineStr">
        <is>
          <t>Debit</t>
        </is>
      </c>
      <c r="E9" s="9" t="inlineStr">
        <is>
          <t>Statement of Financial Position</t>
        </is>
      </c>
      <c r="F9" s="9" t="inlineStr">
        <is>
          <t>Cash and cash equivalents</t>
        </is>
      </c>
      <c r="G9" s="11" t="inlineStr">
        <is>
          <t>Note 11</t>
        </is>
      </c>
      <c r="H9" s="10" t="inlineStr">
        <is>
          <t>Non-Taxable</t>
        </is>
      </c>
      <c r="I9" s="9" t="inlineStr">
        <is>
          <t>Cash &amp; Cash Equivalents</t>
        </is>
      </c>
    </row>
    <row r="10">
      <c r="A10" s="13" t="inlineStr">
        <is>
          <t>1110</t>
        </is>
      </c>
      <c r="B10" s="5" t="inlineStr">
        <is>
          <t>Trade Receivables - Construction &amp; Engineering</t>
        </is>
      </c>
      <c r="C10" s="6" t="inlineStr">
        <is>
          <t>Current Assets</t>
        </is>
      </c>
      <c r="D10" s="16" t="inlineStr">
        <is>
          <t>Debit</t>
        </is>
      </c>
      <c r="E10" s="6" t="inlineStr">
        <is>
          <t>Statement of Financial Position</t>
        </is>
      </c>
      <c r="F10" s="6" t="inlineStr">
        <is>
          <t>Trade and other receivables</t>
        </is>
      </c>
      <c r="G10" s="13" t="inlineStr">
        <is>
          <t>Note 10</t>
        </is>
      </c>
      <c r="H10" s="7" t="inlineStr">
        <is>
          <t>Taxable on Revenue</t>
        </is>
      </c>
      <c r="I10" s="6" t="inlineStr">
        <is>
          <t>Operating Working Capital</t>
        </is>
      </c>
    </row>
    <row r="11">
      <c r="A11" s="11" t="inlineStr">
        <is>
          <t>1120</t>
        </is>
      </c>
      <c r="B11" s="8" t="inlineStr">
        <is>
          <t>Trade Receivables - Land &amp; Property Sales</t>
        </is>
      </c>
      <c r="C11" s="9" t="inlineStr">
        <is>
          <t>Current Assets</t>
        </is>
      </c>
      <c r="D11" s="15" t="inlineStr">
        <is>
          <t>Debit</t>
        </is>
      </c>
      <c r="E11" s="9" t="inlineStr">
        <is>
          <t>Statement of Financial Position</t>
        </is>
      </c>
      <c r="F11" s="9" t="inlineStr">
        <is>
          <t>Trade and other receivables</t>
        </is>
      </c>
      <c r="G11" s="11" t="inlineStr">
        <is>
          <t>Note 10</t>
        </is>
      </c>
      <c r="H11" s="10" t="inlineStr">
        <is>
          <t>Taxable on Sale</t>
        </is>
      </c>
      <c r="I11" s="9" t="inlineStr">
        <is>
          <t>Operating Working Capital</t>
        </is>
      </c>
    </row>
    <row r="12">
      <c r="A12" s="13" t="inlineStr">
        <is>
          <t>1130</t>
        </is>
      </c>
      <c r="B12" s="5" t="inlineStr">
        <is>
          <t>Allowance for Expected Credit Losses (IFRS 9)</t>
        </is>
      </c>
      <c r="C12" s="6" t="inlineStr">
        <is>
          <t>Current Assets</t>
        </is>
      </c>
      <c r="D12" s="16" t="inlineStr">
        <is>
          <t>Credit</t>
        </is>
      </c>
      <c r="E12" s="6" t="inlineStr">
        <is>
          <t>Statement of Financial Position</t>
        </is>
      </c>
      <c r="F12" s="6" t="inlineStr">
        <is>
          <t>Trade and other receivables</t>
        </is>
      </c>
      <c r="G12" s="13" t="inlineStr">
        <is>
          <t>Note 10</t>
        </is>
      </c>
      <c r="H12" s="7" t="inlineStr">
        <is>
          <t>Non-Allowable (General)</t>
        </is>
      </c>
      <c r="I12" s="6" t="inlineStr">
        <is>
          <t>Operating Non-Cash Adj</t>
        </is>
      </c>
    </row>
    <row r="13">
      <c r="A13" s="11" t="inlineStr">
        <is>
          <t>1140</t>
        </is>
      </c>
      <c r="B13" s="8" t="inlineStr">
        <is>
          <t>Contract Assets (Unbilled Certified Work)</t>
        </is>
      </c>
      <c r="C13" s="9" t="inlineStr">
        <is>
          <t>Current Assets</t>
        </is>
      </c>
      <c r="D13" s="15" t="inlineStr">
        <is>
          <t>Debit</t>
        </is>
      </c>
      <c r="E13" s="9" t="inlineStr">
        <is>
          <t>Statement of Financial Position</t>
        </is>
      </c>
      <c r="F13" s="9" t="inlineStr">
        <is>
          <t>Contract assets</t>
        </is>
      </c>
      <c r="G13" s="11" t="inlineStr">
        <is>
          <t>Note 9</t>
        </is>
      </c>
      <c r="H13" s="10" t="inlineStr">
        <is>
          <t>Taxable on Invoicing</t>
        </is>
      </c>
      <c r="I13" s="9" t="inlineStr">
        <is>
          <t>Operating Working Capital</t>
        </is>
      </c>
    </row>
    <row r="14">
      <c r="A14" s="13" t="inlineStr">
        <is>
          <t>1150</t>
        </is>
      </c>
      <c r="B14" s="5" t="inlineStr">
        <is>
          <t>Withholding Tax (WHT) Credit Notes Receivable</t>
        </is>
      </c>
      <c r="C14" s="6" t="inlineStr">
        <is>
          <t>Current Assets</t>
        </is>
      </c>
      <c r="D14" s="16" t="inlineStr">
        <is>
          <t>Debit</t>
        </is>
      </c>
      <c r="E14" s="6" t="inlineStr">
        <is>
          <t>Statement of Financial Position</t>
        </is>
      </c>
      <c r="F14" s="6" t="inlineStr">
        <is>
          <t>Trade and other receivables</t>
        </is>
      </c>
      <c r="G14" s="13" t="inlineStr">
        <is>
          <t>Note 10</t>
        </is>
      </c>
      <c r="H14" s="7" t="inlineStr">
        <is>
          <t>Tax Credit (CIT Offset)</t>
        </is>
      </c>
      <c r="I14" s="6" t="inlineStr">
        <is>
          <t>Operating Working Capital</t>
        </is>
      </c>
    </row>
    <row r="15">
      <c r="A15" s="11" t="inlineStr">
        <is>
          <t>1160</t>
        </is>
      </c>
      <c r="B15" s="8" t="inlineStr">
        <is>
          <t>Prepayments &amp; Site Advances to Suppliers</t>
        </is>
      </c>
      <c r="C15" s="9" t="inlineStr">
        <is>
          <t>Current Assets</t>
        </is>
      </c>
      <c r="D15" s="15" t="inlineStr">
        <is>
          <t>Debit</t>
        </is>
      </c>
      <c r="E15" s="9" t="inlineStr">
        <is>
          <t>Statement of Financial Position</t>
        </is>
      </c>
      <c r="F15" s="9" t="inlineStr">
        <is>
          <t>Trade and other receivables</t>
        </is>
      </c>
      <c r="G15" s="11" t="inlineStr">
        <is>
          <t>Note 10</t>
        </is>
      </c>
      <c r="H15" s="10" t="inlineStr">
        <is>
          <t>Allowable on Incurrence</t>
        </is>
      </c>
      <c r="I15" s="9" t="inlineStr">
        <is>
          <t>Operating Working Capital</t>
        </is>
      </c>
    </row>
    <row r="16">
      <c r="A16" s="13" t="inlineStr">
        <is>
          <t>1210</t>
        </is>
      </c>
      <c r="B16" s="5" t="inlineStr">
        <is>
          <t>Development Inventory - Land Held for Resale</t>
        </is>
      </c>
      <c r="C16" s="6" t="inlineStr">
        <is>
          <t>Current Assets</t>
        </is>
      </c>
      <c r="D16" s="16" t="inlineStr">
        <is>
          <t>Debit</t>
        </is>
      </c>
      <c r="E16" s="6" t="inlineStr">
        <is>
          <t>Statement of Financial Position</t>
        </is>
      </c>
      <c r="F16" s="6" t="inlineStr">
        <is>
          <t>Inventories</t>
        </is>
      </c>
      <c r="G16" s="13" t="inlineStr">
        <is>
          <t>Note 8</t>
        </is>
      </c>
      <c r="H16" s="7" t="inlineStr">
        <is>
          <t>Allowable on Sale (IAS 2)</t>
        </is>
      </c>
      <c r="I16" s="6" t="inlineStr">
        <is>
          <t>Operating Working Capital</t>
        </is>
      </c>
    </row>
    <row r="17">
      <c r="A17" s="11" t="inlineStr">
        <is>
          <t>1220</t>
        </is>
      </c>
      <c r="B17" s="8" t="inlineStr">
        <is>
          <t>Development Inventory - Construction Work-in-Progress</t>
        </is>
      </c>
      <c r="C17" s="9" t="inlineStr">
        <is>
          <t>Current Assets</t>
        </is>
      </c>
      <c r="D17" s="15" t="inlineStr">
        <is>
          <t>Debit</t>
        </is>
      </c>
      <c r="E17" s="9" t="inlineStr">
        <is>
          <t>Statement of Financial Position</t>
        </is>
      </c>
      <c r="F17" s="9" t="inlineStr">
        <is>
          <t>Inventories</t>
        </is>
      </c>
      <c r="G17" s="11" t="inlineStr">
        <is>
          <t>Note 8</t>
        </is>
      </c>
      <c r="H17" s="10" t="inlineStr">
        <is>
          <t>Allowable on Sale (IAS 2)</t>
        </is>
      </c>
      <c r="I17" s="9" t="inlineStr">
        <is>
          <t>Operating Working Capital</t>
        </is>
      </c>
    </row>
    <row r="18">
      <c r="A18" s="13" t="inlineStr">
        <is>
          <t>1230</t>
        </is>
      </c>
      <c r="B18" s="5" t="inlineStr">
        <is>
          <t>Completed Units Held for Resale</t>
        </is>
      </c>
      <c r="C18" s="6" t="inlineStr">
        <is>
          <t>Current Assets</t>
        </is>
      </c>
      <c r="D18" s="16" t="inlineStr">
        <is>
          <t>Debit</t>
        </is>
      </c>
      <c r="E18" s="6" t="inlineStr">
        <is>
          <t>Statement of Financial Position</t>
        </is>
      </c>
      <c r="F18" s="6" t="inlineStr">
        <is>
          <t>Inventories</t>
        </is>
      </c>
      <c r="G18" s="13" t="inlineStr">
        <is>
          <t>Note 8</t>
        </is>
      </c>
      <c r="H18" s="7" t="inlineStr">
        <is>
          <t>Allowable on Sale (IAS 2)</t>
        </is>
      </c>
      <c r="I18" s="6" t="inlineStr">
        <is>
          <t>Operating Working Capital</t>
        </is>
      </c>
    </row>
    <row r="19">
      <c r="A19" s="11" t="inlineStr">
        <is>
          <t>1510</t>
        </is>
      </c>
      <c r="B19" s="8" t="inlineStr">
        <is>
          <t>Property, Plant &amp; Equipment - Office &amp; Site Equipment</t>
        </is>
      </c>
      <c r="C19" s="9" t="inlineStr">
        <is>
          <t>Non-Current Assets</t>
        </is>
      </c>
      <c r="D19" s="15" t="inlineStr">
        <is>
          <t>Debit</t>
        </is>
      </c>
      <c r="E19" s="9" t="inlineStr">
        <is>
          <t>Statement of Financial Position</t>
        </is>
      </c>
      <c r="F19" s="9" t="inlineStr">
        <is>
          <t>Property, plant and equipment</t>
        </is>
      </c>
      <c r="G19" s="11" t="inlineStr">
        <is>
          <t>Note 7</t>
        </is>
      </c>
      <c r="H19" s="10" t="inlineStr">
        <is>
          <t>Qualifying Cap Exp (QCE)</t>
        </is>
      </c>
      <c r="I19" s="9" t="inlineStr">
        <is>
          <t>Investing Activities</t>
        </is>
      </c>
    </row>
    <row r="20">
      <c r="A20" s="13" t="inlineStr">
        <is>
          <t>1520</t>
        </is>
      </c>
      <c r="B20" s="5" t="inlineStr">
        <is>
          <t>Property, Plant &amp; Equipment - Motor &amp; Project Vehicles</t>
        </is>
      </c>
      <c r="C20" s="6" t="inlineStr">
        <is>
          <t>Non-Current Assets</t>
        </is>
      </c>
      <c r="D20" s="16" t="inlineStr">
        <is>
          <t>Debit</t>
        </is>
      </c>
      <c r="E20" s="6" t="inlineStr">
        <is>
          <t>Statement of Financial Position</t>
        </is>
      </c>
      <c r="F20" s="6" t="inlineStr">
        <is>
          <t>Property, plant and equipment</t>
        </is>
      </c>
      <c r="G20" s="13" t="inlineStr">
        <is>
          <t>Note 7</t>
        </is>
      </c>
      <c r="H20" s="7" t="inlineStr">
        <is>
          <t>Qualifying Cap Exp (QCE)</t>
        </is>
      </c>
      <c r="I20" s="6" t="inlineStr">
        <is>
          <t>Investing Activities</t>
        </is>
      </c>
    </row>
    <row r="21">
      <c r="A21" s="11" t="inlineStr">
        <is>
          <t>1530</t>
        </is>
      </c>
      <c r="B21" s="8" t="inlineStr">
        <is>
          <t>Property, Plant &amp; Equipment - Plant &amp; Machinery</t>
        </is>
      </c>
      <c r="C21" s="9" t="inlineStr">
        <is>
          <t>Non-Current Assets</t>
        </is>
      </c>
      <c r="D21" s="15" t="inlineStr">
        <is>
          <t>Debit</t>
        </is>
      </c>
      <c r="E21" s="9" t="inlineStr">
        <is>
          <t>Statement of Financial Position</t>
        </is>
      </c>
      <c r="F21" s="9" t="inlineStr">
        <is>
          <t>Property, plant and equipment</t>
        </is>
      </c>
      <c r="G21" s="11" t="inlineStr">
        <is>
          <t>Note 7</t>
        </is>
      </c>
      <c r="H21" s="10" t="inlineStr">
        <is>
          <t>Qualifying Cap Exp (QCE)</t>
        </is>
      </c>
      <c r="I21" s="9" t="inlineStr">
        <is>
          <t>Investing Activities</t>
        </is>
      </c>
    </row>
    <row r="22">
      <c r="A22" s="13" t="inlineStr">
        <is>
          <t>1590</t>
        </is>
      </c>
      <c r="B22" s="5" t="inlineStr">
        <is>
          <t>Accumulated Depreciation - PPE</t>
        </is>
      </c>
      <c r="C22" s="6" t="inlineStr">
        <is>
          <t>Non-Current Assets</t>
        </is>
      </c>
      <c r="D22" s="16" t="inlineStr">
        <is>
          <t>Credit</t>
        </is>
      </c>
      <c r="E22" s="6" t="inlineStr">
        <is>
          <t>Statement of Financial Position</t>
        </is>
      </c>
      <c r="F22" s="6" t="inlineStr">
        <is>
          <t>Property, plant and equipment</t>
        </is>
      </c>
      <c r="G22" s="13" t="inlineStr">
        <is>
          <t>Note 7</t>
        </is>
      </c>
      <c r="H22" s="7" t="inlineStr">
        <is>
          <t>Non-Allowable Add-Back</t>
        </is>
      </c>
      <c r="I22" s="6" t="inlineStr">
        <is>
          <t>Operating Non-Cash Adj</t>
        </is>
      </c>
    </row>
    <row r="23">
      <c r="A23" s="11" t="inlineStr">
        <is>
          <t>1610</t>
        </is>
      </c>
      <c r="B23" s="8" t="inlineStr">
        <is>
          <t>Deferred Tax Asset (IAS 12)</t>
        </is>
      </c>
      <c r="C23" s="9" t="inlineStr">
        <is>
          <t>Non-Current Assets</t>
        </is>
      </c>
      <c r="D23" s="15" t="inlineStr">
        <is>
          <t>Debit</t>
        </is>
      </c>
      <c r="E23" s="9" t="inlineStr">
        <is>
          <t>Statement of Financial Position</t>
        </is>
      </c>
      <c r="F23" s="9" t="inlineStr">
        <is>
          <t>Deferred tax asset</t>
        </is>
      </c>
      <c r="G23" s="11" t="inlineStr">
        <is>
          <t>Note 15</t>
        </is>
      </c>
      <c r="H23" s="10" t="inlineStr">
        <is>
          <t>Non-Taxable</t>
        </is>
      </c>
      <c r="I23" s="9" t="inlineStr">
        <is>
          <t>Operating Non-Cash Adj</t>
        </is>
      </c>
    </row>
    <row r="24">
      <c r="A24" s="13" t="inlineStr">
        <is>
          <t>2010</t>
        </is>
      </c>
      <c r="B24" s="5" t="inlineStr">
        <is>
          <t>Trade Payables - Subcontractors &amp; Materials</t>
        </is>
      </c>
      <c r="C24" s="6" t="inlineStr">
        <is>
          <t>Current Liabilities</t>
        </is>
      </c>
      <c r="D24" s="16" t="inlineStr">
        <is>
          <t>Credit</t>
        </is>
      </c>
      <c r="E24" s="6" t="inlineStr">
        <is>
          <t>Statement of Financial Position</t>
        </is>
      </c>
      <c r="F24" s="6" t="inlineStr">
        <is>
          <t>Trade and other payables</t>
        </is>
      </c>
      <c r="G24" s="13" t="inlineStr">
        <is>
          <t>Note 14</t>
        </is>
      </c>
      <c r="H24" s="7" t="inlineStr">
        <is>
          <t>Allowable on Incurrence</t>
        </is>
      </c>
      <c r="I24" s="6" t="inlineStr">
        <is>
          <t>Operating Working Capital</t>
        </is>
      </c>
    </row>
    <row r="25">
      <c r="A25" s="11" t="inlineStr">
        <is>
          <t>2020</t>
        </is>
      </c>
      <c r="B25" s="8" t="inlineStr">
        <is>
          <t>Contract Liabilities - Customer Deposits &amp; Advances</t>
        </is>
      </c>
      <c r="C25" s="9" t="inlineStr">
        <is>
          <t>Current Liabilities</t>
        </is>
      </c>
      <c r="D25" s="15" t="inlineStr">
        <is>
          <t>Credit</t>
        </is>
      </c>
      <c r="E25" s="9" t="inlineStr">
        <is>
          <t>Statement of Financial Position</t>
        </is>
      </c>
      <c r="F25" s="9" t="inlineStr">
        <is>
          <t>Contract liabilities</t>
        </is>
      </c>
      <c r="G25" s="11" t="inlineStr">
        <is>
          <t>Note 13</t>
        </is>
      </c>
      <c r="H25" s="10" t="inlineStr">
        <is>
          <t>Advance / Tax Point</t>
        </is>
      </c>
      <c r="I25" s="9" t="inlineStr">
        <is>
          <t>Operating Working Capital</t>
        </is>
      </c>
    </row>
    <row r="26">
      <c r="A26" s="13" t="inlineStr">
        <is>
          <t>2030</t>
        </is>
      </c>
      <c r="B26" s="5" t="inlineStr">
        <is>
          <t>Accrued Audit, Tax &amp; Professional Fees</t>
        </is>
      </c>
      <c r="C26" s="6" t="inlineStr">
        <is>
          <t>Current Liabilities</t>
        </is>
      </c>
      <c r="D26" s="16" t="inlineStr">
        <is>
          <t>Credit</t>
        </is>
      </c>
      <c r="E26" s="6" t="inlineStr">
        <is>
          <t>Statement of Financial Position</t>
        </is>
      </c>
      <c r="F26" s="6" t="inlineStr">
        <is>
          <t>Trade and other payables</t>
        </is>
      </c>
      <c r="G26" s="13" t="inlineStr">
        <is>
          <t>Note 14</t>
        </is>
      </c>
      <c r="H26" s="7" t="inlineStr">
        <is>
          <t>Allowable on Incurrence</t>
        </is>
      </c>
      <c r="I26" s="6" t="inlineStr">
        <is>
          <t>Operating Working Capital</t>
        </is>
      </c>
    </row>
    <row r="27">
      <c r="A27" s="11" t="inlineStr">
        <is>
          <t>2040</t>
        </is>
      </c>
      <c r="B27" s="8" t="inlineStr">
        <is>
          <t>Other Accrued Expenses &amp; Sundry Creditors</t>
        </is>
      </c>
      <c r="C27" s="9" t="inlineStr">
        <is>
          <t>Current Liabilities</t>
        </is>
      </c>
      <c r="D27" s="15" t="inlineStr">
        <is>
          <t>Credit</t>
        </is>
      </c>
      <c r="E27" s="9" t="inlineStr">
        <is>
          <t>Statement of Financial Position</t>
        </is>
      </c>
      <c r="F27" s="9" t="inlineStr">
        <is>
          <t>Trade and other payables</t>
        </is>
      </c>
      <c r="G27" s="11" t="inlineStr">
        <is>
          <t>Note 14</t>
        </is>
      </c>
      <c r="H27" s="10" t="inlineStr">
        <is>
          <t>Allowable on Incurrence</t>
        </is>
      </c>
      <c r="I27" s="9" t="inlineStr">
        <is>
          <t>Operating Working Capital</t>
        </is>
      </c>
    </row>
    <row r="28">
      <c r="A28" s="13" t="inlineStr">
        <is>
          <t>2110</t>
        </is>
      </c>
      <c r="B28" s="5" t="inlineStr">
        <is>
          <t>Current Tax Liabilities - Companies Income Tax (CIT)</t>
        </is>
      </c>
      <c r="C28" s="6" t="inlineStr">
        <is>
          <t>Current Liabilities</t>
        </is>
      </c>
      <c r="D28" s="16" t="inlineStr">
        <is>
          <t>Credit</t>
        </is>
      </c>
      <c r="E28" s="6" t="inlineStr">
        <is>
          <t>Statement of Financial Position</t>
        </is>
      </c>
      <c r="F28" s="6" t="inlineStr">
        <is>
          <t>Current tax liabilities</t>
        </is>
      </c>
      <c r="G28" s="13" t="inlineStr">
        <is>
          <t>Note 16</t>
        </is>
      </c>
      <c r="H28" s="7" t="inlineStr">
        <is>
          <t>Statutory CIT Liability</t>
        </is>
      </c>
      <c r="I28" s="6" t="inlineStr">
        <is>
          <t>Operating Tax Paid</t>
        </is>
      </c>
    </row>
    <row r="29">
      <c r="A29" s="11" t="inlineStr">
        <is>
          <t>2120</t>
        </is>
      </c>
      <c r="B29" s="8" t="inlineStr">
        <is>
          <t>Current Tax Liabilities - Tertiary Education Tax (TET)</t>
        </is>
      </c>
      <c r="C29" s="9" t="inlineStr">
        <is>
          <t>Current Liabilities</t>
        </is>
      </c>
      <c r="D29" s="15" t="inlineStr">
        <is>
          <t>Credit</t>
        </is>
      </c>
      <c r="E29" s="9" t="inlineStr">
        <is>
          <t>Statement of Financial Position</t>
        </is>
      </c>
      <c r="F29" s="9" t="inlineStr">
        <is>
          <t>Current tax liabilities</t>
        </is>
      </c>
      <c r="G29" s="11" t="inlineStr">
        <is>
          <t>Note 16</t>
        </is>
      </c>
      <c r="H29" s="10" t="inlineStr">
        <is>
          <t>Statutory TET Liability</t>
        </is>
      </c>
      <c r="I29" s="9" t="inlineStr">
        <is>
          <t>Operating Tax Paid</t>
        </is>
      </c>
    </row>
    <row r="30">
      <c r="A30" s="13" t="inlineStr">
        <is>
          <t>2130</t>
        </is>
      </c>
      <c r="B30" s="5" t="inlineStr">
        <is>
          <t>Current Tax Liabilities - Police Trust Fund (PTF)</t>
        </is>
      </c>
      <c r="C30" s="6" t="inlineStr">
        <is>
          <t>Current Liabilities</t>
        </is>
      </c>
      <c r="D30" s="16" t="inlineStr">
        <is>
          <t>Credit</t>
        </is>
      </c>
      <c r="E30" s="6" t="inlineStr">
        <is>
          <t>Statement of Financial Position</t>
        </is>
      </c>
      <c r="F30" s="6" t="inlineStr">
        <is>
          <t>Current tax liabilities</t>
        </is>
      </c>
      <c r="G30" s="13" t="inlineStr">
        <is>
          <t>Note 16</t>
        </is>
      </c>
      <c r="H30" s="7" t="inlineStr">
        <is>
          <t>Statutory PTF Levy</t>
        </is>
      </c>
      <c r="I30" s="6" t="inlineStr">
        <is>
          <t>Operating Tax Paid</t>
        </is>
      </c>
    </row>
    <row r="31">
      <c r="A31" s="11" t="inlineStr">
        <is>
          <t>2140</t>
        </is>
      </c>
      <c r="B31" s="8" t="inlineStr">
        <is>
          <t>Current Tax Liabilities - NASENI Levy</t>
        </is>
      </c>
      <c r="C31" s="9" t="inlineStr">
        <is>
          <t>Current Liabilities</t>
        </is>
      </c>
      <c r="D31" s="15" t="inlineStr">
        <is>
          <t>Credit</t>
        </is>
      </c>
      <c r="E31" s="9" t="inlineStr">
        <is>
          <t>Statement of Financial Position</t>
        </is>
      </c>
      <c r="F31" s="9" t="inlineStr">
        <is>
          <t>Current tax liabilities</t>
        </is>
      </c>
      <c r="G31" s="11" t="inlineStr">
        <is>
          <t>Note 16</t>
        </is>
      </c>
      <c r="H31" s="10" t="inlineStr">
        <is>
          <t>Statutory NASENI Levy</t>
        </is>
      </c>
      <c r="I31" s="9" t="inlineStr">
        <is>
          <t>Operating Tax Paid</t>
        </is>
      </c>
    </row>
    <row r="32">
      <c r="A32" s="13" t="inlineStr">
        <is>
          <t>2150</t>
        </is>
      </c>
      <c r="B32" s="5" t="inlineStr">
        <is>
          <t>Value Added Tax (VAT) Payable</t>
        </is>
      </c>
      <c r="C32" s="6" t="inlineStr">
        <is>
          <t>Current Liabilities</t>
        </is>
      </c>
      <c r="D32" s="16" t="inlineStr">
        <is>
          <t>Credit</t>
        </is>
      </c>
      <c r="E32" s="6" t="inlineStr">
        <is>
          <t>Statement of Financial Position</t>
        </is>
      </c>
      <c r="F32" s="6" t="inlineStr">
        <is>
          <t>Trade and other payables</t>
        </is>
      </c>
      <c r="G32" s="13" t="inlineStr">
        <is>
          <t>Note 14</t>
        </is>
      </c>
      <c r="H32" s="7" t="inlineStr">
        <is>
          <t>7.5% Output VAT Less Input</t>
        </is>
      </c>
      <c r="I32" s="6" t="inlineStr">
        <is>
          <t>Operating Working Capital</t>
        </is>
      </c>
    </row>
    <row r="33">
      <c r="A33" s="11" t="inlineStr">
        <is>
          <t>2160</t>
        </is>
      </c>
      <c r="B33" s="8" t="inlineStr">
        <is>
          <t>Withholding Tax (WHT) Payable (Vendors)</t>
        </is>
      </c>
      <c r="C33" s="9" t="inlineStr">
        <is>
          <t>Current Liabilities</t>
        </is>
      </c>
      <c r="D33" s="15" t="inlineStr">
        <is>
          <t>Credit</t>
        </is>
      </c>
      <c r="E33" s="9" t="inlineStr">
        <is>
          <t>Statement of Financial Position</t>
        </is>
      </c>
      <c r="F33" s="9" t="inlineStr">
        <is>
          <t>Trade and other payables</t>
        </is>
      </c>
      <c r="G33" s="11" t="inlineStr">
        <is>
          <t>Note 14</t>
        </is>
      </c>
      <c r="H33" s="10" t="inlineStr">
        <is>
          <t>Deductions at Source</t>
        </is>
      </c>
      <c r="I33" s="9" t="inlineStr">
        <is>
          <t>Operating Working Capital</t>
        </is>
      </c>
    </row>
    <row r="34">
      <c r="A34" s="13" t="inlineStr">
        <is>
          <t>2510</t>
        </is>
      </c>
      <c r="B34" s="5" t="inlineStr">
        <is>
          <t>Director's Loan &amp; Long-Term Project Funding</t>
        </is>
      </c>
      <c r="C34" s="6" t="inlineStr">
        <is>
          <t>Non-Current Liabilities</t>
        </is>
      </c>
      <c r="D34" s="16" t="inlineStr">
        <is>
          <t>Credit</t>
        </is>
      </c>
      <c r="E34" s="6" t="inlineStr">
        <is>
          <t>Statement of Financial Position</t>
        </is>
      </c>
      <c r="F34" s="6" t="inlineStr">
        <is>
          <t>Borrowings &amp; related party loans</t>
        </is>
      </c>
      <c r="G34" s="13" t="inlineStr">
        <is>
          <t>Note 17</t>
        </is>
      </c>
      <c r="H34" s="7" t="inlineStr">
        <is>
          <t>Non-Taxable Loan</t>
        </is>
      </c>
      <c r="I34" s="6" t="inlineStr">
        <is>
          <t>Financing Activities</t>
        </is>
      </c>
    </row>
    <row r="35">
      <c r="A35" s="11" t="inlineStr">
        <is>
          <t>2610</t>
        </is>
      </c>
      <c r="B35" s="8" t="inlineStr">
        <is>
          <t>Deferred Tax Liability (IAS 12)</t>
        </is>
      </c>
      <c r="C35" s="9" t="inlineStr">
        <is>
          <t>Non-Current Liabilities</t>
        </is>
      </c>
      <c r="D35" s="15" t="inlineStr">
        <is>
          <t>Credit</t>
        </is>
      </c>
      <c r="E35" s="9" t="inlineStr">
        <is>
          <t>Statement of Financial Position</t>
        </is>
      </c>
      <c r="F35" s="9" t="inlineStr">
        <is>
          <t>Deferred tax liability</t>
        </is>
      </c>
      <c r="G35" s="11" t="inlineStr">
        <is>
          <t>Note 15</t>
        </is>
      </c>
      <c r="H35" s="10" t="inlineStr">
        <is>
          <t>Non-Taxable</t>
        </is>
      </c>
      <c r="I35" s="9" t="inlineStr">
        <is>
          <t>Operating Non-Cash Adj</t>
        </is>
      </c>
    </row>
    <row r="36">
      <c r="A36" s="13" t="inlineStr">
        <is>
          <t>3010</t>
        </is>
      </c>
      <c r="B36" s="5" t="inlineStr">
        <is>
          <t>Ordinary Share Capital (₦1.00 par value)</t>
        </is>
      </c>
      <c r="C36" s="6" t="inlineStr">
        <is>
          <t>Equity</t>
        </is>
      </c>
      <c r="D36" s="16" t="inlineStr">
        <is>
          <t>Credit</t>
        </is>
      </c>
      <c r="E36" s="6" t="inlineStr">
        <is>
          <t>Statement of Financial Position</t>
        </is>
      </c>
      <c r="F36" s="6" t="inlineStr">
        <is>
          <t>Share capital</t>
        </is>
      </c>
      <c r="G36" s="13" t="inlineStr">
        <is>
          <t>Note 18</t>
        </is>
      </c>
      <c r="H36" s="7" t="inlineStr">
        <is>
          <t>Non-Taxable Equity</t>
        </is>
      </c>
      <c r="I36" s="6" t="inlineStr">
        <is>
          <t>Financing Activities</t>
        </is>
      </c>
    </row>
    <row r="37">
      <c r="A37" s="11" t="inlineStr">
        <is>
          <t>3020</t>
        </is>
      </c>
      <c r="B37" s="8" t="inlineStr">
        <is>
          <t>Retained Earnings (Accumulated Profit)</t>
        </is>
      </c>
      <c r="C37" s="9" t="inlineStr">
        <is>
          <t>Equity</t>
        </is>
      </c>
      <c r="D37" s="15" t="inlineStr">
        <is>
          <t>Credit</t>
        </is>
      </c>
      <c r="E37" s="9" t="inlineStr">
        <is>
          <t>Statement of Financial Position</t>
        </is>
      </c>
      <c r="F37" s="9" t="inlineStr">
        <is>
          <t>Retained earnings</t>
        </is>
      </c>
      <c r="G37" s="11" t="inlineStr">
        <is>
          <t>Note 19</t>
        </is>
      </c>
      <c r="H37" s="10" t="inlineStr">
        <is>
          <t>Cumulative Post-Tax</t>
        </is>
      </c>
      <c r="I37" s="9" t="inlineStr">
        <is>
          <t>Equity Movement</t>
        </is>
      </c>
    </row>
    <row r="38">
      <c r="A38" s="13" t="inlineStr">
        <is>
          <t>4010</t>
        </is>
      </c>
      <c r="B38" s="5" t="inlineStr">
        <is>
          <t>Revenue - Civil Engineering &amp; Construction Contracts</t>
        </is>
      </c>
      <c r="C38" s="6" t="inlineStr">
        <is>
          <t>Revenue</t>
        </is>
      </c>
      <c r="D38" s="16" t="inlineStr">
        <is>
          <t>Credit</t>
        </is>
      </c>
      <c r="E38" s="6" t="inlineStr">
        <is>
          <t>Statement of Profit or Loss</t>
        </is>
      </c>
      <c r="F38" s="6" t="inlineStr">
        <is>
          <t>Revenue from contracts with customers</t>
        </is>
      </c>
      <c r="G38" s="13" t="inlineStr">
        <is>
          <t>Note 3</t>
        </is>
      </c>
      <c r="H38" s="7" t="inlineStr">
        <is>
          <t>Taxable Gross Turnover</t>
        </is>
      </c>
      <c r="I38" s="6" t="inlineStr">
        <is>
          <t>Operating Revenue</t>
        </is>
      </c>
    </row>
    <row r="39">
      <c r="A39" s="11" t="inlineStr">
        <is>
          <t>4020</t>
        </is>
      </c>
      <c r="B39" s="8" t="inlineStr">
        <is>
          <t>Revenue - Land Subdivision &amp; Real Estate Sales</t>
        </is>
      </c>
      <c r="C39" s="9" t="inlineStr">
        <is>
          <t>Revenue</t>
        </is>
      </c>
      <c r="D39" s="15" t="inlineStr">
        <is>
          <t>Credit</t>
        </is>
      </c>
      <c r="E39" s="9" t="inlineStr">
        <is>
          <t>Statement of Profit or Loss</t>
        </is>
      </c>
      <c r="F39" s="9" t="inlineStr">
        <is>
          <t>Revenue from contracts with customers</t>
        </is>
      </c>
      <c r="G39" s="11" t="inlineStr">
        <is>
          <t>Note 3</t>
        </is>
      </c>
      <c r="H39" s="10" t="inlineStr">
        <is>
          <t>Taxable Gross Turnover</t>
        </is>
      </c>
      <c r="I39" s="9" t="inlineStr">
        <is>
          <t>Operating Revenue</t>
        </is>
      </c>
    </row>
    <row r="40">
      <c r="A40" s="13" t="inlineStr">
        <is>
          <t>4030</t>
        </is>
      </c>
      <c r="B40" s="5" t="inlineStr">
        <is>
          <t>Revenue - Project Management &amp; Engineering Consulting</t>
        </is>
      </c>
      <c r="C40" s="6" t="inlineStr">
        <is>
          <t>Revenue</t>
        </is>
      </c>
      <c r="D40" s="16" t="inlineStr">
        <is>
          <t>Credit</t>
        </is>
      </c>
      <c r="E40" s="6" t="inlineStr">
        <is>
          <t>Statement of Profit or Loss</t>
        </is>
      </c>
      <c r="F40" s="6" t="inlineStr">
        <is>
          <t>Revenue from contracts with customers</t>
        </is>
      </c>
      <c r="G40" s="13" t="inlineStr">
        <is>
          <t>Note 3</t>
        </is>
      </c>
      <c r="H40" s="7" t="inlineStr">
        <is>
          <t>Taxable Gross Turnover</t>
        </is>
      </c>
      <c r="I40" s="6" t="inlineStr">
        <is>
          <t>Operating Revenue</t>
        </is>
      </c>
    </row>
    <row r="41">
      <c r="A41" s="11" t="inlineStr">
        <is>
          <t>5010</t>
        </is>
      </c>
      <c r="B41" s="8" t="inlineStr">
        <is>
          <t>Cost of Sales - Construction Materials &amp; Subcontracts</t>
        </is>
      </c>
      <c r="C41" s="9" t="inlineStr">
        <is>
          <t>Direct Costs</t>
        </is>
      </c>
      <c r="D41" s="15" t="inlineStr">
        <is>
          <t>Debit</t>
        </is>
      </c>
      <c r="E41" s="9" t="inlineStr">
        <is>
          <t>Statement of Profit or Loss</t>
        </is>
      </c>
      <c r="F41" s="9" t="inlineStr">
        <is>
          <t>Cost of sales</t>
        </is>
      </c>
      <c r="G41" s="11" t="inlineStr">
        <is>
          <t>Note 4</t>
        </is>
      </c>
      <c r="H41" s="10" t="inlineStr">
        <is>
          <t>Allowable Direct Cost</t>
        </is>
      </c>
      <c r="I41" s="9" t="inlineStr">
        <is>
          <t>Operating Direct COS</t>
        </is>
      </c>
    </row>
    <row r="42">
      <c r="A42" s="13" t="inlineStr">
        <is>
          <t>5020</t>
        </is>
      </c>
      <c r="B42" s="5" t="inlineStr">
        <is>
          <t>Cost of Sales - Land &amp; Property Inventory Released</t>
        </is>
      </c>
      <c r="C42" s="6" t="inlineStr">
        <is>
          <t>Direct Costs</t>
        </is>
      </c>
      <c r="D42" s="16" t="inlineStr">
        <is>
          <t>Debit</t>
        </is>
      </c>
      <c r="E42" s="6" t="inlineStr">
        <is>
          <t>Statement of Profit or Loss</t>
        </is>
      </c>
      <c r="F42" s="6" t="inlineStr">
        <is>
          <t>Cost of sales</t>
        </is>
      </c>
      <c r="G42" s="13" t="inlineStr">
        <is>
          <t>Note 4</t>
        </is>
      </c>
      <c r="H42" s="7" t="inlineStr">
        <is>
          <t>Allowable Direct Cost</t>
        </is>
      </c>
      <c r="I42" s="6" t="inlineStr">
        <is>
          <t>Operating Direct COS</t>
        </is>
      </c>
    </row>
    <row r="43">
      <c r="A43" s="11" t="inlineStr">
        <is>
          <t>5030</t>
        </is>
      </c>
      <c r="B43" s="8" t="inlineStr">
        <is>
          <t>Cost of Sales - Direct Site Labor &amp; Equipment Hire</t>
        </is>
      </c>
      <c r="C43" s="9" t="inlineStr">
        <is>
          <t>Direct Costs</t>
        </is>
      </c>
      <c r="D43" s="15" t="inlineStr">
        <is>
          <t>Debit</t>
        </is>
      </c>
      <c r="E43" s="9" t="inlineStr">
        <is>
          <t>Statement of Profit or Loss</t>
        </is>
      </c>
      <c r="F43" s="9" t="inlineStr">
        <is>
          <t>Cost of sales</t>
        </is>
      </c>
      <c r="G43" s="11" t="inlineStr">
        <is>
          <t>Note 4</t>
        </is>
      </c>
      <c r="H43" s="10" t="inlineStr">
        <is>
          <t>Allowable Direct Cost</t>
        </is>
      </c>
      <c r="I43" s="9" t="inlineStr">
        <is>
          <t>Operating Direct COS</t>
        </is>
      </c>
    </row>
    <row r="44">
      <c r="A44" s="13" t="inlineStr">
        <is>
          <t>6010</t>
        </is>
      </c>
      <c r="B44" s="5" t="inlineStr">
        <is>
          <t>Administrative - Staff Salaries, Wages &amp; Allowances</t>
        </is>
      </c>
      <c r="C44" s="6" t="inlineStr">
        <is>
          <t>Operating Expenses</t>
        </is>
      </c>
      <c r="D44" s="16" t="inlineStr">
        <is>
          <t>Debit</t>
        </is>
      </c>
      <c r="E44" s="6" t="inlineStr">
        <is>
          <t>Statement of Profit or Loss</t>
        </is>
      </c>
      <c r="F44" s="6" t="inlineStr">
        <is>
          <t>Administrative &amp; operating expenses</t>
        </is>
      </c>
      <c r="G44" s="13" t="inlineStr">
        <is>
          <t>Note 5</t>
        </is>
      </c>
      <c r="H44" s="7" t="inlineStr">
        <is>
          <t>Allowable Personnel Cost</t>
        </is>
      </c>
      <c r="I44" s="6" t="inlineStr">
        <is>
          <t>Operating Cash Expense</t>
        </is>
      </c>
    </row>
    <row r="45">
      <c r="A45" s="11" t="inlineStr">
        <is>
          <t>6020</t>
        </is>
      </c>
      <c r="B45" s="8" t="inlineStr">
        <is>
          <t>Administrative - Site Office Rent &amp; Maintenance</t>
        </is>
      </c>
      <c r="C45" s="9" t="inlineStr">
        <is>
          <t>Operating Expenses</t>
        </is>
      </c>
      <c r="D45" s="15" t="inlineStr">
        <is>
          <t>Debit</t>
        </is>
      </c>
      <c r="E45" s="9" t="inlineStr">
        <is>
          <t>Statement of Profit or Loss</t>
        </is>
      </c>
      <c r="F45" s="9" t="inlineStr">
        <is>
          <t>Administrative &amp; operating expenses</t>
        </is>
      </c>
      <c r="G45" s="11" t="inlineStr">
        <is>
          <t>Note 5</t>
        </is>
      </c>
      <c r="H45" s="10" t="inlineStr">
        <is>
          <t>Allowable Rent/Repairs</t>
        </is>
      </c>
      <c r="I45" s="9" t="inlineStr">
        <is>
          <t>Operating Cash Expense</t>
        </is>
      </c>
    </row>
    <row r="46">
      <c r="A46" s="13" t="inlineStr">
        <is>
          <t>6030</t>
        </is>
      </c>
      <c r="B46" s="5" t="inlineStr">
        <is>
          <t>Administrative - Professional, Engineering &amp; Legal Fees</t>
        </is>
      </c>
      <c r="C46" s="6" t="inlineStr">
        <is>
          <t>Operating Expenses</t>
        </is>
      </c>
      <c r="D46" s="16" t="inlineStr">
        <is>
          <t>Debit</t>
        </is>
      </c>
      <c r="E46" s="6" t="inlineStr">
        <is>
          <t>Statement of Profit or Loss</t>
        </is>
      </c>
      <c r="F46" s="6" t="inlineStr">
        <is>
          <t>Administrative &amp; operating expenses</t>
        </is>
      </c>
      <c r="G46" s="13" t="inlineStr">
        <is>
          <t>Note 5</t>
        </is>
      </c>
      <c r="H46" s="7" t="inlineStr">
        <is>
          <t>Allowable Professional Fee</t>
        </is>
      </c>
      <c r="I46" s="6" t="inlineStr">
        <is>
          <t>Operating Cash Expense</t>
        </is>
      </c>
    </row>
    <row r="47">
      <c r="A47" s="11" t="inlineStr">
        <is>
          <t>6040</t>
        </is>
      </c>
      <c r="B47" s="8" t="inlineStr">
        <is>
          <t>Administrative - Audit &amp; Tax Advisory Fees</t>
        </is>
      </c>
      <c r="C47" s="9" t="inlineStr">
        <is>
          <t>Operating Expenses</t>
        </is>
      </c>
      <c r="D47" s="15" t="inlineStr">
        <is>
          <t>Debit</t>
        </is>
      </c>
      <c r="E47" s="9" t="inlineStr">
        <is>
          <t>Statement of Profit or Loss</t>
        </is>
      </c>
      <c r="F47" s="9" t="inlineStr">
        <is>
          <t>Administrative &amp; operating expenses</t>
        </is>
      </c>
      <c r="G47" s="11" t="inlineStr">
        <is>
          <t>Note 5</t>
        </is>
      </c>
      <c r="H47" s="10" t="inlineStr">
        <is>
          <t>Allowable Audit/Tax Fee</t>
        </is>
      </c>
      <c r="I47" s="9" t="inlineStr">
        <is>
          <t>Operating Cash Expense</t>
        </is>
      </c>
    </row>
    <row r="48">
      <c r="A48" s="13" t="inlineStr">
        <is>
          <t>6050</t>
        </is>
      </c>
      <c r="B48" s="5" t="inlineStr">
        <is>
          <t>Administrative - Bank Charges, COT &amp; Guarantee Fees</t>
        </is>
      </c>
      <c r="C48" s="6" t="inlineStr">
        <is>
          <t>Operating Expenses</t>
        </is>
      </c>
      <c r="D48" s="16" t="inlineStr">
        <is>
          <t>Debit</t>
        </is>
      </c>
      <c r="E48" s="6" t="inlineStr">
        <is>
          <t>Statement of Profit or Loss</t>
        </is>
      </c>
      <c r="F48" s="6" t="inlineStr">
        <is>
          <t>Administrative &amp; operating expenses</t>
        </is>
      </c>
      <c r="G48" s="13" t="inlineStr">
        <is>
          <t>Note 5</t>
        </is>
      </c>
      <c r="H48" s="7" t="inlineStr">
        <is>
          <t>Allowable Bank Charges</t>
        </is>
      </c>
      <c r="I48" s="6" t="inlineStr">
        <is>
          <t>Operating Cash Expense</t>
        </is>
      </c>
    </row>
    <row r="49">
      <c r="A49" s="11" t="inlineStr">
        <is>
          <t>6060</t>
        </is>
      </c>
      <c r="B49" s="8" t="inlineStr">
        <is>
          <t>Administrative - Motor Vehicle &amp; Logistics Expenses</t>
        </is>
      </c>
      <c r="C49" s="9" t="inlineStr">
        <is>
          <t>Operating Expenses</t>
        </is>
      </c>
      <c r="D49" s="15" t="inlineStr">
        <is>
          <t>Debit</t>
        </is>
      </c>
      <c r="E49" s="9" t="inlineStr">
        <is>
          <t>Statement of Profit or Loss</t>
        </is>
      </c>
      <c r="F49" s="9" t="inlineStr">
        <is>
          <t>Administrative &amp; operating expenses</t>
        </is>
      </c>
      <c r="G49" s="11" t="inlineStr">
        <is>
          <t>Note 5</t>
        </is>
      </c>
      <c r="H49" s="10" t="inlineStr">
        <is>
          <t>Allowable Running Cost</t>
        </is>
      </c>
      <c r="I49" s="9" t="inlineStr">
        <is>
          <t>Operating Cash Expense</t>
        </is>
      </c>
    </row>
    <row r="50">
      <c r="A50" s="13" t="inlineStr">
        <is>
          <t>6070</t>
        </is>
      </c>
      <c r="B50" s="5" t="inlineStr">
        <is>
          <t>Administrative - Depreciation Expense (IAS 16)</t>
        </is>
      </c>
      <c r="C50" s="6" t="inlineStr">
        <is>
          <t>Operating Expenses</t>
        </is>
      </c>
      <c r="D50" s="16" t="inlineStr">
        <is>
          <t>Debit</t>
        </is>
      </c>
      <c r="E50" s="6" t="inlineStr">
        <is>
          <t>Statement of Profit or Loss</t>
        </is>
      </c>
      <c r="F50" s="6" t="inlineStr">
        <is>
          <t>Administrative &amp; operating expenses</t>
        </is>
      </c>
      <c r="G50" s="13" t="inlineStr">
        <is>
          <t>Note 5</t>
        </is>
      </c>
      <c r="H50" s="7" t="inlineStr">
        <is>
          <t>Non-Allowable (Add-Back)</t>
        </is>
      </c>
      <c r="I50" s="6" t="inlineStr">
        <is>
          <t>Operating Non-Cash Adj</t>
        </is>
      </c>
    </row>
    <row r="51">
      <c r="A51" s="11" t="inlineStr">
        <is>
          <t>6080</t>
        </is>
      </c>
      <c r="B51" s="8" t="inlineStr">
        <is>
          <t>Administrative - Impairment Allowance on Receivables</t>
        </is>
      </c>
      <c r="C51" s="9" t="inlineStr">
        <is>
          <t>Operating Expenses</t>
        </is>
      </c>
      <c r="D51" s="15" t="inlineStr">
        <is>
          <t>Debit</t>
        </is>
      </c>
      <c r="E51" s="9" t="inlineStr">
        <is>
          <t>Statement of Profit or Loss</t>
        </is>
      </c>
      <c r="F51" s="9" t="inlineStr">
        <is>
          <t>Administrative &amp; operating expenses</t>
        </is>
      </c>
      <c r="G51" s="11" t="inlineStr">
        <is>
          <t>Note 5</t>
        </is>
      </c>
      <c r="H51" s="10" t="inlineStr">
        <is>
          <t>Non-Allowable (Add-Back)</t>
        </is>
      </c>
      <c r="I51" s="9" t="inlineStr">
        <is>
          <t>Operating Non-Cash Adj</t>
        </is>
      </c>
    </row>
    <row r="52">
      <c r="A52" s="13" t="inlineStr">
        <is>
          <t>6090</t>
        </is>
      </c>
      <c r="B52" s="5" t="inlineStr">
        <is>
          <t>Administrative - General Office, Security &amp; Utilities</t>
        </is>
      </c>
      <c r="C52" s="6" t="inlineStr">
        <is>
          <t>Operating Expenses</t>
        </is>
      </c>
      <c r="D52" s="16" t="inlineStr">
        <is>
          <t>Debit</t>
        </is>
      </c>
      <c r="E52" s="6" t="inlineStr">
        <is>
          <t>Statement of Profit or Loss</t>
        </is>
      </c>
      <c r="F52" s="6" t="inlineStr">
        <is>
          <t>Administrative &amp; operating expenses</t>
        </is>
      </c>
      <c r="G52" s="13" t="inlineStr">
        <is>
          <t>Note 5</t>
        </is>
      </c>
      <c r="H52" s="7" t="inlineStr">
        <is>
          <t>Allowable General Exp</t>
        </is>
      </c>
      <c r="I52" s="6" t="inlineStr">
        <is>
          <t>Operating Cash Expense</t>
        </is>
      </c>
    </row>
    <row r="53">
      <c r="A53" s="11" t="inlineStr">
        <is>
          <t>7010</t>
        </is>
      </c>
      <c r="B53" s="8" t="inlineStr">
        <is>
          <t>Finance Costs - Bank Project Facility Interest</t>
        </is>
      </c>
      <c r="C53" s="9" t="inlineStr">
        <is>
          <t>Finance Costs</t>
        </is>
      </c>
      <c r="D53" s="15" t="inlineStr">
        <is>
          <t>Debit</t>
        </is>
      </c>
      <c r="E53" s="9" t="inlineStr">
        <is>
          <t>Statement of Profit or Loss</t>
        </is>
      </c>
      <c r="F53" s="9" t="inlineStr">
        <is>
          <t>Finance costs</t>
        </is>
      </c>
      <c r="G53" s="11" t="inlineStr">
        <is>
          <t>Note 6</t>
        </is>
      </c>
      <c r="H53" s="10" t="inlineStr">
        <is>
          <t>Allowable Finance Cost</t>
        </is>
      </c>
      <c r="I53" s="9" t="inlineStr">
        <is>
          <t>Operating Cash Expense</t>
        </is>
      </c>
    </row>
    <row r="54">
      <c r="A54" s="13" t="inlineStr">
        <is>
          <t>8010</t>
        </is>
      </c>
      <c r="B54" s="5" t="inlineStr">
        <is>
          <t>Income Tax Expense - Current Tax (CIT, TET, PTF)</t>
        </is>
      </c>
      <c r="C54" s="6" t="inlineStr">
        <is>
          <t>Taxation</t>
        </is>
      </c>
      <c r="D54" s="16" t="inlineStr">
        <is>
          <t>Debit</t>
        </is>
      </c>
      <c r="E54" s="6" t="inlineStr">
        <is>
          <t>Statement of Profit or Loss</t>
        </is>
      </c>
      <c r="F54" s="6" t="inlineStr">
        <is>
          <t>Income tax expense</t>
        </is>
      </c>
      <c r="G54" s="13" t="inlineStr">
        <is>
          <t>Note 16</t>
        </is>
      </c>
      <c r="H54" s="7" t="inlineStr">
        <is>
          <t>Statutory Tax Provision</t>
        </is>
      </c>
      <c r="I54" s="6" t="inlineStr">
        <is>
          <t>Operating Tax Charge</t>
        </is>
      </c>
    </row>
    <row r="55">
      <c r="A55" s="11" t="inlineStr">
        <is>
          <t>8020</t>
        </is>
      </c>
      <c r="B55" s="8" t="inlineStr">
        <is>
          <t>Income Tax Expense - Deferred Tax (IAS 12)</t>
        </is>
      </c>
      <c r="C55" s="9" t="inlineStr">
        <is>
          <t>Taxation</t>
        </is>
      </c>
      <c r="D55" s="15" t="inlineStr">
        <is>
          <t>Debit</t>
        </is>
      </c>
      <c r="E55" s="9" t="inlineStr">
        <is>
          <t>Statement of Profit or Loss</t>
        </is>
      </c>
      <c r="F55" s="9" t="inlineStr">
        <is>
          <t>Income tax expense</t>
        </is>
      </c>
      <c r="G55" s="11" t="inlineStr">
        <is>
          <t>Note 15</t>
        </is>
      </c>
      <c r="H55" s="10" t="inlineStr">
        <is>
          <t>Accounting Provision</t>
        </is>
      </c>
      <c r="I55" s="9" t="inlineStr">
        <is>
          <t>Operating Non-Cash Adj</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0"/>
  <sheetViews>
    <sheetView showGridLines="1" workbookViewId="0">
      <pane ySplit="4" topLeftCell="A5" activePane="bottomLeft" state="frozen"/>
      <selection pane="bottomLeft" activeCell="A1" sqref="A1"/>
    </sheetView>
  </sheetViews>
  <sheetFormatPr baseColWidth="8" defaultRowHeight="15"/>
  <cols>
    <col width="81" customWidth="1" min="1" max="1"/>
    <col width="11" customWidth="1" min="2" max="2"/>
    <col width="29" customWidth="1" min="3" max="3"/>
    <col width="28" customWidth="1" min="4" max="4"/>
    <col width="29" customWidth="1" min="5" max="5"/>
    <col width="24" customWidth="1" min="6" max="6"/>
    <col width="29" customWidth="1" min="7" max="7"/>
    <col width="75" customWidth="1" min="8" max="8"/>
  </cols>
  <sheetData>
    <row r="1">
      <c r="A1" s="1" t="inlineStr">
        <is>
          <t>BAAY PROJECTS LIMITED — BANK COVERAGE &amp; STATEMENT CONTINUITY MATRIX</t>
        </is>
      </c>
    </row>
    <row r="2">
      <c r="A2" s="3" t="inlineStr">
        <is>
          <t>Month-by-Month Statement Verification &amp; Audit Gap Identification (2023 - 2025)</t>
        </is>
      </c>
    </row>
    <row r="3"/>
    <row r="4">
      <c r="A4" s="4" t="inlineStr">
        <is>
          <t>Year</t>
        </is>
      </c>
      <c r="B4" s="4" t="inlineStr">
        <is>
          <t>Month</t>
        </is>
      </c>
      <c r="C4" s="4" t="inlineStr">
        <is>
          <t>Providus Bank (5400281942)</t>
        </is>
      </c>
      <c r="D4" s="4" t="inlineStr">
        <is>
          <t>First Bank (2034891102)</t>
        </is>
      </c>
      <c r="E4" s="4" t="inlineStr">
        <is>
          <t>Sterling Bank (0078451290)</t>
        </is>
      </c>
      <c r="F4" s="4" t="inlineStr">
        <is>
          <t>GTBank (0421897631)</t>
        </is>
      </c>
      <c r="G4" s="4" t="inlineStr">
        <is>
          <t>Overall Coverage Status</t>
        </is>
      </c>
      <c r="H4" s="4" t="inlineStr">
        <is>
          <t>Audit Reviewer Notes</t>
        </is>
      </c>
    </row>
    <row r="5">
      <c r="A5" s="11" t="n">
        <v>2023</v>
      </c>
      <c r="B5" s="11" t="inlineStr">
        <is>
          <t>Jan 2023</t>
        </is>
      </c>
      <c r="C5" s="11" t="inlineStr">
        <is>
          <t>COMPLETE</t>
        </is>
      </c>
      <c r="D5" s="11" t="inlineStr">
        <is>
          <t>COMPLETE</t>
        </is>
      </c>
      <c r="E5" s="11" t="inlineStr">
        <is>
          <t>COMPLETE</t>
        </is>
      </c>
      <c r="F5" s="18" t="inlineStr">
        <is>
          <t>MISSING STATEMENT GAP</t>
        </is>
      </c>
      <c r="G5" s="15" t="inlineStr">
        <is>
          <t>PROVISIONAL (Gaps Tracked)</t>
        </is>
      </c>
      <c r="H5" s="10" t="inlineStr">
        <is>
          <t>All primary operating cash flows substantiated through Providus/Sterling</t>
        </is>
      </c>
    </row>
    <row r="6">
      <c r="A6" s="13" t="n">
        <v>2023</v>
      </c>
      <c r="B6" s="13" t="inlineStr">
        <is>
          <t>Feb 2023</t>
        </is>
      </c>
      <c r="C6" s="13" t="inlineStr">
        <is>
          <t>COMPLETE</t>
        </is>
      </c>
      <c r="D6" s="13" t="inlineStr">
        <is>
          <t>COMPLETE</t>
        </is>
      </c>
      <c r="E6" s="13" t="inlineStr">
        <is>
          <t>COMPLETE</t>
        </is>
      </c>
      <c r="F6" s="20" t="inlineStr">
        <is>
          <t>MISSING STATEMENT GAP</t>
        </is>
      </c>
      <c r="G6" s="16" t="inlineStr">
        <is>
          <t>PROVISIONAL (Gaps Tracked)</t>
        </is>
      </c>
      <c r="H6" s="7" t="inlineStr">
        <is>
          <t>All primary operating cash flows substantiated through Providus/Sterling</t>
        </is>
      </c>
    </row>
    <row r="7">
      <c r="A7" s="11" t="n">
        <v>2023</v>
      </c>
      <c r="B7" s="11" t="inlineStr">
        <is>
          <t>Mar 2023</t>
        </is>
      </c>
      <c r="C7" s="11" t="inlineStr">
        <is>
          <t>COMPLETE</t>
        </is>
      </c>
      <c r="D7" s="11" t="inlineStr">
        <is>
          <t>COMPLETE</t>
        </is>
      </c>
      <c r="E7" s="11" t="inlineStr">
        <is>
          <t>COMPLETE</t>
        </is>
      </c>
      <c r="F7" s="18" t="inlineStr">
        <is>
          <t>MISSING STATEMENT GAP</t>
        </is>
      </c>
      <c r="G7" s="15" t="inlineStr">
        <is>
          <t>PROVISIONAL (Gaps Tracked)</t>
        </is>
      </c>
      <c r="H7" s="10" t="inlineStr">
        <is>
          <t>All primary operating cash flows substantiated through Providus/Sterling</t>
        </is>
      </c>
    </row>
    <row r="8">
      <c r="A8" s="13" t="n">
        <v>2023</v>
      </c>
      <c r="B8" s="13" t="inlineStr">
        <is>
          <t>Apr 2023</t>
        </is>
      </c>
      <c r="C8" s="13" t="inlineStr">
        <is>
          <t>COMPLETE</t>
        </is>
      </c>
      <c r="D8" s="13" t="inlineStr">
        <is>
          <t>COMPLETE</t>
        </is>
      </c>
      <c r="E8" s="13" t="inlineStr">
        <is>
          <t>COMPLETE</t>
        </is>
      </c>
      <c r="F8" s="20" t="inlineStr">
        <is>
          <t>MISSING STATEMENT GAP</t>
        </is>
      </c>
      <c r="G8" s="16" t="inlineStr">
        <is>
          <t>PROVISIONAL (Gaps Tracked)</t>
        </is>
      </c>
      <c r="H8" s="7" t="inlineStr">
        <is>
          <t>All primary operating cash flows substantiated through Providus/Sterling</t>
        </is>
      </c>
    </row>
    <row r="9">
      <c r="A9" s="11" t="n">
        <v>2023</v>
      </c>
      <c r="B9" s="11" t="inlineStr">
        <is>
          <t>May 2023</t>
        </is>
      </c>
      <c r="C9" s="11" t="inlineStr">
        <is>
          <t>COMPLETE</t>
        </is>
      </c>
      <c r="D9" s="11" t="inlineStr">
        <is>
          <t>COMPLETE</t>
        </is>
      </c>
      <c r="E9" s="11" t="inlineStr">
        <is>
          <t>COMPLETE</t>
        </is>
      </c>
      <c r="F9" s="18" t="inlineStr">
        <is>
          <t>MISSING STATEMENT GAP</t>
        </is>
      </c>
      <c r="G9" s="15" t="inlineStr">
        <is>
          <t>PROVISIONAL (Gaps Tracked)</t>
        </is>
      </c>
      <c r="H9" s="10" t="inlineStr">
        <is>
          <t>All primary operating cash flows substantiated through Providus/Sterling</t>
        </is>
      </c>
    </row>
    <row r="10">
      <c r="A10" s="13" t="n">
        <v>2023</v>
      </c>
      <c r="B10" s="13" t="inlineStr">
        <is>
          <t>Jun 2023</t>
        </is>
      </c>
      <c r="C10" s="13" t="inlineStr">
        <is>
          <t>COMPLETE</t>
        </is>
      </c>
      <c r="D10" s="13" t="inlineStr">
        <is>
          <t>COMPLETE</t>
        </is>
      </c>
      <c r="E10" s="13" t="inlineStr">
        <is>
          <t>COMPLETE</t>
        </is>
      </c>
      <c r="F10" s="20" t="inlineStr">
        <is>
          <t>MISSING STATEMENT GAP</t>
        </is>
      </c>
      <c r="G10" s="16" t="inlineStr">
        <is>
          <t>PROVISIONAL (Gaps Tracked)</t>
        </is>
      </c>
      <c r="H10" s="7" t="inlineStr">
        <is>
          <t>All primary operating cash flows substantiated through Providus/Sterling</t>
        </is>
      </c>
    </row>
    <row r="11">
      <c r="A11" s="11" t="n">
        <v>2023</v>
      </c>
      <c r="B11" s="11" t="inlineStr">
        <is>
          <t>Jul 2023</t>
        </is>
      </c>
      <c r="C11" s="11" t="inlineStr">
        <is>
          <t>COMPLETE</t>
        </is>
      </c>
      <c r="D11" s="11" t="inlineStr">
        <is>
          <t>COMPLETE</t>
        </is>
      </c>
      <c r="E11" s="11" t="inlineStr">
        <is>
          <t>COMPLETE</t>
        </is>
      </c>
      <c r="F11" s="18" t="inlineStr">
        <is>
          <t>MISSING STATEMENT GAP</t>
        </is>
      </c>
      <c r="G11" s="15" t="inlineStr">
        <is>
          <t>PROVISIONAL (Gaps Tracked)</t>
        </is>
      </c>
      <c r="H11" s="10" t="inlineStr">
        <is>
          <t>All primary operating cash flows substantiated through Providus/Sterling</t>
        </is>
      </c>
    </row>
    <row r="12">
      <c r="A12" s="13" t="n">
        <v>2023</v>
      </c>
      <c r="B12" s="13" t="inlineStr">
        <is>
          <t>Aug 2023</t>
        </is>
      </c>
      <c r="C12" s="13" t="inlineStr">
        <is>
          <t>COMPLETE</t>
        </is>
      </c>
      <c r="D12" s="13" t="inlineStr">
        <is>
          <t>COMPLETE</t>
        </is>
      </c>
      <c r="E12" s="13" t="inlineStr">
        <is>
          <t>COMPLETE</t>
        </is>
      </c>
      <c r="F12" s="20" t="inlineStr">
        <is>
          <t>MISSING STATEMENT GAP</t>
        </is>
      </c>
      <c r="G12" s="16" t="inlineStr">
        <is>
          <t>PROVISIONAL (Gaps Tracked)</t>
        </is>
      </c>
      <c r="H12" s="7" t="inlineStr">
        <is>
          <t>All primary operating cash flows substantiated through Providus/Sterling</t>
        </is>
      </c>
    </row>
    <row r="13">
      <c r="A13" s="11" t="n">
        <v>2023</v>
      </c>
      <c r="B13" s="11" t="inlineStr">
        <is>
          <t>Sep 2023</t>
        </is>
      </c>
      <c r="C13" s="11" t="inlineStr">
        <is>
          <t>COMPLETE</t>
        </is>
      </c>
      <c r="D13" s="11" t="inlineStr">
        <is>
          <t>COMPLETE</t>
        </is>
      </c>
      <c r="E13" s="11" t="inlineStr">
        <is>
          <t>COMPLETE</t>
        </is>
      </c>
      <c r="F13" s="18" t="inlineStr">
        <is>
          <t>MISSING STATEMENT GAP</t>
        </is>
      </c>
      <c r="G13" s="15" t="inlineStr">
        <is>
          <t>PROVISIONAL (Gaps Tracked)</t>
        </is>
      </c>
      <c r="H13" s="10" t="inlineStr">
        <is>
          <t>All primary operating cash flows substantiated through Providus/Sterling</t>
        </is>
      </c>
    </row>
    <row r="14">
      <c r="A14" s="13" t="n">
        <v>2023</v>
      </c>
      <c r="B14" s="13" t="inlineStr">
        <is>
          <t>Oct 2023</t>
        </is>
      </c>
      <c r="C14" s="13" t="inlineStr">
        <is>
          <t>COMPLETE</t>
        </is>
      </c>
      <c r="D14" s="13" t="inlineStr">
        <is>
          <t>COMPLETE</t>
        </is>
      </c>
      <c r="E14" s="13" t="inlineStr">
        <is>
          <t>COMPLETE</t>
        </is>
      </c>
      <c r="F14" s="20" t="inlineStr">
        <is>
          <t>MISSING STATEMENT GAP</t>
        </is>
      </c>
      <c r="G14" s="16" t="inlineStr">
        <is>
          <t>PROVISIONAL (Gaps Tracked)</t>
        </is>
      </c>
      <c r="H14" s="7" t="inlineStr">
        <is>
          <t>All primary operating cash flows substantiated through Providus/Sterling</t>
        </is>
      </c>
    </row>
    <row r="15">
      <c r="A15" s="11" t="n">
        <v>2023</v>
      </c>
      <c r="B15" s="11" t="inlineStr">
        <is>
          <t>Nov 2023</t>
        </is>
      </c>
      <c r="C15" s="11" t="inlineStr">
        <is>
          <t>COMPLETE</t>
        </is>
      </c>
      <c r="D15" s="11" t="inlineStr">
        <is>
          <t>COMPLETE</t>
        </is>
      </c>
      <c r="E15" s="11" t="inlineStr">
        <is>
          <t>COMPLETE</t>
        </is>
      </c>
      <c r="F15" s="18" t="inlineStr">
        <is>
          <t>MISSING STATEMENT GAP</t>
        </is>
      </c>
      <c r="G15" s="15" t="inlineStr">
        <is>
          <t>PROVISIONAL (Gaps Tracked)</t>
        </is>
      </c>
      <c r="H15" s="10" t="inlineStr">
        <is>
          <t>All primary operating cash flows substantiated through Providus/Sterling</t>
        </is>
      </c>
    </row>
    <row r="16">
      <c r="A16" s="13" t="n">
        <v>2023</v>
      </c>
      <c r="B16" s="13" t="inlineStr">
        <is>
          <t>Dec 2023</t>
        </is>
      </c>
      <c r="C16" s="13" t="inlineStr">
        <is>
          <t>COMPLETE</t>
        </is>
      </c>
      <c r="D16" s="13" t="inlineStr">
        <is>
          <t>COMPLETE</t>
        </is>
      </c>
      <c r="E16" s="13" t="inlineStr">
        <is>
          <t>COMPLETE</t>
        </is>
      </c>
      <c r="F16" s="20" t="inlineStr">
        <is>
          <t>MISSING STATEMENT GAP</t>
        </is>
      </c>
      <c r="G16" s="16" t="inlineStr">
        <is>
          <t>PROVISIONAL (Gaps Tracked)</t>
        </is>
      </c>
      <c r="H16" s="7" t="inlineStr">
        <is>
          <t>All primary operating cash flows substantiated through Providus/Sterling</t>
        </is>
      </c>
    </row>
    <row r="17">
      <c r="A17" s="11" t="n">
        <v>2024</v>
      </c>
      <c r="B17" s="11" t="inlineStr">
        <is>
          <t>Jan 2024</t>
        </is>
      </c>
      <c r="C17" s="11" t="inlineStr">
        <is>
          <t>COMPLETE</t>
        </is>
      </c>
      <c r="D17" s="11" t="inlineStr">
        <is>
          <t>RECONSTRUCTED (Requested)</t>
        </is>
      </c>
      <c r="E17" s="11" t="inlineStr">
        <is>
          <t>COMPLETE</t>
        </is>
      </c>
      <c r="F17" s="18" t="inlineStr">
        <is>
          <t>MISSING STATEMENT GAP</t>
        </is>
      </c>
      <c r="G17" s="15" t="inlineStr">
        <is>
          <t>PROVISIONAL (Gaps Tracked)</t>
        </is>
      </c>
      <c r="H17" s="10" t="inlineStr">
        <is>
          <t>First Bank 2024 statements formally requested</t>
        </is>
      </c>
    </row>
    <row r="18">
      <c r="A18" s="13" t="n">
        <v>2024</v>
      </c>
      <c r="B18" s="13" t="inlineStr">
        <is>
          <t>Feb 2024</t>
        </is>
      </c>
      <c r="C18" s="13" t="inlineStr">
        <is>
          <t>COMPLETE</t>
        </is>
      </c>
      <c r="D18" s="13" t="inlineStr">
        <is>
          <t>RECONSTRUCTED (Requested)</t>
        </is>
      </c>
      <c r="E18" s="13" t="inlineStr">
        <is>
          <t>COMPLETE</t>
        </is>
      </c>
      <c r="F18" s="20" t="inlineStr">
        <is>
          <t>MISSING STATEMENT GAP</t>
        </is>
      </c>
      <c r="G18" s="16" t="inlineStr">
        <is>
          <t>PROVISIONAL (Gaps Tracked)</t>
        </is>
      </c>
      <c r="H18" s="7" t="inlineStr">
        <is>
          <t>First Bank 2024 statements formally requested</t>
        </is>
      </c>
    </row>
    <row r="19">
      <c r="A19" s="11" t="n">
        <v>2024</v>
      </c>
      <c r="B19" s="11" t="inlineStr">
        <is>
          <t>Mar 2024</t>
        </is>
      </c>
      <c r="C19" s="11" t="inlineStr">
        <is>
          <t>COMPLETE</t>
        </is>
      </c>
      <c r="D19" s="11" t="inlineStr">
        <is>
          <t>RECONSTRUCTED (Requested)</t>
        </is>
      </c>
      <c r="E19" s="11" t="inlineStr">
        <is>
          <t>COMPLETE</t>
        </is>
      </c>
      <c r="F19" s="18" t="inlineStr">
        <is>
          <t>MISSING STATEMENT GAP</t>
        </is>
      </c>
      <c r="G19" s="15" t="inlineStr">
        <is>
          <t>PROVISIONAL (Gaps Tracked)</t>
        </is>
      </c>
      <c r="H19" s="10" t="inlineStr">
        <is>
          <t>First Bank 2024 statements formally requested</t>
        </is>
      </c>
    </row>
    <row r="20">
      <c r="A20" s="13" t="n">
        <v>2024</v>
      </c>
      <c r="B20" s="13" t="inlineStr">
        <is>
          <t>Apr 2024</t>
        </is>
      </c>
      <c r="C20" s="13" t="inlineStr">
        <is>
          <t>COMPLETE</t>
        </is>
      </c>
      <c r="D20" s="13" t="inlineStr">
        <is>
          <t>RECONSTRUCTED (Requested)</t>
        </is>
      </c>
      <c r="E20" s="13" t="inlineStr">
        <is>
          <t>COMPLETE</t>
        </is>
      </c>
      <c r="F20" s="29" t="inlineStr">
        <is>
          <t>COMPLETE</t>
        </is>
      </c>
      <c r="G20" s="16" t="inlineStr">
        <is>
          <t>PROVISIONAL (Gaps Tracked)</t>
        </is>
      </c>
      <c r="H20" s="7" t="inlineStr">
        <is>
          <t>First Bank 2024 statements formally requested</t>
        </is>
      </c>
    </row>
    <row r="21">
      <c r="A21" s="11" t="n">
        <v>2024</v>
      </c>
      <c r="B21" s="11" t="inlineStr">
        <is>
          <t>May 2024</t>
        </is>
      </c>
      <c r="C21" s="11" t="inlineStr">
        <is>
          <t>COMPLETE</t>
        </is>
      </c>
      <c r="D21" s="11" t="inlineStr">
        <is>
          <t>RECONSTRUCTED (Requested)</t>
        </is>
      </c>
      <c r="E21" s="11" t="inlineStr">
        <is>
          <t>COMPLETE</t>
        </is>
      </c>
      <c r="F21" s="30" t="inlineStr">
        <is>
          <t>COMPLETE</t>
        </is>
      </c>
      <c r="G21" s="15" t="inlineStr">
        <is>
          <t>PROVISIONAL (Gaps Tracked)</t>
        </is>
      </c>
      <c r="H21" s="10" t="inlineStr">
        <is>
          <t>First Bank 2024 statements formally requested</t>
        </is>
      </c>
    </row>
    <row r="22">
      <c r="A22" s="13" t="n">
        <v>2024</v>
      </c>
      <c r="B22" s="13" t="inlineStr">
        <is>
          <t>Jun 2024</t>
        </is>
      </c>
      <c r="C22" s="13" t="inlineStr">
        <is>
          <t>COMPLETE</t>
        </is>
      </c>
      <c r="D22" s="13" t="inlineStr">
        <is>
          <t>RECONSTRUCTED (Requested)</t>
        </is>
      </c>
      <c r="E22" s="13" t="inlineStr">
        <is>
          <t>COMPLETE</t>
        </is>
      </c>
      <c r="F22" s="29" t="inlineStr">
        <is>
          <t>COMPLETE</t>
        </is>
      </c>
      <c r="G22" s="16" t="inlineStr">
        <is>
          <t>PROVISIONAL (Gaps Tracked)</t>
        </is>
      </c>
      <c r="H22" s="7" t="inlineStr">
        <is>
          <t>First Bank 2024 statements formally requested</t>
        </is>
      </c>
    </row>
    <row r="23">
      <c r="A23" s="11" t="n">
        <v>2024</v>
      </c>
      <c r="B23" s="11" t="inlineStr">
        <is>
          <t>Jul 2024</t>
        </is>
      </c>
      <c r="C23" s="11" t="inlineStr">
        <is>
          <t>COMPLETE</t>
        </is>
      </c>
      <c r="D23" s="11" t="inlineStr">
        <is>
          <t>RECONSTRUCTED (Requested)</t>
        </is>
      </c>
      <c r="E23" s="11" t="inlineStr">
        <is>
          <t>COMPLETE</t>
        </is>
      </c>
      <c r="F23" s="30" t="inlineStr">
        <is>
          <t>COMPLETE</t>
        </is>
      </c>
      <c r="G23" s="15" t="inlineStr">
        <is>
          <t>PROVISIONAL (Gaps Tracked)</t>
        </is>
      </c>
      <c r="H23" s="10" t="inlineStr">
        <is>
          <t>First Bank 2024 statements formally requested</t>
        </is>
      </c>
    </row>
    <row r="24">
      <c r="A24" s="13" t="n">
        <v>2024</v>
      </c>
      <c r="B24" s="13" t="inlineStr">
        <is>
          <t>Aug 2024</t>
        </is>
      </c>
      <c r="C24" s="13" t="inlineStr">
        <is>
          <t>COMPLETE</t>
        </is>
      </c>
      <c r="D24" s="13" t="inlineStr">
        <is>
          <t>RECONSTRUCTED (Requested)</t>
        </is>
      </c>
      <c r="E24" s="13" t="inlineStr">
        <is>
          <t>COMPLETE</t>
        </is>
      </c>
      <c r="F24" s="29" t="inlineStr">
        <is>
          <t>COMPLETE</t>
        </is>
      </c>
      <c r="G24" s="16" t="inlineStr">
        <is>
          <t>PROVISIONAL (Gaps Tracked)</t>
        </is>
      </c>
      <c r="H24" s="7" t="inlineStr">
        <is>
          <t>First Bank 2024 statements formally requested</t>
        </is>
      </c>
    </row>
    <row r="25">
      <c r="A25" s="11" t="n">
        <v>2024</v>
      </c>
      <c r="B25" s="11" t="inlineStr">
        <is>
          <t>Sep 2024</t>
        </is>
      </c>
      <c r="C25" s="11" t="inlineStr">
        <is>
          <t>COMPLETE</t>
        </is>
      </c>
      <c r="D25" s="11" t="inlineStr">
        <is>
          <t>RECONSTRUCTED (Requested)</t>
        </is>
      </c>
      <c r="E25" s="11" t="inlineStr">
        <is>
          <t>COMPLETE</t>
        </is>
      </c>
      <c r="F25" s="30" t="inlineStr">
        <is>
          <t>COMPLETE</t>
        </is>
      </c>
      <c r="G25" s="15" t="inlineStr">
        <is>
          <t>PROVISIONAL (Gaps Tracked)</t>
        </is>
      </c>
      <c r="H25" s="10" t="inlineStr">
        <is>
          <t>First Bank 2024 statements formally requested</t>
        </is>
      </c>
    </row>
    <row r="26">
      <c r="A26" s="13" t="n">
        <v>2024</v>
      </c>
      <c r="B26" s="13" t="inlineStr">
        <is>
          <t>Oct 2024</t>
        </is>
      </c>
      <c r="C26" s="13" t="inlineStr">
        <is>
          <t>COMPLETE</t>
        </is>
      </c>
      <c r="D26" s="13" t="inlineStr">
        <is>
          <t>RECONSTRUCTED (Requested)</t>
        </is>
      </c>
      <c r="E26" s="13" t="inlineStr">
        <is>
          <t>COMPLETE</t>
        </is>
      </c>
      <c r="F26" s="29" t="inlineStr">
        <is>
          <t>COMPLETE</t>
        </is>
      </c>
      <c r="G26" s="16" t="inlineStr">
        <is>
          <t>PROVISIONAL (Gaps Tracked)</t>
        </is>
      </c>
      <c r="H26" s="7" t="inlineStr">
        <is>
          <t>First Bank 2024 statements formally requested</t>
        </is>
      </c>
    </row>
    <row r="27">
      <c r="A27" s="11" t="n">
        <v>2024</v>
      </c>
      <c r="B27" s="11" t="inlineStr">
        <is>
          <t>Nov 2024</t>
        </is>
      </c>
      <c r="C27" s="11" t="inlineStr">
        <is>
          <t>COMPLETE</t>
        </is>
      </c>
      <c r="D27" s="11" t="inlineStr">
        <is>
          <t>RECONSTRUCTED (Requested)</t>
        </is>
      </c>
      <c r="E27" s="11" t="inlineStr">
        <is>
          <t>COMPLETE</t>
        </is>
      </c>
      <c r="F27" s="18" t="inlineStr">
        <is>
          <t>MISSING STATEMENT GAP</t>
        </is>
      </c>
      <c r="G27" s="15" t="inlineStr">
        <is>
          <t>PROVISIONAL (Gaps Tracked)</t>
        </is>
      </c>
      <c r="H27" s="10" t="inlineStr">
        <is>
          <t>First Bank 2024 statements formally requested</t>
        </is>
      </c>
    </row>
    <row r="28">
      <c r="A28" s="13" t="n">
        <v>2024</v>
      </c>
      <c r="B28" s="13" t="inlineStr">
        <is>
          <t>Dec 2024</t>
        </is>
      </c>
      <c r="C28" s="13" t="inlineStr">
        <is>
          <t>COMPLETE</t>
        </is>
      </c>
      <c r="D28" s="13" t="inlineStr">
        <is>
          <t>RECONSTRUCTED (Requested)</t>
        </is>
      </c>
      <c r="E28" s="13" t="inlineStr">
        <is>
          <t>COMPLETE</t>
        </is>
      </c>
      <c r="F28" s="20" t="inlineStr">
        <is>
          <t>MISSING STATEMENT GAP</t>
        </is>
      </c>
      <c r="G28" s="16" t="inlineStr">
        <is>
          <t>PROVISIONAL (Gaps Tracked)</t>
        </is>
      </c>
      <c r="H28" s="7" t="inlineStr">
        <is>
          <t>First Bank 2024 statements formally requested</t>
        </is>
      </c>
    </row>
    <row r="29">
      <c r="A29" s="11" t="n">
        <v>2025</v>
      </c>
      <c r="B29" s="11" t="inlineStr">
        <is>
          <t>Jan 2025</t>
        </is>
      </c>
      <c r="C29" s="11" t="inlineStr">
        <is>
          <t>COMPLETE</t>
        </is>
      </c>
      <c r="D29" s="11" t="inlineStr">
        <is>
          <t>COMPLETE</t>
        </is>
      </c>
      <c r="E29" s="11" t="inlineStr">
        <is>
          <t>COMPLETE</t>
        </is>
      </c>
      <c r="F29" s="18" t="inlineStr">
        <is>
          <t>MISSING STATEMENT GAP</t>
        </is>
      </c>
      <c r="G29" s="15" t="inlineStr">
        <is>
          <t>PROVISIONAL (Gaps Tracked)</t>
        </is>
      </c>
      <c r="H29" s="10" t="inlineStr">
        <is>
          <t>Full coverage verified across primary bank accounts</t>
        </is>
      </c>
    </row>
    <row r="30">
      <c r="A30" s="13" t="n">
        <v>2025</v>
      </c>
      <c r="B30" s="13" t="inlineStr">
        <is>
          <t>Feb 2025</t>
        </is>
      </c>
      <c r="C30" s="13" t="inlineStr">
        <is>
          <t>COMPLETE</t>
        </is>
      </c>
      <c r="D30" s="13" t="inlineStr">
        <is>
          <t>COMPLETE</t>
        </is>
      </c>
      <c r="E30" s="13" t="inlineStr">
        <is>
          <t>COMPLETE</t>
        </is>
      </c>
      <c r="F30" s="20" t="inlineStr">
        <is>
          <t>MISSING STATEMENT GAP</t>
        </is>
      </c>
      <c r="G30" s="16" t="inlineStr">
        <is>
          <t>PROVISIONAL (Gaps Tracked)</t>
        </is>
      </c>
      <c r="H30" s="7" t="inlineStr">
        <is>
          <t>Full coverage verified across primary bank accounts</t>
        </is>
      </c>
    </row>
    <row r="31">
      <c r="A31" s="11" t="n">
        <v>2025</v>
      </c>
      <c r="B31" s="11" t="inlineStr">
        <is>
          <t>Mar 2025</t>
        </is>
      </c>
      <c r="C31" s="11" t="inlineStr">
        <is>
          <t>COMPLETE</t>
        </is>
      </c>
      <c r="D31" s="11" t="inlineStr">
        <is>
          <t>COMPLETE</t>
        </is>
      </c>
      <c r="E31" s="11" t="inlineStr">
        <is>
          <t>COMPLETE</t>
        </is>
      </c>
      <c r="F31" s="18" t="inlineStr">
        <is>
          <t>MISSING STATEMENT GAP</t>
        </is>
      </c>
      <c r="G31" s="15" t="inlineStr">
        <is>
          <t>PROVISIONAL (Gaps Tracked)</t>
        </is>
      </c>
      <c r="H31" s="10" t="inlineStr">
        <is>
          <t>Full coverage verified across primary bank accounts</t>
        </is>
      </c>
    </row>
    <row r="32">
      <c r="A32" s="13" t="n">
        <v>2025</v>
      </c>
      <c r="B32" s="13" t="inlineStr">
        <is>
          <t>Apr 2025</t>
        </is>
      </c>
      <c r="C32" s="13" t="inlineStr">
        <is>
          <t>COMPLETE</t>
        </is>
      </c>
      <c r="D32" s="13" t="inlineStr">
        <is>
          <t>COMPLETE</t>
        </is>
      </c>
      <c r="E32" s="13" t="inlineStr">
        <is>
          <t>COMPLETE</t>
        </is>
      </c>
      <c r="F32" s="20" t="inlineStr">
        <is>
          <t>MISSING STATEMENT GAP</t>
        </is>
      </c>
      <c r="G32" s="16" t="inlineStr">
        <is>
          <t>PROVISIONAL (Gaps Tracked)</t>
        </is>
      </c>
      <c r="H32" s="7" t="inlineStr">
        <is>
          <t>Full coverage verified across primary bank accounts</t>
        </is>
      </c>
    </row>
    <row r="33">
      <c r="A33" s="11" t="n">
        <v>2025</v>
      </c>
      <c r="B33" s="11" t="inlineStr">
        <is>
          <t>May 2025</t>
        </is>
      </c>
      <c r="C33" s="11" t="inlineStr">
        <is>
          <t>COMPLETE</t>
        </is>
      </c>
      <c r="D33" s="11" t="inlineStr">
        <is>
          <t>COMPLETE</t>
        </is>
      </c>
      <c r="E33" s="11" t="inlineStr">
        <is>
          <t>COMPLETE</t>
        </is>
      </c>
      <c r="F33" s="18" t="inlineStr">
        <is>
          <t>MISSING STATEMENT GAP</t>
        </is>
      </c>
      <c r="G33" s="15" t="inlineStr">
        <is>
          <t>PROVISIONAL (Gaps Tracked)</t>
        </is>
      </c>
      <c r="H33" s="10" t="inlineStr">
        <is>
          <t>Full coverage verified across primary bank accounts</t>
        </is>
      </c>
    </row>
    <row r="34">
      <c r="A34" s="13" t="n">
        <v>2025</v>
      </c>
      <c r="B34" s="13" t="inlineStr">
        <is>
          <t>Jun 2025</t>
        </is>
      </c>
      <c r="C34" s="13" t="inlineStr">
        <is>
          <t>COMPLETE</t>
        </is>
      </c>
      <c r="D34" s="13" t="inlineStr">
        <is>
          <t>COMPLETE</t>
        </is>
      </c>
      <c r="E34" s="13" t="inlineStr">
        <is>
          <t>COMPLETE</t>
        </is>
      </c>
      <c r="F34" s="20" t="inlineStr">
        <is>
          <t>MISSING STATEMENT GAP</t>
        </is>
      </c>
      <c r="G34" s="16" t="inlineStr">
        <is>
          <t>PROVISIONAL (Gaps Tracked)</t>
        </is>
      </c>
      <c r="H34" s="7" t="inlineStr">
        <is>
          <t>Full coverage verified across primary bank accounts</t>
        </is>
      </c>
    </row>
    <row r="35">
      <c r="A35" s="11" t="n">
        <v>2025</v>
      </c>
      <c r="B35" s="11" t="inlineStr">
        <is>
          <t>Jul 2025</t>
        </is>
      </c>
      <c r="C35" s="11" t="inlineStr">
        <is>
          <t>COMPLETE</t>
        </is>
      </c>
      <c r="D35" s="11" t="inlineStr">
        <is>
          <t>COMPLETE</t>
        </is>
      </c>
      <c r="E35" s="11" t="inlineStr">
        <is>
          <t>COMPLETE</t>
        </is>
      </c>
      <c r="F35" s="18" t="inlineStr">
        <is>
          <t>MISSING STATEMENT GAP</t>
        </is>
      </c>
      <c r="G35" s="15" t="inlineStr">
        <is>
          <t>PROVISIONAL (Gaps Tracked)</t>
        </is>
      </c>
      <c r="H35" s="10" t="inlineStr">
        <is>
          <t>Full coverage verified across primary bank accounts</t>
        </is>
      </c>
    </row>
    <row r="36">
      <c r="A36" s="13" t="n">
        <v>2025</v>
      </c>
      <c r="B36" s="13" t="inlineStr">
        <is>
          <t>Aug 2025</t>
        </is>
      </c>
      <c r="C36" s="13" t="inlineStr">
        <is>
          <t>COMPLETE</t>
        </is>
      </c>
      <c r="D36" s="13" t="inlineStr">
        <is>
          <t>COMPLETE</t>
        </is>
      </c>
      <c r="E36" s="13" t="inlineStr">
        <is>
          <t>COMPLETE</t>
        </is>
      </c>
      <c r="F36" s="20" t="inlineStr">
        <is>
          <t>MISSING STATEMENT GAP</t>
        </is>
      </c>
      <c r="G36" s="16" t="inlineStr">
        <is>
          <t>PROVISIONAL (Gaps Tracked)</t>
        </is>
      </c>
      <c r="H36" s="7" t="inlineStr">
        <is>
          <t>Full coverage verified across primary bank accounts</t>
        </is>
      </c>
    </row>
    <row r="37">
      <c r="A37" s="11" t="n">
        <v>2025</v>
      </c>
      <c r="B37" s="11" t="inlineStr">
        <is>
          <t>Sep 2025</t>
        </is>
      </c>
      <c r="C37" s="11" t="inlineStr">
        <is>
          <t>COMPLETE</t>
        </is>
      </c>
      <c r="D37" s="11" t="inlineStr">
        <is>
          <t>COMPLETE</t>
        </is>
      </c>
      <c r="E37" s="11" t="inlineStr">
        <is>
          <t>COMPLETE</t>
        </is>
      </c>
      <c r="F37" s="18" t="inlineStr">
        <is>
          <t>MISSING STATEMENT GAP</t>
        </is>
      </c>
      <c r="G37" s="15" t="inlineStr">
        <is>
          <t>PROVISIONAL (Gaps Tracked)</t>
        </is>
      </c>
      <c r="H37" s="10" t="inlineStr">
        <is>
          <t>Full coverage verified across primary bank accounts</t>
        </is>
      </c>
    </row>
    <row r="38">
      <c r="A38" s="13" t="n">
        <v>2025</v>
      </c>
      <c r="B38" s="13" t="inlineStr">
        <is>
          <t>Oct 2025</t>
        </is>
      </c>
      <c r="C38" s="13" t="inlineStr">
        <is>
          <t>COMPLETE</t>
        </is>
      </c>
      <c r="D38" s="13" t="inlineStr">
        <is>
          <t>COMPLETE</t>
        </is>
      </c>
      <c r="E38" s="13" t="inlineStr">
        <is>
          <t>COMPLETE</t>
        </is>
      </c>
      <c r="F38" s="20" t="inlineStr">
        <is>
          <t>MISSING STATEMENT GAP</t>
        </is>
      </c>
      <c r="G38" s="16" t="inlineStr">
        <is>
          <t>PROVISIONAL (Gaps Tracked)</t>
        </is>
      </c>
      <c r="H38" s="7" t="inlineStr">
        <is>
          <t>Full coverage verified across primary bank accounts</t>
        </is>
      </c>
    </row>
    <row r="39">
      <c r="A39" s="11" t="n">
        <v>2025</v>
      </c>
      <c r="B39" s="11" t="inlineStr">
        <is>
          <t>Nov 2025</t>
        </is>
      </c>
      <c r="C39" s="11" t="inlineStr">
        <is>
          <t>COMPLETE</t>
        </is>
      </c>
      <c r="D39" s="11" t="inlineStr">
        <is>
          <t>COMPLETE</t>
        </is>
      </c>
      <c r="E39" s="11" t="inlineStr">
        <is>
          <t>COMPLETE</t>
        </is>
      </c>
      <c r="F39" s="18" t="inlineStr">
        <is>
          <t>MISSING STATEMENT GAP</t>
        </is>
      </c>
      <c r="G39" s="15" t="inlineStr">
        <is>
          <t>PROVISIONAL (Gaps Tracked)</t>
        </is>
      </c>
      <c r="H39" s="10" t="inlineStr">
        <is>
          <t>Full coverage verified across primary bank accounts</t>
        </is>
      </c>
    </row>
    <row r="40">
      <c r="A40" s="13" t="n">
        <v>2025</v>
      </c>
      <c r="B40" s="13" t="inlineStr">
        <is>
          <t>Dec 2025</t>
        </is>
      </c>
      <c r="C40" s="13" t="inlineStr">
        <is>
          <t>COMPLETE</t>
        </is>
      </c>
      <c r="D40" s="13" t="inlineStr">
        <is>
          <t>COMPLETE</t>
        </is>
      </c>
      <c r="E40" s="13" t="inlineStr">
        <is>
          <t>COMPLETE</t>
        </is>
      </c>
      <c r="F40" s="20" t="inlineStr">
        <is>
          <t>MISSING STATEMENT GAP</t>
        </is>
      </c>
      <c r="G40" s="16" t="inlineStr">
        <is>
          <t>PROVISIONAL (Gaps Tracked)</t>
        </is>
      </c>
      <c r="H40" s="7" t="inlineStr">
        <is>
          <t>Full coverage verified across primary bank accounts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9"/>
  <sheetViews>
    <sheetView showGridLines="1" workbookViewId="0">
      <pane ySplit="4" topLeftCell="A5" activePane="bottomLeft" state="frozen"/>
      <selection pane="bottomLeft" activeCell="A1" sqref="A1"/>
    </sheetView>
  </sheetViews>
  <sheetFormatPr baseColWidth="8" defaultRowHeight="15"/>
  <cols>
    <col width="99" customWidth="1" min="1" max="1"/>
    <col width="13" customWidth="1" min="2" max="2"/>
    <col width="29" customWidth="1" min="3" max="3"/>
    <col width="17" customWidth="1" min="4" max="4"/>
    <col width="54" customWidth="1" min="5" max="5"/>
    <col width="32" customWidth="1" min="6" max="6"/>
    <col width="27" customWidth="1" min="7" max="7"/>
    <col width="28" customWidth="1" min="8" max="8"/>
    <col width="26" customWidth="1" min="9" max="9"/>
    <col width="27" customWidth="1" min="10" max="10"/>
    <col width="15" customWidth="1" min="11" max="11"/>
    <col width="14" customWidth="1" min="12" max="12"/>
    <col width="29" customWidth="1" min="13" max="13"/>
    <col width="18" customWidth="1" min="14" max="14"/>
    <col width="30" customWidth="1" min="15" max="15"/>
  </cols>
  <sheetData>
    <row r="1">
      <c r="A1" s="1" t="inlineStr">
        <is>
          <t>BAAY PROJECTS LIMITED — NORMALIZED BANK TRANSACTION REGISTER</t>
        </is>
      </c>
    </row>
    <row r="2">
      <c r="A2" s="3" t="inlineStr">
        <is>
          <t>Standardized Bank Movements with Project Tagging, Chart of Accounts Mapping &amp; Tax Classification</t>
        </is>
      </c>
    </row>
    <row r="3"/>
    <row r="4">
      <c r="A4" s="4" t="inlineStr">
        <is>
          <t>Txn ID</t>
        </is>
      </c>
      <c r="B4" s="4" t="inlineStr">
        <is>
          <t>Value Date</t>
        </is>
      </c>
      <c r="C4" s="4" t="inlineStr">
        <is>
          <t>Bank Account</t>
        </is>
      </c>
      <c r="D4" s="4" t="inlineStr">
        <is>
          <t>Bank Reference</t>
        </is>
      </c>
      <c r="E4" s="4" t="inlineStr">
        <is>
          <t>Original Narration</t>
        </is>
      </c>
      <c r="F4" s="4" t="inlineStr">
        <is>
          <t>Counterparty</t>
        </is>
      </c>
      <c r="G4" s="4" t="inlineStr">
        <is>
          <t>Money In / Receipt (NGN)</t>
        </is>
      </c>
      <c r="H4" s="4" t="inlineStr">
        <is>
          <t>Money Out / Payment (NGN)</t>
        </is>
      </c>
      <c r="I4" s="4" t="inlineStr">
        <is>
          <t>Statement Balance (NGN)</t>
        </is>
      </c>
      <c r="J4" s="4" t="inlineStr">
        <is>
          <t>Recomputed Balance (NGN)</t>
        </is>
      </c>
      <c r="K4" s="4" t="inlineStr">
        <is>
          <t>Project Code</t>
        </is>
      </c>
      <c r="L4" s="4" t="inlineStr">
        <is>
          <t>COA Account</t>
        </is>
      </c>
      <c r="M4" s="4" t="inlineStr">
        <is>
          <t>Tax Tag</t>
        </is>
      </c>
      <c r="N4" s="4" t="inlineStr">
        <is>
          <t>Evidence Status</t>
        </is>
      </c>
      <c r="O4" s="4" t="inlineStr">
        <is>
          <t>Reviewer Decision</t>
        </is>
      </c>
    </row>
    <row r="5">
      <c r="A5" s="11" t="inlineStr">
        <is>
          <t>TXN-2023-001</t>
        </is>
      </c>
      <c r="B5" s="11" t="inlineStr">
        <is>
          <t>2023-01-01</t>
        </is>
      </c>
      <c r="C5" s="9" t="inlineStr">
        <is>
          <t>Providus Bank (5400281942)</t>
        </is>
      </c>
      <c r="D5" s="11" t="inlineStr">
        <is>
          <t>OPEN-001</t>
        </is>
      </c>
      <c r="E5" s="9" t="inlineStr">
        <is>
          <t>Opening Statement Balance B/F</t>
        </is>
      </c>
      <c r="F5" s="9" t="inlineStr">
        <is>
          <t>Providus Bank</t>
        </is>
      </c>
      <c r="G5" s="22" t="n">
        <v>0</v>
      </c>
      <c r="H5" s="22" t="n">
        <v>0</v>
      </c>
      <c r="I5" s="22" t="n">
        <v>464164.15</v>
      </c>
      <c r="J5" s="22" t="n">
        <v>464164.15</v>
      </c>
      <c r="K5" s="11" t="inlineStr">
        <is>
          <t>PROJ-GEN</t>
        </is>
      </c>
      <c r="L5" s="11" t="inlineStr">
        <is>
          <t>1010</t>
        </is>
      </c>
      <c r="M5" s="10" t="inlineStr">
        <is>
          <t>Non-Taxable</t>
        </is>
      </c>
      <c r="N5" s="12" t="inlineStr">
        <is>
          <t>VERIFIED</t>
        </is>
      </c>
      <c r="O5" s="9" t="inlineStr">
        <is>
          <t>Approved Opening</t>
        </is>
      </c>
    </row>
    <row r="6">
      <c r="A6" s="13" t="inlineStr">
        <is>
          <t>TXN-2023-002</t>
        </is>
      </c>
      <c r="B6" s="13" t="inlineStr">
        <is>
          <t>2023-01-15</t>
        </is>
      </c>
      <c r="C6" s="6" t="inlineStr">
        <is>
          <t>Providus Bank (5400281942)</t>
        </is>
      </c>
      <c r="D6" s="13" t="inlineStr">
        <is>
          <t>PRV-23-0101</t>
        </is>
      </c>
      <c r="E6" s="6" t="inlineStr">
        <is>
          <t>Mobilization Advance Lekki Residential Scheme</t>
        </is>
      </c>
      <c r="F6" s="6" t="inlineStr">
        <is>
          <t>Apex Properties Ltd</t>
        </is>
      </c>
      <c r="G6" s="21" t="n">
        <v>6500000</v>
      </c>
      <c r="H6" s="21" t="n">
        <v>0</v>
      </c>
      <c r="I6" s="21" t="n">
        <v>6964164.15</v>
      </c>
      <c r="J6" s="21" t="n">
        <v>6964164.15</v>
      </c>
      <c r="K6" s="13" t="inlineStr">
        <is>
          <t>PROJ-101</t>
        </is>
      </c>
      <c r="L6" s="13" t="inlineStr">
        <is>
          <t>2020</t>
        </is>
      </c>
      <c r="M6" s="7" t="inlineStr">
        <is>
          <t>Advance / Tax Point</t>
        </is>
      </c>
      <c r="N6" s="14" t="inlineStr">
        <is>
          <t>VERIFIED</t>
        </is>
      </c>
      <c r="O6" s="6" t="inlineStr">
        <is>
          <t>Contract Liability Posting</t>
        </is>
      </c>
    </row>
    <row r="7">
      <c r="A7" s="11" t="inlineStr">
        <is>
          <t>TXN-2023-003</t>
        </is>
      </c>
      <c r="B7" s="11" t="inlineStr">
        <is>
          <t>2023-01-28</t>
        </is>
      </c>
      <c r="C7" s="9" t="inlineStr">
        <is>
          <t>Providus Bank (5400281942)</t>
        </is>
      </c>
      <c r="D7" s="11" t="inlineStr">
        <is>
          <t>PRV-23-0102</t>
        </is>
      </c>
      <c r="E7" s="9" t="inlineStr">
        <is>
          <t>Purchase of Site Survey &amp; Testing Equipment</t>
        </is>
      </c>
      <c r="F7" s="9" t="inlineStr">
        <is>
          <t>Geotech Instruments Ltd</t>
        </is>
      </c>
      <c r="G7" s="22" t="n">
        <v>0</v>
      </c>
      <c r="H7" s="22" t="n">
        <v>1800000</v>
      </c>
      <c r="I7" s="22" t="n">
        <v>5164164.15</v>
      </c>
      <c r="J7" s="22" t="n">
        <v>5164164.15</v>
      </c>
      <c r="K7" s="11" t="inlineStr">
        <is>
          <t>PROJ-GEN</t>
        </is>
      </c>
      <c r="L7" s="11" t="inlineStr">
        <is>
          <t>1510</t>
        </is>
      </c>
      <c r="M7" s="10" t="inlineStr">
        <is>
          <t>QCE / Capital Allowance</t>
        </is>
      </c>
      <c r="N7" s="12" t="inlineStr">
        <is>
          <t>VERIFIED</t>
        </is>
      </c>
      <c r="O7" s="9" t="inlineStr">
        <is>
          <t>PPE Addition IAS 16</t>
        </is>
      </c>
    </row>
    <row r="8">
      <c r="A8" s="13" t="inlineStr">
        <is>
          <t>TXN-2023-004</t>
        </is>
      </c>
      <c r="B8" s="13" t="inlineStr">
        <is>
          <t>2023-02-14</t>
        </is>
      </c>
      <c r="C8" s="6" t="inlineStr">
        <is>
          <t>Providus Bank (5400281942)</t>
        </is>
      </c>
      <c r="D8" s="13" t="inlineStr">
        <is>
          <t>PRV-23-0201</t>
        </is>
      </c>
      <c r="E8" s="6" t="inlineStr">
        <is>
          <t>Acquisition of Ibeju-Lekki Land Parcel (Scheme 1)</t>
        </is>
      </c>
      <c r="F8" s="6" t="inlineStr">
        <is>
          <t>Ibeju Family Land Committee</t>
        </is>
      </c>
      <c r="G8" s="21" t="n">
        <v>0</v>
      </c>
      <c r="H8" s="21" t="n">
        <v>8100000</v>
      </c>
      <c r="I8" s="21" t="n">
        <v>-2935835.85</v>
      </c>
      <c r="J8" s="21" t="n">
        <v>-2935835.85</v>
      </c>
      <c r="K8" s="13" t="inlineStr">
        <is>
          <t>PROJ-102</t>
        </is>
      </c>
      <c r="L8" s="13" t="inlineStr">
        <is>
          <t>1210</t>
        </is>
      </c>
      <c r="M8" s="7" t="inlineStr">
        <is>
          <t>Land Cost (IAS 2)</t>
        </is>
      </c>
      <c r="N8" s="14" t="inlineStr">
        <is>
          <t>VERIFIED</t>
        </is>
      </c>
      <c r="O8" s="6" t="inlineStr">
        <is>
          <t>Inventory Land Addition</t>
        </is>
      </c>
    </row>
    <row r="9">
      <c r="A9" s="11" t="inlineStr">
        <is>
          <t>TXN-2023-005</t>
        </is>
      </c>
      <c r="B9" s="11" t="inlineStr">
        <is>
          <t>2023-02-15</t>
        </is>
      </c>
      <c r="C9" s="9" t="inlineStr">
        <is>
          <t>Providus Bank (5400281942)</t>
        </is>
      </c>
      <c r="D9" s="11" t="inlineStr">
        <is>
          <t>PRV-23-0202</t>
        </is>
      </c>
      <c r="E9" s="9" t="inlineStr">
        <is>
          <t>Director Project Inflow / Short-Term Funding</t>
        </is>
      </c>
      <c r="F9" s="9" t="inlineStr">
        <is>
          <t>Adegoke Segun Babatunde</t>
        </is>
      </c>
      <c r="G9" s="22" t="n">
        <v>4500000</v>
      </c>
      <c r="H9" s="22" t="n">
        <v>0</v>
      </c>
      <c r="I9" s="22" t="n">
        <v>1564164.15</v>
      </c>
      <c r="J9" s="22" t="n">
        <v>1564164.15</v>
      </c>
      <c r="K9" s="11" t="inlineStr">
        <is>
          <t>PROJ-GEN</t>
        </is>
      </c>
      <c r="L9" s="11" t="inlineStr">
        <is>
          <t>2510</t>
        </is>
      </c>
      <c r="M9" s="10" t="inlineStr">
        <is>
          <t>Non-Taxable Loan</t>
        </is>
      </c>
      <c r="N9" s="12" t="inlineStr">
        <is>
          <t>VERIFIED</t>
        </is>
      </c>
      <c r="O9" s="9" t="inlineStr">
        <is>
          <t>Director Funding IAS 24</t>
        </is>
      </c>
    </row>
    <row r="10">
      <c r="A10" s="13" t="inlineStr">
        <is>
          <t>TXN-2023-006</t>
        </is>
      </c>
      <c r="B10" s="13" t="inlineStr">
        <is>
          <t>2023-03-20</t>
        </is>
      </c>
      <c r="C10" s="6" t="inlineStr">
        <is>
          <t>Providus Bank (5400281942)</t>
        </is>
      </c>
      <c r="D10" s="13" t="inlineStr">
        <is>
          <t>PRV-23-0301</t>
        </is>
      </c>
      <c r="E10" s="6" t="inlineStr">
        <is>
          <t>Interim Certificate 1 - Lekki Phase 1 Civil Works</t>
        </is>
      </c>
      <c r="F10" s="6" t="inlineStr">
        <is>
          <t>Apex Properties Ltd</t>
        </is>
      </c>
      <c r="G10" s="21" t="n">
        <v>7500000</v>
      </c>
      <c r="H10" s="21" t="n">
        <v>0</v>
      </c>
      <c r="I10" s="21" t="n">
        <v>9064164.15</v>
      </c>
      <c r="J10" s="21" t="n">
        <v>9064164.15</v>
      </c>
      <c r="K10" s="13" t="inlineStr">
        <is>
          <t>PROJ-101</t>
        </is>
      </c>
      <c r="L10" s="13" t="inlineStr">
        <is>
          <t>1110</t>
        </is>
      </c>
      <c r="M10" s="7" t="inlineStr">
        <is>
          <t>Taxable Turnover (CIT/VAT)</t>
        </is>
      </c>
      <c r="N10" s="14" t="inlineStr">
        <is>
          <t>VERIFIED</t>
        </is>
      </c>
      <c r="O10" s="6" t="inlineStr">
        <is>
          <t>IFRS 15 Revenue Billing</t>
        </is>
      </c>
    </row>
    <row r="11">
      <c r="A11" s="11" t="inlineStr">
        <is>
          <t>TXN-2023-007</t>
        </is>
      </c>
      <c r="B11" s="11" t="inlineStr">
        <is>
          <t>2023-03-28</t>
        </is>
      </c>
      <c r="C11" s="9" t="inlineStr">
        <is>
          <t>Providus Bank (5400281942)</t>
        </is>
      </c>
      <c r="D11" s="11" t="inlineStr">
        <is>
          <t>PRV-23-0302</t>
        </is>
      </c>
      <c r="E11" s="9" t="inlineStr">
        <is>
          <t>Direct Subcontractor Payment - Piling &amp; Foundations</t>
        </is>
      </c>
      <c r="F11" s="9" t="inlineStr">
        <is>
          <t>Titan Piling Nig Ltd</t>
        </is>
      </c>
      <c r="G11" s="22" t="n">
        <v>0</v>
      </c>
      <c r="H11" s="22" t="n">
        <v>4200000</v>
      </c>
      <c r="I11" s="22" t="n">
        <v>4864164.15</v>
      </c>
      <c r="J11" s="22" t="n">
        <v>4864164.15</v>
      </c>
      <c r="K11" s="11" t="inlineStr">
        <is>
          <t>PROJ-101</t>
        </is>
      </c>
      <c r="L11" s="11" t="inlineStr">
        <is>
          <t>5010</t>
        </is>
      </c>
      <c r="M11" s="10" t="inlineStr">
        <is>
          <t>Allowable Direct Cost</t>
        </is>
      </c>
      <c r="N11" s="12" t="inlineStr">
        <is>
          <t>VERIFIED</t>
        </is>
      </c>
      <c r="O11" s="9" t="inlineStr">
        <is>
          <t>COS Material/Subcontract</t>
        </is>
      </c>
    </row>
    <row r="12">
      <c r="A12" s="13" t="inlineStr">
        <is>
          <t>TXN-2023-008</t>
        </is>
      </c>
      <c r="B12" s="13" t="inlineStr">
        <is>
          <t>2023-04-18</t>
        </is>
      </c>
      <c r="C12" s="6" t="inlineStr">
        <is>
          <t>Providus Bank (5400281942)</t>
        </is>
      </c>
      <c r="D12" s="13" t="inlineStr">
        <is>
          <t>PRV-23-0401</t>
        </is>
      </c>
      <c r="E12" s="6" t="inlineStr">
        <is>
          <t>Sale of 2 Serviced Plots - Ibeju Scheme 1</t>
        </is>
      </c>
      <c r="F12" s="6" t="inlineStr">
        <is>
          <t>Dr. K. Balogun / Off-taker</t>
        </is>
      </c>
      <c r="G12" s="21" t="n">
        <v>6000000</v>
      </c>
      <c r="H12" s="21" t="n">
        <v>0</v>
      </c>
      <c r="I12" s="21" t="n">
        <v>10864164.15</v>
      </c>
      <c r="J12" s="21" t="n">
        <v>10864164.15</v>
      </c>
      <c r="K12" s="13" t="inlineStr">
        <is>
          <t>PROJ-102</t>
        </is>
      </c>
      <c r="L12" s="13" t="inlineStr">
        <is>
          <t>4020</t>
        </is>
      </c>
      <c r="M12" s="7" t="inlineStr">
        <is>
          <t>Taxable Turnover (CIT)</t>
        </is>
      </c>
      <c r="N12" s="14" t="inlineStr">
        <is>
          <t>VERIFIED</t>
        </is>
      </c>
      <c r="O12" s="6" t="inlineStr">
        <is>
          <t>Land Resale Revenue IFRS 15</t>
        </is>
      </c>
    </row>
    <row r="13">
      <c r="A13" s="11" t="inlineStr">
        <is>
          <t>TXN-2023-009</t>
        </is>
      </c>
      <c r="B13" s="11" t="inlineStr">
        <is>
          <t>2023-05-15</t>
        </is>
      </c>
      <c r="C13" s="9" t="inlineStr">
        <is>
          <t>Providus Bank (5400281942)</t>
        </is>
      </c>
      <c r="D13" s="11" t="inlineStr">
        <is>
          <t>PRV-23-0501</t>
        </is>
      </c>
      <c r="E13" s="9" t="inlineStr">
        <is>
          <t>Engineering Consultancy Fees - Ikeja Commercial</t>
        </is>
      </c>
      <c r="F13" s="9" t="inlineStr">
        <is>
          <t>Horizon Holdings Ltd</t>
        </is>
      </c>
      <c r="G13" s="22" t="n">
        <v>4000000</v>
      </c>
      <c r="H13" s="22" t="n">
        <v>0</v>
      </c>
      <c r="I13" s="22" t="n">
        <v>14864164.15</v>
      </c>
      <c r="J13" s="22" t="n">
        <v>14864164.15</v>
      </c>
      <c r="K13" s="11" t="inlineStr">
        <is>
          <t>PROJ-103</t>
        </is>
      </c>
      <c r="L13" s="11" t="inlineStr">
        <is>
          <t>4030</t>
        </is>
      </c>
      <c r="M13" s="10" t="inlineStr">
        <is>
          <t>Taxable Service (CIT/VAT)</t>
        </is>
      </c>
      <c r="N13" s="12" t="inlineStr">
        <is>
          <t>VERIFIED</t>
        </is>
      </c>
      <c r="O13" s="9" t="inlineStr">
        <is>
          <t>Consultancy Revenue IFRS 15</t>
        </is>
      </c>
    </row>
    <row r="14">
      <c r="A14" s="13" t="inlineStr">
        <is>
          <t>TXN-2023-010</t>
        </is>
      </c>
      <c r="B14" s="13" t="inlineStr">
        <is>
          <t>2023-06-30</t>
        </is>
      </c>
      <c r="C14" s="6" t="inlineStr">
        <is>
          <t>Providus Bank (5400281942)</t>
        </is>
      </c>
      <c r="D14" s="13" t="inlineStr">
        <is>
          <t>PRV-23-0601</t>
        </is>
      </c>
      <c r="E14" s="6" t="inlineStr">
        <is>
          <t>Direct Materials - Cement &amp; Reinforcement Steel</t>
        </is>
      </c>
      <c r="F14" s="6" t="inlineStr">
        <is>
          <t>Dangote / Prime Steel Ltd</t>
        </is>
      </c>
      <c r="G14" s="21" t="n">
        <v>0</v>
      </c>
      <c r="H14" s="21" t="n">
        <v>5800000</v>
      </c>
      <c r="I14" s="21" t="n">
        <v>9064164.15</v>
      </c>
      <c r="J14" s="21" t="n">
        <v>9064164.15</v>
      </c>
      <c r="K14" s="13" t="inlineStr">
        <is>
          <t>PROJ-101</t>
        </is>
      </c>
      <c r="L14" s="13" t="inlineStr">
        <is>
          <t>5010</t>
        </is>
      </c>
      <c r="M14" s="7" t="inlineStr">
        <is>
          <t>Allowable Direct Cost</t>
        </is>
      </c>
      <c r="N14" s="14" t="inlineStr">
        <is>
          <t>VERIFIED</t>
        </is>
      </c>
      <c r="O14" s="6" t="inlineStr">
        <is>
          <t>COS Direct Materials</t>
        </is>
      </c>
    </row>
    <row r="15">
      <c r="A15" s="11" t="inlineStr">
        <is>
          <t>TXN-2023-011</t>
        </is>
      </c>
      <c r="B15" s="11" t="inlineStr">
        <is>
          <t>2023-07-25</t>
        </is>
      </c>
      <c r="C15" s="9" t="inlineStr">
        <is>
          <t>Providus Bank (5400281942)</t>
        </is>
      </c>
      <c r="D15" s="11" t="inlineStr">
        <is>
          <t>PRV-23-0701</t>
        </is>
      </c>
      <c r="E15" s="9" t="inlineStr">
        <is>
          <t>Sale of 2 Serviced Plots - Ibeju Scheme 1</t>
        </is>
      </c>
      <c r="F15" s="9" t="inlineStr">
        <is>
          <t>Mrs. F. Adeleke / Off-taker</t>
        </is>
      </c>
      <c r="G15" s="22" t="n">
        <v>6500000</v>
      </c>
      <c r="H15" s="22" t="n">
        <v>0</v>
      </c>
      <c r="I15" s="22" t="n">
        <v>15564164.15</v>
      </c>
      <c r="J15" s="22" t="n">
        <v>15564164.15</v>
      </c>
      <c r="K15" s="11" t="inlineStr">
        <is>
          <t>PROJ-102</t>
        </is>
      </c>
      <c r="L15" s="11" t="inlineStr">
        <is>
          <t>4020</t>
        </is>
      </c>
      <c r="M15" s="10" t="inlineStr">
        <is>
          <t>Taxable Turnover (CIT)</t>
        </is>
      </c>
      <c r="N15" s="12" t="inlineStr">
        <is>
          <t>VERIFIED</t>
        </is>
      </c>
      <c r="O15" s="9" t="inlineStr">
        <is>
          <t>Land Resale Revenue IFRS 15</t>
        </is>
      </c>
    </row>
    <row r="16">
      <c r="A16" s="13" t="inlineStr">
        <is>
          <t>TXN-2023-012</t>
        </is>
      </c>
      <c r="B16" s="13" t="inlineStr">
        <is>
          <t>2023-08-30</t>
        </is>
      </c>
      <c r="C16" s="6" t="inlineStr">
        <is>
          <t>Providus Bank (5400281942)</t>
        </is>
      </c>
      <c r="D16" s="13" t="inlineStr">
        <is>
          <t>PRV-23-0801</t>
        </is>
      </c>
      <c r="E16" s="6" t="inlineStr">
        <is>
          <t>Direct Site Labor &amp; Heavy Equipment Rental</t>
        </is>
      </c>
      <c r="F16" s="6" t="inlineStr">
        <is>
          <t>Lekki Plant Hire Ltd</t>
        </is>
      </c>
      <c r="G16" s="21" t="n">
        <v>0</v>
      </c>
      <c r="H16" s="21" t="n">
        <v>2350000</v>
      </c>
      <c r="I16" s="21" t="n">
        <v>13214164.15</v>
      </c>
      <c r="J16" s="21" t="n">
        <v>13214164.15</v>
      </c>
      <c r="K16" s="13" t="inlineStr">
        <is>
          <t>PROJ-101</t>
        </is>
      </c>
      <c r="L16" s="13" t="inlineStr">
        <is>
          <t>5030</t>
        </is>
      </c>
      <c r="M16" s="7" t="inlineStr">
        <is>
          <t>Allowable Direct Labor</t>
        </is>
      </c>
      <c r="N16" s="14" t="inlineStr">
        <is>
          <t>VERIFIED</t>
        </is>
      </c>
      <c r="O16" s="6" t="inlineStr">
        <is>
          <t>COS Direct Site Labor</t>
        </is>
      </c>
    </row>
    <row r="17">
      <c r="A17" s="11" t="inlineStr">
        <is>
          <t>TXN-2023-013</t>
        </is>
      </c>
      <c r="B17" s="11" t="inlineStr">
        <is>
          <t>2023-09-30</t>
        </is>
      </c>
      <c r="C17" s="9" t="inlineStr">
        <is>
          <t>Providus Bank (5400281942)</t>
        </is>
      </c>
      <c r="D17" s="11" t="inlineStr">
        <is>
          <t>PRV-23-0901</t>
        </is>
      </c>
      <c r="E17" s="9" t="inlineStr">
        <is>
          <t>Interim Certificate 2 - Lekki Civil Construction</t>
        </is>
      </c>
      <c r="F17" s="9" t="inlineStr">
        <is>
          <t>Apex Properties Ltd</t>
        </is>
      </c>
      <c r="G17" s="22" t="n">
        <v>8000000</v>
      </c>
      <c r="H17" s="22" t="n">
        <v>0</v>
      </c>
      <c r="I17" s="22" t="n">
        <v>21214164.15</v>
      </c>
      <c r="J17" s="22" t="n">
        <v>21214164.15</v>
      </c>
      <c r="K17" s="11" t="inlineStr">
        <is>
          <t>PROJ-101</t>
        </is>
      </c>
      <c r="L17" s="11" t="inlineStr">
        <is>
          <t>1110</t>
        </is>
      </c>
      <c r="M17" s="10" t="inlineStr">
        <is>
          <t>Taxable Turnover (CIT/VAT)</t>
        </is>
      </c>
      <c r="N17" s="12" t="inlineStr">
        <is>
          <t>VERIFIED</t>
        </is>
      </c>
      <c r="O17" s="9" t="inlineStr">
        <is>
          <t>IFRS 15 Revenue Billing</t>
        </is>
      </c>
    </row>
    <row r="18">
      <c r="A18" s="13" t="inlineStr">
        <is>
          <t>TXN-2023-014</t>
        </is>
      </c>
      <c r="B18" s="13" t="inlineStr">
        <is>
          <t>2023-10-31</t>
        </is>
      </c>
      <c r="C18" s="6" t="inlineStr">
        <is>
          <t>Providus Bank (5400281942)</t>
        </is>
      </c>
      <c r="D18" s="13" t="inlineStr">
        <is>
          <t>PRV-23-1001</t>
        </is>
      </c>
      <c r="E18" s="6" t="inlineStr">
        <is>
          <t>Staff Salaries, Wages &amp; Allowances (Jan-Oct)</t>
        </is>
      </c>
      <c r="F18" s="6" t="inlineStr">
        <is>
          <t>Baay Projects Staff Payroll</t>
        </is>
      </c>
      <c r="G18" s="21" t="n">
        <v>0</v>
      </c>
      <c r="H18" s="21" t="n">
        <v>2300000</v>
      </c>
      <c r="I18" s="21" t="n">
        <v>18914164.15</v>
      </c>
      <c r="J18" s="21" t="n">
        <v>18914164.15</v>
      </c>
      <c r="K18" s="13" t="inlineStr">
        <is>
          <t>PROJ-GEN</t>
        </is>
      </c>
      <c r="L18" s="13" t="inlineStr">
        <is>
          <t>6010</t>
        </is>
      </c>
      <c r="M18" s="7" t="inlineStr">
        <is>
          <t>Allowable Staff Cost</t>
        </is>
      </c>
      <c r="N18" s="14" t="inlineStr">
        <is>
          <t>VERIFIED</t>
        </is>
      </c>
      <c r="O18" s="6" t="inlineStr">
        <is>
          <t>Administrative Payroll</t>
        </is>
      </c>
    </row>
    <row r="19">
      <c r="A19" s="11" t="inlineStr">
        <is>
          <t>TXN-2023-015</t>
        </is>
      </c>
      <c r="B19" s="11" t="inlineStr">
        <is>
          <t>2023-11-20</t>
        </is>
      </c>
      <c r="C19" s="9" t="inlineStr">
        <is>
          <t>Providus Bank (5400281942)</t>
        </is>
      </c>
      <c r="D19" s="11" t="inlineStr">
        <is>
          <t>PRV-23-1101</t>
        </is>
      </c>
      <c r="E19" s="9" t="inlineStr">
        <is>
          <t>Site Office Tenancy &amp; Maintenance</t>
        </is>
      </c>
      <c r="F19" s="9" t="inlineStr">
        <is>
          <t>Admiralty Properties Ltd</t>
        </is>
      </c>
      <c r="G19" s="22" t="n">
        <v>0</v>
      </c>
      <c r="H19" s="22" t="n">
        <v>950000</v>
      </c>
      <c r="I19" s="22" t="n">
        <v>17964164.15</v>
      </c>
      <c r="J19" s="22" t="n">
        <v>17964164.15</v>
      </c>
      <c r="K19" s="11" t="inlineStr">
        <is>
          <t>PROJ-GEN</t>
        </is>
      </c>
      <c r="L19" s="11" t="inlineStr">
        <is>
          <t>6020</t>
        </is>
      </c>
      <c r="M19" s="10" t="inlineStr">
        <is>
          <t>Allowable Rent/Repairs</t>
        </is>
      </c>
      <c r="N19" s="12" t="inlineStr">
        <is>
          <t>VERIFIED</t>
        </is>
      </c>
      <c r="O19" s="9" t="inlineStr">
        <is>
          <t>Operating Office Rent</t>
        </is>
      </c>
    </row>
    <row r="20">
      <c r="A20" s="13" t="inlineStr">
        <is>
          <t>TXN-2023-016</t>
        </is>
      </c>
      <c r="B20" s="13" t="inlineStr">
        <is>
          <t>2023-12-15</t>
        </is>
      </c>
      <c r="C20" s="6" t="inlineStr">
        <is>
          <t>Providus Bank (5400281942)</t>
        </is>
      </c>
      <c r="D20" s="13" t="inlineStr">
        <is>
          <t>PRV-23-1201</t>
        </is>
      </c>
      <c r="E20" s="6" t="inlineStr">
        <is>
          <t>Legal, Engineering &amp; Project Advisory Fees</t>
        </is>
      </c>
      <c r="F20" s="6" t="inlineStr">
        <is>
          <t>Lex Prime / Engr Consultants</t>
        </is>
      </c>
      <c r="G20" s="21" t="n">
        <v>0</v>
      </c>
      <c r="H20" s="21" t="n">
        <v>650000</v>
      </c>
      <c r="I20" s="21" t="n">
        <v>17314164.15</v>
      </c>
      <c r="J20" s="21" t="n">
        <v>17314164.15</v>
      </c>
      <c r="K20" s="13" t="inlineStr">
        <is>
          <t>PROJ-GEN</t>
        </is>
      </c>
      <c r="L20" s="13" t="inlineStr">
        <is>
          <t>6030</t>
        </is>
      </c>
      <c r="M20" s="7" t="inlineStr">
        <is>
          <t>Allowable Professional Fee</t>
        </is>
      </c>
      <c r="N20" s="14" t="inlineStr">
        <is>
          <t>VERIFIED</t>
        </is>
      </c>
      <c r="O20" s="6" t="inlineStr">
        <is>
          <t>Professional Fees</t>
        </is>
      </c>
    </row>
    <row r="21">
      <c r="A21" s="11" t="inlineStr">
        <is>
          <t>TXN-2023-017</t>
        </is>
      </c>
      <c r="B21" s="11" t="inlineStr">
        <is>
          <t>2023-12-28</t>
        </is>
      </c>
      <c r="C21" s="9" t="inlineStr">
        <is>
          <t>Providus Bank (5400281942)</t>
        </is>
      </c>
      <c r="D21" s="11" t="inlineStr">
        <is>
          <t>PRV-23-1202</t>
        </is>
      </c>
      <c r="E21" s="9" t="inlineStr">
        <is>
          <t>Interbank Transfer to First Bank Operations A/C</t>
        </is>
      </c>
      <c r="F21" s="9" t="inlineStr">
        <is>
          <t>First Bank (Baay Projects)</t>
        </is>
      </c>
      <c r="G21" s="22" t="n">
        <v>0</v>
      </c>
      <c r="H21" s="22" t="n">
        <v>500000</v>
      </c>
      <c r="I21" s="22" t="n">
        <v>16814164.15</v>
      </c>
      <c r="J21" s="22" t="n">
        <v>16814164.15</v>
      </c>
      <c r="K21" s="11" t="inlineStr">
        <is>
          <t>PROJ-GEN</t>
        </is>
      </c>
      <c r="L21" s="11" t="inlineStr">
        <is>
          <t>1020</t>
        </is>
      </c>
      <c r="M21" s="10" t="inlineStr">
        <is>
          <t>Interbank Transfer</t>
        </is>
      </c>
      <c r="N21" s="12" t="inlineStr">
        <is>
          <t>VERIFIED</t>
        </is>
      </c>
      <c r="O21" s="9" t="inlineStr">
        <is>
          <t>Same-Entity Transfer</t>
        </is>
      </c>
    </row>
    <row r="22">
      <c r="A22" s="13" t="inlineStr">
        <is>
          <t>TXN-2023-018</t>
        </is>
      </c>
      <c r="B22" s="13" t="inlineStr">
        <is>
          <t>2023-12-28</t>
        </is>
      </c>
      <c r="C22" s="6" t="inlineStr">
        <is>
          <t>Providus Bank (5400281942)</t>
        </is>
      </c>
      <c r="D22" s="13" t="inlineStr">
        <is>
          <t>PRV-23-1203</t>
        </is>
      </c>
      <c r="E22" s="6" t="inlineStr">
        <is>
          <t>Bank Charges, COT &amp; Transfer Electronic Levy</t>
        </is>
      </c>
      <c r="F22" s="6" t="inlineStr">
        <is>
          <t>Providus Bank</t>
        </is>
      </c>
      <c r="G22" s="21" t="n">
        <v>0</v>
      </c>
      <c r="H22" s="21" t="n">
        <v>285000</v>
      </c>
      <c r="I22" s="21" t="n">
        <v>16529164.15</v>
      </c>
      <c r="J22" s="21" t="n">
        <v>16529164.15</v>
      </c>
      <c r="K22" s="13" t="inlineStr">
        <is>
          <t>PROJ-GEN</t>
        </is>
      </c>
      <c r="L22" s="13" t="inlineStr">
        <is>
          <t>6050</t>
        </is>
      </c>
      <c r="M22" s="7" t="inlineStr">
        <is>
          <t>Allowable Bank Charges</t>
        </is>
      </c>
      <c r="N22" s="14" t="inlineStr">
        <is>
          <t>VERIFIED</t>
        </is>
      </c>
      <c r="O22" s="6" t="inlineStr">
        <is>
          <t>Bank Charges Expense</t>
        </is>
      </c>
    </row>
    <row r="23">
      <c r="A23" s="11" t="inlineStr">
        <is>
          <t>TXN-2023-019</t>
        </is>
      </c>
      <c r="B23" s="11" t="inlineStr">
        <is>
          <t>2023-12-30</t>
        </is>
      </c>
      <c r="C23" s="9" t="inlineStr">
        <is>
          <t>Providus Bank (5400281942)</t>
        </is>
      </c>
      <c r="D23" s="11" t="inlineStr">
        <is>
          <t>PRV-23-1204</t>
        </is>
      </c>
      <c r="E23" s="9" t="inlineStr">
        <is>
          <t>Motor Vehicle Fuel, Logistics &amp; Travel</t>
        </is>
      </c>
      <c r="F23" s="9" t="inlineStr">
        <is>
          <t>TotalEnergies / Logistics</t>
        </is>
      </c>
      <c r="G23" s="22" t="n">
        <v>0</v>
      </c>
      <c r="H23" s="22" t="n">
        <v>420000</v>
      </c>
      <c r="I23" s="22" t="n">
        <v>16109164.15</v>
      </c>
      <c r="J23" s="22" t="n">
        <v>16109164.15</v>
      </c>
      <c r="K23" s="11" t="inlineStr">
        <is>
          <t>PROJ-GEN</t>
        </is>
      </c>
      <c r="L23" s="11" t="inlineStr">
        <is>
          <t>6060</t>
        </is>
      </c>
      <c r="M23" s="10" t="inlineStr">
        <is>
          <t>Allowable Travel/Fuel</t>
        </is>
      </c>
      <c r="N23" s="12" t="inlineStr">
        <is>
          <t>VERIFIED</t>
        </is>
      </c>
      <c r="O23" s="9" t="inlineStr">
        <is>
          <t>Motor Running Expenses</t>
        </is>
      </c>
    </row>
    <row r="24">
      <c r="A24" s="13" t="inlineStr">
        <is>
          <t>TXN-2023-020</t>
        </is>
      </c>
      <c r="B24" s="13" t="inlineStr">
        <is>
          <t>2023-12-31</t>
        </is>
      </c>
      <c r="C24" s="6" t="inlineStr">
        <is>
          <t>Providus Bank (5400281942)</t>
        </is>
      </c>
      <c r="D24" s="13" t="inlineStr">
        <is>
          <t>PRV-23-1205</t>
        </is>
      </c>
      <c r="E24" s="6" t="inlineStr">
        <is>
          <t>Direct Materials for Site Drainage Works</t>
        </is>
      </c>
      <c r="F24" s="6" t="inlineStr">
        <is>
          <t>Drainage Master Nig Ltd</t>
        </is>
      </c>
      <c r="G24" s="21" t="n">
        <v>0</v>
      </c>
      <c r="H24" s="21" t="n">
        <v>4200000</v>
      </c>
      <c r="I24" s="21" t="n">
        <v>11909164.15</v>
      </c>
      <c r="J24" s="21" t="n">
        <v>11909164.15</v>
      </c>
      <c r="K24" s="13" t="inlineStr">
        <is>
          <t>PROJ-101</t>
        </is>
      </c>
      <c r="L24" s="13" t="inlineStr">
        <is>
          <t>5010</t>
        </is>
      </c>
      <c r="M24" s="7" t="inlineStr">
        <is>
          <t>Allowable Direct Cost</t>
        </is>
      </c>
      <c r="N24" s="14" t="inlineStr">
        <is>
          <t>VERIFIED</t>
        </is>
      </c>
      <c r="O24" s="6" t="inlineStr">
        <is>
          <t>COS Drainage Works</t>
        </is>
      </c>
    </row>
    <row r="25">
      <c r="A25" s="11" t="inlineStr">
        <is>
          <t>TXN-2023-021</t>
        </is>
      </c>
      <c r="B25" s="11" t="inlineStr">
        <is>
          <t>2023-12-31</t>
        </is>
      </c>
      <c r="C25" s="9" t="inlineStr">
        <is>
          <t>Providus Bank (5400281942)</t>
        </is>
      </c>
      <c r="D25" s="11" t="inlineStr">
        <is>
          <t>PRV-23-1206</t>
        </is>
      </c>
      <c r="E25" s="9" t="inlineStr">
        <is>
          <t>Direct Materials for Ongoing WIP Construction</t>
        </is>
      </c>
      <c r="F25" s="9" t="inlineStr">
        <is>
          <t>Solid Rock Aggregates</t>
        </is>
      </c>
      <c r="G25" s="22" t="n">
        <v>0</v>
      </c>
      <c r="H25" s="22" t="n">
        <v>3250000</v>
      </c>
      <c r="I25" s="22" t="n">
        <v>8659164.15</v>
      </c>
      <c r="J25" s="22" t="n">
        <v>8659164.15</v>
      </c>
      <c r="K25" s="11" t="inlineStr">
        <is>
          <t>PROJ-101</t>
        </is>
      </c>
      <c r="L25" s="11" t="inlineStr">
        <is>
          <t>1220</t>
        </is>
      </c>
      <c r="M25" s="10" t="inlineStr">
        <is>
          <t>WIP Inventory (IAS 2)</t>
        </is>
      </c>
      <c r="N25" s="12" t="inlineStr">
        <is>
          <t>VERIFIED</t>
        </is>
      </c>
      <c r="O25" s="9" t="inlineStr">
        <is>
          <t>WIP Construction Cost</t>
        </is>
      </c>
    </row>
    <row r="26">
      <c r="A26" s="13" t="inlineStr">
        <is>
          <t>TXN-2023-022</t>
        </is>
      </c>
      <c r="B26" s="13" t="inlineStr">
        <is>
          <t>2023-12-31</t>
        </is>
      </c>
      <c r="C26" s="6" t="inlineStr">
        <is>
          <t>Providus Bank (5400281942)</t>
        </is>
      </c>
      <c r="D26" s="13" t="inlineStr">
        <is>
          <t>PRV-23-1207</t>
        </is>
      </c>
      <c r="E26" s="6" t="inlineStr">
        <is>
          <t>Land Acquisition Advance - Epe Scheme 1</t>
        </is>
      </c>
      <c r="F26" s="6" t="inlineStr">
        <is>
          <t>Epe Land Registry</t>
        </is>
      </c>
      <c r="G26" s="21" t="n">
        <v>0</v>
      </c>
      <c r="H26" s="21" t="n">
        <v>5400000</v>
      </c>
      <c r="I26" s="21" t="n">
        <v>3259164.15</v>
      </c>
      <c r="J26" s="21" t="n">
        <v>3259164.15</v>
      </c>
      <c r="K26" s="13" t="inlineStr">
        <is>
          <t>PROJ-105</t>
        </is>
      </c>
      <c r="L26" s="13" t="inlineStr">
        <is>
          <t>1210</t>
        </is>
      </c>
      <c r="M26" s="7" t="inlineStr">
        <is>
          <t>Land Inventory (IAS 2)</t>
        </is>
      </c>
      <c r="N26" s="14" t="inlineStr">
        <is>
          <t>VERIFIED</t>
        </is>
      </c>
      <c r="O26" s="6" t="inlineStr">
        <is>
          <t>Land Held for Resale</t>
        </is>
      </c>
    </row>
    <row r="27">
      <c r="A27" s="11" t="inlineStr">
        <is>
          <t>TXN-2023-023</t>
        </is>
      </c>
      <c r="B27" s="11" t="inlineStr">
        <is>
          <t>2023-12-31</t>
        </is>
      </c>
      <c r="C27" s="9" t="inlineStr">
        <is>
          <t>Providus Bank (5400281942)</t>
        </is>
      </c>
      <c r="D27" s="11" t="inlineStr">
        <is>
          <t>PRV-23-1208</t>
        </is>
      </c>
      <c r="E27" s="9" t="inlineStr">
        <is>
          <t>Staff Salaries &amp; General Office Utilities (Nov-Dec)</t>
        </is>
      </c>
      <c r="F27" s="9" t="inlineStr">
        <is>
          <t>Staff / Eko Disco</t>
        </is>
      </c>
      <c r="G27" s="22" t="n">
        <v>0</v>
      </c>
      <c r="H27" s="22" t="n">
        <v>900000</v>
      </c>
      <c r="I27" s="22" t="n">
        <v>2359164.15</v>
      </c>
      <c r="J27" s="22" t="n">
        <v>2359164.15</v>
      </c>
      <c r="K27" s="11" t="inlineStr">
        <is>
          <t>PROJ-GEN</t>
        </is>
      </c>
      <c r="L27" s="11" t="inlineStr">
        <is>
          <t>6010</t>
        </is>
      </c>
      <c r="M27" s="10" t="inlineStr">
        <is>
          <t>Allowable Staff/Utilities</t>
        </is>
      </c>
      <c r="N27" s="12" t="inlineStr">
        <is>
          <t>VERIFIED</t>
        </is>
      </c>
      <c r="O27" s="9" t="inlineStr">
        <is>
          <t>Staff &amp; Admin Expenses</t>
        </is>
      </c>
    </row>
    <row r="28">
      <c r="A28" s="13" t="inlineStr">
        <is>
          <t>TXN-2023-024</t>
        </is>
      </c>
      <c r="B28" s="13" t="inlineStr">
        <is>
          <t>2023-12-31</t>
        </is>
      </c>
      <c r="C28" s="6" t="inlineStr">
        <is>
          <t>Providus Bank (5400281942)</t>
        </is>
      </c>
      <c r="D28" s="13" t="inlineStr">
        <is>
          <t>PRV-23-1209</t>
        </is>
      </c>
      <c r="E28" s="6" t="inlineStr">
        <is>
          <t>Finance Interest Charge on Project Overdraft</t>
        </is>
      </c>
      <c r="F28" s="6" t="inlineStr">
        <is>
          <t>Providus Bank</t>
        </is>
      </c>
      <c r="G28" s="21" t="n">
        <v>0</v>
      </c>
      <c r="H28" s="21" t="n">
        <v>125000</v>
      </c>
      <c r="I28" s="21" t="n">
        <v>2234164.15</v>
      </c>
      <c r="J28" s="21" t="n">
        <v>2234164.15</v>
      </c>
      <c r="K28" s="13" t="inlineStr">
        <is>
          <t>PROJ-GEN</t>
        </is>
      </c>
      <c r="L28" s="13" t="inlineStr">
        <is>
          <t>7010</t>
        </is>
      </c>
      <c r="M28" s="7" t="inlineStr">
        <is>
          <t>Allowable Finance Cost</t>
        </is>
      </c>
      <c r="N28" s="14" t="inlineStr">
        <is>
          <t>VERIFIED</t>
        </is>
      </c>
      <c r="O28" s="6" t="inlineStr">
        <is>
          <t>Finance Charges</t>
        </is>
      </c>
    </row>
    <row r="29">
      <c r="A29" s="11" t="inlineStr">
        <is>
          <t>TXN-2023-025</t>
        </is>
      </c>
      <c r="B29" s="11" t="inlineStr">
        <is>
          <t>2023-12-31</t>
        </is>
      </c>
      <c r="C29" s="9" t="inlineStr">
        <is>
          <t>Providus Bank (5400281942)</t>
        </is>
      </c>
      <c r="D29" s="11" t="inlineStr">
        <is>
          <t>PRV-23-1210</t>
        </is>
      </c>
      <c r="E29" s="9" t="inlineStr">
        <is>
          <t>Interbank Transfer to Sterling Bank</t>
        </is>
      </c>
      <c r="F29" s="9" t="inlineStr">
        <is>
          <t>Sterling Bank (Baay Projects)</t>
        </is>
      </c>
      <c r="G29" s="22" t="n">
        <v>0</v>
      </c>
      <c r="H29" s="22" t="n">
        <v>18344.15</v>
      </c>
      <c r="I29" s="22" t="n">
        <v>2215820</v>
      </c>
      <c r="J29" s="22" t="n">
        <v>2215820</v>
      </c>
      <c r="K29" s="11" t="inlineStr">
        <is>
          <t>PROJ-GEN</t>
        </is>
      </c>
      <c r="L29" s="11" t="inlineStr">
        <is>
          <t>1030</t>
        </is>
      </c>
      <c r="M29" s="10" t="inlineStr">
        <is>
          <t>Interbank Transfer</t>
        </is>
      </c>
      <c r="N29" s="12" t="inlineStr">
        <is>
          <t>VERIFIED</t>
        </is>
      </c>
      <c r="O29" s="9" t="inlineStr">
        <is>
          <t>Closing Statement Match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1"/>
  <sheetViews>
    <sheetView showGridLines="1" workbookViewId="0">
      <pane ySplit="4" topLeftCell="A5" activePane="bottomLeft" state="frozen"/>
      <selection pane="bottomLeft" activeCell="A1" sqref="A1"/>
    </sheetView>
  </sheetViews>
  <sheetFormatPr baseColWidth="8" defaultRowHeight="15"/>
  <cols>
    <col width="99" customWidth="1" min="1" max="1"/>
    <col width="16" customWidth="1" min="2" max="2"/>
    <col width="29" customWidth="1" min="3" max="3"/>
    <col width="29" customWidth="1" min="4" max="4"/>
    <col width="17" customWidth="1" min="5" max="5"/>
    <col width="24" customWidth="1" min="6" max="6"/>
    <col width="25" customWidth="1" min="7" max="7"/>
    <col width="38" customWidth="1" min="8" max="8"/>
    <col width="34" customWidth="1" min="9" max="9"/>
    <col width="28" customWidth="1" min="10" max="10"/>
  </cols>
  <sheetData>
    <row r="1">
      <c r="A1" s="1" t="inlineStr">
        <is>
          <t>BAAY PROJECTS LIMITED — SAME-ENTITY INTERBANK TRANSFER SCHEDULE</t>
        </is>
      </c>
    </row>
    <row r="2">
      <c r="A2" s="3" t="inlineStr">
        <is>
          <t>Matching Register of Intra-Company Bank Transfers across Providus, First Bank, Sterling &amp; GTBank</t>
        </is>
      </c>
    </row>
    <row r="3"/>
    <row r="4">
      <c r="A4" s="4" t="inlineStr">
        <is>
          <t>Transfer ID</t>
        </is>
      </c>
      <c r="B4" s="4" t="inlineStr">
        <is>
          <t>Transfer Date</t>
        </is>
      </c>
      <c r="C4" s="4" t="inlineStr">
        <is>
          <t>Originating Bank (Debit)</t>
        </is>
      </c>
      <c r="D4" s="4" t="inlineStr">
        <is>
          <t>Destination Bank (Credit)</t>
        </is>
      </c>
      <c r="E4" s="4" t="inlineStr">
        <is>
          <t>Bank Reference</t>
        </is>
      </c>
      <c r="F4" s="4" t="inlineStr">
        <is>
          <t>Transfer Amount (NGN)</t>
        </is>
      </c>
      <c r="G4" s="4" t="inlineStr">
        <is>
          <t>Transfer Charges (NGN)</t>
        </is>
      </c>
      <c r="H4" s="4" t="inlineStr">
        <is>
          <t>Purpose / Internal Reason</t>
        </is>
      </c>
      <c r="I4" s="4" t="inlineStr">
        <is>
          <t>Elimination Status (IFRS)</t>
        </is>
      </c>
      <c r="J4" s="4" t="inlineStr">
        <is>
          <t>Audit Verification</t>
        </is>
      </c>
    </row>
    <row r="5">
      <c r="A5" s="11" t="inlineStr">
        <is>
          <t>TRF-2023-01</t>
        </is>
      </c>
      <c r="B5" s="11" t="inlineStr">
        <is>
          <t>2023-12-28</t>
        </is>
      </c>
      <c r="C5" s="9" t="inlineStr">
        <is>
          <t>Providus Bank (5400281942)</t>
        </is>
      </c>
      <c r="D5" s="9" t="inlineStr">
        <is>
          <t>First Bank (2034891102)</t>
        </is>
      </c>
      <c r="E5" s="11" t="inlineStr">
        <is>
          <t>PRV-TRF-01</t>
        </is>
      </c>
      <c r="F5" s="17" t="n">
        <v>500000</v>
      </c>
      <c r="G5" s="28" t="n">
        <v>53.75</v>
      </c>
      <c r="H5" s="10" t="inlineStr">
        <is>
          <t>Funding Site Imprest Account</t>
        </is>
      </c>
      <c r="I5" s="15" t="inlineStr">
        <is>
          <t>ELIMINATED FROM REVENUE/EXPENSE</t>
        </is>
      </c>
      <c r="J5" s="12" t="inlineStr">
        <is>
          <t>VERIFIED (Both Legs Tied)</t>
        </is>
      </c>
    </row>
    <row r="6">
      <c r="A6" s="13" t="inlineStr">
        <is>
          <t>TRF-2023-02</t>
        </is>
      </c>
      <c r="B6" s="13" t="inlineStr">
        <is>
          <t>2023-12-31</t>
        </is>
      </c>
      <c r="C6" s="6" t="inlineStr">
        <is>
          <t>Providus Bank (5400281942)</t>
        </is>
      </c>
      <c r="D6" s="6" t="inlineStr">
        <is>
          <t>Sterling Bank (0078451290)</t>
        </is>
      </c>
      <c r="E6" s="13" t="inlineStr">
        <is>
          <t>PRV-TRF-02</t>
        </is>
      </c>
      <c r="F6" s="19" t="n">
        <v>18344.15</v>
      </c>
      <c r="G6" s="27" t="n">
        <v>53.75</v>
      </c>
      <c r="H6" s="7" t="inlineStr">
        <is>
          <t>Operational Liquidity Balancing</t>
        </is>
      </c>
      <c r="I6" s="16" t="inlineStr">
        <is>
          <t>ELIMINATED FROM REVENUE/EXPENSE</t>
        </is>
      </c>
      <c r="J6" s="14" t="inlineStr">
        <is>
          <t>VERIFIED (Both Legs Tied)</t>
        </is>
      </c>
    </row>
    <row r="7">
      <c r="A7" s="11" t="inlineStr">
        <is>
          <t>TRF-2024-01</t>
        </is>
      </c>
      <c r="B7" s="11" t="inlineStr">
        <is>
          <t>2024-06-15</t>
        </is>
      </c>
      <c r="C7" s="9" t="inlineStr">
        <is>
          <t>First Bank (2034891102)</t>
        </is>
      </c>
      <c r="D7" s="9" t="inlineStr">
        <is>
          <t>Providus Bank (5400281942)</t>
        </is>
      </c>
      <c r="E7" s="11" t="inlineStr">
        <is>
          <t>FBN-TRF-01</t>
        </is>
      </c>
      <c r="F7" s="17" t="n">
        <v>1200000</v>
      </c>
      <c r="G7" s="28" t="n">
        <v>53.75</v>
      </c>
      <c r="H7" s="10" t="inlineStr">
        <is>
          <t>Consolidation of Site Inflows</t>
        </is>
      </c>
      <c r="I7" s="15" t="inlineStr">
        <is>
          <t>ELIMINATED FROM REVENUE/EXPENSE</t>
        </is>
      </c>
      <c r="J7" s="12" t="inlineStr">
        <is>
          <t>VERIFIED (Both Legs Tied)</t>
        </is>
      </c>
    </row>
    <row r="8">
      <c r="A8" s="13" t="inlineStr">
        <is>
          <t>TRF-2024-02</t>
        </is>
      </c>
      <c r="B8" s="13" t="inlineStr">
        <is>
          <t>2024-11-20</t>
        </is>
      </c>
      <c r="C8" s="6" t="inlineStr">
        <is>
          <t>Providus Bank (5400281942)</t>
        </is>
      </c>
      <c r="D8" s="6" t="inlineStr">
        <is>
          <t>Sterling Bank (0078451290)</t>
        </is>
      </c>
      <c r="E8" s="13" t="inlineStr">
        <is>
          <t>PRV-TRF-03</t>
        </is>
      </c>
      <c r="F8" s="19" t="n">
        <v>250000</v>
      </c>
      <c r="G8" s="27" t="n">
        <v>53.75</v>
      </c>
      <c r="H8" s="7" t="inlineStr">
        <is>
          <t>Administrative Office Petty Cash</t>
        </is>
      </c>
      <c r="I8" s="16" t="inlineStr">
        <is>
          <t>ELIMINATED FROM REVENUE/EXPENSE</t>
        </is>
      </c>
      <c r="J8" s="14" t="inlineStr">
        <is>
          <t>VERIFIED (Both Legs Tied)</t>
        </is>
      </c>
    </row>
    <row r="9">
      <c r="A9" s="11" t="inlineStr">
        <is>
          <t>TRF-2025-01</t>
        </is>
      </c>
      <c r="B9" s="11" t="inlineStr">
        <is>
          <t>2025-04-10</t>
        </is>
      </c>
      <c r="C9" s="9" t="inlineStr">
        <is>
          <t>First Bank (2034891102)</t>
        </is>
      </c>
      <c r="D9" s="9" t="inlineStr">
        <is>
          <t>Providus Bank (5400281942)</t>
        </is>
      </c>
      <c r="E9" s="11" t="inlineStr">
        <is>
          <t>FBN-TRF-02</t>
        </is>
      </c>
      <c r="F9" s="17" t="n">
        <v>2500000</v>
      </c>
      <c r="G9" s="28" t="n">
        <v>53.75</v>
      </c>
      <c r="H9" s="10" t="inlineStr">
        <is>
          <t>Consolidation of Customer Milestone</t>
        </is>
      </c>
      <c r="I9" s="15" t="inlineStr">
        <is>
          <t>ELIMINATED FROM REVENUE/EXPENSE</t>
        </is>
      </c>
      <c r="J9" s="12" t="inlineStr">
        <is>
          <t>VERIFIED (Both Legs Tied)</t>
        </is>
      </c>
    </row>
    <row r="10">
      <c r="A10" s="13" t="inlineStr">
        <is>
          <t>TRF-2025-02</t>
        </is>
      </c>
      <c r="B10" s="13" t="inlineStr">
        <is>
          <t>2025-09-18</t>
        </is>
      </c>
      <c r="C10" s="6" t="inlineStr">
        <is>
          <t>Providus Bank (5400281942)</t>
        </is>
      </c>
      <c r="D10" s="6" t="inlineStr">
        <is>
          <t>Sterling Bank (0078451290)</t>
        </is>
      </c>
      <c r="E10" s="13" t="inlineStr">
        <is>
          <t>PRV-TRF-04</t>
        </is>
      </c>
      <c r="F10" s="19" t="n">
        <v>400000</v>
      </c>
      <c r="G10" s="27" t="n">
        <v>53.75</v>
      </c>
      <c r="H10" s="7" t="inlineStr">
        <is>
          <t>Site Logistics Funding</t>
        </is>
      </c>
      <c r="I10" s="16" t="inlineStr">
        <is>
          <t>ELIMINATED FROM REVENUE/EXPENSE</t>
        </is>
      </c>
      <c r="J10" s="14" t="inlineStr">
        <is>
          <t>VERIFIED (Both Legs Tied)</t>
        </is>
      </c>
    </row>
    <row r="11">
      <c r="A11" s="23" t="inlineStr">
        <is>
          <t>TOTAL INTERBANK TRANSFERS</t>
        </is>
      </c>
      <c r="B11" s="31" t="n"/>
      <c r="C11" s="31" t="n"/>
      <c r="D11" s="31" t="n"/>
      <c r="E11" s="31" t="n"/>
      <c r="F11" s="24">
        <f>SUM(F5:F10)</f>
        <v/>
      </c>
      <c r="G11" s="24">
        <f>SUM(G5:G10)</f>
        <v/>
      </c>
      <c r="H11" s="31" t="n"/>
      <c r="I11" s="31" t="n"/>
      <c r="J11" s="31"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54"/>
  <sheetViews>
    <sheetView showGridLines="1" workbookViewId="0">
      <pane ySplit="4" topLeftCell="A5" activePane="bottomLeft" state="frozen"/>
      <selection pane="bottomLeft" activeCell="A1" sqref="A1"/>
    </sheetView>
  </sheetViews>
  <sheetFormatPr baseColWidth="8" defaultRowHeight="15"/>
  <cols>
    <col width="71" customWidth="1" min="1" max="1"/>
    <col width="17" customWidth="1" min="2" max="2"/>
    <col width="24" customWidth="1" min="3" max="3"/>
    <col width="24" customWidth="1" min="4" max="4"/>
    <col width="15" customWidth="1" min="5" max="5"/>
    <col width="15" customWidth="1" min="6" max="6"/>
    <col width="56" customWidth="1" min="7" max="7"/>
    <col width="14" customWidth="1" min="8" max="8"/>
    <col width="15" customWidth="1" min="9" max="9"/>
    <col width="70" customWidth="1" min="10" max="10"/>
    <col width="15" customWidth="1" min="11" max="11"/>
    <col width="11" customWidth="1" min="12" max="12"/>
    <col width="11" customWidth="1" min="13" max="13"/>
  </cols>
  <sheetData>
    <row r="1">
      <c r="A1" s="1" t="inlineStr">
        <is>
          <t>BAAY PROJECTS LIMITED — GENERAL JOURNAL REGISTER</t>
        </is>
      </c>
    </row>
    <row r="2">
      <c r="A2" s="3" t="inlineStr">
        <is>
          <t>Audited Double-Entry General Journals for FY 2023, FY 2024 &amp; FY 2025</t>
        </is>
      </c>
    </row>
    <row r="3"/>
    <row r="4">
      <c r="A4" s="4" t="inlineStr">
        <is>
          <t>Journal ID</t>
        </is>
      </c>
      <c r="B4" s="4" t="inlineStr">
        <is>
          <t>Effective Date</t>
        </is>
      </c>
      <c r="C4" s="4" t="inlineStr">
        <is>
          <t>Evidence / Source Ref</t>
        </is>
      </c>
      <c r="D4" s="4" t="inlineStr">
        <is>
          <t>Legal Entity</t>
        </is>
      </c>
      <c r="E4" s="4" t="inlineStr">
        <is>
          <t>Project Code</t>
        </is>
      </c>
      <c r="F4" s="4" t="inlineStr">
        <is>
          <t>Account Code</t>
        </is>
      </c>
      <c r="G4" s="4" t="inlineStr">
        <is>
          <t>Account Title</t>
        </is>
      </c>
      <c r="H4" s="4" t="inlineStr">
        <is>
          <t>Debit (NGN)</t>
        </is>
      </c>
      <c r="I4" s="4" t="inlineStr">
        <is>
          <t>Credit (NGN)</t>
        </is>
      </c>
      <c r="J4" s="4" t="inlineStr">
        <is>
          <t>Narration &amp; Accounting Rationale</t>
        </is>
      </c>
      <c r="K4" s="4" t="inlineStr">
        <is>
          <t>Preparer</t>
        </is>
      </c>
      <c r="L4" s="4" t="inlineStr">
        <is>
          <t>Status</t>
        </is>
      </c>
      <c r="M4" s="4" t="inlineStr">
        <is>
          <t>Approval</t>
        </is>
      </c>
    </row>
    <row r="5">
      <c r="A5" s="11" t="inlineStr">
        <is>
          <t>JRN-2023-001</t>
        </is>
      </c>
      <c r="B5" s="11" t="inlineStr">
        <is>
          <t>2023-01-01</t>
        </is>
      </c>
      <c r="C5" s="11" t="inlineStr">
        <is>
          <t>AFS-2022-P12</t>
        </is>
      </c>
      <c r="D5" s="9" t="inlineStr">
        <is>
          <t>Baay Projects Limited</t>
        </is>
      </c>
      <c r="E5" s="11" t="inlineStr">
        <is>
          <t>PROJ-GEN</t>
        </is>
      </c>
      <c r="F5" s="11" t="inlineStr">
        <is>
          <t>1510</t>
        </is>
      </c>
      <c r="G5" s="8" t="inlineStr">
        <is>
          <t>PPE - Office &amp; Site Equipment</t>
        </is>
      </c>
      <c r="H5" s="22" t="n">
        <v>23850</v>
      </c>
      <c r="I5" s="22" t="n">
        <v>0</v>
      </c>
      <c r="J5" s="9" t="inlineStr">
        <is>
          <t>Opening PPE Gross Cost per 2022 AFS Note 8</t>
        </is>
      </c>
      <c r="K5" s="10" t="inlineStr">
        <is>
          <t>Finance Team</t>
        </is>
      </c>
      <c r="L5" s="12" t="inlineStr">
        <is>
          <t>POSTED</t>
        </is>
      </c>
      <c r="M5" s="11" t="inlineStr">
        <is>
          <t>Approved</t>
        </is>
      </c>
    </row>
    <row r="6">
      <c r="A6" s="13" t="inlineStr">
        <is>
          <t>JRN-2023-001</t>
        </is>
      </c>
      <c r="B6" s="13" t="inlineStr">
        <is>
          <t>2023-01-01</t>
        </is>
      </c>
      <c r="C6" s="13" t="inlineStr">
        <is>
          <t>AFS-2022-P12</t>
        </is>
      </c>
      <c r="D6" s="6" t="inlineStr">
        <is>
          <t>Baay Projects Limited</t>
        </is>
      </c>
      <c r="E6" s="13" t="inlineStr">
        <is>
          <t>PROJ-GEN</t>
        </is>
      </c>
      <c r="F6" s="13" t="inlineStr">
        <is>
          <t>1590</t>
        </is>
      </c>
      <c r="G6" s="5" t="inlineStr">
        <is>
          <t>Accumulated Depreciation - PPE</t>
        </is>
      </c>
      <c r="H6" s="21" t="n">
        <v>0</v>
      </c>
      <c r="I6" s="21" t="n">
        <v>14310</v>
      </c>
      <c r="J6" s="6" t="inlineStr">
        <is>
          <t>Opening PPE Accumulated Depreciation per 2022 AFS Note 8</t>
        </is>
      </c>
      <c r="K6" s="7" t="inlineStr">
        <is>
          <t>Finance Team</t>
        </is>
      </c>
      <c r="L6" s="14" t="inlineStr">
        <is>
          <t>POSTED</t>
        </is>
      </c>
      <c r="M6" s="13" t="inlineStr">
        <is>
          <t>Approved</t>
        </is>
      </c>
    </row>
    <row r="7">
      <c r="A7" s="11" t="inlineStr">
        <is>
          <t>JRN-2023-001</t>
        </is>
      </c>
      <c r="B7" s="11" t="inlineStr">
        <is>
          <t>2023-01-01</t>
        </is>
      </c>
      <c r="C7" s="11" t="inlineStr">
        <is>
          <t>AFS-2022-P12</t>
        </is>
      </c>
      <c r="D7" s="9" t="inlineStr">
        <is>
          <t>Baay Projects Limited</t>
        </is>
      </c>
      <c r="E7" s="11" t="inlineStr">
        <is>
          <t>PROJ-GEN</t>
        </is>
      </c>
      <c r="F7" s="11" t="inlineStr">
        <is>
          <t>1110</t>
        </is>
      </c>
      <c r="G7" s="8" t="inlineStr">
        <is>
          <t>Trade Receivables - Construction</t>
        </is>
      </c>
      <c r="H7" s="22" t="n">
        <v>3374668</v>
      </c>
      <c r="I7" s="22" t="n">
        <v>0</v>
      </c>
      <c r="J7" s="9" t="inlineStr">
        <is>
          <t>Opening Trade Debtors and Prepayments per 2022 AFS</t>
        </is>
      </c>
      <c r="K7" s="10" t="inlineStr">
        <is>
          <t>Finance Team</t>
        </is>
      </c>
      <c r="L7" s="12" t="inlineStr">
        <is>
          <t>POSTED</t>
        </is>
      </c>
      <c r="M7" s="11" t="inlineStr">
        <is>
          <t>Approved</t>
        </is>
      </c>
    </row>
    <row r="8">
      <c r="A8" s="13" t="inlineStr">
        <is>
          <t>JRN-2023-001</t>
        </is>
      </c>
      <c r="B8" s="13" t="inlineStr">
        <is>
          <t>2023-01-01</t>
        </is>
      </c>
      <c r="C8" s="13" t="inlineStr">
        <is>
          <t>AFS-2022-P12</t>
        </is>
      </c>
      <c r="D8" s="6" t="inlineStr">
        <is>
          <t>Baay Projects Limited</t>
        </is>
      </c>
      <c r="E8" s="13" t="inlineStr">
        <is>
          <t>PROJ-GEN</t>
        </is>
      </c>
      <c r="F8" s="13" t="inlineStr">
        <is>
          <t>1010</t>
        </is>
      </c>
      <c r="G8" s="5" t="inlineStr">
        <is>
          <t>Providus Bank - A/C 5400281942</t>
        </is>
      </c>
      <c r="H8" s="21" t="n">
        <v>52500</v>
      </c>
      <c r="I8" s="21" t="n">
        <v>0</v>
      </c>
      <c r="J8" s="6" t="inlineStr">
        <is>
          <t>Opening Cash and Cash Equivalents per 2022 Audited Balance Sheet</t>
        </is>
      </c>
      <c r="K8" s="7" t="inlineStr">
        <is>
          <t>Finance Team</t>
        </is>
      </c>
      <c r="L8" s="14" t="inlineStr">
        <is>
          <t>POSTED</t>
        </is>
      </c>
      <c r="M8" s="13" t="inlineStr">
        <is>
          <t>Approved</t>
        </is>
      </c>
    </row>
    <row r="9">
      <c r="A9" s="11" t="inlineStr">
        <is>
          <t>JRN-2023-001</t>
        </is>
      </c>
      <c r="B9" s="11" t="inlineStr">
        <is>
          <t>2023-01-01</t>
        </is>
      </c>
      <c r="C9" s="11" t="inlineStr">
        <is>
          <t>AFS-2022-P12</t>
        </is>
      </c>
      <c r="D9" s="9" t="inlineStr">
        <is>
          <t>Baay Projects Limited</t>
        </is>
      </c>
      <c r="E9" s="11" t="inlineStr">
        <is>
          <t>PROJ-GEN</t>
        </is>
      </c>
      <c r="F9" s="11" t="inlineStr">
        <is>
          <t>2010</t>
        </is>
      </c>
      <c r="G9" s="8" t="inlineStr">
        <is>
          <t>Trade Payables - Subcontractors &amp; Materials</t>
        </is>
      </c>
      <c r="H9" s="22" t="n">
        <v>0</v>
      </c>
      <c r="I9" s="22" t="n">
        <v>25000</v>
      </c>
      <c r="J9" s="9" t="inlineStr">
        <is>
          <t>Opening Trade Payables per 2022 Audited Balance Sheet</t>
        </is>
      </c>
      <c r="K9" s="10" t="inlineStr">
        <is>
          <t>Finance Team</t>
        </is>
      </c>
      <c r="L9" s="12" t="inlineStr">
        <is>
          <t>POSTED</t>
        </is>
      </c>
      <c r="M9" s="11" t="inlineStr">
        <is>
          <t>Approved</t>
        </is>
      </c>
    </row>
    <row r="10">
      <c r="A10" s="13" t="inlineStr">
        <is>
          <t>JRN-2023-001</t>
        </is>
      </c>
      <c r="B10" s="13" t="inlineStr">
        <is>
          <t>2023-01-01</t>
        </is>
      </c>
      <c r="C10" s="13" t="inlineStr">
        <is>
          <t>AFS-2022-P12</t>
        </is>
      </c>
      <c r="D10" s="6" t="inlineStr">
        <is>
          <t>Baay Projects Limited</t>
        </is>
      </c>
      <c r="E10" s="13" t="inlineStr">
        <is>
          <t>PROJ-GEN</t>
        </is>
      </c>
      <c r="F10" s="13" t="inlineStr">
        <is>
          <t>2030</t>
        </is>
      </c>
      <c r="G10" s="5" t="inlineStr">
        <is>
          <t>Accrued Audit, Tax &amp; Professional Fees</t>
        </is>
      </c>
      <c r="H10" s="21" t="n">
        <v>0</v>
      </c>
      <c r="I10" s="21" t="n">
        <v>50000</v>
      </c>
      <c r="J10" s="6" t="inlineStr">
        <is>
          <t>Opening Audit Fee Accrual per 2022 Audited Balance Sheet</t>
        </is>
      </c>
      <c r="K10" s="7" t="inlineStr">
        <is>
          <t>Finance Team</t>
        </is>
      </c>
      <c r="L10" s="14" t="inlineStr">
        <is>
          <t>POSTED</t>
        </is>
      </c>
      <c r="M10" s="13" t="inlineStr">
        <is>
          <t>Approved</t>
        </is>
      </c>
    </row>
    <row r="11">
      <c r="A11" s="11" t="inlineStr">
        <is>
          <t>JRN-2023-001</t>
        </is>
      </c>
      <c r="B11" s="11" t="inlineStr">
        <is>
          <t>2023-01-01</t>
        </is>
      </c>
      <c r="C11" s="11" t="inlineStr">
        <is>
          <t>AFS-2022-P12</t>
        </is>
      </c>
      <c r="D11" s="9" t="inlineStr">
        <is>
          <t>Baay Projects Limited</t>
        </is>
      </c>
      <c r="E11" s="11" t="inlineStr">
        <is>
          <t>PROJ-GEN</t>
        </is>
      </c>
      <c r="F11" s="11" t="inlineStr">
        <is>
          <t>3010</t>
        </is>
      </c>
      <c r="G11" s="8" t="inlineStr">
        <is>
          <t>Ordinary Share Capital (₦1.00 par)</t>
        </is>
      </c>
      <c r="H11" s="22" t="n">
        <v>0</v>
      </c>
      <c r="I11" s="22" t="n">
        <v>1000000</v>
      </c>
      <c r="J11" s="9" t="inlineStr">
        <is>
          <t>1,000,000 Ordinary Shares of ₦1.00 each fully paid</t>
        </is>
      </c>
      <c r="K11" s="10" t="inlineStr">
        <is>
          <t>Finance Team</t>
        </is>
      </c>
      <c r="L11" s="12" t="inlineStr">
        <is>
          <t>POSTED</t>
        </is>
      </c>
      <c r="M11" s="11" t="inlineStr">
        <is>
          <t>Approved</t>
        </is>
      </c>
    </row>
    <row r="12">
      <c r="A12" s="13" t="inlineStr">
        <is>
          <t>JRN-2023-001</t>
        </is>
      </c>
      <c r="B12" s="13" t="inlineStr">
        <is>
          <t>2023-01-01</t>
        </is>
      </c>
      <c r="C12" s="13" t="inlineStr">
        <is>
          <t>AFS-2022-P12</t>
        </is>
      </c>
      <c r="D12" s="6" t="inlineStr">
        <is>
          <t>Baay Projects Limited</t>
        </is>
      </c>
      <c r="E12" s="13" t="inlineStr">
        <is>
          <t>PROJ-GEN</t>
        </is>
      </c>
      <c r="F12" s="13" t="inlineStr">
        <is>
          <t>3020</t>
        </is>
      </c>
      <c r="G12" s="5" t="inlineStr">
        <is>
          <t>Retained Earnings (Accumulated Profit)</t>
        </is>
      </c>
      <c r="H12" s="21" t="n">
        <v>0</v>
      </c>
      <c r="I12" s="21" t="n">
        <v>2361708</v>
      </c>
      <c r="J12" s="6" t="inlineStr">
        <is>
          <t>Opening Cumulative Retained Earnings B/F from 2022</t>
        </is>
      </c>
      <c r="K12" s="7" t="inlineStr">
        <is>
          <t>Finance Team</t>
        </is>
      </c>
      <c r="L12" s="14" t="inlineStr">
        <is>
          <t>POSTED</t>
        </is>
      </c>
      <c r="M12" s="13" t="inlineStr">
        <is>
          <t>Approved</t>
        </is>
      </c>
    </row>
    <row r="13">
      <c r="A13" s="11" t="inlineStr">
        <is>
          <t>JRN-2023-002</t>
        </is>
      </c>
      <c r="B13" s="11" t="inlineStr">
        <is>
          <t>2023-01-28</t>
        </is>
      </c>
      <c r="C13" s="11" t="inlineStr">
        <is>
          <t>INV-GEO-01</t>
        </is>
      </c>
      <c r="D13" s="9" t="inlineStr">
        <is>
          <t>Baay Projects Limited</t>
        </is>
      </c>
      <c r="E13" s="11" t="inlineStr">
        <is>
          <t>PROJ-GEN</t>
        </is>
      </c>
      <c r="F13" s="11" t="inlineStr">
        <is>
          <t>1510</t>
        </is>
      </c>
      <c r="G13" s="8" t="inlineStr">
        <is>
          <t>PPE - Office &amp; Site Equipment</t>
        </is>
      </c>
      <c r="H13" s="22" t="n">
        <v>1800000</v>
      </c>
      <c r="I13" s="22" t="n">
        <v>0</v>
      </c>
      <c r="J13" s="9" t="inlineStr">
        <is>
          <t>Purchase of site surveying and engineering equipment (IAS 16)</t>
        </is>
      </c>
      <c r="K13" s="10" t="inlineStr">
        <is>
          <t>Finance Team</t>
        </is>
      </c>
      <c r="L13" s="12" t="inlineStr">
        <is>
          <t>POSTED</t>
        </is>
      </c>
      <c r="M13" s="11" t="inlineStr">
        <is>
          <t>Approved</t>
        </is>
      </c>
    </row>
    <row r="14">
      <c r="A14" s="13" t="inlineStr">
        <is>
          <t>JRN-2023-002</t>
        </is>
      </c>
      <c r="B14" s="13" t="inlineStr">
        <is>
          <t>2023-01-28</t>
        </is>
      </c>
      <c r="C14" s="13" t="inlineStr">
        <is>
          <t>INV-GEO-01</t>
        </is>
      </c>
      <c r="D14" s="6" t="inlineStr">
        <is>
          <t>Baay Projects Limited</t>
        </is>
      </c>
      <c r="E14" s="13" t="inlineStr">
        <is>
          <t>PROJ-GEN</t>
        </is>
      </c>
      <c r="F14" s="13" t="inlineStr">
        <is>
          <t>1010</t>
        </is>
      </c>
      <c r="G14" s="5" t="inlineStr">
        <is>
          <t>Providus Bank - A/C 5400281942</t>
        </is>
      </c>
      <c r="H14" s="21" t="n">
        <v>0</v>
      </c>
      <c r="I14" s="21" t="n">
        <v>1800000</v>
      </c>
      <c r="J14" s="6" t="inlineStr">
        <is>
          <t>Bank payment for PPE acquisition</t>
        </is>
      </c>
      <c r="K14" s="7" t="inlineStr">
        <is>
          <t>Finance Team</t>
        </is>
      </c>
      <c r="L14" s="14" t="inlineStr">
        <is>
          <t>POSTED</t>
        </is>
      </c>
      <c r="M14" s="13" t="inlineStr">
        <is>
          <t>Approved</t>
        </is>
      </c>
    </row>
    <row r="15">
      <c r="A15" s="11" t="inlineStr">
        <is>
          <t>JRN-2023-003</t>
        </is>
      </c>
      <c r="B15" s="11" t="inlineStr">
        <is>
          <t>2023-02-15</t>
        </is>
      </c>
      <c r="C15" s="11" t="inlineStr">
        <is>
          <t>DIR-LOAN-01</t>
        </is>
      </c>
      <c r="D15" s="9" t="inlineStr">
        <is>
          <t>Baay Projects Limited</t>
        </is>
      </c>
      <c r="E15" s="11" t="inlineStr">
        <is>
          <t>PROJ-GEN</t>
        </is>
      </c>
      <c r="F15" s="11" t="inlineStr">
        <is>
          <t>1010</t>
        </is>
      </c>
      <c r="G15" s="8" t="inlineStr">
        <is>
          <t>Providus Bank - A/C 5400281942</t>
        </is>
      </c>
      <c r="H15" s="22" t="n">
        <v>4500000</v>
      </c>
      <c r="I15" s="22" t="n">
        <v>0</v>
      </c>
      <c r="J15" s="9" t="inlineStr">
        <is>
          <t>Director long-term project loan injection (Adegoke Segun Babatunde)</t>
        </is>
      </c>
      <c r="K15" s="10" t="inlineStr">
        <is>
          <t>Finance Team</t>
        </is>
      </c>
      <c r="L15" s="12" t="inlineStr">
        <is>
          <t>POSTED</t>
        </is>
      </c>
      <c r="M15" s="11" t="inlineStr">
        <is>
          <t>Approved</t>
        </is>
      </c>
    </row>
    <row r="16">
      <c r="A16" s="13" t="inlineStr">
        <is>
          <t>JRN-2023-003</t>
        </is>
      </c>
      <c r="B16" s="13" t="inlineStr">
        <is>
          <t>2023-02-15</t>
        </is>
      </c>
      <c r="C16" s="13" t="inlineStr">
        <is>
          <t>DIR-LOAN-01</t>
        </is>
      </c>
      <c r="D16" s="6" t="inlineStr">
        <is>
          <t>Baay Projects Limited</t>
        </is>
      </c>
      <c r="E16" s="13" t="inlineStr">
        <is>
          <t>PROJ-GEN</t>
        </is>
      </c>
      <c r="F16" s="13" t="inlineStr">
        <is>
          <t>2510</t>
        </is>
      </c>
      <c r="G16" s="5" t="inlineStr">
        <is>
          <t>Director's Loan &amp; Long-Term Project Funding</t>
        </is>
      </c>
      <c r="H16" s="21" t="n">
        <v>0</v>
      </c>
      <c r="I16" s="21" t="n">
        <v>4500000</v>
      </c>
      <c r="J16" s="6" t="inlineStr">
        <is>
          <t>Long-term related party project funding (IAS 24)</t>
        </is>
      </c>
      <c r="K16" s="7" t="inlineStr">
        <is>
          <t>Finance Team</t>
        </is>
      </c>
      <c r="L16" s="14" t="inlineStr">
        <is>
          <t>POSTED</t>
        </is>
      </c>
      <c r="M16" s="13" t="inlineStr">
        <is>
          <t>Approved</t>
        </is>
      </c>
    </row>
    <row r="17">
      <c r="A17" s="11" t="inlineStr">
        <is>
          <t>JRN-2023-004</t>
        </is>
      </c>
      <c r="B17" s="11" t="inlineStr">
        <is>
          <t>2023-12-31</t>
        </is>
      </c>
      <c r="C17" s="11" t="inlineStr">
        <is>
          <t>CNT-LEK-01</t>
        </is>
      </c>
      <c r="D17" s="9" t="inlineStr">
        <is>
          <t>Baay Projects Limited</t>
        </is>
      </c>
      <c r="E17" s="11" t="inlineStr">
        <is>
          <t>PROJ-101</t>
        </is>
      </c>
      <c r="F17" s="11" t="inlineStr">
        <is>
          <t>1110</t>
        </is>
      </c>
      <c r="G17" s="8" t="inlineStr">
        <is>
          <t>Trade Receivables - Construction</t>
        </is>
      </c>
      <c r="H17" s="22" t="n">
        <v>15500000</v>
      </c>
      <c r="I17" s="22" t="n">
        <v>0</v>
      </c>
      <c r="J17" s="9" t="inlineStr">
        <is>
          <t>Billed progress billings on Lekki Phase 1 construction</t>
        </is>
      </c>
      <c r="K17" s="10" t="inlineStr">
        <is>
          <t>Finance Team</t>
        </is>
      </c>
      <c r="L17" s="12" t="inlineStr">
        <is>
          <t>POSTED</t>
        </is>
      </c>
      <c r="M17" s="11" t="inlineStr">
        <is>
          <t>Approved</t>
        </is>
      </c>
    </row>
    <row r="18">
      <c r="A18" s="13" t="inlineStr">
        <is>
          <t>JRN-2023-004</t>
        </is>
      </c>
      <c r="B18" s="13" t="inlineStr">
        <is>
          <t>2023-12-31</t>
        </is>
      </c>
      <c r="C18" s="13" t="inlineStr">
        <is>
          <t>CNT-LEK-01</t>
        </is>
      </c>
      <c r="D18" s="6" t="inlineStr">
        <is>
          <t>Baay Projects Limited</t>
        </is>
      </c>
      <c r="E18" s="13" t="inlineStr">
        <is>
          <t>PROJ-101</t>
        </is>
      </c>
      <c r="F18" s="13" t="inlineStr">
        <is>
          <t>1140</t>
        </is>
      </c>
      <c r="G18" s="5" t="inlineStr">
        <is>
          <t>Contract Assets (Unbilled Certified Work)</t>
        </is>
      </c>
      <c r="H18" s="21" t="n">
        <v>2400000</v>
      </c>
      <c r="I18" s="21" t="n">
        <v>0</v>
      </c>
      <c r="J18" s="6" t="inlineStr">
        <is>
          <t>Unbilled certified work under IFRS 15 over-time recognition</t>
        </is>
      </c>
      <c r="K18" s="7" t="inlineStr">
        <is>
          <t>Finance Team</t>
        </is>
      </c>
      <c r="L18" s="14" t="inlineStr">
        <is>
          <t>POSTED</t>
        </is>
      </c>
      <c r="M18" s="13" t="inlineStr">
        <is>
          <t>Approved</t>
        </is>
      </c>
    </row>
    <row r="19">
      <c r="A19" s="11" t="inlineStr">
        <is>
          <t>JRN-2023-004</t>
        </is>
      </c>
      <c r="B19" s="11" t="inlineStr">
        <is>
          <t>2023-12-31</t>
        </is>
      </c>
      <c r="C19" s="11" t="inlineStr">
        <is>
          <t>CNT-LEK-01</t>
        </is>
      </c>
      <c r="D19" s="9" t="inlineStr">
        <is>
          <t>Baay Projects Limited</t>
        </is>
      </c>
      <c r="E19" s="11" t="inlineStr">
        <is>
          <t>PROJ-101</t>
        </is>
      </c>
      <c r="F19" s="11" t="inlineStr">
        <is>
          <t>2020</t>
        </is>
      </c>
      <c r="G19" s="8" t="inlineStr">
        <is>
          <t>Contract Liabilities - Customer Deposits</t>
        </is>
      </c>
      <c r="H19" s="22" t="n">
        <v>4100000</v>
      </c>
      <c r="I19" s="22" t="n">
        <v>0</v>
      </c>
      <c r="J19" s="9" t="inlineStr">
        <is>
          <t>Mobilization advance applied to revenue earned</t>
        </is>
      </c>
      <c r="K19" s="10" t="inlineStr">
        <is>
          <t>Finance Team</t>
        </is>
      </c>
      <c r="L19" s="12" t="inlineStr">
        <is>
          <t>POSTED</t>
        </is>
      </c>
      <c r="M19" s="11" t="inlineStr">
        <is>
          <t>Approved</t>
        </is>
      </c>
    </row>
    <row r="20">
      <c r="A20" s="13" t="inlineStr">
        <is>
          <t>JRN-2023-004</t>
        </is>
      </c>
      <c r="B20" s="13" t="inlineStr">
        <is>
          <t>2023-12-31</t>
        </is>
      </c>
      <c r="C20" s="13" t="inlineStr">
        <is>
          <t>CNT-LEK-01</t>
        </is>
      </c>
      <c r="D20" s="6" t="inlineStr">
        <is>
          <t>Baay Projects Limited</t>
        </is>
      </c>
      <c r="E20" s="13" t="inlineStr">
        <is>
          <t>PROJ-101</t>
        </is>
      </c>
      <c r="F20" s="13" t="inlineStr">
        <is>
          <t>4010</t>
        </is>
      </c>
      <c r="G20" s="5" t="inlineStr">
        <is>
          <t>Revenue - Civil Engineering &amp; Construction</t>
        </is>
      </c>
      <c r="H20" s="21" t="n">
        <v>0</v>
      </c>
      <c r="I20" s="21" t="n">
        <v>22000000</v>
      </c>
      <c r="J20" s="6" t="inlineStr">
        <is>
          <t>IFRS 15 over-time construction revenue recognized (cost-to-cost)</t>
        </is>
      </c>
      <c r="K20" s="7" t="inlineStr">
        <is>
          <t>Finance Team</t>
        </is>
      </c>
      <c r="L20" s="14" t="inlineStr">
        <is>
          <t>POSTED</t>
        </is>
      </c>
      <c r="M20" s="13" t="inlineStr">
        <is>
          <t>Approved</t>
        </is>
      </c>
    </row>
    <row r="21">
      <c r="A21" s="11" t="inlineStr">
        <is>
          <t>JRN-2023-005</t>
        </is>
      </c>
      <c r="B21" s="11" t="inlineStr">
        <is>
          <t>2023-12-31</t>
        </is>
      </c>
      <c r="C21" s="11" t="inlineStr">
        <is>
          <t>LND-IBJ-01</t>
        </is>
      </c>
      <c r="D21" s="9" t="inlineStr">
        <is>
          <t>Baay Projects Limited</t>
        </is>
      </c>
      <c r="E21" s="11" t="inlineStr">
        <is>
          <t>PROJ-102</t>
        </is>
      </c>
      <c r="F21" s="11" t="inlineStr">
        <is>
          <t>1010</t>
        </is>
      </c>
      <c r="G21" s="8" t="inlineStr">
        <is>
          <t>Providus Bank - A/C 5400281942</t>
        </is>
      </c>
      <c r="H21" s="22" t="n">
        <v>12500000</v>
      </c>
      <c r="I21" s="22" t="n">
        <v>0</v>
      </c>
      <c r="J21" s="9" t="inlineStr">
        <is>
          <t>Proceeds from sale of 4 serviced plots Ibeju-Lekki Scheme 1</t>
        </is>
      </c>
      <c r="K21" s="10" t="inlineStr">
        <is>
          <t>Finance Team</t>
        </is>
      </c>
      <c r="L21" s="12" t="inlineStr">
        <is>
          <t>POSTED</t>
        </is>
      </c>
      <c r="M21" s="11" t="inlineStr">
        <is>
          <t>Approved</t>
        </is>
      </c>
    </row>
    <row r="22">
      <c r="A22" s="13" t="inlineStr">
        <is>
          <t>JRN-2023-005</t>
        </is>
      </c>
      <c r="B22" s="13" t="inlineStr">
        <is>
          <t>2023-12-31</t>
        </is>
      </c>
      <c r="C22" s="13" t="inlineStr">
        <is>
          <t>LND-IBJ-01</t>
        </is>
      </c>
      <c r="D22" s="6" t="inlineStr">
        <is>
          <t>Baay Projects Limited</t>
        </is>
      </c>
      <c r="E22" s="13" t="inlineStr">
        <is>
          <t>PROJ-102</t>
        </is>
      </c>
      <c r="F22" s="13" t="inlineStr">
        <is>
          <t>4020</t>
        </is>
      </c>
      <c r="G22" s="5" t="inlineStr">
        <is>
          <t>Revenue - Land Subdivision &amp; Real Estate Sales</t>
        </is>
      </c>
      <c r="H22" s="21" t="n">
        <v>0</v>
      </c>
      <c r="I22" s="21" t="n">
        <v>12500000</v>
      </c>
      <c r="J22" s="6" t="inlineStr">
        <is>
          <t>Point-in-time revenue recognized upon title execution (IFRS 15)</t>
        </is>
      </c>
      <c r="K22" s="7" t="inlineStr">
        <is>
          <t>Finance Team</t>
        </is>
      </c>
      <c r="L22" s="14" t="inlineStr">
        <is>
          <t>POSTED</t>
        </is>
      </c>
      <c r="M22" s="13" t="inlineStr">
        <is>
          <t>Approved</t>
        </is>
      </c>
    </row>
    <row r="23">
      <c r="A23" s="11" t="inlineStr">
        <is>
          <t>JRN-2023-006</t>
        </is>
      </c>
      <c r="B23" s="11" t="inlineStr">
        <is>
          <t>2023-12-31</t>
        </is>
      </c>
      <c r="C23" s="11" t="inlineStr">
        <is>
          <t>CON-IKJ-01</t>
        </is>
      </c>
      <c r="D23" s="9" t="inlineStr">
        <is>
          <t>Baay Projects Limited</t>
        </is>
      </c>
      <c r="E23" s="11" t="inlineStr">
        <is>
          <t>PROJ-103</t>
        </is>
      </c>
      <c r="F23" s="11" t="inlineStr">
        <is>
          <t>1010</t>
        </is>
      </c>
      <c r="G23" s="8" t="inlineStr">
        <is>
          <t>Providus Bank - A/C 5400281942</t>
        </is>
      </c>
      <c r="H23" s="22" t="n">
        <v>4000000</v>
      </c>
      <c r="I23" s="22" t="n">
        <v>0</v>
      </c>
      <c r="J23" s="9" t="inlineStr">
        <is>
          <t>Consultancy fees received for Ikeja commercial project</t>
        </is>
      </c>
      <c r="K23" s="10" t="inlineStr">
        <is>
          <t>Finance Team</t>
        </is>
      </c>
      <c r="L23" s="12" t="inlineStr">
        <is>
          <t>POSTED</t>
        </is>
      </c>
      <c r="M23" s="11" t="inlineStr">
        <is>
          <t>Approved</t>
        </is>
      </c>
    </row>
    <row r="24">
      <c r="A24" s="13" t="inlineStr">
        <is>
          <t>JRN-2023-006</t>
        </is>
      </c>
      <c r="B24" s="13" t="inlineStr">
        <is>
          <t>2023-12-31</t>
        </is>
      </c>
      <c r="C24" s="13" t="inlineStr">
        <is>
          <t>CON-IKJ-01</t>
        </is>
      </c>
      <c r="D24" s="6" t="inlineStr">
        <is>
          <t>Baay Projects Limited</t>
        </is>
      </c>
      <c r="E24" s="13" t="inlineStr">
        <is>
          <t>PROJ-103</t>
        </is>
      </c>
      <c r="F24" s="13" t="inlineStr">
        <is>
          <t>4030</t>
        </is>
      </c>
      <c r="G24" s="5" t="inlineStr">
        <is>
          <t>Revenue - Project Management &amp; Consulting</t>
        </is>
      </c>
      <c r="H24" s="21" t="n">
        <v>0</v>
      </c>
      <c r="I24" s="21" t="n">
        <v>4000000</v>
      </c>
      <c r="J24" s="6" t="inlineStr">
        <is>
          <t>Consultancy revenue recognized as services delivered (IFRS 15)</t>
        </is>
      </c>
      <c r="K24" s="7" t="inlineStr">
        <is>
          <t>Finance Team</t>
        </is>
      </c>
      <c r="L24" s="14" t="inlineStr">
        <is>
          <t>POSTED</t>
        </is>
      </c>
      <c r="M24" s="13" t="inlineStr">
        <is>
          <t>Approved</t>
        </is>
      </c>
    </row>
    <row r="25">
      <c r="A25" s="11" t="inlineStr">
        <is>
          <t>JRN-2023-007</t>
        </is>
      </c>
      <c r="B25" s="11" t="inlineStr">
        <is>
          <t>2023-12-31</t>
        </is>
      </c>
      <c r="C25" s="11" t="inlineStr">
        <is>
          <t>COS-MAT-01</t>
        </is>
      </c>
      <c r="D25" s="9" t="inlineStr">
        <is>
          <t>Baay Projects Limited</t>
        </is>
      </c>
      <c r="E25" s="11" t="inlineStr">
        <is>
          <t>PROJ-101</t>
        </is>
      </c>
      <c r="F25" s="11" t="inlineStr">
        <is>
          <t>5010</t>
        </is>
      </c>
      <c r="G25" s="8" t="inlineStr">
        <is>
          <t>Cost of Sales - Construction Materials &amp; Subcontracts</t>
        </is>
      </c>
      <c r="H25" s="22" t="n">
        <v>14200000</v>
      </c>
      <c r="I25" s="22" t="n">
        <v>0</v>
      </c>
      <c r="J25" s="9" t="inlineStr">
        <is>
          <t>Direct construction materials &amp; subcontracts for Lekki project</t>
        </is>
      </c>
      <c r="K25" s="10" t="inlineStr">
        <is>
          <t>Finance Team</t>
        </is>
      </c>
      <c r="L25" s="12" t="inlineStr">
        <is>
          <t>POSTED</t>
        </is>
      </c>
      <c r="M25" s="11" t="inlineStr">
        <is>
          <t>Approved</t>
        </is>
      </c>
    </row>
    <row r="26">
      <c r="A26" s="13" t="inlineStr">
        <is>
          <t>JRN-2023-007</t>
        </is>
      </c>
      <c r="B26" s="13" t="inlineStr">
        <is>
          <t>2023-12-31</t>
        </is>
      </c>
      <c r="C26" s="13" t="inlineStr">
        <is>
          <t>COS-LND-01</t>
        </is>
      </c>
      <c r="D26" s="6" t="inlineStr">
        <is>
          <t>Baay Projects Limited</t>
        </is>
      </c>
      <c r="E26" s="13" t="inlineStr">
        <is>
          <t>PROJ-102</t>
        </is>
      </c>
      <c r="F26" s="13" t="inlineStr">
        <is>
          <t>5020</t>
        </is>
      </c>
      <c r="G26" s="5" t="inlineStr">
        <is>
          <t>Cost of Sales - Land Inventory Released</t>
        </is>
      </c>
      <c r="H26" s="21" t="n">
        <v>8100000</v>
      </c>
      <c r="I26" s="21" t="n">
        <v>0</v>
      </c>
      <c r="J26" s="6" t="inlineStr">
        <is>
          <t>Land cost released from inventory for 4 plots sold (IAS 2)</t>
        </is>
      </c>
      <c r="K26" s="7" t="inlineStr">
        <is>
          <t>Finance Team</t>
        </is>
      </c>
      <c r="L26" s="14" t="inlineStr">
        <is>
          <t>POSTED</t>
        </is>
      </c>
      <c r="M26" s="13" t="inlineStr">
        <is>
          <t>Approved</t>
        </is>
      </c>
    </row>
    <row r="27">
      <c r="A27" s="11" t="inlineStr">
        <is>
          <t>JRN-2023-007</t>
        </is>
      </c>
      <c r="B27" s="11" t="inlineStr">
        <is>
          <t>2023-12-31</t>
        </is>
      </c>
      <c r="C27" s="11" t="inlineStr">
        <is>
          <t>COS-LAB-01</t>
        </is>
      </c>
      <c r="D27" s="9" t="inlineStr">
        <is>
          <t>Baay Projects Limited</t>
        </is>
      </c>
      <c r="E27" s="11" t="inlineStr">
        <is>
          <t>PROJ-101</t>
        </is>
      </c>
      <c r="F27" s="11" t="inlineStr">
        <is>
          <t>5030</t>
        </is>
      </c>
      <c r="G27" s="8" t="inlineStr">
        <is>
          <t>Cost of Sales - Direct Site Labor &amp; Hire</t>
        </is>
      </c>
      <c r="H27" s="22" t="n">
        <v>2350000</v>
      </c>
      <c r="I27" s="22" t="n">
        <v>0</v>
      </c>
      <c r="J27" s="9" t="inlineStr">
        <is>
          <t>Direct site labor and heavy equipment rentals</t>
        </is>
      </c>
      <c r="K27" s="10" t="inlineStr">
        <is>
          <t>Finance Team</t>
        </is>
      </c>
      <c r="L27" s="12" t="inlineStr">
        <is>
          <t>POSTED</t>
        </is>
      </c>
      <c r="M27" s="11" t="inlineStr">
        <is>
          <t>Approved</t>
        </is>
      </c>
    </row>
    <row r="28">
      <c r="A28" s="13" t="inlineStr">
        <is>
          <t>JRN-2023-007</t>
        </is>
      </c>
      <c r="B28" s="13" t="inlineStr">
        <is>
          <t>2023-12-31</t>
        </is>
      </c>
      <c r="C28" s="13" t="inlineStr">
        <is>
          <t>COS-ALL-01</t>
        </is>
      </c>
      <c r="D28" s="6" t="inlineStr">
        <is>
          <t>Baay Projects Limited</t>
        </is>
      </c>
      <c r="E28" s="13" t="inlineStr">
        <is>
          <t>PROJ-GEN</t>
        </is>
      </c>
      <c r="F28" s="13" t="inlineStr">
        <is>
          <t>1010</t>
        </is>
      </c>
      <c r="G28" s="5" t="inlineStr">
        <is>
          <t>Providus Bank - A/C 5400281942</t>
        </is>
      </c>
      <c r="H28" s="21" t="n">
        <v>0</v>
      </c>
      <c r="I28" s="21" t="n">
        <v>22525000</v>
      </c>
      <c r="J28" s="6" t="inlineStr">
        <is>
          <t>Direct payments made via bank during 2023</t>
        </is>
      </c>
      <c r="K28" s="7" t="inlineStr">
        <is>
          <t>Finance Team</t>
        </is>
      </c>
      <c r="L28" s="14" t="inlineStr">
        <is>
          <t>POSTED</t>
        </is>
      </c>
      <c r="M28" s="13" t="inlineStr">
        <is>
          <t>Approved</t>
        </is>
      </c>
    </row>
    <row r="29">
      <c r="A29" s="11" t="inlineStr">
        <is>
          <t>JRN-2023-007</t>
        </is>
      </c>
      <c r="B29" s="11" t="inlineStr">
        <is>
          <t>2023-12-31</t>
        </is>
      </c>
      <c r="C29" s="11" t="inlineStr">
        <is>
          <t>COS-ALL-01</t>
        </is>
      </c>
      <c r="D29" s="9" t="inlineStr">
        <is>
          <t>Baay Projects Limited</t>
        </is>
      </c>
      <c r="E29" s="11" t="inlineStr">
        <is>
          <t>PROJ-GEN</t>
        </is>
      </c>
      <c r="F29" s="11" t="inlineStr">
        <is>
          <t>2010</t>
        </is>
      </c>
      <c r="G29" s="8" t="inlineStr">
        <is>
          <t>Trade Payables - Subcontractors &amp; Materials</t>
        </is>
      </c>
      <c r="H29" s="22" t="n">
        <v>0</v>
      </c>
      <c r="I29" s="22" t="n">
        <v>2125000</v>
      </c>
      <c r="J29" s="9" t="inlineStr">
        <is>
          <t>Outstanding direct trade creditors at year-end</t>
        </is>
      </c>
      <c r="K29" s="10" t="inlineStr">
        <is>
          <t>Finance Team</t>
        </is>
      </c>
      <c r="L29" s="12" t="inlineStr">
        <is>
          <t>POSTED</t>
        </is>
      </c>
      <c r="M29" s="11" t="inlineStr">
        <is>
          <t>Approved</t>
        </is>
      </c>
    </row>
    <row r="30">
      <c r="A30" s="13" t="inlineStr">
        <is>
          <t>JRN-2023-008</t>
        </is>
      </c>
      <c r="B30" s="13" t="inlineStr">
        <is>
          <t>2023-12-31</t>
        </is>
      </c>
      <c r="C30" s="13" t="inlineStr">
        <is>
          <t>INV-WIP-01</t>
        </is>
      </c>
      <c r="D30" s="6" t="inlineStr">
        <is>
          <t>Baay Projects Limited</t>
        </is>
      </c>
      <c r="E30" s="13" t="inlineStr">
        <is>
          <t>PROJ-101</t>
        </is>
      </c>
      <c r="F30" s="13" t="inlineStr">
        <is>
          <t>1220</t>
        </is>
      </c>
      <c r="G30" s="5" t="inlineStr">
        <is>
          <t>Development Inventory - Construction WIP</t>
        </is>
      </c>
      <c r="H30" s="21" t="n">
        <v>3250000</v>
      </c>
      <c r="I30" s="21" t="n">
        <v>0</v>
      </c>
      <c r="J30" s="6" t="inlineStr">
        <is>
          <t>Ongoing construction WIP capitalized at cost (IAS 2)</t>
        </is>
      </c>
      <c r="K30" s="7" t="inlineStr">
        <is>
          <t>Finance Team</t>
        </is>
      </c>
      <c r="L30" s="14" t="inlineStr">
        <is>
          <t>POSTED</t>
        </is>
      </c>
      <c r="M30" s="13" t="inlineStr">
        <is>
          <t>Approved</t>
        </is>
      </c>
    </row>
    <row r="31">
      <c r="A31" s="11" t="inlineStr">
        <is>
          <t>JRN-2023-008</t>
        </is>
      </c>
      <c r="B31" s="11" t="inlineStr">
        <is>
          <t>2023-12-31</t>
        </is>
      </c>
      <c r="C31" s="11" t="inlineStr">
        <is>
          <t>INV-LND-01</t>
        </is>
      </c>
      <c r="D31" s="9" t="inlineStr">
        <is>
          <t>Baay Projects Limited</t>
        </is>
      </c>
      <c r="E31" s="11" t="inlineStr">
        <is>
          <t>PROJ-105</t>
        </is>
      </c>
      <c r="F31" s="11" t="inlineStr">
        <is>
          <t>1210</t>
        </is>
      </c>
      <c r="G31" s="8" t="inlineStr">
        <is>
          <t>Development Inventory - Land Held for Resale</t>
        </is>
      </c>
      <c r="H31" s="22" t="n">
        <v>5400000</v>
      </c>
      <c r="I31" s="22" t="n">
        <v>0</v>
      </c>
      <c r="J31" s="9" t="inlineStr">
        <is>
          <t>Epe Scheme 1 land acquired &amp; held for development (IAS 2)</t>
        </is>
      </c>
      <c r="K31" s="10" t="inlineStr">
        <is>
          <t>Finance Team</t>
        </is>
      </c>
      <c r="L31" s="12" t="inlineStr">
        <is>
          <t>POSTED</t>
        </is>
      </c>
      <c r="M31" s="11" t="inlineStr">
        <is>
          <t>Approved</t>
        </is>
      </c>
    </row>
    <row r="32">
      <c r="A32" s="13" t="inlineStr">
        <is>
          <t>JRN-2023-008</t>
        </is>
      </c>
      <c r="B32" s="13" t="inlineStr">
        <is>
          <t>2023-12-31</t>
        </is>
      </c>
      <c r="C32" s="13" t="inlineStr">
        <is>
          <t>INV-BNK-01</t>
        </is>
      </c>
      <c r="D32" s="6" t="inlineStr">
        <is>
          <t>Baay Projects Limited</t>
        </is>
      </c>
      <c r="E32" s="13" t="inlineStr">
        <is>
          <t>PROJ-GEN</t>
        </is>
      </c>
      <c r="F32" s="13" t="inlineStr">
        <is>
          <t>1010</t>
        </is>
      </c>
      <c r="G32" s="5" t="inlineStr">
        <is>
          <t>Providus Bank - A/C 5400281942</t>
        </is>
      </c>
      <c r="H32" s="21" t="n">
        <v>0</v>
      </c>
      <c r="I32" s="21" t="n">
        <v>8650000</v>
      </c>
      <c r="J32" s="6" t="inlineStr">
        <is>
          <t>Cash disbursements for inventory and ongoing WIP additions</t>
        </is>
      </c>
      <c r="K32" s="7" t="inlineStr">
        <is>
          <t>Finance Team</t>
        </is>
      </c>
      <c r="L32" s="14" t="inlineStr">
        <is>
          <t>POSTED</t>
        </is>
      </c>
      <c r="M32" s="13" t="inlineStr">
        <is>
          <t>Approved</t>
        </is>
      </c>
    </row>
    <row r="33">
      <c r="A33" s="11" t="inlineStr">
        <is>
          <t>JRN-2023-009</t>
        </is>
      </c>
      <c r="B33" s="11" t="inlineStr">
        <is>
          <t>2023-12-31</t>
        </is>
      </c>
      <c r="C33" s="11" t="inlineStr">
        <is>
          <t>OPX-ALL-01</t>
        </is>
      </c>
      <c r="D33" s="9" t="inlineStr">
        <is>
          <t>Baay Projects Limited</t>
        </is>
      </c>
      <c r="E33" s="11" t="inlineStr">
        <is>
          <t>PROJ-GEN</t>
        </is>
      </c>
      <c r="F33" s="11" t="inlineStr">
        <is>
          <t>6010</t>
        </is>
      </c>
      <c r="G33" s="8" t="inlineStr">
        <is>
          <t>Administrative - Staff Salaries, Wages</t>
        </is>
      </c>
      <c r="H33" s="22" t="n">
        <v>2800000</v>
      </c>
      <c r="I33" s="22" t="n">
        <v>0</v>
      </c>
      <c r="J33" s="9" t="inlineStr">
        <is>
          <t>Administrative staff salaries and site allowances</t>
        </is>
      </c>
      <c r="K33" s="10" t="inlineStr">
        <is>
          <t>Finance Team</t>
        </is>
      </c>
      <c r="L33" s="12" t="inlineStr">
        <is>
          <t>POSTED</t>
        </is>
      </c>
      <c r="M33" s="11" t="inlineStr">
        <is>
          <t>Approved</t>
        </is>
      </c>
    </row>
    <row r="34">
      <c r="A34" s="13" t="inlineStr">
        <is>
          <t>JRN-2023-009</t>
        </is>
      </c>
      <c r="B34" s="13" t="inlineStr">
        <is>
          <t>2023-12-31</t>
        </is>
      </c>
      <c r="C34" s="13" t="inlineStr">
        <is>
          <t>OPX-ALL-01</t>
        </is>
      </c>
      <c r="D34" s="6" t="inlineStr">
        <is>
          <t>Baay Projects Limited</t>
        </is>
      </c>
      <c r="E34" s="13" t="inlineStr">
        <is>
          <t>PROJ-GEN</t>
        </is>
      </c>
      <c r="F34" s="13" t="inlineStr">
        <is>
          <t>6020</t>
        </is>
      </c>
      <c r="G34" s="5" t="inlineStr">
        <is>
          <t>Administrative - Site Office Rent &amp; Maintenance</t>
        </is>
      </c>
      <c r="H34" s="21" t="n">
        <v>950000</v>
      </c>
      <c r="I34" s="21" t="n">
        <v>0</v>
      </c>
      <c r="J34" s="6" t="inlineStr">
        <is>
          <t>Site office rent and maintenance expenses</t>
        </is>
      </c>
      <c r="K34" s="7" t="inlineStr">
        <is>
          <t>Finance Team</t>
        </is>
      </c>
      <c r="L34" s="14" t="inlineStr">
        <is>
          <t>POSTED</t>
        </is>
      </c>
      <c r="M34" s="13" t="inlineStr">
        <is>
          <t>Approved</t>
        </is>
      </c>
    </row>
    <row r="35">
      <c r="A35" s="11" t="inlineStr">
        <is>
          <t>JRN-2023-009</t>
        </is>
      </c>
      <c r="B35" s="11" t="inlineStr">
        <is>
          <t>2023-12-31</t>
        </is>
      </c>
      <c r="C35" s="11" t="inlineStr">
        <is>
          <t>OPX-ALL-01</t>
        </is>
      </c>
      <c r="D35" s="9" t="inlineStr">
        <is>
          <t>Baay Projects Limited</t>
        </is>
      </c>
      <c r="E35" s="11" t="inlineStr">
        <is>
          <t>PROJ-GEN</t>
        </is>
      </c>
      <c r="F35" s="11" t="inlineStr">
        <is>
          <t>6030</t>
        </is>
      </c>
      <c r="G35" s="8" t="inlineStr">
        <is>
          <t>Administrative - Professional &amp; Legal Fees</t>
        </is>
      </c>
      <c r="H35" s="22" t="n">
        <v>650000</v>
      </c>
      <c r="I35" s="22" t="n">
        <v>0</v>
      </c>
      <c r="J35" s="9" t="inlineStr">
        <is>
          <t>Legal, engineering consultancy and compliance fees</t>
        </is>
      </c>
      <c r="K35" s="10" t="inlineStr">
        <is>
          <t>Finance Team</t>
        </is>
      </c>
      <c r="L35" s="12" t="inlineStr">
        <is>
          <t>POSTED</t>
        </is>
      </c>
      <c r="M35" s="11" t="inlineStr">
        <is>
          <t>Approved</t>
        </is>
      </c>
    </row>
    <row r="36">
      <c r="A36" s="13" t="inlineStr">
        <is>
          <t>JRN-2023-009</t>
        </is>
      </c>
      <c r="B36" s="13" t="inlineStr">
        <is>
          <t>2023-12-31</t>
        </is>
      </c>
      <c r="C36" s="13" t="inlineStr">
        <is>
          <t>OPX-ALL-01</t>
        </is>
      </c>
      <c r="D36" s="6" t="inlineStr">
        <is>
          <t>Baay Projects Limited</t>
        </is>
      </c>
      <c r="E36" s="13" t="inlineStr">
        <is>
          <t>PROJ-GEN</t>
        </is>
      </c>
      <c r="F36" s="13" t="inlineStr">
        <is>
          <t>6040</t>
        </is>
      </c>
      <c r="G36" s="5" t="inlineStr">
        <is>
          <t>Administrative - Audit &amp; Tax Advisory Fees</t>
        </is>
      </c>
      <c r="H36" s="21" t="n">
        <v>350000</v>
      </c>
      <c r="I36" s="21" t="n">
        <v>0</v>
      </c>
      <c r="J36" s="6" t="inlineStr">
        <is>
          <t>Statutory audit and corporate tax advisory fees</t>
        </is>
      </c>
      <c r="K36" s="7" t="inlineStr">
        <is>
          <t>Finance Team</t>
        </is>
      </c>
      <c r="L36" s="14" t="inlineStr">
        <is>
          <t>POSTED</t>
        </is>
      </c>
      <c r="M36" s="13" t="inlineStr">
        <is>
          <t>Approved</t>
        </is>
      </c>
    </row>
    <row r="37">
      <c r="A37" s="11" t="inlineStr">
        <is>
          <t>JRN-2023-009</t>
        </is>
      </c>
      <c r="B37" s="11" t="inlineStr">
        <is>
          <t>2023-12-31</t>
        </is>
      </c>
      <c r="C37" s="11" t="inlineStr">
        <is>
          <t>OPX-ALL-01</t>
        </is>
      </c>
      <c r="D37" s="9" t="inlineStr">
        <is>
          <t>Baay Projects Limited</t>
        </is>
      </c>
      <c r="E37" s="11" t="inlineStr">
        <is>
          <t>PROJ-GEN</t>
        </is>
      </c>
      <c r="F37" s="11" t="inlineStr">
        <is>
          <t>6050</t>
        </is>
      </c>
      <c r="G37" s="8" t="inlineStr">
        <is>
          <t>Administrative - Bank Charges &amp; COT</t>
        </is>
      </c>
      <c r="H37" s="22" t="n">
        <v>285000</v>
      </c>
      <c r="I37" s="22" t="n">
        <v>0</v>
      </c>
      <c r="J37" s="9" t="inlineStr">
        <is>
          <t>Bank charges, commission on turnover and transfer fees</t>
        </is>
      </c>
      <c r="K37" s="10" t="inlineStr">
        <is>
          <t>Finance Team</t>
        </is>
      </c>
      <c r="L37" s="12" t="inlineStr">
        <is>
          <t>POSTED</t>
        </is>
      </c>
      <c r="M37" s="11" t="inlineStr">
        <is>
          <t>Approved</t>
        </is>
      </c>
    </row>
    <row r="38">
      <c r="A38" s="13" t="inlineStr">
        <is>
          <t>JRN-2023-009</t>
        </is>
      </c>
      <c r="B38" s="13" t="inlineStr">
        <is>
          <t>2023-12-31</t>
        </is>
      </c>
      <c r="C38" s="13" t="inlineStr">
        <is>
          <t>OPX-ALL-01</t>
        </is>
      </c>
      <c r="D38" s="6" t="inlineStr">
        <is>
          <t>Baay Projects Limited</t>
        </is>
      </c>
      <c r="E38" s="13" t="inlineStr">
        <is>
          <t>PROJ-GEN</t>
        </is>
      </c>
      <c r="F38" s="13" t="inlineStr">
        <is>
          <t>6060</t>
        </is>
      </c>
      <c r="G38" s="5" t="inlineStr">
        <is>
          <t>Administrative - Motor Vehicle &amp; Logistics</t>
        </is>
      </c>
      <c r="H38" s="21" t="n">
        <v>420000</v>
      </c>
      <c r="I38" s="21" t="n">
        <v>0</v>
      </c>
      <c r="J38" s="6" t="inlineStr">
        <is>
          <t>Motor vehicle fuel, logistics and site travels</t>
        </is>
      </c>
      <c r="K38" s="7" t="inlineStr">
        <is>
          <t>Finance Team</t>
        </is>
      </c>
      <c r="L38" s="14" t="inlineStr">
        <is>
          <t>POSTED</t>
        </is>
      </c>
      <c r="M38" s="13" t="inlineStr">
        <is>
          <t>Approved</t>
        </is>
      </c>
    </row>
    <row r="39">
      <c r="A39" s="11" t="inlineStr">
        <is>
          <t>JRN-2023-009</t>
        </is>
      </c>
      <c r="B39" s="11" t="inlineStr">
        <is>
          <t>2023-12-31</t>
        </is>
      </c>
      <c r="C39" s="11" t="inlineStr">
        <is>
          <t>OPX-ALL-01</t>
        </is>
      </c>
      <c r="D39" s="9" t="inlineStr">
        <is>
          <t>Baay Projects Limited</t>
        </is>
      </c>
      <c r="E39" s="11" t="inlineStr">
        <is>
          <t>PROJ-GEN</t>
        </is>
      </c>
      <c r="F39" s="11" t="inlineStr">
        <is>
          <t>6070</t>
        </is>
      </c>
      <c r="G39" s="8" t="inlineStr">
        <is>
          <t>Administrative - Depreciation Expense (IAS 16)</t>
        </is>
      </c>
      <c r="H39" s="22" t="n">
        <v>385000</v>
      </c>
      <c r="I39" s="22" t="n">
        <v>0</v>
      </c>
      <c r="J39" s="9" t="inlineStr">
        <is>
          <t>Depreciation charge on PPE for FY 2023</t>
        </is>
      </c>
      <c r="K39" s="10" t="inlineStr">
        <is>
          <t>Finance Team</t>
        </is>
      </c>
      <c r="L39" s="12" t="inlineStr">
        <is>
          <t>POSTED</t>
        </is>
      </c>
      <c r="M39" s="11" t="inlineStr">
        <is>
          <t>Approved</t>
        </is>
      </c>
    </row>
    <row r="40">
      <c r="A40" s="13" t="inlineStr">
        <is>
          <t>JRN-2023-009</t>
        </is>
      </c>
      <c r="B40" s="13" t="inlineStr">
        <is>
          <t>2023-12-31</t>
        </is>
      </c>
      <c r="C40" s="13" t="inlineStr">
        <is>
          <t>OPX-ALL-01</t>
        </is>
      </c>
      <c r="D40" s="6" t="inlineStr">
        <is>
          <t>Baay Projects Limited</t>
        </is>
      </c>
      <c r="E40" s="13" t="inlineStr">
        <is>
          <t>PROJ-GEN</t>
        </is>
      </c>
      <c r="F40" s="13" t="inlineStr">
        <is>
          <t>6080</t>
        </is>
      </c>
      <c r="G40" s="5" t="inlineStr">
        <is>
          <t>Administrative - Impairment Allowance (ECL)</t>
        </is>
      </c>
      <c r="H40" s="21" t="n">
        <v>185000</v>
      </c>
      <c r="I40" s="21" t="n">
        <v>0</v>
      </c>
      <c r="J40" s="6" t="inlineStr">
        <is>
          <t>IFRS 9 expected credit loss allowance on trade debtors</t>
        </is>
      </c>
      <c r="K40" s="7" t="inlineStr">
        <is>
          <t>Finance Team</t>
        </is>
      </c>
      <c r="L40" s="14" t="inlineStr">
        <is>
          <t>POSTED</t>
        </is>
      </c>
      <c r="M40" s="13" t="inlineStr">
        <is>
          <t>Approved</t>
        </is>
      </c>
    </row>
    <row r="41">
      <c r="A41" s="11" t="inlineStr">
        <is>
          <t>JRN-2023-009</t>
        </is>
      </c>
      <c r="B41" s="11" t="inlineStr">
        <is>
          <t>2023-12-31</t>
        </is>
      </c>
      <c r="C41" s="11" t="inlineStr">
        <is>
          <t>OPX-ALL-01</t>
        </is>
      </c>
      <c r="D41" s="9" t="inlineStr">
        <is>
          <t>Baay Projects Limited</t>
        </is>
      </c>
      <c r="E41" s="11" t="inlineStr">
        <is>
          <t>PROJ-GEN</t>
        </is>
      </c>
      <c r="F41" s="11" t="inlineStr">
        <is>
          <t>6090</t>
        </is>
      </c>
      <c r="G41" s="8" t="inlineStr">
        <is>
          <t>Administrative - General Office &amp; Utilities</t>
        </is>
      </c>
      <c r="H41" s="22" t="n">
        <v>400000</v>
      </c>
      <c r="I41" s="22" t="n">
        <v>0</v>
      </c>
      <c r="J41" s="9" t="inlineStr">
        <is>
          <t>Office security, communication, internet and utilities</t>
        </is>
      </c>
      <c r="K41" s="10" t="inlineStr">
        <is>
          <t>Finance Team</t>
        </is>
      </c>
      <c r="L41" s="12" t="inlineStr">
        <is>
          <t>POSTED</t>
        </is>
      </c>
      <c r="M41" s="11" t="inlineStr">
        <is>
          <t>Approved</t>
        </is>
      </c>
    </row>
    <row r="42">
      <c r="A42" s="13" t="inlineStr">
        <is>
          <t>JRN-2023-009</t>
        </is>
      </c>
      <c r="B42" s="13" t="inlineStr">
        <is>
          <t>2023-12-31</t>
        </is>
      </c>
      <c r="C42" s="13" t="inlineStr">
        <is>
          <t>OPX-ALL-01</t>
        </is>
      </c>
      <c r="D42" s="6" t="inlineStr">
        <is>
          <t>Baay Projects Limited</t>
        </is>
      </c>
      <c r="E42" s="13" t="inlineStr">
        <is>
          <t>PROJ-GEN</t>
        </is>
      </c>
      <c r="F42" s="13" t="inlineStr">
        <is>
          <t>7010</t>
        </is>
      </c>
      <c r="G42" s="5" t="inlineStr">
        <is>
          <t>Finance Costs - Bank Project Facility</t>
        </is>
      </c>
      <c r="H42" s="21" t="n">
        <v>125000</v>
      </c>
      <c r="I42" s="21" t="n">
        <v>0</v>
      </c>
      <c r="J42" s="6" t="inlineStr">
        <is>
          <t>Finance interest on short-term project facility</t>
        </is>
      </c>
      <c r="K42" s="7" t="inlineStr">
        <is>
          <t>Finance Team</t>
        </is>
      </c>
      <c r="L42" s="14" t="inlineStr">
        <is>
          <t>POSTED</t>
        </is>
      </c>
      <c r="M42" s="13" t="inlineStr">
        <is>
          <t>Approved</t>
        </is>
      </c>
    </row>
    <row r="43">
      <c r="A43" s="11" t="inlineStr">
        <is>
          <t>JRN-2023-009</t>
        </is>
      </c>
      <c r="B43" s="11" t="inlineStr">
        <is>
          <t>2023-12-31</t>
        </is>
      </c>
      <c r="C43" s="11" t="inlineStr">
        <is>
          <t>OPX-ALL-01</t>
        </is>
      </c>
      <c r="D43" s="9" t="inlineStr">
        <is>
          <t>Baay Projects Limited</t>
        </is>
      </c>
      <c r="E43" s="11" t="inlineStr">
        <is>
          <t>PROJ-GEN</t>
        </is>
      </c>
      <c r="F43" s="11" t="inlineStr">
        <is>
          <t>1590</t>
        </is>
      </c>
      <c r="G43" s="8" t="inlineStr">
        <is>
          <t>Accumulated Depreciation - PPE</t>
        </is>
      </c>
      <c r="H43" s="22" t="n">
        <v>0</v>
      </c>
      <c r="I43" s="22" t="n">
        <v>385000</v>
      </c>
      <c r="J43" s="9" t="inlineStr">
        <is>
          <t>Accumulated depreciation credit (IAS 16)</t>
        </is>
      </c>
      <c r="K43" s="10" t="inlineStr">
        <is>
          <t>Finance Team</t>
        </is>
      </c>
      <c r="L43" s="12" t="inlineStr">
        <is>
          <t>POSTED</t>
        </is>
      </c>
      <c r="M43" s="11" t="inlineStr">
        <is>
          <t>Approved</t>
        </is>
      </c>
    </row>
    <row r="44">
      <c r="A44" s="13" t="inlineStr">
        <is>
          <t>JRN-2023-009</t>
        </is>
      </c>
      <c r="B44" s="13" t="inlineStr">
        <is>
          <t>2023-12-31</t>
        </is>
      </c>
      <c r="C44" s="13" t="inlineStr">
        <is>
          <t>OPX-ALL-01</t>
        </is>
      </c>
      <c r="D44" s="6" t="inlineStr">
        <is>
          <t>Baay Projects Limited</t>
        </is>
      </c>
      <c r="E44" s="13" t="inlineStr">
        <is>
          <t>PROJ-GEN</t>
        </is>
      </c>
      <c r="F44" s="13" t="inlineStr">
        <is>
          <t>1130</t>
        </is>
      </c>
      <c r="G44" s="5" t="inlineStr">
        <is>
          <t>Allowance for Expected Credit Losses</t>
        </is>
      </c>
      <c r="H44" s="21" t="n">
        <v>0</v>
      </c>
      <c r="I44" s="21" t="n">
        <v>185000</v>
      </c>
      <c r="J44" s="6" t="inlineStr">
        <is>
          <t>IFRS 9 ECL allowance contra-asset credit</t>
        </is>
      </c>
      <c r="K44" s="7" t="inlineStr">
        <is>
          <t>Finance Team</t>
        </is>
      </c>
      <c r="L44" s="14" t="inlineStr">
        <is>
          <t>POSTED</t>
        </is>
      </c>
      <c r="M44" s="13" t="inlineStr">
        <is>
          <t>Approved</t>
        </is>
      </c>
    </row>
    <row r="45">
      <c r="A45" s="11" t="inlineStr">
        <is>
          <t>JRN-2023-009</t>
        </is>
      </c>
      <c r="B45" s="11" t="inlineStr">
        <is>
          <t>2023-12-31</t>
        </is>
      </c>
      <c r="C45" s="11" t="inlineStr">
        <is>
          <t>OPX-ALL-01</t>
        </is>
      </c>
      <c r="D45" s="9" t="inlineStr">
        <is>
          <t>Baay Projects Limited</t>
        </is>
      </c>
      <c r="E45" s="11" t="inlineStr">
        <is>
          <t>PROJ-GEN</t>
        </is>
      </c>
      <c r="F45" s="11" t="inlineStr">
        <is>
          <t>2030</t>
        </is>
      </c>
      <c r="G45" s="8" t="inlineStr">
        <is>
          <t>Accrued Audit, Tax &amp; Professional Fees</t>
        </is>
      </c>
      <c r="H45" s="22" t="n">
        <v>0</v>
      </c>
      <c r="I45" s="22" t="n">
        <v>325000</v>
      </c>
      <c r="J45" s="9" t="inlineStr">
        <is>
          <t>Year-end audit and tax fee accruals</t>
        </is>
      </c>
      <c r="K45" s="10" t="inlineStr">
        <is>
          <t>Finance Team</t>
        </is>
      </c>
      <c r="L45" s="12" t="inlineStr">
        <is>
          <t>POSTED</t>
        </is>
      </c>
      <c r="M45" s="11" t="inlineStr">
        <is>
          <t>Approved</t>
        </is>
      </c>
    </row>
    <row r="46">
      <c r="A46" s="13" t="inlineStr">
        <is>
          <t>JRN-2023-009</t>
        </is>
      </c>
      <c r="B46" s="13" t="inlineStr">
        <is>
          <t>2023-12-31</t>
        </is>
      </c>
      <c r="C46" s="13" t="inlineStr">
        <is>
          <t>OPX-ALL-01</t>
        </is>
      </c>
      <c r="D46" s="6" t="inlineStr">
        <is>
          <t>Baay Projects Limited</t>
        </is>
      </c>
      <c r="E46" s="13" t="inlineStr">
        <is>
          <t>PROJ-GEN</t>
        </is>
      </c>
      <c r="F46" s="13" t="inlineStr">
        <is>
          <t>2040</t>
        </is>
      </c>
      <c r="G46" s="5" t="inlineStr">
        <is>
          <t>Other Accrued Expenses &amp; Sundry Creditors</t>
        </is>
      </c>
      <c r="H46" s="21" t="n">
        <v>0</v>
      </c>
      <c r="I46" s="21" t="n">
        <v>245235</v>
      </c>
      <c r="J46" s="6" t="inlineStr">
        <is>
          <t>Accrued utilities and operating expenses</t>
        </is>
      </c>
      <c r="K46" s="7" t="inlineStr">
        <is>
          <t>Finance Team</t>
        </is>
      </c>
      <c r="L46" s="14" t="inlineStr">
        <is>
          <t>POSTED</t>
        </is>
      </c>
      <c r="M46" s="13" t="inlineStr">
        <is>
          <t>Approved</t>
        </is>
      </c>
    </row>
    <row r="47">
      <c r="A47" s="11" t="inlineStr">
        <is>
          <t>JRN-2023-009</t>
        </is>
      </c>
      <c r="B47" s="11" t="inlineStr">
        <is>
          <t>2023-12-31</t>
        </is>
      </c>
      <c r="C47" s="11" t="inlineStr">
        <is>
          <t>OPX-ALL-01</t>
        </is>
      </c>
      <c r="D47" s="9" t="inlineStr">
        <is>
          <t>Baay Projects Limited</t>
        </is>
      </c>
      <c r="E47" s="11" t="inlineStr">
        <is>
          <t>PROJ-GEN</t>
        </is>
      </c>
      <c r="F47" s="11" t="inlineStr">
        <is>
          <t>1010</t>
        </is>
      </c>
      <c r="G47" s="8" t="inlineStr">
        <is>
          <t>Providus Bank - A/C 5400281942</t>
        </is>
      </c>
      <c r="H47" s="22" t="n">
        <v>0</v>
      </c>
      <c r="I47" s="22" t="n">
        <v>5409765</v>
      </c>
      <c r="J47" s="9" t="inlineStr">
        <is>
          <t>Operating cash disbursements via Providus Bank</t>
        </is>
      </c>
      <c r="K47" s="10" t="inlineStr">
        <is>
          <t>Finance Team</t>
        </is>
      </c>
      <c r="L47" s="12" t="inlineStr">
        <is>
          <t>POSTED</t>
        </is>
      </c>
      <c r="M47" s="11" t="inlineStr">
        <is>
          <t>Approved</t>
        </is>
      </c>
    </row>
    <row r="48">
      <c r="A48" s="13" t="inlineStr">
        <is>
          <t>JRN-2023-010</t>
        </is>
      </c>
      <c r="B48" s="13" t="inlineStr">
        <is>
          <t>2023-12-31</t>
        </is>
      </c>
      <c r="C48" s="13" t="inlineStr">
        <is>
          <t>TAX-PROV-23</t>
        </is>
      </c>
      <c r="D48" s="6" t="inlineStr">
        <is>
          <t>Baay Projects Limited</t>
        </is>
      </c>
      <c r="E48" s="13" t="inlineStr">
        <is>
          <t>PROJ-GEN</t>
        </is>
      </c>
      <c r="F48" s="13" t="inlineStr">
        <is>
          <t>8010</t>
        </is>
      </c>
      <c r="G48" s="5" t="inlineStr">
        <is>
          <t>Income Tax Expense - Current Tax</t>
        </is>
      </c>
      <c r="H48" s="21" t="n">
        <v>1731765</v>
      </c>
      <c r="I48" s="21" t="n">
        <v>0</v>
      </c>
      <c r="J48" s="6" t="inlineStr">
        <is>
          <t>Current income tax provision for FY 2023 (CIT 20%, TET 3%, PTF)</t>
        </is>
      </c>
      <c r="K48" s="7" t="inlineStr">
        <is>
          <t>Finance Team</t>
        </is>
      </c>
      <c r="L48" s="14" t="inlineStr">
        <is>
          <t>POSTED</t>
        </is>
      </c>
      <c r="M48" s="13" t="inlineStr">
        <is>
          <t>Approved</t>
        </is>
      </c>
    </row>
    <row r="49">
      <c r="A49" s="11" t="inlineStr">
        <is>
          <t>JRN-2023-010</t>
        </is>
      </c>
      <c r="B49" s="11" t="inlineStr">
        <is>
          <t>2023-12-31</t>
        </is>
      </c>
      <c r="C49" s="11" t="inlineStr">
        <is>
          <t>TAX-PROV-23</t>
        </is>
      </c>
      <c r="D49" s="9" t="inlineStr">
        <is>
          <t>Baay Projects Limited</t>
        </is>
      </c>
      <c r="E49" s="11" t="inlineStr">
        <is>
          <t>PROJ-GEN</t>
        </is>
      </c>
      <c r="F49" s="11" t="inlineStr">
        <is>
          <t>1610</t>
        </is>
      </c>
      <c r="G49" s="8" t="inlineStr">
        <is>
          <t>Deferred Tax Asset (IAS 12)</t>
        </is>
      </c>
      <c r="H49" s="22" t="n">
        <v>32000</v>
      </c>
      <c r="I49" s="22" t="n">
        <v>0</v>
      </c>
      <c r="J49" s="9" t="inlineStr">
        <is>
          <t>Deferred tax asset recognized on temporary differences (IAS 12)</t>
        </is>
      </c>
      <c r="K49" s="10" t="inlineStr">
        <is>
          <t>Finance Team</t>
        </is>
      </c>
      <c r="L49" s="12" t="inlineStr">
        <is>
          <t>POSTED</t>
        </is>
      </c>
      <c r="M49" s="11" t="inlineStr">
        <is>
          <t>Approved</t>
        </is>
      </c>
    </row>
    <row r="50">
      <c r="A50" s="13" t="inlineStr">
        <is>
          <t>JRN-2023-010</t>
        </is>
      </c>
      <c r="B50" s="13" t="inlineStr">
        <is>
          <t>2023-12-31</t>
        </is>
      </c>
      <c r="C50" s="13" t="inlineStr">
        <is>
          <t>TAX-PROV-23</t>
        </is>
      </c>
      <c r="D50" s="6" t="inlineStr">
        <is>
          <t>Baay Projects Limited</t>
        </is>
      </c>
      <c r="E50" s="13" t="inlineStr">
        <is>
          <t>PROJ-GEN</t>
        </is>
      </c>
      <c r="F50" s="13" t="inlineStr">
        <is>
          <t>2110</t>
        </is>
      </c>
      <c r="G50" s="5" t="inlineStr">
        <is>
          <t>Current Tax - CIT Payable</t>
        </is>
      </c>
      <c r="H50" s="21" t="n">
        <v>0</v>
      </c>
      <c r="I50" s="21" t="n">
        <v>1492000</v>
      </c>
      <c r="J50" s="6" t="inlineStr">
        <is>
          <t>CIT liability for YOA 2024 (20% of taxable profit)</t>
        </is>
      </c>
      <c r="K50" s="7" t="inlineStr">
        <is>
          <t>Finance Team</t>
        </is>
      </c>
      <c r="L50" s="14" t="inlineStr">
        <is>
          <t>POSTED</t>
        </is>
      </c>
      <c r="M50" s="13" t="inlineStr">
        <is>
          <t>Approved</t>
        </is>
      </c>
    </row>
    <row r="51">
      <c r="A51" s="11" t="inlineStr">
        <is>
          <t>JRN-2023-010</t>
        </is>
      </c>
      <c r="B51" s="11" t="inlineStr">
        <is>
          <t>2023-12-31</t>
        </is>
      </c>
      <c r="C51" s="11" t="inlineStr">
        <is>
          <t>TAX-PROV-23</t>
        </is>
      </c>
      <c r="D51" s="9" t="inlineStr">
        <is>
          <t>Baay Projects Limited</t>
        </is>
      </c>
      <c r="E51" s="11" t="inlineStr">
        <is>
          <t>PROJ-GEN</t>
        </is>
      </c>
      <c r="F51" s="11" t="inlineStr">
        <is>
          <t>2120</t>
        </is>
      </c>
      <c r="G51" s="8" t="inlineStr">
        <is>
          <t>Current Tax - TET Payable</t>
        </is>
      </c>
      <c r="H51" s="22" t="n">
        <v>0</v>
      </c>
      <c r="I51" s="22" t="n">
        <v>239400</v>
      </c>
      <c r="J51" s="9" t="inlineStr">
        <is>
          <t>Tertiary Education Tax (3% of assessable profit)</t>
        </is>
      </c>
      <c r="K51" s="10" t="inlineStr">
        <is>
          <t>Finance Team</t>
        </is>
      </c>
      <c r="L51" s="12" t="inlineStr">
        <is>
          <t>POSTED</t>
        </is>
      </c>
      <c r="M51" s="11" t="inlineStr">
        <is>
          <t>Approved</t>
        </is>
      </c>
    </row>
    <row r="52">
      <c r="A52" s="13" t="inlineStr">
        <is>
          <t>JRN-2023-010</t>
        </is>
      </c>
      <c r="B52" s="13" t="inlineStr">
        <is>
          <t>2023-12-31</t>
        </is>
      </c>
      <c r="C52" s="13" t="inlineStr">
        <is>
          <t>TAX-PROV-23</t>
        </is>
      </c>
      <c r="D52" s="6" t="inlineStr">
        <is>
          <t>Baay Projects Limited</t>
        </is>
      </c>
      <c r="E52" s="13" t="inlineStr">
        <is>
          <t>PROJ-GEN</t>
        </is>
      </c>
      <c r="F52" s="13" t="inlineStr">
        <is>
          <t>2130</t>
        </is>
      </c>
      <c r="G52" s="5" t="inlineStr">
        <is>
          <t>Current Tax - PTF Payable</t>
        </is>
      </c>
      <c r="H52" s="21" t="n">
        <v>0</v>
      </c>
      <c r="I52" s="21" t="n">
        <v>365</v>
      </c>
      <c r="J52" s="6" t="inlineStr">
        <is>
          <t>Police Trust Fund levy (0.005% of PBT)</t>
        </is>
      </c>
      <c r="K52" s="7" t="inlineStr">
        <is>
          <t>Finance Team</t>
        </is>
      </c>
      <c r="L52" s="14" t="inlineStr">
        <is>
          <t>POSTED</t>
        </is>
      </c>
      <c r="M52" s="13" t="inlineStr">
        <is>
          <t>Approved</t>
        </is>
      </c>
    </row>
    <row r="53">
      <c r="A53" s="11" t="inlineStr">
        <is>
          <t>JRN-2023-010</t>
        </is>
      </c>
      <c r="B53" s="11" t="inlineStr">
        <is>
          <t>2023-12-31</t>
        </is>
      </c>
      <c r="C53" s="11" t="inlineStr">
        <is>
          <t>TAX-PROV-23</t>
        </is>
      </c>
      <c r="D53" s="9" t="inlineStr">
        <is>
          <t>Baay Projects Limited</t>
        </is>
      </c>
      <c r="E53" s="11" t="inlineStr">
        <is>
          <t>PROJ-GEN</t>
        </is>
      </c>
      <c r="F53" s="11" t="inlineStr">
        <is>
          <t>8020</t>
        </is>
      </c>
      <c r="G53" s="8" t="inlineStr">
        <is>
          <t>Income Tax Expense - Deferred Tax Credit</t>
        </is>
      </c>
      <c r="H53" s="22" t="n">
        <v>0</v>
      </c>
      <c r="I53" s="22" t="n">
        <v>32000</v>
      </c>
      <c r="J53" s="9" t="inlineStr">
        <is>
          <t>Deferred tax benefit credited to profit or loss (IAS 12)</t>
        </is>
      </c>
      <c r="K53" s="10" t="inlineStr">
        <is>
          <t>Finance Team</t>
        </is>
      </c>
      <c r="L53" s="12" t="inlineStr">
        <is>
          <t>POSTED</t>
        </is>
      </c>
      <c r="M53" s="11" t="inlineStr">
        <is>
          <t>Approved</t>
        </is>
      </c>
    </row>
    <row r="54">
      <c r="A54" s="23" t="inlineStr">
        <is>
          <t>TOTAL GENERAL JOURNALS</t>
        </is>
      </c>
      <c r="B54" s="31" t="n"/>
      <c r="C54" s="31" t="n"/>
      <c r="D54" s="31" t="n"/>
      <c r="E54" s="31" t="n"/>
      <c r="F54" s="31" t="n"/>
      <c r="G54" s="31" t="n"/>
      <c r="H54" s="24">
        <f>SUM(H5:H53)</f>
        <v/>
      </c>
      <c r="I54" s="24">
        <f>SUM(I5:I53)</f>
        <v/>
      </c>
      <c r="J54" s="31" t="n"/>
      <c r="K54" s="31" t="n"/>
      <c r="L54" s="31" t="n"/>
      <c r="M54" s="31"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5"/>
  <sheetViews>
    <sheetView showGridLines="1" workbookViewId="0">
      <pane ySplit="4" topLeftCell="A5" activePane="bottomLeft" state="frozen"/>
      <selection pane="bottomLeft" activeCell="A1" sqref="A1"/>
    </sheetView>
  </sheetViews>
  <sheetFormatPr baseColWidth="8" defaultRowHeight="15"/>
  <cols>
    <col width="84" customWidth="1" min="1" max="1"/>
    <col width="58" customWidth="1" min="2" max="2"/>
    <col width="15" customWidth="1" min="3" max="3"/>
    <col width="15" customWidth="1" min="4" max="4"/>
    <col width="14" customWidth="1" min="5" max="5"/>
    <col width="63" customWidth="1" min="6" max="6"/>
    <col width="15" customWidth="1" min="7" max="7"/>
    <col width="14" customWidth="1" min="8" max="8"/>
    <col width="15" customWidth="1" min="9" max="9"/>
    <col width="21" customWidth="1" min="10" max="10"/>
    <col width="24" customWidth="1" min="11" max="11"/>
    <col width="21" customWidth="1" min="12" max="12"/>
  </cols>
  <sheetData>
    <row r="1">
      <c r="A1" s="1" t="inlineStr">
        <is>
          <t>BAAY PROJECTS LIMITED — GENERAL LEDGER TRANSACTION DETAIL</t>
        </is>
      </c>
    </row>
    <row r="2">
      <c r="A2" s="3" t="inlineStr">
        <is>
          <t>Complete Transaction-Level General Ledger with Running Balances for Every Account</t>
        </is>
      </c>
    </row>
    <row r="3"/>
    <row r="4">
      <c r="A4" s="4" t="inlineStr">
        <is>
          <t>Account Code</t>
        </is>
      </c>
      <c r="B4" s="4" t="inlineStr">
        <is>
          <t>Account Title</t>
        </is>
      </c>
      <c r="C4" s="4" t="inlineStr">
        <is>
          <t>Posting Date</t>
        </is>
      </c>
      <c r="D4" s="4" t="inlineStr">
        <is>
          <t>Journal Ref</t>
        </is>
      </c>
      <c r="E4" s="4" t="inlineStr">
        <is>
          <t>Source Ref</t>
        </is>
      </c>
      <c r="F4" s="4" t="inlineStr">
        <is>
          <t>Transaction Narration &amp; Counterparty</t>
        </is>
      </c>
      <c r="G4" s="4" t="inlineStr">
        <is>
          <t>Project Code</t>
        </is>
      </c>
      <c r="H4" s="4" t="inlineStr">
        <is>
          <t>Debit (NGN)</t>
        </is>
      </c>
      <c r="I4" s="4" t="inlineStr">
        <is>
          <t>Credit (NGN)</t>
        </is>
      </c>
      <c r="J4" s="4" t="inlineStr">
        <is>
          <t>Net Movement (NGN)</t>
        </is>
      </c>
      <c r="K4" s="4" t="inlineStr">
        <is>
          <t>Running Balance (NGN)</t>
        </is>
      </c>
      <c r="L4" s="4" t="inlineStr">
        <is>
          <t>Evidence Status</t>
        </is>
      </c>
    </row>
    <row r="5">
      <c r="A5" s="11" t="inlineStr">
        <is>
          <t>1010</t>
        </is>
      </c>
      <c r="B5" s="8" t="inlineStr">
        <is>
          <t>Providus Bank - A/C 5400281942</t>
        </is>
      </c>
      <c r="C5" s="11" t="inlineStr">
        <is>
          <t>2023-01-01</t>
        </is>
      </c>
      <c r="D5" s="11" t="inlineStr">
        <is>
          <t>JRN-2023-001</t>
        </is>
      </c>
      <c r="E5" s="11" t="inlineStr">
        <is>
          <t>OPEN-001</t>
        </is>
      </c>
      <c r="F5" s="9" t="inlineStr">
        <is>
          <t>Opening Balance B/F per 2022 Audited Balance Sheet</t>
        </is>
      </c>
      <c r="G5" s="11" t="inlineStr">
        <is>
          <t>PROJ-GEN</t>
        </is>
      </c>
      <c r="H5" s="22" t="n">
        <v>52500</v>
      </c>
      <c r="I5" s="22" t="n">
        <v>0</v>
      </c>
      <c r="J5" s="22" t="n">
        <v>52500</v>
      </c>
      <c r="K5" s="22" t="n">
        <v>52500</v>
      </c>
      <c r="L5" s="12" t="inlineStr">
        <is>
          <t>VERIFIED</t>
        </is>
      </c>
    </row>
    <row r="6">
      <c r="A6" s="13" t="inlineStr">
        <is>
          <t>1010</t>
        </is>
      </c>
      <c r="B6" s="5" t="inlineStr">
        <is>
          <t>Providus Bank - A/C 5400281942</t>
        </is>
      </c>
      <c r="C6" s="13" t="inlineStr">
        <is>
          <t>2023-01-28</t>
        </is>
      </c>
      <c r="D6" s="13" t="inlineStr">
        <is>
          <t>JRN-2023-002</t>
        </is>
      </c>
      <c r="E6" s="13" t="inlineStr">
        <is>
          <t>INV-GEO-01</t>
        </is>
      </c>
      <c r="F6" s="6" t="inlineStr">
        <is>
          <t>Purchase of Site Survey Equipment (Geotech Instruments)</t>
        </is>
      </c>
      <c r="G6" s="13" t="inlineStr">
        <is>
          <t>PROJ-GEN</t>
        </is>
      </c>
      <c r="H6" s="21" t="n">
        <v>0</v>
      </c>
      <c r="I6" s="21" t="n">
        <v>1800000</v>
      </c>
      <c r="J6" s="21" t="n">
        <v>-1800000</v>
      </c>
      <c r="K6" s="21" t="n">
        <v>-1747500</v>
      </c>
      <c r="L6" s="14" t="inlineStr">
        <is>
          <t>VERIFIED</t>
        </is>
      </c>
    </row>
    <row r="7">
      <c r="A7" s="11" t="inlineStr">
        <is>
          <t>1010</t>
        </is>
      </c>
      <c r="B7" s="8" t="inlineStr">
        <is>
          <t>Providus Bank - A/C 5400281942</t>
        </is>
      </c>
      <c r="C7" s="11" t="inlineStr">
        <is>
          <t>2023-02-15</t>
        </is>
      </c>
      <c r="D7" s="11" t="inlineStr">
        <is>
          <t>JRN-2023-003</t>
        </is>
      </c>
      <c r="E7" s="11" t="inlineStr">
        <is>
          <t>DIR-LOAN-01</t>
        </is>
      </c>
      <c r="F7" s="9" t="inlineStr">
        <is>
          <t>Director Long-Term Project Funding (Adegoke Segun Babatunde)</t>
        </is>
      </c>
      <c r="G7" s="11" t="inlineStr">
        <is>
          <t>PROJ-GEN</t>
        </is>
      </c>
      <c r="H7" s="22" t="n">
        <v>4500000</v>
      </c>
      <c r="I7" s="22" t="n">
        <v>0</v>
      </c>
      <c r="J7" s="22" t="n">
        <v>4500000</v>
      </c>
      <c r="K7" s="22" t="n">
        <v>2752500</v>
      </c>
      <c r="L7" s="12" t="inlineStr">
        <is>
          <t>VERIFIED</t>
        </is>
      </c>
    </row>
    <row r="8">
      <c r="A8" s="13" t="inlineStr">
        <is>
          <t>1010</t>
        </is>
      </c>
      <c r="B8" s="5" t="inlineStr">
        <is>
          <t>Providus Bank - A/C 5400281942</t>
        </is>
      </c>
      <c r="C8" s="13" t="inlineStr">
        <is>
          <t>2023-12-31</t>
        </is>
      </c>
      <c r="D8" s="13" t="inlineStr">
        <is>
          <t>JRN-2023-005</t>
        </is>
      </c>
      <c r="E8" s="13" t="inlineStr">
        <is>
          <t>LND-IBJ-01</t>
        </is>
      </c>
      <c r="F8" s="6" t="inlineStr">
        <is>
          <t>Proceeds from 4 Serviced Plots Sale (Ibeju Scheme 1)</t>
        </is>
      </c>
      <c r="G8" s="13" t="inlineStr">
        <is>
          <t>PROJ-102</t>
        </is>
      </c>
      <c r="H8" s="21" t="n">
        <v>12500000</v>
      </c>
      <c r="I8" s="21" t="n">
        <v>0</v>
      </c>
      <c r="J8" s="21" t="n">
        <v>12500000</v>
      </c>
      <c r="K8" s="21" t="n">
        <v>15252500</v>
      </c>
      <c r="L8" s="14" t="inlineStr">
        <is>
          <t>VERIFIED</t>
        </is>
      </c>
    </row>
    <row r="9">
      <c r="A9" s="11" t="inlineStr">
        <is>
          <t>1010</t>
        </is>
      </c>
      <c r="B9" s="8" t="inlineStr">
        <is>
          <t>Providus Bank - A/C 5400281942</t>
        </is>
      </c>
      <c r="C9" s="11" t="inlineStr">
        <is>
          <t>2023-12-31</t>
        </is>
      </c>
      <c r="D9" s="11" t="inlineStr">
        <is>
          <t>JRN-2023-006</t>
        </is>
      </c>
      <c r="E9" s="11" t="inlineStr">
        <is>
          <t>CON-IKJ-01</t>
        </is>
      </c>
      <c r="F9" s="9" t="inlineStr">
        <is>
          <t>Consultancy Fees Received (Horizon Holdings Ltd)</t>
        </is>
      </c>
      <c r="G9" s="11" t="inlineStr">
        <is>
          <t>PROJ-103</t>
        </is>
      </c>
      <c r="H9" s="22" t="n">
        <v>4000000</v>
      </c>
      <c r="I9" s="22" t="n">
        <v>0</v>
      </c>
      <c r="J9" s="22" t="n">
        <v>4000000</v>
      </c>
      <c r="K9" s="22" t="n">
        <v>19252500</v>
      </c>
      <c r="L9" s="12" t="inlineStr">
        <is>
          <t>VERIFIED</t>
        </is>
      </c>
    </row>
    <row r="10">
      <c r="A10" s="13" t="inlineStr">
        <is>
          <t>1010</t>
        </is>
      </c>
      <c r="B10" s="5" t="inlineStr">
        <is>
          <t>Providus Bank - A/C 5400281942</t>
        </is>
      </c>
      <c r="C10" s="13" t="inlineStr">
        <is>
          <t>2023-12-31</t>
        </is>
      </c>
      <c r="D10" s="13" t="inlineStr">
        <is>
          <t>JRN-2023-007</t>
        </is>
      </c>
      <c r="E10" s="13" t="inlineStr">
        <is>
          <t>COS-ALL-01</t>
        </is>
      </c>
      <c r="F10" s="6" t="inlineStr">
        <is>
          <t>Direct Payments for Materials &amp; Subcontracts</t>
        </is>
      </c>
      <c r="G10" s="13" t="inlineStr">
        <is>
          <t>PROJ-GEN</t>
        </is>
      </c>
      <c r="H10" s="21" t="n">
        <v>0</v>
      </c>
      <c r="I10" s="21" t="n">
        <v>22525000</v>
      </c>
      <c r="J10" s="21" t="n">
        <v>-22525000</v>
      </c>
      <c r="K10" s="21" t="n">
        <v>-3272500</v>
      </c>
      <c r="L10" s="14" t="inlineStr">
        <is>
          <t>VERIFIED</t>
        </is>
      </c>
    </row>
    <row r="11">
      <c r="A11" s="11" t="inlineStr">
        <is>
          <t>1010</t>
        </is>
      </c>
      <c r="B11" s="8" t="inlineStr">
        <is>
          <t>Providus Bank - A/C 5400281942</t>
        </is>
      </c>
      <c r="C11" s="11" t="inlineStr">
        <is>
          <t>2023-12-31</t>
        </is>
      </c>
      <c r="D11" s="11" t="inlineStr">
        <is>
          <t>JRN-2023-008</t>
        </is>
      </c>
      <c r="E11" s="11" t="inlineStr">
        <is>
          <t>INV-BNK-01</t>
        </is>
      </c>
      <c r="F11" s="9" t="inlineStr">
        <is>
          <t>Payments for Land Additions &amp; WIP Construction</t>
        </is>
      </c>
      <c r="G11" s="11" t="inlineStr">
        <is>
          <t>PROJ-GEN</t>
        </is>
      </c>
      <c r="H11" s="22" t="n">
        <v>0</v>
      </c>
      <c r="I11" s="22" t="n">
        <v>8650000</v>
      </c>
      <c r="J11" s="22" t="n">
        <v>-8650000</v>
      </c>
      <c r="K11" s="22" t="n">
        <v>-11922500</v>
      </c>
      <c r="L11" s="12" t="inlineStr">
        <is>
          <t>VERIFIED</t>
        </is>
      </c>
    </row>
    <row r="12">
      <c r="A12" s="13" t="inlineStr">
        <is>
          <t>1010</t>
        </is>
      </c>
      <c r="B12" s="5" t="inlineStr">
        <is>
          <t>Providus Bank - A/C 5400281942</t>
        </is>
      </c>
      <c r="C12" s="13" t="inlineStr">
        <is>
          <t>2023-12-31</t>
        </is>
      </c>
      <c r="D12" s="13" t="inlineStr">
        <is>
          <t>JRN-2023-009</t>
        </is>
      </c>
      <c r="E12" s="13" t="inlineStr">
        <is>
          <t>OPX-ALL-01</t>
        </is>
      </c>
      <c r="F12" s="6" t="inlineStr">
        <is>
          <t>Operating &amp; Administrative Expenses Disbursements</t>
        </is>
      </c>
      <c r="G12" s="13" t="inlineStr">
        <is>
          <t>PROJ-GEN</t>
        </is>
      </c>
      <c r="H12" s="21" t="n">
        <v>0</v>
      </c>
      <c r="I12" s="21" t="n">
        <v>5409765</v>
      </c>
      <c r="J12" s="21" t="n">
        <v>-5409765</v>
      </c>
      <c r="K12" s="21" t="n">
        <v>-17332265</v>
      </c>
      <c r="L12" s="14" t="inlineStr">
        <is>
          <t>VERIFIED</t>
        </is>
      </c>
    </row>
    <row r="13">
      <c r="A13" s="11" t="inlineStr">
        <is>
          <t>1010</t>
        </is>
      </c>
      <c r="B13" s="8" t="inlineStr">
        <is>
          <t>Providus Bank - A/C 5400281942</t>
        </is>
      </c>
      <c r="C13" s="11" t="inlineStr">
        <is>
          <t>2023-12-31</t>
        </is>
      </c>
      <c r="D13" s="11" t="inlineStr">
        <is>
          <t>ADJ-BNK-23</t>
        </is>
      </c>
      <c r="E13" s="11" t="inlineStr">
        <is>
          <t>PRV-REC-23</t>
        </is>
      </c>
      <c r="F13" s="9" t="inlineStr">
        <is>
          <t>Operating Cash Receipts from Progress Billings &amp; Settlements</t>
        </is>
      </c>
      <c r="G13" s="11" t="inlineStr">
        <is>
          <t>PROJ-GEN</t>
        </is>
      </c>
      <c r="H13" s="22" t="n">
        <v>19548085</v>
      </c>
      <c r="I13" s="22" t="n">
        <v>0</v>
      </c>
      <c r="J13" s="22" t="n">
        <v>19548085</v>
      </c>
      <c r="K13" s="22" t="n">
        <v>2215820</v>
      </c>
      <c r="L13" s="12" t="inlineStr">
        <is>
          <t>VERIFIED</t>
        </is>
      </c>
    </row>
    <row r="14">
      <c r="A14" s="13" t="inlineStr">
        <is>
          <t>1020</t>
        </is>
      </c>
      <c r="B14" s="5" t="inlineStr">
        <is>
          <t>First Bank of Nigeria - A/C 2034891102</t>
        </is>
      </c>
      <c r="C14" s="13" t="inlineStr">
        <is>
          <t>2023-01-01</t>
        </is>
      </c>
      <c r="D14" s="13" t="inlineStr">
        <is>
          <t>JRN-2023-001</t>
        </is>
      </c>
      <c r="E14" s="13" t="inlineStr">
        <is>
          <t>OPEN-002</t>
        </is>
      </c>
      <c r="F14" s="6" t="inlineStr">
        <is>
          <t>Opening Imprest Balance B/F</t>
        </is>
      </c>
      <c r="G14" s="13" t="inlineStr">
        <is>
          <t>PROJ-GEN</t>
        </is>
      </c>
      <c r="H14" s="21" t="n">
        <v>12410</v>
      </c>
      <c r="I14" s="21" t="n">
        <v>0</v>
      </c>
      <c r="J14" s="21" t="n">
        <v>12410</v>
      </c>
      <c r="K14" s="21" t="n">
        <v>12410</v>
      </c>
      <c r="L14" s="14" t="inlineStr">
        <is>
          <t>VERIFIED</t>
        </is>
      </c>
    </row>
    <row r="15">
      <c r="A15" s="11" t="inlineStr">
        <is>
          <t>1020</t>
        </is>
      </c>
      <c r="B15" s="8" t="inlineStr">
        <is>
          <t>First Bank of Nigeria - A/C 2034891102</t>
        </is>
      </c>
      <c r="C15" s="11" t="inlineStr">
        <is>
          <t>2023-12-28</t>
        </is>
      </c>
      <c r="D15" s="11" t="inlineStr">
        <is>
          <t>JRN-2023-017</t>
        </is>
      </c>
      <c r="E15" s="11" t="inlineStr">
        <is>
          <t>TRF-PRV-01</t>
        </is>
      </c>
      <c r="F15" s="9" t="inlineStr">
        <is>
          <t>Interbank Transfer from Providus Bank</t>
        </is>
      </c>
      <c r="G15" s="11" t="inlineStr">
        <is>
          <t>PROJ-GEN</t>
        </is>
      </c>
      <c r="H15" s="22" t="n">
        <v>500000</v>
      </c>
      <c r="I15" s="22" t="n">
        <v>0</v>
      </c>
      <c r="J15" s="22" t="n">
        <v>500000</v>
      </c>
      <c r="K15" s="22" t="n">
        <v>512410</v>
      </c>
      <c r="L15" s="12" t="inlineStr">
        <is>
          <t>VERIFIED</t>
        </is>
      </c>
    </row>
    <row r="16">
      <c r="A16" s="13" t="inlineStr">
        <is>
          <t>1030</t>
        </is>
      </c>
      <c r="B16" s="5" t="inlineStr">
        <is>
          <t>Sterling Bank - A/C 0078451290</t>
        </is>
      </c>
      <c r="C16" s="13" t="inlineStr">
        <is>
          <t>2023-01-01</t>
        </is>
      </c>
      <c r="D16" s="13" t="inlineStr">
        <is>
          <t>JRN-2023-001</t>
        </is>
      </c>
      <c r="E16" s="13" t="inlineStr">
        <is>
          <t>OPEN-003</t>
        </is>
      </c>
      <c r="F16" s="6" t="inlineStr">
        <is>
          <t>Opening Balance B/F</t>
        </is>
      </c>
      <c r="G16" s="13" t="inlineStr">
        <is>
          <t>PROJ-GEN</t>
        </is>
      </c>
      <c r="H16" s="21" t="n">
        <v>95828.85000000001</v>
      </c>
      <c r="I16" s="21" t="n">
        <v>0</v>
      </c>
      <c r="J16" s="21" t="n">
        <v>95828.85000000001</v>
      </c>
      <c r="K16" s="21" t="n">
        <v>95828.85000000001</v>
      </c>
      <c r="L16" s="14" t="inlineStr">
        <is>
          <t>VERIFIED</t>
        </is>
      </c>
    </row>
    <row r="17">
      <c r="A17" s="11" t="inlineStr">
        <is>
          <t>1030</t>
        </is>
      </c>
      <c r="B17" s="8" t="inlineStr">
        <is>
          <t>Sterling Bank - A/C 0078451290</t>
        </is>
      </c>
      <c r="C17" s="11" t="inlineStr">
        <is>
          <t>2023-12-31</t>
        </is>
      </c>
      <c r="D17" s="11" t="inlineStr">
        <is>
          <t>JRN-2023-025</t>
        </is>
      </c>
      <c r="E17" s="11" t="inlineStr">
        <is>
          <t>TRF-PRV-02</t>
        </is>
      </c>
      <c r="F17" s="9" t="inlineStr">
        <is>
          <t>Interbank Transfer from Providus Bank</t>
        </is>
      </c>
      <c r="G17" s="11" t="inlineStr">
        <is>
          <t>PROJ-GEN</t>
        </is>
      </c>
      <c r="H17" s="22" t="n">
        <v>18344.15</v>
      </c>
      <c r="I17" s="22" t="n">
        <v>0</v>
      </c>
      <c r="J17" s="22" t="n">
        <v>18344.15</v>
      </c>
      <c r="K17" s="22" t="n">
        <v>114173</v>
      </c>
      <c r="L17" s="12" t="inlineStr">
        <is>
          <t>VERIFIED</t>
        </is>
      </c>
    </row>
    <row r="18">
      <c r="A18" s="13" t="inlineStr">
        <is>
          <t>1110</t>
        </is>
      </c>
      <c r="B18" s="5" t="inlineStr">
        <is>
          <t>Trade Receivables - Construction &amp; Engineering</t>
        </is>
      </c>
      <c r="C18" s="13" t="inlineStr">
        <is>
          <t>2023-01-01</t>
        </is>
      </c>
      <c r="D18" s="13" t="inlineStr">
        <is>
          <t>JRN-2023-001</t>
        </is>
      </c>
      <c r="E18" s="13" t="inlineStr">
        <is>
          <t>OPEN-004</t>
        </is>
      </c>
      <c r="F18" s="6" t="inlineStr">
        <is>
          <t>Opening Trade Debtors B/F per 2022 AFS</t>
        </is>
      </c>
      <c r="G18" s="13" t="inlineStr">
        <is>
          <t>PROJ-GEN</t>
        </is>
      </c>
      <c r="H18" s="21" t="n">
        <v>3374668</v>
      </c>
      <c r="I18" s="21" t="n">
        <v>0</v>
      </c>
      <c r="J18" s="21" t="n">
        <v>3374668</v>
      </c>
      <c r="K18" s="21" t="n">
        <v>3374668</v>
      </c>
      <c r="L18" s="14" t="inlineStr">
        <is>
          <t>VERIFIED</t>
        </is>
      </c>
    </row>
    <row r="19">
      <c r="A19" s="11" t="inlineStr">
        <is>
          <t>1110</t>
        </is>
      </c>
      <c r="B19" s="8" t="inlineStr">
        <is>
          <t>Trade Receivables - Construction &amp; Engineering</t>
        </is>
      </c>
      <c r="C19" s="11" t="inlineStr">
        <is>
          <t>2023-12-31</t>
        </is>
      </c>
      <c r="D19" s="11" t="inlineStr">
        <is>
          <t>JRN-2023-004</t>
        </is>
      </c>
      <c r="E19" s="11" t="inlineStr">
        <is>
          <t>CNT-LEK-01</t>
        </is>
      </c>
      <c r="F19" s="9" t="inlineStr">
        <is>
          <t>Progress Billings on Lekki Phase 1 Project</t>
        </is>
      </c>
      <c r="G19" s="11" t="inlineStr">
        <is>
          <t>PROJ-101</t>
        </is>
      </c>
      <c r="H19" s="22" t="n">
        <v>15500000</v>
      </c>
      <c r="I19" s="22" t="n">
        <v>0</v>
      </c>
      <c r="J19" s="22" t="n">
        <v>15500000</v>
      </c>
      <c r="K19" s="22" t="n">
        <v>18874668</v>
      </c>
      <c r="L19" s="12" t="inlineStr">
        <is>
          <t>VERIFIED</t>
        </is>
      </c>
    </row>
    <row r="20">
      <c r="A20" s="13" t="inlineStr">
        <is>
          <t>1110</t>
        </is>
      </c>
      <c r="B20" s="5" t="inlineStr">
        <is>
          <t>Trade Receivables - Construction &amp; Engineering</t>
        </is>
      </c>
      <c r="C20" s="13" t="inlineStr">
        <is>
          <t>2023-12-31</t>
        </is>
      </c>
      <c r="D20" s="13" t="inlineStr">
        <is>
          <t>JRN-2023-004</t>
        </is>
      </c>
      <c r="E20" s="13" t="inlineStr">
        <is>
          <t>REC-SET-23</t>
        </is>
      </c>
      <c r="F20" s="6" t="inlineStr">
        <is>
          <t>Cash Collections from Construction Clients</t>
        </is>
      </c>
      <c r="G20" s="13" t="inlineStr">
        <is>
          <t>PROJ-GEN</t>
        </is>
      </c>
      <c r="H20" s="21" t="n">
        <v>0</v>
      </c>
      <c r="I20" s="21" t="n">
        <v>15224668</v>
      </c>
      <c r="J20" s="21" t="n">
        <v>-15224668</v>
      </c>
      <c r="K20" s="21" t="n">
        <v>3650000</v>
      </c>
      <c r="L20" s="14" t="inlineStr">
        <is>
          <t>VERIFIED</t>
        </is>
      </c>
    </row>
    <row r="21">
      <c r="A21" s="11" t="inlineStr">
        <is>
          <t>1130</t>
        </is>
      </c>
      <c r="B21" s="8" t="inlineStr">
        <is>
          <t>Allowance for Expected Credit Losses (IFRS 9)</t>
        </is>
      </c>
      <c r="C21" s="11" t="inlineStr">
        <is>
          <t>2023-12-31</t>
        </is>
      </c>
      <c r="D21" s="11" t="inlineStr">
        <is>
          <t>JRN-2023-009</t>
        </is>
      </c>
      <c r="E21" s="11" t="inlineStr">
        <is>
          <t>ECL-PROV-23</t>
        </is>
      </c>
      <c r="F21" s="9" t="inlineStr">
        <is>
          <t>IFRS 9 Expected Credit Loss Provision on Receivables</t>
        </is>
      </c>
      <c r="G21" s="11" t="inlineStr">
        <is>
          <t>PROJ-GEN</t>
        </is>
      </c>
      <c r="H21" s="22" t="n">
        <v>0</v>
      </c>
      <c r="I21" s="22" t="n">
        <v>185000</v>
      </c>
      <c r="J21" s="22" t="n">
        <v>-185000</v>
      </c>
      <c r="K21" s="22" t="n">
        <v>-185000</v>
      </c>
      <c r="L21" s="12" t="inlineStr">
        <is>
          <t>VERIFIED</t>
        </is>
      </c>
    </row>
    <row r="22">
      <c r="A22" s="13" t="inlineStr">
        <is>
          <t>1140</t>
        </is>
      </c>
      <c r="B22" s="5" t="inlineStr">
        <is>
          <t>Contract Assets (Unbilled Certified Work)</t>
        </is>
      </c>
      <c r="C22" s="13" t="inlineStr">
        <is>
          <t>2023-12-31</t>
        </is>
      </c>
      <c r="D22" s="13" t="inlineStr">
        <is>
          <t>JRN-2023-004</t>
        </is>
      </c>
      <c r="E22" s="13" t="inlineStr">
        <is>
          <t>CNT-LEK-01</t>
        </is>
      </c>
      <c r="F22" s="6" t="inlineStr">
        <is>
          <t>Unbilled Revenue Certified under IFRS 15 Over-Time</t>
        </is>
      </c>
      <c r="G22" s="13" t="inlineStr">
        <is>
          <t>PROJ-101</t>
        </is>
      </c>
      <c r="H22" s="21" t="n">
        <v>2400000</v>
      </c>
      <c r="I22" s="21" t="n">
        <v>0</v>
      </c>
      <c r="J22" s="21" t="n">
        <v>2400000</v>
      </c>
      <c r="K22" s="21" t="n">
        <v>2400000</v>
      </c>
      <c r="L22" s="14" t="inlineStr">
        <is>
          <t>VERIFIED</t>
        </is>
      </c>
    </row>
    <row r="23">
      <c r="A23" s="11" t="inlineStr">
        <is>
          <t>1150</t>
        </is>
      </c>
      <c r="B23" s="8" t="inlineStr">
        <is>
          <t>Withholding Tax (WHT) Credit Notes Receivable</t>
        </is>
      </c>
      <c r="C23" s="11" t="inlineStr">
        <is>
          <t>2023-12-31</t>
        </is>
      </c>
      <c r="D23" s="11" t="inlineStr">
        <is>
          <t>JRN-2023-010</t>
        </is>
      </c>
      <c r="E23" s="11" t="inlineStr">
        <is>
          <t>WHT-CR-23</t>
        </is>
      </c>
      <c r="F23" s="9" t="inlineStr">
        <is>
          <t>5% WHT Deducted at Source by Corporate Clients</t>
        </is>
      </c>
      <c r="G23" s="11" t="inlineStr">
        <is>
          <t>PROJ-GEN</t>
        </is>
      </c>
      <c r="H23" s="22" t="n">
        <v>1100000</v>
      </c>
      <c r="I23" s="22" t="n">
        <v>0</v>
      </c>
      <c r="J23" s="22" t="n">
        <v>1100000</v>
      </c>
      <c r="K23" s="22" t="n">
        <v>1100000</v>
      </c>
      <c r="L23" s="12" t="inlineStr">
        <is>
          <t>SUPPORTED ESTIMATE</t>
        </is>
      </c>
    </row>
    <row r="24">
      <c r="A24" s="13" t="inlineStr">
        <is>
          <t>1160</t>
        </is>
      </c>
      <c r="B24" s="5" t="inlineStr">
        <is>
          <t>Prepayments &amp; Site Advances to Suppliers</t>
        </is>
      </c>
      <c r="C24" s="13" t="inlineStr">
        <is>
          <t>2023-12-31</t>
        </is>
      </c>
      <c r="D24" s="13" t="inlineStr">
        <is>
          <t>JRN-2023-009</t>
        </is>
      </c>
      <c r="E24" s="13" t="inlineStr">
        <is>
          <t>PRE-ADV-23</t>
        </is>
      </c>
      <c r="F24" s="6" t="inlineStr">
        <is>
          <t>Prepaid Rent &amp; Site Advances to Material Suppliers</t>
        </is>
      </c>
      <c r="G24" s="13" t="inlineStr">
        <is>
          <t>PROJ-GEN</t>
        </is>
      </c>
      <c r="H24" s="21" t="n">
        <v>450000</v>
      </c>
      <c r="I24" s="21" t="n">
        <v>0</v>
      </c>
      <c r="J24" s="21" t="n">
        <v>450000</v>
      </c>
      <c r="K24" s="21" t="n">
        <v>450000</v>
      </c>
      <c r="L24" s="14" t="inlineStr">
        <is>
          <t>VERIFIED</t>
        </is>
      </c>
    </row>
    <row r="25">
      <c r="A25" s="11" t="inlineStr">
        <is>
          <t>1210</t>
        </is>
      </c>
      <c r="B25" s="8" t="inlineStr">
        <is>
          <t>Development Inventory - Land Held for Resale</t>
        </is>
      </c>
      <c r="C25" s="11" t="inlineStr">
        <is>
          <t>2023-02-14</t>
        </is>
      </c>
      <c r="D25" s="11" t="inlineStr">
        <is>
          <t>JRN-2023-004</t>
        </is>
      </c>
      <c r="E25" s="11" t="inlineStr">
        <is>
          <t>LND-ACQ-01</t>
        </is>
      </c>
      <c r="F25" s="9" t="inlineStr">
        <is>
          <t>Acquisition of Ibeju-Lekki Land (Scheme 1)</t>
        </is>
      </c>
      <c r="G25" s="11" t="inlineStr">
        <is>
          <t>PROJ-102</t>
        </is>
      </c>
      <c r="H25" s="22" t="n">
        <v>8100000</v>
      </c>
      <c r="I25" s="22" t="n">
        <v>0</v>
      </c>
      <c r="J25" s="22" t="n">
        <v>8100000</v>
      </c>
      <c r="K25" s="22" t="n">
        <v>8100000</v>
      </c>
      <c r="L25" s="12" t="inlineStr">
        <is>
          <t>VERIFIED</t>
        </is>
      </c>
    </row>
    <row r="26">
      <c r="A26" s="13" t="inlineStr">
        <is>
          <t>1210</t>
        </is>
      </c>
      <c r="B26" s="5" t="inlineStr">
        <is>
          <t>Development Inventory - Land Held for Resale</t>
        </is>
      </c>
      <c r="C26" s="13" t="inlineStr">
        <is>
          <t>2023-12-31</t>
        </is>
      </c>
      <c r="D26" s="13" t="inlineStr">
        <is>
          <t>JRN-2023-007</t>
        </is>
      </c>
      <c r="E26" s="13" t="inlineStr">
        <is>
          <t>COS-LND-01</t>
        </is>
      </c>
      <c r="F26" s="6" t="inlineStr">
        <is>
          <t>Land Inventory Cost Released on 4 Plots Sold</t>
        </is>
      </c>
      <c r="G26" s="13" t="inlineStr">
        <is>
          <t>PROJ-102</t>
        </is>
      </c>
      <c r="H26" s="21" t="n">
        <v>0</v>
      </c>
      <c r="I26" s="21" t="n">
        <v>8100000</v>
      </c>
      <c r="J26" s="21" t="n">
        <v>-8100000</v>
      </c>
      <c r="K26" s="21" t="n">
        <v>0</v>
      </c>
      <c r="L26" s="14" t="inlineStr">
        <is>
          <t>VERIFIED</t>
        </is>
      </c>
    </row>
    <row r="27">
      <c r="A27" s="11" t="inlineStr">
        <is>
          <t>1210</t>
        </is>
      </c>
      <c r="B27" s="8" t="inlineStr">
        <is>
          <t>Development Inventory - Land Held for Resale</t>
        </is>
      </c>
      <c r="C27" s="11" t="inlineStr">
        <is>
          <t>2023-12-31</t>
        </is>
      </c>
      <c r="D27" s="11" t="inlineStr">
        <is>
          <t>JRN-2023-008</t>
        </is>
      </c>
      <c r="E27" s="11" t="inlineStr">
        <is>
          <t>INV-EPE-01</t>
        </is>
      </c>
      <c r="F27" s="9" t="inlineStr">
        <is>
          <t>Epe Scheme 1 Land Acquired for Resale (IAS 2)</t>
        </is>
      </c>
      <c r="G27" s="11" t="inlineStr">
        <is>
          <t>PROJ-105</t>
        </is>
      </c>
      <c r="H27" s="22" t="n">
        <v>5400000</v>
      </c>
      <c r="I27" s="22" t="n">
        <v>0</v>
      </c>
      <c r="J27" s="22" t="n">
        <v>5400000</v>
      </c>
      <c r="K27" s="22" t="n">
        <v>5400000</v>
      </c>
      <c r="L27" s="12" t="inlineStr">
        <is>
          <t>VERIFIED</t>
        </is>
      </c>
    </row>
    <row r="28">
      <c r="A28" s="13" t="inlineStr">
        <is>
          <t>1220</t>
        </is>
      </c>
      <c r="B28" s="5" t="inlineStr">
        <is>
          <t>Development Inventory - Construction WIP</t>
        </is>
      </c>
      <c r="C28" s="13" t="inlineStr">
        <is>
          <t>2023-12-31</t>
        </is>
      </c>
      <c r="D28" s="13" t="inlineStr">
        <is>
          <t>JRN-2023-008</t>
        </is>
      </c>
      <c r="E28" s="13" t="inlineStr">
        <is>
          <t>WIP-LEK-01</t>
        </is>
      </c>
      <c r="F28" s="6" t="inlineStr">
        <is>
          <t>Ongoing Civil Works WIP Capitalized (IAS 2)</t>
        </is>
      </c>
      <c r="G28" s="13" t="inlineStr">
        <is>
          <t>PROJ-101</t>
        </is>
      </c>
      <c r="H28" s="21" t="n">
        <v>3250000</v>
      </c>
      <c r="I28" s="21" t="n">
        <v>0</v>
      </c>
      <c r="J28" s="21" t="n">
        <v>3250000</v>
      </c>
      <c r="K28" s="21" t="n">
        <v>3250000</v>
      </c>
      <c r="L28" s="14" t="inlineStr">
        <is>
          <t>VERIFIED</t>
        </is>
      </c>
    </row>
    <row r="29">
      <c r="A29" s="11" t="inlineStr">
        <is>
          <t>1510</t>
        </is>
      </c>
      <c r="B29" s="8" t="inlineStr">
        <is>
          <t>PPE - Office &amp; Site Equipment</t>
        </is>
      </c>
      <c r="C29" s="11" t="inlineStr">
        <is>
          <t>2023-01-01</t>
        </is>
      </c>
      <c r="D29" s="11" t="inlineStr">
        <is>
          <t>JRN-2023-001</t>
        </is>
      </c>
      <c r="E29" s="11" t="inlineStr">
        <is>
          <t>OPEN-005</t>
        </is>
      </c>
      <c r="F29" s="9" t="inlineStr">
        <is>
          <t>Opening Equipment Cost B/F per 2022 AFS Note 8</t>
        </is>
      </c>
      <c r="G29" s="11" t="inlineStr">
        <is>
          <t>PROJ-GEN</t>
        </is>
      </c>
      <c r="H29" s="22" t="n">
        <v>23850</v>
      </c>
      <c r="I29" s="22" t="n">
        <v>0</v>
      </c>
      <c r="J29" s="22" t="n">
        <v>23850</v>
      </c>
      <c r="K29" s="22" t="n">
        <v>23850</v>
      </c>
      <c r="L29" s="12" t="inlineStr">
        <is>
          <t>VERIFIED</t>
        </is>
      </c>
    </row>
    <row r="30">
      <c r="A30" s="13" t="inlineStr">
        <is>
          <t>1510</t>
        </is>
      </c>
      <c r="B30" s="5" t="inlineStr">
        <is>
          <t>PPE - Office &amp; Site Equipment</t>
        </is>
      </c>
      <c r="C30" s="13" t="inlineStr">
        <is>
          <t>2023-01-28</t>
        </is>
      </c>
      <c r="D30" s="13" t="inlineStr">
        <is>
          <t>JRN-2023-002</t>
        </is>
      </c>
      <c r="E30" s="13" t="inlineStr">
        <is>
          <t>INV-GEO-01</t>
        </is>
      </c>
      <c r="F30" s="6" t="inlineStr">
        <is>
          <t>Purchase of Site Surveying Equipment (IAS 16)</t>
        </is>
      </c>
      <c r="G30" s="13" t="inlineStr">
        <is>
          <t>PROJ-GEN</t>
        </is>
      </c>
      <c r="H30" s="21" t="n">
        <v>1800000</v>
      </c>
      <c r="I30" s="21" t="n">
        <v>0</v>
      </c>
      <c r="J30" s="21" t="n">
        <v>1800000</v>
      </c>
      <c r="K30" s="21" t="n">
        <v>1823850</v>
      </c>
      <c r="L30" s="14" t="inlineStr">
        <is>
          <t>VERIFIED</t>
        </is>
      </c>
    </row>
    <row r="31">
      <c r="A31" s="11" t="inlineStr">
        <is>
          <t>1590</t>
        </is>
      </c>
      <c r="B31" s="8" t="inlineStr">
        <is>
          <t>Accumulated Depreciation - PPE</t>
        </is>
      </c>
      <c r="C31" s="11" t="inlineStr">
        <is>
          <t>2023-01-01</t>
        </is>
      </c>
      <c r="D31" s="11" t="inlineStr">
        <is>
          <t>JRN-2023-001</t>
        </is>
      </c>
      <c r="E31" s="11" t="inlineStr">
        <is>
          <t>OPEN-006</t>
        </is>
      </c>
      <c r="F31" s="9" t="inlineStr">
        <is>
          <t>Opening Accumulated Depreciation B/F Note 8</t>
        </is>
      </c>
      <c r="G31" s="11" t="inlineStr">
        <is>
          <t>PROJ-GEN</t>
        </is>
      </c>
      <c r="H31" s="22" t="n">
        <v>0</v>
      </c>
      <c r="I31" s="22" t="n">
        <v>14310</v>
      </c>
      <c r="J31" s="22" t="n">
        <v>-14310</v>
      </c>
      <c r="K31" s="22" t="n">
        <v>-14310</v>
      </c>
      <c r="L31" s="12" t="inlineStr">
        <is>
          <t>VERIFIED</t>
        </is>
      </c>
    </row>
    <row r="32">
      <c r="A32" s="13" t="inlineStr">
        <is>
          <t>1590</t>
        </is>
      </c>
      <c r="B32" s="5" t="inlineStr">
        <is>
          <t>Accumulated Depreciation - PPE</t>
        </is>
      </c>
      <c r="C32" s="13" t="inlineStr">
        <is>
          <t>2023-12-31</t>
        </is>
      </c>
      <c r="D32" s="13" t="inlineStr">
        <is>
          <t>JRN-2023-009</t>
        </is>
      </c>
      <c r="E32" s="13" t="inlineStr">
        <is>
          <t>DEP-2023</t>
        </is>
      </c>
      <c r="F32" s="6" t="inlineStr">
        <is>
          <t>Annual Depreciation Charge for FY 2023 (IAS 16)</t>
        </is>
      </c>
      <c r="G32" s="13" t="inlineStr">
        <is>
          <t>PROJ-GEN</t>
        </is>
      </c>
      <c r="H32" s="21" t="n">
        <v>0</v>
      </c>
      <c r="I32" s="21" t="n">
        <v>385000</v>
      </c>
      <c r="J32" s="21" t="n">
        <v>-385000</v>
      </c>
      <c r="K32" s="21" t="n">
        <v>-399310</v>
      </c>
      <c r="L32" s="14" t="inlineStr">
        <is>
          <t>VERIFIED</t>
        </is>
      </c>
    </row>
    <row r="33">
      <c r="A33" s="11" t="inlineStr">
        <is>
          <t>1610</t>
        </is>
      </c>
      <c r="B33" s="8" t="inlineStr">
        <is>
          <t>Deferred Tax Asset (IAS 12)</t>
        </is>
      </c>
      <c r="C33" s="11" t="inlineStr">
        <is>
          <t>2023-12-31</t>
        </is>
      </c>
      <c r="D33" s="11" t="inlineStr">
        <is>
          <t>JRN-2023-010</t>
        </is>
      </c>
      <c r="E33" s="11" t="inlineStr">
        <is>
          <t>DTA-2023</t>
        </is>
      </c>
      <c r="F33" s="9" t="inlineStr">
        <is>
          <t>Deferred Tax Asset Recognized on Temporary Differences</t>
        </is>
      </c>
      <c r="G33" s="11" t="inlineStr">
        <is>
          <t>PROJ-GEN</t>
        </is>
      </c>
      <c r="H33" s="22" t="n">
        <v>32000</v>
      </c>
      <c r="I33" s="22" t="n">
        <v>0</v>
      </c>
      <c r="J33" s="22" t="n">
        <v>32000</v>
      </c>
      <c r="K33" s="22" t="n">
        <v>32000</v>
      </c>
      <c r="L33" s="12" t="inlineStr">
        <is>
          <t>VERIFIED</t>
        </is>
      </c>
    </row>
    <row r="34">
      <c r="A34" s="13" t="inlineStr">
        <is>
          <t>2010</t>
        </is>
      </c>
      <c r="B34" s="5" t="inlineStr">
        <is>
          <t>Trade Payables - Subcontractors &amp; Materials</t>
        </is>
      </c>
      <c r="C34" s="13" t="inlineStr">
        <is>
          <t>2023-01-01</t>
        </is>
      </c>
      <c r="D34" s="13" t="inlineStr">
        <is>
          <t>JRN-2023-001</t>
        </is>
      </c>
      <c r="E34" s="13" t="inlineStr">
        <is>
          <t>OPEN-007</t>
        </is>
      </c>
      <c r="F34" s="6" t="inlineStr">
        <is>
          <t>Opening Trade Payables B/F per 2022 AFS</t>
        </is>
      </c>
      <c r="G34" s="13" t="inlineStr">
        <is>
          <t>PROJ-GEN</t>
        </is>
      </c>
      <c r="H34" s="21" t="n">
        <v>0</v>
      </c>
      <c r="I34" s="21" t="n">
        <v>25000</v>
      </c>
      <c r="J34" s="21" t="n">
        <v>-25000</v>
      </c>
      <c r="K34" s="21" t="n">
        <v>-25000</v>
      </c>
      <c r="L34" s="14" t="inlineStr">
        <is>
          <t>VERIFIED</t>
        </is>
      </c>
    </row>
    <row r="35">
      <c r="A35" s="11" t="inlineStr">
        <is>
          <t>2010</t>
        </is>
      </c>
      <c r="B35" s="8" t="inlineStr">
        <is>
          <t>Trade Payables - Subcontractors &amp; Materials</t>
        </is>
      </c>
      <c r="C35" s="11" t="inlineStr">
        <is>
          <t>2023-12-31</t>
        </is>
      </c>
      <c r="D35" s="11" t="inlineStr">
        <is>
          <t>JRN-2023-007</t>
        </is>
      </c>
      <c r="E35" s="11" t="inlineStr">
        <is>
          <t>COS-ALL-01</t>
        </is>
      </c>
      <c r="F35" s="9" t="inlineStr">
        <is>
          <t>Direct Trade Creditors for Materials &amp; Piling</t>
        </is>
      </c>
      <c r="G35" s="11" t="inlineStr">
        <is>
          <t>PROJ-GEN</t>
        </is>
      </c>
      <c r="H35" s="22" t="n">
        <v>0</v>
      </c>
      <c r="I35" s="22" t="n">
        <v>2125000</v>
      </c>
      <c r="J35" s="22" t="n">
        <v>-2125000</v>
      </c>
      <c r="K35" s="22" t="n">
        <v>-2150000</v>
      </c>
      <c r="L35" s="12" t="inlineStr">
        <is>
          <t>VERIFIED</t>
        </is>
      </c>
    </row>
    <row r="36">
      <c r="A36" s="13" t="inlineStr">
        <is>
          <t>2020</t>
        </is>
      </c>
      <c r="B36" s="5" t="inlineStr">
        <is>
          <t>Contract Liabilities - Customer Advances &amp; Deposits</t>
        </is>
      </c>
      <c r="C36" s="13" t="inlineStr">
        <is>
          <t>2023-01-15</t>
        </is>
      </c>
      <c r="D36" s="13" t="inlineStr">
        <is>
          <t>JRN-2023-002</t>
        </is>
      </c>
      <c r="E36" s="13" t="inlineStr">
        <is>
          <t>MOB-ADV-01</t>
        </is>
      </c>
      <c r="F36" s="6" t="inlineStr">
        <is>
          <t>Mobilization Advance Received from Apex Properties</t>
        </is>
      </c>
      <c r="G36" s="13" t="inlineStr">
        <is>
          <t>PROJ-101</t>
        </is>
      </c>
      <c r="H36" s="21" t="n">
        <v>0</v>
      </c>
      <c r="I36" s="21" t="n">
        <v>6500000</v>
      </c>
      <c r="J36" s="21" t="n">
        <v>-6500000</v>
      </c>
      <c r="K36" s="21" t="n">
        <v>-6500000</v>
      </c>
      <c r="L36" s="14" t="inlineStr">
        <is>
          <t>VERIFIED</t>
        </is>
      </c>
    </row>
    <row r="37">
      <c r="A37" s="11" t="inlineStr">
        <is>
          <t>2020</t>
        </is>
      </c>
      <c r="B37" s="8" t="inlineStr">
        <is>
          <t>Contract Liabilities - Customer Advances &amp; Deposits</t>
        </is>
      </c>
      <c r="C37" s="11" t="inlineStr">
        <is>
          <t>2023-12-31</t>
        </is>
      </c>
      <c r="D37" s="11" t="inlineStr">
        <is>
          <t>JRN-2023-004</t>
        </is>
      </c>
      <c r="E37" s="11" t="inlineStr">
        <is>
          <t>REV-APP-01</t>
        </is>
      </c>
      <c r="F37" s="9" t="inlineStr">
        <is>
          <t>Mobilization Advance Applied to Earned Revenue</t>
        </is>
      </c>
      <c r="G37" s="11" t="inlineStr">
        <is>
          <t>PROJ-101</t>
        </is>
      </c>
      <c r="H37" s="22" t="n">
        <v>4100000</v>
      </c>
      <c r="I37" s="22" t="n">
        <v>0</v>
      </c>
      <c r="J37" s="22" t="n">
        <v>4100000</v>
      </c>
      <c r="K37" s="22" t="n">
        <v>-2400000</v>
      </c>
      <c r="L37" s="12" t="inlineStr">
        <is>
          <t>VERIFIED</t>
        </is>
      </c>
    </row>
    <row r="38">
      <c r="A38" s="13" t="inlineStr">
        <is>
          <t>2030</t>
        </is>
      </c>
      <c r="B38" s="5" t="inlineStr">
        <is>
          <t>Accrued Audit, Tax &amp; Professional Fees</t>
        </is>
      </c>
      <c r="C38" s="13" t="inlineStr">
        <is>
          <t>2023-01-01</t>
        </is>
      </c>
      <c r="D38" s="13" t="inlineStr">
        <is>
          <t>JRN-2023-001</t>
        </is>
      </c>
      <c r="E38" s="13" t="inlineStr">
        <is>
          <t>OPEN-008</t>
        </is>
      </c>
      <c r="F38" s="6" t="inlineStr">
        <is>
          <t>Opening Audit Fee Accrual B/F per 2022 AFS</t>
        </is>
      </c>
      <c r="G38" s="13" t="inlineStr">
        <is>
          <t>PROJ-GEN</t>
        </is>
      </c>
      <c r="H38" s="21" t="n">
        <v>0</v>
      </c>
      <c r="I38" s="21" t="n">
        <v>50000</v>
      </c>
      <c r="J38" s="21" t="n">
        <v>-50000</v>
      </c>
      <c r="K38" s="21" t="n">
        <v>-50000</v>
      </c>
      <c r="L38" s="14" t="inlineStr">
        <is>
          <t>VERIFIED</t>
        </is>
      </c>
    </row>
    <row r="39">
      <c r="A39" s="11" t="inlineStr">
        <is>
          <t>2030</t>
        </is>
      </c>
      <c r="B39" s="8" t="inlineStr">
        <is>
          <t>Accrued Audit, Tax &amp; Professional Fees</t>
        </is>
      </c>
      <c r="C39" s="11" t="inlineStr">
        <is>
          <t>2023-12-31</t>
        </is>
      </c>
      <c r="D39" s="11" t="inlineStr">
        <is>
          <t>JRN-2023-009</t>
        </is>
      </c>
      <c r="E39" s="11" t="inlineStr">
        <is>
          <t>ACC-AUD-23</t>
        </is>
      </c>
      <c r="F39" s="9" t="inlineStr">
        <is>
          <t>Accrued Statutory Audit &amp; Tax Advisory Fees</t>
        </is>
      </c>
      <c r="G39" s="11" t="inlineStr">
        <is>
          <t>PROJ-GEN</t>
        </is>
      </c>
      <c r="H39" s="22" t="n">
        <v>0</v>
      </c>
      <c r="I39" s="22" t="n">
        <v>325000</v>
      </c>
      <c r="J39" s="22" t="n">
        <v>-325000</v>
      </c>
      <c r="K39" s="22" t="n">
        <v>-375000</v>
      </c>
      <c r="L39" s="12" t="inlineStr">
        <is>
          <t>VERIFIED</t>
        </is>
      </c>
    </row>
    <row r="40">
      <c r="A40" s="13" t="inlineStr">
        <is>
          <t>2040</t>
        </is>
      </c>
      <c r="B40" s="5" t="inlineStr">
        <is>
          <t>Other Accrued Expenses &amp; Sundry Creditors</t>
        </is>
      </c>
      <c r="C40" s="13" t="inlineStr">
        <is>
          <t>2023-12-31</t>
        </is>
      </c>
      <c r="D40" s="13" t="inlineStr">
        <is>
          <t>JRN-2023-009</t>
        </is>
      </c>
      <c r="E40" s="13" t="inlineStr">
        <is>
          <t>ACC-OPS-23</t>
        </is>
      </c>
      <c r="F40" s="6" t="inlineStr">
        <is>
          <t>Accrued Utilities, Security &amp; Site Expenses</t>
        </is>
      </c>
      <c r="G40" s="13" t="inlineStr">
        <is>
          <t>PROJ-GEN</t>
        </is>
      </c>
      <c r="H40" s="21" t="n">
        <v>0</v>
      </c>
      <c r="I40" s="21" t="n">
        <v>245235</v>
      </c>
      <c r="J40" s="21" t="n">
        <v>-245235</v>
      </c>
      <c r="K40" s="21" t="n">
        <v>-245235</v>
      </c>
      <c r="L40" s="14" t="inlineStr">
        <is>
          <t>VERIFIED</t>
        </is>
      </c>
    </row>
    <row r="41">
      <c r="A41" s="11" t="inlineStr">
        <is>
          <t>2110</t>
        </is>
      </c>
      <c r="B41" s="8" t="inlineStr">
        <is>
          <t>Current Tax Liabilities - CIT Payable</t>
        </is>
      </c>
      <c r="C41" s="11" t="inlineStr">
        <is>
          <t>2023-12-31</t>
        </is>
      </c>
      <c r="D41" s="11" t="inlineStr">
        <is>
          <t>JRN-2023-010</t>
        </is>
      </c>
      <c r="E41" s="11" t="inlineStr">
        <is>
          <t>TAX-CIT-23</t>
        </is>
      </c>
      <c r="F41" s="9" t="inlineStr">
        <is>
          <t>Companies Income Tax Provision for FY 2023 (20%)</t>
        </is>
      </c>
      <c r="G41" s="11" t="inlineStr">
        <is>
          <t>PROJ-GEN</t>
        </is>
      </c>
      <c r="H41" s="22" t="n">
        <v>0</v>
      </c>
      <c r="I41" s="22" t="n">
        <v>1492000</v>
      </c>
      <c r="J41" s="22" t="n">
        <v>-1492000</v>
      </c>
      <c r="K41" s="22" t="n">
        <v>-1492000</v>
      </c>
      <c r="L41" s="12" t="inlineStr">
        <is>
          <t>VERIFIED</t>
        </is>
      </c>
    </row>
    <row r="42">
      <c r="A42" s="13" t="inlineStr">
        <is>
          <t>2120</t>
        </is>
      </c>
      <c r="B42" s="5" t="inlineStr">
        <is>
          <t>Current Tax Liabilities - TET Payable</t>
        </is>
      </c>
      <c r="C42" s="13" t="inlineStr">
        <is>
          <t>2023-12-31</t>
        </is>
      </c>
      <c r="D42" s="13" t="inlineStr">
        <is>
          <t>JRN-2023-010</t>
        </is>
      </c>
      <c r="E42" s="13" t="inlineStr">
        <is>
          <t>TAX-TET-23</t>
        </is>
      </c>
      <c r="F42" s="6" t="inlineStr">
        <is>
          <t>Tertiary Education Tax Provision for FY 2023 (3%)</t>
        </is>
      </c>
      <c r="G42" s="13" t="inlineStr">
        <is>
          <t>PROJ-GEN</t>
        </is>
      </c>
      <c r="H42" s="21" t="n">
        <v>0</v>
      </c>
      <c r="I42" s="21" t="n">
        <v>239400</v>
      </c>
      <c r="J42" s="21" t="n">
        <v>-239400</v>
      </c>
      <c r="K42" s="21" t="n">
        <v>-239400</v>
      </c>
      <c r="L42" s="14" t="inlineStr">
        <is>
          <t>VERIFIED</t>
        </is>
      </c>
    </row>
    <row r="43">
      <c r="A43" s="11" t="inlineStr">
        <is>
          <t>2130</t>
        </is>
      </c>
      <c r="B43" s="8" t="inlineStr">
        <is>
          <t>Current Tax Liabilities - PTF Payable</t>
        </is>
      </c>
      <c r="C43" s="11" t="inlineStr">
        <is>
          <t>2023-01-01</t>
        </is>
      </c>
      <c r="D43" s="11" t="inlineStr">
        <is>
          <t>JRN-2023-001</t>
        </is>
      </c>
      <c r="E43" s="11" t="inlineStr">
        <is>
          <t>OPEN-009</t>
        </is>
      </c>
      <c r="F43" s="9" t="inlineStr">
        <is>
          <t>Opening Unpaid Police Trust Fund Levy B/F</t>
        </is>
      </c>
      <c r="G43" s="11" t="inlineStr">
        <is>
          <t>PROJ-GEN</t>
        </is>
      </c>
      <c r="H43" s="22" t="n">
        <v>0</v>
      </c>
      <c r="I43" s="22" t="n">
        <v>90</v>
      </c>
      <c r="J43" s="22" t="n">
        <v>-90</v>
      </c>
      <c r="K43" s="22" t="n">
        <v>-90</v>
      </c>
      <c r="L43" s="12" t="inlineStr">
        <is>
          <t>VERIFIED</t>
        </is>
      </c>
    </row>
    <row r="44">
      <c r="A44" s="13" t="inlineStr">
        <is>
          <t>2130</t>
        </is>
      </c>
      <c r="B44" s="5" t="inlineStr">
        <is>
          <t>Current Tax Liabilities - PTF Payable</t>
        </is>
      </c>
      <c r="C44" s="13" t="inlineStr">
        <is>
          <t>2023-12-31</t>
        </is>
      </c>
      <c r="D44" s="13" t="inlineStr">
        <is>
          <t>JRN-2023-010</t>
        </is>
      </c>
      <c r="E44" s="13" t="inlineStr">
        <is>
          <t>TAX-PTF-23</t>
        </is>
      </c>
      <c r="F44" s="6" t="inlineStr">
        <is>
          <t>Police Trust Fund Levy Provision for FY 2023 (0.005%)</t>
        </is>
      </c>
      <c r="G44" s="13" t="inlineStr">
        <is>
          <t>PROJ-GEN</t>
        </is>
      </c>
      <c r="H44" s="21" t="n">
        <v>0</v>
      </c>
      <c r="I44" s="21" t="n">
        <v>365</v>
      </c>
      <c r="J44" s="21" t="n">
        <v>-365</v>
      </c>
      <c r="K44" s="21" t="n">
        <v>-455</v>
      </c>
      <c r="L44" s="14" t="inlineStr">
        <is>
          <t>VERIFIED</t>
        </is>
      </c>
    </row>
    <row r="45">
      <c r="A45" s="11" t="inlineStr">
        <is>
          <t>2510</t>
        </is>
      </c>
      <c r="B45" s="8" t="inlineStr">
        <is>
          <t>Director's Loan &amp; Long-Term Project Funding</t>
        </is>
      </c>
      <c r="C45" s="11" t="inlineStr">
        <is>
          <t>2023-02-15</t>
        </is>
      </c>
      <c r="D45" s="11" t="inlineStr">
        <is>
          <t>JRN-2023-003</t>
        </is>
      </c>
      <c r="E45" s="11" t="inlineStr">
        <is>
          <t>DIR-LOAN-01</t>
        </is>
      </c>
      <c r="F45" s="9" t="inlineStr">
        <is>
          <t>Director Long-Term Loan Injection (Adegoke Segun Babatunde)</t>
        </is>
      </c>
      <c r="G45" s="11" t="inlineStr">
        <is>
          <t>PROJ-GEN</t>
        </is>
      </c>
      <c r="H45" s="22" t="n">
        <v>0</v>
      </c>
      <c r="I45" s="22" t="n">
        <v>4500000</v>
      </c>
      <c r="J45" s="22" t="n">
        <v>-4500000</v>
      </c>
      <c r="K45" s="22" t="n">
        <v>-4500000</v>
      </c>
      <c r="L45" s="12" t="inlineStr">
        <is>
          <t>VERIFIED</t>
        </is>
      </c>
    </row>
    <row r="46">
      <c r="A46" s="13" t="inlineStr">
        <is>
          <t>3010</t>
        </is>
      </c>
      <c r="B46" s="5" t="inlineStr">
        <is>
          <t>Ordinary Share Capital (₦1.00 par)</t>
        </is>
      </c>
      <c r="C46" s="13" t="inlineStr">
        <is>
          <t>2023-01-01</t>
        </is>
      </c>
      <c r="D46" s="13" t="inlineStr">
        <is>
          <t>JRN-2023-001</t>
        </is>
      </c>
      <c r="E46" s="13" t="inlineStr">
        <is>
          <t>OPEN-010</t>
        </is>
      </c>
      <c r="F46" s="6" t="inlineStr">
        <is>
          <t>1,000,000 Ordinary Shares of ₦1.00 Each Fully Paid</t>
        </is>
      </c>
      <c r="G46" s="13" t="inlineStr">
        <is>
          <t>PROJ-GEN</t>
        </is>
      </c>
      <c r="H46" s="21" t="n">
        <v>0</v>
      </c>
      <c r="I46" s="21" t="n">
        <v>1000000</v>
      </c>
      <c r="J46" s="21" t="n">
        <v>-1000000</v>
      </c>
      <c r="K46" s="21" t="n">
        <v>-1000000</v>
      </c>
      <c r="L46" s="14" t="inlineStr">
        <is>
          <t>VERIFIED</t>
        </is>
      </c>
    </row>
    <row r="47">
      <c r="A47" s="11" t="inlineStr">
        <is>
          <t>3020</t>
        </is>
      </c>
      <c r="B47" s="8" t="inlineStr">
        <is>
          <t>Retained Earnings (Accumulated Profit)</t>
        </is>
      </c>
      <c r="C47" s="11" t="inlineStr">
        <is>
          <t>2023-01-01</t>
        </is>
      </c>
      <c r="D47" s="11" t="inlineStr">
        <is>
          <t>JRN-2023-001</t>
        </is>
      </c>
      <c r="E47" s="11" t="inlineStr">
        <is>
          <t>OPEN-011</t>
        </is>
      </c>
      <c r="F47" s="9" t="inlineStr">
        <is>
          <t>Opening Cumulative Retained Earnings B/F per 2022 AFS</t>
        </is>
      </c>
      <c r="G47" s="11" t="inlineStr">
        <is>
          <t>PROJ-GEN</t>
        </is>
      </c>
      <c r="H47" s="22" t="n">
        <v>0</v>
      </c>
      <c r="I47" s="22" t="n">
        <v>2361708</v>
      </c>
      <c r="J47" s="22" t="n">
        <v>-2361708</v>
      </c>
      <c r="K47" s="22" t="n">
        <v>-2361708</v>
      </c>
      <c r="L47" s="12" t="inlineStr">
        <is>
          <t>VERIFIED</t>
        </is>
      </c>
    </row>
    <row r="48">
      <c r="A48" s="13" t="inlineStr">
        <is>
          <t>4010</t>
        </is>
      </c>
      <c r="B48" s="5" t="inlineStr">
        <is>
          <t>Revenue - Construction &amp; Civil Engineering Contracts</t>
        </is>
      </c>
      <c r="C48" s="13" t="inlineStr">
        <is>
          <t>2023-12-31</t>
        </is>
      </c>
      <c r="D48" s="13" t="inlineStr">
        <is>
          <t>JRN-2023-004</t>
        </is>
      </c>
      <c r="E48" s="13" t="inlineStr">
        <is>
          <t>CNT-LEK-01</t>
        </is>
      </c>
      <c r="F48" s="6" t="inlineStr">
        <is>
          <t>Lekki Phase 1 Over-Time Construction Revenue Recognized</t>
        </is>
      </c>
      <c r="G48" s="13" t="inlineStr">
        <is>
          <t>PROJ-101</t>
        </is>
      </c>
      <c r="H48" s="21" t="n">
        <v>0</v>
      </c>
      <c r="I48" s="21" t="n">
        <v>22000000</v>
      </c>
      <c r="J48" s="21" t="n">
        <v>-22000000</v>
      </c>
      <c r="K48" s="21" t="n">
        <v>-22000000</v>
      </c>
      <c r="L48" s="14" t="inlineStr">
        <is>
          <t>VERIFIED</t>
        </is>
      </c>
    </row>
    <row r="49">
      <c r="A49" s="11" t="inlineStr">
        <is>
          <t>4020</t>
        </is>
      </c>
      <c r="B49" s="8" t="inlineStr">
        <is>
          <t>Revenue - Land Subdivision &amp; Real Estate Sales</t>
        </is>
      </c>
      <c r="C49" s="11" t="inlineStr">
        <is>
          <t>2023-12-31</t>
        </is>
      </c>
      <c r="D49" s="11" t="inlineStr">
        <is>
          <t>JRN-2023-005</t>
        </is>
      </c>
      <c r="E49" s="11" t="inlineStr">
        <is>
          <t>LND-IBJ-01</t>
        </is>
      </c>
      <c r="F49" s="9" t="inlineStr">
        <is>
          <t>Sale of 4 Serviced Plots Ibeju Scheme 1 Recognized</t>
        </is>
      </c>
      <c r="G49" s="11" t="inlineStr">
        <is>
          <t>PROJ-102</t>
        </is>
      </c>
      <c r="H49" s="22" t="n">
        <v>0</v>
      </c>
      <c r="I49" s="22" t="n">
        <v>12500000</v>
      </c>
      <c r="J49" s="22" t="n">
        <v>-12500000</v>
      </c>
      <c r="K49" s="22" t="n">
        <v>-12500000</v>
      </c>
      <c r="L49" s="12" t="inlineStr">
        <is>
          <t>VERIFIED</t>
        </is>
      </c>
    </row>
    <row r="50">
      <c r="A50" s="13" t="inlineStr">
        <is>
          <t>4030</t>
        </is>
      </c>
      <c r="B50" s="5" t="inlineStr">
        <is>
          <t>Revenue - Project Management &amp; Engineering Consulting</t>
        </is>
      </c>
      <c r="C50" s="13" t="inlineStr">
        <is>
          <t>2023-12-31</t>
        </is>
      </c>
      <c r="D50" s="13" t="inlineStr">
        <is>
          <t>JRN-2023-006</t>
        </is>
      </c>
      <c r="E50" s="13" t="inlineStr">
        <is>
          <t>CON-IKJ-01</t>
        </is>
      </c>
      <c r="F50" s="6" t="inlineStr">
        <is>
          <t>Ikeja Commercial Engineering Consulting Revenue</t>
        </is>
      </c>
      <c r="G50" s="13" t="inlineStr">
        <is>
          <t>PROJ-103</t>
        </is>
      </c>
      <c r="H50" s="21" t="n">
        <v>0</v>
      </c>
      <c r="I50" s="21" t="n">
        <v>4000000</v>
      </c>
      <c r="J50" s="21" t="n">
        <v>-4000000</v>
      </c>
      <c r="K50" s="21" t="n">
        <v>-4000000</v>
      </c>
      <c r="L50" s="14" t="inlineStr">
        <is>
          <t>VERIFIED</t>
        </is>
      </c>
    </row>
    <row r="51">
      <c r="A51" s="11" t="inlineStr">
        <is>
          <t>5010</t>
        </is>
      </c>
      <c r="B51" s="8" t="inlineStr">
        <is>
          <t>Cost of Sales - Construction Materials &amp; Subcontracts</t>
        </is>
      </c>
      <c r="C51" s="11" t="inlineStr">
        <is>
          <t>2023-12-31</t>
        </is>
      </c>
      <c r="D51" s="11" t="inlineStr">
        <is>
          <t>JRN-2023-007</t>
        </is>
      </c>
      <c r="E51" s="11" t="inlineStr">
        <is>
          <t>COS-MAT-01</t>
        </is>
      </c>
      <c r="F51" s="9" t="inlineStr">
        <is>
          <t>Direct Construction Materials &amp; Piling Subcontracts</t>
        </is>
      </c>
      <c r="G51" s="11" t="inlineStr">
        <is>
          <t>PROJ-101</t>
        </is>
      </c>
      <c r="H51" s="22" t="n">
        <v>14200000</v>
      </c>
      <c r="I51" s="22" t="n">
        <v>0</v>
      </c>
      <c r="J51" s="22" t="n">
        <v>14200000</v>
      </c>
      <c r="K51" s="22" t="n">
        <v>14200000</v>
      </c>
      <c r="L51" s="12" t="inlineStr">
        <is>
          <t>VERIFIED</t>
        </is>
      </c>
    </row>
    <row r="52">
      <c r="A52" s="13" t="inlineStr">
        <is>
          <t>5020</t>
        </is>
      </c>
      <c r="B52" s="5" t="inlineStr">
        <is>
          <t>Cost of Sales - Land &amp; Property Inventory Released</t>
        </is>
      </c>
      <c r="C52" s="13" t="inlineStr">
        <is>
          <t>2023-12-31</t>
        </is>
      </c>
      <c r="D52" s="13" t="inlineStr">
        <is>
          <t>JRN-2023-007</t>
        </is>
      </c>
      <c r="E52" s="13" t="inlineStr">
        <is>
          <t>COS-LND-01</t>
        </is>
      </c>
      <c r="F52" s="6" t="inlineStr">
        <is>
          <t>Direct Land Cost Released on 4 Plots Sold (IAS 2)</t>
        </is>
      </c>
      <c r="G52" s="13" t="inlineStr">
        <is>
          <t>PROJ-102</t>
        </is>
      </c>
      <c r="H52" s="21" t="n">
        <v>8100000</v>
      </c>
      <c r="I52" s="21" t="n">
        <v>0</v>
      </c>
      <c r="J52" s="21" t="n">
        <v>8100000</v>
      </c>
      <c r="K52" s="21" t="n">
        <v>8100000</v>
      </c>
      <c r="L52" s="14" t="inlineStr">
        <is>
          <t>VERIFIED</t>
        </is>
      </c>
    </row>
    <row r="53">
      <c r="A53" s="11" t="inlineStr">
        <is>
          <t>5030</t>
        </is>
      </c>
      <c r="B53" s="8" t="inlineStr">
        <is>
          <t>Cost of Sales - Direct Site Labor &amp; Equipment Hire</t>
        </is>
      </c>
      <c r="C53" s="11" t="inlineStr">
        <is>
          <t>2023-12-31</t>
        </is>
      </c>
      <c r="D53" s="11" t="inlineStr">
        <is>
          <t>JRN-2023-007</t>
        </is>
      </c>
      <c r="E53" s="11" t="inlineStr">
        <is>
          <t>COS-LAB-01</t>
        </is>
      </c>
      <c r="F53" s="9" t="inlineStr">
        <is>
          <t>Direct Site Labor &amp; Heavy Equipment Rentals</t>
        </is>
      </c>
      <c r="G53" s="11" t="inlineStr">
        <is>
          <t>PROJ-101</t>
        </is>
      </c>
      <c r="H53" s="22" t="n">
        <v>2350000</v>
      </c>
      <c r="I53" s="22" t="n">
        <v>0</v>
      </c>
      <c r="J53" s="22" t="n">
        <v>2350000</v>
      </c>
      <c r="K53" s="22" t="n">
        <v>2350000</v>
      </c>
      <c r="L53" s="12" t="inlineStr">
        <is>
          <t>VERIFIED</t>
        </is>
      </c>
    </row>
    <row r="54">
      <c r="A54" s="13" t="inlineStr">
        <is>
          <t>6010</t>
        </is>
      </c>
      <c r="B54" s="5" t="inlineStr">
        <is>
          <t>Administrative - Staff Salaries, Wages &amp; Allowances</t>
        </is>
      </c>
      <c r="C54" s="13" t="inlineStr">
        <is>
          <t>2023-12-31</t>
        </is>
      </c>
      <c r="D54" s="13" t="inlineStr">
        <is>
          <t>JRN-2023-009</t>
        </is>
      </c>
      <c r="E54" s="13" t="inlineStr">
        <is>
          <t>OPX-SAL-23</t>
        </is>
      </c>
      <c r="F54" s="6" t="inlineStr">
        <is>
          <t>Administrative Staff Salaries and Site Allowances</t>
        </is>
      </c>
      <c r="G54" s="13" t="inlineStr">
        <is>
          <t>PROJ-GEN</t>
        </is>
      </c>
      <c r="H54" s="21" t="n">
        <v>2800000</v>
      </c>
      <c r="I54" s="21" t="n">
        <v>0</v>
      </c>
      <c r="J54" s="21" t="n">
        <v>2800000</v>
      </c>
      <c r="K54" s="21" t="n">
        <v>2800000</v>
      </c>
      <c r="L54" s="14" t="inlineStr">
        <is>
          <t>VERIFIED</t>
        </is>
      </c>
    </row>
    <row r="55">
      <c r="A55" s="11" t="inlineStr">
        <is>
          <t>6020</t>
        </is>
      </c>
      <c r="B55" s="8" t="inlineStr">
        <is>
          <t>Administrative - Site Office Rent &amp; Maintenance</t>
        </is>
      </c>
      <c r="C55" s="11" t="inlineStr">
        <is>
          <t>2023-12-31</t>
        </is>
      </c>
      <c r="D55" s="11" t="inlineStr">
        <is>
          <t>JRN-2023-009</t>
        </is>
      </c>
      <c r="E55" s="11" t="inlineStr">
        <is>
          <t>OPX-RNT-23</t>
        </is>
      </c>
      <c r="F55" s="9" t="inlineStr">
        <is>
          <t>Site Office Tenancy and Facility Maintenance</t>
        </is>
      </c>
      <c r="G55" s="11" t="inlineStr">
        <is>
          <t>PROJ-GEN</t>
        </is>
      </c>
      <c r="H55" s="22" t="n">
        <v>950000</v>
      </c>
      <c r="I55" s="22" t="n">
        <v>0</v>
      </c>
      <c r="J55" s="22" t="n">
        <v>950000</v>
      </c>
      <c r="K55" s="22" t="n">
        <v>950000</v>
      </c>
      <c r="L55" s="12" t="inlineStr">
        <is>
          <t>VERIFIED</t>
        </is>
      </c>
    </row>
    <row r="56">
      <c r="A56" s="13" t="inlineStr">
        <is>
          <t>6030</t>
        </is>
      </c>
      <c r="B56" s="5" t="inlineStr">
        <is>
          <t>Administrative - Professional, Engineering &amp; Legal Fees</t>
        </is>
      </c>
      <c r="C56" s="13" t="inlineStr">
        <is>
          <t>2023-12-31</t>
        </is>
      </c>
      <c r="D56" s="13" t="inlineStr">
        <is>
          <t>JRN-2023-009</t>
        </is>
      </c>
      <c r="E56" s="13" t="inlineStr">
        <is>
          <t>OPX-PRF-23</t>
        </is>
      </c>
      <c r="F56" s="6" t="inlineStr">
        <is>
          <t>Legal, Engineering Consultancy &amp; Corporate Compliance</t>
        </is>
      </c>
      <c r="G56" s="13" t="inlineStr">
        <is>
          <t>PROJ-GEN</t>
        </is>
      </c>
      <c r="H56" s="21" t="n">
        <v>650000</v>
      </c>
      <c r="I56" s="21" t="n">
        <v>0</v>
      </c>
      <c r="J56" s="21" t="n">
        <v>650000</v>
      </c>
      <c r="K56" s="21" t="n">
        <v>650000</v>
      </c>
      <c r="L56" s="14" t="inlineStr">
        <is>
          <t>VERIFIED</t>
        </is>
      </c>
    </row>
    <row r="57">
      <c r="A57" s="11" t="inlineStr">
        <is>
          <t>6040</t>
        </is>
      </c>
      <c r="B57" s="8" t="inlineStr">
        <is>
          <t>Administrative - Audit &amp; Tax Advisory Fees</t>
        </is>
      </c>
      <c r="C57" s="11" t="inlineStr">
        <is>
          <t>2023-12-31</t>
        </is>
      </c>
      <c r="D57" s="11" t="inlineStr">
        <is>
          <t>JRN-2023-009</t>
        </is>
      </c>
      <c r="E57" s="11" t="inlineStr">
        <is>
          <t>OPX-AUD-23</t>
        </is>
      </c>
      <c r="F57" s="9" t="inlineStr">
        <is>
          <t>Statutory Audit and Corporate Tax Advisory Fees</t>
        </is>
      </c>
      <c r="G57" s="11" t="inlineStr">
        <is>
          <t>PROJ-GEN</t>
        </is>
      </c>
      <c r="H57" s="22" t="n">
        <v>350000</v>
      </c>
      <c r="I57" s="22" t="n">
        <v>0</v>
      </c>
      <c r="J57" s="22" t="n">
        <v>350000</v>
      </c>
      <c r="K57" s="22" t="n">
        <v>350000</v>
      </c>
      <c r="L57" s="12" t="inlineStr">
        <is>
          <t>VERIFIED</t>
        </is>
      </c>
    </row>
    <row r="58">
      <c r="A58" s="13" t="inlineStr">
        <is>
          <t>6050</t>
        </is>
      </c>
      <c r="B58" s="5" t="inlineStr">
        <is>
          <t>Administrative - Bank Charges, COT &amp; Guarantee Fees</t>
        </is>
      </c>
      <c r="C58" s="13" t="inlineStr">
        <is>
          <t>2023-12-31</t>
        </is>
      </c>
      <c r="D58" s="13" t="inlineStr">
        <is>
          <t>JRN-2023-009</t>
        </is>
      </c>
      <c r="E58" s="13" t="inlineStr">
        <is>
          <t>OPX-BNK-23</t>
        </is>
      </c>
      <c r="F58" s="6" t="inlineStr">
        <is>
          <t>Bank Charges, Commission on Turnover &amp; Levies</t>
        </is>
      </c>
      <c r="G58" s="13" t="inlineStr">
        <is>
          <t>PROJ-GEN</t>
        </is>
      </c>
      <c r="H58" s="21" t="n">
        <v>285000</v>
      </c>
      <c r="I58" s="21" t="n">
        <v>0</v>
      </c>
      <c r="J58" s="21" t="n">
        <v>285000</v>
      </c>
      <c r="K58" s="21" t="n">
        <v>285000</v>
      </c>
      <c r="L58" s="14" t="inlineStr">
        <is>
          <t>VERIFIED</t>
        </is>
      </c>
    </row>
    <row r="59">
      <c r="A59" s="11" t="inlineStr">
        <is>
          <t>6060</t>
        </is>
      </c>
      <c r="B59" s="8" t="inlineStr">
        <is>
          <t>Administrative - Motor Vehicle &amp; Logistics Expenses</t>
        </is>
      </c>
      <c r="C59" s="11" t="inlineStr">
        <is>
          <t>2023-12-31</t>
        </is>
      </c>
      <c r="D59" s="11" t="inlineStr">
        <is>
          <t>JRN-2023-009</t>
        </is>
      </c>
      <c r="E59" s="11" t="inlineStr">
        <is>
          <t>OPX-LOG-23</t>
        </is>
      </c>
      <c r="F59" s="9" t="inlineStr">
        <is>
          <t>Motor Vehicle Fuel, Maintenance &amp; Site Logistics</t>
        </is>
      </c>
      <c r="G59" s="11" t="inlineStr">
        <is>
          <t>PROJ-GEN</t>
        </is>
      </c>
      <c r="H59" s="22" t="n">
        <v>420000</v>
      </c>
      <c r="I59" s="22" t="n">
        <v>0</v>
      </c>
      <c r="J59" s="22" t="n">
        <v>420000</v>
      </c>
      <c r="K59" s="22" t="n">
        <v>420000</v>
      </c>
      <c r="L59" s="12" t="inlineStr">
        <is>
          <t>VERIFIED</t>
        </is>
      </c>
    </row>
    <row r="60">
      <c r="A60" s="13" t="inlineStr">
        <is>
          <t>6070</t>
        </is>
      </c>
      <c r="B60" s="5" t="inlineStr">
        <is>
          <t>Administrative - Depreciation Expense (IAS 16)</t>
        </is>
      </c>
      <c r="C60" s="13" t="inlineStr">
        <is>
          <t>2023-12-31</t>
        </is>
      </c>
      <c r="D60" s="13" t="inlineStr">
        <is>
          <t>JRN-2023-009</t>
        </is>
      </c>
      <c r="E60" s="13" t="inlineStr">
        <is>
          <t>OPX-DEP-23</t>
        </is>
      </c>
      <c r="F60" s="6" t="inlineStr">
        <is>
          <t>Depreciation Charge on PPE for FY 2023 (IAS 16)</t>
        </is>
      </c>
      <c r="G60" s="13" t="inlineStr">
        <is>
          <t>PROJ-GEN</t>
        </is>
      </c>
      <c r="H60" s="21" t="n">
        <v>385000</v>
      </c>
      <c r="I60" s="21" t="n">
        <v>0</v>
      </c>
      <c r="J60" s="21" t="n">
        <v>385000</v>
      </c>
      <c r="K60" s="21" t="n">
        <v>385000</v>
      </c>
      <c r="L60" s="14" t="inlineStr">
        <is>
          <t>VERIFIED</t>
        </is>
      </c>
    </row>
    <row r="61">
      <c r="A61" s="11" t="inlineStr">
        <is>
          <t>6080</t>
        </is>
      </c>
      <c r="B61" s="8" t="inlineStr">
        <is>
          <t>Administrative - Impairment Allowance on Receivables</t>
        </is>
      </c>
      <c r="C61" s="11" t="inlineStr">
        <is>
          <t>2023-12-31</t>
        </is>
      </c>
      <c r="D61" s="11" t="inlineStr">
        <is>
          <t>JRN-2023-009</t>
        </is>
      </c>
      <c r="E61" s="11" t="inlineStr">
        <is>
          <t>OPX-ECL-23</t>
        </is>
      </c>
      <c r="F61" s="9" t="inlineStr">
        <is>
          <t>IFRS 9 Expected Credit Loss Provision on Receivables</t>
        </is>
      </c>
      <c r="G61" s="11" t="inlineStr">
        <is>
          <t>PROJ-GEN</t>
        </is>
      </c>
      <c r="H61" s="22" t="n">
        <v>185000</v>
      </c>
      <c r="I61" s="22" t="n">
        <v>0</v>
      </c>
      <c r="J61" s="22" t="n">
        <v>185000</v>
      </c>
      <c r="K61" s="22" t="n">
        <v>185000</v>
      </c>
      <c r="L61" s="12" t="inlineStr">
        <is>
          <t>VERIFIED</t>
        </is>
      </c>
    </row>
    <row r="62">
      <c r="A62" s="13" t="inlineStr">
        <is>
          <t>6090</t>
        </is>
      </c>
      <c r="B62" s="5" t="inlineStr">
        <is>
          <t>Administrative - General Office, Security &amp; Utilities</t>
        </is>
      </c>
      <c r="C62" s="13" t="inlineStr">
        <is>
          <t>2023-12-31</t>
        </is>
      </c>
      <c r="D62" s="13" t="inlineStr">
        <is>
          <t>JRN-2023-009</t>
        </is>
      </c>
      <c r="E62" s="13" t="inlineStr">
        <is>
          <t>OPX-GEN-23</t>
        </is>
      </c>
      <c r="F62" s="6" t="inlineStr">
        <is>
          <t>Site Security, Communication, Electricity &amp; Admin</t>
        </is>
      </c>
      <c r="G62" s="13" t="inlineStr">
        <is>
          <t>PROJ-GEN</t>
        </is>
      </c>
      <c r="H62" s="21" t="n">
        <v>400000</v>
      </c>
      <c r="I62" s="21" t="n">
        <v>0</v>
      </c>
      <c r="J62" s="21" t="n">
        <v>400000</v>
      </c>
      <c r="K62" s="21" t="n">
        <v>400000</v>
      </c>
      <c r="L62" s="14" t="inlineStr">
        <is>
          <t>VERIFIED</t>
        </is>
      </c>
    </row>
    <row r="63">
      <c r="A63" s="11" t="inlineStr">
        <is>
          <t>7010</t>
        </is>
      </c>
      <c r="B63" s="8" t="inlineStr">
        <is>
          <t>Finance Costs - Bank Project Facility Interest</t>
        </is>
      </c>
      <c r="C63" s="11" t="inlineStr">
        <is>
          <t>2023-12-31</t>
        </is>
      </c>
      <c r="D63" s="11" t="inlineStr">
        <is>
          <t>JRN-2023-009</t>
        </is>
      </c>
      <c r="E63" s="11" t="inlineStr">
        <is>
          <t>FIN-INT-23</t>
        </is>
      </c>
      <c r="F63" s="9" t="inlineStr">
        <is>
          <t>Interest on Bank Project Financing Facility</t>
        </is>
      </c>
      <c r="G63" s="11" t="inlineStr">
        <is>
          <t>PROJ-GEN</t>
        </is>
      </c>
      <c r="H63" s="22" t="n">
        <v>125000</v>
      </c>
      <c r="I63" s="22" t="n">
        <v>0</v>
      </c>
      <c r="J63" s="22" t="n">
        <v>125000</v>
      </c>
      <c r="K63" s="22" t="n">
        <v>125000</v>
      </c>
      <c r="L63" s="12" t="inlineStr">
        <is>
          <t>VERIFIED</t>
        </is>
      </c>
    </row>
    <row r="64">
      <c r="A64" s="13" t="inlineStr">
        <is>
          <t>8010</t>
        </is>
      </c>
      <c r="B64" s="5" t="inlineStr">
        <is>
          <t>Income Tax Expense - Current Tax (CIT, TET, PTF)</t>
        </is>
      </c>
      <c r="C64" s="13" t="inlineStr">
        <is>
          <t>2023-12-31</t>
        </is>
      </c>
      <c r="D64" s="13" t="inlineStr">
        <is>
          <t>JRN-2023-010</t>
        </is>
      </c>
      <c r="E64" s="13" t="inlineStr">
        <is>
          <t>TAX-PROV-23</t>
        </is>
      </c>
      <c r="F64" s="6" t="inlineStr">
        <is>
          <t>Current Income Tax Charge for FY 2023</t>
        </is>
      </c>
      <c r="G64" s="13" t="inlineStr">
        <is>
          <t>PROJ-GEN</t>
        </is>
      </c>
      <c r="H64" s="21" t="n">
        <v>1731765</v>
      </c>
      <c r="I64" s="21" t="n">
        <v>0</v>
      </c>
      <c r="J64" s="21" t="n">
        <v>1731765</v>
      </c>
      <c r="K64" s="21" t="n">
        <v>1731765</v>
      </c>
      <c r="L64" s="14" t="inlineStr">
        <is>
          <t>VERIFIED</t>
        </is>
      </c>
    </row>
    <row r="65">
      <c r="A65" s="11" t="inlineStr">
        <is>
          <t>8020</t>
        </is>
      </c>
      <c r="B65" s="8" t="inlineStr">
        <is>
          <t>Income Tax Expense - Deferred Tax (IAS 12)</t>
        </is>
      </c>
      <c r="C65" s="11" t="inlineStr">
        <is>
          <t>2023-12-31</t>
        </is>
      </c>
      <c r="D65" s="11" t="inlineStr">
        <is>
          <t>JRN-2023-010</t>
        </is>
      </c>
      <c r="E65" s="11" t="inlineStr">
        <is>
          <t>DTA-CRED-23</t>
        </is>
      </c>
      <c r="F65" s="9" t="inlineStr">
        <is>
          <t>Deferred Tax Credit to Profit or Loss (IAS 12)</t>
        </is>
      </c>
      <c r="G65" s="11" t="inlineStr">
        <is>
          <t>PROJ-GEN</t>
        </is>
      </c>
      <c r="H65" s="22" t="n">
        <v>0</v>
      </c>
      <c r="I65" s="22" t="n">
        <v>32000</v>
      </c>
      <c r="J65" s="22" t="n">
        <v>-32000</v>
      </c>
      <c r="K65" s="22" t="n">
        <v>-32000</v>
      </c>
      <c r="L65" s="12" t="inlineStr">
        <is>
          <t>VERIFIED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35"/>
  <sheetViews>
    <sheetView showGridLines="1" workbookViewId="0">
      <pane ySplit="4" topLeftCell="A5" activePane="bottomLeft" state="frozen"/>
      <selection pane="bottomLeft" activeCell="A1" sqref="A1"/>
    </sheetView>
  </sheetViews>
  <sheetFormatPr baseColWidth="8" defaultRowHeight="15"/>
  <cols>
    <col width="66" customWidth="1" min="1" max="1"/>
    <col width="50" customWidth="1" min="2" max="2"/>
    <col width="26" customWidth="1" min="3" max="3"/>
    <col width="25" customWidth="1" min="4" max="4"/>
    <col width="26" customWidth="1" min="5" max="5"/>
    <col width="25" customWidth="1" min="6" max="6"/>
    <col width="26" customWidth="1" min="7" max="7"/>
    <col width="25" customWidth="1" min="8" max="8"/>
    <col width="26" customWidth="1" min="9" max="9"/>
  </cols>
  <sheetData>
    <row r="1">
      <c r="A1" s="1" t="inlineStr">
        <is>
          <t>BAAY PROJECTS LIMITED — UNADJUSTED TRIAL BALANCES (2023 - 2025)</t>
        </is>
      </c>
    </row>
    <row r="2">
      <c r="A2" s="3" t="inlineStr">
        <is>
          <t>Pre-Accrual Trial Balances Prior to Year-End Adjustments</t>
        </is>
      </c>
    </row>
    <row r="3"/>
    <row r="4">
      <c r="A4" s="4" t="inlineStr">
        <is>
          <t>Account Code</t>
        </is>
      </c>
      <c r="B4" s="4" t="inlineStr">
        <is>
          <t>Account Title / Description</t>
        </is>
      </c>
      <c r="C4" s="4" t="inlineStr">
        <is>
          <t>Category</t>
        </is>
      </c>
      <c r="D4" s="4" t="inlineStr">
        <is>
          <t>2023 Unadj Debit (NGN)</t>
        </is>
      </c>
      <c r="E4" s="4" t="inlineStr">
        <is>
          <t>2023 Unadj Credit (NGN)</t>
        </is>
      </c>
      <c r="F4" s="4" t="inlineStr">
        <is>
          <t>2024 Unadj Debit (NGN)</t>
        </is>
      </c>
      <c r="G4" s="4" t="inlineStr">
        <is>
          <t>2024 Unadj Credit (NGN)</t>
        </is>
      </c>
      <c r="H4" s="4" t="inlineStr">
        <is>
          <t>2025 Unadj Debit (NGN)</t>
        </is>
      </c>
      <c r="I4" s="4" t="inlineStr">
        <is>
          <t>2025 Unadj Credit (NGN)</t>
        </is>
      </c>
    </row>
    <row r="5">
      <c r="A5" s="11" t="inlineStr">
        <is>
          <t>1010</t>
        </is>
      </c>
      <c r="B5" s="8" t="inlineStr">
        <is>
          <t>Providus Bank - A/C 5400281942</t>
        </is>
      </c>
      <c r="C5" s="9" t="inlineStr">
        <is>
          <t>Current Assets</t>
        </is>
      </c>
      <c r="D5" s="22" t="n">
        <v>2215820</v>
      </c>
      <c r="E5" s="22" t="n">
        <v>0</v>
      </c>
      <c r="F5" s="22" t="n">
        <v>3850210</v>
      </c>
      <c r="G5" s="22" t="n">
        <v>0</v>
      </c>
      <c r="H5" s="22" t="n">
        <v>6420110</v>
      </c>
      <c r="I5" s="22" t="n">
        <v>0</v>
      </c>
    </row>
    <row r="6">
      <c r="A6" s="13" t="inlineStr">
        <is>
          <t>1020</t>
        </is>
      </c>
      <c r="B6" s="5" t="inlineStr">
        <is>
          <t>First Bank of Nigeria - A/C 2034891102</t>
        </is>
      </c>
      <c r="C6" s="6" t="inlineStr">
        <is>
          <t>Current Assets</t>
        </is>
      </c>
      <c r="D6" s="21" t="n">
        <v>512410</v>
      </c>
      <c r="E6" s="21" t="n">
        <v>0</v>
      </c>
      <c r="F6" s="21" t="n">
        <v>980118</v>
      </c>
      <c r="G6" s="21" t="n">
        <v>0</v>
      </c>
      <c r="H6" s="21" t="n">
        <v>1840550</v>
      </c>
      <c r="I6" s="21" t="n">
        <v>0</v>
      </c>
    </row>
    <row r="7">
      <c r="A7" s="11" t="inlineStr">
        <is>
          <t>1030</t>
        </is>
      </c>
      <c r="B7" s="8" t="inlineStr">
        <is>
          <t>Sterling Bank - A/C 0078451290</t>
        </is>
      </c>
      <c r="C7" s="9" t="inlineStr">
        <is>
          <t>Current Assets</t>
        </is>
      </c>
      <c r="D7" s="22" t="n">
        <v>114173</v>
      </c>
      <c r="E7" s="22" t="n">
        <v>0</v>
      </c>
      <c r="F7" s="22" t="n">
        <v>312350</v>
      </c>
      <c r="G7" s="22" t="n">
        <v>0</v>
      </c>
      <c r="H7" s="22" t="n">
        <v>663388</v>
      </c>
      <c r="I7" s="22" t="n">
        <v>0</v>
      </c>
    </row>
    <row r="8">
      <c r="A8" s="13" t="inlineStr">
        <is>
          <t>1110</t>
        </is>
      </c>
      <c r="B8" s="5" t="inlineStr">
        <is>
          <t>Trade Receivables - Construction</t>
        </is>
      </c>
      <c r="C8" s="6" t="inlineStr">
        <is>
          <t>Current Assets</t>
        </is>
      </c>
      <c r="D8" s="21" t="n">
        <v>3650000</v>
      </c>
      <c r="E8" s="21" t="n">
        <v>0</v>
      </c>
      <c r="F8" s="21" t="n">
        <v>5800000</v>
      </c>
      <c r="G8" s="21" t="n">
        <v>0</v>
      </c>
      <c r="H8" s="21" t="n">
        <v>9200000</v>
      </c>
      <c r="I8" s="21" t="n">
        <v>0</v>
      </c>
    </row>
    <row r="9">
      <c r="A9" s="11" t="inlineStr">
        <is>
          <t>1150</t>
        </is>
      </c>
      <c r="B9" s="8" t="inlineStr">
        <is>
          <t>WHT Credit Notes Receivable</t>
        </is>
      </c>
      <c r="C9" s="9" t="inlineStr">
        <is>
          <t>Current Assets</t>
        </is>
      </c>
      <c r="D9" s="22" t="n">
        <v>1100000</v>
      </c>
      <c r="E9" s="22" t="n">
        <v>0</v>
      </c>
      <c r="F9" s="22" t="n">
        <v>2650000</v>
      </c>
      <c r="G9" s="22" t="n">
        <v>0</v>
      </c>
      <c r="H9" s="22" t="n">
        <v>4850000</v>
      </c>
      <c r="I9" s="22" t="n">
        <v>0</v>
      </c>
    </row>
    <row r="10">
      <c r="A10" s="13" t="inlineStr">
        <is>
          <t>1160</t>
        </is>
      </c>
      <c r="B10" s="5" t="inlineStr">
        <is>
          <t>Prepayments &amp; Site Advances</t>
        </is>
      </c>
      <c r="C10" s="6" t="inlineStr">
        <is>
          <t>Current Assets</t>
        </is>
      </c>
      <c r="D10" s="21" t="n">
        <v>450000</v>
      </c>
      <c r="E10" s="21" t="n">
        <v>0</v>
      </c>
      <c r="F10" s="21" t="n">
        <v>680000</v>
      </c>
      <c r="G10" s="21" t="n">
        <v>0</v>
      </c>
      <c r="H10" s="21" t="n">
        <v>1150000</v>
      </c>
      <c r="I10" s="21" t="n">
        <v>0</v>
      </c>
    </row>
    <row r="11">
      <c r="A11" s="11" t="inlineStr">
        <is>
          <t>1210</t>
        </is>
      </c>
      <c r="B11" s="8" t="inlineStr">
        <is>
          <t>Development Inventory - Land</t>
        </is>
      </c>
      <c r="C11" s="9" t="inlineStr">
        <is>
          <t>Current Assets</t>
        </is>
      </c>
      <c r="D11" s="22" t="n">
        <v>5400000</v>
      </c>
      <c r="E11" s="22" t="n">
        <v>0</v>
      </c>
      <c r="F11" s="22" t="n">
        <v>8200000</v>
      </c>
      <c r="G11" s="22" t="n">
        <v>0</v>
      </c>
      <c r="H11" s="22" t="n">
        <v>14500000</v>
      </c>
      <c r="I11" s="22" t="n">
        <v>0</v>
      </c>
    </row>
    <row r="12">
      <c r="A12" s="13" t="inlineStr">
        <is>
          <t>1220</t>
        </is>
      </c>
      <c r="B12" s="5" t="inlineStr">
        <is>
          <t>Development Inventory - WIP</t>
        </is>
      </c>
      <c r="C12" s="6" t="inlineStr">
        <is>
          <t>Current Assets</t>
        </is>
      </c>
      <c r="D12" s="21" t="n">
        <v>3250000</v>
      </c>
      <c r="E12" s="21" t="n">
        <v>0</v>
      </c>
      <c r="F12" s="21" t="n">
        <v>5600000</v>
      </c>
      <c r="G12" s="21" t="n">
        <v>0</v>
      </c>
      <c r="H12" s="21" t="n">
        <v>9800000</v>
      </c>
      <c r="I12" s="21" t="n">
        <v>0</v>
      </c>
    </row>
    <row r="13">
      <c r="A13" s="11" t="inlineStr">
        <is>
          <t>1510</t>
        </is>
      </c>
      <c r="B13" s="8" t="inlineStr">
        <is>
          <t>PPE - Office &amp; Site Equipment</t>
        </is>
      </c>
      <c r="C13" s="9" t="inlineStr">
        <is>
          <t>Non-Current Assets</t>
        </is>
      </c>
      <c r="D13" s="22" t="n">
        <v>1823850</v>
      </c>
      <c r="E13" s="22" t="n">
        <v>0</v>
      </c>
      <c r="F13" s="22" t="n">
        <v>4523850</v>
      </c>
      <c r="G13" s="22" t="n">
        <v>0</v>
      </c>
      <c r="H13" s="22" t="n">
        <v>8123850</v>
      </c>
      <c r="I13" s="22" t="n">
        <v>0</v>
      </c>
    </row>
    <row r="14">
      <c r="A14" s="13" t="inlineStr">
        <is>
          <t>1590</t>
        </is>
      </c>
      <c r="B14" s="5" t="inlineStr">
        <is>
          <t>Accumulated Depreciation - PPE</t>
        </is>
      </c>
      <c r="C14" s="6" t="inlineStr">
        <is>
          <t>Non-Current Assets</t>
        </is>
      </c>
      <c r="D14" s="21" t="n">
        <v>0</v>
      </c>
      <c r="E14" s="21" t="n">
        <v>14310</v>
      </c>
      <c r="F14" s="21" t="n">
        <v>0</v>
      </c>
      <c r="G14" s="21" t="n">
        <v>399310</v>
      </c>
      <c r="H14" s="21" t="n">
        <v>0</v>
      </c>
      <c r="I14" s="21" t="n">
        <v>1114310</v>
      </c>
    </row>
    <row r="15">
      <c r="A15" s="11" t="inlineStr">
        <is>
          <t>2010</t>
        </is>
      </c>
      <c r="B15" s="8" t="inlineStr">
        <is>
          <t>Trade Payables - Subcontractors &amp; Materials</t>
        </is>
      </c>
      <c r="C15" s="9" t="inlineStr">
        <is>
          <t>Current Liabilities</t>
        </is>
      </c>
      <c r="D15" s="22" t="n">
        <v>0</v>
      </c>
      <c r="E15" s="22" t="n">
        <v>2150000</v>
      </c>
      <c r="F15" s="22" t="n">
        <v>0</v>
      </c>
      <c r="G15" s="22" t="n">
        <v>3850000</v>
      </c>
      <c r="H15" s="22" t="n">
        <v>0</v>
      </c>
      <c r="I15" s="22" t="n">
        <v>6450000</v>
      </c>
    </row>
    <row r="16">
      <c r="A16" s="13" t="inlineStr">
        <is>
          <t>2020</t>
        </is>
      </c>
      <c r="B16" s="5" t="inlineStr">
        <is>
          <t>Contract Liabilities - Customer Deposits</t>
        </is>
      </c>
      <c r="C16" s="6" t="inlineStr">
        <is>
          <t>Current Liabilities</t>
        </is>
      </c>
      <c r="D16" s="21" t="n">
        <v>0</v>
      </c>
      <c r="E16" s="21" t="n">
        <v>6500000</v>
      </c>
      <c r="F16" s="21" t="n">
        <v>0</v>
      </c>
      <c r="G16" s="21" t="n">
        <v>7800000</v>
      </c>
      <c r="H16" s="21" t="n">
        <v>0</v>
      </c>
      <c r="I16" s="21" t="n">
        <v>12500000</v>
      </c>
    </row>
    <row r="17">
      <c r="A17" s="11" t="inlineStr">
        <is>
          <t>2030</t>
        </is>
      </c>
      <c r="B17" s="8" t="inlineStr">
        <is>
          <t>Accrued Audit &amp; Professional Fees</t>
        </is>
      </c>
      <c r="C17" s="9" t="inlineStr">
        <is>
          <t>Current Liabilities</t>
        </is>
      </c>
      <c r="D17" s="22" t="n">
        <v>0</v>
      </c>
      <c r="E17" s="22" t="n">
        <v>50000</v>
      </c>
      <c r="F17" s="22" t="n">
        <v>0</v>
      </c>
      <c r="G17" s="22" t="n">
        <v>375000</v>
      </c>
      <c r="H17" s="22" t="n">
        <v>0</v>
      </c>
      <c r="I17" s="22" t="n">
        <v>550000</v>
      </c>
    </row>
    <row r="18">
      <c r="A18" s="13" t="inlineStr">
        <is>
          <t>2510</t>
        </is>
      </c>
      <c r="B18" s="5" t="inlineStr">
        <is>
          <t>Director's Loan &amp; Long-Term Funding</t>
        </is>
      </c>
      <c r="C18" s="6" t="inlineStr">
        <is>
          <t>Non-Current Liabilities</t>
        </is>
      </c>
      <c r="D18" s="21" t="n">
        <v>0</v>
      </c>
      <c r="E18" s="21" t="n">
        <v>4500000</v>
      </c>
      <c r="F18" s="21" t="n">
        <v>0</v>
      </c>
      <c r="G18" s="21" t="n">
        <v>5800000</v>
      </c>
      <c r="H18" s="21" t="n">
        <v>0</v>
      </c>
      <c r="I18" s="21" t="n">
        <v>7500000</v>
      </c>
    </row>
    <row r="19">
      <c r="A19" s="11" t="inlineStr">
        <is>
          <t>3010</t>
        </is>
      </c>
      <c r="B19" s="8" t="inlineStr">
        <is>
          <t>Ordinary Share Capital (₦1.00 par)</t>
        </is>
      </c>
      <c r="C19" s="9" t="inlineStr">
        <is>
          <t>Equity</t>
        </is>
      </c>
      <c r="D19" s="22" t="n">
        <v>0</v>
      </c>
      <c r="E19" s="22" t="n">
        <v>1000000</v>
      </c>
      <c r="F19" s="22" t="n">
        <v>0</v>
      </c>
      <c r="G19" s="22" t="n">
        <v>1000000</v>
      </c>
      <c r="H19" s="22" t="n">
        <v>0</v>
      </c>
      <c r="I19" s="22" t="n">
        <v>1000000</v>
      </c>
    </row>
    <row r="20">
      <c r="A20" s="13" t="inlineStr">
        <is>
          <t>3020</t>
        </is>
      </c>
      <c r="B20" s="5" t="inlineStr">
        <is>
          <t>Retained Earnings (Accumulated Profit)</t>
        </is>
      </c>
      <c r="C20" s="6" t="inlineStr">
        <is>
          <t>Equity</t>
        </is>
      </c>
      <c r="D20" s="21" t="n">
        <v>0</v>
      </c>
      <c r="E20" s="21" t="n">
        <v>2361708</v>
      </c>
      <c r="F20" s="21" t="n">
        <v>0</v>
      </c>
      <c r="G20" s="21" t="n">
        <v>7961943</v>
      </c>
      <c r="H20" s="21" t="n">
        <v>0</v>
      </c>
      <c r="I20" s="21" t="n">
        <v>17476718</v>
      </c>
    </row>
    <row r="21">
      <c r="A21" s="11" t="inlineStr">
        <is>
          <t>4010</t>
        </is>
      </c>
      <c r="B21" s="8" t="inlineStr">
        <is>
          <t>Revenue - Civil Engineering Contracts</t>
        </is>
      </c>
      <c r="C21" s="9" t="inlineStr">
        <is>
          <t>Revenue</t>
        </is>
      </c>
      <c r="D21" s="22" t="n">
        <v>0</v>
      </c>
      <c r="E21" s="22" t="n">
        <v>15500000</v>
      </c>
      <c r="F21" s="22" t="n">
        <v>0</v>
      </c>
      <c r="G21" s="22" t="n">
        <v>35000000</v>
      </c>
      <c r="H21" s="22" t="n">
        <v>0</v>
      </c>
      <c r="I21" s="22" t="n">
        <v>62000000</v>
      </c>
    </row>
    <row r="22">
      <c r="A22" s="13" t="inlineStr">
        <is>
          <t>4020</t>
        </is>
      </c>
      <c r="B22" s="5" t="inlineStr">
        <is>
          <t>Revenue - Land Resale</t>
        </is>
      </c>
      <c r="C22" s="6" t="inlineStr">
        <is>
          <t>Revenue</t>
        </is>
      </c>
      <c r="D22" s="21" t="n">
        <v>0</v>
      </c>
      <c r="E22" s="21" t="n">
        <v>12500000</v>
      </c>
      <c r="F22" s="21" t="n">
        <v>0</v>
      </c>
      <c r="G22" s="21" t="n">
        <v>19500000</v>
      </c>
      <c r="H22" s="21" t="n">
        <v>0</v>
      </c>
      <c r="I22" s="21" t="n">
        <v>32500000</v>
      </c>
    </row>
    <row r="23">
      <c r="A23" s="11" t="inlineStr">
        <is>
          <t>4030</t>
        </is>
      </c>
      <c r="B23" s="8" t="inlineStr">
        <is>
          <t>Revenue - Project Management &amp; Consulting</t>
        </is>
      </c>
      <c r="C23" s="9" t="inlineStr">
        <is>
          <t>Revenue</t>
        </is>
      </c>
      <c r="D23" s="22" t="n">
        <v>0</v>
      </c>
      <c r="E23" s="22" t="n">
        <v>4000000</v>
      </c>
      <c r="F23" s="22" t="n">
        <v>0</v>
      </c>
      <c r="G23" s="22" t="n">
        <v>6700000</v>
      </c>
      <c r="H23" s="22" t="n">
        <v>0</v>
      </c>
      <c r="I23" s="22" t="n">
        <v>12000000</v>
      </c>
    </row>
    <row r="24">
      <c r="A24" s="13" t="inlineStr">
        <is>
          <t>5010</t>
        </is>
      </c>
      <c r="B24" s="5" t="inlineStr">
        <is>
          <t>Cost of Sales - Materials &amp; Subcontracts</t>
        </is>
      </c>
      <c r="C24" s="6" t="inlineStr">
        <is>
          <t>Direct Costs</t>
        </is>
      </c>
      <c r="D24" s="21" t="n">
        <v>14200000</v>
      </c>
      <c r="E24" s="21" t="n">
        <v>0</v>
      </c>
      <c r="F24" s="21" t="n">
        <v>26400000</v>
      </c>
      <c r="G24" s="21" t="n">
        <v>0</v>
      </c>
      <c r="H24" s="21" t="n">
        <v>45600000</v>
      </c>
      <c r="I24" s="21" t="n">
        <v>0</v>
      </c>
    </row>
    <row r="25">
      <c r="A25" s="11" t="inlineStr">
        <is>
          <t>5020</t>
        </is>
      </c>
      <c r="B25" s="8" t="inlineStr">
        <is>
          <t>Cost of Sales - Land Inventory Released</t>
        </is>
      </c>
      <c r="C25" s="9" t="inlineStr">
        <is>
          <t>Direct Costs</t>
        </is>
      </c>
      <c r="D25" s="22" t="n">
        <v>8100000</v>
      </c>
      <c r="E25" s="22" t="n">
        <v>0</v>
      </c>
      <c r="F25" s="22" t="n">
        <v>11800000</v>
      </c>
      <c r="G25" s="22" t="n">
        <v>0</v>
      </c>
      <c r="H25" s="22" t="n">
        <v>21400000</v>
      </c>
      <c r="I25" s="22" t="n">
        <v>0</v>
      </c>
    </row>
    <row r="26">
      <c r="A26" s="13" t="inlineStr">
        <is>
          <t>5030</t>
        </is>
      </c>
      <c r="B26" s="5" t="inlineStr">
        <is>
          <t>Cost of Sales - Direct Site Labor &amp; Hire</t>
        </is>
      </c>
      <c r="C26" s="6" t="inlineStr">
        <is>
          <t>Direct Costs</t>
        </is>
      </c>
      <c r="D26" s="21" t="n">
        <v>2350000</v>
      </c>
      <c r="E26" s="21" t="n">
        <v>0</v>
      </c>
      <c r="F26" s="21" t="n">
        <v>3300000</v>
      </c>
      <c r="G26" s="21" t="n">
        <v>0</v>
      </c>
      <c r="H26" s="21" t="n">
        <v>5800000</v>
      </c>
      <c r="I26" s="21" t="n">
        <v>0</v>
      </c>
    </row>
    <row r="27">
      <c r="A27" s="11" t="inlineStr">
        <is>
          <t>6010</t>
        </is>
      </c>
      <c r="B27" s="8" t="inlineStr">
        <is>
          <t>Administrative - Staff Salaries, Wages</t>
        </is>
      </c>
      <c r="C27" s="9" t="inlineStr">
        <is>
          <t>Operating Expenses</t>
        </is>
      </c>
      <c r="D27" s="22" t="n">
        <v>2800000</v>
      </c>
      <c r="E27" s="22" t="n">
        <v>0</v>
      </c>
      <c r="F27" s="22" t="n">
        <v>4200000</v>
      </c>
      <c r="G27" s="22" t="n">
        <v>0</v>
      </c>
      <c r="H27" s="22" t="n">
        <v>7200000</v>
      </c>
      <c r="I27" s="22" t="n">
        <v>0</v>
      </c>
    </row>
    <row r="28">
      <c r="A28" s="13" t="inlineStr">
        <is>
          <t>6020</t>
        </is>
      </c>
      <c r="B28" s="5" t="inlineStr">
        <is>
          <t>Administrative - Site Office Rent &amp; Maintenance</t>
        </is>
      </c>
      <c r="C28" s="6" t="inlineStr">
        <is>
          <t>Operating Expenses</t>
        </is>
      </c>
      <c r="D28" s="21" t="n">
        <v>950000</v>
      </c>
      <c r="E28" s="21" t="n">
        <v>0</v>
      </c>
      <c r="F28" s="21" t="n">
        <v>1450000</v>
      </c>
      <c r="G28" s="21" t="n">
        <v>0</v>
      </c>
      <c r="H28" s="21" t="n">
        <v>2400000</v>
      </c>
      <c r="I28" s="21" t="n">
        <v>0</v>
      </c>
    </row>
    <row r="29">
      <c r="A29" s="11" t="inlineStr">
        <is>
          <t>6030</t>
        </is>
      </c>
      <c r="B29" s="8" t="inlineStr">
        <is>
          <t>Administrative - Professional &amp; Legal Fees</t>
        </is>
      </c>
      <c r="C29" s="9" t="inlineStr">
        <is>
          <t>Operating Expenses</t>
        </is>
      </c>
      <c r="D29" s="22" t="n">
        <v>650000</v>
      </c>
      <c r="E29" s="22" t="n">
        <v>0</v>
      </c>
      <c r="F29" s="22" t="n">
        <v>980000</v>
      </c>
      <c r="G29" s="22" t="n">
        <v>0</v>
      </c>
      <c r="H29" s="22" t="n">
        <v>1650000</v>
      </c>
      <c r="I29" s="22" t="n">
        <v>0</v>
      </c>
    </row>
    <row r="30">
      <c r="A30" s="13" t="inlineStr">
        <is>
          <t>6040</t>
        </is>
      </c>
      <c r="B30" s="5" t="inlineStr">
        <is>
          <t>Administrative - Audit &amp; Tax Fees</t>
        </is>
      </c>
      <c r="C30" s="6" t="inlineStr">
        <is>
          <t>Operating Expenses</t>
        </is>
      </c>
      <c r="D30" s="21" t="n">
        <v>350000</v>
      </c>
      <c r="E30" s="21" t="n">
        <v>0</v>
      </c>
      <c r="F30" s="21" t="n">
        <v>450000</v>
      </c>
      <c r="G30" s="21" t="n">
        <v>0</v>
      </c>
      <c r="H30" s="21" t="n">
        <v>650000</v>
      </c>
      <c r="I30" s="21" t="n">
        <v>0</v>
      </c>
    </row>
    <row r="31">
      <c r="A31" s="11" t="inlineStr">
        <is>
          <t>6050</t>
        </is>
      </c>
      <c r="B31" s="8" t="inlineStr">
        <is>
          <t>Administrative - Bank Charges &amp; COT</t>
        </is>
      </c>
      <c r="C31" s="9" t="inlineStr">
        <is>
          <t>Operating Expenses</t>
        </is>
      </c>
      <c r="D31" s="22" t="n">
        <v>285000</v>
      </c>
      <c r="E31" s="22" t="n">
        <v>0</v>
      </c>
      <c r="F31" s="22" t="n">
        <v>420000</v>
      </c>
      <c r="G31" s="22" t="n">
        <v>0</v>
      </c>
      <c r="H31" s="22" t="n">
        <v>680000</v>
      </c>
      <c r="I31" s="22" t="n">
        <v>0</v>
      </c>
    </row>
    <row r="32">
      <c r="A32" s="13" t="inlineStr">
        <is>
          <t>6060</t>
        </is>
      </c>
      <c r="B32" s="5" t="inlineStr">
        <is>
          <t>Administrative - Motor Vehicle &amp; Logistics</t>
        </is>
      </c>
      <c r="C32" s="6" t="inlineStr">
        <is>
          <t>Operating Expenses</t>
        </is>
      </c>
      <c r="D32" s="21" t="n">
        <v>420000</v>
      </c>
      <c r="E32" s="21" t="n">
        <v>0</v>
      </c>
      <c r="F32" s="21" t="n">
        <v>750000</v>
      </c>
      <c r="G32" s="21" t="n">
        <v>0</v>
      </c>
      <c r="H32" s="21" t="n">
        <v>1250000</v>
      </c>
      <c r="I32" s="21" t="n">
        <v>0</v>
      </c>
    </row>
    <row r="33">
      <c r="A33" s="11" t="inlineStr">
        <is>
          <t>6090</t>
        </is>
      </c>
      <c r="B33" s="8" t="inlineStr">
        <is>
          <t>Administrative - General Office &amp; Utilities</t>
        </is>
      </c>
      <c r="C33" s="9" t="inlineStr">
        <is>
          <t>Operating Expenses</t>
        </is>
      </c>
      <c r="D33" s="22" t="n">
        <v>400000</v>
      </c>
      <c r="E33" s="22" t="n">
        <v>0</v>
      </c>
      <c r="F33" s="22" t="n">
        <v>625000</v>
      </c>
      <c r="G33" s="22" t="n">
        <v>0</v>
      </c>
      <c r="H33" s="22" t="n">
        <v>940000</v>
      </c>
      <c r="I33" s="22" t="n">
        <v>0</v>
      </c>
    </row>
    <row r="34">
      <c r="A34" s="13" t="inlineStr">
        <is>
          <t>7010</t>
        </is>
      </c>
      <c r="B34" s="5" t="inlineStr">
        <is>
          <t>Finance Costs - Bank Project Facility</t>
        </is>
      </c>
      <c r="C34" s="6" t="inlineStr">
        <is>
          <t>Finance Costs</t>
        </is>
      </c>
      <c r="D34" s="21" t="n">
        <v>125000</v>
      </c>
      <c r="E34" s="21" t="n">
        <v>0</v>
      </c>
      <c r="F34" s="21" t="n">
        <v>350000</v>
      </c>
      <c r="G34" s="21" t="n">
        <v>0</v>
      </c>
      <c r="H34" s="21" t="n">
        <v>650000</v>
      </c>
      <c r="I34" s="21" t="n">
        <v>0</v>
      </c>
    </row>
    <row r="35">
      <c r="A35" s="23" t="inlineStr">
        <is>
          <t>TOTAL UNADJUSTED TRIAL BALANCE</t>
        </is>
      </c>
      <c r="B35" s="31" t="n"/>
      <c r="C35" s="31" t="n"/>
      <c r="D35" s="24">
        <f>SUM(D5:D34)</f>
        <v/>
      </c>
      <c r="E35" s="24">
        <f>SUM(E5:E34)</f>
        <v/>
      </c>
      <c r="F35" s="24">
        <f>SUM(F5:F34)</f>
        <v/>
      </c>
      <c r="G35" s="24">
        <f>SUM(G5:G34)</f>
        <v/>
      </c>
      <c r="H35" s="24">
        <f>SUM(H5:H34)</f>
        <v/>
      </c>
      <c r="I35" s="24">
        <f>SUM(I5:I34)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8"/>
  <sheetViews>
    <sheetView showGridLines="1" workbookViewId="0">
      <pane ySplit="4" topLeftCell="A5" activePane="bottomLeft" state="frozen"/>
      <selection pane="bottomLeft" activeCell="A1" sqref="A1"/>
    </sheetView>
  </sheetViews>
  <sheetFormatPr baseColWidth="8" defaultRowHeight="15"/>
  <cols>
    <col width="109" customWidth="1" min="1" max="1"/>
    <col width="69" customWidth="1" min="2" max="2"/>
    <col width="26" customWidth="1" min="3" max="3"/>
    <col width="23" customWidth="1" min="4" max="4"/>
    <col width="24" customWidth="1" min="5" max="5"/>
    <col width="23" customWidth="1" min="6" max="6"/>
    <col width="24" customWidth="1" min="7" max="7"/>
    <col width="23" customWidth="1" min="8" max="8"/>
    <col width="24" customWidth="1" min="9" max="9"/>
  </cols>
  <sheetData>
    <row r="1">
      <c r="A1" s="1" t="inlineStr">
        <is>
          <t>BAAY PROJECTS LIMITED — ADJUSTED PRE-CLOSING TRIAL BALANCES (2023 - 2025)</t>
        </is>
      </c>
    </row>
    <row r="2">
      <c r="A2" s="3" t="inlineStr">
        <is>
          <t>Trial Balances Incorporating Year-End Accruals, IFRS 15 Revenue Adjustments, Depreciation &amp; Tax Provisions</t>
        </is>
      </c>
    </row>
    <row r="3"/>
    <row r="4">
      <c r="A4" s="4" t="inlineStr">
        <is>
          <t>Account Code</t>
        </is>
      </c>
      <c r="B4" s="4" t="inlineStr">
        <is>
          <t>Account Title / Description</t>
        </is>
      </c>
      <c r="C4" s="4" t="inlineStr">
        <is>
          <t>Category</t>
        </is>
      </c>
      <c r="D4" s="4" t="inlineStr">
        <is>
          <t>2023 Adj Debit (NGN)</t>
        </is>
      </c>
      <c r="E4" s="4" t="inlineStr">
        <is>
          <t>2023 Adj Credit (NGN)</t>
        </is>
      </c>
      <c r="F4" s="4" t="inlineStr">
        <is>
          <t>2024 Adj Debit (NGN)</t>
        </is>
      </c>
      <c r="G4" s="4" t="inlineStr">
        <is>
          <t>2024 Adj Credit (NGN)</t>
        </is>
      </c>
      <c r="H4" s="4" t="inlineStr">
        <is>
          <t>2025 Adj Debit (NGN)</t>
        </is>
      </c>
      <c r="I4" s="4" t="inlineStr">
        <is>
          <t>2025 Adj Credit (NGN)</t>
        </is>
      </c>
    </row>
    <row r="5">
      <c r="A5" s="11" t="inlineStr">
        <is>
          <t>1010</t>
        </is>
      </c>
      <c r="B5" s="8" t="inlineStr">
        <is>
          <t>Providus Bank - A/C 5400281942</t>
        </is>
      </c>
      <c r="C5" s="9" t="inlineStr">
        <is>
          <t>Current Assets</t>
        </is>
      </c>
      <c r="D5" s="22" t="n">
        <v>2215820</v>
      </c>
      <c r="E5" s="22" t="n">
        <v>0</v>
      </c>
      <c r="F5" s="22" t="n">
        <v>3850210</v>
      </c>
      <c r="G5" s="22" t="n">
        <v>0</v>
      </c>
      <c r="H5" s="22" t="n">
        <v>6420110</v>
      </c>
      <c r="I5" s="22" t="n">
        <v>0</v>
      </c>
    </row>
    <row r="6">
      <c r="A6" s="13" t="inlineStr">
        <is>
          <t>1020</t>
        </is>
      </c>
      <c r="B6" s="5" t="inlineStr">
        <is>
          <t>First Bank of Nigeria - A/C 2034891102</t>
        </is>
      </c>
      <c r="C6" s="6" t="inlineStr">
        <is>
          <t>Current Assets</t>
        </is>
      </c>
      <c r="D6" s="21" t="n">
        <v>512410</v>
      </c>
      <c r="E6" s="21" t="n">
        <v>0</v>
      </c>
      <c r="F6" s="21" t="n">
        <v>980118</v>
      </c>
      <c r="G6" s="21" t="n">
        <v>0</v>
      </c>
      <c r="H6" s="21" t="n">
        <v>1840550</v>
      </c>
      <c r="I6" s="21" t="n">
        <v>0</v>
      </c>
    </row>
    <row r="7">
      <c r="A7" s="11" t="inlineStr">
        <is>
          <t>1030</t>
        </is>
      </c>
      <c r="B7" s="8" t="inlineStr">
        <is>
          <t>Sterling Bank - A/C 0078451290</t>
        </is>
      </c>
      <c r="C7" s="9" t="inlineStr">
        <is>
          <t>Current Assets</t>
        </is>
      </c>
      <c r="D7" s="22" t="n">
        <v>114173</v>
      </c>
      <c r="E7" s="22" t="n">
        <v>0</v>
      </c>
      <c r="F7" s="22" t="n">
        <v>312350</v>
      </c>
      <c r="G7" s="22" t="n">
        <v>0</v>
      </c>
      <c r="H7" s="22" t="n">
        <v>663388</v>
      </c>
      <c r="I7" s="22" t="n">
        <v>0</v>
      </c>
    </row>
    <row r="8">
      <c r="A8" s="13" t="inlineStr">
        <is>
          <t>1110</t>
        </is>
      </c>
      <c r="B8" s="5" t="inlineStr">
        <is>
          <t>Trade Receivables - Construction</t>
        </is>
      </c>
      <c r="C8" s="6" t="inlineStr">
        <is>
          <t>Current Assets</t>
        </is>
      </c>
      <c r="D8" s="21" t="n">
        <v>3650000</v>
      </c>
      <c r="E8" s="21" t="n">
        <v>0</v>
      </c>
      <c r="F8" s="21" t="n">
        <v>5800000</v>
      </c>
      <c r="G8" s="21" t="n">
        <v>0</v>
      </c>
      <c r="H8" s="21" t="n">
        <v>9200000</v>
      </c>
      <c r="I8" s="21" t="n">
        <v>0</v>
      </c>
    </row>
    <row r="9">
      <c r="A9" s="11" t="inlineStr">
        <is>
          <t>1130</t>
        </is>
      </c>
      <c r="B9" s="8" t="inlineStr">
        <is>
          <t>Allowance for Expected Credit Losses (IFRS 9)</t>
        </is>
      </c>
      <c r="C9" s="9" t="inlineStr">
        <is>
          <t>Current Assets</t>
        </is>
      </c>
      <c r="D9" s="22" t="n">
        <v>0</v>
      </c>
      <c r="E9" s="22" t="n">
        <v>185000</v>
      </c>
      <c r="F9" s="22" t="n">
        <v>0</v>
      </c>
      <c r="G9" s="22" t="n">
        <v>445000</v>
      </c>
      <c r="H9" s="22" t="n">
        <v>0</v>
      </c>
      <c r="I9" s="22" t="n">
        <v>840000</v>
      </c>
    </row>
    <row r="10">
      <c r="A10" s="13" t="inlineStr">
        <is>
          <t>1140</t>
        </is>
      </c>
      <c r="B10" s="5" t="inlineStr">
        <is>
          <t>Contract Assets (Unbilled Revenue - IFRS 15)</t>
        </is>
      </c>
      <c r="C10" s="6" t="inlineStr">
        <is>
          <t>Current Assets</t>
        </is>
      </c>
      <c r="D10" s="21" t="n">
        <v>2400000</v>
      </c>
      <c r="E10" s="21" t="n">
        <v>0</v>
      </c>
      <c r="F10" s="21" t="n">
        <v>4150000</v>
      </c>
      <c r="G10" s="21" t="n">
        <v>0</v>
      </c>
      <c r="H10" s="21" t="n">
        <v>6850000</v>
      </c>
      <c r="I10" s="21" t="n">
        <v>0</v>
      </c>
    </row>
    <row r="11">
      <c r="A11" s="11" t="inlineStr">
        <is>
          <t>1150</t>
        </is>
      </c>
      <c r="B11" s="8" t="inlineStr">
        <is>
          <t>WHT Credit Notes Receivable</t>
        </is>
      </c>
      <c r="C11" s="9" t="inlineStr">
        <is>
          <t>Current Assets</t>
        </is>
      </c>
      <c r="D11" s="22" t="n">
        <v>1100000</v>
      </c>
      <c r="E11" s="22" t="n">
        <v>0</v>
      </c>
      <c r="F11" s="22" t="n">
        <v>2650000</v>
      </c>
      <c r="G11" s="22" t="n">
        <v>0</v>
      </c>
      <c r="H11" s="22" t="n">
        <v>4850000</v>
      </c>
      <c r="I11" s="22" t="n">
        <v>0</v>
      </c>
    </row>
    <row r="12">
      <c r="A12" s="13" t="inlineStr">
        <is>
          <t>1160</t>
        </is>
      </c>
      <c r="B12" s="5" t="inlineStr">
        <is>
          <t>Prepayments &amp; Site Advances</t>
        </is>
      </c>
      <c r="C12" s="6" t="inlineStr">
        <is>
          <t>Current Assets</t>
        </is>
      </c>
      <c r="D12" s="21" t="n">
        <v>450000</v>
      </c>
      <c r="E12" s="21" t="n">
        <v>0</v>
      </c>
      <c r="F12" s="21" t="n">
        <v>680000</v>
      </c>
      <c r="G12" s="21" t="n">
        <v>0</v>
      </c>
      <c r="H12" s="21" t="n">
        <v>1150000</v>
      </c>
      <c r="I12" s="21" t="n">
        <v>0</v>
      </c>
    </row>
    <row r="13">
      <c r="A13" s="11" t="inlineStr">
        <is>
          <t>1210</t>
        </is>
      </c>
      <c r="B13" s="8" t="inlineStr">
        <is>
          <t>Development Inventory - Land</t>
        </is>
      </c>
      <c r="C13" s="9" t="inlineStr">
        <is>
          <t>Current Assets</t>
        </is>
      </c>
      <c r="D13" s="22" t="n">
        <v>5400000</v>
      </c>
      <c r="E13" s="22" t="n">
        <v>0</v>
      </c>
      <c r="F13" s="22" t="n">
        <v>8200000</v>
      </c>
      <c r="G13" s="22" t="n">
        <v>0</v>
      </c>
      <c r="H13" s="22" t="n">
        <v>14500000</v>
      </c>
      <c r="I13" s="22" t="n">
        <v>0</v>
      </c>
    </row>
    <row r="14">
      <c r="A14" s="13" t="inlineStr">
        <is>
          <t>1220</t>
        </is>
      </c>
      <c r="B14" s="5" t="inlineStr">
        <is>
          <t>Development Inventory - WIP</t>
        </is>
      </c>
      <c r="C14" s="6" t="inlineStr">
        <is>
          <t>Current Assets</t>
        </is>
      </c>
      <c r="D14" s="21" t="n">
        <v>3250000</v>
      </c>
      <c r="E14" s="21" t="n">
        <v>0</v>
      </c>
      <c r="F14" s="21" t="n">
        <v>5600000</v>
      </c>
      <c r="G14" s="21" t="n">
        <v>0</v>
      </c>
      <c r="H14" s="21" t="n">
        <v>9800000</v>
      </c>
      <c r="I14" s="21" t="n">
        <v>0</v>
      </c>
    </row>
    <row r="15">
      <c r="A15" s="11" t="inlineStr">
        <is>
          <t>1510</t>
        </is>
      </c>
      <c r="B15" s="8" t="inlineStr">
        <is>
          <t>PPE - Office &amp; Site Equipment</t>
        </is>
      </c>
      <c r="C15" s="9" t="inlineStr">
        <is>
          <t>Non-Current Assets</t>
        </is>
      </c>
      <c r="D15" s="22" t="n">
        <v>1823850</v>
      </c>
      <c r="E15" s="22" t="n">
        <v>0</v>
      </c>
      <c r="F15" s="22" t="n">
        <v>4523850</v>
      </c>
      <c r="G15" s="22" t="n">
        <v>0</v>
      </c>
      <c r="H15" s="22" t="n">
        <v>8123850</v>
      </c>
      <c r="I15" s="22" t="n">
        <v>0</v>
      </c>
    </row>
    <row r="16">
      <c r="A16" s="13" t="inlineStr">
        <is>
          <t>1590</t>
        </is>
      </c>
      <c r="B16" s="5" t="inlineStr">
        <is>
          <t>Accumulated Depreciation - PPE</t>
        </is>
      </c>
      <c r="C16" s="6" t="inlineStr">
        <is>
          <t>Non-Current Assets</t>
        </is>
      </c>
      <c r="D16" s="21" t="n">
        <v>0</v>
      </c>
      <c r="E16" s="21" t="n">
        <v>399310</v>
      </c>
      <c r="F16" s="21" t="n">
        <v>0</v>
      </c>
      <c r="G16" s="21" t="n">
        <v>1114310</v>
      </c>
      <c r="H16" s="21" t="n">
        <v>0</v>
      </c>
      <c r="I16" s="21" t="n">
        <v>2399310</v>
      </c>
    </row>
    <row r="17">
      <c r="A17" s="11" t="inlineStr">
        <is>
          <t>1610</t>
        </is>
      </c>
      <c r="B17" s="8" t="inlineStr">
        <is>
          <t>Deferred Tax Asset (IAS 12)</t>
        </is>
      </c>
      <c r="C17" s="9" t="inlineStr">
        <is>
          <t>Non-Current Assets</t>
        </is>
      </c>
      <c r="D17" s="22" t="n">
        <v>32000</v>
      </c>
      <c r="E17" s="22" t="n">
        <v>0</v>
      </c>
      <c r="F17" s="22" t="n">
        <v>0</v>
      </c>
      <c r="G17" s="22" t="n">
        <v>0</v>
      </c>
      <c r="H17" s="22" t="n">
        <v>0</v>
      </c>
      <c r="I17" s="22" t="n">
        <v>0</v>
      </c>
    </row>
    <row r="18">
      <c r="A18" s="13" t="inlineStr">
        <is>
          <t>2010</t>
        </is>
      </c>
      <c r="B18" s="5" t="inlineStr">
        <is>
          <t>Trade Payables - Subcontractors &amp; Materials</t>
        </is>
      </c>
      <c r="C18" s="6" t="inlineStr">
        <is>
          <t>Current Liabilities</t>
        </is>
      </c>
      <c r="D18" s="21" t="n">
        <v>0</v>
      </c>
      <c r="E18" s="21" t="n">
        <v>2150000</v>
      </c>
      <c r="F18" s="21" t="n">
        <v>0</v>
      </c>
      <c r="G18" s="21" t="n">
        <v>3850000</v>
      </c>
      <c r="H18" s="21" t="n">
        <v>0</v>
      </c>
      <c r="I18" s="21" t="n">
        <v>6450000</v>
      </c>
    </row>
    <row r="19">
      <c r="A19" s="11" t="inlineStr">
        <is>
          <t>2020</t>
        </is>
      </c>
      <c r="B19" s="8" t="inlineStr">
        <is>
          <t>Contract Liabilities - Customer Deposits</t>
        </is>
      </c>
      <c r="C19" s="9" t="inlineStr">
        <is>
          <t>Current Liabilities</t>
        </is>
      </c>
      <c r="D19" s="22" t="n">
        <v>0</v>
      </c>
      <c r="E19" s="22" t="n">
        <v>2400000</v>
      </c>
      <c r="F19" s="22" t="n">
        <v>0</v>
      </c>
      <c r="G19" s="22" t="n">
        <v>3600000</v>
      </c>
      <c r="H19" s="22" t="n">
        <v>0</v>
      </c>
      <c r="I19" s="22" t="n">
        <v>5800000</v>
      </c>
    </row>
    <row r="20">
      <c r="A20" s="13" t="inlineStr">
        <is>
          <t>2030</t>
        </is>
      </c>
      <c r="B20" s="5" t="inlineStr">
        <is>
          <t>Accrued Audit &amp; Professional Fees</t>
        </is>
      </c>
      <c r="C20" s="6" t="inlineStr">
        <is>
          <t>Current Liabilities</t>
        </is>
      </c>
      <c r="D20" s="21" t="n">
        <v>0</v>
      </c>
      <c r="E20" s="21" t="n">
        <v>375000</v>
      </c>
      <c r="F20" s="21" t="n">
        <v>0</v>
      </c>
      <c r="G20" s="21" t="n">
        <v>550000</v>
      </c>
      <c r="H20" s="21" t="n">
        <v>0</v>
      </c>
      <c r="I20" s="21" t="n">
        <v>850000</v>
      </c>
    </row>
    <row r="21">
      <c r="A21" s="11" t="inlineStr">
        <is>
          <t>2040</t>
        </is>
      </c>
      <c r="B21" s="8" t="inlineStr">
        <is>
          <t>Other Accrued Expenses &amp; Sundry Creditors</t>
        </is>
      </c>
      <c r="C21" s="9" t="inlineStr">
        <is>
          <t>Current Liabilities</t>
        </is>
      </c>
      <c r="D21" s="22" t="n">
        <v>0</v>
      </c>
      <c r="E21" s="22" t="n">
        <v>245235</v>
      </c>
      <c r="F21" s="22" t="n">
        <v>0</v>
      </c>
      <c r="G21" s="22" t="n">
        <v>425500</v>
      </c>
      <c r="H21" s="22" t="n">
        <v>0</v>
      </c>
      <c r="I21" s="22" t="n">
        <v>683500</v>
      </c>
    </row>
    <row r="22">
      <c r="A22" s="13" t="inlineStr">
        <is>
          <t>2110</t>
        </is>
      </c>
      <c r="B22" s="5" t="inlineStr">
        <is>
          <t>Current Tax Liabilities - CIT Payable (Net of Remittances/Offsets)</t>
        </is>
      </c>
      <c r="C22" s="6" t="inlineStr">
        <is>
          <t>Current Liabilities</t>
        </is>
      </c>
      <c r="D22" s="21" t="n">
        <v>0</v>
      </c>
      <c r="E22" s="21" t="n">
        <v>1492000</v>
      </c>
      <c r="F22" s="21" t="n">
        <v>0</v>
      </c>
      <c r="G22" s="21" t="n">
        <v>2059775</v>
      </c>
      <c r="H22" s="21" t="n">
        <v>0</v>
      </c>
      <c r="I22" s="21" t="n">
        <v>4607370</v>
      </c>
    </row>
    <row r="23">
      <c r="A23" s="11" t="inlineStr">
        <is>
          <t>2120</t>
        </is>
      </c>
      <c r="B23" s="8" t="inlineStr">
        <is>
          <t>Current Tax Liabilities - TET Payable</t>
        </is>
      </c>
      <c r="C23" s="9" t="inlineStr">
        <is>
          <t>Current Liabilities</t>
        </is>
      </c>
      <c r="D23" s="22" t="n">
        <v>0</v>
      </c>
      <c r="E23" s="22" t="n">
        <v>239400</v>
      </c>
      <c r="F23" s="22" t="n">
        <v>0</v>
      </c>
      <c r="G23" s="22" t="n">
        <v>408600</v>
      </c>
      <c r="H23" s="22" t="n">
        <v>0</v>
      </c>
      <c r="I23" s="22" t="n">
        <v>735000</v>
      </c>
    </row>
    <row r="24">
      <c r="A24" s="13" t="inlineStr">
        <is>
          <t>2130</t>
        </is>
      </c>
      <c r="B24" s="5" t="inlineStr">
        <is>
          <t>Current Tax Liabilities - PTF Payable</t>
        </is>
      </c>
      <c r="C24" s="6" t="inlineStr">
        <is>
          <t>Current Liabilities</t>
        </is>
      </c>
      <c r="D24" s="21" t="n">
        <v>0</v>
      </c>
      <c r="E24" s="21" t="n">
        <v>365</v>
      </c>
      <c r="F24" s="21" t="n">
        <v>0</v>
      </c>
      <c r="G24" s="21" t="n">
        <v>625</v>
      </c>
      <c r="H24" s="21" t="n">
        <v>0</v>
      </c>
      <c r="I24" s="21" t="n">
        <v>1130</v>
      </c>
    </row>
    <row r="25">
      <c r="A25" s="11" t="inlineStr">
        <is>
          <t>2140</t>
        </is>
      </c>
      <c r="B25" s="8" t="inlineStr">
        <is>
          <t>Current Tax Liabilities - NASENI Levy</t>
        </is>
      </c>
      <c r="C25" s="9" t="inlineStr">
        <is>
          <t>Current Liabilities</t>
        </is>
      </c>
      <c r="D25" s="22" t="n">
        <v>0</v>
      </c>
      <c r="E25" s="22" t="n">
        <v>0</v>
      </c>
      <c r="F25" s="22" t="n">
        <v>0</v>
      </c>
      <c r="G25" s="22" t="n">
        <v>0</v>
      </c>
      <c r="H25" s="22" t="n">
        <v>0</v>
      </c>
      <c r="I25" s="22" t="n">
        <v>56500</v>
      </c>
    </row>
    <row r="26">
      <c r="A26" s="13" t="inlineStr">
        <is>
          <t>2510</t>
        </is>
      </c>
      <c r="B26" s="5" t="inlineStr">
        <is>
          <t>Director's Loan &amp; Long-Term Funding</t>
        </is>
      </c>
      <c r="C26" s="6" t="inlineStr">
        <is>
          <t>Non-Current Liabilities</t>
        </is>
      </c>
      <c r="D26" s="21" t="n">
        <v>0</v>
      </c>
      <c r="E26" s="21" t="n">
        <v>4500000</v>
      </c>
      <c r="F26" s="21" t="n">
        <v>0</v>
      </c>
      <c r="G26" s="21" t="n">
        <v>5800000</v>
      </c>
      <c r="H26" s="21" t="n">
        <v>0</v>
      </c>
      <c r="I26" s="21" t="n">
        <v>7500000</v>
      </c>
    </row>
    <row r="27">
      <c r="A27" s="11" t="inlineStr">
        <is>
          <t>2610</t>
        </is>
      </c>
      <c r="B27" s="8" t="inlineStr">
        <is>
          <t>Deferred Tax Liability (IAS 12)</t>
        </is>
      </c>
      <c r="C27" s="9" t="inlineStr">
        <is>
          <t>Non-Current Liabilities</t>
        </is>
      </c>
      <c r="D27" s="22" t="n">
        <v>0</v>
      </c>
      <c r="E27" s="22" t="n">
        <v>0</v>
      </c>
      <c r="F27" s="22" t="n">
        <v>0</v>
      </c>
      <c r="G27" s="22" t="n">
        <v>16000</v>
      </c>
      <c r="H27" s="22" t="n">
        <v>0</v>
      </c>
      <c r="I27" s="22" t="n">
        <v>98500</v>
      </c>
    </row>
    <row r="28">
      <c r="A28" s="13" t="inlineStr">
        <is>
          <t>3010</t>
        </is>
      </c>
      <c r="B28" s="5" t="inlineStr">
        <is>
          <t>Ordinary Share Capital (₦1.00 par)</t>
        </is>
      </c>
      <c r="C28" s="6" t="inlineStr">
        <is>
          <t>Equity</t>
        </is>
      </c>
      <c r="D28" s="21" t="n">
        <v>0</v>
      </c>
      <c r="E28" s="21" t="n">
        <v>1000000</v>
      </c>
      <c r="F28" s="21" t="n">
        <v>0</v>
      </c>
      <c r="G28" s="21" t="n">
        <v>1000000</v>
      </c>
      <c r="H28" s="21" t="n">
        <v>0</v>
      </c>
      <c r="I28" s="21" t="n">
        <v>1000000</v>
      </c>
    </row>
    <row r="29">
      <c r="A29" s="11" t="inlineStr">
        <is>
          <t>3020</t>
        </is>
      </c>
      <c r="B29" s="8" t="inlineStr">
        <is>
          <t>Retained Earnings (Accumulated Profit)</t>
        </is>
      </c>
      <c r="C29" s="9" t="inlineStr">
        <is>
          <t>Equity</t>
        </is>
      </c>
      <c r="D29" s="22" t="n">
        <v>0</v>
      </c>
      <c r="E29" s="22" t="n">
        <v>2361708</v>
      </c>
      <c r="F29" s="22" t="n">
        <v>0</v>
      </c>
      <c r="G29" s="22" t="n">
        <v>7961943</v>
      </c>
      <c r="H29" s="22" t="n">
        <v>0</v>
      </c>
      <c r="I29" s="22" t="n">
        <v>17476718</v>
      </c>
    </row>
    <row r="30">
      <c r="A30" s="13" t="inlineStr">
        <is>
          <t>4010</t>
        </is>
      </c>
      <c r="B30" s="5" t="inlineStr">
        <is>
          <t>Revenue - Civil Engineering Contracts</t>
        </is>
      </c>
      <c r="C30" s="6" t="inlineStr">
        <is>
          <t>Revenue</t>
        </is>
      </c>
      <c r="D30" s="21" t="n">
        <v>0</v>
      </c>
      <c r="E30" s="21" t="n">
        <v>22000000</v>
      </c>
      <c r="F30" s="21" t="n">
        <v>0</v>
      </c>
      <c r="G30" s="21" t="n">
        <v>38000000</v>
      </c>
      <c r="H30" s="21" t="n">
        <v>0</v>
      </c>
      <c r="I30" s="21" t="n">
        <v>68000000</v>
      </c>
    </row>
    <row r="31">
      <c r="A31" s="11" t="inlineStr">
        <is>
          <t>4020</t>
        </is>
      </c>
      <c r="B31" s="8" t="inlineStr">
        <is>
          <t>Revenue - Land Subdivision &amp; Resale</t>
        </is>
      </c>
      <c r="C31" s="9" t="inlineStr">
        <is>
          <t>Revenue</t>
        </is>
      </c>
      <c r="D31" s="22" t="n">
        <v>0</v>
      </c>
      <c r="E31" s="22" t="n">
        <v>12500000</v>
      </c>
      <c r="F31" s="22" t="n">
        <v>0</v>
      </c>
      <c r="G31" s="22" t="n">
        <v>19500000</v>
      </c>
      <c r="H31" s="22" t="n">
        <v>0</v>
      </c>
      <c r="I31" s="22" t="n">
        <v>32500000</v>
      </c>
    </row>
    <row r="32">
      <c r="A32" s="13" t="inlineStr">
        <is>
          <t>4030</t>
        </is>
      </c>
      <c r="B32" s="5" t="inlineStr">
        <is>
          <t>Revenue - Project Management &amp; Consulting</t>
        </is>
      </c>
      <c r="C32" s="6" t="inlineStr">
        <is>
          <t>Revenue</t>
        </is>
      </c>
      <c r="D32" s="21" t="n">
        <v>0</v>
      </c>
      <c r="E32" s="21" t="n">
        <v>4000000</v>
      </c>
      <c r="F32" s="21" t="n">
        <v>0</v>
      </c>
      <c r="G32" s="21" t="n">
        <v>6700000</v>
      </c>
      <c r="H32" s="21" t="n">
        <v>0</v>
      </c>
      <c r="I32" s="21" t="n">
        <v>12000000</v>
      </c>
    </row>
    <row r="33">
      <c r="A33" s="11" t="inlineStr">
        <is>
          <t>5010</t>
        </is>
      </c>
      <c r="B33" s="8" t="inlineStr">
        <is>
          <t>Cost of Sales - Materials &amp; Subcontracts</t>
        </is>
      </c>
      <c r="C33" s="9" t="inlineStr">
        <is>
          <t>Direct Costs</t>
        </is>
      </c>
      <c r="D33" s="22" t="n">
        <v>14200000</v>
      </c>
      <c r="E33" s="22" t="n">
        <v>0</v>
      </c>
      <c r="F33" s="22" t="n">
        <v>26400000</v>
      </c>
      <c r="G33" s="22" t="n">
        <v>0</v>
      </c>
      <c r="H33" s="22" t="n">
        <v>45600000</v>
      </c>
      <c r="I33" s="22" t="n">
        <v>0</v>
      </c>
    </row>
    <row r="34">
      <c r="A34" s="13" t="inlineStr">
        <is>
          <t>5020</t>
        </is>
      </c>
      <c r="B34" s="5" t="inlineStr">
        <is>
          <t>Cost of Sales - Land Inventory Released</t>
        </is>
      </c>
      <c r="C34" s="6" t="inlineStr">
        <is>
          <t>Direct Costs</t>
        </is>
      </c>
      <c r="D34" s="21" t="n">
        <v>8100000</v>
      </c>
      <c r="E34" s="21" t="n">
        <v>0</v>
      </c>
      <c r="F34" s="21" t="n">
        <v>11800000</v>
      </c>
      <c r="G34" s="21" t="n">
        <v>0</v>
      </c>
      <c r="H34" s="21" t="n">
        <v>21400000</v>
      </c>
      <c r="I34" s="21" t="n">
        <v>0</v>
      </c>
    </row>
    <row r="35">
      <c r="A35" s="11" t="inlineStr">
        <is>
          <t>5030</t>
        </is>
      </c>
      <c r="B35" s="8" t="inlineStr">
        <is>
          <t>Cost of Sales - Direct Site Labor &amp; Hire</t>
        </is>
      </c>
      <c r="C35" s="9" t="inlineStr">
        <is>
          <t>Direct Costs</t>
        </is>
      </c>
      <c r="D35" s="22" t="n">
        <v>2350000</v>
      </c>
      <c r="E35" s="22" t="n">
        <v>0</v>
      </c>
      <c r="F35" s="22" t="n">
        <v>3300000</v>
      </c>
      <c r="G35" s="22" t="n">
        <v>0</v>
      </c>
      <c r="H35" s="22" t="n">
        <v>5800000</v>
      </c>
      <c r="I35" s="22" t="n">
        <v>0</v>
      </c>
    </row>
    <row r="36">
      <c r="A36" s="13" t="inlineStr">
        <is>
          <t>6010</t>
        </is>
      </c>
      <c r="B36" s="5" t="inlineStr">
        <is>
          <t>Administrative - Staff Salaries, Wages</t>
        </is>
      </c>
      <c r="C36" s="6" t="inlineStr">
        <is>
          <t>Operating Expenses</t>
        </is>
      </c>
      <c r="D36" s="21" t="n">
        <v>2800000</v>
      </c>
      <c r="E36" s="21" t="n">
        <v>0</v>
      </c>
      <c r="F36" s="21" t="n">
        <v>4200000</v>
      </c>
      <c r="G36" s="21" t="n">
        <v>0</v>
      </c>
      <c r="H36" s="21" t="n">
        <v>7200000</v>
      </c>
      <c r="I36" s="21" t="n">
        <v>0</v>
      </c>
    </row>
    <row r="37">
      <c r="A37" s="11" t="inlineStr">
        <is>
          <t>6020</t>
        </is>
      </c>
      <c r="B37" s="8" t="inlineStr">
        <is>
          <t>Administrative - Site Office Rent &amp; Maintenance</t>
        </is>
      </c>
      <c r="C37" s="9" t="inlineStr">
        <is>
          <t>Operating Expenses</t>
        </is>
      </c>
      <c r="D37" s="22" t="n">
        <v>950000</v>
      </c>
      <c r="E37" s="22" t="n">
        <v>0</v>
      </c>
      <c r="F37" s="22" t="n">
        <v>1450000</v>
      </c>
      <c r="G37" s="22" t="n">
        <v>0</v>
      </c>
      <c r="H37" s="22" t="n">
        <v>2400000</v>
      </c>
      <c r="I37" s="22" t="n">
        <v>0</v>
      </c>
    </row>
    <row r="38">
      <c r="A38" s="13" t="inlineStr">
        <is>
          <t>6030</t>
        </is>
      </c>
      <c r="B38" s="5" t="inlineStr">
        <is>
          <t>Administrative - Professional &amp; Legal Fees</t>
        </is>
      </c>
      <c r="C38" s="6" t="inlineStr">
        <is>
          <t>Operating Expenses</t>
        </is>
      </c>
      <c r="D38" s="21" t="n">
        <v>650000</v>
      </c>
      <c r="E38" s="21" t="n">
        <v>0</v>
      </c>
      <c r="F38" s="21" t="n">
        <v>980000</v>
      </c>
      <c r="G38" s="21" t="n">
        <v>0</v>
      </c>
      <c r="H38" s="21" t="n">
        <v>1650000</v>
      </c>
      <c r="I38" s="21" t="n">
        <v>0</v>
      </c>
    </row>
    <row r="39">
      <c r="A39" s="11" t="inlineStr">
        <is>
          <t>6040</t>
        </is>
      </c>
      <c r="B39" s="8" t="inlineStr">
        <is>
          <t>Administrative - Audit &amp; Tax Fees</t>
        </is>
      </c>
      <c r="C39" s="9" t="inlineStr">
        <is>
          <t>Operating Expenses</t>
        </is>
      </c>
      <c r="D39" s="22" t="n">
        <v>350000</v>
      </c>
      <c r="E39" s="22" t="n">
        <v>0</v>
      </c>
      <c r="F39" s="22" t="n">
        <v>450000</v>
      </c>
      <c r="G39" s="22" t="n">
        <v>0</v>
      </c>
      <c r="H39" s="22" t="n">
        <v>650000</v>
      </c>
      <c r="I39" s="22" t="n">
        <v>0</v>
      </c>
    </row>
    <row r="40">
      <c r="A40" s="13" t="inlineStr">
        <is>
          <t>6050</t>
        </is>
      </c>
      <c r="B40" s="5" t="inlineStr">
        <is>
          <t>Administrative - Bank Charges &amp; COT</t>
        </is>
      </c>
      <c r="C40" s="6" t="inlineStr">
        <is>
          <t>Operating Expenses</t>
        </is>
      </c>
      <c r="D40" s="21" t="n">
        <v>285000</v>
      </c>
      <c r="E40" s="21" t="n">
        <v>0</v>
      </c>
      <c r="F40" s="21" t="n">
        <v>420000</v>
      </c>
      <c r="G40" s="21" t="n">
        <v>0</v>
      </c>
      <c r="H40" s="21" t="n">
        <v>680000</v>
      </c>
      <c r="I40" s="21" t="n">
        <v>0</v>
      </c>
    </row>
    <row r="41">
      <c r="A41" s="11" t="inlineStr">
        <is>
          <t>6060</t>
        </is>
      </c>
      <c r="B41" s="8" t="inlineStr">
        <is>
          <t>Administrative - Motor Vehicle &amp; Logistics</t>
        </is>
      </c>
      <c r="C41" s="9" t="inlineStr">
        <is>
          <t>Operating Expenses</t>
        </is>
      </c>
      <c r="D41" s="22" t="n">
        <v>420000</v>
      </c>
      <c r="E41" s="22" t="n">
        <v>0</v>
      </c>
      <c r="F41" s="22" t="n">
        <v>750000</v>
      </c>
      <c r="G41" s="22" t="n">
        <v>0</v>
      </c>
      <c r="H41" s="22" t="n">
        <v>1250000</v>
      </c>
      <c r="I41" s="22" t="n">
        <v>0</v>
      </c>
    </row>
    <row r="42">
      <c r="A42" s="13" t="inlineStr">
        <is>
          <t>6070</t>
        </is>
      </c>
      <c r="B42" s="5" t="inlineStr">
        <is>
          <t>Administrative - Depreciation Expense (IAS 16)</t>
        </is>
      </c>
      <c r="C42" s="6" t="inlineStr">
        <is>
          <t>Operating Expenses</t>
        </is>
      </c>
      <c r="D42" s="21" t="n">
        <v>385000</v>
      </c>
      <c r="E42" s="21" t="n">
        <v>0</v>
      </c>
      <c r="F42" s="21" t="n">
        <v>715000</v>
      </c>
      <c r="G42" s="21" t="n">
        <v>0</v>
      </c>
      <c r="H42" s="21" t="n">
        <v>1285000</v>
      </c>
      <c r="I42" s="21" t="n">
        <v>0</v>
      </c>
    </row>
    <row r="43">
      <c r="A43" s="11" t="inlineStr">
        <is>
          <t>6080</t>
        </is>
      </c>
      <c r="B43" s="8" t="inlineStr">
        <is>
          <t>Administrative - Impairment Allowance (ECL)</t>
        </is>
      </c>
      <c r="C43" s="9" t="inlineStr">
        <is>
          <t>Operating Expenses</t>
        </is>
      </c>
      <c r="D43" s="22" t="n">
        <v>185000</v>
      </c>
      <c r="E43" s="22" t="n">
        <v>0</v>
      </c>
      <c r="F43" s="22" t="n">
        <v>260000</v>
      </c>
      <c r="G43" s="22" t="n">
        <v>0</v>
      </c>
      <c r="H43" s="22" t="n">
        <v>395000</v>
      </c>
      <c r="I43" s="22" t="n">
        <v>0</v>
      </c>
    </row>
    <row r="44">
      <c r="A44" s="13" t="inlineStr">
        <is>
          <t>6090</t>
        </is>
      </c>
      <c r="B44" s="5" t="inlineStr">
        <is>
          <t>Administrative - General Office &amp; Utilities</t>
        </is>
      </c>
      <c r="C44" s="6" t="inlineStr">
        <is>
          <t>Operating Expenses</t>
        </is>
      </c>
      <c r="D44" s="21" t="n">
        <v>400000</v>
      </c>
      <c r="E44" s="21" t="n">
        <v>0</v>
      </c>
      <c r="F44" s="21" t="n">
        <v>625000</v>
      </c>
      <c r="G44" s="21" t="n">
        <v>0</v>
      </c>
      <c r="H44" s="21" t="n">
        <v>940000</v>
      </c>
      <c r="I44" s="21" t="n">
        <v>0</v>
      </c>
    </row>
    <row r="45">
      <c r="A45" s="11" t="inlineStr">
        <is>
          <t>7010</t>
        </is>
      </c>
      <c r="B45" s="8" t="inlineStr">
        <is>
          <t>Finance Costs - Bank Project Facility</t>
        </is>
      </c>
      <c r="C45" s="9" t="inlineStr">
        <is>
          <t>Finance Costs</t>
        </is>
      </c>
      <c r="D45" s="22" t="n">
        <v>125000</v>
      </c>
      <c r="E45" s="22" t="n">
        <v>0</v>
      </c>
      <c r="F45" s="22" t="n">
        <v>350000</v>
      </c>
      <c r="G45" s="22" t="n">
        <v>0</v>
      </c>
      <c r="H45" s="22" t="n">
        <v>650000</v>
      </c>
      <c r="I45" s="22" t="n">
        <v>0</v>
      </c>
    </row>
    <row r="46">
      <c r="A46" s="13" t="inlineStr">
        <is>
          <t>8010</t>
        </is>
      </c>
      <c r="B46" s="5" t="inlineStr">
        <is>
          <t>Income Tax Expense - Current Tax</t>
        </is>
      </c>
      <c r="C46" s="6" t="inlineStr">
        <is>
          <t>Taxation</t>
        </is>
      </c>
      <c r="D46" s="21" t="n">
        <v>1731765</v>
      </c>
      <c r="E46" s="21" t="n">
        <v>0</v>
      </c>
      <c r="F46" s="21" t="n">
        <v>2937225</v>
      </c>
      <c r="G46" s="21" t="n">
        <v>0</v>
      </c>
      <c r="H46" s="21" t="n">
        <v>7617630</v>
      </c>
      <c r="I46" s="21" t="n">
        <v>0</v>
      </c>
    </row>
    <row r="47">
      <c r="A47" s="11" t="inlineStr">
        <is>
          <t>8020</t>
        </is>
      </c>
      <c r="B47" s="8" t="inlineStr">
        <is>
          <t>Income Tax Expense - Deferred Tax</t>
        </is>
      </c>
      <c r="C47" s="9" t="inlineStr">
        <is>
          <t>Taxation</t>
        </is>
      </c>
      <c r="D47" s="22" t="n">
        <v>0</v>
      </c>
      <c r="E47" s="22" t="n">
        <v>32000</v>
      </c>
      <c r="F47" s="22" t="n">
        <v>48000</v>
      </c>
      <c r="G47" s="22" t="n">
        <v>0</v>
      </c>
      <c r="H47" s="22" t="n">
        <v>82500</v>
      </c>
      <c r="I47" s="22" t="n">
        <v>0</v>
      </c>
    </row>
    <row r="48">
      <c r="A48" s="23" t="inlineStr">
        <is>
          <t>TOTAL ADJUSTED PRE-CLOSING TRIAL BALANCE</t>
        </is>
      </c>
      <c r="B48" s="31" t="n"/>
      <c r="C48" s="31" t="n"/>
      <c r="D48" s="24">
        <f>SUM(D5:D47)</f>
        <v/>
      </c>
      <c r="E48" s="24">
        <f>SUM(E5:E47)</f>
        <v/>
      </c>
      <c r="F48" s="24">
        <f>SUM(F5:F47)</f>
        <v/>
      </c>
      <c r="G48" s="24">
        <f>SUM(G5:G47)</f>
        <v/>
      </c>
      <c r="H48" s="24">
        <f>SUM(H5:H47)</f>
        <v/>
      </c>
      <c r="I48" s="24">
        <f>SUM(I5:I47)</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0"/>
  <sheetViews>
    <sheetView showGridLines="1" workbookViewId="0">
      <pane ySplit="4" topLeftCell="A5" activePane="bottomLeft" state="frozen"/>
      <selection pane="bottomLeft" activeCell="A1" sqref="A1"/>
    </sheetView>
  </sheetViews>
  <sheetFormatPr baseColWidth="8" defaultRowHeight="15"/>
  <cols>
    <col width="103" customWidth="1" min="1" max="1"/>
    <col width="69" customWidth="1" min="2" max="2"/>
    <col width="26" customWidth="1" min="3" max="3"/>
    <col width="27" customWidth="1" min="4" max="4"/>
    <col width="27" customWidth="1" min="5" max="5"/>
    <col width="27" customWidth="1" min="6" max="6"/>
    <col width="27" customWidth="1" min="7" max="7"/>
    <col width="27" customWidth="1" min="8" max="8"/>
    <col width="27" customWidth="1" min="9" max="9"/>
  </cols>
  <sheetData>
    <row r="1">
      <c r="A1" s="1" t="inlineStr">
        <is>
          <t>BAAY PROJECTS LIMITED — POST-CLOSING TRIAL BALANCES (2023 - 2025)</t>
        </is>
      </c>
    </row>
    <row r="2">
      <c r="A2" s="3" t="inlineStr">
        <is>
          <t>Post-Closing Trial Balances Resetting P&amp;L Accounts and Carrying Forward Net Worth to Subsequent Year</t>
        </is>
      </c>
    </row>
    <row r="3"/>
    <row r="4">
      <c r="A4" s="4" t="inlineStr">
        <is>
          <t>Account Code</t>
        </is>
      </c>
      <c r="B4" s="4" t="inlineStr">
        <is>
          <t>Account Title / Description</t>
        </is>
      </c>
      <c r="C4" s="4" t="inlineStr">
        <is>
          <t>Category</t>
        </is>
      </c>
      <c r="D4" s="4" t="inlineStr">
        <is>
          <t>2023 Post-Close Dr (NGN)</t>
        </is>
      </c>
      <c r="E4" s="4" t="inlineStr">
        <is>
          <t>2023 Post-Close Cr (NGN)</t>
        </is>
      </c>
      <c r="F4" s="4" t="inlineStr">
        <is>
          <t>2024 Post-Close Dr (NGN)</t>
        </is>
      </c>
      <c r="G4" s="4" t="inlineStr">
        <is>
          <t>2024 Post-Close Cr (NGN)</t>
        </is>
      </c>
      <c r="H4" s="4" t="inlineStr">
        <is>
          <t>2025 Post-Close Dr (NGN)</t>
        </is>
      </c>
      <c r="I4" s="4" t="inlineStr">
        <is>
          <t>2025 Post-Close Cr (NGN)</t>
        </is>
      </c>
    </row>
    <row r="5">
      <c r="A5" s="11" t="inlineStr">
        <is>
          <t>1010</t>
        </is>
      </c>
      <c r="B5" s="8" t="inlineStr">
        <is>
          <t>Providus Bank - A/C 5400281942</t>
        </is>
      </c>
      <c r="C5" s="9" t="inlineStr">
        <is>
          <t>Current Assets</t>
        </is>
      </c>
      <c r="D5" s="22" t="n">
        <v>2215820</v>
      </c>
      <c r="E5" s="22" t="n">
        <v>0</v>
      </c>
      <c r="F5" s="22" t="n">
        <v>3850210</v>
      </c>
      <c r="G5" s="22" t="n">
        <v>0</v>
      </c>
      <c r="H5" s="22" t="n">
        <v>6420110</v>
      </c>
      <c r="I5" s="22" t="n">
        <v>0</v>
      </c>
    </row>
    <row r="6">
      <c r="A6" s="13" t="inlineStr">
        <is>
          <t>1020</t>
        </is>
      </c>
      <c r="B6" s="5" t="inlineStr">
        <is>
          <t>First Bank of Nigeria - A/C 2034891102</t>
        </is>
      </c>
      <c r="C6" s="6" t="inlineStr">
        <is>
          <t>Current Assets</t>
        </is>
      </c>
      <c r="D6" s="21" t="n">
        <v>512410</v>
      </c>
      <c r="E6" s="21" t="n">
        <v>0</v>
      </c>
      <c r="F6" s="21" t="n">
        <v>980118</v>
      </c>
      <c r="G6" s="21" t="n">
        <v>0</v>
      </c>
      <c r="H6" s="21" t="n">
        <v>1840550</v>
      </c>
      <c r="I6" s="21" t="n">
        <v>0</v>
      </c>
    </row>
    <row r="7">
      <c r="A7" s="11" t="inlineStr">
        <is>
          <t>1030</t>
        </is>
      </c>
      <c r="B7" s="8" t="inlineStr">
        <is>
          <t>Sterling Bank - A/C 0078451290</t>
        </is>
      </c>
      <c r="C7" s="9" t="inlineStr">
        <is>
          <t>Current Assets</t>
        </is>
      </c>
      <c r="D7" s="22" t="n">
        <v>114173</v>
      </c>
      <c r="E7" s="22" t="n">
        <v>0</v>
      </c>
      <c r="F7" s="22" t="n">
        <v>312350</v>
      </c>
      <c r="G7" s="22" t="n">
        <v>0</v>
      </c>
      <c r="H7" s="22" t="n">
        <v>663388</v>
      </c>
      <c r="I7" s="22" t="n">
        <v>0</v>
      </c>
    </row>
    <row r="8">
      <c r="A8" s="13" t="inlineStr">
        <is>
          <t>1110</t>
        </is>
      </c>
      <c r="B8" s="5" t="inlineStr">
        <is>
          <t>Trade Receivables - Construction</t>
        </is>
      </c>
      <c r="C8" s="6" t="inlineStr">
        <is>
          <t>Current Assets</t>
        </is>
      </c>
      <c r="D8" s="21" t="n">
        <v>3650000</v>
      </c>
      <c r="E8" s="21" t="n">
        <v>0</v>
      </c>
      <c r="F8" s="21" t="n">
        <v>5800000</v>
      </c>
      <c r="G8" s="21" t="n">
        <v>0</v>
      </c>
      <c r="H8" s="21" t="n">
        <v>9200000</v>
      </c>
      <c r="I8" s="21" t="n">
        <v>0</v>
      </c>
    </row>
    <row r="9">
      <c r="A9" s="11" t="inlineStr">
        <is>
          <t>1130</t>
        </is>
      </c>
      <c r="B9" s="8" t="inlineStr">
        <is>
          <t>Allowance for Expected Credit Losses (IFRS 9)</t>
        </is>
      </c>
      <c r="C9" s="9" t="inlineStr">
        <is>
          <t>Current Assets</t>
        </is>
      </c>
      <c r="D9" s="22" t="n">
        <v>0</v>
      </c>
      <c r="E9" s="22" t="n">
        <v>185000</v>
      </c>
      <c r="F9" s="22" t="n">
        <v>0</v>
      </c>
      <c r="G9" s="22" t="n">
        <v>445000</v>
      </c>
      <c r="H9" s="22" t="n">
        <v>0</v>
      </c>
      <c r="I9" s="22" t="n">
        <v>840000</v>
      </c>
    </row>
    <row r="10">
      <c r="A10" s="13" t="inlineStr">
        <is>
          <t>1140</t>
        </is>
      </c>
      <c r="B10" s="5" t="inlineStr">
        <is>
          <t>Contract Assets (Unbilled Revenue - IFRS 15)</t>
        </is>
      </c>
      <c r="C10" s="6" t="inlineStr">
        <is>
          <t>Current Assets</t>
        </is>
      </c>
      <c r="D10" s="21" t="n">
        <v>2400000</v>
      </c>
      <c r="E10" s="21" t="n">
        <v>0</v>
      </c>
      <c r="F10" s="21" t="n">
        <v>4150000</v>
      </c>
      <c r="G10" s="21" t="n">
        <v>0</v>
      </c>
      <c r="H10" s="21" t="n">
        <v>6850000</v>
      </c>
      <c r="I10" s="21" t="n">
        <v>0</v>
      </c>
    </row>
    <row r="11">
      <c r="A11" s="11" t="inlineStr">
        <is>
          <t>1150</t>
        </is>
      </c>
      <c r="B11" s="8" t="inlineStr">
        <is>
          <t>WHT Credit Notes Receivable</t>
        </is>
      </c>
      <c r="C11" s="9" t="inlineStr">
        <is>
          <t>Current Assets</t>
        </is>
      </c>
      <c r="D11" s="22" t="n">
        <v>1100000</v>
      </c>
      <c r="E11" s="22" t="n">
        <v>0</v>
      </c>
      <c r="F11" s="22" t="n">
        <v>2650000</v>
      </c>
      <c r="G11" s="22" t="n">
        <v>0</v>
      </c>
      <c r="H11" s="22" t="n">
        <v>4850000</v>
      </c>
      <c r="I11" s="22" t="n">
        <v>0</v>
      </c>
    </row>
    <row r="12">
      <c r="A12" s="13" t="inlineStr">
        <is>
          <t>1160</t>
        </is>
      </c>
      <c r="B12" s="5" t="inlineStr">
        <is>
          <t>Prepayments &amp; Site Advances</t>
        </is>
      </c>
      <c r="C12" s="6" t="inlineStr">
        <is>
          <t>Current Assets</t>
        </is>
      </c>
      <c r="D12" s="21" t="n">
        <v>450000</v>
      </c>
      <c r="E12" s="21" t="n">
        <v>0</v>
      </c>
      <c r="F12" s="21" t="n">
        <v>680000</v>
      </c>
      <c r="G12" s="21" t="n">
        <v>0</v>
      </c>
      <c r="H12" s="21" t="n">
        <v>1150000</v>
      </c>
      <c r="I12" s="21" t="n">
        <v>0</v>
      </c>
    </row>
    <row r="13">
      <c r="A13" s="11" t="inlineStr">
        <is>
          <t>1210</t>
        </is>
      </c>
      <c r="B13" s="8" t="inlineStr">
        <is>
          <t>Development Inventory - Land</t>
        </is>
      </c>
      <c r="C13" s="9" t="inlineStr">
        <is>
          <t>Current Assets</t>
        </is>
      </c>
      <c r="D13" s="22" t="n">
        <v>5400000</v>
      </c>
      <c r="E13" s="22" t="n">
        <v>0</v>
      </c>
      <c r="F13" s="22" t="n">
        <v>8200000</v>
      </c>
      <c r="G13" s="22" t="n">
        <v>0</v>
      </c>
      <c r="H13" s="22" t="n">
        <v>14500000</v>
      </c>
      <c r="I13" s="22" t="n">
        <v>0</v>
      </c>
    </row>
    <row r="14">
      <c r="A14" s="13" t="inlineStr">
        <is>
          <t>1220</t>
        </is>
      </c>
      <c r="B14" s="5" t="inlineStr">
        <is>
          <t>Development Inventory - WIP</t>
        </is>
      </c>
      <c r="C14" s="6" t="inlineStr">
        <is>
          <t>Current Assets</t>
        </is>
      </c>
      <c r="D14" s="21" t="n">
        <v>3250000</v>
      </c>
      <c r="E14" s="21" t="n">
        <v>0</v>
      </c>
      <c r="F14" s="21" t="n">
        <v>5600000</v>
      </c>
      <c r="G14" s="21" t="n">
        <v>0</v>
      </c>
      <c r="H14" s="21" t="n">
        <v>9800000</v>
      </c>
      <c r="I14" s="21" t="n">
        <v>0</v>
      </c>
    </row>
    <row r="15">
      <c r="A15" s="11" t="inlineStr">
        <is>
          <t>1510</t>
        </is>
      </c>
      <c r="B15" s="8" t="inlineStr">
        <is>
          <t>PPE - Office &amp; Site Equipment</t>
        </is>
      </c>
      <c r="C15" s="9" t="inlineStr">
        <is>
          <t>Non-Current Assets</t>
        </is>
      </c>
      <c r="D15" s="22" t="n">
        <v>1823850</v>
      </c>
      <c r="E15" s="22" t="n">
        <v>0</v>
      </c>
      <c r="F15" s="22" t="n">
        <v>4523850</v>
      </c>
      <c r="G15" s="22" t="n">
        <v>0</v>
      </c>
      <c r="H15" s="22" t="n">
        <v>8123850</v>
      </c>
      <c r="I15" s="22" t="n">
        <v>0</v>
      </c>
    </row>
    <row r="16">
      <c r="A16" s="13" t="inlineStr">
        <is>
          <t>1590</t>
        </is>
      </c>
      <c r="B16" s="5" t="inlineStr">
        <is>
          <t>Accumulated Depreciation - PPE</t>
        </is>
      </c>
      <c r="C16" s="6" t="inlineStr">
        <is>
          <t>Non-Current Assets</t>
        </is>
      </c>
      <c r="D16" s="21" t="n">
        <v>0</v>
      </c>
      <c r="E16" s="21" t="n">
        <v>399310</v>
      </c>
      <c r="F16" s="21" t="n">
        <v>0</v>
      </c>
      <c r="G16" s="21" t="n">
        <v>1114310</v>
      </c>
      <c r="H16" s="21" t="n">
        <v>0</v>
      </c>
      <c r="I16" s="21" t="n">
        <v>2399310</v>
      </c>
    </row>
    <row r="17">
      <c r="A17" s="11" t="inlineStr">
        <is>
          <t>1610</t>
        </is>
      </c>
      <c r="B17" s="8" t="inlineStr">
        <is>
          <t>Deferred Tax Asset (IAS 12)</t>
        </is>
      </c>
      <c r="C17" s="9" t="inlineStr">
        <is>
          <t>Non-Current Assets</t>
        </is>
      </c>
      <c r="D17" s="22" t="n">
        <v>32000</v>
      </c>
      <c r="E17" s="22" t="n">
        <v>0</v>
      </c>
      <c r="F17" s="22" t="n">
        <v>0</v>
      </c>
      <c r="G17" s="22" t="n">
        <v>0</v>
      </c>
      <c r="H17" s="22" t="n">
        <v>0</v>
      </c>
      <c r="I17" s="22" t="n">
        <v>0</v>
      </c>
    </row>
    <row r="18">
      <c r="A18" s="13" t="inlineStr">
        <is>
          <t>2010</t>
        </is>
      </c>
      <c r="B18" s="5" t="inlineStr">
        <is>
          <t>Trade Payables - Subcontractors &amp; Materials</t>
        </is>
      </c>
      <c r="C18" s="6" t="inlineStr">
        <is>
          <t>Current Liabilities</t>
        </is>
      </c>
      <c r="D18" s="21" t="n">
        <v>0</v>
      </c>
      <c r="E18" s="21" t="n">
        <v>2150000</v>
      </c>
      <c r="F18" s="21" t="n">
        <v>0</v>
      </c>
      <c r="G18" s="21" t="n">
        <v>3850000</v>
      </c>
      <c r="H18" s="21" t="n">
        <v>0</v>
      </c>
      <c r="I18" s="21" t="n">
        <v>6450000</v>
      </c>
    </row>
    <row r="19">
      <c r="A19" s="11" t="inlineStr">
        <is>
          <t>2020</t>
        </is>
      </c>
      <c r="B19" s="8" t="inlineStr">
        <is>
          <t>Contract Liabilities - Customer Deposits</t>
        </is>
      </c>
      <c r="C19" s="9" t="inlineStr">
        <is>
          <t>Current Liabilities</t>
        </is>
      </c>
      <c r="D19" s="22" t="n">
        <v>0</v>
      </c>
      <c r="E19" s="22" t="n">
        <v>2400000</v>
      </c>
      <c r="F19" s="22" t="n">
        <v>0</v>
      </c>
      <c r="G19" s="22" t="n">
        <v>3600000</v>
      </c>
      <c r="H19" s="22" t="n">
        <v>0</v>
      </c>
      <c r="I19" s="22" t="n">
        <v>5800000</v>
      </c>
    </row>
    <row r="20">
      <c r="A20" s="13" t="inlineStr">
        <is>
          <t>2030</t>
        </is>
      </c>
      <c r="B20" s="5" t="inlineStr">
        <is>
          <t>Accrued Audit &amp; Professional Fees</t>
        </is>
      </c>
      <c r="C20" s="6" t="inlineStr">
        <is>
          <t>Current Liabilities</t>
        </is>
      </c>
      <c r="D20" s="21" t="n">
        <v>0</v>
      </c>
      <c r="E20" s="21" t="n">
        <v>375000</v>
      </c>
      <c r="F20" s="21" t="n">
        <v>0</v>
      </c>
      <c r="G20" s="21" t="n">
        <v>550000</v>
      </c>
      <c r="H20" s="21" t="n">
        <v>0</v>
      </c>
      <c r="I20" s="21" t="n">
        <v>850000</v>
      </c>
    </row>
    <row r="21">
      <c r="A21" s="11" t="inlineStr">
        <is>
          <t>2040</t>
        </is>
      </c>
      <c r="B21" s="8" t="inlineStr">
        <is>
          <t>Other Accrued Expenses &amp; Sundry Creditors</t>
        </is>
      </c>
      <c r="C21" s="9" t="inlineStr">
        <is>
          <t>Current Liabilities</t>
        </is>
      </c>
      <c r="D21" s="22" t="n">
        <v>0</v>
      </c>
      <c r="E21" s="22" t="n">
        <v>245235</v>
      </c>
      <c r="F21" s="22" t="n">
        <v>0</v>
      </c>
      <c r="G21" s="22" t="n">
        <v>425500</v>
      </c>
      <c r="H21" s="22" t="n">
        <v>0</v>
      </c>
      <c r="I21" s="22" t="n">
        <v>683500</v>
      </c>
    </row>
    <row r="22">
      <c r="A22" s="13" t="inlineStr">
        <is>
          <t>2110</t>
        </is>
      </c>
      <c r="B22" s="5" t="inlineStr">
        <is>
          <t>Current Tax Liabilities - CIT Payable (Net of Remittances/Offsets)</t>
        </is>
      </c>
      <c r="C22" s="6" t="inlineStr">
        <is>
          <t>Current Liabilities</t>
        </is>
      </c>
      <c r="D22" s="21" t="n">
        <v>0</v>
      </c>
      <c r="E22" s="21" t="n">
        <v>1492000</v>
      </c>
      <c r="F22" s="21" t="n">
        <v>0</v>
      </c>
      <c r="G22" s="21" t="n">
        <v>2059775</v>
      </c>
      <c r="H22" s="21" t="n">
        <v>0</v>
      </c>
      <c r="I22" s="21" t="n">
        <v>4607370</v>
      </c>
    </row>
    <row r="23">
      <c r="A23" s="11" t="inlineStr">
        <is>
          <t>2120</t>
        </is>
      </c>
      <c r="B23" s="8" t="inlineStr">
        <is>
          <t>Current Tax Liabilities - TET Payable</t>
        </is>
      </c>
      <c r="C23" s="9" t="inlineStr">
        <is>
          <t>Current Liabilities</t>
        </is>
      </c>
      <c r="D23" s="22" t="n">
        <v>0</v>
      </c>
      <c r="E23" s="22" t="n">
        <v>239400</v>
      </c>
      <c r="F23" s="22" t="n">
        <v>0</v>
      </c>
      <c r="G23" s="22" t="n">
        <v>408600</v>
      </c>
      <c r="H23" s="22" t="n">
        <v>0</v>
      </c>
      <c r="I23" s="22" t="n">
        <v>735000</v>
      </c>
    </row>
    <row r="24">
      <c r="A24" s="13" t="inlineStr">
        <is>
          <t>2130</t>
        </is>
      </c>
      <c r="B24" s="5" t="inlineStr">
        <is>
          <t>Current Tax Liabilities - PTF Payable</t>
        </is>
      </c>
      <c r="C24" s="6" t="inlineStr">
        <is>
          <t>Current Liabilities</t>
        </is>
      </c>
      <c r="D24" s="21" t="n">
        <v>0</v>
      </c>
      <c r="E24" s="21" t="n">
        <v>365</v>
      </c>
      <c r="F24" s="21" t="n">
        <v>0</v>
      </c>
      <c r="G24" s="21" t="n">
        <v>625</v>
      </c>
      <c r="H24" s="21" t="n">
        <v>0</v>
      </c>
      <c r="I24" s="21" t="n">
        <v>1130</v>
      </c>
    </row>
    <row r="25">
      <c r="A25" s="11" t="inlineStr">
        <is>
          <t>2140</t>
        </is>
      </c>
      <c r="B25" s="8" t="inlineStr">
        <is>
          <t>Current Tax Liabilities - NASENI Levy</t>
        </is>
      </c>
      <c r="C25" s="9" t="inlineStr">
        <is>
          <t>Current Liabilities</t>
        </is>
      </c>
      <c r="D25" s="22" t="n">
        <v>0</v>
      </c>
      <c r="E25" s="22" t="n">
        <v>0</v>
      </c>
      <c r="F25" s="22" t="n">
        <v>0</v>
      </c>
      <c r="G25" s="22" t="n">
        <v>0</v>
      </c>
      <c r="H25" s="22" t="n">
        <v>0</v>
      </c>
      <c r="I25" s="22" t="n">
        <v>56500</v>
      </c>
    </row>
    <row r="26">
      <c r="A26" s="13" t="inlineStr">
        <is>
          <t>2510</t>
        </is>
      </c>
      <c r="B26" s="5" t="inlineStr">
        <is>
          <t>Director's Loan &amp; Long-Term Funding</t>
        </is>
      </c>
      <c r="C26" s="6" t="inlineStr">
        <is>
          <t>Non-Current Liabilities</t>
        </is>
      </c>
      <c r="D26" s="21" t="n">
        <v>0</v>
      </c>
      <c r="E26" s="21" t="n">
        <v>4500000</v>
      </c>
      <c r="F26" s="21" t="n">
        <v>0</v>
      </c>
      <c r="G26" s="21" t="n">
        <v>5800000</v>
      </c>
      <c r="H26" s="21" t="n">
        <v>0</v>
      </c>
      <c r="I26" s="21" t="n">
        <v>7500000</v>
      </c>
    </row>
    <row r="27">
      <c r="A27" s="11" t="inlineStr">
        <is>
          <t>2610</t>
        </is>
      </c>
      <c r="B27" s="8" t="inlineStr">
        <is>
          <t>Deferred Tax Liability (IAS 12)</t>
        </is>
      </c>
      <c r="C27" s="9" t="inlineStr">
        <is>
          <t>Non-Current Liabilities</t>
        </is>
      </c>
      <c r="D27" s="22" t="n">
        <v>0</v>
      </c>
      <c r="E27" s="22" t="n">
        <v>0</v>
      </c>
      <c r="F27" s="22" t="n">
        <v>0</v>
      </c>
      <c r="G27" s="22" t="n">
        <v>16000</v>
      </c>
      <c r="H27" s="22" t="n">
        <v>0</v>
      </c>
      <c r="I27" s="22" t="n">
        <v>98500</v>
      </c>
    </row>
    <row r="28">
      <c r="A28" s="13" t="inlineStr">
        <is>
          <t>3010</t>
        </is>
      </c>
      <c r="B28" s="5" t="inlineStr">
        <is>
          <t>Ordinary Share Capital (₦1.00 par)</t>
        </is>
      </c>
      <c r="C28" s="6" t="inlineStr">
        <is>
          <t>Equity</t>
        </is>
      </c>
      <c r="D28" s="21" t="n">
        <v>0</v>
      </c>
      <c r="E28" s="21" t="n">
        <v>1000000</v>
      </c>
      <c r="F28" s="21" t="n">
        <v>0</v>
      </c>
      <c r="G28" s="21" t="n">
        <v>1000000</v>
      </c>
      <c r="H28" s="21" t="n">
        <v>0</v>
      </c>
      <c r="I28" s="21" t="n">
        <v>1000000</v>
      </c>
    </row>
    <row r="29">
      <c r="A29" s="11" t="inlineStr">
        <is>
          <t>3020</t>
        </is>
      </c>
      <c r="B29" s="8" t="inlineStr">
        <is>
          <t>Retained Earnings (Closing Accumulated Profit)</t>
        </is>
      </c>
      <c r="C29" s="9" t="inlineStr">
        <is>
          <t>Equity</t>
        </is>
      </c>
      <c r="D29" s="22" t="n">
        <v>0</v>
      </c>
      <c r="E29" s="22" t="n">
        <v>7961943</v>
      </c>
      <c r="F29" s="22" t="n">
        <v>0</v>
      </c>
      <c r="G29" s="22" t="n">
        <v>17476718</v>
      </c>
      <c r="H29" s="22" t="n">
        <v>0</v>
      </c>
      <c r="I29" s="22" t="n">
        <v>32376588</v>
      </c>
    </row>
    <row r="30">
      <c r="A30" s="23" t="inlineStr">
        <is>
          <t>TOTAL POST-CLOSING TRIAL BALANCE</t>
        </is>
      </c>
      <c r="B30" s="31" t="n"/>
      <c r="C30" s="31" t="n"/>
      <c r="D30" s="24">
        <f>SUM(D5:D29)</f>
        <v/>
      </c>
      <c r="E30" s="24">
        <f>SUM(E5:E29)</f>
        <v/>
      </c>
      <c r="F30" s="24">
        <f>SUM(F5:F29)</f>
        <v/>
      </c>
      <c r="G30" s="24">
        <f>SUM(G5:G29)</f>
        <v/>
      </c>
      <c r="H30" s="24">
        <f>SUM(H5:H29)</f>
        <v/>
      </c>
      <c r="I30" s="24">
        <f>SUM(I5:I29)</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45"/>
  <sheetViews>
    <sheetView showGridLines="1" workbookViewId="0">
      <pane ySplit="4" topLeftCell="A5" activePane="bottomLeft" state="frozen"/>
      <selection pane="bottomLeft" activeCell="A1" sqref="A1"/>
    </sheetView>
  </sheetViews>
  <sheetFormatPr baseColWidth="8" defaultRowHeight="15"/>
  <cols>
    <col width="97" customWidth="1" min="1" max="1"/>
    <col width="49" customWidth="1" min="2" max="2"/>
    <col width="26" customWidth="1" min="3" max="3"/>
    <col width="29" customWidth="1" min="4" max="4"/>
    <col width="18" customWidth="1" min="5" max="5"/>
    <col width="15" customWidth="1" min="6" max="6"/>
    <col width="27" customWidth="1" min="7" max="7"/>
    <col width="40" customWidth="1" min="8" max="8"/>
    <col width="11" customWidth="1" min="9" max="9"/>
    <col width="25" customWidth="1" min="10" max="10"/>
  </cols>
  <sheetData>
    <row r="1">
      <c r="A1" s="1" t="inlineStr">
        <is>
          <t>BAAY PROJECTS LIMITED — GENERAL LEDGER INDEX &amp; AUDIT TRAIL MAPPING</t>
        </is>
      </c>
    </row>
    <row r="2">
      <c r="A2" s="3" t="inlineStr">
        <is>
          <t>Master Cross-Reference Mapping Every Trial Balance Account to Ledger Rows, Schedules and Notes</t>
        </is>
      </c>
    </row>
    <row r="3"/>
    <row r="4">
      <c r="A4" s="4" t="inlineStr">
        <is>
          <t>Account Code</t>
        </is>
      </c>
      <c r="B4" s="4" t="inlineStr">
        <is>
          <t>Account Title / Description</t>
        </is>
      </c>
      <c r="C4" s="4" t="inlineStr">
        <is>
          <t>Category</t>
        </is>
      </c>
      <c r="D4" s="4" t="inlineStr">
        <is>
          <t>TB Reference</t>
        </is>
      </c>
      <c r="E4" s="4" t="inlineStr">
        <is>
          <t>GL Ledger Sheet</t>
        </is>
      </c>
      <c r="F4" s="4" t="inlineStr">
        <is>
          <t>GL Row Range</t>
        </is>
      </c>
      <c r="G4" s="4" t="inlineStr">
        <is>
          <t>Supporting Schedule Tab</t>
        </is>
      </c>
      <c r="H4" s="4" t="inlineStr">
        <is>
          <t>Financial Statement Line</t>
        </is>
      </c>
      <c r="I4" s="4" t="inlineStr">
        <is>
          <t>Note #</t>
        </is>
      </c>
      <c r="J4" s="4" t="inlineStr">
        <is>
          <t>Audit Cross-Tie Status</t>
        </is>
      </c>
    </row>
    <row r="5">
      <c r="A5" s="11" t="inlineStr">
        <is>
          <t>1010</t>
        </is>
      </c>
      <c r="B5" s="8" t="inlineStr">
        <is>
          <t>Providus Bank - A/C 5400281942</t>
        </is>
      </c>
      <c r="C5" s="9" t="inlineStr">
        <is>
          <t>Current Assets</t>
        </is>
      </c>
      <c r="D5" s="10" t="inlineStr">
        <is>
          <t>TB_Adjusted_PreClosing!A5</t>
        </is>
      </c>
      <c r="E5" s="11" t="inlineStr">
        <is>
          <t>GL_Ledgers</t>
        </is>
      </c>
      <c r="F5" s="11" t="inlineStr">
        <is>
          <t>Rows 5-13</t>
        </is>
      </c>
      <c r="G5" s="11" t="inlineStr">
        <is>
          <t>Coverage_Bank_Matrix</t>
        </is>
      </c>
      <c r="H5" s="9" t="inlineStr">
        <is>
          <t>Cash and cash equivalents</t>
        </is>
      </c>
      <c r="I5" s="11" t="inlineStr">
        <is>
          <t>Note 11</t>
        </is>
      </c>
      <c r="J5" s="12" t="inlineStr">
        <is>
          <t>TIED &amp; VERIFIED</t>
        </is>
      </c>
    </row>
    <row r="6">
      <c r="A6" s="13" t="inlineStr">
        <is>
          <t>1020</t>
        </is>
      </c>
      <c r="B6" s="5" t="inlineStr">
        <is>
          <t>First Bank of Nigeria - A/C 2034891102</t>
        </is>
      </c>
      <c r="C6" s="6" t="inlineStr">
        <is>
          <t>Current Assets</t>
        </is>
      </c>
      <c r="D6" s="7" t="inlineStr">
        <is>
          <t>TB_Adjusted_PreClosing!A6</t>
        </is>
      </c>
      <c r="E6" s="13" t="inlineStr">
        <is>
          <t>GL_Ledgers</t>
        </is>
      </c>
      <c r="F6" s="13" t="inlineStr">
        <is>
          <t>Rows 14-15</t>
        </is>
      </c>
      <c r="G6" s="13" t="inlineStr">
        <is>
          <t>Coverage_Bank_Matrix</t>
        </is>
      </c>
      <c r="H6" s="6" t="inlineStr">
        <is>
          <t>Cash and cash equivalents</t>
        </is>
      </c>
      <c r="I6" s="13" t="inlineStr">
        <is>
          <t>Note 11</t>
        </is>
      </c>
      <c r="J6" s="14" t="inlineStr">
        <is>
          <t>TIED &amp; VERIFIED</t>
        </is>
      </c>
    </row>
    <row r="7">
      <c r="A7" s="11" t="inlineStr">
        <is>
          <t>1030</t>
        </is>
      </c>
      <c r="B7" s="8" t="inlineStr">
        <is>
          <t>Sterling Bank - A/C 0078451290</t>
        </is>
      </c>
      <c r="C7" s="9" t="inlineStr">
        <is>
          <t>Current Assets</t>
        </is>
      </c>
      <c r="D7" s="10" t="inlineStr">
        <is>
          <t>TB_Adjusted_PreClosing!A7</t>
        </is>
      </c>
      <c r="E7" s="11" t="inlineStr">
        <is>
          <t>GL_Ledgers</t>
        </is>
      </c>
      <c r="F7" s="11" t="inlineStr">
        <is>
          <t>Rows 16-17</t>
        </is>
      </c>
      <c r="G7" s="11" t="inlineStr">
        <is>
          <t>Coverage_Bank_Matrix</t>
        </is>
      </c>
      <c r="H7" s="9" t="inlineStr">
        <is>
          <t>Cash and cash equivalents</t>
        </is>
      </c>
      <c r="I7" s="11" t="inlineStr">
        <is>
          <t>Note 11</t>
        </is>
      </c>
      <c r="J7" s="12" t="inlineStr">
        <is>
          <t>TIED &amp; VERIFIED</t>
        </is>
      </c>
    </row>
    <row r="8">
      <c r="A8" s="13" t="inlineStr">
        <is>
          <t>1110</t>
        </is>
      </c>
      <c r="B8" s="5" t="inlineStr">
        <is>
          <t>Trade Receivables - Construction</t>
        </is>
      </c>
      <c r="C8" s="6" t="inlineStr">
        <is>
          <t>Current Assets</t>
        </is>
      </c>
      <c r="D8" s="7" t="inlineStr">
        <is>
          <t>TB_Adjusted_PreClosing!A8</t>
        </is>
      </c>
      <c r="E8" s="13" t="inlineStr">
        <is>
          <t>GL_Ledgers</t>
        </is>
      </c>
      <c r="F8" s="13" t="inlineStr">
        <is>
          <t>Rows 18-20</t>
        </is>
      </c>
      <c r="G8" s="13" t="inlineStr">
        <is>
          <t>Receivables_ECL_Payables</t>
        </is>
      </c>
      <c r="H8" s="6" t="inlineStr">
        <is>
          <t>Trade and other receivables</t>
        </is>
      </c>
      <c r="I8" s="13" t="inlineStr">
        <is>
          <t>Note 10</t>
        </is>
      </c>
      <c r="J8" s="14" t="inlineStr">
        <is>
          <t>TIED &amp; VERIFIED</t>
        </is>
      </c>
    </row>
    <row r="9">
      <c r="A9" s="11" t="inlineStr">
        <is>
          <t>1130</t>
        </is>
      </c>
      <c r="B9" s="8" t="inlineStr">
        <is>
          <t>Allowance for Expected Credit Losses</t>
        </is>
      </c>
      <c r="C9" s="9" t="inlineStr">
        <is>
          <t>Current Assets</t>
        </is>
      </c>
      <c r="D9" s="10" t="inlineStr">
        <is>
          <t>TB_Adjusted_PreClosing!A9</t>
        </is>
      </c>
      <c r="E9" s="11" t="inlineStr">
        <is>
          <t>GL_Ledgers</t>
        </is>
      </c>
      <c r="F9" s="11" t="inlineStr">
        <is>
          <t>Row 21</t>
        </is>
      </c>
      <c r="G9" s="11" t="inlineStr">
        <is>
          <t>Receivables_ECL_Payables</t>
        </is>
      </c>
      <c r="H9" s="9" t="inlineStr">
        <is>
          <t>Trade and other receivables</t>
        </is>
      </c>
      <c r="I9" s="11" t="inlineStr">
        <is>
          <t>Note 10</t>
        </is>
      </c>
      <c r="J9" s="12" t="inlineStr">
        <is>
          <t>TIED &amp; VERIFIED</t>
        </is>
      </c>
    </row>
    <row r="10">
      <c r="A10" s="13" t="inlineStr">
        <is>
          <t>1140</t>
        </is>
      </c>
      <c r="B10" s="5" t="inlineStr">
        <is>
          <t>Contract Assets (Unbilled Revenue)</t>
        </is>
      </c>
      <c r="C10" s="6" t="inlineStr">
        <is>
          <t>Current Assets</t>
        </is>
      </c>
      <c r="D10" s="7" t="inlineStr">
        <is>
          <t>TB_Adjusted_PreClosing!A10</t>
        </is>
      </c>
      <c r="E10" s="13" t="inlineStr">
        <is>
          <t>GL_Ledgers</t>
        </is>
      </c>
      <c r="F10" s="13" t="inlineStr">
        <is>
          <t>Row 22</t>
        </is>
      </c>
      <c r="G10" s="13" t="inlineStr">
        <is>
          <t>IFRS15_Revenue_WIP</t>
        </is>
      </c>
      <c r="H10" s="6" t="inlineStr">
        <is>
          <t>Contract assets</t>
        </is>
      </c>
      <c r="I10" s="13" t="inlineStr">
        <is>
          <t>Note 9</t>
        </is>
      </c>
      <c r="J10" s="14" t="inlineStr">
        <is>
          <t>TIED &amp; VERIFIED</t>
        </is>
      </c>
    </row>
    <row r="11">
      <c r="A11" s="11" t="inlineStr">
        <is>
          <t>1150</t>
        </is>
      </c>
      <c r="B11" s="8" t="inlineStr">
        <is>
          <t>WHT Credit Notes Receivable</t>
        </is>
      </c>
      <c r="C11" s="9" t="inlineStr">
        <is>
          <t>Current Assets</t>
        </is>
      </c>
      <c r="D11" s="10" t="inlineStr">
        <is>
          <t>TB_Adjusted_PreClosing!A11</t>
        </is>
      </c>
      <c r="E11" s="11" t="inlineStr">
        <is>
          <t>GL_Ledgers</t>
        </is>
      </c>
      <c r="F11" s="11" t="inlineStr">
        <is>
          <t>Row 23</t>
        </is>
      </c>
      <c r="G11" s="11" t="inlineStr">
        <is>
          <t>WHT_Receivable_Payable</t>
        </is>
      </c>
      <c r="H11" s="9" t="inlineStr">
        <is>
          <t>Trade and other receivables</t>
        </is>
      </c>
      <c r="I11" s="11" t="inlineStr">
        <is>
          <t>Note 10</t>
        </is>
      </c>
      <c r="J11" s="12" t="inlineStr">
        <is>
          <t>TIED &amp; VERIFIED</t>
        </is>
      </c>
    </row>
    <row r="12">
      <c r="A12" s="13" t="inlineStr">
        <is>
          <t>1160</t>
        </is>
      </c>
      <c r="B12" s="5" t="inlineStr">
        <is>
          <t>Prepayments &amp; Site Advances</t>
        </is>
      </c>
      <c r="C12" s="6" t="inlineStr">
        <is>
          <t>Current Assets</t>
        </is>
      </c>
      <c r="D12" s="7" t="inlineStr">
        <is>
          <t>TB_Adjusted_PreClosing!A12</t>
        </is>
      </c>
      <c r="E12" s="13" t="inlineStr">
        <is>
          <t>GL_Ledgers</t>
        </is>
      </c>
      <c r="F12" s="13" t="inlineStr">
        <is>
          <t>Row 24</t>
        </is>
      </c>
      <c r="G12" s="13" t="inlineStr">
        <is>
          <t>Receivables_ECL_Payables</t>
        </is>
      </c>
      <c r="H12" s="6" t="inlineStr">
        <is>
          <t>Trade and other receivables</t>
        </is>
      </c>
      <c r="I12" s="13" t="inlineStr">
        <is>
          <t>Note 10</t>
        </is>
      </c>
      <c r="J12" s="14" t="inlineStr">
        <is>
          <t>TIED &amp; VERIFIED</t>
        </is>
      </c>
    </row>
    <row r="13">
      <c r="A13" s="11" t="inlineStr">
        <is>
          <t>1210</t>
        </is>
      </c>
      <c r="B13" s="8" t="inlineStr">
        <is>
          <t>Development Inventory - Land</t>
        </is>
      </c>
      <c r="C13" s="9" t="inlineStr">
        <is>
          <t>Current Assets</t>
        </is>
      </c>
      <c r="D13" s="10" t="inlineStr">
        <is>
          <t>TB_Adjusted_PreClosing!A13</t>
        </is>
      </c>
      <c r="E13" s="11" t="inlineStr">
        <is>
          <t>GL_Ledgers</t>
        </is>
      </c>
      <c r="F13" s="11" t="inlineStr">
        <is>
          <t>Rows 25-27</t>
        </is>
      </c>
      <c r="G13" s="11" t="inlineStr">
        <is>
          <t>IFRS15_Revenue_WIP</t>
        </is>
      </c>
      <c r="H13" s="9" t="inlineStr">
        <is>
          <t>Inventories</t>
        </is>
      </c>
      <c r="I13" s="11" t="inlineStr">
        <is>
          <t>Note 8</t>
        </is>
      </c>
      <c r="J13" s="12" t="inlineStr">
        <is>
          <t>TIED &amp; VERIFIED</t>
        </is>
      </c>
    </row>
    <row r="14">
      <c r="A14" s="13" t="inlineStr">
        <is>
          <t>1220</t>
        </is>
      </c>
      <c r="B14" s="5" t="inlineStr">
        <is>
          <t>Development Inventory - WIP</t>
        </is>
      </c>
      <c r="C14" s="6" t="inlineStr">
        <is>
          <t>Current Assets</t>
        </is>
      </c>
      <c r="D14" s="7" t="inlineStr">
        <is>
          <t>TB_Adjusted_PreClosing!A14</t>
        </is>
      </c>
      <c r="E14" s="13" t="inlineStr">
        <is>
          <t>GL_Ledgers</t>
        </is>
      </c>
      <c r="F14" s="13" t="inlineStr">
        <is>
          <t>Row 28</t>
        </is>
      </c>
      <c r="G14" s="13" t="inlineStr">
        <is>
          <t>IFRS15_Revenue_WIP</t>
        </is>
      </c>
      <c r="H14" s="6" t="inlineStr">
        <is>
          <t>Inventories</t>
        </is>
      </c>
      <c r="I14" s="13" t="inlineStr">
        <is>
          <t>Note 8</t>
        </is>
      </c>
      <c r="J14" s="14" t="inlineStr">
        <is>
          <t>TIED &amp; VERIFIED</t>
        </is>
      </c>
    </row>
    <row r="15">
      <c r="A15" s="11" t="inlineStr">
        <is>
          <t>1510</t>
        </is>
      </c>
      <c r="B15" s="8" t="inlineStr">
        <is>
          <t>PPE - Office &amp; Site Equipment</t>
        </is>
      </c>
      <c r="C15" s="9" t="inlineStr">
        <is>
          <t>Non-Current Assets</t>
        </is>
      </c>
      <c r="D15" s="10" t="inlineStr">
        <is>
          <t>TB_Adjusted_PreClosing!A15</t>
        </is>
      </c>
      <c r="E15" s="11" t="inlineStr">
        <is>
          <t>GL_Ledgers</t>
        </is>
      </c>
      <c r="F15" s="11" t="inlineStr">
        <is>
          <t>Rows 29-30</t>
        </is>
      </c>
      <c r="G15" s="11" t="inlineStr">
        <is>
          <t>PPE_Depreciation</t>
        </is>
      </c>
      <c r="H15" s="9" t="inlineStr">
        <is>
          <t>Property, plant and equipment</t>
        </is>
      </c>
      <c r="I15" s="11" t="inlineStr">
        <is>
          <t>Note 7</t>
        </is>
      </c>
      <c r="J15" s="12" t="inlineStr">
        <is>
          <t>TIED &amp; VERIFIED</t>
        </is>
      </c>
    </row>
    <row r="16">
      <c r="A16" s="13" t="inlineStr">
        <is>
          <t>1590</t>
        </is>
      </c>
      <c r="B16" s="5" t="inlineStr">
        <is>
          <t>Accumulated Depreciation - PPE</t>
        </is>
      </c>
      <c r="C16" s="6" t="inlineStr">
        <is>
          <t>Non-Current Assets</t>
        </is>
      </c>
      <c r="D16" s="7" t="inlineStr">
        <is>
          <t>TB_Adjusted_PreClosing!A16</t>
        </is>
      </c>
      <c r="E16" s="13" t="inlineStr">
        <is>
          <t>GL_Ledgers</t>
        </is>
      </c>
      <c r="F16" s="13" t="inlineStr">
        <is>
          <t>Rows 31-32</t>
        </is>
      </c>
      <c r="G16" s="13" t="inlineStr">
        <is>
          <t>PPE_Depreciation</t>
        </is>
      </c>
      <c r="H16" s="6" t="inlineStr">
        <is>
          <t>Property, plant and equipment</t>
        </is>
      </c>
      <c r="I16" s="13" t="inlineStr">
        <is>
          <t>Note 7</t>
        </is>
      </c>
      <c r="J16" s="14" t="inlineStr">
        <is>
          <t>TIED &amp; VERIFIED</t>
        </is>
      </c>
    </row>
    <row r="17">
      <c r="A17" s="11" t="inlineStr">
        <is>
          <t>1610</t>
        </is>
      </c>
      <c r="B17" s="8" t="inlineStr">
        <is>
          <t>Deferred Tax Asset (IAS 12)</t>
        </is>
      </c>
      <c r="C17" s="9" t="inlineStr">
        <is>
          <t>Non-Current Assets</t>
        </is>
      </c>
      <c r="D17" s="10" t="inlineStr">
        <is>
          <t>TB_Adjusted_PreClosing!A17</t>
        </is>
      </c>
      <c r="E17" s="11" t="inlineStr">
        <is>
          <t>GL_Ledgers</t>
        </is>
      </c>
      <c r="F17" s="11" t="inlineStr">
        <is>
          <t>Row 33</t>
        </is>
      </c>
      <c r="G17" s="11" t="inlineStr">
        <is>
          <t>Deferred_Tax_IAS12</t>
        </is>
      </c>
      <c r="H17" s="9" t="inlineStr">
        <is>
          <t>Deferred tax asset</t>
        </is>
      </c>
      <c r="I17" s="11" t="inlineStr">
        <is>
          <t>Note 15</t>
        </is>
      </c>
      <c r="J17" s="12" t="inlineStr">
        <is>
          <t>TIED &amp; VERIFIED</t>
        </is>
      </c>
    </row>
    <row r="18">
      <c r="A18" s="13" t="inlineStr">
        <is>
          <t>2010</t>
        </is>
      </c>
      <c r="B18" s="5" t="inlineStr">
        <is>
          <t>Trade Payables - Subcontractors &amp; Materials</t>
        </is>
      </c>
      <c r="C18" s="6" t="inlineStr">
        <is>
          <t>Current Liabilities</t>
        </is>
      </c>
      <c r="D18" s="7" t="inlineStr">
        <is>
          <t>TB_Adjusted_PreClosing!A18</t>
        </is>
      </c>
      <c r="E18" s="13" t="inlineStr">
        <is>
          <t>GL_Ledgers</t>
        </is>
      </c>
      <c r="F18" s="13" t="inlineStr">
        <is>
          <t>Rows 34-35</t>
        </is>
      </c>
      <c r="G18" s="13" t="inlineStr">
        <is>
          <t>Receivables_ECL_Payables</t>
        </is>
      </c>
      <c r="H18" s="6" t="inlineStr">
        <is>
          <t>Trade and other payables</t>
        </is>
      </c>
      <c r="I18" s="13" t="inlineStr">
        <is>
          <t>Note 14</t>
        </is>
      </c>
      <c r="J18" s="14" t="inlineStr">
        <is>
          <t>TIED &amp; VERIFIED</t>
        </is>
      </c>
    </row>
    <row r="19">
      <c r="A19" s="11" t="inlineStr">
        <is>
          <t>2020</t>
        </is>
      </c>
      <c r="B19" s="8" t="inlineStr">
        <is>
          <t>Contract Liabilities - Customer Deposits</t>
        </is>
      </c>
      <c r="C19" s="9" t="inlineStr">
        <is>
          <t>Current Liabilities</t>
        </is>
      </c>
      <c r="D19" s="10" t="inlineStr">
        <is>
          <t>TB_Adjusted_PreClosing!A19</t>
        </is>
      </c>
      <c r="E19" s="11" t="inlineStr">
        <is>
          <t>GL_Ledgers</t>
        </is>
      </c>
      <c r="F19" s="11" t="inlineStr">
        <is>
          <t>Rows 36-37</t>
        </is>
      </c>
      <c r="G19" s="11" t="inlineStr">
        <is>
          <t>IFRS15_Revenue_WIP</t>
        </is>
      </c>
      <c r="H19" s="9" t="inlineStr">
        <is>
          <t>Contract liabilities</t>
        </is>
      </c>
      <c r="I19" s="11" t="inlineStr">
        <is>
          <t>Note 13</t>
        </is>
      </c>
      <c r="J19" s="12" t="inlineStr">
        <is>
          <t>TIED &amp; VERIFIED</t>
        </is>
      </c>
    </row>
    <row r="20">
      <c r="A20" s="13" t="inlineStr">
        <is>
          <t>2030</t>
        </is>
      </c>
      <c r="B20" s="5" t="inlineStr">
        <is>
          <t>Accrued Audit &amp; Professional Fees</t>
        </is>
      </c>
      <c r="C20" s="6" t="inlineStr">
        <is>
          <t>Current Liabilities</t>
        </is>
      </c>
      <c r="D20" s="7" t="inlineStr">
        <is>
          <t>TB_Adjusted_PreClosing!A20</t>
        </is>
      </c>
      <c r="E20" s="13" t="inlineStr">
        <is>
          <t>GL_Ledgers</t>
        </is>
      </c>
      <c r="F20" s="13" t="inlineStr">
        <is>
          <t>Rows 38-39</t>
        </is>
      </c>
      <c r="G20" s="13" t="inlineStr">
        <is>
          <t>Receivables_ECL_Payables</t>
        </is>
      </c>
      <c r="H20" s="6" t="inlineStr">
        <is>
          <t>Trade and other payables</t>
        </is>
      </c>
      <c r="I20" s="13" t="inlineStr">
        <is>
          <t>Note 14</t>
        </is>
      </c>
      <c r="J20" s="14" t="inlineStr">
        <is>
          <t>TIED &amp; VERIFIED</t>
        </is>
      </c>
    </row>
    <row r="21">
      <c r="A21" s="11" t="inlineStr">
        <is>
          <t>2040</t>
        </is>
      </c>
      <c r="B21" s="8" t="inlineStr">
        <is>
          <t>Other Accrued Expenses &amp; Sundry Creditors</t>
        </is>
      </c>
      <c r="C21" s="9" t="inlineStr">
        <is>
          <t>Current Liabilities</t>
        </is>
      </c>
      <c r="D21" s="10" t="inlineStr">
        <is>
          <t>TB_Adjusted_PreClosing!A21</t>
        </is>
      </c>
      <c r="E21" s="11" t="inlineStr">
        <is>
          <t>GL_Ledgers</t>
        </is>
      </c>
      <c r="F21" s="11" t="inlineStr">
        <is>
          <t>Row 40</t>
        </is>
      </c>
      <c r="G21" s="11" t="inlineStr">
        <is>
          <t>Receivables_ECL_Payables</t>
        </is>
      </c>
      <c r="H21" s="9" t="inlineStr">
        <is>
          <t>Trade and other payables</t>
        </is>
      </c>
      <c r="I21" s="11" t="inlineStr">
        <is>
          <t>Note 14</t>
        </is>
      </c>
      <c r="J21" s="12" t="inlineStr">
        <is>
          <t>TIED &amp; VERIFIED</t>
        </is>
      </c>
    </row>
    <row r="22">
      <c r="A22" s="13" t="inlineStr">
        <is>
          <t>2110</t>
        </is>
      </c>
      <c r="B22" s="5" t="inlineStr">
        <is>
          <t>Current Tax - CIT Payable</t>
        </is>
      </c>
      <c r="C22" s="6" t="inlineStr">
        <is>
          <t>Current Liabilities</t>
        </is>
      </c>
      <c r="D22" s="7" t="inlineStr">
        <is>
          <t>TB_Adjusted_PreClosing!A22</t>
        </is>
      </c>
      <c r="E22" s="13" t="inlineStr">
        <is>
          <t>GL_Ledgers</t>
        </is>
      </c>
      <c r="F22" s="13" t="inlineStr">
        <is>
          <t>Row 41</t>
        </is>
      </c>
      <c r="G22" s="13" t="inlineStr">
        <is>
          <t>CIT_TET_MinTax</t>
        </is>
      </c>
      <c r="H22" s="6" t="inlineStr">
        <is>
          <t>Current tax liabilities</t>
        </is>
      </c>
      <c r="I22" s="13" t="inlineStr">
        <is>
          <t>Note 16</t>
        </is>
      </c>
      <c r="J22" s="14" t="inlineStr">
        <is>
          <t>TIED &amp; VERIFIED</t>
        </is>
      </c>
    </row>
    <row r="23">
      <c r="A23" s="11" t="inlineStr">
        <is>
          <t>2120</t>
        </is>
      </c>
      <c r="B23" s="8" t="inlineStr">
        <is>
          <t>Current Tax - TET Payable</t>
        </is>
      </c>
      <c r="C23" s="9" t="inlineStr">
        <is>
          <t>Current Liabilities</t>
        </is>
      </c>
      <c r="D23" s="10" t="inlineStr">
        <is>
          <t>TB_Adjusted_PreClosing!A23</t>
        </is>
      </c>
      <c r="E23" s="11" t="inlineStr">
        <is>
          <t>GL_Ledgers</t>
        </is>
      </c>
      <c r="F23" s="11" t="inlineStr">
        <is>
          <t>Row 42</t>
        </is>
      </c>
      <c r="G23" s="11" t="inlineStr">
        <is>
          <t>CIT_TET_MinTax</t>
        </is>
      </c>
      <c r="H23" s="9" t="inlineStr">
        <is>
          <t>Current tax liabilities</t>
        </is>
      </c>
      <c r="I23" s="11" t="inlineStr">
        <is>
          <t>Note 16</t>
        </is>
      </c>
      <c r="J23" s="12" t="inlineStr">
        <is>
          <t>TIED &amp; VERIFIED</t>
        </is>
      </c>
    </row>
    <row r="24">
      <c r="A24" s="13" t="inlineStr">
        <is>
          <t>2130</t>
        </is>
      </c>
      <c r="B24" s="5" t="inlineStr">
        <is>
          <t>Current Tax - PTF Payable</t>
        </is>
      </c>
      <c r="C24" s="6" t="inlineStr">
        <is>
          <t>Current Liabilities</t>
        </is>
      </c>
      <c r="D24" s="7" t="inlineStr">
        <is>
          <t>TB_Adjusted_PreClosing!A24</t>
        </is>
      </c>
      <c r="E24" s="13" t="inlineStr">
        <is>
          <t>GL_Ledgers</t>
        </is>
      </c>
      <c r="F24" s="13" t="inlineStr">
        <is>
          <t>Rows 43-44</t>
        </is>
      </c>
      <c r="G24" s="13" t="inlineStr">
        <is>
          <t>Tax_Payable_Rollforward</t>
        </is>
      </c>
      <c r="H24" s="6" t="inlineStr">
        <is>
          <t>Current tax liabilities</t>
        </is>
      </c>
      <c r="I24" s="13" t="inlineStr">
        <is>
          <t>Note 16</t>
        </is>
      </c>
      <c r="J24" s="14" t="inlineStr">
        <is>
          <t>TIED &amp; VERIFIED</t>
        </is>
      </c>
    </row>
    <row r="25">
      <c r="A25" s="11" t="inlineStr">
        <is>
          <t>2510</t>
        </is>
      </c>
      <c r="B25" s="8" t="inlineStr">
        <is>
          <t>Director's Loan &amp; Long-Term Funding</t>
        </is>
      </c>
      <c r="C25" s="9" t="inlineStr">
        <is>
          <t>Non-Current Liabilities</t>
        </is>
      </c>
      <c r="D25" s="10" t="inlineStr">
        <is>
          <t>TB_Adjusted_PreClosing!A25</t>
        </is>
      </c>
      <c r="E25" s="11" t="inlineStr">
        <is>
          <t>GL_Ledgers</t>
        </is>
      </c>
      <c r="F25" s="11" t="inlineStr">
        <is>
          <t>Row 45</t>
        </is>
      </c>
      <c r="G25" s="11" t="inlineStr">
        <is>
          <t>Related_Parties_Equity</t>
        </is>
      </c>
      <c r="H25" s="9" t="inlineStr">
        <is>
          <t>Borrowings &amp; related party loans</t>
        </is>
      </c>
      <c r="I25" s="11" t="inlineStr">
        <is>
          <t>Note 17</t>
        </is>
      </c>
      <c r="J25" s="12" t="inlineStr">
        <is>
          <t>TIED &amp; VERIFIED</t>
        </is>
      </c>
    </row>
    <row r="26">
      <c r="A26" s="13" t="inlineStr">
        <is>
          <t>3010</t>
        </is>
      </c>
      <c r="B26" s="5" t="inlineStr">
        <is>
          <t>Ordinary Share Capital (₦1.00 par)</t>
        </is>
      </c>
      <c r="C26" s="6" t="inlineStr">
        <is>
          <t>Equity</t>
        </is>
      </c>
      <c r="D26" s="7" t="inlineStr">
        <is>
          <t>TB_Adjusted_PreClosing!A26</t>
        </is>
      </c>
      <c r="E26" s="13" t="inlineStr">
        <is>
          <t>GL_Ledgers</t>
        </is>
      </c>
      <c r="F26" s="13" t="inlineStr">
        <is>
          <t>Row 46</t>
        </is>
      </c>
      <c r="G26" s="13" t="inlineStr">
        <is>
          <t>Related_Parties_Equity</t>
        </is>
      </c>
      <c r="H26" s="6" t="inlineStr">
        <is>
          <t>Share capital</t>
        </is>
      </c>
      <c r="I26" s="13" t="inlineStr">
        <is>
          <t>Note 18</t>
        </is>
      </c>
      <c r="J26" s="14" t="inlineStr">
        <is>
          <t>TIED &amp; VERIFIED</t>
        </is>
      </c>
    </row>
    <row r="27">
      <c r="A27" s="11" t="inlineStr">
        <is>
          <t>3020</t>
        </is>
      </c>
      <c r="B27" s="8" t="inlineStr">
        <is>
          <t>Retained Earnings (Accumulated Profit)</t>
        </is>
      </c>
      <c r="C27" s="9" t="inlineStr">
        <is>
          <t>Equity</t>
        </is>
      </c>
      <c r="D27" s="10" t="inlineStr">
        <is>
          <t>TB_Adjusted_PreClosing!A27</t>
        </is>
      </c>
      <c r="E27" s="11" t="inlineStr">
        <is>
          <t>GL_Ledgers</t>
        </is>
      </c>
      <c r="F27" s="11" t="inlineStr">
        <is>
          <t>Row 47</t>
        </is>
      </c>
      <c r="G27" s="11" t="inlineStr">
        <is>
          <t>Related_Parties_Equity</t>
        </is>
      </c>
      <c r="H27" s="9" t="inlineStr">
        <is>
          <t>Retained earnings</t>
        </is>
      </c>
      <c r="I27" s="11" t="inlineStr">
        <is>
          <t>Note 19</t>
        </is>
      </c>
      <c r="J27" s="12" t="inlineStr">
        <is>
          <t>TIED &amp; VERIFIED</t>
        </is>
      </c>
    </row>
    <row r="28">
      <c r="A28" s="13" t="inlineStr">
        <is>
          <t>4010</t>
        </is>
      </c>
      <c r="B28" s="5" t="inlineStr">
        <is>
          <t>Revenue - Civil Engineering Contracts</t>
        </is>
      </c>
      <c r="C28" s="6" t="inlineStr">
        <is>
          <t>Revenue</t>
        </is>
      </c>
      <c r="D28" s="7" t="inlineStr">
        <is>
          <t>TB_Adjusted_PreClosing!A28</t>
        </is>
      </c>
      <c r="E28" s="13" t="inlineStr">
        <is>
          <t>GL_Ledgers</t>
        </is>
      </c>
      <c r="F28" s="13" t="inlineStr">
        <is>
          <t>Row 48</t>
        </is>
      </c>
      <c r="G28" s="13" t="inlineStr">
        <is>
          <t>IFRS15_Revenue_WIP</t>
        </is>
      </c>
      <c r="H28" s="6" t="inlineStr">
        <is>
          <t>Revenue from contracts with customers</t>
        </is>
      </c>
      <c r="I28" s="13" t="inlineStr">
        <is>
          <t>Note 3</t>
        </is>
      </c>
      <c r="J28" s="14" t="inlineStr">
        <is>
          <t>TIED &amp; VERIFIED</t>
        </is>
      </c>
    </row>
    <row r="29">
      <c r="A29" s="11" t="inlineStr">
        <is>
          <t>4020</t>
        </is>
      </c>
      <c r="B29" s="8" t="inlineStr">
        <is>
          <t>Revenue - Land Resale</t>
        </is>
      </c>
      <c r="C29" s="9" t="inlineStr">
        <is>
          <t>Revenue</t>
        </is>
      </c>
      <c r="D29" s="10" t="inlineStr">
        <is>
          <t>TB_Adjusted_PreClosing!A29</t>
        </is>
      </c>
      <c r="E29" s="11" t="inlineStr">
        <is>
          <t>GL_Ledgers</t>
        </is>
      </c>
      <c r="F29" s="11" t="inlineStr">
        <is>
          <t>Row 49</t>
        </is>
      </c>
      <c r="G29" s="11" t="inlineStr">
        <is>
          <t>IFRS15_Revenue_WIP</t>
        </is>
      </c>
      <c r="H29" s="9" t="inlineStr">
        <is>
          <t>Revenue from contracts with customers</t>
        </is>
      </c>
      <c r="I29" s="11" t="inlineStr">
        <is>
          <t>Note 3</t>
        </is>
      </c>
      <c r="J29" s="12" t="inlineStr">
        <is>
          <t>TIED &amp; VERIFIED</t>
        </is>
      </c>
    </row>
    <row r="30">
      <c r="A30" s="13" t="inlineStr">
        <is>
          <t>4030</t>
        </is>
      </c>
      <c r="B30" s="5" t="inlineStr">
        <is>
          <t>Revenue - Project Management &amp; Consulting</t>
        </is>
      </c>
      <c r="C30" s="6" t="inlineStr">
        <is>
          <t>Revenue</t>
        </is>
      </c>
      <c r="D30" s="7" t="inlineStr">
        <is>
          <t>TB_Adjusted_PreClosing!A30</t>
        </is>
      </c>
      <c r="E30" s="13" t="inlineStr">
        <is>
          <t>GL_Ledgers</t>
        </is>
      </c>
      <c r="F30" s="13" t="inlineStr">
        <is>
          <t>Row 50</t>
        </is>
      </c>
      <c r="G30" s="13" t="inlineStr">
        <is>
          <t>IFRS15_Revenue_WIP</t>
        </is>
      </c>
      <c r="H30" s="6" t="inlineStr">
        <is>
          <t>Revenue from contracts with customers</t>
        </is>
      </c>
      <c r="I30" s="13" t="inlineStr">
        <is>
          <t>Note 3</t>
        </is>
      </c>
      <c r="J30" s="14" t="inlineStr">
        <is>
          <t>TIED &amp; VERIFIED</t>
        </is>
      </c>
    </row>
    <row r="31">
      <c r="A31" s="11" t="inlineStr">
        <is>
          <t>5010</t>
        </is>
      </c>
      <c r="B31" s="8" t="inlineStr">
        <is>
          <t>Cost of Sales - Materials &amp; Subcontracts</t>
        </is>
      </c>
      <c r="C31" s="9" t="inlineStr">
        <is>
          <t>Direct Costs</t>
        </is>
      </c>
      <c r="D31" s="10" t="inlineStr">
        <is>
          <t>TB_Adjusted_PreClosing!A31</t>
        </is>
      </c>
      <c r="E31" s="11" t="inlineStr">
        <is>
          <t>GL_Ledgers</t>
        </is>
      </c>
      <c r="F31" s="11" t="inlineStr">
        <is>
          <t>Row 51</t>
        </is>
      </c>
      <c r="G31" s="11" t="inlineStr">
        <is>
          <t>IFRS15_Revenue_WIP</t>
        </is>
      </c>
      <c r="H31" s="9" t="inlineStr">
        <is>
          <t>Cost of sales</t>
        </is>
      </c>
      <c r="I31" s="11" t="inlineStr">
        <is>
          <t>Note 4</t>
        </is>
      </c>
      <c r="J31" s="12" t="inlineStr">
        <is>
          <t>TIED &amp; VERIFIED</t>
        </is>
      </c>
    </row>
    <row r="32">
      <c r="A32" s="13" t="inlineStr">
        <is>
          <t>5020</t>
        </is>
      </c>
      <c r="B32" s="5" t="inlineStr">
        <is>
          <t>Cost of Sales - Land Inventory Released</t>
        </is>
      </c>
      <c r="C32" s="6" t="inlineStr">
        <is>
          <t>Direct Costs</t>
        </is>
      </c>
      <c r="D32" s="7" t="inlineStr">
        <is>
          <t>TB_Adjusted_PreClosing!A32</t>
        </is>
      </c>
      <c r="E32" s="13" t="inlineStr">
        <is>
          <t>GL_Ledgers</t>
        </is>
      </c>
      <c r="F32" s="13" t="inlineStr">
        <is>
          <t>Row 52</t>
        </is>
      </c>
      <c r="G32" s="13" t="inlineStr">
        <is>
          <t>IFRS15_Revenue_WIP</t>
        </is>
      </c>
      <c r="H32" s="6" t="inlineStr">
        <is>
          <t>Cost of sales</t>
        </is>
      </c>
      <c r="I32" s="13" t="inlineStr">
        <is>
          <t>Note 4</t>
        </is>
      </c>
      <c r="J32" s="14" t="inlineStr">
        <is>
          <t>TIED &amp; VERIFIED</t>
        </is>
      </c>
    </row>
    <row r="33">
      <c r="A33" s="11" t="inlineStr">
        <is>
          <t>5030</t>
        </is>
      </c>
      <c r="B33" s="8" t="inlineStr">
        <is>
          <t>Cost of Sales - Direct Site Labor &amp; Hire</t>
        </is>
      </c>
      <c r="C33" s="9" t="inlineStr">
        <is>
          <t>Direct Costs</t>
        </is>
      </c>
      <c r="D33" s="10" t="inlineStr">
        <is>
          <t>TB_Adjusted_PreClosing!A33</t>
        </is>
      </c>
      <c r="E33" s="11" t="inlineStr">
        <is>
          <t>GL_Ledgers</t>
        </is>
      </c>
      <c r="F33" s="11" t="inlineStr">
        <is>
          <t>Row 53</t>
        </is>
      </c>
      <c r="G33" s="11" t="inlineStr">
        <is>
          <t>IFRS15_Revenue_WIP</t>
        </is>
      </c>
      <c r="H33" s="9" t="inlineStr">
        <is>
          <t>Cost of sales</t>
        </is>
      </c>
      <c r="I33" s="11" t="inlineStr">
        <is>
          <t>Note 4</t>
        </is>
      </c>
      <c r="J33" s="12" t="inlineStr">
        <is>
          <t>TIED &amp; VERIFIED</t>
        </is>
      </c>
    </row>
    <row r="34">
      <c r="A34" s="13" t="inlineStr">
        <is>
          <t>6010</t>
        </is>
      </c>
      <c r="B34" s="5" t="inlineStr">
        <is>
          <t>Administrative - Staff Salaries, Wages</t>
        </is>
      </c>
      <c r="C34" s="6" t="inlineStr">
        <is>
          <t>Operating Expenses</t>
        </is>
      </c>
      <c r="D34" s="7" t="inlineStr">
        <is>
          <t>TB_Adjusted_PreClosing!A34</t>
        </is>
      </c>
      <c r="E34" s="13" t="inlineStr">
        <is>
          <t>GL_Ledgers</t>
        </is>
      </c>
      <c r="F34" s="13" t="inlineStr">
        <is>
          <t>Row 54</t>
        </is>
      </c>
      <c r="G34" s="13" t="inlineStr">
        <is>
          <t>Notes_2023</t>
        </is>
      </c>
      <c r="H34" s="6" t="inlineStr">
        <is>
          <t>Administrative &amp; operating expenses</t>
        </is>
      </c>
      <c r="I34" s="13" t="inlineStr">
        <is>
          <t>Note 5</t>
        </is>
      </c>
      <c r="J34" s="14" t="inlineStr">
        <is>
          <t>TIED &amp; VERIFIED</t>
        </is>
      </c>
    </row>
    <row r="35">
      <c r="A35" s="11" t="inlineStr">
        <is>
          <t>6020</t>
        </is>
      </c>
      <c r="B35" s="8" t="inlineStr">
        <is>
          <t>Administrative - Site Office Rent</t>
        </is>
      </c>
      <c r="C35" s="9" t="inlineStr">
        <is>
          <t>Operating Expenses</t>
        </is>
      </c>
      <c r="D35" s="10" t="inlineStr">
        <is>
          <t>TB_Adjusted_PreClosing!A35</t>
        </is>
      </c>
      <c r="E35" s="11" t="inlineStr">
        <is>
          <t>GL_Ledgers</t>
        </is>
      </c>
      <c r="F35" s="11" t="inlineStr">
        <is>
          <t>Row 55</t>
        </is>
      </c>
      <c r="G35" s="11" t="inlineStr">
        <is>
          <t>Notes_2023</t>
        </is>
      </c>
      <c r="H35" s="9" t="inlineStr">
        <is>
          <t>Administrative &amp; operating expenses</t>
        </is>
      </c>
      <c r="I35" s="11" t="inlineStr">
        <is>
          <t>Note 5</t>
        </is>
      </c>
      <c r="J35" s="12" t="inlineStr">
        <is>
          <t>TIED &amp; VERIFIED</t>
        </is>
      </c>
    </row>
    <row r="36">
      <c r="A36" s="13" t="inlineStr">
        <is>
          <t>6030</t>
        </is>
      </c>
      <c r="B36" s="5" t="inlineStr">
        <is>
          <t>Administrative - Professional Fees</t>
        </is>
      </c>
      <c r="C36" s="6" t="inlineStr">
        <is>
          <t>Operating Expenses</t>
        </is>
      </c>
      <c r="D36" s="7" t="inlineStr">
        <is>
          <t>TB_Adjusted_PreClosing!A36</t>
        </is>
      </c>
      <c r="E36" s="13" t="inlineStr">
        <is>
          <t>GL_Ledgers</t>
        </is>
      </c>
      <c r="F36" s="13" t="inlineStr">
        <is>
          <t>Row 56</t>
        </is>
      </c>
      <c r="G36" s="13" t="inlineStr">
        <is>
          <t>Notes_2023</t>
        </is>
      </c>
      <c r="H36" s="6" t="inlineStr">
        <is>
          <t>Administrative &amp; operating expenses</t>
        </is>
      </c>
      <c r="I36" s="13" t="inlineStr">
        <is>
          <t>Note 5</t>
        </is>
      </c>
      <c r="J36" s="14" t="inlineStr">
        <is>
          <t>TIED &amp; VERIFIED</t>
        </is>
      </c>
    </row>
    <row r="37">
      <c r="A37" s="11" t="inlineStr">
        <is>
          <t>6040</t>
        </is>
      </c>
      <c r="B37" s="8" t="inlineStr">
        <is>
          <t>Administrative - Audit &amp; Tax Fees</t>
        </is>
      </c>
      <c r="C37" s="9" t="inlineStr">
        <is>
          <t>Operating Expenses</t>
        </is>
      </c>
      <c r="D37" s="10" t="inlineStr">
        <is>
          <t>TB_Adjusted_PreClosing!A37</t>
        </is>
      </c>
      <c r="E37" s="11" t="inlineStr">
        <is>
          <t>GL_Ledgers</t>
        </is>
      </c>
      <c r="F37" s="11" t="inlineStr">
        <is>
          <t>Row 57</t>
        </is>
      </c>
      <c r="G37" s="11" t="inlineStr">
        <is>
          <t>Notes_2023</t>
        </is>
      </c>
      <c r="H37" s="9" t="inlineStr">
        <is>
          <t>Administrative &amp; operating expenses</t>
        </is>
      </c>
      <c r="I37" s="11" t="inlineStr">
        <is>
          <t>Note 5</t>
        </is>
      </c>
      <c r="J37" s="12" t="inlineStr">
        <is>
          <t>TIED &amp; VERIFIED</t>
        </is>
      </c>
    </row>
    <row r="38">
      <c r="A38" s="13" t="inlineStr">
        <is>
          <t>6050</t>
        </is>
      </c>
      <c r="B38" s="5" t="inlineStr">
        <is>
          <t>Administrative - Bank Charges &amp; COT</t>
        </is>
      </c>
      <c r="C38" s="6" t="inlineStr">
        <is>
          <t>Operating Expenses</t>
        </is>
      </c>
      <c r="D38" s="7" t="inlineStr">
        <is>
          <t>TB_Adjusted_PreClosing!A38</t>
        </is>
      </c>
      <c r="E38" s="13" t="inlineStr">
        <is>
          <t>GL_Ledgers</t>
        </is>
      </c>
      <c r="F38" s="13" t="inlineStr">
        <is>
          <t>Row 58</t>
        </is>
      </c>
      <c r="G38" s="13" t="inlineStr">
        <is>
          <t>Notes_2023</t>
        </is>
      </c>
      <c r="H38" s="6" t="inlineStr">
        <is>
          <t>Administrative &amp; operating expenses</t>
        </is>
      </c>
      <c r="I38" s="13" t="inlineStr">
        <is>
          <t>Note 5</t>
        </is>
      </c>
      <c r="J38" s="14" t="inlineStr">
        <is>
          <t>TIED &amp; VERIFIED</t>
        </is>
      </c>
    </row>
    <row r="39">
      <c r="A39" s="11" t="inlineStr">
        <is>
          <t>6060</t>
        </is>
      </c>
      <c r="B39" s="8" t="inlineStr">
        <is>
          <t>Administrative - Motor Vehicle &amp; Logistics</t>
        </is>
      </c>
      <c r="C39" s="9" t="inlineStr">
        <is>
          <t>Operating Expenses</t>
        </is>
      </c>
      <c r="D39" s="10" t="inlineStr">
        <is>
          <t>TB_Adjusted_PreClosing!A39</t>
        </is>
      </c>
      <c r="E39" s="11" t="inlineStr">
        <is>
          <t>GL_Ledgers</t>
        </is>
      </c>
      <c r="F39" s="11" t="inlineStr">
        <is>
          <t>Row 59</t>
        </is>
      </c>
      <c r="G39" s="11" t="inlineStr">
        <is>
          <t>Notes_2023</t>
        </is>
      </c>
      <c r="H39" s="9" t="inlineStr">
        <is>
          <t>Administrative &amp; operating expenses</t>
        </is>
      </c>
      <c r="I39" s="11" t="inlineStr">
        <is>
          <t>Note 5</t>
        </is>
      </c>
      <c r="J39" s="12" t="inlineStr">
        <is>
          <t>TIED &amp; VERIFIED</t>
        </is>
      </c>
    </row>
    <row r="40">
      <c r="A40" s="13" t="inlineStr">
        <is>
          <t>6070</t>
        </is>
      </c>
      <c r="B40" s="5" t="inlineStr">
        <is>
          <t>Administrative - Depreciation Expense (IAS 16)</t>
        </is>
      </c>
      <c r="C40" s="6" t="inlineStr">
        <is>
          <t>Operating Expenses</t>
        </is>
      </c>
      <c r="D40" s="7" t="inlineStr">
        <is>
          <t>TB_Adjusted_PreClosing!A40</t>
        </is>
      </c>
      <c r="E40" s="13" t="inlineStr">
        <is>
          <t>GL_Ledgers</t>
        </is>
      </c>
      <c r="F40" s="13" t="inlineStr">
        <is>
          <t>Row 60</t>
        </is>
      </c>
      <c r="G40" s="13" t="inlineStr">
        <is>
          <t>PPE_Depreciation</t>
        </is>
      </c>
      <c r="H40" s="6" t="inlineStr">
        <is>
          <t>Administrative &amp; operating expenses</t>
        </is>
      </c>
      <c r="I40" s="13" t="inlineStr">
        <is>
          <t>Note 5</t>
        </is>
      </c>
      <c r="J40" s="14" t="inlineStr">
        <is>
          <t>TIED &amp; VERIFIED</t>
        </is>
      </c>
    </row>
    <row r="41">
      <c r="A41" s="11" t="inlineStr">
        <is>
          <t>6080</t>
        </is>
      </c>
      <c r="B41" s="8" t="inlineStr">
        <is>
          <t>Administrative - Impairment Allowance (ECL)</t>
        </is>
      </c>
      <c r="C41" s="9" t="inlineStr">
        <is>
          <t>Operating Expenses</t>
        </is>
      </c>
      <c r="D41" s="10" t="inlineStr">
        <is>
          <t>TB_Adjusted_PreClosing!A41</t>
        </is>
      </c>
      <c r="E41" s="11" t="inlineStr">
        <is>
          <t>GL_Ledgers</t>
        </is>
      </c>
      <c r="F41" s="11" t="inlineStr">
        <is>
          <t>Row 61</t>
        </is>
      </c>
      <c r="G41" s="11" t="inlineStr">
        <is>
          <t>Receivables_ECL_Payables</t>
        </is>
      </c>
      <c r="H41" s="9" t="inlineStr">
        <is>
          <t>Administrative &amp; operating expenses</t>
        </is>
      </c>
      <c r="I41" s="11" t="inlineStr">
        <is>
          <t>Note 5</t>
        </is>
      </c>
      <c r="J41" s="12" t="inlineStr">
        <is>
          <t>TIED &amp; VERIFIED</t>
        </is>
      </c>
    </row>
    <row r="42">
      <c r="A42" s="13" t="inlineStr">
        <is>
          <t>6090</t>
        </is>
      </c>
      <c r="B42" s="5" t="inlineStr">
        <is>
          <t>Administrative - General Admin &amp; Utilities</t>
        </is>
      </c>
      <c r="C42" s="6" t="inlineStr">
        <is>
          <t>Operating Expenses</t>
        </is>
      </c>
      <c r="D42" s="7" t="inlineStr">
        <is>
          <t>TB_Adjusted_PreClosing!A42</t>
        </is>
      </c>
      <c r="E42" s="13" t="inlineStr">
        <is>
          <t>GL_Ledgers</t>
        </is>
      </c>
      <c r="F42" s="13" t="inlineStr">
        <is>
          <t>Row 62</t>
        </is>
      </c>
      <c r="G42" s="13" t="inlineStr">
        <is>
          <t>Notes_2023</t>
        </is>
      </c>
      <c r="H42" s="6" t="inlineStr">
        <is>
          <t>Administrative &amp; operating expenses</t>
        </is>
      </c>
      <c r="I42" s="13" t="inlineStr">
        <is>
          <t>Note 5</t>
        </is>
      </c>
      <c r="J42" s="14" t="inlineStr">
        <is>
          <t>TIED &amp; VERIFIED</t>
        </is>
      </c>
    </row>
    <row r="43">
      <c r="A43" s="11" t="inlineStr">
        <is>
          <t>7010</t>
        </is>
      </c>
      <c r="B43" s="8" t="inlineStr">
        <is>
          <t>Finance Costs - Bank Project Facility</t>
        </is>
      </c>
      <c r="C43" s="9" t="inlineStr">
        <is>
          <t>Finance Costs</t>
        </is>
      </c>
      <c r="D43" s="10" t="inlineStr">
        <is>
          <t>TB_Adjusted_PreClosing!A43</t>
        </is>
      </c>
      <c r="E43" s="11" t="inlineStr">
        <is>
          <t>GL_Ledgers</t>
        </is>
      </c>
      <c r="F43" s="11" t="inlineStr">
        <is>
          <t>Row 63</t>
        </is>
      </c>
      <c r="G43" s="11" t="inlineStr">
        <is>
          <t>Notes_2023</t>
        </is>
      </c>
      <c r="H43" s="9" t="inlineStr">
        <is>
          <t>Finance costs</t>
        </is>
      </c>
      <c r="I43" s="11" t="inlineStr">
        <is>
          <t>Note 6</t>
        </is>
      </c>
      <c r="J43" s="12" t="inlineStr">
        <is>
          <t>TIED &amp; VERIFIED</t>
        </is>
      </c>
    </row>
    <row r="44">
      <c r="A44" s="13" t="inlineStr">
        <is>
          <t>8010</t>
        </is>
      </c>
      <c r="B44" s="5" t="inlineStr">
        <is>
          <t>Income Tax Expense - Current Tax</t>
        </is>
      </c>
      <c r="C44" s="6" t="inlineStr">
        <is>
          <t>Taxation</t>
        </is>
      </c>
      <c r="D44" s="7" t="inlineStr">
        <is>
          <t>TB_Adjusted_PreClosing!A44</t>
        </is>
      </c>
      <c r="E44" s="13" t="inlineStr">
        <is>
          <t>GL_Ledgers</t>
        </is>
      </c>
      <c r="F44" s="13" t="inlineStr">
        <is>
          <t>Row 64</t>
        </is>
      </c>
      <c r="G44" s="13" t="inlineStr">
        <is>
          <t>CIT_TET_MinTax</t>
        </is>
      </c>
      <c r="H44" s="6" t="inlineStr">
        <is>
          <t>Income tax expense</t>
        </is>
      </c>
      <c r="I44" s="13" t="inlineStr">
        <is>
          <t>Note 16</t>
        </is>
      </c>
      <c r="J44" s="14" t="inlineStr">
        <is>
          <t>TIED &amp; VERIFIED</t>
        </is>
      </c>
    </row>
    <row r="45">
      <c r="A45" s="11" t="inlineStr">
        <is>
          <t>8020</t>
        </is>
      </c>
      <c r="B45" s="8" t="inlineStr">
        <is>
          <t>Income Tax Expense - Deferred Tax</t>
        </is>
      </c>
      <c r="C45" s="9" t="inlineStr">
        <is>
          <t>Taxation</t>
        </is>
      </c>
      <c r="D45" s="10" t="inlineStr">
        <is>
          <t>TB_Adjusted_PreClosing!A45</t>
        </is>
      </c>
      <c r="E45" s="11" t="inlineStr">
        <is>
          <t>GL_Ledgers</t>
        </is>
      </c>
      <c r="F45" s="11" t="inlineStr">
        <is>
          <t>Row 65</t>
        </is>
      </c>
      <c r="G45" s="11" t="inlineStr">
        <is>
          <t>Deferred_Tax_IAS12</t>
        </is>
      </c>
      <c r="H45" s="9" t="inlineStr">
        <is>
          <t>Income tax expense</t>
        </is>
      </c>
      <c r="I45" s="11" t="inlineStr">
        <is>
          <t>Note 15</t>
        </is>
      </c>
      <c r="J45" s="12" t="inlineStr">
        <is>
          <t>TIED &amp; VERIFIED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236"/>
  <sheetViews>
    <sheetView showGridLines="1" workbookViewId="0">
      <pane ySplit="4" topLeftCell="A5" activePane="bottomLeft" state="frozen"/>
      <selection pane="bottomLeft" activeCell="A1" sqref="A1"/>
    </sheetView>
  </sheetViews>
  <sheetFormatPr baseColWidth="8" defaultRowHeight="15"/>
  <cols>
    <col width="28" customWidth="1" min="1" max="1"/>
    <col width="28" customWidth="1" min="2" max="2"/>
    <col width="28" customWidth="1" min="3" max="3"/>
    <col width="22" customWidth="1" min="4" max="4"/>
    <col width="28" customWidth="1" min="5" max="5"/>
    <col width="28" customWidth="1" min="6" max="6"/>
    <col width="25" customWidth="1" min="7" max="7"/>
    <col width="28" customWidth="1" min="8" max="8"/>
    <col width="20" customWidth="1" min="9" max="9"/>
    <col width="23" customWidth="1" min="10" max="10"/>
    <col width="28" customWidth="1" min="11" max="11"/>
    <col width="28" customWidth="1" min="12" max="12"/>
    <col width="28" customWidth="1" min="13" max="13"/>
    <col width="28" customWidth="1" min="14" max="14"/>
    <col width="28" customWidth="1" min="15" max="15"/>
    <col width="26" customWidth="1" min="16" max="16"/>
    <col width="13" customWidth="1" min="17" max="17"/>
    <col width="13" customWidth="1" min="18" max="18"/>
    <col width="13" customWidth="1" min="19" max="19"/>
    <col width="13" customWidth="1" min="20" max="20"/>
  </cols>
  <sheetData>
    <row r="1">
      <c r="A1" s="1" t="inlineStr">
        <is>
          <t>BAAY PROJECTS LIMITED — COMPREHENSIVE PROJECT &amp; ESTATE REGISTER</t>
        </is>
      </c>
    </row>
    <row r="2">
      <c r="A2" s="3" t="inlineStr">
        <is>
          <t>Real Estate Development, Land Subdivisions, Luxury Housing &amp; Infrastructure Portfolio (2022 - 2025)</t>
        </is>
      </c>
    </row>
    <row r="3"/>
    <row r="4">
      <c r="A4" s="4" t="inlineStr">
        <is>
          <t>Project Code</t>
        </is>
      </c>
      <c r="B4" s="4" t="inlineStr">
        <is>
          <t>Project Name &amp; Location</t>
        </is>
      </c>
      <c r="C4" s="4" t="inlineStr">
        <is>
          <t>Product Line</t>
        </is>
      </c>
      <c r="D4" s="4" t="inlineStr">
        <is>
          <t>Subscribers (Count)</t>
        </is>
      </c>
      <c r="E4" s="4" t="inlineStr">
        <is>
          <t>Contract Basis &amp; Title Stage</t>
        </is>
      </c>
      <c r="F4" s="4" t="inlineStr">
        <is>
          <t>Total Contract Value (NGN)</t>
        </is>
      </c>
      <c r="G4" s="4" t="inlineStr">
        <is>
          <t>Cash Collections (NGN)</t>
        </is>
      </c>
      <c r="H4" s="4" t="inlineStr">
        <is>
          <t>Outstanding Client Balance (NGN)</t>
        </is>
      </c>
      <c r="I4" s="4" t="inlineStr">
        <is>
          <t>IFRS 15 Stage (%)</t>
        </is>
      </c>
      <c r="J4" s="4" t="inlineStr">
        <is>
          <t>Incurred Costs (NGN)</t>
        </is>
      </c>
      <c r="K4" s="4" t="inlineStr">
        <is>
          <t>Forecast Cost to Complete (NGN)</t>
        </is>
      </c>
      <c r="L4" s="4" t="inlineStr">
        <is>
          <t>Cumulative Billed Revenue (NGN)</t>
        </is>
      </c>
      <c r="M4" s="4" t="inlineStr">
        <is>
          <t>Contract Assets / Retentions (NGN)</t>
        </is>
      </c>
      <c r="N4" s="4" t="inlineStr">
        <is>
          <t>Contract Liabilities / Advances (NGN)</t>
        </is>
      </c>
      <c r="O4" s="4" t="inlineStr">
        <is>
          <t>NRV Test Status</t>
        </is>
      </c>
      <c r="P4" s="4" t="inlineStr">
        <is>
          <t>Operational Status</t>
        </is>
      </c>
    </row>
    <row r="5">
      <c r="A5" s="11" t="inlineStr">
        <is>
          <t>PRJ-GC01</t>
        </is>
      </c>
      <c r="B5" s="8" t="inlineStr">
        <is>
          <t>Green City Phase 1 (Lantaba, Ketu-Epe)</t>
        </is>
      </c>
      <c r="C5" s="9" t="inlineStr">
        <is>
          <t>Land Development</t>
        </is>
      </c>
      <c r="D5" s="32" t="n">
        <v>45</v>
      </c>
      <c r="E5" s="10" t="inlineStr">
        <is>
          <t>Registered Survey / Deed of Assignment</t>
        </is>
      </c>
      <c r="F5" s="28" t="n">
        <v>224659680</v>
      </c>
      <c r="G5" s="28" t="n">
        <v>223449680</v>
      </c>
      <c r="H5" s="28" t="n">
        <v>-290000</v>
      </c>
      <c r="I5" s="33" t="n">
        <v>1</v>
      </c>
      <c r="J5" s="28" t="n">
        <v>142500000</v>
      </c>
      <c r="K5" s="28" t="n">
        <v>0</v>
      </c>
      <c r="L5" s="28" t="n">
        <v>224659680</v>
      </c>
      <c r="M5" s="28" t="n">
        <v>0</v>
      </c>
      <c r="N5" s="28" t="n">
        <v>0</v>
      </c>
      <c r="O5" s="34" t="inlineStr">
        <is>
          <t>Cost &lt; Market Value (Pass)</t>
        </is>
      </c>
      <c r="P5" s="9" t="inlineStr">
        <is>
          <t>Completed / Allocated</t>
        </is>
      </c>
    </row>
    <row r="6">
      <c r="A6" s="13" t="inlineStr">
        <is>
          <t>PRJ-GC02</t>
        </is>
      </c>
      <c r="B6" s="5" t="inlineStr">
        <is>
          <t>Green City Phase 2 (Idobi, Ketu-Epe)</t>
        </is>
      </c>
      <c r="C6" s="6" t="inlineStr">
        <is>
          <t>Land Development</t>
        </is>
      </c>
      <c r="D6" s="35" t="n">
        <v>49</v>
      </c>
      <c r="E6" s="7" t="inlineStr">
        <is>
          <t>Gazette Excision &amp; Perimeter Survey</t>
        </is>
      </c>
      <c r="F6" s="27" t="n">
        <v>209610000</v>
      </c>
      <c r="G6" s="27" t="n">
        <v>174486400</v>
      </c>
      <c r="H6" s="27" t="n">
        <v>33823600</v>
      </c>
      <c r="I6" s="36" t="n">
        <v>0.85</v>
      </c>
      <c r="J6" s="27" t="n">
        <v>128000000</v>
      </c>
      <c r="K6" s="27" t="n">
        <v>22500000</v>
      </c>
      <c r="L6" s="27" t="n">
        <v>178168500</v>
      </c>
      <c r="M6" s="27" t="n">
        <v>3682100</v>
      </c>
      <c r="N6" s="27" t="n">
        <v>0</v>
      </c>
      <c r="O6" s="37" t="inlineStr">
        <is>
          <t>Cost &lt; Market Value (Pass)</t>
        </is>
      </c>
      <c r="P6" s="6" t="inlineStr">
        <is>
          <t>Active Development</t>
        </is>
      </c>
    </row>
    <row r="7">
      <c r="A7" s="11" t="inlineStr">
        <is>
          <t>PRJ-GC03</t>
        </is>
      </c>
      <c r="B7" s="8" t="inlineStr">
        <is>
          <t>Green City Phase 3 &amp; Extension (Omu-Epe)</t>
        </is>
      </c>
      <c r="C7" s="9" t="inlineStr">
        <is>
          <t>Land Scheme</t>
        </is>
      </c>
      <c r="D7" s="32" t="n">
        <v>43</v>
      </c>
      <c r="E7" s="10" t="inlineStr">
        <is>
          <t>Survey Plan &amp; Layout Approval</t>
        </is>
      </c>
      <c r="F7" s="28" t="n">
        <v>173905000</v>
      </c>
      <c r="G7" s="28" t="n">
        <v>160930000</v>
      </c>
      <c r="H7" s="28" t="n">
        <v>12975000</v>
      </c>
      <c r="I7" s="33" t="n">
        <v>0.9</v>
      </c>
      <c r="J7" s="28" t="n">
        <v>105000000</v>
      </c>
      <c r="K7" s="28" t="n">
        <v>11600000</v>
      </c>
      <c r="L7" s="28" t="n">
        <v>156514500</v>
      </c>
      <c r="M7" s="28" t="n">
        <v>4415500</v>
      </c>
      <c r="N7" s="28" t="n">
        <v>0</v>
      </c>
      <c r="O7" s="34" t="inlineStr">
        <is>
          <t>Cost &lt; Market Value (Pass)</t>
        </is>
      </c>
      <c r="P7" s="9" t="inlineStr">
        <is>
          <t>Active Plot Allocation</t>
        </is>
      </c>
    </row>
    <row r="8">
      <c r="A8" s="13" t="inlineStr">
        <is>
          <t>PRJ-GCI</t>
        </is>
      </c>
      <c r="B8" s="5" t="inlineStr">
        <is>
          <t>Green City Ibadan (Akinyele-Moniya)</t>
        </is>
      </c>
      <c r="C8" s="6" t="inlineStr">
        <is>
          <t>Regional Land Scheme</t>
        </is>
      </c>
      <c r="D8" s="35" t="n">
        <v>10</v>
      </c>
      <c r="E8" s="7" t="inlineStr">
        <is>
          <t>Registered Survey &amp; Freehold</t>
        </is>
      </c>
      <c r="F8" s="27" t="n">
        <v>30550000</v>
      </c>
      <c r="G8" s="27" t="n">
        <v>25750000</v>
      </c>
      <c r="H8" s="27" t="n">
        <v>4800000</v>
      </c>
      <c r="I8" s="36" t="n">
        <v>0.8</v>
      </c>
      <c r="J8" s="27" t="n">
        <v>18500000</v>
      </c>
      <c r="K8" s="27" t="n">
        <v>4600000</v>
      </c>
      <c r="L8" s="27" t="n">
        <v>24440000</v>
      </c>
      <c r="M8" s="27" t="n">
        <v>1310000</v>
      </c>
      <c r="N8" s="27" t="n">
        <v>0</v>
      </c>
      <c r="O8" s="37" t="inlineStr">
        <is>
          <t>Cost &lt; Market Value (Pass)</t>
        </is>
      </c>
      <c r="P8" s="6" t="inlineStr">
        <is>
          <t>Active Marketing</t>
        </is>
      </c>
    </row>
    <row r="9">
      <c r="A9" s="11" t="inlineStr">
        <is>
          <t>PRJ-PC01</t>
        </is>
      </c>
      <c r="B9" s="8" t="inlineStr">
        <is>
          <t>Pacific Court (Phase 1 &amp; 2)</t>
        </is>
      </c>
      <c r="C9" s="9" t="inlineStr">
        <is>
          <t>Residential Housing</t>
        </is>
      </c>
      <c r="D9" s="32" t="n">
        <v>10</v>
      </c>
      <c r="E9" s="10" t="inlineStr">
        <is>
          <t>Governor's Consent &amp; Building Approval</t>
        </is>
      </c>
      <c r="F9" s="28" t="n">
        <v>889200000</v>
      </c>
      <c r="G9" s="28" t="n">
        <v>52500000</v>
      </c>
      <c r="H9" s="28" t="n">
        <v>0</v>
      </c>
      <c r="I9" s="33" t="n">
        <v>0.65</v>
      </c>
      <c r="J9" s="28" t="n">
        <v>480000000</v>
      </c>
      <c r="K9" s="28" t="n">
        <v>258000000</v>
      </c>
      <c r="L9" s="28" t="n">
        <v>577980000</v>
      </c>
      <c r="M9" s="28" t="n">
        <v>0</v>
      </c>
      <c r="N9" s="28" t="n">
        <v>52500000</v>
      </c>
      <c r="O9" s="34" t="inlineStr">
        <is>
          <t>Appraisal &gt; Cost (Pass)</t>
        </is>
      </c>
      <c r="P9" s="9" t="inlineStr">
        <is>
          <t>Under Construction</t>
        </is>
      </c>
    </row>
    <row r="10">
      <c r="A10" s="13" t="inlineStr">
        <is>
          <t>PRJ-PA01</t>
        </is>
      </c>
      <c r="B10" s="5" t="inlineStr">
        <is>
          <t>Pacific Apartment (Gbagada / Mainland)</t>
        </is>
      </c>
      <c r="C10" s="6" t="inlineStr">
        <is>
          <t>Luxury Multi-Family Housing</t>
        </is>
      </c>
      <c r="D10" s="35" t="n">
        <v>14</v>
      </c>
      <c r="E10" s="7" t="inlineStr">
        <is>
          <t>C of O / Approved Architectural Drawings</t>
        </is>
      </c>
      <c r="F10" s="27" t="n">
        <v>1335000000</v>
      </c>
      <c r="G10" s="27" t="n">
        <v>850626141</v>
      </c>
      <c r="H10" s="27" t="n">
        <v>484373859</v>
      </c>
      <c r="I10" s="36" t="n">
        <v>0.6</v>
      </c>
      <c r="J10" s="27" t="n">
        <v>720000000</v>
      </c>
      <c r="K10" s="27" t="n">
        <v>480000000</v>
      </c>
      <c r="L10" s="27" t="n">
        <v>801000000</v>
      </c>
      <c r="M10" s="27" t="n">
        <v>0</v>
      </c>
      <c r="N10" s="27" t="n">
        <v>49626141</v>
      </c>
      <c r="O10" s="37" t="inlineStr">
        <is>
          <t>Appraisal &gt; Cost (Pass)</t>
        </is>
      </c>
      <c r="P10" s="6" t="inlineStr">
        <is>
          <t>Active Structural Works</t>
        </is>
      </c>
    </row>
    <row r="11">
      <c r="A11" s="11" t="inlineStr">
        <is>
          <t>PRJ-GVC</t>
        </is>
      </c>
      <c r="B11" s="8" t="inlineStr">
        <is>
          <t>Gorge View Court (GVC Gbagada)</t>
        </is>
      </c>
      <c r="C11" s="9" t="inlineStr">
        <is>
          <t>Premium Housing Estate</t>
        </is>
      </c>
      <c r="D11" s="32" t="n">
        <v>2</v>
      </c>
      <c r="E11" s="10" t="inlineStr">
        <is>
          <t>C of O / Turnkey Joint Development</t>
        </is>
      </c>
      <c r="F11" s="28" t="n">
        <v>540000000</v>
      </c>
      <c r="G11" s="28" t="n">
        <v>530000000</v>
      </c>
      <c r="H11" s="28" t="n">
        <v>10000000</v>
      </c>
      <c r="I11" s="33" t="n">
        <v>0.95</v>
      </c>
      <c r="J11" s="28" t="n">
        <v>385000000</v>
      </c>
      <c r="K11" s="28" t="n">
        <v>20000000</v>
      </c>
      <c r="L11" s="28" t="n">
        <v>513000000</v>
      </c>
      <c r="M11" s="28" t="n">
        <v>0</v>
      </c>
      <c r="N11" s="28" t="n">
        <v>17000000</v>
      </c>
      <c r="O11" s="34" t="inlineStr">
        <is>
          <t>Appraisal &gt; Cost (Pass)</t>
        </is>
      </c>
      <c r="P11" s="9" t="inlineStr">
        <is>
          <t>Finishing &amp; Handover</t>
        </is>
      </c>
    </row>
    <row r="12">
      <c r="A12" s="13" t="inlineStr">
        <is>
          <t>PRJ-BF01</t>
        </is>
      </c>
      <c r="B12" s="5" t="inlineStr">
        <is>
          <t>Baay Foreshore (Waterfront Scheme)</t>
        </is>
      </c>
      <c r="C12" s="6" t="inlineStr">
        <is>
          <t>Luxury Waterfront Land &amp; Housing</t>
        </is>
      </c>
      <c r="D12" s="35" t="n">
        <v>14</v>
      </c>
      <c r="E12" s="7" t="inlineStr">
        <is>
          <t>Waterfront Excision &amp; Reclamation Approval</t>
        </is>
      </c>
      <c r="F12" s="27" t="n">
        <v>563320000</v>
      </c>
      <c r="G12" s="27" t="n">
        <v>339070000</v>
      </c>
      <c r="H12" s="27" t="n">
        <v>224250000</v>
      </c>
      <c r="I12" s="36" t="n">
        <v>0.55</v>
      </c>
      <c r="J12" s="27" t="n">
        <v>290000000</v>
      </c>
      <c r="K12" s="27" t="n">
        <v>237000000</v>
      </c>
      <c r="L12" s="27" t="n">
        <v>309826000</v>
      </c>
      <c r="M12" s="27" t="n">
        <v>0</v>
      </c>
      <c r="N12" s="27" t="n">
        <v>29244000</v>
      </c>
      <c r="O12" s="37" t="inlineStr">
        <is>
          <t>Appraisal &gt; Cost (Pass)</t>
        </is>
      </c>
      <c r="P12" s="6" t="inlineStr">
        <is>
          <t>Reclamation &amp; Piling</t>
        </is>
      </c>
    </row>
    <row r="13">
      <c r="A13" s="11" t="inlineStr">
        <is>
          <t>PRJ-HG01</t>
        </is>
      </c>
      <c r="B13" s="8" t="inlineStr">
        <is>
          <t>Heritage Garden &amp; Green Hillside / Agbowa</t>
        </is>
      </c>
      <c r="C13" s="9" t="inlineStr">
        <is>
          <t>Residential Land Schemes</t>
        </is>
      </c>
      <c r="D13" s="32" t="n">
        <v>27</v>
      </c>
      <c r="E13" s="10" t="inlineStr">
        <is>
          <t>Perimeter Survey &amp; Community Agreement</t>
        </is>
      </c>
      <c r="F13" s="28" t="n">
        <v>50122060</v>
      </c>
      <c r="G13" s="28" t="n">
        <v>45463060</v>
      </c>
      <c r="H13" s="28" t="n">
        <v>4659000</v>
      </c>
      <c r="I13" s="33" t="n">
        <v>0.9</v>
      </c>
      <c r="J13" s="28" t="n">
        <v>28000000</v>
      </c>
      <c r="K13" s="28" t="n">
        <v>3100000</v>
      </c>
      <c r="L13" s="28" t="n">
        <v>45109854</v>
      </c>
      <c r="M13" s="28" t="n">
        <v>353206</v>
      </c>
      <c r="N13" s="28" t="n">
        <v>0</v>
      </c>
      <c r="O13" s="34" t="inlineStr">
        <is>
          <t>Cost &lt; Market Value (Pass)</t>
        </is>
      </c>
      <c r="P13" s="9" t="inlineStr">
        <is>
          <t>Active Plot Allocation</t>
        </is>
      </c>
    </row>
    <row r="14">
      <c r="A14" s="13" t="inlineStr">
        <is>
          <t>PRJ-GEN</t>
        </is>
      </c>
      <c r="B14" s="5" t="inlineStr">
        <is>
          <t>Unallocated Schemes &amp; Ancillary Services</t>
        </is>
      </c>
      <c r="C14" s="6" t="inlineStr">
        <is>
          <t>Development &amp; Ancillary</t>
        </is>
      </c>
      <c r="D14" s="35" t="n">
        <v>5</v>
      </c>
      <c r="E14" s="7" t="inlineStr">
        <is>
          <t>Documentation &amp; Corner Piece Premiums</t>
        </is>
      </c>
      <c r="F14" s="27" t="n">
        <v>8965000</v>
      </c>
      <c r="G14" s="27" t="n">
        <v>8965000</v>
      </c>
      <c r="H14" s="27" t="n">
        <v>0</v>
      </c>
      <c r="I14" s="36" t="n">
        <v>1</v>
      </c>
      <c r="J14" s="27" t="n">
        <v>3200000</v>
      </c>
      <c r="K14" s="27" t="n">
        <v>0</v>
      </c>
      <c r="L14" s="27" t="n">
        <v>8965000</v>
      </c>
      <c r="M14" s="27" t="n">
        <v>0</v>
      </c>
      <c r="N14" s="27" t="n">
        <v>0</v>
      </c>
      <c r="O14" s="37" t="inlineStr">
        <is>
          <t>Cost &lt; Market Value (Pass)</t>
        </is>
      </c>
      <c r="P14" s="6" t="inlineStr">
        <is>
          <t>Completed</t>
        </is>
      </c>
    </row>
    <row r="15">
      <c r="A15" s="38" t="n"/>
      <c r="B15" s="39" t="inlineStr">
        <is>
          <t>TOTAL PORTFOLIO (2022 - 2025)</t>
        </is>
      </c>
      <c r="C15" s="38" t="n"/>
      <c r="D15" s="40">
        <f>SUM(D5:D14)</f>
        <v/>
      </c>
      <c r="E15" s="38" t="n"/>
      <c r="F15" s="41">
        <f>SUM(F5:F14)</f>
        <v/>
      </c>
      <c r="G15" s="41">
        <f>SUM(G5:G14)</f>
        <v/>
      </c>
      <c r="H15" s="41">
        <f>SUM(H5:H14)</f>
        <v/>
      </c>
      <c r="I15" s="38" t="n"/>
      <c r="J15" s="41">
        <f>SUM(J5:J14)</f>
        <v/>
      </c>
      <c r="K15" s="41">
        <f>SUM(K5:K14)</f>
        <v/>
      </c>
      <c r="L15" s="41">
        <f>SUM(L5:L14)</f>
        <v/>
      </c>
      <c r="M15" s="41">
        <f>SUM(M5:M14)</f>
        <v/>
      </c>
      <c r="N15" s="41">
        <f>SUM(N5:N14)</f>
        <v/>
      </c>
      <c r="O15" s="38" t="n"/>
      <c r="P15" s="38" t="n"/>
    </row>
    <row r="16"/>
    <row r="17"/>
    <row r="18">
      <c r="A18" s="2" t="inlineStr">
        <is>
          <t>CUSTOMER SUBSCRIPTIONS PER CLIENT REGISTER</t>
        </is>
      </c>
    </row>
    <row r="19">
      <c r="A19" s="72" t="inlineStr">
        <is>
          <t>Contract values and paid-to-date are management-register amounts; one source total row is retained.</t>
        </is>
      </c>
    </row>
    <row r="20"/>
    <row r="21" ht="32" customHeight="1">
      <c r="A21" s="74" t="inlineStr">
        <is>
          <t>Sub ref</t>
        </is>
      </c>
      <c r="B21" s="74" t="inlineStr">
        <is>
          <t>Customer ID</t>
        </is>
      </c>
      <c r="C21" s="74" t="inlineStr">
        <is>
          <t>Customer name (register)</t>
        </is>
      </c>
      <c r="D21" s="74" t="inlineStr">
        <is>
          <t>Product line</t>
        </is>
      </c>
      <c r="E21" s="74" t="inlineStr">
        <is>
          <t>Project / estate</t>
        </is>
      </c>
      <c r="F21" s="74" t="inlineStr">
        <is>
          <t>Unit / plot</t>
        </is>
      </c>
      <c r="G21" s="74" t="inlineStr">
        <is>
          <t>Subscription date</t>
        </is>
      </c>
      <c r="H21" s="74" t="inlineStr">
        <is>
          <t>Year</t>
        </is>
      </c>
      <c r="I21" s="74" t="inlineStr">
        <is>
          <t>Contract value (₦)</t>
        </is>
      </c>
      <c r="J21" s="74" t="inlineStr">
        <is>
          <t>Paid to date per register (₦)</t>
        </is>
      </c>
      <c r="K21" s="74" t="inlineStr">
        <is>
          <t>Balance per register (₦)</t>
        </is>
      </c>
      <c r="L21" s="74" t="inlineStr">
        <is>
          <t>Payment plan</t>
        </is>
      </c>
      <c r="M21" s="74" t="inlineStr">
        <is>
          <t>Status</t>
        </is>
      </c>
      <c r="N21" s="74" t="inlineStr">
        <is>
          <t>Allocation</t>
        </is>
      </c>
      <c r="O21" s="74" t="inlineStr">
        <is>
          <t>Documents stage</t>
        </is>
      </c>
      <c r="P21" s="74" t="inlineStr">
        <is>
          <t>Realtor / contact</t>
        </is>
      </c>
      <c r="Q21" s="74" t="inlineStr">
        <is>
          <t>Source sheet</t>
        </is>
      </c>
      <c r="R21" s="74" t="inlineStr">
        <is>
          <t>Source row</t>
        </is>
      </c>
      <c r="S21" s="74" t="inlineStr">
        <is>
          <t>Date as recorded</t>
        </is>
      </c>
      <c r="T21" s="74" t="inlineStr">
        <is>
          <t>Note</t>
        </is>
      </c>
    </row>
    <row r="22" ht="25" customHeight="1">
      <c r="A22" s="75" t="inlineStr">
        <is>
          <t>SB0001</t>
        </is>
      </c>
      <c r="B22" s="75" t="inlineStr">
        <is>
          <t>BP-C0001</t>
        </is>
      </c>
      <c r="C22" s="75" t="inlineStr">
        <is>
          <t>Mr Meshack Osagie</t>
        </is>
      </c>
      <c r="D22" s="75" t="inlineStr">
        <is>
          <t>Housing</t>
        </is>
      </c>
      <c r="E22" s="75" t="inlineStr">
        <is>
          <t>Pacific Court</t>
        </is>
      </c>
      <c r="F22" s="75" t="inlineStr">
        <is>
          <t>terrace | units: 3.0</t>
        </is>
      </c>
      <c r="G22" s="76" t="n">
        <v>44593</v>
      </c>
      <c r="H22" s="75" t="n">
        <v>2022</v>
      </c>
      <c r="I22" s="77" t="n">
        <v>10500000</v>
      </c>
      <c r="J22" s="77" t="n"/>
      <c r="K22" s="77" t="n"/>
      <c r="L22" s="75" t="inlineStr">
        <is>
          <t>15MONTHS</t>
        </is>
      </c>
      <c r="M22" s="75" t="inlineStr">
        <is>
          <t>PAID</t>
        </is>
      </c>
      <c r="N22" s="75" t="n"/>
      <c r="O22" s="75" t="n"/>
      <c r="P22" s="75" t="inlineStr">
        <is>
          <t>AKIN PHILIP</t>
        </is>
      </c>
      <c r="Q22" s="75" t="inlineStr">
        <is>
          <t>BAAY PROJECTS CLIENTS &gt; PACIFIC COURT INVESTORS LIST</t>
        </is>
      </c>
      <c r="R22" s="75" t="n">
        <v>2</v>
      </c>
      <c r="S22" s="75" t="inlineStr">
        <is>
          <t>2022-02-01</t>
        </is>
      </c>
      <c r="T22" s="75" t="n"/>
    </row>
    <row r="23" ht="25" customHeight="1">
      <c r="A23" s="78" t="inlineStr">
        <is>
          <t>SB0002</t>
        </is>
      </c>
      <c r="B23" s="78" t="inlineStr">
        <is>
          <t>BP-C0002</t>
        </is>
      </c>
      <c r="C23" s="78" t="inlineStr">
        <is>
          <t>Temidayo Oniosun</t>
        </is>
      </c>
      <c r="D23" s="78" t="inlineStr">
        <is>
          <t>Housing</t>
        </is>
      </c>
      <c r="E23" s="78" t="inlineStr">
        <is>
          <t>Pacific Court</t>
        </is>
      </c>
      <c r="F23" s="78" t="inlineStr">
        <is>
          <t>fully detached | units: 1.0</t>
        </is>
      </c>
      <c r="G23" s="79" t="n">
        <v>44652</v>
      </c>
      <c r="H23" s="78" t="n">
        <v>2022</v>
      </c>
      <c r="I23" s="80" t="n">
        <v>52200000</v>
      </c>
      <c r="J23" s="80" t="n"/>
      <c r="K23" s="80" t="n"/>
      <c r="L23" s="78" t="inlineStr">
        <is>
          <t>5MONTHS</t>
        </is>
      </c>
      <c r="M23" s="78" t="inlineStr">
        <is>
          <t>PAID</t>
        </is>
      </c>
      <c r="N23" s="78" t="n"/>
      <c r="O23" s="78" t="n"/>
      <c r="P23" s="78" t="inlineStr">
        <is>
          <t>MD</t>
        </is>
      </c>
      <c r="Q23" s="78" t="inlineStr">
        <is>
          <t>BAAY PROJECTS CLIENTS &gt; PACIFIC COURT INVESTORS LIST</t>
        </is>
      </c>
      <c r="R23" s="78" t="n">
        <v>3</v>
      </c>
      <c r="S23" s="78" t="inlineStr">
        <is>
          <t>2022-04-01</t>
        </is>
      </c>
      <c r="T23" s="78" t="n"/>
    </row>
    <row r="24" ht="25" customHeight="1">
      <c r="A24" s="75" t="inlineStr">
        <is>
          <t>SB0003</t>
        </is>
      </c>
      <c r="B24" s="75" t="inlineStr">
        <is>
          <t>BP-C0003</t>
        </is>
      </c>
      <c r="C24" s="75" t="inlineStr">
        <is>
          <t>Mrs Agbaje</t>
        </is>
      </c>
      <c r="D24" s="75" t="inlineStr">
        <is>
          <t>Housing</t>
        </is>
      </c>
      <c r="E24" s="75" t="inlineStr">
        <is>
          <t>Pacific Court</t>
        </is>
      </c>
      <c r="F24" s="75" t="inlineStr">
        <is>
          <t>fully detached | units: 1.0</t>
        </is>
      </c>
      <c r="G24" s="76" t="n">
        <v>44713</v>
      </c>
      <c r="H24" s="75" t="n">
        <v>2022</v>
      </c>
      <c r="I24" s="77" t="n">
        <v>63000000</v>
      </c>
      <c r="J24" s="77" t="n"/>
      <c r="K24" s="77" t="n"/>
      <c r="L24" s="75" t="inlineStr">
        <is>
          <t>10MONTHS</t>
        </is>
      </c>
      <c r="M24" s="75" t="inlineStr">
        <is>
          <t>PAID</t>
        </is>
      </c>
      <c r="N24" s="75" t="n"/>
      <c r="O24" s="75" t="n"/>
      <c r="P24" s="75" t="inlineStr">
        <is>
          <t>MR BIOLA AKOSILE</t>
        </is>
      </c>
      <c r="Q24" s="75" t="inlineStr">
        <is>
          <t>BAAY PROJECTS CLIENTS &gt; PACIFIC COURT INVESTORS LIST</t>
        </is>
      </c>
      <c r="R24" s="75" t="n">
        <v>4</v>
      </c>
      <c r="S24" s="75" t="inlineStr">
        <is>
          <t>2022-06-01</t>
        </is>
      </c>
      <c r="T24" s="75" t="n"/>
    </row>
    <row r="25" ht="25" customHeight="1">
      <c r="A25" s="78" t="inlineStr">
        <is>
          <t>SB0004</t>
        </is>
      </c>
      <c r="B25" s="78" t="inlineStr">
        <is>
          <t>BP-C0004</t>
        </is>
      </c>
      <c r="C25" s="78" t="inlineStr">
        <is>
          <t>Mrs Kate</t>
        </is>
      </c>
      <c r="D25" s="78" t="inlineStr">
        <is>
          <t>Housing</t>
        </is>
      </c>
      <c r="E25" s="78" t="inlineStr">
        <is>
          <t>Pacific Court</t>
        </is>
      </c>
      <c r="F25" s="78" t="inlineStr">
        <is>
          <t>terrace | units: 1.0</t>
        </is>
      </c>
      <c r="G25" s="79" t="n">
        <v>44774</v>
      </c>
      <c r="H25" s="78" t="n">
        <v>2022</v>
      </c>
      <c r="I25" s="80" t="n">
        <v>40000000</v>
      </c>
      <c r="J25" s="80" t="n"/>
      <c r="K25" s="80" t="n"/>
      <c r="L25" s="78" t="inlineStr">
        <is>
          <t>24MONTHS</t>
        </is>
      </c>
      <c r="M25" s="78" t="inlineStr">
        <is>
          <t>REFUND</t>
        </is>
      </c>
      <c r="N25" s="78" t="n"/>
      <c r="O25" s="78" t="n"/>
      <c r="P25" s="78" t="inlineStr">
        <is>
          <t>MD</t>
        </is>
      </c>
      <c r="Q25" s="78" t="inlineStr">
        <is>
          <t>BAAY PROJECTS CLIENTS &gt; PACIFIC COURT INVESTORS LIST</t>
        </is>
      </c>
      <c r="R25" s="78" t="n">
        <v>5</v>
      </c>
      <c r="S25" s="78" t="inlineStr">
        <is>
          <t>2022-08-01</t>
        </is>
      </c>
      <c r="T25" s="78" t="n"/>
    </row>
    <row r="26" ht="25" customHeight="1">
      <c r="A26" s="75" t="inlineStr">
        <is>
          <t>SB0005</t>
        </is>
      </c>
      <c r="B26" s="75" t="inlineStr">
        <is>
          <t>BP-C0005</t>
        </is>
      </c>
      <c r="C26" s="75" t="inlineStr">
        <is>
          <t>Mrs Mo</t>
        </is>
      </c>
      <c r="D26" s="75" t="inlineStr">
        <is>
          <t>Housing</t>
        </is>
      </c>
      <c r="E26" s="75" t="inlineStr">
        <is>
          <t>Pacific Court</t>
        </is>
      </c>
      <c r="F26" s="75" t="inlineStr">
        <is>
          <t>terrace | units: 1.0</t>
        </is>
      </c>
      <c r="G26" s="76" t="n">
        <v>44896</v>
      </c>
      <c r="H26" s="75" t="n">
        <v>2022</v>
      </c>
      <c r="I26" s="77" t="n">
        <v>47000000</v>
      </c>
      <c r="J26" s="77" t="n"/>
      <c r="K26" s="77" t="n"/>
      <c r="L26" s="75" t="inlineStr">
        <is>
          <t>10MONTHS</t>
        </is>
      </c>
      <c r="M26" s="75" t="inlineStr">
        <is>
          <t>PAID</t>
        </is>
      </c>
      <c r="N26" s="75" t="n"/>
      <c r="O26" s="75" t="n"/>
      <c r="P26" s="75" t="inlineStr">
        <is>
          <t>MS YETUNDE ABISOYE</t>
        </is>
      </c>
      <c r="Q26" s="75" t="inlineStr">
        <is>
          <t>BAAY PROJECTS CLIENTS &gt; PACIFIC COURT INVESTORS LIST</t>
        </is>
      </c>
      <c r="R26" s="75" t="n">
        <v>6</v>
      </c>
      <c r="S26" s="75" t="inlineStr">
        <is>
          <t>2022-12-01</t>
        </is>
      </c>
      <c r="T26" s="75" t="n"/>
    </row>
    <row r="27" ht="25" customHeight="1">
      <c r="A27" s="78" t="inlineStr">
        <is>
          <t>SB0006</t>
        </is>
      </c>
      <c r="B27" s="78" t="inlineStr">
        <is>
          <t>BP-C0007</t>
        </is>
      </c>
      <c r="C27" s="78" t="inlineStr">
        <is>
          <t>Mrs Ero</t>
        </is>
      </c>
      <c r="D27" s="78" t="inlineStr">
        <is>
          <t>Housing</t>
        </is>
      </c>
      <c r="E27" s="78" t="inlineStr">
        <is>
          <t>Pacific Court</t>
        </is>
      </c>
      <c r="F27" s="78" t="inlineStr">
        <is>
          <t>fully detached | units: 1.0</t>
        </is>
      </c>
      <c r="G27" s="79" t="n">
        <v>44958</v>
      </c>
      <c r="H27" s="78" t="n">
        <v>2023</v>
      </c>
      <c r="I27" s="80" t="n">
        <v>600000000</v>
      </c>
      <c r="J27" s="80" t="n"/>
      <c r="K27" s="80" t="n"/>
      <c r="L27" s="78" t="inlineStr">
        <is>
          <t>3MONTHS</t>
        </is>
      </c>
      <c r="M27" s="78" t="inlineStr">
        <is>
          <t>PAID</t>
        </is>
      </c>
      <c r="N27" s="78" t="n"/>
      <c r="O27" s="78" t="n"/>
      <c r="P27" s="78" t="inlineStr">
        <is>
          <t>PASTOR GABRIEL</t>
        </is>
      </c>
      <c r="Q27" s="78" t="inlineStr">
        <is>
          <t>BAAY PROJECTS CLIENTS &gt; PACIFIC COURT INVESTORS LIST</t>
        </is>
      </c>
      <c r="R27" s="78" t="n">
        <v>7</v>
      </c>
      <c r="S27" s="78" t="inlineStr">
        <is>
          <t>2023-02-01</t>
        </is>
      </c>
      <c r="T27" s="78" t="n"/>
    </row>
    <row r="28" ht="25" customHeight="1">
      <c r="A28" s="75" t="inlineStr">
        <is>
          <t>SB0007</t>
        </is>
      </c>
      <c r="B28" s="75" t="inlineStr">
        <is>
          <t>BP-C0008</t>
        </is>
      </c>
      <c r="C28" s="75" t="inlineStr">
        <is>
          <t>Mr Rasaq Roqeeb</t>
        </is>
      </c>
      <c r="D28" s="75" t="inlineStr">
        <is>
          <t>Land</t>
        </is>
      </c>
      <c r="E28" s="75" t="inlineStr">
        <is>
          <t>Green City Phase 1 (Lantaba, Ketu-Epe)</t>
        </is>
      </c>
      <c r="F28" s="75" t="inlineStr">
        <is>
          <t>250sqm</t>
        </is>
      </c>
      <c r="G28" s="76" t="n">
        <v>44967</v>
      </c>
      <c r="H28" s="75" t="n">
        <v>2023</v>
      </c>
      <c r="I28" s="77" t="n">
        <v>3900000</v>
      </c>
      <c r="J28" s="77" t="n">
        <v>3900000</v>
      </c>
      <c r="K28" s="77" t="n">
        <v>0</v>
      </c>
      <c r="L28" s="75" t="inlineStr">
        <is>
          <t>6 months</t>
        </is>
      </c>
      <c r="M28" s="75" t="inlineStr">
        <is>
          <t>Bought</t>
        </is>
      </c>
      <c r="N28" s="75" t="inlineStr">
        <is>
          <t>BLOCK F1</t>
        </is>
      </c>
      <c r="O28" s="75" t="inlineStr">
        <is>
          <t>Collected by Client</t>
        </is>
      </c>
      <c r="P28" s="75" t="inlineStr">
        <is>
          <t>MD</t>
        </is>
      </c>
      <c r="Q28" s="75" t="inlineStr">
        <is>
          <t>BAAY PROJECTS CLIENTS &gt; GREEN CITY KETU 1 INVESTORS LIS</t>
        </is>
      </c>
      <c r="R28" s="75" t="n">
        <v>29</v>
      </c>
      <c r="S28" s="75" t="inlineStr">
        <is>
          <t>2023-10-02</t>
        </is>
      </c>
      <c r="T28" s="75" t="n"/>
    </row>
    <row r="29" ht="25" customHeight="1">
      <c r="A29" s="78" t="inlineStr">
        <is>
          <t>SB0008</t>
        </is>
      </c>
      <c r="B29" s="78" t="inlineStr">
        <is>
          <t>BP-C0011</t>
        </is>
      </c>
      <c r="C29" s="78" t="inlineStr">
        <is>
          <t>OLAIYA SUNDAY TEMITOPE</t>
        </is>
      </c>
      <c r="D29" s="78" t="inlineStr">
        <is>
          <t>Land</t>
        </is>
      </c>
      <c r="E29" s="78" t="inlineStr">
        <is>
          <t>Green City Phase 1 (Lantaba, Ketu-Epe)</t>
        </is>
      </c>
      <c r="F29" s="78" t="inlineStr">
        <is>
          <t>600sqm</t>
        </is>
      </c>
      <c r="G29" s="79" t="n">
        <v>45061</v>
      </c>
      <c r="H29" s="78" t="n">
        <v>2023</v>
      </c>
      <c r="I29" s="80" t="n">
        <v>1500000</v>
      </c>
      <c r="J29" s="80" t="n">
        <v>1500000</v>
      </c>
      <c r="K29" s="80" t="n">
        <v>0</v>
      </c>
      <c r="L29" s="78" t="inlineStr">
        <is>
          <t>3months</t>
        </is>
      </c>
      <c r="M29" s="78" t="inlineStr">
        <is>
          <t>Bought</t>
        </is>
      </c>
      <c r="N29" s="78" t="inlineStr">
        <is>
          <t>BLOCK E2</t>
        </is>
      </c>
      <c r="O29" s="78" t="inlineStr">
        <is>
          <t>Yet to collect Physical Document with MD</t>
        </is>
      </c>
      <c r="P29" s="78" t="inlineStr">
        <is>
          <t>Ms Abimbola</t>
        </is>
      </c>
      <c r="Q29" s="78" t="inlineStr">
        <is>
          <t>BAAY PROJECTS CLIENTS &gt; GREEN CITY KETU 1 INVESTORS LIS</t>
        </is>
      </c>
      <c r="R29" s="78" t="n">
        <v>4</v>
      </c>
      <c r="S29" s="78" t="inlineStr">
        <is>
          <t>15/05/2023</t>
        </is>
      </c>
      <c r="T29" s="78" t="n"/>
    </row>
    <row r="30" ht="25" customHeight="1">
      <c r="A30" s="75" t="inlineStr">
        <is>
          <t>SB0009</t>
        </is>
      </c>
      <c r="B30" s="75" t="inlineStr">
        <is>
          <t>BP-C0013</t>
        </is>
      </c>
      <c r="C30" s="75" t="inlineStr">
        <is>
          <t>MOSHOOD TIJANI</t>
        </is>
      </c>
      <c r="D30" s="75" t="inlineStr">
        <is>
          <t>Land</t>
        </is>
      </c>
      <c r="E30" s="75" t="inlineStr">
        <is>
          <t>Green City Phase 1 (Lantaba, Ketu-Epe)</t>
        </is>
      </c>
      <c r="F30" s="75" t="inlineStr">
        <is>
          <t>250sqm</t>
        </is>
      </c>
      <c r="G30" s="76" t="n">
        <v>45073</v>
      </c>
      <c r="H30" s="75" t="n">
        <v>2023</v>
      </c>
      <c r="I30" s="77" t="n">
        <v>1500000</v>
      </c>
      <c r="J30" s="77" t="n">
        <v>1400000</v>
      </c>
      <c r="K30" s="77" t="n">
        <v>100000</v>
      </c>
      <c r="L30" s="75" t="inlineStr">
        <is>
          <t>3months</t>
        </is>
      </c>
      <c r="M30" s="75" t="inlineStr">
        <is>
          <t>Bought</t>
        </is>
      </c>
      <c r="N30" s="75" t="inlineStr">
        <is>
          <t>BLOCK B2A</t>
        </is>
      </c>
      <c r="O30" s="75" t="inlineStr">
        <is>
          <t>Yet to collect Deeed</t>
        </is>
      </c>
      <c r="P30" s="75" t="inlineStr">
        <is>
          <t>MD</t>
        </is>
      </c>
      <c r="Q30" s="75" t="inlineStr">
        <is>
          <t>BAAY PROJECTS CLIENTS &gt; GREEN CITY KETU 1 INVESTORS LIS</t>
        </is>
      </c>
      <c r="R30" s="75" t="n">
        <v>3</v>
      </c>
      <c r="S30" s="75" t="inlineStr">
        <is>
          <t>27/05/2023</t>
        </is>
      </c>
      <c r="T30" s="75" t="n"/>
    </row>
    <row r="31" ht="25" customHeight="1">
      <c r="A31" s="78" t="inlineStr">
        <is>
          <t>SB0010</t>
        </is>
      </c>
      <c r="B31" s="78" t="inlineStr">
        <is>
          <t>BP-C0014</t>
        </is>
      </c>
      <c r="C31" s="78" t="inlineStr">
        <is>
          <t>PROF OLUGBENGA AKINADE/MRS ARAWOMO OMOLOLA</t>
        </is>
      </c>
      <c r="D31" s="78" t="inlineStr">
        <is>
          <t>Land</t>
        </is>
      </c>
      <c r="E31" s="78" t="inlineStr">
        <is>
          <t>Green City Phase 1 (Lantaba, Ketu-Epe)</t>
        </is>
      </c>
      <c r="F31" s="78" t="inlineStr">
        <is>
          <t>500sqm</t>
        </is>
      </c>
      <c r="G31" s="79" t="n">
        <v>45083</v>
      </c>
      <c r="H31" s="78" t="n">
        <v>2023</v>
      </c>
      <c r="I31" s="80" t="n">
        <v>3600000</v>
      </c>
      <c r="J31" s="80" t="n">
        <v>3600000</v>
      </c>
      <c r="K31" s="80" t="n">
        <v>0</v>
      </c>
      <c r="L31" s="78" t="inlineStr">
        <is>
          <t>3months</t>
        </is>
      </c>
      <c r="M31" s="78" t="inlineStr">
        <is>
          <t>Bought</t>
        </is>
      </c>
      <c r="N31" s="78" t="inlineStr">
        <is>
          <t>BLOCK D7</t>
        </is>
      </c>
      <c r="O31" s="78" t="inlineStr">
        <is>
          <t>Physical Document Collected</t>
        </is>
      </c>
      <c r="P31" s="78" t="inlineStr">
        <is>
          <t>MD</t>
        </is>
      </c>
      <c r="Q31" s="78" t="inlineStr">
        <is>
          <t>BAAY PROJECTS CLIENTS &gt; GREEN CITY KETU 1 INVESTORS LIS</t>
        </is>
      </c>
      <c r="R31" s="78" t="n">
        <v>5</v>
      </c>
      <c r="S31" s="78" t="inlineStr">
        <is>
          <t>2023-06-06</t>
        </is>
      </c>
      <c r="T31" s="78" t="n"/>
    </row>
    <row r="32" ht="25" customHeight="1">
      <c r="A32" s="75" t="inlineStr">
        <is>
          <t>SB0011</t>
        </is>
      </c>
      <c r="B32" s="75" t="inlineStr">
        <is>
          <t>BP-C0015</t>
        </is>
      </c>
      <c r="C32" s="75" t="inlineStr">
        <is>
          <t>MR Damilare Ositade Owolabi</t>
        </is>
      </c>
      <c r="D32" s="75" t="inlineStr">
        <is>
          <t>Land</t>
        </is>
      </c>
      <c r="E32" s="75" t="inlineStr">
        <is>
          <t>Green City Phase 1 (Lantaba, Ketu-Epe)</t>
        </is>
      </c>
      <c r="F32" s="75" t="inlineStr">
        <is>
          <t>250sqm</t>
        </is>
      </c>
      <c r="G32" s="76" t="n">
        <v>45092</v>
      </c>
      <c r="H32" s="75" t="n">
        <v>2023</v>
      </c>
      <c r="I32" s="77" t="n">
        <v>1500000</v>
      </c>
      <c r="J32" s="77" t="n">
        <v>1500000</v>
      </c>
      <c r="K32" s="77" t="n">
        <v>0</v>
      </c>
      <c r="L32" s="75" t="inlineStr">
        <is>
          <t>3months</t>
        </is>
      </c>
      <c r="M32" s="75" t="inlineStr">
        <is>
          <t>Bought</t>
        </is>
      </c>
      <c r="N32" s="75" t="inlineStr">
        <is>
          <t>BLOCK D4B</t>
        </is>
      </c>
      <c r="O32" s="75" t="inlineStr">
        <is>
          <t>Yet to collect Physical Document</t>
        </is>
      </c>
      <c r="P32" s="75" t="inlineStr">
        <is>
          <t>IDARA</t>
        </is>
      </c>
      <c r="Q32" s="75" t="inlineStr">
        <is>
          <t>BAAY PROJECTS CLIENTS &gt; GREEN CITY KETU 1 INVESTORS LIS</t>
        </is>
      </c>
      <c r="R32" s="75" t="n">
        <v>7</v>
      </c>
      <c r="S32" s="75" t="inlineStr">
        <is>
          <t>15/06/2023</t>
        </is>
      </c>
      <c r="T32" s="75" t="n"/>
    </row>
    <row r="33" ht="25" customHeight="1">
      <c r="A33" s="78" t="inlineStr">
        <is>
          <t>SB0012</t>
        </is>
      </c>
      <c r="B33" s="78" t="inlineStr">
        <is>
          <t>BP-C0016</t>
        </is>
      </c>
      <c r="C33" s="78" t="inlineStr">
        <is>
          <t>Mr Tobi Adesina</t>
        </is>
      </c>
      <c r="D33" s="78" t="inlineStr">
        <is>
          <t>Land</t>
        </is>
      </c>
      <c r="E33" s="78" t="inlineStr">
        <is>
          <t>Green City Phase 1 (Lantaba, Ketu-Epe)</t>
        </is>
      </c>
      <c r="F33" s="78" t="inlineStr">
        <is>
          <t>250sqm</t>
        </is>
      </c>
      <c r="G33" s="79" t="n">
        <v>45103</v>
      </c>
      <c r="H33" s="78" t="n">
        <v>2023</v>
      </c>
      <c r="I33" s="80" t="n">
        <v>1500000</v>
      </c>
      <c r="J33" s="80" t="n"/>
      <c r="K33" s="80" t="n"/>
      <c r="L33" s="78" t="n"/>
      <c r="M33" s="78" t="inlineStr">
        <is>
          <t>incentives</t>
        </is>
      </c>
      <c r="N33" s="78" t="inlineStr">
        <is>
          <t>BLOCK D6A</t>
        </is>
      </c>
      <c r="O33" s="78" t="inlineStr">
        <is>
          <t>Collected by Client</t>
        </is>
      </c>
      <c r="P33" s="78" t="inlineStr">
        <is>
          <t>TOBY AND TYE</t>
        </is>
      </c>
      <c r="Q33" s="78" t="inlineStr">
        <is>
          <t>BAAY PROJECTS CLIENTS &gt; GREEN CITY KETU 1 INVESTORS LIS</t>
        </is>
      </c>
      <c r="R33" s="78" t="n">
        <v>8</v>
      </c>
      <c r="S33" s="78" t="inlineStr">
        <is>
          <t>26/06/2023</t>
        </is>
      </c>
      <c r="T33" s="78" t="inlineStr">
        <is>
          <t>Paid-to-date in source: PARTNERSHIP</t>
        </is>
      </c>
    </row>
    <row r="34" ht="25" customHeight="1">
      <c r="A34" s="75" t="inlineStr">
        <is>
          <t>SB0013</t>
        </is>
      </c>
      <c r="B34" s="75" t="inlineStr">
        <is>
          <t>BP-C0017</t>
        </is>
      </c>
      <c r="C34" s="75" t="inlineStr">
        <is>
          <t>Mr. Taiwo John Adeleye.</t>
        </is>
      </c>
      <c r="D34" s="75" t="inlineStr">
        <is>
          <t>Land</t>
        </is>
      </c>
      <c r="E34" s="75" t="inlineStr">
        <is>
          <t>Green City Phase 1 (Lantaba, Ketu-Epe)</t>
        </is>
      </c>
      <c r="F34" s="75" t="inlineStr">
        <is>
          <t>250sqm</t>
        </is>
      </c>
      <c r="G34" s="76" t="n">
        <v>45129</v>
      </c>
      <c r="H34" s="75" t="n">
        <v>2023</v>
      </c>
      <c r="I34" s="77" t="n">
        <v>1500000</v>
      </c>
      <c r="J34" s="77" t="n">
        <v>1500000</v>
      </c>
      <c r="K34" s="77" t="n">
        <v>0</v>
      </c>
      <c r="L34" s="75" t="inlineStr">
        <is>
          <t>3months</t>
        </is>
      </c>
      <c r="M34" s="75" t="inlineStr">
        <is>
          <t>bought</t>
        </is>
      </c>
      <c r="N34" s="75" t="inlineStr">
        <is>
          <t>BLOCK D5b</t>
        </is>
      </c>
      <c r="O34" s="75" t="inlineStr">
        <is>
          <t>Collected by Client</t>
        </is>
      </c>
      <c r="P34" s="75" t="inlineStr">
        <is>
          <t>MD</t>
        </is>
      </c>
      <c r="Q34" s="75" t="inlineStr">
        <is>
          <t>BAAY PROJECTS CLIENTS &gt; GREEN CITY KETU 1 INVESTORS LIS</t>
        </is>
      </c>
      <c r="R34" s="75" t="n">
        <v>10</v>
      </c>
      <c r="S34" s="75" t="inlineStr">
        <is>
          <t>22/07/2023</t>
        </is>
      </c>
      <c r="T34" s="75" t="n"/>
    </row>
    <row r="35" ht="25" customHeight="1">
      <c r="A35" s="78" t="inlineStr">
        <is>
          <t>SB0014</t>
        </is>
      </c>
      <c r="B35" s="78" t="inlineStr">
        <is>
          <t>BP-C0018</t>
        </is>
      </c>
      <c r="C35" s="78" t="inlineStr">
        <is>
          <t>Mr Sunday Gideon</t>
        </is>
      </c>
      <c r="D35" s="78" t="inlineStr">
        <is>
          <t>Land</t>
        </is>
      </c>
      <c r="E35" s="78" t="inlineStr">
        <is>
          <t>Green City Phase 1 (Lantaba, Ketu-Epe)</t>
        </is>
      </c>
      <c r="F35" s="78" t="inlineStr">
        <is>
          <t>250sqm</t>
        </is>
      </c>
      <c r="G35" s="79" t="n">
        <v>45137</v>
      </c>
      <c r="H35" s="78" t="n">
        <v>2023</v>
      </c>
      <c r="I35" s="80" t="n">
        <v>1500000</v>
      </c>
      <c r="J35" s="80" t="n">
        <v>1500000</v>
      </c>
      <c r="K35" s="80" t="n">
        <v>0</v>
      </c>
      <c r="L35" s="78" t="inlineStr">
        <is>
          <t>Outright</t>
        </is>
      </c>
      <c r="M35" s="78" t="inlineStr">
        <is>
          <t>bought</t>
        </is>
      </c>
      <c r="N35" s="78" t="inlineStr">
        <is>
          <t>BLOCK D5A</t>
        </is>
      </c>
      <c r="O35" s="78" t="inlineStr">
        <is>
          <t>Collected by client</t>
        </is>
      </c>
      <c r="P35" s="78" t="inlineStr">
        <is>
          <t>MS BLESSING</t>
        </is>
      </c>
      <c r="Q35" s="78" t="inlineStr">
        <is>
          <t>BAAY PROJECTS CLIENTS &gt; GREEN CITY KETU 1 INVESTORS LIS</t>
        </is>
      </c>
      <c r="R35" s="78" t="n">
        <v>9</v>
      </c>
      <c r="S35" s="78" t="inlineStr">
        <is>
          <t>30/07/2023</t>
        </is>
      </c>
      <c r="T35" s="78" t="n"/>
    </row>
    <row r="36" ht="25" customHeight="1">
      <c r="A36" s="75" t="inlineStr">
        <is>
          <t>SB0015</t>
        </is>
      </c>
      <c r="B36" s="75" t="inlineStr">
        <is>
          <t>BP-C0020</t>
        </is>
      </c>
      <c r="C36" s="75" t="inlineStr">
        <is>
          <t>Mr Adebowale Oluwapelumi Joseph</t>
        </is>
      </c>
      <c r="D36" s="75" t="inlineStr">
        <is>
          <t>Land</t>
        </is>
      </c>
      <c r="E36" s="75" t="inlineStr">
        <is>
          <t>Green City Phase 1 (Lantaba, Ketu-Epe)</t>
        </is>
      </c>
      <c r="F36" s="75" t="inlineStr">
        <is>
          <t>600sqm</t>
        </is>
      </c>
      <c r="G36" s="76" t="n">
        <v>45161</v>
      </c>
      <c r="H36" s="75" t="n">
        <v>2023</v>
      </c>
      <c r="I36" s="77" t="n">
        <v>3600000</v>
      </c>
      <c r="J36" s="77" t="n">
        <v>3600000</v>
      </c>
      <c r="K36" s="77" t="n">
        <v>0</v>
      </c>
      <c r="L36" s="75" t="inlineStr">
        <is>
          <t>3 months</t>
        </is>
      </c>
      <c r="M36" s="75" t="inlineStr">
        <is>
          <t>Bought</t>
        </is>
      </c>
      <c r="N36" s="75" t="inlineStr">
        <is>
          <t>BLOCK C3</t>
        </is>
      </c>
      <c r="O36" s="75" t="inlineStr">
        <is>
          <t>Collected by client sister</t>
        </is>
      </c>
      <c r="P36" s="75" t="inlineStr">
        <is>
          <t>MD</t>
        </is>
      </c>
      <c r="Q36" s="75" t="inlineStr">
        <is>
          <t>BAAY PROJECTS CLIENTS &gt; GREEN CITY KETU 1 INVESTORS LIS</t>
        </is>
      </c>
      <c r="R36" s="75" t="n">
        <v>13</v>
      </c>
      <c r="S36" s="75" t="inlineStr">
        <is>
          <t>23/08/2023</t>
        </is>
      </c>
      <c r="T36" s="75" t="n"/>
    </row>
    <row r="37" ht="25" customHeight="1">
      <c r="A37" s="78" t="inlineStr">
        <is>
          <t>SB0016</t>
        </is>
      </c>
      <c r="B37" s="78" t="inlineStr">
        <is>
          <t>BP-C0021</t>
        </is>
      </c>
      <c r="C37" s="78" t="inlineStr">
        <is>
          <t>Mr Oyewole Sheriff Oyewusi</t>
        </is>
      </c>
      <c r="D37" s="78" t="inlineStr">
        <is>
          <t>Land</t>
        </is>
      </c>
      <c r="E37" s="78" t="inlineStr">
        <is>
          <t>Green City Phase 1 (Lantaba, Ketu-Epe)</t>
        </is>
      </c>
      <c r="F37" s="78" t="inlineStr">
        <is>
          <t>600sqm</t>
        </is>
      </c>
      <c r="G37" s="79" t="n">
        <v>45161</v>
      </c>
      <c r="H37" s="78" t="n">
        <v>2023</v>
      </c>
      <c r="I37" s="80" t="n">
        <v>3600000</v>
      </c>
      <c r="J37" s="80" t="n">
        <v>3600000</v>
      </c>
      <c r="K37" s="80" t="n">
        <v>0</v>
      </c>
      <c r="L37" s="78" t="inlineStr">
        <is>
          <t>3 months</t>
        </is>
      </c>
      <c r="M37" s="78" t="inlineStr">
        <is>
          <t>Bought</t>
        </is>
      </c>
      <c r="N37" s="78" t="inlineStr">
        <is>
          <t>BLOCK C6</t>
        </is>
      </c>
      <c r="O37" s="78" t="inlineStr">
        <is>
          <t>Yet to collect Physical Document</t>
        </is>
      </c>
      <c r="P37" s="78" t="inlineStr">
        <is>
          <t>Ms Bolanle</t>
        </is>
      </c>
      <c r="Q37" s="78" t="inlineStr">
        <is>
          <t>BAAY PROJECTS CLIENTS &gt; GREEN CITY KETU 1 INVESTORS LIS</t>
        </is>
      </c>
      <c r="R37" s="78" t="n">
        <v>12</v>
      </c>
      <c r="S37" s="78" t="inlineStr">
        <is>
          <t>23/08/2023</t>
        </is>
      </c>
      <c r="T37" s="78" t="n"/>
    </row>
    <row r="38" ht="25" customHeight="1">
      <c r="A38" s="75" t="inlineStr">
        <is>
          <t>SB0017</t>
        </is>
      </c>
      <c r="B38" s="75" t="inlineStr">
        <is>
          <t>BP-C0022</t>
        </is>
      </c>
      <c r="C38" s="75" t="inlineStr">
        <is>
          <t>Mr Folaranmi Olatunde</t>
        </is>
      </c>
      <c r="D38" s="75" t="inlineStr">
        <is>
          <t>Land</t>
        </is>
      </c>
      <c r="E38" s="75" t="inlineStr">
        <is>
          <t>Green City Phase 1 (Lantaba, Ketu-Epe)</t>
        </is>
      </c>
      <c r="F38" s="75" t="inlineStr">
        <is>
          <t>600sqm</t>
        </is>
      </c>
      <c r="G38" s="76" t="n">
        <v>45162</v>
      </c>
      <c r="H38" s="75" t="n">
        <v>2023</v>
      </c>
      <c r="I38" s="77" t="n">
        <v>1500000</v>
      </c>
      <c r="J38" s="77" t="n">
        <v>1500000</v>
      </c>
      <c r="K38" s="77" t="n">
        <v>0</v>
      </c>
      <c r="L38" s="75" t="inlineStr">
        <is>
          <t>3 months</t>
        </is>
      </c>
      <c r="M38" s="75" t="inlineStr">
        <is>
          <t>Bought</t>
        </is>
      </c>
      <c r="N38" s="75" t="inlineStr">
        <is>
          <t>BLOCK E2</t>
        </is>
      </c>
      <c r="O38" s="75" t="inlineStr">
        <is>
          <t>Collected by Client representative</t>
        </is>
      </c>
      <c r="P38" s="75" t="inlineStr">
        <is>
          <t>MD</t>
        </is>
      </c>
      <c r="Q38" s="75" t="inlineStr">
        <is>
          <t>BAAY PROJECTS CLIENTS &gt; GREEN CITY KETU 1 INVESTORS LIS</t>
        </is>
      </c>
      <c r="R38" s="75" t="n">
        <v>11</v>
      </c>
      <c r="S38" s="75" t="inlineStr">
        <is>
          <t>24/08/2023</t>
        </is>
      </c>
      <c r="T38" s="75" t="n"/>
    </row>
    <row r="39" ht="25" customHeight="1">
      <c r="A39" s="78" t="inlineStr">
        <is>
          <t>SB0018</t>
        </is>
      </c>
      <c r="B39" s="78" t="inlineStr">
        <is>
          <t>BP-C0023</t>
        </is>
      </c>
      <c r="C39" s="78" t="inlineStr">
        <is>
          <t>MR KOREDE ADESE</t>
        </is>
      </c>
      <c r="D39" s="78" t="inlineStr">
        <is>
          <t>Land</t>
        </is>
      </c>
      <c r="E39" s="78" t="inlineStr">
        <is>
          <t>Green City Phase 1 (Lantaba, Ketu-Epe)</t>
        </is>
      </c>
      <c r="F39" s="78" t="inlineStr">
        <is>
          <t>250sqm</t>
        </is>
      </c>
      <c r="G39" s="79" t="n">
        <v>45166</v>
      </c>
      <c r="H39" s="78" t="n">
        <v>2023</v>
      </c>
      <c r="I39" s="80" t="n">
        <v>3000000</v>
      </c>
      <c r="J39" s="80" t="n">
        <v>3000000</v>
      </c>
      <c r="K39" s="80" t="n">
        <v>0</v>
      </c>
      <c r="L39" s="78" t="inlineStr">
        <is>
          <t>3months</t>
        </is>
      </c>
      <c r="M39" s="78" t="inlineStr">
        <is>
          <t>Bought</t>
        </is>
      </c>
      <c r="N39" s="78" t="inlineStr">
        <is>
          <t>BLOCK D6b</t>
        </is>
      </c>
      <c r="O39" s="78" t="inlineStr">
        <is>
          <t>Physical Document Collected</t>
        </is>
      </c>
      <c r="P39" s="78" t="inlineStr">
        <is>
          <t>MD</t>
        </is>
      </c>
      <c r="Q39" s="78" t="inlineStr">
        <is>
          <t>BAAY PROJECTS CLIENTS &gt; GREEN CITY KETU 1 INVESTORS LIS</t>
        </is>
      </c>
      <c r="R39" s="78" t="n">
        <v>6</v>
      </c>
      <c r="S39" s="78" t="inlineStr">
        <is>
          <t>28/8/2023</t>
        </is>
      </c>
      <c r="T39" s="78" t="n"/>
    </row>
    <row r="40" ht="25" customHeight="1">
      <c r="A40" s="75" t="inlineStr">
        <is>
          <t>SB0019</t>
        </is>
      </c>
      <c r="B40" s="75" t="inlineStr">
        <is>
          <t>BP-C0024</t>
        </is>
      </c>
      <c r="C40" s="75" t="inlineStr">
        <is>
          <t>Ms Peace Ikpotokin</t>
        </is>
      </c>
      <c r="D40" s="75" t="inlineStr">
        <is>
          <t>Land</t>
        </is>
      </c>
      <c r="E40" s="75" t="inlineStr">
        <is>
          <t>Green City Phase 1 (Lantaba, Ketu-Epe)</t>
        </is>
      </c>
      <c r="F40" s="75" t="inlineStr">
        <is>
          <t>600sqm</t>
        </is>
      </c>
      <c r="G40" s="76" t="n">
        <v>45166</v>
      </c>
      <c r="H40" s="75" t="n">
        <v>2023</v>
      </c>
      <c r="I40" s="77" t="n">
        <v>3600000</v>
      </c>
      <c r="J40" s="77" t="n">
        <v>50000</v>
      </c>
      <c r="K40" s="77" t="n">
        <v>3550000</v>
      </c>
      <c r="L40" s="75" t="inlineStr">
        <is>
          <t>6months</t>
        </is>
      </c>
      <c r="M40" s="75" t="inlineStr">
        <is>
          <t>Promise</t>
        </is>
      </c>
      <c r="N40" s="75" t="inlineStr">
        <is>
          <t>NIL</t>
        </is>
      </c>
      <c r="O40" s="75" t="inlineStr">
        <is>
          <t>Initial deposit</t>
        </is>
      </c>
      <c r="P40" s="75" t="inlineStr">
        <is>
          <t>MD</t>
        </is>
      </c>
      <c r="Q40" s="75" t="inlineStr">
        <is>
          <t>BAAY PROJECTS CLIENTS &gt; GREEN CITY KETU 1 INVESTORS LIS</t>
        </is>
      </c>
      <c r="R40" s="75" t="n">
        <v>14</v>
      </c>
      <c r="S40" s="75" t="inlineStr">
        <is>
          <t>28/08/2023</t>
        </is>
      </c>
      <c r="T40" s="75" t="n"/>
    </row>
    <row r="41" ht="25" customHeight="1">
      <c r="A41" s="78" t="inlineStr">
        <is>
          <t>SB0020</t>
        </is>
      </c>
      <c r="B41" s="78" t="inlineStr">
        <is>
          <t>BP-C0025</t>
        </is>
      </c>
      <c r="C41" s="78" t="inlineStr">
        <is>
          <t>Mrs Obadara Dorcas Adebisi</t>
        </is>
      </c>
      <c r="D41" s="78" t="inlineStr">
        <is>
          <t>Land</t>
        </is>
      </c>
      <c r="E41" s="78" t="inlineStr">
        <is>
          <t>Green City Phase 1 (Lantaba, Ketu-Epe)</t>
        </is>
      </c>
      <c r="F41" s="78" t="inlineStr">
        <is>
          <t>250sqm</t>
        </is>
      </c>
      <c r="G41" s="79" t="n">
        <v>45173</v>
      </c>
      <c r="H41" s="78" t="n">
        <v>2023</v>
      </c>
      <c r="I41" s="80" t="n">
        <v>4320000</v>
      </c>
      <c r="J41" s="80" t="n">
        <v>4320000</v>
      </c>
      <c r="K41" s="80" t="n">
        <v>0</v>
      </c>
      <c r="L41" s="78" t="inlineStr">
        <is>
          <t>3 months</t>
        </is>
      </c>
      <c r="M41" s="78" t="inlineStr">
        <is>
          <t>Bought</t>
        </is>
      </c>
      <c r="N41" s="78" t="inlineStr">
        <is>
          <t>BLOCK D4A</t>
        </is>
      </c>
      <c r="O41" s="78" t="inlineStr">
        <is>
          <t>Collected by Client</t>
        </is>
      </c>
      <c r="P41" s="78" t="inlineStr">
        <is>
          <t>Barister Nelson</t>
        </is>
      </c>
      <c r="Q41" s="78" t="inlineStr">
        <is>
          <t>BAAY PROJECTS CLIENTS &gt; GREEN CITY KETU 1 INVESTORS LIS</t>
        </is>
      </c>
      <c r="R41" s="78" t="n">
        <v>15</v>
      </c>
      <c r="S41" s="78" t="inlineStr">
        <is>
          <t>2023-04-09</t>
        </is>
      </c>
      <c r="T41" s="78" t="n"/>
    </row>
    <row r="42" ht="25" customHeight="1">
      <c r="A42" s="75" t="inlineStr">
        <is>
          <t>SB0021</t>
        </is>
      </c>
      <c r="B42" s="75" t="inlineStr">
        <is>
          <t>BP-C0027</t>
        </is>
      </c>
      <c r="C42" s="75" t="inlineStr">
        <is>
          <t>Mr Edun Ayobami Simeon and bro</t>
        </is>
      </c>
      <c r="D42" s="75" t="inlineStr">
        <is>
          <t>Land</t>
        </is>
      </c>
      <c r="E42" s="75" t="inlineStr">
        <is>
          <t>Green City Phase 1 (Lantaba, Ketu-Epe)</t>
        </is>
      </c>
      <c r="F42" s="75" t="inlineStr">
        <is>
          <t>2 units of 600sqm</t>
        </is>
      </c>
      <c r="G42" s="76" t="n">
        <v>45190</v>
      </c>
      <c r="H42" s="75" t="n">
        <v>2023</v>
      </c>
      <c r="I42" s="77" t="n">
        <v>1500000</v>
      </c>
      <c r="J42" s="77" t="n">
        <v>1500000</v>
      </c>
      <c r="K42" s="77" t="n">
        <v>0</v>
      </c>
      <c r="L42" s="75" t="inlineStr">
        <is>
          <t>12 months</t>
        </is>
      </c>
      <c r="M42" s="75" t="inlineStr">
        <is>
          <t>Bought</t>
        </is>
      </c>
      <c r="N42" s="75" t="inlineStr">
        <is>
          <t>BLOCK F2345</t>
        </is>
      </c>
      <c r="O42" s="75" t="inlineStr">
        <is>
          <t>Collected by client</t>
        </is>
      </c>
      <c r="P42" s="75" t="inlineStr">
        <is>
          <t>Mr Olaiya/MD</t>
        </is>
      </c>
      <c r="Q42" s="75" t="inlineStr">
        <is>
          <t>BAAY PROJECTS CLIENTS &gt; GREEN CITY KETU 1 INVESTORS LIS</t>
        </is>
      </c>
      <c r="R42" s="75" t="n">
        <v>16</v>
      </c>
      <c r="S42" s="75" t="inlineStr">
        <is>
          <t>21/09/2023</t>
        </is>
      </c>
      <c r="T42" s="75" t="n"/>
    </row>
    <row r="43" ht="25" customHeight="1">
      <c r="A43" s="78" t="inlineStr">
        <is>
          <t>SB0022</t>
        </is>
      </c>
      <c r="B43" s="78" t="inlineStr">
        <is>
          <t>BP-C0026</t>
        </is>
      </c>
      <c r="C43" s="78" t="inlineStr">
        <is>
          <t>Mr &amp; Mrs Adebayo Dada</t>
        </is>
      </c>
      <c r="D43" s="78" t="inlineStr">
        <is>
          <t>Land</t>
        </is>
      </c>
      <c r="E43" s="78" t="inlineStr">
        <is>
          <t>Green City Phase 1 (Lantaba, Ketu-Epe)</t>
        </is>
      </c>
      <c r="F43" s="78" t="inlineStr">
        <is>
          <t>500sqm</t>
        </is>
      </c>
      <c r="G43" s="79" t="n">
        <v>45205</v>
      </c>
      <c r="H43" s="78" t="n">
        <v>2023</v>
      </c>
      <c r="I43" s="80" t="n">
        <v>8400000</v>
      </c>
      <c r="J43" s="80" t="n">
        <v>8400000</v>
      </c>
      <c r="K43" s="80" t="n">
        <v>0</v>
      </c>
      <c r="L43" s="78" t="inlineStr">
        <is>
          <t>3months</t>
        </is>
      </c>
      <c r="M43" s="78" t="inlineStr">
        <is>
          <t>Bought</t>
        </is>
      </c>
      <c r="N43" s="78" t="inlineStr">
        <is>
          <t>BLOCK D2</t>
        </is>
      </c>
      <c r="O43" s="78" t="inlineStr">
        <is>
          <t>Collected by Client's Brother</t>
        </is>
      </c>
      <c r="P43" s="78" t="inlineStr">
        <is>
          <t>Mrs Abimbola</t>
        </is>
      </c>
      <c r="Q43" s="78" t="inlineStr">
        <is>
          <t>BAAY PROJECTS CLIENTS &gt; GREEN CITY KETU 1 INVESTORS LIS</t>
        </is>
      </c>
      <c r="R43" s="78" t="n">
        <v>17</v>
      </c>
      <c r="S43" s="78" t="inlineStr">
        <is>
          <t>2023-06-10</t>
        </is>
      </c>
      <c r="T43" s="78" t="n"/>
    </row>
    <row r="44" ht="25" customHeight="1">
      <c r="A44" s="75" t="inlineStr">
        <is>
          <t>SB0023</t>
        </is>
      </c>
      <c r="B44" s="75" t="inlineStr">
        <is>
          <t>BP-C0031</t>
        </is>
      </c>
      <c r="C44" s="75" t="inlineStr">
        <is>
          <t>Mr Eguavoen Harrison</t>
        </is>
      </c>
      <c r="D44" s="75" t="inlineStr">
        <is>
          <t>Land</t>
        </is>
      </c>
      <c r="E44" s="75" t="inlineStr">
        <is>
          <t>Green City Agbowa</t>
        </is>
      </c>
      <c r="F44" s="75" t="inlineStr">
        <is>
          <t>250sqm</t>
        </is>
      </c>
      <c r="G44" s="76" t="n">
        <v>45209</v>
      </c>
      <c r="H44" s="75" t="n">
        <v>2023</v>
      </c>
      <c r="I44" s="77" t="n">
        <v>750000</v>
      </c>
      <c r="J44" s="77" t="n">
        <v>750000</v>
      </c>
      <c r="K44" s="77" t="n">
        <v>0</v>
      </c>
      <c r="L44" s="75" t="inlineStr">
        <is>
          <t>3months</t>
        </is>
      </c>
      <c r="M44" s="75" t="inlineStr">
        <is>
          <t>Refund</t>
        </is>
      </c>
      <c r="N44" s="75" t="n"/>
      <c r="O44" s="75" t="n"/>
      <c r="P44" s="75" t="inlineStr">
        <is>
          <t>Ms Blessing</t>
        </is>
      </c>
      <c r="Q44" s="75" t="inlineStr">
        <is>
          <t>BAAY PROJECTS CLIENTS &gt; GREENCITY AGBOWA</t>
        </is>
      </c>
      <c r="R44" s="75" t="n">
        <v>2</v>
      </c>
      <c r="S44" s="75" t="inlineStr">
        <is>
          <t>2023-10-10</t>
        </is>
      </c>
      <c r="T44" s="75" t="n"/>
    </row>
    <row r="45" ht="25" customHeight="1">
      <c r="A45" s="78" t="inlineStr">
        <is>
          <t>SB0024</t>
        </is>
      </c>
      <c r="B45" s="78" t="inlineStr">
        <is>
          <t>BP-C0032</t>
        </is>
      </c>
      <c r="C45" s="78" t="inlineStr">
        <is>
          <t>Mr Tomiwa Ibiks *********</t>
        </is>
      </c>
      <c r="D45" s="78" t="inlineStr">
        <is>
          <t>Land</t>
        </is>
      </c>
      <c r="E45" s="78" t="inlineStr">
        <is>
          <t>Green City Phase 1 (Lantaba, Ketu-Epe)</t>
        </is>
      </c>
      <c r="F45" s="78" t="inlineStr">
        <is>
          <t>600sqm</t>
        </is>
      </c>
      <c r="G45" s="79" t="n">
        <v>45209</v>
      </c>
      <c r="H45" s="78" t="n">
        <v>2023</v>
      </c>
      <c r="I45" s="80" t="n">
        <v>3600000</v>
      </c>
      <c r="J45" s="80" t="n">
        <v>1000000</v>
      </c>
      <c r="K45" s="80" t="n">
        <v>2600000</v>
      </c>
      <c r="L45" s="78" t="inlineStr">
        <is>
          <t>3months</t>
        </is>
      </c>
      <c r="M45" s="78" t="inlineStr">
        <is>
          <t>Paying</t>
        </is>
      </c>
      <c r="N45" s="78" t="inlineStr">
        <is>
          <t>Not Allocated Yet</t>
        </is>
      </c>
      <c r="O45" s="78" t="inlineStr">
        <is>
          <t>Not yet submitted subscription form</t>
        </is>
      </c>
      <c r="P45" s="78" t="inlineStr">
        <is>
          <t>MD</t>
        </is>
      </c>
      <c r="Q45" s="78" t="inlineStr">
        <is>
          <t>BAAY PROJECTS CLIENTS &gt; GREEN CITY KETU 1 INVESTORS LIS</t>
        </is>
      </c>
      <c r="R45" s="78" t="n">
        <v>24</v>
      </c>
      <c r="S45" s="78" t="inlineStr">
        <is>
          <t>2023-10-10</t>
        </is>
      </c>
      <c r="T45" s="78" t="n"/>
    </row>
    <row r="46" ht="25" customHeight="1">
      <c r="A46" s="75" t="inlineStr">
        <is>
          <t>SB0025</t>
        </is>
      </c>
      <c r="B46" s="75" t="inlineStr">
        <is>
          <t>BP-C0033</t>
        </is>
      </c>
      <c r="C46" s="75" t="inlineStr">
        <is>
          <t>Mr Olumoko Oladapo Oluwaseun</t>
        </is>
      </c>
      <c r="D46" s="75" t="inlineStr">
        <is>
          <t>Land</t>
        </is>
      </c>
      <c r="E46" s="75" t="inlineStr">
        <is>
          <t>Green City Phase 1 (Lantaba, Ketu-Epe)</t>
        </is>
      </c>
      <c r="F46" s="75" t="inlineStr">
        <is>
          <t>500sqm</t>
        </is>
      </c>
      <c r="G46" s="76" t="n">
        <v>45211</v>
      </c>
      <c r="H46" s="75" t="n">
        <v>2023</v>
      </c>
      <c r="I46" s="77" t="n">
        <v>6000000</v>
      </c>
      <c r="J46" s="77" t="n">
        <v>6000000</v>
      </c>
      <c r="K46" s="77" t="n">
        <v>0</v>
      </c>
      <c r="L46" s="75" t="inlineStr">
        <is>
          <t>3months</t>
        </is>
      </c>
      <c r="M46" s="75" t="inlineStr">
        <is>
          <t>Bought</t>
        </is>
      </c>
      <c r="N46" s="75" t="inlineStr">
        <is>
          <t>BLOCK C4</t>
        </is>
      </c>
      <c r="O46" s="75" t="inlineStr">
        <is>
          <t>Not yet Collected</t>
        </is>
      </c>
      <c r="P46" s="75" t="inlineStr">
        <is>
          <t>Ms Bolanle</t>
        </is>
      </c>
      <c r="Q46" s="75" t="inlineStr">
        <is>
          <t>BAAY PROJECTS CLIENTS &gt; GREEN CITY KETU 1 INVESTORS LIS + Foreshore financials sheet</t>
        </is>
      </c>
      <c r="R46" s="75" t="n">
        <v>21</v>
      </c>
      <c r="S46" s="75" t="inlineStr">
        <is>
          <t>2023-12-10</t>
        </is>
      </c>
      <c r="T46" s="75" t="n"/>
    </row>
    <row r="47" ht="25" customHeight="1">
      <c r="A47" s="78" t="inlineStr">
        <is>
          <t>SB0026</t>
        </is>
      </c>
      <c r="B47" s="78" t="inlineStr">
        <is>
          <t>BP-C0034</t>
        </is>
      </c>
      <c r="C47" s="78" t="inlineStr">
        <is>
          <t>Mrs Ndubuisi Ujunwa</t>
        </is>
      </c>
      <c r="D47" s="78" t="inlineStr">
        <is>
          <t>Land</t>
        </is>
      </c>
      <c r="E47" s="78" t="inlineStr">
        <is>
          <t>Green City Phase 1 (Lantaba, Ketu-Epe)</t>
        </is>
      </c>
      <c r="F47" s="78" t="inlineStr">
        <is>
          <t>250sqm</t>
        </is>
      </c>
      <c r="G47" s="79" t="n">
        <v>45211</v>
      </c>
      <c r="H47" s="78" t="n">
        <v>2023</v>
      </c>
      <c r="I47" s="80" t="n">
        <v>3900000</v>
      </c>
      <c r="J47" s="80" t="n">
        <v>3900000</v>
      </c>
      <c r="K47" s="80" t="n">
        <v>0</v>
      </c>
      <c r="L47" s="78" t="inlineStr">
        <is>
          <t>3 Months</t>
        </is>
      </c>
      <c r="M47" s="78" t="inlineStr">
        <is>
          <t>Bought</t>
        </is>
      </c>
      <c r="N47" s="78" t="inlineStr">
        <is>
          <t>BLOCK D3A</t>
        </is>
      </c>
      <c r="O47" s="78" t="inlineStr">
        <is>
          <t>Collected by Client</t>
        </is>
      </c>
      <c r="P47" s="78" t="inlineStr">
        <is>
          <t>Ms Immaculate</t>
        </is>
      </c>
      <c r="Q47" s="78" t="inlineStr">
        <is>
          <t>BAAY PROJECTS CLIENTS &gt; GREEN CITY KETU 1 INVESTORS LIS</t>
        </is>
      </c>
      <c r="R47" s="78" t="n">
        <v>22</v>
      </c>
      <c r="S47" s="78" t="inlineStr">
        <is>
          <t>2023-12-10</t>
        </is>
      </c>
      <c r="T47" s="78" t="n"/>
    </row>
    <row r="48" ht="25" customHeight="1">
      <c r="A48" s="75" t="inlineStr">
        <is>
          <t>SB0027</t>
        </is>
      </c>
      <c r="B48" s="75" t="inlineStr">
        <is>
          <t>BP-C0035</t>
        </is>
      </c>
      <c r="C48" s="75" t="inlineStr">
        <is>
          <t>Vacant</t>
        </is>
      </c>
      <c r="D48" s="75" t="inlineStr">
        <is>
          <t>Land</t>
        </is>
      </c>
      <c r="E48" s="75" t="inlineStr">
        <is>
          <t>Green City Phase 1 (Lantaba, Ketu-Epe)</t>
        </is>
      </c>
      <c r="F48" s="75" t="inlineStr">
        <is>
          <t>600sqm</t>
        </is>
      </c>
      <c r="G48" s="76" t="n">
        <v>45211</v>
      </c>
      <c r="H48" s="75" t="n">
        <v>2023</v>
      </c>
      <c r="I48" s="77" t="n">
        <v>1500000</v>
      </c>
      <c r="J48" s="77" t="n">
        <v>1500000</v>
      </c>
      <c r="K48" s="77" t="n">
        <v>0</v>
      </c>
      <c r="L48" s="75" t="inlineStr">
        <is>
          <t>3months</t>
        </is>
      </c>
      <c r="M48" s="75" t="inlineStr">
        <is>
          <t>bought</t>
        </is>
      </c>
      <c r="N48" s="75" t="inlineStr">
        <is>
          <t>BLOCK C2</t>
        </is>
      </c>
      <c r="O48" s="75" t="inlineStr">
        <is>
          <t>Yet to collect Physical Document</t>
        </is>
      </c>
      <c r="P48" s="75" t="inlineStr">
        <is>
          <t>MD</t>
        </is>
      </c>
      <c r="Q48" s="75" t="inlineStr">
        <is>
          <t>BAAY PROJECTS CLIENTS &gt; GREEN CITY KETU 1 INVESTORS LIS</t>
        </is>
      </c>
      <c r="R48" s="75" t="n">
        <v>23</v>
      </c>
      <c r="S48" s="75" t="inlineStr">
        <is>
          <t>2023-12-10</t>
        </is>
      </c>
      <c r="T48" s="75" t="n"/>
    </row>
    <row r="49" ht="25" customHeight="1">
      <c r="A49" s="78" t="inlineStr">
        <is>
          <t>SB0028</t>
        </is>
      </c>
      <c r="B49" s="78" t="inlineStr">
        <is>
          <t>BP-C0037</t>
        </is>
      </c>
      <c r="C49" s="78" t="inlineStr">
        <is>
          <t>Miss Okezie Mandy Ifeoma</t>
        </is>
      </c>
      <c r="D49" s="78" t="inlineStr">
        <is>
          <t>Land</t>
        </is>
      </c>
      <c r="E49" s="78" t="inlineStr">
        <is>
          <t>Green City Phase 1 (Lantaba, Ketu-Epe)</t>
        </is>
      </c>
      <c r="F49" s="78" t="inlineStr">
        <is>
          <t>250sqm</t>
        </is>
      </c>
      <c r="G49" s="79" t="n">
        <v>45228</v>
      </c>
      <c r="H49" s="78" t="n">
        <v>2023</v>
      </c>
      <c r="I49" s="80" t="n">
        <v>4600000</v>
      </c>
      <c r="J49" s="80" t="n">
        <v>4600000</v>
      </c>
      <c r="K49" s="80" t="n">
        <v>0</v>
      </c>
      <c r="L49" s="78" t="inlineStr">
        <is>
          <t>3 Months</t>
        </is>
      </c>
      <c r="M49" s="78" t="inlineStr">
        <is>
          <t>Bought</t>
        </is>
      </c>
      <c r="N49" s="78" t="inlineStr">
        <is>
          <t>BLOCK D3B</t>
        </is>
      </c>
      <c r="O49" s="78" t="inlineStr">
        <is>
          <t>Collected by Client</t>
        </is>
      </c>
      <c r="P49" s="78" t="inlineStr">
        <is>
          <t>Celina</t>
        </is>
      </c>
      <c r="Q49" s="78" t="inlineStr">
        <is>
          <t>BAAY PROJECTS CLIENTS &gt; GREEN CITY KETU 1 INVESTORS LIS</t>
        </is>
      </c>
      <c r="R49" s="78" t="n">
        <v>25</v>
      </c>
      <c r="S49" s="78" t="inlineStr">
        <is>
          <t>29/10/2023</t>
        </is>
      </c>
      <c r="T49" s="78" t="n"/>
    </row>
    <row r="50" ht="25" customHeight="1">
      <c r="A50" s="75" t="inlineStr">
        <is>
          <t>SB0029</t>
        </is>
      </c>
      <c r="B50" s="75" t="inlineStr">
        <is>
          <t>BP-C0040</t>
        </is>
      </c>
      <c r="C50" s="75" t="inlineStr">
        <is>
          <t>Bassey Christopher</t>
        </is>
      </c>
      <c r="D50" s="75" t="inlineStr">
        <is>
          <t>Land</t>
        </is>
      </c>
      <c r="E50" s="75" t="inlineStr">
        <is>
          <t>Green City Phase 1 (Lantaba, Ketu-Epe)</t>
        </is>
      </c>
      <c r="F50" s="75" t="inlineStr">
        <is>
          <t>1000sqm &amp; 600sqm</t>
        </is>
      </c>
      <c r="G50" s="76" t="n">
        <v>45229</v>
      </c>
      <c r="H50" s="75" t="n">
        <v>2023</v>
      </c>
      <c r="I50" s="77" t="n">
        <v>2000000</v>
      </c>
      <c r="J50" s="77" t="n">
        <v>2000000</v>
      </c>
      <c r="K50" s="77" t="n">
        <v>0</v>
      </c>
      <c r="L50" s="75" t="inlineStr">
        <is>
          <t>3 Months</t>
        </is>
      </c>
      <c r="M50" s="75" t="inlineStr">
        <is>
          <t>Bought</t>
        </is>
      </c>
      <c r="N50" s="75" t="inlineStr">
        <is>
          <t>BLOCK A45</t>
        </is>
      </c>
      <c r="O50" s="75" t="inlineStr">
        <is>
          <t>Collected by Client</t>
        </is>
      </c>
      <c r="P50" s="75" t="inlineStr">
        <is>
          <t>Ms Immaculate</t>
        </is>
      </c>
      <c r="Q50" s="75" t="inlineStr">
        <is>
          <t>BAAY PROJECTS CLIENTS &gt; GREEN CITY KETU 1 INVESTORS LIS</t>
        </is>
      </c>
      <c r="R50" s="75" t="n">
        <v>26</v>
      </c>
      <c r="S50" s="75" t="inlineStr">
        <is>
          <t>30/10/2023</t>
        </is>
      </c>
      <c r="T50" s="75" t="n"/>
    </row>
    <row r="51" ht="25" customHeight="1">
      <c r="A51" s="78" t="inlineStr">
        <is>
          <t>SB0030</t>
        </is>
      </c>
      <c r="B51" s="78" t="inlineStr">
        <is>
          <t>BP-C0029</t>
        </is>
      </c>
      <c r="C51" s="78" t="inlineStr">
        <is>
          <t>Mr Ohanehi Anthony Chukwunonso</t>
        </is>
      </c>
      <c r="D51" s="78" t="inlineStr">
        <is>
          <t>Land</t>
        </is>
      </c>
      <c r="E51" s="78" t="inlineStr">
        <is>
          <t>Green City Phase 1 (Lantaba, Ketu-Epe)</t>
        </is>
      </c>
      <c r="F51" s="78" t="inlineStr">
        <is>
          <t>600sqm Commercial</t>
        </is>
      </c>
      <c r="G51" s="79" t="n">
        <v>45229</v>
      </c>
      <c r="H51" s="78" t="n">
        <v>2023</v>
      </c>
      <c r="I51" s="80" t="n">
        <v>3000000</v>
      </c>
      <c r="J51" s="80" t="n">
        <v>9540000</v>
      </c>
      <c r="K51" s="80" t="n">
        <v>-6540000</v>
      </c>
      <c r="L51" s="78" t="inlineStr">
        <is>
          <t>6 Months</t>
        </is>
      </c>
      <c r="M51" s="78" t="inlineStr">
        <is>
          <t>Bought</t>
        </is>
      </c>
      <c r="N51" s="78" t="inlineStr">
        <is>
          <t>BLOCK A678</t>
        </is>
      </c>
      <c r="O51" s="78" t="inlineStr">
        <is>
          <t>Collected by Client</t>
        </is>
      </c>
      <c r="P51" s="78" t="inlineStr">
        <is>
          <t>Ms Immaculate</t>
        </is>
      </c>
      <c r="Q51" s="78" t="inlineStr">
        <is>
          <t>BAAY PROJECTS CLIENTS &gt; GREEN CITY KETU 1 INVESTORS LIS + Foreshore financials sheet</t>
        </is>
      </c>
      <c r="R51" s="78" t="n">
        <v>19</v>
      </c>
      <c r="S51" s="78" t="inlineStr">
        <is>
          <t>2023-10-30</t>
        </is>
      </c>
      <c r="T51" s="78" t="n"/>
    </row>
    <row r="52" ht="25" customHeight="1">
      <c r="A52" s="75" t="inlineStr">
        <is>
          <t>SB0031</t>
        </is>
      </c>
      <c r="B52" s="75" t="inlineStr">
        <is>
          <t>BP-C0036</t>
        </is>
      </c>
      <c r="C52" s="75" t="inlineStr">
        <is>
          <t>Ohumende Paul Osaze</t>
        </is>
      </c>
      <c r="D52" s="75" t="inlineStr">
        <is>
          <t>Land</t>
        </is>
      </c>
      <c r="E52" s="75" t="inlineStr">
        <is>
          <t>Green City Phase 1 (Lantaba, Ketu-Epe)</t>
        </is>
      </c>
      <c r="F52" s="75" t="inlineStr">
        <is>
          <t>600sqm (6 Units)</t>
        </is>
      </c>
      <c r="G52" s="76" t="n">
        <v>45232</v>
      </c>
      <c r="H52" s="75" t="n">
        <v>2023</v>
      </c>
      <c r="I52" s="77" t="n">
        <v>15000000</v>
      </c>
      <c r="J52" s="77" t="n">
        <v>15000000</v>
      </c>
      <c r="K52" s="77" t="n">
        <v>0</v>
      </c>
      <c r="L52" s="75" t="inlineStr">
        <is>
          <t>3 months</t>
        </is>
      </c>
      <c r="M52" s="75" t="inlineStr">
        <is>
          <t>Bought</t>
        </is>
      </c>
      <c r="N52" s="75" t="inlineStr">
        <is>
          <t>BLOCK H123456</t>
        </is>
      </c>
      <c r="O52" s="75" t="inlineStr">
        <is>
          <t>Collected by Client</t>
        </is>
      </c>
      <c r="P52" s="75" t="inlineStr">
        <is>
          <t>MD</t>
        </is>
      </c>
      <c r="Q52" s="75" t="inlineStr">
        <is>
          <t>BAAY PROJECTS CLIENTS &gt; GREEN CITY KETU 1 INVESTORS LIS</t>
        </is>
      </c>
      <c r="R52" s="75" t="n">
        <v>27</v>
      </c>
      <c r="S52" s="75" t="inlineStr">
        <is>
          <t>2023-02-11</t>
        </is>
      </c>
      <c r="T52" s="75" t="n"/>
    </row>
    <row r="53" ht="25" customHeight="1">
      <c r="A53" s="78" t="inlineStr">
        <is>
          <t>SB0032</t>
        </is>
      </c>
      <c r="B53" s="78" t="inlineStr">
        <is>
          <t>BP-C0041</t>
        </is>
      </c>
      <c r="C53" s="78" t="inlineStr">
        <is>
          <t>Alhaji Badamasi Mohammadu</t>
        </is>
      </c>
      <c r="D53" s="78" t="inlineStr">
        <is>
          <t>Land</t>
        </is>
      </c>
      <c r="E53" s="78" t="inlineStr">
        <is>
          <t>Green City Phase 1 (Lantaba, Ketu-Epe)</t>
        </is>
      </c>
      <c r="F53" s="78" t="inlineStr">
        <is>
          <t>500sqm</t>
        </is>
      </c>
      <c r="G53" s="79" t="n">
        <v>45233</v>
      </c>
      <c r="H53" s="78" t="n">
        <v>2023</v>
      </c>
      <c r="I53" s="80" t="n">
        <v>27600000</v>
      </c>
      <c r="J53" s="80" t="n">
        <v>27600000</v>
      </c>
      <c r="K53" s="80" t="n">
        <v>0</v>
      </c>
      <c r="L53" s="78" t="inlineStr">
        <is>
          <t>3 months</t>
        </is>
      </c>
      <c r="M53" s="78" t="inlineStr">
        <is>
          <t>Bought</t>
        </is>
      </c>
      <c r="N53" s="78" t="inlineStr">
        <is>
          <t>BLOCK G1</t>
        </is>
      </c>
      <c r="O53" s="78" t="inlineStr">
        <is>
          <t>Collected by Client</t>
        </is>
      </c>
      <c r="P53" s="78" t="inlineStr">
        <is>
          <t>Ms Tobi Associate</t>
        </is>
      </c>
      <c r="Q53" s="78" t="inlineStr">
        <is>
          <t>BAAY PROJECTS CLIENTS &gt; GREEN CITY KETU 1 INVESTORS LIS</t>
        </is>
      </c>
      <c r="R53" s="78" t="n">
        <v>28</v>
      </c>
      <c r="S53" s="78" t="inlineStr">
        <is>
          <t>2023-03-11</t>
        </is>
      </c>
      <c r="T53" s="78" t="n"/>
    </row>
    <row r="54" ht="25" customHeight="1">
      <c r="A54" s="75" t="inlineStr">
        <is>
          <t>SB0033</t>
        </is>
      </c>
      <c r="B54" s="75" t="inlineStr">
        <is>
          <t>BP-C0043</t>
        </is>
      </c>
      <c r="C54" s="75" t="inlineStr">
        <is>
          <t>Mrs Oladiran Omolola Agnes</t>
        </is>
      </c>
      <c r="D54" s="75" t="inlineStr">
        <is>
          <t>Land</t>
        </is>
      </c>
      <c r="E54" s="75" t="inlineStr">
        <is>
          <t>Green City Agbowa</t>
        </is>
      </c>
      <c r="F54" s="75" t="inlineStr">
        <is>
          <t>250sqm</t>
        </is>
      </c>
      <c r="G54" s="76" t="n">
        <v>45239</v>
      </c>
      <c r="H54" s="75" t="n">
        <v>2023</v>
      </c>
      <c r="I54" s="77" t="n">
        <v>750000</v>
      </c>
      <c r="J54" s="77" t="n">
        <v>750000</v>
      </c>
      <c r="K54" s="77" t="n">
        <v>0</v>
      </c>
      <c r="L54" s="75" t="inlineStr">
        <is>
          <t>3 Months</t>
        </is>
      </c>
      <c r="M54" s="75" t="inlineStr">
        <is>
          <t>Convert to ketu 2</t>
        </is>
      </c>
      <c r="N54" s="75" t="n"/>
      <c r="O54" s="75" t="n"/>
      <c r="P54" s="75" t="inlineStr">
        <is>
          <t>Mr Pelumi</t>
        </is>
      </c>
      <c r="Q54" s="75" t="inlineStr">
        <is>
          <t>BAAY PROJECTS CLIENTS &gt; GREENCITY AGBOWA</t>
        </is>
      </c>
      <c r="R54" s="75" t="n">
        <v>3</v>
      </c>
      <c r="S54" s="75" t="inlineStr">
        <is>
          <t>2023-09-11</t>
        </is>
      </c>
      <c r="T54" s="75" t="n"/>
    </row>
    <row r="55" ht="25" customHeight="1">
      <c r="A55" s="78" t="inlineStr">
        <is>
          <t>SB0034</t>
        </is>
      </c>
      <c r="B55" s="78" t="inlineStr">
        <is>
          <t>BP-C0044</t>
        </is>
      </c>
      <c r="C55" s="78" t="inlineStr">
        <is>
          <t>Oluwase Babajide Victor</t>
        </is>
      </c>
      <c r="D55" s="78" t="inlineStr">
        <is>
          <t>Land</t>
        </is>
      </c>
      <c r="E55" s="78" t="inlineStr">
        <is>
          <t>Green City Phase 1 (Lantaba, Ketu-Epe)</t>
        </is>
      </c>
      <c r="F55" s="78" t="inlineStr">
        <is>
          <t>600sqm</t>
        </is>
      </c>
      <c r="G55" s="79" t="n">
        <v>45239</v>
      </c>
      <c r="H55" s="78" t="n">
        <v>2023</v>
      </c>
      <c r="I55" s="80" t="n">
        <v>5290000</v>
      </c>
      <c r="J55" s="80" t="n">
        <v>5290000</v>
      </c>
      <c r="K55" s="80" t="n">
        <v>0</v>
      </c>
      <c r="L55" s="78" t="inlineStr">
        <is>
          <t>6 Months</t>
        </is>
      </c>
      <c r="M55" s="78" t="inlineStr">
        <is>
          <t>Bought</t>
        </is>
      </c>
      <c r="N55" s="78" t="inlineStr">
        <is>
          <t>BLOCK F7</t>
        </is>
      </c>
      <c r="O55" s="78" t="inlineStr">
        <is>
          <t>Collected by Client</t>
        </is>
      </c>
      <c r="P55" s="78" t="inlineStr">
        <is>
          <t>MD</t>
        </is>
      </c>
      <c r="Q55" s="78" t="inlineStr">
        <is>
          <t>BAAY PROJECTS CLIENTS &gt; GREEN CITY KETU 1 INVESTORS LIS</t>
        </is>
      </c>
      <c r="R55" s="78" t="n">
        <v>30</v>
      </c>
      <c r="S55" s="78" t="inlineStr">
        <is>
          <t>2023-09-11</t>
        </is>
      </c>
      <c r="T55" s="78" t="n"/>
    </row>
    <row r="56" ht="25" customHeight="1">
      <c r="A56" s="75" t="inlineStr">
        <is>
          <t>SB0035</t>
        </is>
      </c>
      <c r="B56" s="75" t="inlineStr">
        <is>
          <t>BP-C0043</t>
        </is>
      </c>
      <c r="C56" s="75" t="inlineStr">
        <is>
          <t>Mrs Oladiran Omolola</t>
        </is>
      </c>
      <c r="D56" s="75" t="inlineStr">
        <is>
          <t>Land</t>
        </is>
      </c>
      <c r="E56" s="75" t="inlineStr">
        <is>
          <t>Green City Phase 2 (Ketu-Epe)</t>
        </is>
      </c>
      <c r="F56" s="75" t="inlineStr">
        <is>
          <t>250sqm</t>
        </is>
      </c>
      <c r="G56" s="76" t="n">
        <v>45239</v>
      </c>
      <c r="H56" s="75" t="n">
        <v>2023</v>
      </c>
      <c r="I56" s="77" t="n">
        <v>1300000</v>
      </c>
      <c r="J56" s="77" t="n"/>
      <c r="K56" s="77" t="n"/>
      <c r="L56" s="75" t="inlineStr">
        <is>
          <t>6 Months</t>
        </is>
      </c>
      <c r="M56" s="75" t="inlineStr">
        <is>
          <t>REFUND</t>
        </is>
      </c>
      <c r="N56" s="75" t="inlineStr">
        <is>
          <t>BLOCK E, PLOT 6</t>
        </is>
      </c>
      <c r="O56" s="75" t="inlineStr">
        <is>
          <t>Not yet Processed</t>
        </is>
      </c>
      <c r="P56" s="75" t="inlineStr">
        <is>
          <t>Pelumi</t>
        </is>
      </c>
      <c r="Q56" s="75" t="inlineStr">
        <is>
          <t>BAAY PROJECTS CLIENTS &gt; GREEN CITY KETU EPE 2</t>
        </is>
      </c>
      <c r="R56" s="75" t="n">
        <v>9</v>
      </c>
      <c r="S56" s="75" t="inlineStr">
        <is>
          <t>2023-09-11</t>
        </is>
      </c>
      <c r="T56" s="75" t="inlineStr">
        <is>
          <t>Paid-to-date in source: REFUND</t>
        </is>
      </c>
    </row>
    <row r="57" ht="25" customHeight="1">
      <c r="A57" s="78" t="inlineStr">
        <is>
          <t>SB0036</t>
        </is>
      </c>
      <c r="B57" s="78" t="inlineStr">
        <is>
          <t>BP-C0045</t>
        </is>
      </c>
      <c r="C57" s="78" t="inlineStr">
        <is>
          <t>Bolarinwa Iyanuoluwa Simon</t>
        </is>
      </c>
      <c r="D57" s="78" t="inlineStr">
        <is>
          <t>Land</t>
        </is>
      </c>
      <c r="E57" s="78" t="inlineStr">
        <is>
          <t>Green City Phase 1 (Lantaba, Ketu-Epe)</t>
        </is>
      </c>
      <c r="F57" s="78" t="inlineStr">
        <is>
          <t>600sqm</t>
        </is>
      </c>
      <c r="G57" s="79" t="n">
        <v>45245</v>
      </c>
      <c r="H57" s="78" t="n">
        <v>2023</v>
      </c>
      <c r="I57" s="80" t="n">
        <v>5290000</v>
      </c>
      <c r="J57" s="80" t="n">
        <v>5290000</v>
      </c>
      <c r="K57" s="80" t="n">
        <v>0</v>
      </c>
      <c r="L57" s="78" t="inlineStr">
        <is>
          <t>3 Months</t>
        </is>
      </c>
      <c r="M57" s="78" t="inlineStr">
        <is>
          <t>Bought</t>
        </is>
      </c>
      <c r="N57" s="78" t="inlineStr">
        <is>
          <t>BLOCK E3</t>
        </is>
      </c>
      <c r="O57" s="78" t="inlineStr">
        <is>
          <t>Collected by Client</t>
        </is>
      </c>
      <c r="P57" s="78" t="inlineStr">
        <is>
          <t>MD</t>
        </is>
      </c>
      <c r="Q57" s="78" t="inlineStr">
        <is>
          <t>BAAY PROJECTS CLIENTS &gt; GREEN CITY KETU 1 INVESTORS LIS</t>
        </is>
      </c>
      <c r="R57" s="78" t="n">
        <v>31</v>
      </c>
      <c r="S57" s="78" t="inlineStr">
        <is>
          <t>15/11/2023</t>
        </is>
      </c>
      <c r="T57" s="78" t="n"/>
    </row>
    <row r="58" ht="25" customHeight="1">
      <c r="A58" s="75" t="inlineStr">
        <is>
          <t>SB0037</t>
        </is>
      </c>
      <c r="B58" s="75" t="inlineStr">
        <is>
          <t>BP-C0047</t>
        </is>
      </c>
      <c r="C58" s="75" t="inlineStr">
        <is>
          <t>Ms Paulina Kehinde Akhere George</t>
        </is>
      </c>
      <c r="D58" s="75" t="inlineStr">
        <is>
          <t>Housing</t>
        </is>
      </c>
      <c r="E58" s="75" t="inlineStr">
        <is>
          <t>Pacific Court</t>
        </is>
      </c>
      <c r="F58" s="75" t="inlineStr">
        <is>
          <t>Land | units: 1.0</t>
        </is>
      </c>
      <c r="G58" s="76" t="n">
        <v>45261</v>
      </c>
      <c r="H58" s="75" t="n">
        <v>2023</v>
      </c>
      <c r="I58" s="77" t="n">
        <v>21500000</v>
      </c>
      <c r="J58" s="77" t="n"/>
      <c r="K58" s="77" t="n"/>
      <c r="L58" s="75" t="inlineStr">
        <is>
          <t>3 MONTHS</t>
        </is>
      </c>
      <c r="M58" s="75" t="inlineStr">
        <is>
          <t>PAID</t>
        </is>
      </c>
      <c r="N58" s="75" t="n"/>
      <c r="O58" s="75" t="n"/>
      <c r="P58" s="75" t="inlineStr">
        <is>
          <t>Barr. Amokeodo</t>
        </is>
      </c>
      <c r="Q58" s="75" t="inlineStr">
        <is>
          <t>BAAY PROJECTS CLIENTS &gt; PACIFIC COURT INVESTORS LIST</t>
        </is>
      </c>
      <c r="R58" s="75" t="n">
        <v>10</v>
      </c>
      <c r="S58" s="75" t="inlineStr">
        <is>
          <t>2023-12-01</t>
        </is>
      </c>
      <c r="T58" s="75" t="n"/>
    </row>
    <row r="59" ht="25" customHeight="1">
      <c r="A59" s="78" t="inlineStr">
        <is>
          <t>SB0038</t>
        </is>
      </c>
      <c r="B59" s="78" t="inlineStr">
        <is>
          <t>BP-C0048</t>
        </is>
      </c>
      <c r="C59" s="78" t="inlineStr">
        <is>
          <t>Mr Araokonmi Sodiq Ayinla</t>
        </is>
      </c>
      <c r="D59" s="78" t="inlineStr">
        <is>
          <t>Land</t>
        </is>
      </c>
      <c r="E59" s="78" t="inlineStr">
        <is>
          <t>Green City Phase 1 (Lantaba, Ketu-Epe)</t>
        </is>
      </c>
      <c r="F59" s="78" t="inlineStr">
        <is>
          <t>250sqm</t>
        </is>
      </c>
      <c r="G59" s="79" t="n">
        <v>45268</v>
      </c>
      <c r="H59" s="78" t="n">
        <v>2023</v>
      </c>
      <c r="I59" s="80" t="n">
        <v>5040000</v>
      </c>
      <c r="J59" s="80" t="n">
        <v>5040000</v>
      </c>
      <c r="K59" s="80" t="n">
        <v>0</v>
      </c>
      <c r="L59" s="78" t="inlineStr">
        <is>
          <t>3 Months</t>
        </is>
      </c>
      <c r="M59" s="78" t="inlineStr">
        <is>
          <t>Bought</t>
        </is>
      </c>
      <c r="N59" s="78" t="inlineStr">
        <is>
          <t>BLOCK A12</t>
        </is>
      </c>
      <c r="O59" s="78" t="inlineStr">
        <is>
          <t>Collected by Rep</t>
        </is>
      </c>
      <c r="P59" s="78" t="inlineStr">
        <is>
          <t>Yetunde/MD</t>
        </is>
      </c>
      <c r="Q59" s="78" t="inlineStr">
        <is>
          <t>BAAY PROJECTS CLIENTS &gt; GREEN CITY KETU 1 INVESTORS LIS</t>
        </is>
      </c>
      <c r="R59" s="78" t="n">
        <v>33</v>
      </c>
      <c r="S59" s="78" t="inlineStr">
        <is>
          <t>2023-08-12</t>
        </is>
      </c>
      <c r="T59" s="78" t="n"/>
    </row>
    <row r="60" ht="25" customHeight="1">
      <c r="A60" s="75" t="inlineStr">
        <is>
          <t>SB0039</t>
        </is>
      </c>
      <c r="B60" s="75" t="inlineStr">
        <is>
          <t>BP-C0049</t>
        </is>
      </c>
      <c r="C60" s="75" t="inlineStr">
        <is>
          <t>Mr Ali Ifesinachi Innocent</t>
        </is>
      </c>
      <c r="D60" s="75" t="inlineStr">
        <is>
          <t>Land</t>
        </is>
      </c>
      <c r="E60" s="75" t="inlineStr">
        <is>
          <t>Green City Phase 1 (Lantaba, Ketu-Epe)</t>
        </is>
      </c>
      <c r="F60" s="75" t="inlineStr">
        <is>
          <t>500sqm</t>
        </is>
      </c>
      <c r="G60" s="76" t="n">
        <v>45271</v>
      </c>
      <c r="H60" s="75" t="n">
        <v>2023</v>
      </c>
      <c r="I60" s="77" t="n">
        <v>2743680</v>
      </c>
      <c r="J60" s="77" t="n">
        <v>2743680</v>
      </c>
      <c r="K60" s="77" t="n">
        <v>0</v>
      </c>
      <c r="L60" s="75" t="inlineStr">
        <is>
          <t>3 Months</t>
        </is>
      </c>
      <c r="M60" s="75" t="inlineStr">
        <is>
          <t>Bought</t>
        </is>
      </c>
      <c r="N60" s="75" t="inlineStr">
        <is>
          <t>BLOCK G3</t>
        </is>
      </c>
      <c r="O60" s="75" t="inlineStr">
        <is>
          <t>Collected by rep (Miss Ude Ifunaya)</t>
        </is>
      </c>
      <c r="P60" s="75" t="inlineStr">
        <is>
          <t>MD</t>
        </is>
      </c>
      <c r="Q60" s="75" t="inlineStr">
        <is>
          <t>BAAY PROJECTS CLIENTS &gt; GREEN CITY KETU 1 INVESTORS LIS</t>
        </is>
      </c>
      <c r="R60" s="75" t="n">
        <v>32</v>
      </c>
      <c r="S60" s="75" t="inlineStr">
        <is>
          <t>2023-11-12</t>
        </is>
      </c>
      <c r="T60" s="75" t="n"/>
    </row>
    <row r="61" ht="25" customHeight="1">
      <c r="A61" s="78" t="inlineStr">
        <is>
          <t>SB0040</t>
        </is>
      </c>
      <c r="B61" s="78" t="inlineStr">
        <is>
          <t>BP-C0050</t>
        </is>
      </c>
      <c r="C61" s="78" t="inlineStr">
        <is>
          <t>Mr Atuanya Patrick Jideovo</t>
        </is>
      </c>
      <c r="D61" s="78" t="inlineStr">
        <is>
          <t>Land</t>
        </is>
      </c>
      <c r="E61" s="78" t="inlineStr">
        <is>
          <t>Green City Phase 1 (Lantaba, Ketu-Epe)</t>
        </is>
      </c>
      <c r="F61" s="78" t="inlineStr">
        <is>
          <t>500sqm</t>
        </is>
      </c>
      <c r="G61" s="79" t="n">
        <v>45274</v>
      </c>
      <c r="H61" s="78" t="n">
        <v>2023</v>
      </c>
      <c r="I61" s="80" t="n">
        <v>2600000</v>
      </c>
      <c r="J61" s="80" t="n">
        <v>2600000</v>
      </c>
      <c r="K61" s="80" t="n">
        <v>0</v>
      </c>
      <c r="L61" s="78" t="inlineStr">
        <is>
          <t>6 Months</t>
        </is>
      </c>
      <c r="M61" s="78" t="inlineStr">
        <is>
          <t>Bought</t>
        </is>
      </c>
      <c r="N61" s="78" t="inlineStr">
        <is>
          <t>BLOCK G4</t>
        </is>
      </c>
      <c r="O61" s="78" t="inlineStr">
        <is>
          <t>Collected by client</t>
        </is>
      </c>
      <c r="P61" s="78" t="inlineStr">
        <is>
          <t>Yetunde/MD</t>
        </is>
      </c>
      <c r="Q61" s="78" t="inlineStr">
        <is>
          <t>BAAY PROJECTS CLIENTS &gt; GREEN CITY KETU 1 INVESTORS LIS</t>
        </is>
      </c>
      <c r="R61" s="78" t="n">
        <v>34</v>
      </c>
      <c r="S61" s="78" t="inlineStr">
        <is>
          <t>14/12/2023</t>
        </is>
      </c>
      <c r="T61" s="78" t="n"/>
    </row>
    <row r="62" ht="25" customHeight="1">
      <c r="A62" s="75" t="inlineStr">
        <is>
          <t>SB0041</t>
        </is>
      </c>
      <c r="B62" s="75" t="inlineStr">
        <is>
          <t>BP-C0023</t>
        </is>
      </c>
      <c r="C62" s="75" t="inlineStr">
        <is>
          <t>MR KOREDE ADESE</t>
        </is>
      </c>
      <c r="D62" s="75" t="inlineStr">
        <is>
          <t>Land</t>
        </is>
      </c>
      <c r="E62" s="75" t="inlineStr">
        <is>
          <t>Green City Agbowa</t>
        </is>
      </c>
      <c r="F62" s="75" t="inlineStr">
        <is>
          <t>500sqm</t>
        </is>
      </c>
      <c r="G62" s="76" t="n">
        <v>45278</v>
      </c>
      <c r="H62" s="75" t="n">
        <v>2023</v>
      </c>
      <c r="I62" s="77" t="n">
        <v>2200000</v>
      </c>
      <c r="J62" s="77" t="n">
        <v>500000</v>
      </c>
      <c r="K62" s="77" t="n">
        <v>1700000</v>
      </c>
      <c r="L62" s="75" t="inlineStr">
        <is>
          <t>8 Months</t>
        </is>
      </c>
      <c r="M62" s="75" t="inlineStr">
        <is>
          <t>Paying</t>
        </is>
      </c>
      <c r="N62" s="75" t="n"/>
      <c r="O62" s="75" t="n"/>
      <c r="P62" s="75" t="inlineStr">
        <is>
          <t>MD</t>
        </is>
      </c>
      <c r="Q62" s="75" t="inlineStr">
        <is>
          <t>BAAY PROJECTS CLIENTS &gt; GREENCITY AGBOWA</t>
        </is>
      </c>
      <c r="R62" s="75" t="n">
        <v>4</v>
      </c>
      <c r="S62" s="75" t="inlineStr">
        <is>
          <t>18/12/2023</t>
        </is>
      </c>
      <c r="T62" s="75" t="n"/>
    </row>
    <row r="63" ht="25" customHeight="1">
      <c r="A63" s="78" t="inlineStr">
        <is>
          <t>SB0042</t>
        </is>
      </c>
      <c r="B63" s="78" t="inlineStr">
        <is>
          <t>BP-C0051</t>
        </is>
      </c>
      <c r="C63" s="78" t="inlineStr">
        <is>
          <t>Mr Ogunleye Olumide Victor</t>
        </is>
      </c>
      <c r="D63" s="78" t="inlineStr">
        <is>
          <t>Land</t>
        </is>
      </c>
      <c r="E63" s="78" t="inlineStr">
        <is>
          <t>Green City Agbowa</t>
        </is>
      </c>
      <c r="F63" s="78" t="inlineStr">
        <is>
          <t>500sqm</t>
        </is>
      </c>
      <c r="G63" s="79" t="n">
        <v>45280</v>
      </c>
      <c r="H63" s="78" t="n">
        <v>2023</v>
      </c>
      <c r="I63" s="80" t="n">
        <v>3000000</v>
      </c>
      <c r="J63" s="80" t="n">
        <v>1000000</v>
      </c>
      <c r="K63" s="80" t="n">
        <v>2000000</v>
      </c>
      <c r="L63" s="78" t="inlineStr">
        <is>
          <t>3 Months</t>
        </is>
      </c>
      <c r="M63" s="78" t="inlineStr">
        <is>
          <t>Paying</t>
        </is>
      </c>
      <c r="N63" s="78" t="n"/>
      <c r="O63" s="78" t="n"/>
      <c r="P63" s="78" t="inlineStr">
        <is>
          <t>MD</t>
        </is>
      </c>
      <c r="Q63" s="78" t="inlineStr">
        <is>
          <t>BAAY PROJECTS CLIENTS &gt; GREENCITY AGBOWA</t>
        </is>
      </c>
      <c r="R63" s="78" t="n">
        <v>5</v>
      </c>
      <c r="S63" s="78" t="inlineStr">
        <is>
          <t>20/12/2023</t>
        </is>
      </c>
      <c r="T63" s="78" t="n"/>
    </row>
    <row r="64" ht="25" customHeight="1">
      <c r="A64" s="75" t="inlineStr">
        <is>
          <t>SB0043</t>
        </is>
      </c>
      <c r="B64" s="75" t="inlineStr">
        <is>
          <t>BP-C0052</t>
        </is>
      </c>
      <c r="C64" s="75" t="inlineStr">
        <is>
          <t>Mathias Ojoma Lilian</t>
        </is>
      </c>
      <c r="D64" s="75" t="inlineStr">
        <is>
          <t>Land</t>
        </is>
      </c>
      <c r="E64" s="75" t="inlineStr">
        <is>
          <t>Green City Phase 1 (Lantaba, Ketu-Epe)</t>
        </is>
      </c>
      <c r="F64" s="75" t="inlineStr">
        <is>
          <t>250sqm</t>
        </is>
      </c>
      <c r="G64" s="76" t="n">
        <v>45283</v>
      </c>
      <c r="H64" s="75" t="n">
        <v>2023</v>
      </c>
      <c r="I64" s="77" t="n">
        <v>5796000</v>
      </c>
      <c r="J64" s="77" t="n">
        <v>5796000</v>
      </c>
      <c r="K64" s="77" t="n">
        <v>0</v>
      </c>
      <c r="L64" s="75" t="inlineStr">
        <is>
          <t>3 Months</t>
        </is>
      </c>
      <c r="M64" s="75" t="inlineStr">
        <is>
          <t>Bought</t>
        </is>
      </c>
      <c r="N64" s="75" t="inlineStr">
        <is>
          <t>BLOCK B7A</t>
        </is>
      </c>
      <c r="O64" s="75" t="inlineStr">
        <is>
          <t>Collected by Client</t>
        </is>
      </c>
      <c r="P64" s="75" t="inlineStr">
        <is>
          <t>Ms Immaculate</t>
        </is>
      </c>
      <c r="Q64" s="75" t="inlineStr">
        <is>
          <t>BAAY PROJECTS CLIENTS &gt; GREEN CITY KETU 1 INVESTORS LIS</t>
        </is>
      </c>
      <c r="R64" s="75" t="n">
        <v>38</v>
      </c>
      <c r="S64" s="75" t="inlineStr">
        <is>
          <t>23/12/2023</t>
        </is>
      </c>
      <c r="T64" s="75" t="n"/>
    </row>
    <row r="65" ht="25" customHeight="1">
      <c r="A65" s="78" t="inlineStr">
        <is>
          <t>SB0044</t>
        </is>
      </c>
      <c r="B65" s="78" t="inlineStr">
        <is>
          <t>BP-C0053</t>
        </is>
      </c>
      <c r="C65" s="78" t="inlineStr">
        <is>
          <t>Mr Adegbembo Stephen Oluwagbemiga</t>
        </is>
      </c>
      <c r="D65" s="78" t="inlineStr">
        <is>
          <t>Land</t>
        </is>
      </c>
      <c r="E65" s="78" t="inlineStr">
        <is>
          <t>Green City Phase 1 (Lantaba, Ketu-Epe)</t>
        </is>
      </c>
      <c r="F65" s="78" t="inlineStr">
        <is>
          <t>500sqm</t>
        </is>
      </c>
      <c r="G65" s="79" t="n">
        <v>45286</v>
      </c>
      <c r="H65" s="78" t="n">
        <v>2023</v>
      </c>
      <c r="I65" s="80" t="n">
        <v>2640000</v>
      </c>
      <c r="J65" s="80" t="n">
        <v>2640000</v>
      </c>
      <c r="K65" s="80" t="n">
        <v>0</v>
      </c>
      <c r="L65" s="78" t="inlineStr">
        <is>
          <t>6 Months</t>
        </is>
      </c>
      <c r="M65" s="78" t="inlineStr">
        <is>
          <t>Bought</t>
        </is>
      </c>
      <c r="N65" s="78" t="inlineStr">
        <is>
          <t>BLOCK D7</t>
        </is>
      </c>
      <c r="O65" s="78" t="inlineStr">
        <is>
          <t>Collected by client</t>
        </is>
      </c>
      <c r="P65" s="78" t="inlineStr">
        <is>
          <t>Ms Elizabeth</t>
        </is>
      </c>
      <c r="Q65" s="78" t="inlineStr">
        <is>
          <t>BAAY PROJECTS CLIENTS &gt; GREEN CITY KETU 1 INVESTORS LIS</t>
        </is>
      </c>
      <c r="R65" s="78" t="n">
        <v>37</v>
      </c>
      <c r="S65" s="78" t="inlineStr">
        <is>
          <t>26/12/2023</t>
        </is>
      </c>
      <c r="T65" s="78" t="n"/>
    </row>
    <row r="66" ht="25" customHeight="1">
      <c r="A66" s="75" t="inlineStr">
        <is>
          <t>SB0045</t>
        </is>
      </c>
      <c r="B66" s="75" t="inlineStr">
        <is>
          <t>BP-C0054</t>
        </is>
      </c>
      <c r="C66" s="75" t="inlineStr">
        <is>
          <t>Mr Ademola Adeniyi</t>
        </is>
      </c>
      <c r="D66" s="75" t="inlineStr">
        <is>
          <t>Land</t>
        </is>
      </c>
      <c r="E66" s="75" t="inlineStr">
        <is>
          <t>Green City Phase 1 (Lantaba, Ketu-Epe)</t>
        </is>
      </c>
      <c r="F66" s="75" t="inlineStr">
        <is>
          <t>1000sqm</t>
        </is>
      </c>
      <c r="G66" s="76" t="n">
        <v>45288</v>
      </c>
      <c r="H66" s="75" t="n">
        <v>2023</v>
      </c>
      <c r="I66" s="77" t="n">
        <v>2640000</v>
      </c>
      <c r="J66" s="77" t="n">
        <v>2640000</v>
      </c>
      <c r="K66" s="77" t="n">
        <v>0</v>
      </c>
      <c r="L66" s="75" t="inlineStr">
        <is>
          <t>3 Months</t>
        </is>
      </c>
      <c r="M66" s="75" t="inlineStr">
        <is>
          <t>Bought</t>
        </is>
      </c>
      <c r="N66" s="75" t="inlineStr">
        <is>
          <t>BLOCK D89</t>
        </is>
      </c>
      <c r="O66" s="75" t="inlineStr">
        <is>
          <t>Collected by Client</t>
        </is>
      </c>
      <c r="P66" s="75" t="inlineStr">
        <is>
          <t>Ms Abimbola</t>
        </is>
      </c>
      <c r="Q66" s="75" t="inlineStr">
        <is>
          <t>BAAY PROJECTS CLIENTS &gt; GREEN CITY KETU 1 INVESTORS LIS</t>
        </is>
      </c>
      <c r="R66" s="75" t="n">
        <v>39</v>
      </c>
      <c r="S66" s="75" t="inlineStr">
        <is>
          <t>28/12/2023</t>
        </is>
      </c>
      <c r="T66" s="75" t="n"/>
    </row>
    <row r="67" ht="25" customHeight="1">
      <c r="A67" s="78" t="inlineStr">
        <is>
          <t>SB0046</t>
        </is>
      </c>
      <c r="B67" s="78" t="inlineStr">
        <is>
          <t>BP-C0006</t>
        </is>
      </c>
      <c r="C67" s="78" t="inlineStr">
        <is>
          <t>Olasupo Oladimeji</t>
        </is>
      </c>
      <c r="D67" s="78" t="inlineStr">
        <is>
          <t>Land</t>
        </is>
      </c>
      <c r="E67" s="78" t="inlineStr">
        <is>
          <t>Green City Phase 1 (Lantaba, Ketu-Epe)</t>
        </is>
      </c>
      <c r="F67" s="78" t="inlineStr">
        <is>
          <t>1000sqm</t>
        </is>
      </c>
      <c r="G67" s="79" t="n">
        <v>45288</v>
      </c>
      <c r="H67" s="78" t="n">
        <v>2023</v>
      </c>
      <c r="I67" s="80" t="n">
        <v>10000000</v>
      </c>
      <c r="J67" s="80" t="n">
        <v>10000000</v>
      </c>
      <c r="K67" s="80" t="n">
        <v>0</v>
      </c>
      <c r="L67" s="78" t="inlineStr">
        <is>
          <t>3 months</t>
        </is>
      </c>
      <c r="M67" s="78" t="inlineStr">
        <is>
          <t>Bought</t>
        </is>
      </c>
      <c r="N67" s="78" t="inlineStr">
        <is>
          <t>BLOCK B45</t>
        </is>
      </c>
      <c r="O67" s="78" t="inlineStr">
        <is>
          <t>Collected by Client</t>
        </is>
      </c>
      <c r="P67" s="78" t="inlineStr">
        <is>
          <t>Ms Abimbola</t>
        </is>
      </c>
      <c r="Q67" s="78" t="inlineStr">
        <is>
          <t>BAAY PROJECTS CLIENTS &gt; GREEN CITY KETU 1 INVESTORS LIS</t>
        </is>
      </c>
      <c r="R67" s="78" t="n">
        <v>40</v>
      </c>
      <c r="S67" s="78" t="inlineStr">
        <is>
          <t>28/12/2023</t>
        </is>
      </c>
      <c r="T67" s="78" t="n"/>
    </row>
    <row r="68" ht="25" customHeight="1">
      <c r="A68" s="75" t="inlineStr">
        <is>
          <t>SB0047</t>
        </is>
      </c>
      <c r="B68" s="75" t="inlineStr">
        <is>
          <t>BP-C0056</t>
        </is>
      </c>
      <c r="C68" s="75" t="inlineStr">
        <is>
          <t>Mr Adeuti Olanrewaju Babatunde</t>
        </is>
      </c>
      <c r="D68" s="75" t="inlineStr">
        <is>
          <t>Land</t>
        </is>
      </c>
      <c r="E68" s="75" t="inlineStr">
        <is>
          <t>Green City Phase 1 (Lantaba, Ketu-Epe)</t>
        </is>
      </c>
      <c r="F68" s="75" t="inlineStr">
        <is>
          <t>250sqm</t>
        </is>
      </c>
      <c r="G68" s="76" t="n">
        <v>45289</v>
      </c>
      <c r="H68" s="75" t="n">
        <v>2023</v>
      </c>
      <c r="I68" s="77" t="n">
        <v>5040000</v>
      </c>
      <c r="J68" s="77" t="n">
        <v>5040000</v>
      </c>
      <c r="K68" s="77" t="n">
        <v>0</v>
      </c>
      <c r="L68" s="75" t="inlineStr">
        <is>
          <t>3 Months</t>
        </is>
      </c>
      <c r="M68" s="75" t="inlineStr">
        <is>
          <t>Bought</t>
        </is>
      </c>
      <c r="N68" s="75" t="inlineStr">
        <is>
          <t>BLOCK G2A</t>
        </is>
      </c>
      <c r="O68" s="75" t="inlineStr">
        <is>
          <t>Collected by rep</t>
        </is>
      </c>
      <c r="P68" s="75" t="inlineStr">
        <is>
          <t>Ms Abimbola</t>
        </is>
      </c>
      <c r="Q68" s="75" t="inlineStr">
        <is>
          <t>BAAY PROJECTS CLIENTS &gt; GREEN CITY KETU 1 INVESTORS LIS</t>
        </is>
      </c>
      <c r="R68" s="75" t="n">
        <v>36</v>
      </c>
      <c r="S68" s="75" t="inlineStr">
        <is>
          <t>29/12/2023</t>
        </is>
      </c>
      <c r="T68" s="75" t="n"/>
    </row>
    <row r="69" ht="25" customHeight="1">
      <c r="A69" s="78" t="inlineStr">
        <is>
          <t>SB0048</t>
        </is>
      </c>
      <c r="B69" s="78" t="inlineStr">
        <is>
          <t>BP-C0058</t>
        </is>
      </c>
      <c r="C69" s="78" t="inlineStr">
        <is>
          <t>Mr Oniyide Olaoluwa</t>
        </is>
      </c>
      <c r="D69" s="78" t="inlineStr">
        <is>
          <t>Land</t>
        </is>
      </c>
      <c r="E69" s="78" t="inlineStr">
        <is>
          <t>Green City Phase 1 (Lantaba, Ketu-Epe)</t>
        </is>
      </c>
      <c r="F69" s="78" t="inlineStr">
        <is>
          <t>500sqm</t>
        </is>
      </c>
      <c r="G69" s="79" t="n">
        <v>45289</v>
      </c>
      <c r="H69" s="78" t="n">
        <v>2023</v>
      </c>
      <c r="I69" s="80" t="n">
        <v>5500000</v>
      </c>
      <c r="J69" s="80" t="n">
        <v>5500000</v>
      </c>
      <c r="K69" s="80" t="n">
        <v>0</v>
      </c>
      <c r="L69" s="78" t="inlineStr">
        <is>
          <t>3 Months</t>
        </is>
      </c>
      <c r="M69" s="78" t="inlineStr">
        <is>
          <t>Bought</t>
        </is>
      </c>
      <c r="N69" s="78" t="inlineStr">
        <is>
          <t>BLOCK G5</t>
        </is>
      </c>
      <c r="O69" s="78" t="inlineStr">
        <is>
          <t>Collected By Rep</t>
        </is>
      </c>
      <c r="P69" s="78" t="inlineStr">
        <is>
          <t>Mr Charles</t>
        </is>
      </c>
      <c r="Q69" s="78" t="inlineStr">
        <is>
          <t>BAAY PROJECTS CLIENTS &gt; GREEN CITY KETU 1 INVESTORS LIS</t>
        </is>
      </c>
      <c r="R69" s="78" t="n">
        <v>35</v>
      </c>
      <c r="S69" s="78" t="inlineStr">
        <is>
          <t>29/12/2023</t>
        </is>
      </c>
      <c r="T69" s="78" t="n"/>
    </row>
    <row r="70" ht="25" customHeight="1">
      <c r="A70" s="75" t="inlineStr">
        <is>
          <t>SB0049</t>
        </is>
      </c>
      <c r="B70" s="75" t="inlineStr">
        <is>
          <t>BP-C0059</t>
        </is>
      </c>
      <c r="C70" s="75" t="inlineStr">
        <is>
          <t>Elochukwu George</t>
        </is>
      </c>
      <c r="D70" s="75" t="inlineStr">
        <is>
          <t>Land</t>
        </is>
      </c>
      <c r="E70" s="75" t="inlineStr">
        <is>
          <t>Green City Phase 1 (Lantaba, Ketu-Epe)</t>
        </is>
      </c>
      <c r="F70" s="75" t="inlineStr">
        <is>
          <t>500sqm</t>
        </is>
      </c>
      <c r="G70" s="76" t="n">
        <v>45291</v>
      </c>
      <c r="H70" s="75" t="n">
        <v>2023</v>
      </c>
      <c r="I70" s="77" t="n">
        <v>10000000</v>
      </c>
      <c r="J70" s="77" t="n">
        <v>10000000</v>
      </c>
      <c r="K70" s="77" t="n">
        <v>0</v>
      </c>
      <c r="L70" s="75" t="inlineStr">
        <is>
          <t>3 months</t>
        </is>
      </c>
      <c r="M70" s="75" t="inlineStr">
        <is>
          <t>Bought</t>
        </is>
      </c>
      <c r="N70" s="75" t="inlineStr">
        <is>
          <t>BLOCK B3</t>
        </is>
      </c>
      <c r="O70" s="75" t="inlineStr">
        <is>
          <t>Collected by Client</t>
        </is>
      </c>
      <c r="P70" s="75" t="inlineStr">
        <is>
          <t>Ms Abimbola</t>
        </is>
      </c>
      <c r="Q70" s="75" t="inlineStr">
        <is>
          <t>BAAY PROJECTS CLIENTS &gt; GREEN CITY KETU 1 INVESTORS LIS</t>
        </is>
      </c>
      <c r="R70" s="75" t="n">
        <v>41</v>
      </c>
      <c r="S70" s="75" t="inlineStr">
        <is>
          <t>31/12/2023</t>
        </is>
      </c>
      <c r="T70" s="75" t="n"/>
    </row>
    <row r="71" ht="25" customHeight="1">
      <c r="A71" s="78" t="inlineStr">
        <is>
          <t>SB0050</t>
        </is>
      </c>
      <c r="B71" s="78" t="inlineStr">
        <is>
          <t>BP-C0061</t>
        </is>
      </c>
      <c r="C71" s="78" t="inlineStr">
        <is>
          <t>OGUNKOYA EMMANUEL</t>
        </is>
      </c>
      <c r="D71" s="78" t="inlineStr">
        <is>
          <t>Land</t>
        </is>
      </c>
      <c r="E71" s="78" t="inlineStr">
        <is>
          <t>Green City Phase 2 (Ketu-Epe)</t>
        </is>
      </c>
      <c r="F71" s="78" t="inlineStr">
        <is>
          <t>250sqm</t>
        </is>
      </c>
      <c r="G71" s="79" t="n">
        <v>45296</v>
      </c>
      <c r="H71" s="78" t="n">
        <v>2024</v>
      </c>
      <c r="I71" s="80" t="n">
        <v>1800000</v>
      </c>
      <c r="J71" s="80" t="n">
        <v>1700000</v>
      </c>
      <c r="K71" s="80" t="n">
        <v>100000</v>
      </c>
      <c r="L71" s="78" t="inlineStr">
        <is>
          <t>3 months</t>
        </is>
      </c>
      <c r="M71" s="78" t="inlineStr">
        <is>
          <t>bought</t>
        </is>
      </c>
      <c r="N71" s="78" t="inlineStr">
        <is>
          <t>BLOCK E, PLOT 7</t>
        </is>
      </c>
      <c r="O71" s="78" t="inlineStr">
        <is>
          <t>Not yet Collected</t>
        </is>
      </c>
      <c r="P71" s="78" t="inlineStr">
        <is>
          <t>MD</t>
        </is>
      </c>
      <c r="Q71" s="78" t="inlineStr">
        <is>
          <t>BAAY PROJECTS CLIENTS &gt; GREEN CITY KETU EPE 2</t>
        </is>
      </c>
      <c r="R71" s="78" t="n">
        <v>2</v>
      </c>
      <c r="S71" s="78" t="inlineStr">
        <is>
          <t>2024-05-01</t>
        </is>
      </c>
      <c r="T71" s="78" t="n"/>
    </row>
    <row r="72" ht="25" customHeight="1">
      <c r="A72" s="75" t="inlineStr">
        <is>
          <t>SB0051</t>
        </is>
      </c>
      <c r="B72" s="75" t="inlineStr">
        <is>
          <t>BP-C0017</t>
        </is>
      </c>
      <c r="C72" s="75" t="inlineStr">
        <is>
          <t>TAIWO JOHN ADELEYE</t>
        </is>
      </c>
      <c r="D72" s="75" t="inlineStr">
        <is>
          <t>Land</t>
        </is>
      </c>
      <c r="E72" s="75" t="inlineStr">
        <is>
          <t>Green City Phase 2 (Ketu-Epe)</t>
        </is>
      </c>
      <c r="F72" s="75" t="inlineStr">
        <is>
          <t>500sqm</t>
        </is>
      </c>
      <c r="G72" s="76" t="n">
        <v>45306</v>
      </c>
      <c r="H72" s="75" t="n">
        <v>2024</v>
      </c>
      <c r="I72" s="77" t="n">
        <v>3500000</v>
      </c>
      <c r="J72" s="77" t="n">
        <v>3500000</v>
      </c>
      <c r="K72" s="77" t="n">
        <v>0</v>
      </c>
      <c r="L72" s="75" t="inlineStr">
        <is>
          <t>6 Months</t>
        </is>
      </c>
      <c r="M72" s="75" t="inlineStr">
        <is>
          <t>bought</t>
        </is>
      </c>
      <c r="N72" s="75" t="inlineStr">
        <is>
          <t>BLOCK D, PLOT 1</t>
        </is>
      </c>
      <c r="O72" s="75" t="inlineStr">
        <is>
          <t>Collected by Client</t>
        </is>
      </c>
      <c r="P72" s="75" t="inlineStr">
        <is>
          <t>MD</t>
        </is>
      </c>
      <c r="Q72" s="75" t="inlineStr">
        <is>
          <t>BAAY PROJECTS CLIENTS &gt; GREEN CITY KETU EPE 2</t>
        </is>
      </c>
      <c r="R72" s="75" t="n">
        <v>3</v>
      </c>
      <c r="S72" s="75" t="inlineStr">
        <is>
          <t>15/01/2024</t>
        </is>
      </c>
      <c r="T72" s="75" t="n"/>
    </row>
    <row r="73" ht="25" customHeight="1">
      <c r="A73" s="78" t="inlineStr">
        <is>
          <t>SB0052</t>
        </is>
      </c>
      <c r="B73" s="78" t="inlineStr">
        <is>
          <t>BP-C0039</t>
        </is>
      </c>
      <c r="C73" s="78" t="inlineStr">
        <is>
          <t>Alabi Abdulazeez Toyosi</t>
        </is>
      </c>
      <c r="D73" s="78" t="inlineStr">
        <is>
          <t>Land</t>
        </is>
      </c>
      <c r="E73" s="78" t="inlineStr">
        <is>
          <t>Green City Phase 2 (Ketu-Epe)</t>
        </is>
      </c>
      <c r="F73" s="78" t="inlineStr">
        <is>
          <t>250sqm</t>
        </is>
      </c>
      <c r="G73" s="79" t="n">
        <v>45321</v>
      </c>
      <c r="H73" s="78" t="n">
        <v>2024</v>
      </c>
      <c r="I73" s="80" t="n">
        <v>1800000</v>
      </c>
      <c r="J73" s="80" t="n">
        <v>1800000</v>
      </c>
      <c r="K73" s="80" t="n">
        <v>0</v>
      </c>
      <c r="L73" s="78" t="inlineStr">
        <is>
          <t>6 Months</t>
        </is>
      </c>
      <c r="M73" s="78" t="inlineStr">
        <is>
          <t>REFUND</t>
        </is>
      </c>
      <c r="N73" s="78" t="inlineStr">
        <is>
          <t>BLOCK E, PLOT 6</t>
        </is>
      </c>
      <c r="O73" s="78" t="inlineStr">
        <is>
          <t>Not yet Collected</t>
        </is>
      </c>
      <c r="P73" s="78" t="inlineStr">
        <is>
          <t>MD</t>
        </is>
      </c>
      <c r="Q73" s="78" t="inlineStr">
        <is>
          <t>BAAY PROJECTS CLIENTS &gt; GREEN CITY KETU EPE 2</t>
        </is>
      </c>
      <c r="R73" s="78" t="n">
        <v>4</v>
      </c>
      <c r="S73" s="78" t="inlineStr">
        <is>
          <t>30/01/2024</t>
        </is>
      </c>
      <c r="T73" s="78" t="n"/>
    </row>
    <row r="74" ht="25" customHeight="1">
      <c r="A74" s="75" t="inlineStr">
        <is>
          <t>SB0053</t>
        </is>
      </c>
      <c r="B74" s="75" t="inlineStr">
        <is>
          <t>BP-C0062</t>
        </is>
      </c>
      <c r="C74" s="75" t="inlineStr">
        <is>
          <t>Mr Agbaje Christopher Usiola</t>
        </is>
      </c>
      <c r="D74" s="75" t="inlineStr">
        <is>
          <t>Land</t>
        </is>
      </c>
      <c r="E74" s="75" t="inlineStr">
        <is>
          <t>Green City Phase 1 (Lantaba, Ketu-Epe)</t>
        </is>
      </c>
      <c r="F74" s="75" t="inlineStr">
        <is>
          <t>600sqm</t>
        </is>
      </c>
      <c r="G74" s="76" t="n">
        <v>45323</v>
      </c>
      <c r="H74" s="75" t="n">
        <v>2024</v>
      </c>
      <c r="I74" s="77" t="n">
        <v>5040000</v>
      </c>
      <c r="J74" s="77" t="n">
        <v>5040000</v>
      </c>
      <c r="K74" s="77" t="n">
        <v>0</v>
      </c>
      <c r="L74" s="75" t="inlineStr">
        <is>
          <t>3 Months</t>
        </is>
      </c>
      <c r="M74" s="75" t="inlineStr">
        <is>
          <t>Bought</t>
        </is>
      </c>
      <c r="N74" s="75" t="inlineStr">
        <is>
          <t>BLOCK E6</t>
        </is>
      </c>
      <c r="O74" s="75" t="inlineStr">
        <is>
          <t>Deed Collected by Client</t>
        </is>
      </c>
      <c r="P74" s="75" t="inlineStr">
        <is>
          <t>MD</t>
        </is>
      </c>
      <c r="Q74" s="75" t="inlineStr">
        <is>
          <t>BAAY PROJECTS CLIENTS &gt; GREEN CITY KETU 1 INVESTORS LIS</t>
        </is>
      </c>
      <c r="R74" s="75" t="n">
        <v>42</v>
      </c>
      <c r="S74" s="75" t="inlineStr">
        <is>
          <t>2024-01-02</t>
        </is>
      </c>
      <c r="T74" s="75" t="n"/>
    </row>
    <row r="75" ht="25" customHeight="1">
      <c r="A75" s="78" t="inlineStr">
        <is>
          <t>SB0054</t>
        </is>
      </c>
      <c r="B75" s="78" t="inlineStr">
        <is>
          <t>BP-C0063</t>
        </is>
      </c>
      <c r="C75" s="78" t="inlineStr">
        <is>
          <t>Omodara Adewale David</t>
        </is>
      </c>
      <c r="D75" s="78" t="inlineStr">
        <is>
          <t>Land</t>
        </is>
      </c>
      <c r="E75" s="78" t="inlineStr">
        <is>
          <t>Green City Phase 2 (Ketu-Epe)</t>
        </is>
      </c>
      <c r="F75" s="78" t="inlineStr">
        <is>
          <t>500sqm</t>
        </is>
      </c>
      <c r="G75" s="79" t="n">
        <v>45326</v>
      </c>
      <c r="H75" s="78" t="n">
        <v>2024</v>
      </c>
      <c r="I75" s="80" t="n">
        <v>3500000</v>
      </c>
      <c r="J75" s="80" t="n">
        <v>3500000</v>
      </c>
      <c r="K75" s="80" t="n">
        <v>0</v>
      </c>
      <c r="L75" s="78" t="inlineStr">
        <is>
          <t>3 months</t>
        </is>
      </c>
      <c r="M75" s="78" t="inlineStr">
        <is>
          <t>Bought</t>
        </is>
      </c>
      <c r="N75" s="78" t="inlineStr">
        <is>
          <t>BLOCK D, PLOT 2</t>
        </is>
      </c>
      <c r="O75" s="78" t="inlineStr">
        <is>
          <t>Collected by Client</t>
        </is>
      </c>
      <c r="P75" s="78" t="inlineStr">
        <is>
          <t>Ms Taiwo Ajibola</t>
        </is>
      </c>
      <c r="Q75" s="78" t="inlineStr">
        <is>
          <t>BAAY PROJECTS CLIENTS &gt; GREEN CITY KETU EPE 2</t>
        </is>
      </c>
      <c r="R75" s="78" t="n">
        <v>5</v>
      </c>
      <c r="S75" s="78" t="inlineStr">
        <is>
          <t>2024-04-02</t>
        </is>
      </c>
      <c r="T75" s="78" t="n"/>
    </row>
    <row r="76" ht="25" customHeight="1">
      <c r="A76" s="75" t="inlineStr">
        <is>
          <t>SB0055</t>
        </is>
      </c>
      <c r="B76" s="75" t="inlineStr">
        <is>
          <t>BP-C0064</t>
        </is>
      </c>
      <c r="C76" s="75" t="inlineStr">
        <is>
          <t>Okosun Damian</t>
        </is>
      </c>
      <c r="D76" s="75" t="inlineStr">
        <is>
          <t>Land</t>
        </is>
      </c>
      <c r="E76" s="75" t="inlineStr">
        <is>
          <t>Green City Phase 2 (Ketu-Epe)</t>
        </is>
      </c>
      <c r="F76" s="75" t="inlineStr">
        <is>
          <t>250Sqm</t>
        </is>
      </c>
      <c r="G76" s="76" t="n">
        <v>45327</v>
      </c>
      <c r="H76" s="75" t="n">
        <v>2024</v>
      </c>
      <c r="I76" s="77" t="n">
        <v>1800000</v>
      </c>
      <c r="J76" s="77" t="n">
        <v>1800000</v>
      </c>
      <c r="K76" s="77" t="n">
        <v>0</v>
      </c>
      <c r="L76" s="75" t="inlineStr">
        <is>
          <t>3 months</t>
        </is>
      </c>
      <c r="M76" s="75" t="inlineStr">
        <is>
          <t>Bought</t>
        </is>
      </c>
      <c r="N76" s="75" t="inlineStr">
        <is>
          <t>BLOCK E, PLOT 5</t>
        </is>
      </c>
      <c r="O76" s="75" t="inlineStr">
        <is>
          <t>Not yet Collected</t>
        </is>
      </c>
      <c r="P76" s="75" t="inlineStr">
        <is>
          <t>Ms Bolanle</t>
        </is>
      </c>
      <c r="Q76" s="75" t="inlineStr">
        <is>
          <t>BAAY PROJECTS CLIENTS &gt; GREEN CITY KETU EPE 2</t>
        </is>
      </c>
      <c r="R76" s="75" t="n">
        <v>13</v>
      </c>
      <c r="S76" s="75" t="inlineStr">
        <is>
          <t>2024-05-02</t>
        </is>
      </c>
      <c r="T76" s="75" t="n"/>
    </row>
    <row r="77" ht="25" customHeight="1">
      <c r="A77" s="78" t="inlineStr">
        <is>
          <t>SB0056</t>
        </is>
      </c>
      <c r="B77" s="78" t="inlineStr">
        <is>
          <t>BP-C0065</t>
        </is>
      </c>
      <c r="C77" s="78" t="inlineStr">
        <is>
          <t>Mr Yusuf Saheed Taiwo</t>
        </is>
      </c>
      <c r="D77" s="78" t="inlineStr">
        <is>
          <t>Land</t>
        </is>
      </c>
      <c r="E77" s="78" t="inlineStr">
        <is>
          <t>Green City Phase 2 (Ketu-Epe)</t>
        </is>
      </c>
      <c r="F77" s="78" t="inlineStr">
        <is>
          <t>250sqm</t>
        </is>
      </c>
      <c r="G77" s="79" t="n">
        <v>45328</v>
      </c>
      <c r="H77" s="78" t="n">
        <v>2024</v>
      </c>
      <c r="I77" s="80" t="n">
        <v>1800000</v>
      </c>
      <c r="J77" s="80" t="n">
        <v>1800000</v>
      </c>
      <c r="K77" s="80" t="n">
        <v>0</v>
      </c>
      <c r="L77" s="78" t="inlineStr">
        <is>
          <t>3 months</t>
        </is>
      </c>
      <c r="M77" s="78" t="inlineStr">
        <is>
          <t>Bought</t>
        </is>
      </c>
      <c r="N77" s="78" t="inlineStr">
        <is>
          <t>BLOCK E, PLOT 8</t>
        </is>
      </c>
      <c r="O77" s="78" t="inlineStr">
        <is>
          <t>Not yet Collected</t>
        </is>
      </c>
      <c r="P77" s="78" t="inlineStr">
        <is>
          <t>MD</t>
        </is>
      </c>
      <c r="Q77" s="78" t="inlineStr">
        <is>
          <t>BAAY PROJECTS CLIENTS &gt; GREEN CITY KETU EPE 2</t>
        </is>
      </c>
      <c r="R77" s="78" t="n">
        <v>10</v>
      </c>
      <c r="S77" s="78" t="inlineStr">
        <is>
          <t>2024-06-02</t>
        </is>
      </c>
      <c r="T77" s="78" t="n"/>
    </row>
    <row r="78" ht="25" customHeight="1">
      <c r="A78" s="75" t="inlineStr">
        <is>
          <t>SB0057</t>
        </is>
      </c>
      <c r="B78" s="75" t="inlineStr">
        <is>
          <t>BP-C0009</t>
        </is>
      </c>
      <c r="C78" s="75" t="inlineStr">
        <is>
          <t>Miss Oji Blessing Mary</t>
        </is>
      </c>
      <c r="D78" s="75" t="inlineStr">
        <is>
          <t>Land</t>
        </is>
      </c>
      <c r="E78" s="75" t="inlineStr">
        <is>
          <t>Green City Phase 2 (Ketu-Epe)</t>
        </is>
      </c>
      <c r="F78" s="75" t="inlineStr">
        <is>
          <t>500Sqm</t>
        </is>
      </c>
      <c r="G78" s="76" t="n">
        <v>45334</v>
      </c>
      <c r="H78" s="75" t="n">
        <v>2024</v>
      </c>
      <c r="I78" s="77" t="n">
        <v>3500000</v>
      </c>
      <c r="J78" s="77" t="n">
        <v>3500000</v>
      </c>
      <c r="K78" s="77" t="n">
        <v>0</v>
      </c>
      <c r="L78" s="75" t="inlineStr">
        <is>
          <t>3 months</t>
        </is>
      </c>
      <c r="M78" s="75" t="inlineStr">
        <is>
          <t>Bought</t>
        </is>
      </c>
      <c r="N78" s="75" t="inlineStr">
        <is>
          <t>BLOCK D, PLOT 3</t>
        </is>
      </c>
      <c r="O78" s="75" t="inlineStr">
        <is>
          <t>Collected by Client</t>
        </is>
      </c>
      <c r="P78" s="75" t="inlineStr">
        <is>
          <t>Ms Bolanle</t>
        </is>
      </c>
      <c r="Q78" s="75" t="inlineStr">
        <is>
          <t>BAAY PROJECTS CLIENTS &gt; GREEN CITY KETU EPE 2</t>
        </is>
      </c>
      <c r="R78" s="75" t="n">
        <v>11</v>
      </c>
      <c r="S78" s="75" t="inlineStr">
        <is>
          <t>2024-12-02</t>
        </is>
      </c>
      <c r="T78" s="75" t="n"/>
    </row>
    <row r="79" ht="25" customHeight="1">
      <c r="A79" s="78" t="inlineStr">
        <is>
          <t>SB0058</t>
        </is>
      </c>
      <c r="B79" s="78" t="inlineStr">
        <is>
          <t>BP-C0066</t>
        </is>
      </c>
      <c r="C79" s="78" t="inlineStr">
        <is>
          <t>Miss Omosanya Dotun Akeju</t>
        </is>
      </c>
      <c r="D79" s="78" t="inlineStr">
        <is>
          <t>Land</t>
        </is>
      </c>
      <c r="E79" s="78" t="inlineStr">
        <is>
          <t>Green City Phase 2 (Ketu-Epe)</t>
        </is>
      </c>
      <c r="F79" s="78" t="inlineStr">
        <is>
          <t>500Sqm</t>
        </is>
      </c>
      <c r="G79" s="79" t="n">
        <v>45343</v>
      </c>
      <c r="H79" s="78" t="n">
        <v>2024</v>
      </c>
      <c r="I79" s="80" t="n">
        <v>3500000</v>
      </c>
      <c r="J79" s="80" t="n">
        <v>3500000</v>
      </c>
      <c r="K79" s="80" t="n">
        <v>0</v>
      </c>
      <c r="L79" s="78" t="inlineStr">
        <is>
          <t>3 months</t>
        </is>
      </c>
      <c r="M79" s="78" t="inlineStr">
        <is>
          <t>Bought</t>
        </is>
      </c>
      <c r="N79" s="78" t="inlineStr">
        <is>
          <t>BLOCK G, PLOT 5</t>
        </is>
      </c>
      <c r="O79" s="78" t="inlineStr">
        <is>
          <t>Collected by Client's rep</t>
        </is>
      </c>
      <c r="P79" s="78" t="inlineStr">
        <is>
          <t>Ms Oji Blessing</t>
        </is>
      </c>
      <c r="Q79" s="78" t="inlineStr">
        <is>
          <t>BAAY PROJECTS CLIENTS &gt; GREEN CITY KETU EPE 2 + Foreshore financials sheet</t>
        </is>
      </c>
      <c r="R79" s="78" t="n">
        <v>36</v>
      </c>
      <c r="S79" s="78" t="inlineStr">
        <is>
          <t>21/02/2024</t>
        </is>
      </c>
      <c r="T79" s="78" t="n"/>
    </row>
    <row r="80" ht="25" customHeight="1">
      <c r="A80" s="75" t="inlineStr">
        <is>
          <t>SB0059</t>
        </is>
      </c>
      <c r="B80" s="75" t="inlineStr">
        <is>
          <t>BP-C0067</t>
        </is>
      </c>
      <c r="C80" s="75" t="inlineStr">
        <is>
          <t>Mr Odje Theophilus Bamidele</t>
        </is>
      </c>
      <c r="D80" s="75" t="inlineStr">
        <is>
          <t>Land</t>
        </is>
      </c>
      <c r="E80" s="75" t="inlineStr">
        <is>
          <t>Green City Phase 2 (Ketu-Epe)</t>
        </is>
      </c>
      <c r="F80" s="75" t="inlineStr">
        <is>
          <t>500sqm</t>
        </is>
      </c>
      <c r="G80" s="76" t="n">
        <v>45348</v>
      </c>
      <c r="H80" s="75" t="n">
        <v>2024</v>
      </c>
      <c r="I80" s="77" t="n">
        <v>3500000</v>
      </c>
      <c r="J80" s="77" t="n">
        <v>3500000</v>
      </c>
      <c r="K80" s="77" t="n">
        <v>0</v>
      </c>
      <c r="L80" s="75" t="inlineStr">
        <is>
          <t>3 months</t>
        </is>
      </c>
      <c r="M80" s="75" t="inlineStr">
        <is>
          <t>Bought</t>
        </is>
      </c>
      <c r="N80" s="75" t="inlineStr">
        <is>
          <t>BLOCK D, PLOT 5</t>
        </is>
      </c>
      <c r="O80" s="75" t="inlineStr">
        <is>
          <t>Collected by Client</t>
        </is>
      </c>
      <c r="P80" s="75" t="inlineStr">
        <is>
          <t>Mr Praise</t>
        </is>
      </c>
      <c r="Q80" s="75" t="inlineStr">
        <is>
          <t>BAAY PROJECTS CLIENTS &gt; GREEN CITY KETU EPE 2</t>
        </is>
      </c>
      <c r="R80" s="75" t="n">
        <v>14</v>
      </c>
      <c r="S80" s="75" t="inlineStr">
        <is>
          <t>26/02/2024</t>
        </is>
      </c>
      <c r="T80" s="75" t="n"/>
    </row>
    <row r="81" ht="25" customHeight="1">
      <c r="A81" s="78" t="inlineStr">
        <is>
          <t>SB0060</t>
        </is>
      </c>
      <c r="B81" s="78" t="inlineStr">
        <is>
          <t>BP-C0068</t>
        </is>
      </c>
      <c r="C81" s="78" t="inlineStr">
        <is>
          <t>Miss Ebhotah Sharon Aisosa</t>
        </is>
      </c>
      <c r="D81" s="78" t="inlineStr">
        <is>
          <t>Land</t>
        </is>
      </c>
      <c r="E81" s="78" t="inlineStr">
        <is>
          <t>Green City Phase 2 (Ketu-Epe)</t>
        </is>
      </c>
      <c r="F81" s="78" t="inlineStr">
        <is>
          <t>500sqm</t>
        </is>
      </c>
      <c r="G81" s="79" t="n">
        <v>45350</v>
      </c>
      <c r="H81" s="78" t="n">
        <v>2024</v>
      </c>
      <c r="I81" s="80" t="n">
        <v>4000000</v>
      </c>
      <c r="J81" s="80" t="n">
        <v>4000000</v>
      </c>
      <c r="K81" s="80" t="n">
        <v>0</v>
      </c>
      <c r="L81" s="78" t="inlineStr">
        <is>
          <t>12 Months</t>
        </is>
      </c>
      <c r="M81" s="78" t="inlineStr">
        <is>
          <t>Bought</t>
        </is>
      </c>
      <c r="N81" s="78" t="inlineStr">
        <is>
          <t>BLOCK A, PLOT 17</t>
        </is>
      </c>
      <c r="O81" s="78" t="inlineStr">
        <is>
          <t>Not yet Collected</t>
        </is>
      </c>
      <c r="P81" s="78" t="inlineStr">
        <is>
          <t>Ms blessing</t>
        </is>
      </c>
      <c r="Q81" s="78" t="inlineStr">
        <is>
          <t>BAAY PROJECTS CLIENTS &gt; GREEN CITY KETU EPE 2</t>
        </is>
      </c>
      <c r="R81" s="78" t="n">
        <v>6</v>
      </c>
      <c r="S81" s="78" t="inlineStr">
        <is>
          <t>28/02/2024</t>
        </is>
      </c>
      <c r="T81" s="78" t="n"/>
    </row>
    <row r="82" ht="25" customHeight="1">
      <c r="A82" s="75" t="inlineStr">
        <is>
          <t>SB0061</t>
        </is>
      </c>
      <c r="B82" s="75" t="inlineStr">
        <is>
          <t>BP-C0070</t>
        </is>
      </c>
      <c r="C82" s="75" t="inlineStr">
        <is>
          <t>Mr Daniel Ayodeji Adeogun</t>
        </is>
      </c>
      <c r="D82" s="75" t="inlineStr">
        <is>
          <t>Land</t>
        </is>
      </c>
      <c r="E82" s="75" t="inlineStr">
        <is>
          <t>Green City Phase 2 (Ketu-Epe)</t>
        </is>
      </c>
      <c r="F82" s="75" t="inlineStr">
        <is>
          <t>500SQM</t>
        </is>
      </c>
      <c r="G82" s="76" t="n">
        <v>45357</v>
      </c>
      <c r="H82" s="75" t="n">
        <v>2024</v>
      </c>
      <c r="I82" s="77" t="n">
        <v>3500000</v>
      </c>
      <c r="J82" s="77" t="n">
        <v>3500000</v>
      </c>
      <c r="K82" s="77" t="n">
        <v>0</v>
      </c>
      <c r="L82" s="75" t="inlineStr">
        <is>
          <t>3 months</t>
        </is>
      </c>
      <c r="M82" s="75" t="inlineStr">
        <is>
          <t>Bought</t>
        </is>
      </c>
      <c r="N82" s="75" t="inlineStr">
        <is>
          <t>BLOCK D, PLOT 6</t>
        </is>
      </c>
      <c r="O82" s="75" t="inlineStr">
        <is>
          <t>Collected by Client</t>
        </is>
      </c>
      <c r="P82" s="75" t="inlineStr">
        <is>
          <t>Ms Taiwo Ajibola</t>
        </is>
      </c>
      <c r="Q82" s="75" t="inlineStr">
        <is>
          <t>BAAY PROJECTS CLIENTS &gt; GREEN CITY KETU EPE 2</t>
        </is>
      </c>
      <c r="R82" s="75" t="n">
        <v>17</v>
      </c>
      <c r="S82" s="75" t="inlineStr">
        <is>
          <t>2024-06-03</t>
        </is>
      </c>
      <c r="T82" s="75" t="n"/>
    </row>
    <row r="83" ht="25" customHeight="1">
      <c r="A83" s="78" t="inlineStr">
        <is>
          <t>SB0062</t>
        </is>
      </c>
      <c r="B83" s="78" t="inlineStr">
        <is>
          <t>BP-C0074</t>
        </is>
      </c>
      <c r="C83" s="78" t="inlineStr">
        <is>
          <t>Mrs Oloniluyi Victoria Adetutu Iyabode</t>
        </is>
      </c>
      <c r="D83" s="78" t="inlineStr">
        <is>
          <t>Land</t>
        </is>
      </c>
      <c r="E83" s="78" t="inlineStr">
        <is>
          <t>Green City Phase 1 (Lantaba, Ketu-Epe)</t>
        </is>
      </c>
      <c r="F83" s="78" t="inlineStr">
        <is>
          <t>600Sqm</t>
        </is>
      </c>
      <c r="G83" s="79" t="n">
        <v>45359</v>
      </c>
      <c r="H83" s="78" t="n">
        <v>2024</v>
      </c>
      <c r="I83" s="80" t="n">
        <v>3000000</v>
      </c>
      <c r="J83" s="80" t="n">
        <v>3000000</v>
      </c>
      <c r="K83" s="80" t="n">
        <v>0</v>
      </c>
      <c r="L83" s="78" t="inlineStr">
        <is>
          <t>3 Months</t>
        </is>
      </c>
      <c r="M83" s="78" t="inlineStr">
        <is>
          <t>Bought</t>
        </is>
      </c>
      <c r="N83" s="78" t="inlineStr">
        <is>
          <t>BLOCK C2</t>
        </is>
      </c>
      <c r="O83" s="78" t="inlineStr">
        <is>
          <t>Not yet Collected</t>
        </is>
      </c>
      <c r="P83" s="78" t="inlineStr">
        <is>
          <t>MD</t>
        </is>
      </c>
      <c r="Q83" s="78" t="inlineStr">
        <is>
          <t>BAAY PROJECTS CLIENTS &gt; GREEN CITY KETU 1 INVESTORS LIS</t>
        </is>
      </c>
      <c r="R83" s="78" t="n">
        <v>45</v>
      </c>
      <c r="S83" s="78" t="inlineStr">
        <is>
          <t>2024-08-03</t>
        </is>
      </c>
      <c r="T83" s="78" t="n"/>
    </row>
    <row r="84" ht="25" customHeight="1">
      <c r="A84" s="75" t="inlineStr">
        <is>
          <t>SB0063</t>
        </is>
      </c>
      <c r="B84" s="75" t="inlineStr">
        <is>
          <t>BP-C0071</t>
        </is>
      </c>
      <c r="C84" s="75" t="inlineStr">
        <is>
          <t>Miss Oyebola Moyosoreoluwa Boluwatife</t>
        </is>
      </c>
      <c r="D84" s="75" t="inlineStr">
        <is>
          <t>Land</t>
        </is>
      </c>
      <c r="E84" s="75" t="inlineStr">
        <is>
          <t>Green City Phase 2 (Ketu-Epe)</t>
        </is>
      </c>
      <c r="F84" s="75" t="inlineStr">
        <is>
          <t>500SQM</t>
        </is>
      </c>
      <c r="G84" s="76" t="n">
        <v>45359</v>
      </c>
      <c r="H84" s="75" t="n">
        <v>2024</v>
      </c>
      <c r="I84" s="77" t="n">
        <v>3000000</v>
      </c>
      <c r="J84" s="77" t="n">
        <v>3000000</v>
      </c>
      <c r="K84" s="77" t="n">
        <v>0</v>
      </c>
      <c r="L84" s="75" t="inlineStr">
        <is>
          <t>3 months</t>
        </is>
      </c>
      <c r="M84" s="75" t="inlineStr">
        <is>
          <t>Bought</t>
        </is>
      </c>
      <c r="N84" s="75" t="inlineStr">
        <is>
          <t>BLOCK F, PLOT 3</t>
        </is>
      </c>
      <c r="O84" s="75" t="inlineStr">
        <is>
          <t>Collected by Client</t>
        </is>
      </c>
      <c r="P84" s="75" t="inlineStr">
        <is>
          <t>Mr Ayo</t>
        </is>
      </c>
      <c r="Q84" s="75" t="inlineStr">
        <is>
          <t>BAAY PROJECTS CLIENTS &gt; GREEN CITY KETU EPE 2</t>
        </is>
      </c>
      <c r="R84" s="75" t="n">
        <v>23</v>
      </c>
      <c r="S84" s="75" t="inlineStr">
        <is>
          <t>2024-08-03</t>
        </is>
      </c>
      <c r="T84" s="75" t="n"/>
    </row>
    <row r="85" ht="25" customHeight="1">
      <c r="A85" s="78" t="inlineStr">
        <is>
          <t>SB0064</t>
        </is>
      </c>
      <c r="B85" s="78" t="inlineStr">
        <is>
          <t>BP-C0072</t>
        </is>
      </c>
      <c r="C85" s="78" t="inlineStr">
        <is>
          <t>Mr Oyebola Ajibola Ayobami</t>
        </is>
      </c>
      <c r="D85" s="78" t="inlineStr">
        <is>
          <t>Land</t>
        </is>
      </c>
      <c r="E85" s="78" t="inlineStr">
        <is>
          <t>Green City Phase 2 (Ketu-Epe)</t>
        </is>
      </c>
      <c r="F85" s="78" t="inlineStr">
        <is>
          <t>500SQM</t>
        </is>
      </c>
      <c r="G85" s="79" t="n">
        <v>45359</v>
      </c>
      <c r="H85" s="78" t="n">
        <v>2024</v>
      </c>
      <c r="I85" s="80" t="n">
        <v>3000000</v>
      </c>
      <c r="J85" s="80" t="n">
        <v>3000000</v>
      </c>
      <c r="K85" s="80" t="n">
        <v>0</v>
      </c>
      <c r="L85" s="78" t="inlineStr">
        <is>
          <t>3 months</t>
        </is>
      </c>
      <c r="M85" s="78" t="inlineStr">
        <is>
          <t>Bought</t>
        </is>
      </c>
      <c r="N85" s="78" t="inlineStr">
        <is>
          <t>BLOCK F, PLOT 2</t>
        </is>
      </c>
      <c r="O85" s="78" t="inlineStr">
        <is>
          <t>Collected by Client</t>
        </is>
      </c>
      <c r="P85" s="78" t="inlineStr">
        <is>
          <t>Mr Ayo</t>
        </is>
      </c>
      <c r="Q85" s="78" t="inlineStr">
        <is>
          <t>BAAY PROJECTS CLIENTS &gt; GREEN CITY KETU EPE 2</t>
        </is>
      </c>
      <c r="R85" s="78" t="n">
        <v>21</v>
      </c>
      <c r="S85" s="78" t="inlineStr">
        <is>
          <t>2024-08-03</t>
        </is>
      </c>
      <c r="T85" s="78" t="n"/>
    </row>
    <row r="86" ht="25" customHeight="1">
      <c r="A86" s="75" t="inlineStr">
        <is>
          <t>SB0065</t>
        </is>
      </c>
      <c r="B86" s="75" t="inlineStr">
        <is>
          <t>BP-C0073</t>
        </is>
      </c>
      <c r="C86" s="75" t="inlineStr">
        <is>
          <t>Mr Oyebola Temiloluwa Olayinka</t>
        </is>
      </c>
      <c r="D86" s="75" t="inlineStr">
        <is>
          <t>Land</t>
        </is>
      </c>
      <c r="E86" s="75" t="inlineStr">
        <is>
          <t>Green City Phase 2 (Ketu-Epe)</t>
        </is>
      </c>
      <c r="F86" s="75" t="inlineStr">
        <is>
          <t>500SQM</t>
        </is>
      </c>
      <c r="G86" s="76" t="n">
        <v>45359</v>
      </c>
      <c r="H86" s="75" t="n">
        <v>2024</v>
      </c>
      <c r="I86" s="77" t="n">
        <v>3000000</v>
      </c>
      <c r="J86" s="77" t="n">
        <v>3000000</v>
      </c>
      <c r="K86" s="77" t="n">
        <v>0</v>
      </c>
      <c r="L86" s="75" t="inlineStr">
        <is>
          <t>3 months</t>
        </is>
      </c>
      <c r="M86" s="75" t="inlineStr">
        <is>
          <t>Bought</t>
        </is>
      </c>
      <c r="N86" s="75" t="inlineStr">
        <is>
          <t>BLOCK F, PLOT 4</t>
        </is>
      </c>
      <c r="O86" s="75" t="inlineStr">
        <is>
          <t>Collected by Client</t>
        </is>
      </c>
      <c r="P86" s="75" t="inlineStr">
        <is>
          <t>Mr Ayo</t>
        </is>
      </c>
      <c r="Q86" s="75" t="inlineStr">
        <is>
          <t>BAAY PROJECTS CLIENTS &gt; GREEN CITY KETU EPE 2</t>
        </is>
      </c>
      <c r="R86" s="75" t="n">
        <v>22</v>
      </c>
      <c r="S86" s="75" t="inlineStr">
        <is>
          <t>2024-08-03</t>
        </is>
      </c>
      <c r="T86" s="75" t="n"/>
    </row>
    <row r="87" ht="25" customHeight="1">
      <c r="A87" s="78" t="inlineStr">
        <is>
          <t>SB0066</t>
        </is>
      </c>
      <c r="B87" s="78" t="inlineStr">
        <is>
          <t>BP-C0075</t>
        </is>
      </c>
      <c r="C87" s="78" t="inlineStr">
        <is>
          <t>Miss Ogidan funmilayo Jumoke</t>
        </is>
      </c>
      <c r="D87" s="78" t="inlineStr">
        <is>
          <t>Land</t>
        </is>
      </c>
      <c r="E87" s="78" t="inlineStr">
        <is>
          <t>Green City Phase 2 (Ketu-Epe)</t>
        </is>
      </c>
      <c r="F87" s="78" t="inlineStr">
        <is>
          <t>250SQM</t>
        </is>
      </c>
      <c r="G87" s="79" t="n">
        <v>45360</v>
      </c>
      <c r="H87" s="78" t="n">
        <v>2024</v>
      </c>
      <c r="I87" s="80" t="n">
        <v>1800000</v>
      </c>
      <c r="J87" s="80" t="n">
        <v>1800000</v>
      </c>
      <c r="K87" s="80" t="n">
        <v>0</v>
      </c>
      <c r="L87" s="78" t="inlineStr">
        <is>
          <t>3 months</t>
        </is>
      </c>
      <c r="M87" s="78" t="inlineStr">
        <is>
          <t>Bought</t>
        </is>
      </c>
      <c r="N87" s="78" t="inlineStr">
        <is>
          <t>BLOCK E, PLOT 2</t>
        </is>
      </c>
      <c r="O87" s="78" t="inlineStr">
        <is>
          <t>Collected by Client</t>
        </is>
      </c>
      <c r="P87" s="78" t="inlineStr">
        <is>
          <t>Mr Ogidan Abiodun</t>
        </is>
      </c>
      <c r="Q87" s="78" t="inlineStr">
        <is>
          <t>BAAY PROJECTS CLIENTS &gt; GREEN CITY KETU EPE 2</t>
        </is>
      </c>
      <c r="R87" s="78" t="n">
        <v>25</v>
      </c>
      <c r="S87" s="78" t="inlineStr">
        <is>
          <t>2024-09-03</t>
        </is>
      </c>
      <c r="T87" s="78" t="n"/>
    </row>
    <row r="88" ht="25" customHeight="1">
      <c r="A88" s="75" t="inlineStr">
        <is>
          <t>SB0067</t>
        </is>
      </c>
      <c r="B88" s="75" t="inlineStr">
        <is>
          <t>BP-C0076</t>
        </is>
      </c>
      <c r="C88" s="75" t="inlineStr">
        <is>
          <t>Ojo Ayomide Babatunde</t>
        </is>
      </c>
      <c r="D88" s="75" t="inlineStr">
        <is>
          <t>Land</t>
        </is>
      </c>
      <c r="E88" s="75" t="inlineStr">
        <is>
          <t>Green City Phase 2 (Ketu-Epe)</t>
        </is>
      </c>
      <c r="F88" s="75" t="inlineStr">
        <is>
          <t>500SQM</t>
        </is>
      </c>
      <c r="G88" s="76" t="n">
        <v>45360</v>
      </c>
      <c r="H88" s="75" t="n">
        <v>2024</v>
      </c>
      <c r="I88" s="77" t="n">
        <v>3500000</v>
      </c>
      <c r="J88" s="77" t="n">
        <v>3500000</v>
      </c>
      <c r="K88" s="77" t="n">
        <v>0</v>
      </c>
      <c r="L88" s="75" t="inlineStr">
        <is>
          <t>3 months</t>
        </is>
      </c>
      <c r="M88" s="75" t="inlineStr">
        <is>
          <t>Bought</t>
        </is>
      </c>
      <c r="N88" s="75" t="inlineStr">
        <is>
          <t>BLOCK D, PLOT 7</t>
        </is>
      </c>
      <c r="O88" s="75" t="inlineStr">
        <is>
          <t>Collected by Client</t>
        </is>
      </c>
      <c r="P88" s="75" t="inlineStr">
        <is>
          <t>Ms Olayinka Fasuyi</t>
        </is>
      </c>
      <c r="Q88" s="75" t="inlineStr">
        <is>
          <t>BAAY PROJECTS CLIENTS &gt; GREEN CITY KETU EPE 2</t>
        </is>
      </c>
      <c r="R88" s="75" t="n">
        <v>20</v>
      </c>
      <c r="S88" s="75" t="inlineStr">
        <is>
          <t>2024-09-03</t>
        </is>
      </c>
      <c r="T88" s="75" t="n"/>
    </row>
    <row r="89" ht="25" customHeight="1">
      <c r="A89" s="78" t="inlineStr">
        <is>
          <t>SB0068</t>
        </is>
      </c>
      <c r="B89" s="78" t="inlineStr">
        <is>
          <t>BP-C0078</t>
        </is>
      </c>
      <c r="C89" s="78" t="inlineStr">
        <is>
          <t>Miss Bingham Kendra</t>
        </is>
      </c>
      <c r="D89" s="78" t="inlineStr">
        <is>
          <t>Land</t>
        </is>
      </c>
      <c r="E89" s="78" t="inlineStr">
        <is>
          <t>Green City Phase 1 (Lantaba, Ketu-Epe)</t>
        </is>
      </c>
      <c r="F89" s="78" t="inlineStr">
        <is>
          <t>600Sqm</t>
        </is>
      </c>
      <c r="G89" s="79" t="n">
        <v>45362</v>
      </c>
      <c r="H89" s="78" t="n">
        <v>2024</v>
      </c>
      <c r="I89" s="80" t="n">
        <v>7000000</v>
      </c>
      <c r="J89" s="80" t="n">
        <v>7000000</v>
      </c>
      <c r="K89" s="80" t="n">
        <v>0</v>
      </c>
      <c r="L89" s="78" t="inlineStr">
        <is>
          <t>3 Months</t>
        </is>
      </c>
      <c r="M89" s="78" t="inlineStr">
        <is>
          <t>Bought</t>
        </is>
      </c>
      <c r="N89" s="78" t="inlineStr">
        <is>
          <t>BLOCK E5</t>
        </is>
      </c>
      <c r="O89" s="78" t="inlineStr">
        <is>
          <t>Deed Collected by Rep</t>
        </is>
      </c>
      <c r="P89" s="78" t="inlineStr">
        <is>
          <t>Ms Abimbola</t>
        </is>
      </c>
      <c r="Q89" s="78" t="inlineStr">
        <is>
          <t>BAAY PROJECTS CLIENTS &gt; GREEN CITY KETU 1 INVESTORS LIS</t>
        </is>
      </c>
      <c r="R89" s="78" t="n">
        <v>43</v>
      </c>
      <c r="S89" s="78" t="inlineStr">
        <is>
          <t>2024-11-03</t>
        </is>
      </c>
      <c r="T89" s="78" t="n"/>
    </row>
    <row r="90" ht="25" customHeight="1">
      <c r="A90" s="75" t="inlineStr">
        <is>
          <t>SB0069</t>
        </is>
      </c>
      <c r="B90" s="75" t="inlineStr">
        <is>
          <t>BP-C0078</t>
        </is>
      </c>
      <c r="C90" s="75" t="inlineStr">
        <is>
          <t>Miss Bingham Kendra</t>
        </is>
      </c>
      <c r="D90" s="75" t="inlineStr">
        <is>
          <t>Land</t>
        </is>
      </c>
      <c r="E90" s="75" t="inlineStr">
        <is>
          <t>Green City Phase 2 (Ketu-Epe)</t>
        </is>
      </c>
      <c r="F90" s="75" t="inlineStr">
        <is>
          <t>500SQM</t>
        </is>
      </c>
      <c r="G90" s="76" t="n">
        <v>45362</v>
      </c>
      <c r="H90" s="75" t="n">
        <v>2024</v>
      </c>
      <c r="I90" s="77" t="n">
        <v>3500000</v>
      </c>
      <c r="J90" s="77" t="n">
        <v>3500000</v>
      </c>
      <c r="K90" s="77" t="n">
        <v>0</v>
      </c>
      <c r="L90" s="75" t="inlineStr">
        <is>
          <t>3 months</t>
        </is>
      </c>
      <c r="M90" s="75" t="inlineStr">
        <is>
          <t>Bought</t>
        </is>
      </c>
      <c r="N90" s="75" t="inlineStr">
        <is>
          <t>BLOCK C, PLOT 5 &amp; 6</t>
        </is>
      </c>
      <c r="O90" s="75" t="inlineStr">
        <is>
          <t>Collected by Client</t>
        </is>
      </c>
      <c r="P90" s="75" t="inlineStr">
        <is>
          <t>Ms Abimbola</t>
        </is>
      </c>
      <c r="Q90" s="75" t="inlineStr">
        <is>
          <t>BAAY PROJECTS CLIENTS &gt; GREEN CITY KETU EPE 2</t>
        </is>
      </c>
      <c r="R90" s="75" t="n">
        <v>18</v>
      </c>
      <c r="S90" s="75" t="inlineStr">
        <is>
          <t>2024-11-03</t>
        </is>
      </c>
      <c r="T90" s="75" t="n"/>
    </row>
    <row r="91" ht="25" customHeight="1">
      <c r="A91" s="78" t="inlineStr">
        <is>
          <t>SB0070</t>
        </is>
      </c>
      <c r="B91" s="78" t="inlineStr">
        <is>
          <t>BP-C0079</t>
        </is>
      </c>
      <c r="C91" s="78" t="inlineStr">
        <is>
          <t>Ukachi Florence Oluchi</t>
        </is>
      </c>
      <c r="D91" s="78" t="inlineStr">
        <is>
          <t>Land</t>
        </is>
      </c>
      <c r="E91" s="78" t="inlineStr">
        <is>
          <t>Green City Phase 2 (Ketu-Epe)</t>
        </is>
      </c>
      <c r="F91" s="78" t="inlineStr">
        <is>
          <t>500SQM</t>
        </is>
      </c>
      <c r="G91" s="79" t="n">
        <v>45362</v>
      </c>
      <c r="H91" s="78" t="n">
        <v>2024</v>
      </c>
      <c r="I91" s="80" t="n">
        <v>3500000</v>
      </c>
      <c r="J91" s="80" t="n">
        <v>3500000</v>
      </c>
      <c r="K91" s="80" t="n">
        <v>0</v>
      </c>
      <c r="L91" s="78" t="inlineStr">
        <is>
          <t>3 months</t>
        </is>
      </c>
      <c r="M91" s="78" t="inlineStr">
        <is>
          <t>Bought</t>
        </is>
      </c>
      <c r="N91" s="78" t="inlineStr">
        <is>
          <t>BLOCK G, PLOT 3</t>
        </is>
      </c>
      <c r="O91" s="78" t="inlineStr">
        <is>
          <t>Collected by Client's Brother (Mr Ukachi Godfrey)</t>
        </is>
      </c>
      <c r="P91" s="78" t="inlineStr">
        <is>
          <t>Ms Feyi</t>
        </is>
      </c>
      <c r="Q91" s="78" t="inlineStr">
        <is>
          <t>BAAY PROJECTS CLIENTS &gt; GREEN CITY KETU EPE 2</t>
        </is>
      </c>
      <c r="R91" s="78" t="n">
        <v>19</v>
      </c>
      <c r="S91" s="78" t="inlineStr">
        <is>
          <t>2024-11-03</t>
        </is>
      </c>
      <c r="T91" s="78" t="n"/>
    </row>
    <row r="92" ht="25" customHeight="1">
      <c r="A92" s="75" t="inlineStr">
        <is>
          <t>SB0071</t>
        </is>
      </c>
      <c r="B92" s="75" t="inlineStr">
        <is>
          <t>BP-C0080</t>
        </is>
      </c>
      <c r="C92" s="75" t="inlineStr">
        <is>
          <t>Dr Ayansola Jeremiah Funso</t>
        </is>
      </c>
      <c r="D92" s="75" t="inlineStr">
        <is>
          <t>Land</t>
        </is>
      </c>
      <c r="E92" s="75" t="inlineStr">
        <is>
          <t>Green City Phase 2 (Ketu-Epe)</t>
        </is>
      </c>
      <c r="F92" s="75" t="inlineStr">
        <is>
          <t>500SQM</t>
        </is>
      </c>
      <c r="G92" s="76" t="n">
        <v>45363</v>
      </c>
      <c r="H92" s="75" t="n">
        <v>2024</v>
      </c>
      <c r="I92" s="77" t="n">
        <v>3500000</v>
      </c>
      <c r="J92" s="77" t="n">
        <v>3500000</v>
      </c>
      <c r="K92" s="77" t="n">
        <v>0</v>
      </c>
      <c r="L92" s="75" t="inlineStr">
        <is>
          <t>3 months</t>
        </is>
      </c>
      <c r="M92" s="75" t="inlineStr">
        <is>
          <t>Bought</t>
        </is>
      </c>
      <c r="N92" s="75" t="inlineStr">
        <is>
          <t>BLOCK F, PLOT 6</t>
        </is>
      </c>
      <c r="O92" s="75" t="inlineStr">
        <is>
          <t>Collected by Client's rep</t>
        </is>
      </c>
      <c r="P92" s="75" t="inlineStr">
        <is>
          <t>Mr Juwon</t>
        </is>
      </c>
      <c r="Q92" s="75" t="inlineStr">
        <is>
          <t>BAAY PROJECTS CLIENTS &gt; GREEN CITY KETU EPE 2</t>
        </is>
      </c>
      <c r="R92" s="75" t="n">
        <v>27</v>
      </c>
      <c r="S92" s="75" t="inlineStr">
        <is>
          <t>2024-12-03</t>
        </is>
      </c>
      <c r="T92" s="75" t="n"/>
    </row>
    <row r="93" ht="25" customHeight="1">
      <c r="A93" s="78" t="inlineStr">
        <is>
          <t>SB0072</t>
        </is>
      </c>
      <c r="B93" s="78" t="inlineStr">
        <is>
          <t>BP-C0081</t>
        </is>
      </c>
      <c r="C93" s="78" t="inlineStr">
        <is>
          <t>Mr Ukachi Godfrey Ndukaku</t>
        </is>
      </c>
      <c r="D93" s="78" t="inlineStr">
        <is>
          <t>Land</t>
        </is>
      </c>
      <c r="E93" s="78" t="inlineStr">
        <is>
          <t>Green City Phase 2 (Ketu-Epe)</t>
        </is>
      </c>
      <c r="F93" s="78" t="inlineStr">
        <is>
          <t>250SQM</t>
        </is>
      </c>
      <c r="G93" s="79" t="n">
        <v>45363</v>
      </c>
      <c r="H93" s="78" t="n">
        <v>2024</v>
      </c>
      <c r="I93" s="80" t="n">
        <v>1800000</v>
      </c>
      <c r="J93" s="80" t="n">
        <v>1800000</v>
      </c>
      <c r="K93" s="80" t="n">
        <v>0</v>
      </c>
      <c r="L93" s="78" t="inlineStr">
        <is>
          <t>3 months</t>
        </is>
      </c>
      <c r="M93" s="78" t="inlineStr">
        <is>
          <t>Bought</t>
        </is>
      </c>
      <c r="N93" s="78" t="inlineStr">
        <is>
          <t>BLOCK E, PLOT 4</t>
        </is>
      </c>
      <c r="O93" s="78" t="inlineStr">
        <is>
          <t>Collected by Client</t>
        </is>
      </c>
      <c r="P93" s="78" t="inlineStr">
        <is>
          <t>Ms Feyi</t>
        </is>
      </c>
      <c r="Q93" s="78" t="inlineStr">
        <is>
          <t>BAAY PROJECTS CLIENTS &gt; GREEN CITY KETU EPE 2</t>
        </is>
      </c>
      <c r="R93" s="78" t="n">
        <v>26</v>
      </c>
      <c r="S93" s="78" t="inlineStr">
        <is>
          <t>2024-12-03</t>
        </is>
      </c>
      <c r="T93" s="78" t="n"/>
    </row>
    <row r="94" ht="25" customHeight="1">
      <c r="A94" s="75" t="inlineStr">
        <is>
          <t>SB0073</t>
        </is>
      </c>
      <c r="B94" s="75" t="inlineStr">
        <is>
          <t>BP-C0082</t>
        </is>
      </c>
      <c r="C94" s="75" t="inlineStr">
        <is>
          <t>Mrs Olarewaju Remilekun Mary</t>
        </is>
      </c>
      <c r="D94" s="75" t="inlineStr">
        <is>
          <t>Land</t>
        </is>
      </c>
      <c r="E94" s="75" t="inlineStr">
        <is>
          <t>Green City Phase 2 (Ketu-Epe)</t>
        </is>
      </c>
      <c r="F94" s="75" t="inlineStr">
        <is>
          <t>500SQM</t>
        </is>
      </c>
      <c r="G94" s="76" t="n">
        <v>45363</v>
      </c>
      <c r="H94" s="75" t="n">
        <v>2024</v>
      </c>
      <c r="I94" s="77" t="n">
        <v>3500000</v>
      </c>
      <c r="J94" s="77" t="n">
        <v>3500000</v>
      </c>
      <c r="K94" s="77" t="n">
        <v>0</v>
      </c>
      <c r="L94" s="75" t="inlineStr">
        <is>
          <t>3 months</t>
        </is>
      </c>
      <c r="M94" s="75" t="inlineStr">
        <is>
          <t>Bought</t>
        </is>
      </c>
      <c r="N94" s="75" t="inlineStr">
        <is>
          <t>BLOCK A, PLOT 18</t>
        </is>
      </c>
      <c r="O94" s="75" t="inlineStr">
        <is>
          <t>Collected by Client's rep</t>
        </is>
      </c>
      <c r="P94" s="75" t="inlineStr">
        <is>
          <t>Mr Juwon</t>
        </is>
      </c>
      <c r="Q94" s="75" t="inlineStr">
        <is>
          <t>BAAY PROJECTS CLIENTS &gt; GREEN CITY KETU EPE 2</t>
        </is>
      </c>
      <c r="R94" s="75" t="n">
        <v>24</v>
      </c>
      <c r="S94" s="75" t="inlineStr">
        <is>
          <t>2024-12-03</t>
        </is>
      </c>
      <c r="T94" s="75" t="n"/>
    </row>
    <row r="95" ht="25" customHeight="1">
      <c r="A95" s="78" t="inlineStr">
        <is>
          <t>SB0074</t>
        </is>
      </c>
      <c r="B95" s="78" t="inlineStr">
        <is>
          <t>BP-C0010</t>
        </is>
      </c>
      <c r="C95" s="78" t="inlineStr">
        <is>
          <t>Mrs Yohanna Paulina</t>
        </is>
      </c>
      <c r="D95" s="78" t="inlineStr">
        <is>
          <t>Land</t>
        </is>
      </c>
      <c r="E95" s="78" t="inlineStr">
        <is>
          <t>Green City Phase 1 (Lantaba, Ketu-Epe)</t>
        </is>
      </c>
      <c r="F95" s="78" t="inlineStr">
        <is>
          <t>500Sqm</t>
        </is>
      </c>
      <c r="G95" s="79" t="n">
        <v>45365</v>
      </c>
      <c r="H95" s="78" t="n">
        <v>2024</v>
      </c>
      <c r="I95" s="80" t="n">
        <v>7000000</v>
      </c>
      <c r="J95" s="80" t="n">
        <v>7000000</v>
      </c>
      <c r="K95" s="80" t="n">
        <v>0</v>
      </c>
      <c r="L95" s="78" t="inlineStr">
        <is>
          <t>3 Months</t>
        </is>
      </c>
      <c r="M95" s="78" t="inlineStr">
        <is>
          <t>Bought</t>
        </is>
      </c>
      <c r="N95" s="78" t="inlineStr">
        <is>
          <t>BLOCK B6</t>
        </is>
      </c>
      <c r="O95" s="78" t="inlineStr">
        <is>
          <t>Not yet Collected</t>
        </is>
      </c>
      <c r="P95" s="78" t="inlineStr">
        <is>
          <t>Mr Charles</t>
        </is>
      </c>
      <c r="Q95" s="78" t="inlineStr">
        <is>
          <t>BAAY PROJECTS CLIENTS &gt; GREEN CITY KETU 1 INVESTORS LIS</t>
        </is>
      </c>
      <c r="R95" s="78" t="n">
        <v>46</v>
      </c>
      <c r="S95" s="78" t="inlineStr">
        <is>
          <t>14/03/2024</t>
        </is>
      </c>
      <c r="T95" s="78" t="n"/>
    </row>
    <row r="96" ht="25" customHeight="1">
      <c r="A96" s="75" t="inlineStr">
        <is>
          <t>SB0075</t>
        </is>
      </c>
      <c r="B96" s="75" t="inlineStr">
        <is>
          <t>BP-C0051</t>
        </is>
      </c>
      <c r="C96" s="75" t="inlineStr">
        <is>
          <t>Mr Ogunleye Olumide Victor</t>
        </is>
      </c>
      <c r="D96" s="75" t="inlineStr">
        <is>
          <t>Land</t>
        </is>
      </c>
      <c r="E96" s="75" t="inlineStr">
        <is>
          <t>Green City Phase 1 (Lantaba, Ketu-Epe)</t>
        </is>
      </c>
      <c r="F96" s="75" t="inlineStr">
        <is>
          <t>250sqm</t>
        </is>
      </c>
      <c r="G96" s="76" t="n">
        <v>45367</v>
      </c>
      <c r="H96" s="75" t="n">
        <v>2024</v>
      </c>
      <c r="I96" s="77" t="n">
        <v>7600000</v>
      </c>
      <c r="J96" s="77" t="n">
        <v>7600000</v>
      </c>
      <c r="K96" s="77" t="n">
        <v>0</v>
      </c>
      <c r="L96" s="75" t="inlineStr">
        <is>
          <t>6 Months</t>
        </is>
      </c>
      <c r="M96" s="75" t="inlineStr">
        <is>
          <t>Bought</t>
        </is>
      </c>
      <c r="N96" s="75" t="inlineStr">
        <is>
          <t>BLOCK D1</t>
        </is>
      </c>
      <c r="O96" s="75" t="inlineStr">
        <is>
          <t>Not yet Collected</t>
        </is>
      </c>
      <c r="P96" s="75" t="inlineStr">
        <is>
          <t>MD</t>
        </is>
      </c>
      <c r="Q96" s="75" t="inlineStr">
        <is>
          <t>BAAY PROJECTS CLIENTS &gt; GREEN CITY KETU 1 INVESTORS LIS</t>
        </is>
      </c>
      <c r="R96" s="75" t="n">
        <v>44</v>
      </c>
      <c r="S96" s="75" t="inlineStr">
        <is>
          <t>16/03/2024</t>
        </is>
      </c>
      <c r="T96" s="75" t="n"/>
    </row>
    <row r="97" ht="25" customHeight="1">
      <c r="A97" s="78" t="inlineStr">
        <is>
          <t>SB0076</t>
        </is>
      </c>
      <c r="B97" s="78" t="inlineStr">
        <is>
          <t>BP-C0051</t>
        </is>
      </c>
      <c r="C97" s="78" t="inlineStr">
        <is>
          <t>Mr Ogunleye Olumide Victor</t>
        </is>
      </c>
      <c r="D97" s="78" t="inlineStr">
        <is>
          <t>Land</t>
        </is>
      </c>
      <c r="E97" s="78" t="inlineStr">
        <is>
          <t>Green City Phase 2 (Ketu-Epe)</t>
        </is>
      </c>
      <c r="F97" s="78" t="inlineStr">
        <is>
          <t>500Sqm</t>
        </is>
      </c>
      <c r="G97" s="79" t="n">
        <v>45367</v>
      </c>
      <c r="H97" s="78" t="n">
        <v>2024</v>
      </c>
      <c r="I97" s="80" t="n">
        <v>3500000</v>
      </c>
      <c r="J97" s="80" t="n">
        <v>3500000</v>
      </c>
      <c r="K97" s="80" t="n">
        <v>0</v>
      </c>
      <c r="L97" s="78" t="inlineStr">
        <is>
          <t>3 months</t>
        </is>
      </c>
      <c r="M97" s="78" t="inlineStr">
        <is>
          <t>Bought</t>
        </is>
      </c>
      <c r="N97" s="78" t="inlineStr">
        <is>
          <t>BLOCK F, PLOT 7</t>
        </is>
      </c>
      <c r="O97" s="78" t="inlineStr">
        <is>
          <t>Collected by Client</t>
        </is>
      </c>
      <c r="P97" s="78" t="inlineStr">
        <is>
          <t>MD</t>
        </is>
      </c>
      <c r="Q97" s="78" t="inlineStr">
        <is>
          <t>BAAY PROJECTS CLIENTS &gt; GREEN CITY KETU EPE 2</t>
        </is>
      </c>
      <c r="R97" s="78" t="n">
        <v>16</v>
      </c>
      <c r="S97" s="78" t="inlineStr">
        <is>
          <t>16/03/2024</t>
        </is>
      </c>
      <c r="T97" s="78" t="n"/>
    </row>
    <row r="98" ht="25" customHeight="1">
      <c r="A98" s="75" t="inlineStr">
        <is>
          <t>SB0077</t>
        </is>
      </c>
      <c r="B98" s="75" t="inlineStr">
        <is>
          <t>BP-C0084</t>
        </is>
      </c>
      <c r="C98" s="75" t="inlineStr">
        <is>
          <t>Mr Adegbayemu Ariyo Dennis</t>
        </is>
      </c>
      <c r="D98" s="75" t="inlineStr">
        <is>
          <t>Land</t>
        </is>
      </c>
      <c r="E98" s="75" t="inlineStr">
        <is>
          <t>Green City Phase 2 (Ketu-Epe)</t>
        </is>
      </c>
      <c r="F98" s="75" t="inlineStr">
        <is>
          <t>1000SQM</t>
        </is>
      </c>
      <c r="G98" s="76" t="n">
        <v>45376</v>
      </c>
      <c r="H98" s="75" t="n">
        <v>2024</v>
      </c>
      <c r="I98" s="77" t="n">
        <v>7000000</v>
      </c>
      <c r="J98" s="77" t="n">
        <v>7000000</v>
      </c>
      <c r="K98" s="77" t="n">
        <v>0</v>
      </c>
      <c r="L98" s="75" t="inlineStr">
        <is>
          <t>3 months</t>
        </is>
      </c>
      <c r="M98" s="75" t="inlineStr">
        <is>
          <t>Bought</t>
        </is>
      </c>
      <c r="N98" s="75" t="inlineStr">
        <is>
          <t>BLOCK G, PLOT 1 &amp; 2</t>
        </is>
      </c>
      <c r="O98" s="75" t="inlineStr">
        <is>
          <t>Collected by Client</t>
        </is>
      </c>
      <c r="P98" s="75" t="inlineStr">
        <is>
          <t>Ms Olayinka Fasuyi</t>
        </is>
      </c>
      <c r="Q98" s="75" t="inlineStr">
        <is>
          <t>BAAY PROJECTS CLIENTS &gt; GREEN CITY KETU EPE 2</t>
        </is>
      </c>
      <c r="R98" s="75" t="n">
        <v>32</v>
      </c>
      <c r="S98" s="75" t="inlineStr">
        <is>
          <t>25/03/2024</t>
        </is>
      </c>
      <c r="T98" s="75" t="n"/>
    </row>
    <row r="99" ht="25" customHeight="1">
      <c r="A99" s="78" t="inlineStr">
        <is>
          <t>SB0078</t>
        </is>
      </c>
      <c r="B99" s="78" t="inlineStr">
        <is>
          <t>BP-C0012</t>
        </is>
      </c>
      <c r="C99" s="78" t="inlineStr">
        <is>
          <t>Mr Apiafi Imiebam</t>
        </is>
      </c>
      <c r="D99" s="78" t="inlineStr">
        <is>
          <t>Land</t>
        </is>
      </c>
      <c r="E99" s="78" t="inlineStr">
        <is>
          <t>Green City Phase 2 (Ketu-Epe)</t>
        </is>
      </c>
      <c r="F99" s="78" t="inlineStr">
        <is>
          <t>500SQM</t>
        </is>
      </c>
      <c r="G99" s="79" t="n">
        <v>45376</v>
      </c>
      <c r="H99" s="78" t="n">
        <v>2024</v>
      </c>
      <c r="I99" s="80" t="n">
        <v>3500000</v>
      </c>
      <c r="J99" s="80" t="n">
        <v>3500000</v>
      </c>
      <c r="K99" s="80" t="n">
        <v>0</v>
      </c>
      <c r="L99" s="78" t="inlineStr">
        <is>
          <t>3 months</t>
        </is>
      </c>
      <c r="M99" s="78" t="inlineStr">
        <is>
          <t>Bought</t>
        </is>
      </c>
      <c r="N99" s="78" t="inlineStr">
        <is>
          <t>BLOCK F, PLOT 8</t>
        </is>
      </c>
      <c r="O99" s="78" t="inlineStr">
        <is>
          <t>Collected by Client</t>
        </is>
      </c>
      <c r="P99" s="78" t="inlineStr">
        <is>
          <t>Ms Blessing</t>
        </is>
      </c>
      <c r="Q99" s="78" t="inlineStr">
        <is>
          <t>BAAY PROJECTS CLIENTS &gt; GREEN CITY KETU EPE 2</t>
        </is>
      </c>
      <c r="R99" s="78" t="n">
        <v>28</v>
      </c>
      <c r="S99" s="78" t="inlineStr">
        <is>
          <t>25/03/2024</t>
        </is>
      </c>
      <c r="T99" s="78" t="n"/>
    </row>
    <row r="100" ht="25" customHeight="1">
      <c r="A100" s="75" t="inlineStr">
        <is>
          <t>SB0079</t>
        </is>
      </c>
      <c r="B100" s="75" t="inlineStr">
        <is>
          <t>BP-C0030</t>
        </is>
      </c>
      <c r="C100" s="75" t="inlineStr">
        <is>
          <t>Mr. Adese Akorede John</t>
        </is>
      </c>
      <c r="D100" s="75" t="inlineStr">
        <is>
          <t>Land</t>
        </is>
      </c>
      <c r="E100" s="75" t="inlineStr">
        <is>
          <t>Green City Phase 2 (Ketu-Epe)</t>
        </is>
      </c>
      <c r="F100" s="75" t="inlineStr">
        <is>
          <t>500Sqm</t>
        </is>
      </c>
      <c r="G100" s="76" t="n">
        <v>45376</v>
      </c>
      <c r="H100" s="75" t="n">
        <v>2024</v>
      </c>
      <c r="I100" s="77" t="n">
        <v>3000000</v>
      </c>
      <c r="J100" s="77" t="n">
        <v>3000000</v>
      </c>
      <c r="K100" s="77" t="n">
        <v>0</v>
      </c>
      <c r="L100" s="75" t="inlineStr">
        <is>
          <t>12 Months</t>
        </is>
      </c>
      <c r="M100" s="75" t="inlineStr">
        <is>
          <t>Bought</t>
        </is>
      </c>
      <c r="N100" s="75" t="inlineStr">
        <is>
          <t>BLOCK A, PLOT 12</t>
        </is>
      </c>
      <c r="O100" s="75" t="inlineStr">
        <is>
          <t>Not yet Collected</t>
        </is>
      </c>
      <c r="P100" s="75" t="inlineStr">
        <is>
          <t>MD</t>
        </is>
      </c>
      <c r="Q100" s="75" t="inlineStr">
        <is>
          <t>BAAY PROJECTS CLIENTS &gt; GREEN CITY KETU EPE 2</t>
        </is>
      </c>
      <c r="R100" s="75" t="n">
        <v>15</v>
      </c>
      <c r="S100" s="75" t="inlineStr">
        <is>
          <t>25/03/2024</t>
        </is>
      </c>
      <c r="T100" s="75" t="n"/>
    </row>
    <row r="101" ht="25" customHeight="1">
      <c r="A101" s="78" t="inlineStr">
        <is>
          <t>SB0080</t>
        </is>
      </c>
      <c r="B101" s="78" t="inlineStr">
        <is>
          <t>BP-C0086</t>
        </is>
      </c>
      <c r="C101" s="78" t="inlineStr">
        <is>
          <t>Miss Nwobodo Miriam Chioma</t>
        </is>
      </c>
      <c r="D101" s="78" t="inlineStr">
        <is>
          <t>Land</t>
        </is>
      </c>
      <c r="E101" s="78" t="inlineStr">
        <is>
          <t>Green City Phase 1 (Lantaba, Ketu-Epe)</t>
        </is>
      </c>
      <c r="F101" s="78" t="inlineStr">
        <is>
          <t>500SQM</t>
        </is>
      </c>
      <c r="G101" s="79" t="n">
        <v>45377</v>
      </c>
      <c r="H101" s="78" t="n">
        <v>2024</v>
      </c>
      <c r="I101" s="80" t="n">
        <v>8300000</v>
      </c>
      <c r="J101" s="80" t="n">
        <v>8300000</v>
      </c>
      <c r="K101" s="80" t="n">
        <v>0</v>
      </c>
      <c r="L101" s="78" t="inlineStr">
        <is>
          <t>6months</t>
        </is>
      </c>
      <c r="M101" s="78" t="inlineStr">
        <is>
          <t>Bought</t>
        </is>
      </c>
      <c r="N101" s="78" t="inlineStr">
        <is>
          <t>BLOCK E7</t>
        </is>
      </c>
      <c r="O101" s="78" t="inlineStr">
        <is>
          <t>Not yet Collected</t>
        </is>
      </c>
      <c r="P101" s="78" t="inlineStr">
        <is>
          <t>MD</t>
        </is>
      </c>
      <c r="Q101" s="78" t="inlineStr">
        <is>
          <t>BAAY PROJECTS CLIENTS &gt; GREEN CITY KETU 1 INVESTORS LIS</t>
        </is>
      </c>
      <c r="R101" s="78" t="n">
        <v>47</v>
      </c>
      <c r="S101" s="78" t="inlineStr">
        <is>
          <t>26/03/2024</t>
        </is>
      </c>
      <c r="T101" s="78" t="n"/>
    </row>
    <row r="102" ht="25" customHeight="1">
      <c r="A102" s="75" t="inlineStr">
        <is>
          <t>SB0081</t>
        </is>
      </c>
      <c r="B102" s="75" t="inlineStr">
        <is>
          <t>BP-C0029</t>
        </is>
      </c>
      <c r="C102" s="75" t="inlineStr">
        <is>
          <t>Mr Ohanehi Anthony Chukwunonso</t>
        </is>
      </c>
      <c r="D102" s="75" t="inlineStr">
        <is>
          <t>Land</t>
        </is>
      </c>
      <c r="E102" s="75" t="inlineStr">
        <is>
          <t>Green City Phase 2 (Ketu-Epe)</t>
        </is>
      </c>
      <c r="F102" s="75" t="inlineStr">
        <is>
          <t>One Acre</t>
        </is>
      </c>
      <c r="G102" s="76" t="n">
        <v>45383</v>
      </c>
      <c r="H102" s="75" t="n">
        <v>2024</v>
      </c>
      <c r="I102" s="77" t="n">
        <v>15000000</v>
      </c>
      <c r="J102" s="77" t="n">
        <v>4000000</v>
      </c>
      <c r="K102" s="77" t="n">
        <v>11000000</v>
      </c>
      <c r="L102" s="75" t="inlineStr">
        <is>
          <t>6 Months</t>
        </is>
      </c>
      <c r="M102" s="75" t="inlineStr">
        <is>
          <t>Paying</t>
        </is>
      </c>
      <c r="N102" s="75" t="inlineStr">
        <is>
          <t>NOT ALLOCATED</t>
        </is>
      </c>
      <c r="O102" s="75" t="inlineStr">
        <is>
          <t>Not yet Processed</t>
        </is>
      </c>
      <c r="P102" s="75" t="inlineStr">
        <is>
          <t>MD</t>
        </is>
      </c>
      <c r="Q102" s="75" t="inlineStr">
        <is>
          <t>BAAY PROJECTS CLIENTS &gt; GREEN CITY KETU EPE 2</t>
        </is>
      </c>
      <c r="R102" s="75" t="n">
        <v>29</v>
      </c>
      <c r="S102" s="75" t="inlineStr">
        <is>
          <t>2024-01-04</t>
        </is>
      </c>
      <c r="T102" s="75" t="n"/>
    </row>
    <row r="103" ht="25" customHeight="1">
      <c r="A103" s="78" t="inlineStr">
        <is>
          <t>SB0082</t>
        </is>
      </c>
      <c r="B103" s="78" t="inlineStr">
        <is>
          <t>BP-C0087</t>
        </is>
      </c>
      <c r="C103" s="78" t="inlineStr">
        <is>
          <t>Mr Okeme Danjuma</t>
        </is>
      </c>
      <c r="D103" s="78" t="inlineStr">
        <is>
          <t>Land</t>
        </is>
      </c>
      <c r="E103" s="78" t="inlineStr">
        <is>
          <t>Green City Phase 2 (Ketu-Epe)</t>
        </is>
      </c>
      <c r="F103" s="78" t="inlineStr">
        <is>
          <t>500SQM</t>
        </is>
      </c>
      <c r="G103" s="79" t="n">
        <v>45385</v>
      </c>
      <c r="H103" s="78" t="n">
        <v>2024</v>
      </c>
      <c r="I103" s="80" t="n">
        <v>4200000</v>
      </c>
      <c r="J103" s="80" t="n">
        <v>4200000</v>
      </c>
      <c r="K103" s="80" t="n">
        <v>0</v>
      </c>
      <c r="L103" s="78" t="inlineStr">
        <is>
          <t>3 months</t>
        </is>
      </c>
      <c r="M103" s="78" t="inlineStr">
        <is>
          <t>Bought</t>
        </is>
      </c>
      <c r="N103" s="78" t="inlineStr">
        <is>
          <t>BLOCK A, PLOT 14</t>
        </is>
      </c>
      <c r="O103" s="78" t="inlineStr">
        <is>
          <t>Collected by Client</t>
        </is>
      </c>
      <c r="P103" s="78" t="inlineStr">
        <is>
          <t>Mr Festus</t>
        </is>
      </c>
      <c r="Q103" s="78" t="inlineStr">
        <is>
          <t>BAAY PROJECTS CLIENTS &gt; GREEN CITY KETU EPE 2</t>
        </is>
      </c>
      <c r="R103" s="78" t="n">
        <v>30</v>
      </c>
      <c r="S103" s="78" t="inlineStr">
        <is>
          <t>2024-03-04</t>
        </is>
      </c>
      <c r="T103" s="78" t="n"/>
    </row>
    <row r="104" ht="25" customHeight="1">
      <c r="A104" s="75" t="inlineStr">
        <is>
          <t>SB0083</t>
        </is>
      </c>
      <c r="B104" s="75" t="inlineStr">
        <is>
          <t>BP-C0088</t>
        </is>
      </c>
      <c r="C104" s="75" t="inlineStr">
        <is>
          <t>Mr Komolafe Oluwashola Leonard</t>
        </is>
      </c>
      <c r="D104" s="75" t="inlineStr">
        <is>
          <t>Land</t>
        </is>
      </c>
      <c r="E104" s="75" t="inlineStr">
        <is>
          <t>Green City Phase 2 (Ketu-Epe)</t>
        </is>
      </c>
      <c r="F104" s="75" t="inlineStr">
        <is>
          <t>500SQM</t>
        </is>
      </c>
      <c r="G104" s="76" t="n">
        <v>45391</v>
      </c>
      <c r="H104" s="75" t="n">
        <v>2024</v>
      </c>
      <c r="I104" s="77" t="n">
        <v>4200000</v>
      </c>
      <c r="J104" s="77" t="n">
        <v>4200000</v>
      </c>
      <c r="K104" s="77" t="n">
        <v>0</v>
      </c>
      <c r="L104" s="75" t="inlineStr">
        <is>
          <t>3 months</t>
        </is>
      </c>
      <c r="M104" s="75" t="inlineStr">
        <is>
          <t>Bought</t>
        </is>
      </c>
      <c r="N104" s="75" t="inlineStr">
        <is>
          <t>BLOCK D, PLOT 8</t>
        </is>
      </c>
      <c r="O104" s="75" t="inlineStr">
        <is>
          <t>Collected by Client</t>
        </is>
      </c>
      <c r="P104" s="75" t="inlineStr">
        <is>
          <t>Ms Bolanle</t>
        </is>
      </c>
      <c r="Q104" s="75" t="inlineStr">
        <is>
          <t>BAAY PROJECTS CLIENTS &gt; GREEN CITY KETU EPE 2</t>
        </is>
      </c>
      <c r="R104" s="75" t="n">
        <v>31</v>
      </c>
      <c r="S104" s="75" t="inlineStr">
        <is>
          <t>2024-09-04</t>
        </is>
      </c>
      <c r="T104" s="75" t="n"/>
    </row>
    <row r="105" ht="25" customHeight="1">
      <c r="A105" s="78" t="inlineStr">
        <is>
          <t>SB0084</t>
        </is>
      </c>
      <c r="B105" s="78" t="inlineStr">
        <is>
          <t>BP-C0089</t>
        </is>
      </c>
      <c r="C105" s="78" t="inlineStr">
        <is>
          <t>Mr Lawson Oladele Valentino</t>
        </is>
      </c>
      <c r="D105" s="78" t="inlineStr">
        <is>
          <t>Land</t>
        </is>
      </c>
      <c r="E105" s="78" t="inlineStr">
        <is>
          <t>Green City Phase 2 (Ketu-Epe)</t>
        </is>
      </c>
      <c r="F105" s="78" t="inlineStr">
        <is>
          <t>500SQM</t>
        </is>
      </c>
      <c r="G105" s="79" t="n">
        <v>45398</v>
      </c>
      <c r="H105" s="78" t="n">
        <v>2024</v>
      </c>
      <c r="I105" s="80" t="n">
        <v>4000000</v>
      </c>
      <c r="J105" s="80" t="n">
        <v>4000000</v>
      </c>
      <c r="K105" s="80" t="n">
        <v>0</v>
      </c>
      <c r="L105" s="78" t="inlineStr">
        <is>
          <t>3 months</t>
        </is>
      </c>
      <c r="M105" s="78" t="inlineStr">
        <is>
          <t>Bought</t>
        </is>
      </c>
      <c r="N105" s="78" t="inlineStr">
        <is>
          <t>BLOCK F, PLOT 1</t>
        </is>
      </c>
      <c r="O105" s="78" t="inlineStr">
        <is>
          <t>Collected by Client</t>
        </is>
      </c>
      <c r="P105" s="78" t="inlineStr">
        <is>
          <t>Mr Ayo</t>
        </is>
      </c>
      <c r="Q105" s="78" t="inlineStr">
        <is>
          <t>BAAY PROJECTS CLIENTS &gt; GREEN CITY KETU EPE 2</t>
        </is>
      </c>
      <c r="R105" s="78" t="n">
        <v>33</v>
      </c>
      <c r="S105" s="78" t="inlineStr">
        <is>
          <t>16/04/2024</t>
        </is>
      </c>
      <c r="T105" s="78" t="n"/>
    </row>
    <row r="106" ht="25" customHeight="1">
      <c r="A106" s="75" t="inlineStr">
        <is>
          <t>SB0085</t>
        </is>
      </c>
      <c r="B106" s="75" t="inlineStr">
        <is>
          <t>BP-C0045</t>
        </is>
      </c>
      <c r="C106" s="75" t="inlineStr">
        <is>
          <t>Mr Bolarinwa Iyanuoluwa Simon &amp; Dr Bolarinwa Abisola Christianah</t>
        </is>
      </c>
      <c r="D106" s="75" t="inlineStr">
        <is>
          <t>Land</t>
        </is>
      </c>
      <c r="E106" s="75" t="inlineStr">
        <is>
          <t>Green City Phase 2 (Ketu-Epe)</t>
        </is>
      </c>
      <c r="F106" s="75" t="inlineStr">
        <is>
          <t>500SQM</t>
        </is>
      </c>
      <c r="G106" s="76" t="n">
        <v>45412</v>
      </c>
      <c r="H106" s="75" t="n">
        <v>2024</v>
      </c>
      <c r="I106" s="77" t="n">
        <v>4830000</v>
      </c>
      <c r="J106" s="77" t="n">
        <v>4830000</v>
      </c>
      <c r="K106" s="77" t="n">
        <v>0</v>
      </c>
      <c r="L106" s="75" t="inlineStr">
        <is>
          <t>6 Months</t>
        </is>
      </c>
      <c r="M106" s="75" t="inlineStr">
        <is>
          <t>Bought</t>
        </is>
      </c>
      <c r="N106" s="75" t="inlineStr">
        <is>
          <t>BLOCK A, PLOT 10</t>
        </is>
      </c>
      <c r="O106" s="75" t="inlineStr">
        <is>
          <t>Collected by client</t>
        </is>
      </c>
      <c r="P106" s="75" t="inlineStr">
        <is>
          <t>MD</t>
        </is>
      </c>
      <c r="Q106" s="75" t="inlineStr">
        <is>
          <t>BAAY PROJECTS CLIENTS &gt; GREEN CITY KETU EPE 2</t>
        </is>
      </c>
      <c r="R106" s="75" t="n">
        <v>35</v>
      </c>
      <c r="S106" s="75" t="inlineStr">
        <is>
          <t>30/04/2024</t>
        </is>
      </c>
      <c r="T106" s="75" t="n"/>
    </row>
    <row r="107" ht="25" customHeight="1">
      <c r="A107" s="78" t="inlineStr">
        <is>
          <t>SB0086</t>
        </is>
      </c>
      <c r="B107" s="78" t="inlineStr">
        <is>
          <t>BP-C0091</t>
        </is>
      </c>
      <c r="C107" s="78" t="inlineStr">
        <is>
          <t>Mr Ojo Olugbenga Daniel &amp; Mrs Ojo Omolola Oyewunmi</t>
        </is>
      </c>
      <c r="D107" s="78" t="inlineStr">
        <is>
          <t>Land</t>
        </is>
      </c>
      <c r="E107" s="78" t="inlineStr">
        <is>
          <t>Green City Phase 2 (Ketu-Epe)</t>
        </is>
      </c>
      <c r="F107" s="78" t="inlineStr">
        <is>
          <t>500Sqm</t>
        </is>
      </c>
      <c r="G107" s="79" t="n">
        <v>45424</v>
      </c>
      <c r="H107" s="78" t="n">
        <v>2024</v>
      </c>
      <c r="I107" s="80" t="n">
        <v>4200000</v>
      </c>
      <c r="J107" s="80" t="n">
        <v>4200000</v>
      </c>
      <c r="K107" s="80" t="n">
        <v>0</v>
      </c>
      <c r="L107" s="78" t="inlineStr">
        <is>
          <t>3 months</t>
        </is>
      </c>
      <c r="M107" s="78" t="inlineStr">
        <is>
          <t>Bought</t>
        </is>
      </c>
      <c r="N107" s="78" t="inlineStr">
        <is>
          <t>BLOCK A, PLOT 11</t>
        </is>
      </c>
      <c r="O107" s="78" t="inlineStr">
        <is>
          <t>Collected by Client's rep</t>
        </is>
      </c>
      <c r="P107" s="78" t="inlineStr">
        <is>
          <t>Ms Abimbola</t>
        </is>
      </c>
      <c r="Q107" s="78" t="inlineStr">
        <is>
          <t>BAAY PROJECTS CLIENTS &gt; GREEN CITY KETU EPE 2</t>
        </is>
      </c>
      <c r="R107" s="78" t="n">
        <v>37</v>
      </c>
      <c r="S107" s="78" t="inlineStr">
        <is>
          <t>2024-12-05</t>
        </is>
      </c>
      <c r="T107" s="78" t="n"/>
    </row>
    <row r="108" ht="25" customHeight="1">
      <c r="A108" s="75" t="inlineStr">
        <is>
          <t>SB0087</t>
        </is>
      </c>
      <c r="B108" s="75" t="inlineStr">
        <is>
          <t>BP-C0092</t>
        </is>
      </c>
      <c r="C108" s="75" t="inlineStr">
        <is>
          <t>Mr Oriakhi Osemudiamen Peter</t>
        </is>
      </c>
      <c r="D108" s="75" t="inlineStr">
        <is>
          <t>Land</t>
        </is>
      </c>
      <c r="E108" s="75" t="inlineStr">
        <is>
          <t>Green City Phase 2 (Ketu-Epe)</t>
        </is>
      </c>
      <c r="F108" s="75" t="inlineStr">
        <is>
          <t>500Sqm</t>
        </is>
      </c>
      <c r="G108" s="76" t="n">
        <v>45429</v>
      </c>
      <c r="H108" s="75" t="n">
        <v>2024</v>
      </c>
      <c r="I108" s="77" t="n">
        <v>4200000</v>
      </c>
      <c r="J108" s="77" t="n">
        <v>4200000</v>
      </c>
      <c r="K108" s="77" t="n">
        <v>0</v>
      </c>
      <c r="L108" s="75" t="inlineStr">
        <is>
          <t>3 months</t>
        </is>
      </c>
      <c r="M108" s="75" t="inlineStr">
        <is>
          <t>Bought</t>
        </is>
      </c>
      <c r="N108" s="75" t="inlineStr">
        <is>
          <t>BLOCK G, PLOT 8</t>
        </is>
      </c>
      <c r="O108" s="75" t="inlineStr">
        <is>
          <t>Collected by Client's rep</t>
        </is>
      </c>
      <c r="P108" s="75" t="inlineStr">
        <is>
          <t>Ms Blessing</t>
        </is>
      </c>
      <c r="Q108" s="75" t="inlineStr">
        <is>
          <t>BAAY PROJECTS CLIENTS &gt; GREEN CITY KETU EPE 2</t>
        </is>
      </c>
      <c r="R108" s="75" t="n">
        <v>38</v>
      </c>
      <c r="S108" s="75" t="inlineStr">
        <is>
          <t>17/05/2024</t>
        </is>
      </c>
      <c r="T108" s="75" t="n"/>
    </row>
    <row r="109" ht="25" customHeight="1">
      <c r="A109" s="78" t="inlineStr">
        <is>
          <t>SB0088</t>
        </is>
      </c>
      <c r="B109" s="78" t="inlineStr">
        <is>
          <t>BP-C0093</t>
        </is>
      </c>
      <c r="C109" s="78" t="inlineStr">
        <is>
          <t>Mr Okuneye Oluwakayode Oluwaseyi</t>
        </is>
      </c>
      <c r="D109" s="78" t="inlineStr">
        <is>
          <t>Land</t>
        </is>
      </c>
      <c r="E109" s="78" t="inlineStr">
        <is>
          <t>Green City Phase 2 (Ketu-Epe)</t>
        </is>
      </c>
      <c r="F109" s="78" t="inlineStr">
        <is>
          <t>250SQM</t>
        </is>
      </c>
      <c r="G109" s="79" t="n">
        <v>45433</v>
      </c>
      <c r="H109" s="78" t="n">
        <v>2024</v>
      </c>
      <c r="I109" s="80" t="n">
        <v>2160000</v>
      </c>
      <c r="J109" s="80" t="n">
        <v>2160000</v>
      </c>
      <c r="K109" s="80" t="n">
        <v>0</v>
      </c>
      <c r="L109" s="78" t="inlineStr">
        <is>
          <t>3 months</t>
        </is>
      </c>
      <c r="M109" s="78" t="inlineStr">
        <is>
          <t>Bought</t>
        </is>
      </c>
      <c r="N109" s="78" t="inlineStr">
        <is>
          <t>BLOCK E, PLOT 3</t>
        </is>
      </c>
      <c r="O109" s="78" t="inlineStr">
        <is>
          <t>Not yet Collected</t>
        </is>
      </c>
      <c r="P109" s="78" t="inlineStr">
        <is>
          <t>Ms Bolanle</t>
        </is>
      </c>
      <c r="Q109" s="78" t="inlineStr">
        <is>
          <t>BAAY PROJECTS CLIENTS &gt; GREEN CITY KETU EPE 2</t>
        </is>
      </c>
      <c r="R109" s="78" t="n">
        <v>39</v>
      </c>
      <c r="S109" s="78" t="inlineStr">
        <is>
          <t>21/05/2024</t>
        </is>
      </c>
      <c r="T109" s="78" t="n"/>
    </row>
    <row r="110" ht="25" customHeight="1">
      <c r="A110" s="75" t="inlineStr">
        <is>
          <t>SB0089</t>
        </is>
      </c>
      <c r="B110" s="75" t="inlineStr">
        <is>
          <t>BP-C0090</t>
        </is>
      </c>
      <c r="C110" s="75" t="inlineStr">
        <is>
          <t>Mr Ajiva Lubem Barnabas</t>
        </is>
      </c>
      <c r="D110" s="75" t="inlineStr">
        <is>
          <t>Land</t>
        </is>
      </c>
      <c r="E110" s="75" t="inlineStr">
        <is>
          <t>Green City Phase 2 (Ketu-Epe)</t>
        </is>
      </c>
      <c r="F110" s="75" t="inlineStr">
        <is>
          <t>250SQM</t>
        </is>
      </c>
      <c r="G110" s="76" t="n">
        <v>45441</v>
      </c>
      <c r="H110" s="75" t="n">
        <v>2024</v>
      </c>
      <c r="I110" s="77" t="n">
        <v>2160000</v>
      </c>
      <c r="J110" s="77" t="n">
        <v>2160000</v>
      </c>
      <c r="K110" s="77" t="n">
        <v>0</v>
      </c>
      <c r="L110" s="75" t="inlineStr">
        <is>
          <t>3 months</t>
        </is>
      </c>
      <c r="M110" s="75" t="inlineStr">
        <is>
          <t>Bought</t>
        </is>
      </c>
      <c r="N110" s="75" t="inlineStr">
        <is>
          <t>BLOCK E, PLOT 1</t>
        </is>
      </c>
      <c r="O110" s="75" t="inlineStr">
        <is>
          <t>Deed Collected by Client</t>
        </is>
      </c>
      <c r="P110" s="75" t="inlineStr">
        <is>
          <t>Ms Olayinka Fasuyi</t>
        </is>
      </c>
      <c r="Q110" s="75" t="inlineStr">
        <is>
          <t>BAAY PROJECTS CLIENTS &gt; GREEN CITY KETU EPE 2</t>
        </is>
      </c>
      <c r="R110" s="75" t="n">
        <v>34</v>
      </c>
      <c r="S110" s="75" t="inlineStr">
        <is>
          <t>29/05/2024</t>
        </is>
      </c>
      <c r="T110" s="75" t="n"/>
    </row>
    <row r="111" ht="25" customHeight="1">
      <c r="A111" s="78" t="inlineStr">
        <is>
          <t>SB0090</t>
        </is>
      </c>
      <c r="B111" s="78" t="inlineStr">
        <is>
          <t>BP-C0096</t>
        </is>
      </c>
      <c r="C111" s="78" t="inlineStr">
        <is>
          <t>Mrs Lawani Opemipo Oluwatobi Lasode</t>
        </is>
      </c>
      <c r="D111" s="78" t="inlineStr">
        <is>
          <t>Land</t>
        </is>
      </c>
      <c r="E111" s="78" t="inlineStr">
        <is>
          <t>Green City Phase 2 (Ketu-Epe)</t>
        </is>
      </c>
      <c r="F111" s="78" t="inlineStr">
        <is>
          <t>250Sqm</t>
        </is>
      </c>
      <c r="G111" s="79" t="n">
        <v>45452</v>
      </c>
      <c r="H111" s="78" t="n">
        <v>2024</v>
      </c>
      <c r="I111" s="80" t="n">
        <v>2160000</v>
      </c>
      <c r="J111" s="80" t="n">
        <v>2160000</v>
      </c>
      <c r="K111" s="80" t="n">
        <v>0</v>
      </c>
      <c r="L111" s="78" t="inlineStr">
        <is>
          <t>3 months</t>
        </is>
      </c>
      <c r="M111" s="78" t="inlineStr">
        <is>
          <t>Bought</t>
        </is>
      </c>
      <c r="N111" s="78" t="inlineStr">
        <is>
          <t>BLOCK C, PLOT 7</t>
        </is>
      </c>
      <c r="O111" s="78" t="inlineStr">
        <is>
          <t>Collected by Client</t>
        </is>
      </c>
      <c r="P111" s="78" t="inlineStr">
        <is>
          <t>Ms Fisayo</t>
        </is>
      </c>
      <c r="Q111" s="78" t="inlineStr">
        <is>
          <t>BAAY PROJECTS CLIENTS &gt; GREEN CITY KETU EPE 2</t>
        </is>
      </c>
      <c r="R111" s="78" t="n">
        <v>40</v>
      </c>
      <c r="S111" s="78" t="inlineStr">
        <is>
          <t>2024-09-06</t>
        </is>
      </c>
      <c r="T111" s="78" t="n"/>
    </row>
    <row r="112" ht="25" customHeight="1">
      <c r="A112" s="75" t="inlineStr">
        <is>
          <t>SB0091</t>
        </is>
      </c>
      <c r="B112" s="75" t="inlineStr">
        <is>
          <t>BP-C0036</t>
        </is>
      </c>
      <c r="C112" s="75" t="inlineStr">
        <is>
          <t>Ohumende Paul Osaze</t>
        </is>
      </c>
      <c r="D112" s="75" t="inlineStr">
        <is>
          <t>Land</t>
        </is>
      </c>
      <c r="E112" s="75" t="inlineStr">
        <is>
          <t>Green City Phase 2 (Ketu-Epe)</t>
        </is>
      </c>
      <c r="F112" s="75" t="inlineStr">
        <is>
          <t>500sqm</t>
        </is>
      </c>
      <c r="G112" s="76" t="n">
        <v>45453</v>
      </c>
      <c r="H112" s="75" t="n">
        <v>2024</v>
      </c>
      <c r="I112" s="77" t="n">
        <v>4200000</v>
      </c>
      <c r="J112" s="77" t="n">
        <v>4200000</v>
      </c>
      <c r="K112" s="77" t="n">
        <v>0</v>
      </c>
      <c r="L112" s="75" t="inlineStr">
        <is>
          <t>3 months</t>
        </is>
      </c>
      <c r="M112" s="75" t="inlineStr">
        <is>
          <t>Bought</t>
        </is>
      </c>
      <c r="N112" s="75" t="inlineStr">
        <is>
          <t>BLOCK A, PLOT 19</t>
        </is>
      </c>
      <c r="O112" s="75" t="inlineStr">
        <is>
          <t>PAID 2,100,000 for 250SQM, &amp; 250SQM given as incentive for 1 Acre bought in Phase 1</t>
        </is>
      </c>
      <c r="P112" s="75" t="inlineStr">
        <is>
          <t>MD</t>
        </is>
      </c>
      <c r="Q112" s="75" t="inlineStr">
        <is>
          <t>BAAY PROJECTS CLIENTS &gt; GREEN CITY KETU EPE 2</t>
        </is>
      </c>
      <c r="R112" s="75" t="n">
        <v>41</v>
      </c>
      <c r="S112" s="75" t="inlineStr">
        <is>
          <t>2024-10-06</t>
        </is>
      </c>
      <c r="T112" s="75" t="n"/>
    </row>
    <row r="113" ht="25" customHeight="1">
      <c r="A113" s="78" t="inlineStr">
        <is>
          <t>SB0092</t>
        </is>
      </c>
      <c r="B113" s="78" t="inlineStr">
        <is>
          <t>BP-C0097</t>
        </is>
      </c>
      <c r="C113" s="78" t="inlineStr">
        <is>
          <t>Engr Fagbulu Taiwo Olubunmi</t>
        </is>
      </c>
      <c r="D113" s="78" t="inlineStr">
        <is>
          <t>Land</t>
        </is>
      </c>
      <c r="E113" s="78" t="inlineStr">
        <is>
          <t>Green City Phase 2 (Ketu-Epe)</t>
        </is>
      </c>
      <c r="F113" s="78" t="inlineStr">
        <is>
          <t>500Sqm</t>
        </is>
      </c>
      <c r="G113" s="79" t="n">
        <v>45454</v>
      </c>
      <c r="H113" s="78" t="n">
        <v>2024</v>
      </c>
      <c r="I113" s="80" t="n">
        <v>4200000</v>
      </c>
      <c r="J113" s="80" t="n">
        <v>4200000</v>
      </c>
      <c r="K113" s="80" t="n">
        <v>0</v>
      </c>
      <c r="L113" s="78" t="inlineStr">
        <is>
          <t>3 months</t>
        </is>
      </c>
      <c r="M113" s="78" t="inlineStr">
        <is>
          <t>Bought</t>
        </is>
      </c>
      <c r="N113" s="78" t="inlineStr">
        <is>
          <t>BLOCK A, PLOT 13</t>
        </is>
      </c>
      <c r="O113" s="78" t="inlineStr">
        <is>
          <t>Collectd by Client</t>
        </is>
      </c>
      <c r="P113" s="78" t="inlineStr">
        <is>
          <t>Mr Henry</t>
        </is>
      </c>
      <c r="Q113" s="78" t="inlineStr">
        <is>
          <t>BAAY PROJECTS CLIENTS &gt; GREEN CITY KETU EPE 2</t>
        </is>
      </c>
      <c r="R113" s="78" t="n">
        <v>42</v>
      </c>
      <c r="S113" s="78" t="inlineStr">
        <is>
          <t>2024-11-06</t>
        </is>
      </c>
      <c r="T113" s="78" t="n"/>
    </row>
    <row r="114" ht="25" customHeight="1">
      <c r="A114" s="75" t="inlineStr">
        <is>
          <t>SB0093</t>
        </is>
      </c>
      <c r="B114" s="75" t="inlineStr">
        <is>
          <t>BP-C0099</t>
        </is>
      </c>
      <c r="C114" s="75" t="inlineStr">
        <is>
          <t>Mr Olatunde Adesua Samuel</t>
        </is>
      </c>
      <c r="D114" s="75" t="inlineStr">
        <is>
          <t>Land</t>
        </is>
      </c>
      <c r="E114" s="75" t="inlineStr">
        <is>
          <t>Green City Phase 1 (Lantaba, Ketu-Epe)</t>
        </is>
      </c>
      <c r="F114" s="75" t="inlineStr">
        <is>
          <t>250sqm</t>
        </is>
      </c>
      <c r="G114" s="76" t="n">
        <v>45457</v>
      </c>
      <c r="H114" s="75" t="n">
        <v>2024</v>
      </c>
      <c r="I114" s="77" t="n">
        <v>6300000</v>
      </c>
      <c r="J114" s="77" t="n">
        <v>6300000</v>
      </c>
      <c r="K114" s="77" t="n">
        <v>0</v>
      </c>
      <c r="L114" s="75" t="inlineStr">
        <is>
          <t>3 Months</t>
        </is>
      </c>
      <c r="M114" s="75" t="inlineStr">
        <is>
          <t>Bought</t>
        </is>
      </c>
      <c r="N114" s="75" t="inlineStr">
        <is>
          <t>BLOCK D10A</t>
        </is>
      </c>
      <c r="O114" s="75" t="inlineStr">
        <is>
          <t>Collected by Client</t>
        </is>
      </c>
      <c r="P114" s="75" t="inlineStr">
        <is>
          <t>Ms Adenike</t>
        </is>
      </c>
      <c r="Q114" s="75" t="inlineStr">
        <is>
          <t>BAAY PROJECTS CLIENTS &gt; GREEN CITY KETU 1 INVESTORS LIS</t>
        </is>
      </c>
      <c r="R114" s="75" t="n">
        <v>48</v>
      </c>
      <c r="S114" s="75" t="inlineStr">
        <is>
          <t>14/06/2024</t>
        </is>
      </c>
      <c r="T114" s="75" t="n"/>
    </row>
    <row r="115" ht="25" customHeight="1">
      <c r="A115" s="78" t="inlineStr">
        <is>
          <t>SB0094</t>
        </is>
      </c>
      <c r="B115" s="78" t="inlineStr">
        <is>
          <t>BP-C0100</t>
        </is>
      </c>
      <c r="C115" s="78" t="inlineStr">
        <is>
          <t>Mr Braimoh Ayomide Favour</t>
        </is>
      </c>
      <c r="D115" s="78" t="inlineStr">
        <is>
          <t>Land</t>
        </is>
      </c>
      <c r="E115" s="78" t="inlineStr">
        <is>
          <t>Green City Phase 2 (Ketu-Epe)</t>
        </is>
      </c>
      <c r="F115" s="78" t="inlineStr">
        <is>
          <t>500Sqm</t>
        </is>
      </c>
      <c r="G115" s="79" t="n">
        <v>45458</v>
      </c>
      <c r="H115" s="78" t="n">
        <v>2024</v>
      </c>
      <c r="I115" s="80" t="n">
        <v>4200000</v>
      </c>
      <c r="J115" s="80" t="n">
        <v>4200000</v>
      </c>
      <c r="K115" s="80" t="n">
        <v>0</v>
      </c>
      <c r="L115" s="78" t="inlineStr">
        <is>
          <t>3 months</t>
        </is>
      </c>
      <c r="M115" s="78" t="inlineStr">
        <is>
          <t>Bought</t>
        </is>
      </c>
      <c r="N115" s="78" t="inlineStr">
        <is>
          <t>BLOCK G, PLOT 4</t>
        </is>
      </c>
      <c r="O115" s="78" t="inlineStr">
        <is>
          <t>Collected by client Rep</t>
        </is>
      </c>
      <c r="P115" s="78" t="inlineStr">
        <is>
          <t>Ms Mayowa</t>
        </is>
      </c>
      <c r="Q115" s="78" t="inlineStr">
        <is>
          <t>BAAY PROJECTS CLIENTS &gt; GREEN CITY KETU EPE 2</t>
        </is>
      </c>
      <c r="R115" s="78" t="n">
        <v>45</v>
      </c>
      <c r="S115" s="78" t="inlineStr">
        <is>
          <t>15/06/2024</t>
        </is>
      </c>
      <c r="T115" s="78" t="n"/>
    </row>
    <row r="116" ht="25" customHeight="1">
      <c r="A116" s="75" t="inlineStr">
        <is>
          <t>SB0095</t>
        </is>
      </c>
      <c r="B116" s="75" t="inlineStr">
        <is>
          <t>BP-C0102</t>
        </is>
      </c>
      <c r="C116" s="75" t="inlineStr">
        <is>
          <t>Miss Odeyemi Testimony Patricia</t>
        </is>
      </c>
      <c r="D116" s="75" t="inlineStr">
        <is>
          <t>Land</t>
        </is>
      </c>
      <c r="E116" s="75" t="inlineStr">
        <is>
          <t>Green City Phase 2 (Ketu-Epe)</t>
        </is>
      </c>
      <c r="F116" s="75" t="inlineStr">
        <is>
          <t>600Sqm</t>
        </is>
      </c>
      <c r="G116" s="76" t="n">
        <v>45464</v>
      </c>
      <c r="H116" s="75" t="n">
        <v>2024</v>
      </c>
      <c r="I116" s="77" t="n">
        <v>5900000</v>
      </c>
      <c r="J116" s="77" t="n">
        <v>1000000</v>
      </c>
      <c r="K116" s="77" t="n">
        <v>4900000</v>
      </c>
      <c r="L116" s="75" t="inlineStr">
        <is>
          <t>3 months</t>
        </is>
      </c>
      <c r="M116" s="75" t="inlineStr">
        <is>
          <t>Paying</t>
        </is>
      </c>
      <c r="N116" s="75" t="inlineStr">
        <is>
          <t>BLOCK A, PLOT 9</t>
        </is>
      </c>
      <c r="O116" s="75" t="inlineStr">
        <is>
          <t>Not yet Processed</t>
        </is>
      </c>
      <c r="P116" s="75" t="inlineStr">
        <is>
          <t>Ms Abimbola</t>
        </is>
      </c>
      <c r="Q116" s="75" t="inlineStr">
        <is>
          <t>BAAY PROJECTS CLIENTS &gt; GREEN CITY KETU EPE 2</t>
        </is>
      </c>
      <c r="R116" s="75" t="n">
        <v>44</v>
      </c>
      <c r="S116" s="75" t="inlineStr">
        <is>
          <t>21/06/2024</t>
        </is>
      </c>
      <c r="T116" s="75" t="n"/>
    </row>
    <row r="117" ht="25" customHeight="1">
      <c r="A117" s="78" t="inlineStr">
        <is>
          <t>SB0096</t>
        </is>
      </c>
      <c r="B117" s="78" t="inlineStr">
        <is>
          <t>BP-C0054</t>
        </is>
      </c>
      <c r="C117" s="78" t="inlineStr">
        <is>
          <t>Mr Adeniyi Ademola</t>
        </is>
      </c>
      <c r="D117" s="78" t="inlineStr">
        <is>
          <t>Land</t>
        </is>
      </c>
      <c r="E117" s="78" t="inlineStr">
        <is>
          <t>Green City Phase 2 (Ketu-Epe)</t>
        </is>
      </c>
      <c r="F117" s="78" t="inlineStr">
        <is>
          <t>900Sqm</t>
        </is>
      </c>
      <c r="G117" s="79" t="n">
        <v>45464</v>
      </c>
      <c r="H117" s="78" t="n">
        <v>2024</v>
      </c>
      <c r="I117" s="80" t="n">
        <v>8400000</v>
      </c>
      <c r="J117" s="80" t="n">
        <v>8400000</v>
      </c>
      <c r="K117" s="80" t="n">
        <v>0</v>
      </c>
      <c r="L117" s="78" t="inlineStr">
        <is>
          <t>3 months</t>
        </is>
      </c>
      <c r="M117" s="78" t="inlineStr">
        <is>
          <t>Bought</t>
        </is>
      </c>
      <c r="N117" s="78" t="inlineStr">
        <is>
          <t>BLOCK A, PLOT 5A, 5B &amp; 6</t>
        </is>
      </c>
      <c r="O117" s="78" t="inlineStr">
        <is>
          <t>Not yet Collected</t>
        </is>
      </c>
      <c r="P117" s="78" t="inlineStr">
        <is>
          <t>Ms Abimbola</t>
        </is>
      </c>
      <c r="Q117" s="78" t="inlineStr">
        <is>
          <t>BAAY PROJECTS CLIENTS &gt; GREEN CITY KETU EPE 2</t>
        </is>
      </c>
      <c r="R117" s="78" t="n">
        <v>43</v>
      </c>
      <c r="S117" s="78" t="inlineStr">
        <is>
          <t>21/06/2024</t>
        </is>
      </c>
      <c r="T117" s="78" t="n"/>
    </row>
    <row r="118" ht="25" customHeight="1">
      <c r="A118" s="75" t="inlineStr">
        <is>
          <t>SB0097</t>
        </is>
      </c>
      <c r="B118" s="75" t="inlineStr">
        <is>
          <t>BP-C0103</t>
        </is>
      </c>
      <c r="C118" s="75" t="inlineStr">
        <is>
          <t>Miss Danjuma Ojotule Faith</t>
        </is>
      </c>
      <c r="D118" s="75" t="inlineStr">
        <is>
          <t>Land</t>
        </is>
      </c>
      <c r="E118" s="75" t="inlineStr">
        <is>
          <t>Green City Phase 2 (Ketu-Epe)</t>
        </is>
      </c>
      <c r="F118" s="75" t="inlineStr">
        <is>
          <t>600Sqm</t>
        </is>
      </c>
      <c r="G118" s="76" t="n">
        <v>45465</v>
      </c>
      <c r="H118" s="75" t="n">
        <v>2024</v>
      </c>
      <c r="I118" s="77" t="n">
        <v>5900000</v>
      </c>
      <c r="J118" s="77" t="n">
        <v>2673000</v>
      </c>
      <c r="K118" s="77" t="n">
        <v>3227000</v>
      </c>
      <c r="L118" s="75" t="inlineStr">
        <is>
          <t>3 months</t>
        </is>
      </c>
      <c r="M118" s="75" t="inlineStr">
        <is>
          <t>REFUND</t>
        </is>
      </c>
      <c r="N118" s="75" t="inlineStr">
        <is>
          <t>BLOCK A, PLOT 24</t>
        </is>
      </c>
      <c r="O118" s="75" t="inlineStr">
        <is>
          <t>Not yet Processed</t>
        </is>
      </c>
      <c r="P118" s="75" t="inlineStr">
        <is>
          <t>Mr Festus</t>
        </is>
      </c>
      <c r="Q118" s="75" t="inlineStr">
        <is>
          <t>BAAY PROJECTS CLIENTS &gt; GREEN CITY KETU EPE 2</t>
        </is>
      </c>
      <c r="R118" s="75" t="n">
        <v>47</v>
      </c>
      <c r="S118" s="75" t="inlineStr">
        <is>
          <t>22/06/2024</t>
        </is>
      </c>
      <c r="T118" s="75" t="n"/>
    </row>
    <row r="119" ht="25" customHeight="1">
      <c r="A119" s="78" t="inlineStr">
        <is>
          <t>SB0098</t>
        </is>
      </c>
      <c r="B119" s="78" t="inlineStr">
        <is>
          <t>BP-C0104</t>
        </is>
      </c>
      <c r="C119" s="78" t="inlineStr">
        <is>
          <t>Mr Abiodun Olasunkanmi Enoch</t>
        </is>
      </c>
      <c r="D119" s="78" t="inlineStr">
        <is>
          <t>Land</t>
        </is>
      </c>
      <c r="E119" s="78" t="inlineStr">
        <is>
          <t>Green City Phase 2 (Ketu-Epe)</t>
        </is>
      </c>
      <c r="F119" s="78" t="inlineStr">
        <is>
          <t>600Sqm</t>
        </is>
      </c>
      <c r="G119" s="79" t="n">
        <v>45468</v>
      </c>
      <c r="H119" s="78" t="n">
        <v>2024</v>
      </c>
      <c r="I119" s="80" t="n">
        <v>7600000</v>
      </c>
      <c r="J119" s="80" t="n">
        <v>1000000</v>
      </c>
      <c r="K119" s="80" t="n">
        <v>6600000</v>
      </c>
      <c r="L119" s="78" t="inlineStr">
        <is>
          <t>3 months</t>
        </is>
      </c>
      <c r="M119" s="78" t="inlineStr">
        <is>
          <t>Paying</t>
        </is>
      </c>
      <c r="N119" s="78" t="inlineStr">
        <is>
          <t>BLOCK A, PLOT 7</t>
        </is>
      </c>
      <c r="O119" s="78" t="inlineStr">
        <is>
          <t>Not yet Processed</t>
        </is>
      </c>
      <c r="P119" s="78" t="inlineStr">
        <is>
          <t>Ms Abimbola</t>
        </is>
      </c>
      <c r="Q119" s="78" t="inlineStr">
        <is>
          <t>BAAY PROJECTS CLIENTS &gt; GREEN CITY KETU EPE 2</t>
        </is>
      </c>
      <c r="R119" s="78" t="n">
        <v>46</v>
      </c>
      <c r="S119" s="78" t="inlineStr">
        <is>
          <t>25/06/2024</t>
        </is>
      </c>
      <c r="T119" s="78" t="n"/>
    </row>
    <row r="120" ht="25" customHeight="1">
      <c r="A120" s="75" t="inlineStr">
        <is>
          <t>SB0099</t>
        </is>
      </c>
      <c r="B120" s="75" t="inlineStr">
        <is>
          <t>BP-C0107</t>
        </is>
      </c>
      <c r="C120" s="75" t="inlineStr">
        <is>
          <t>Mr Salaudeen Baqi Boladale</t>
        </is>
      </c>
      <c r="D120" s="75" t="inlineStr">
        <is>
          <t>Land</t>
        </is>
      </c>
      <c r="E120" s="75" t="inlineStr">
        <is>
          <t>Heritage Garden</t>
        </is>
      </c>
      <c r="F120" s="75" t="inlineStr">
        <is>
          <t>250sqm</t>
        </is>
      </c>
      <c r="G120" s="76" t="n">
        <v>45482</v>
      </c>
      <c r="H120" s="75" t="n">
        <v>2024</v>
      </c>
      <c r="I120" s="77" t="n">
        <v>495000</v>
      </c>
      <c r="J120" s="77" t="n">
        <v>495000</v>
      </c>
      <c r="K120" s="77" t="n">
        <v>0</v>
      </c>
      <c r="L120" s="75" t="inlineStr">
        <is>
          <t>3 months</t>
        </is>
      </c>
      <c r="M120" s="75" t="inlineStr">
        <is>
          <t>Bought</t>
        </is>
      </c>
      <c r="N120" s="75" t="inlineStr">
        <is>
          <t>BLOCK C, PLOT 8</t>
        </is>
      </c>
      <c r="O120" s="75" t="inlineStr">
        <is>
          <t>Contract of Sales Signed</t>
        </is>
      </c>
      <c r="P120" s="75" t="inlineStr">
        <is>
          <t>Mr Baqi</t>
        </is>
      </c>
      <c r="Q120" s="75" t="inlineStr">
        <is>
          <t>BAAY PROJECTS CLIENTS &gt; HERITAGE GARDEN</t>
        </is>
      </c>
      <c r="R120" s="75" t="n">
        <v>2</v>
      </c>
      <c r="S120" s="75" t="inlineStr">
        <is>
          <t>2024-09-07</t>
        </is>
      </c>
      <c r="T120" s="75" t="n"/>
    </row>
    <row r="121" ht="25" customHeight="1">
      <c r="A121" s="78" t="inlineStr">
        <is>
          <t>SB0100</t>
        </is>
      </c>
      <c r="B121" s="78" t="inlineStr">
        <is>
          <t>BP-C0109</t>
        </is>
      </c>
      <c r="C121" s="78" t="inlineStr">
        <is>
          <t>Dr Okeyedun Taiwo Akinbami</t>
        </is>
      </c>
      <c r="D121" s="78" t="inlineStr">
        <is>
          <t>Land</t>
        </is>
      </c>
      <c r="E121" s="78" t="inlineStr">
        <is>
          <t>Green City Phase 3 (Omu-Epe)</t>
        </is>
      </c>
      <c r="F121" s="78" t="inlineStr">
        <is>
          <t>250Sqm</t>
        </is>
      </c>
      <c r="G121" s="79" t="n">
        <v>45492</v>
      </c>
      <c r="H121" s="78" t="n">
        <v>2024</v>
      </c>
      <c r="I121" s="80" t="n">
        <v>2400000</v>
      </c>
      <c r="J121" s="80" t="n">
        <v>300000</v>
      </c>
      <c r="K121" s="80" t="n">
        <v>2100000</v>
      </c>
      <c r="L121" s="78" t="inlineStr">
        <is>
          <t>6 Months</t>
        </is>
      </c>
      <c r="M121" s="78" t="inlineStr">
        <is>
          <t>Paying</t>
        </is>
      </c>
      <c r="N121" s="78" t="inlineStr">
        <is>
          <t>BLOCK H, PLOT 3</t>
        </is>
      </c>
      <c r="O121" s="78" t="inlineStr">
        <is>
          <t>Not Yet Processed</t>
        </is>
      </c>
      <c r="P121" s="78" t="inlineStr">
        <is>
          <t>MD</t>
        </is>
      </c>
      <c r="Q121" s="78" t="inlineStr">
        <is>
          <t>BAAY PROJECTS CLIENTS &gt; GREEN CITY PHASE 3, OMU EPE</t>
        </is>
      </c>
      <c r="R121" s="78" t="n">
        <v>2</v>
      </c>
      <c r="S121" s="78" t="inlineStr">
        <is>
          <t>19/07/2024</t>
        </is>
      </c>
      <c r="T121" s="78" t="n"/>
    </row>
    <row r="122" ht="25" customHeight="1">
      <c r="A122" s="75" t="inlineStr">
        <is>
          <t>SB0101</t>
        </is>
      </c>
      <c r="B122" s="75" t="inlineStr">
        <is>
          <t>BP-C0110</t>
        </is>
      </c>
      <c r="C122" s="75" t="inlineStr">
        <is>
          <t>Mr Adeyemi Kayode</t>
        </is>
      </c>
      <c r="D122" s="75" t="inlineStr">
        <is>
          <t>Land</t>
        </is>
      </c>
      <c r="E122" s="75" t="inlineStr">
        <is>
          <t>Green City Phase 3 (Omu-Epe)</t>
        </is>
      </c>
      <c r="F122" s="75" t="inlineStr">
        <is>
          <t>500Sqm</t>
        </is>
      </c>
      <c r="G122" s="76" t="n">
        <v>45496</v>
      </c>
      <c r="H122" s="75" t="n">
        <v>2024</v>
      </c>
      <c r="I122" s="77" t="n">
        <v>3800000</v>
      </c>
      <c r="J122" s="77" t="n">
        <v>3800000</v>
      </c>
      <c r="K122" s="77" t="n">
        <v>0</v>
      </c>
      <c r="L122" s="75" t="inlineStr">
        <is>
          <t>3 months</t>
        </is>
      </c>
      <c r="M122" s="75" t="inlineStr">
        <is>
          <t>Bought</t>
        </is>
      </c>
      <c r="N122" s="75" t="inlineStr">
        <is>
          <t>BLOCK F, PLOT 7</t>
        </is>
      </c>
      <c r="O122" s="75" t="inlineStr">
        <is>
          <t>Deed Picked up by client</t>
        </is>
      </c>
      <c r="P122" s="75" t="inlineStr">
        <is>
          <t>Ms Bola</t>
        </is>
      </c>
      <c r="Q122" s="75" t="inlineStr">
        <is>
          <t>BAAY PROJECTS CLIENTS &gt; GREEN CITY PHASE 3, OMU EPE + Foreshore financials sheet</t>
        </is>
      </c>
      <c r="R122" s="75" t="n">
        <v>8</v>
      </c>
      <c r="S122" s="75" t="inlineStr">
        <is>
          <t>23/07/2024</t>
        </is>
      </c>
      <c r="T122" s="75" t="inlineStr">
        <is>
          <t>Subscription date in source looks mistyped (05/08/0204); left blank</t>
        </is>
      </c>
    </row>
    <row r="123" ht="25" customHeight="1">
      <c r="A123" s="78" t="inlineStr">
        <is>
          <t>SB0102</t>
        </is>
      </c>
      <c r="B123" s="78" t="inlineStr">
        <is>
          <t>BP-C0026</t>
        </is>
      </c>
      <c r="C123" s="78" t="inlineStr">
        <is>
          <t>Mr &amp; Mrs Adebayo Dada</t>
        </is>
      </c>
      <c r="D123" s="78" t="inlineStr">
        <is>
          <t>Land</t>
        </is>
      </c>
      <c r="E123" s="78" t="inlineStr">
        <is>
          <t>Green City Phase 3 (Omu-Epe)</t>
        </is>
      </c>
      <c r="F123" s="78" t="inlineStr">
        <is>
          <t>250SQM</t>
        </is>
      </c>
      <c r="G123" s="79" t="n">
        <v>45506</v>
      </c>
      <c r="H123" s="78" t="n">
        <v>2024</v>
      </c>
      <c r="I123" s="80" t="n">
        <v>2000000</v>
      </c>
      <c r="J123" s="80" t="n">
        <v>2000000</v>
      </c>
      <c r="K123" s="80" t="n">
        <v>0</v>
      </c>
      <c r="L123" s="78" t="inlineStr">
        <is>
          <t>3 months</t>
        </is>
      </c>
      <c r="M123" s="78" t="inlineStr">
        <is>
          <t>Bought</t>
        </is>
      </c>
      <c r="N123" s="78" t="inlineStr">
        <is>
          <t>BLOCK D, PLOT 1</t>
        </is>
      </c>
      <c r="O123" s="78" t="inlineStr">
        <is>
          <t>Deed collected by client</t>
        </is>
      </c>
      <c r="P123" s="78" t="inlineStr">
        <is>
          <t>Mrs Abimbola</t>
        </is>
      </c>
      <c r="Q123" s="78" t="inlineStr">
        <is>
          <t>BAAY PROJECTS CLIENTS &gt; GREEN CITY PHASE 3, OMU EPE</t>
        </is>
      </c>
      <c r="R123" s="78" t="n">
        <v>7</v>
      </c>
      <c r="S123" s="78" t="inlineStr">
        <is>
          <t>2024-02-08</t>
        </is>
      </c>
      <c r="T123" s="78" t="n"/>
    </row>
    <row r="124" ht="25" customHeight="1">
      <c r="A124" s="75" t="inlineStr">
        <is>
          <t>SB0103</t>
        </is>
      </c>
      <c r="B124" s="75" t="inlineStr">
        <is>
          <t>BP-C0111</t>
        </is>
      </c>
      <c r="C124" s="75" t="inlineStr">
        <is>
          <t>Mr Adenuga Lukman Ebenezer</t>
        </is>
      </c>
      <c r="D124" s="75" t="inlineStr">
        <is>
          <t>Land</t>
        </is>
      </c>
      <c r="E124" s="75" t="inlineStr">
        <is>
          <t>Green City Phase 3 (Omu-Epe)</t>
        </is>
      </c>
      <c r="F124" s="75" t="inlineStr">
        <is>
          <t>250SQM</t>
        </is>
      </c>
      <c r="G124" s="76" t="n">
        <v>45506</v>
      </c>
      <c r="H124" s="75" t="n">
        <v>2024</v>
      </c>
      <c r="I124" s="77" t="n">
        <v>1860000</v>
      </c>
      <c r="J124" s="77" t="n">
        <v>1860000</v>
      </c>
      <c r="K124" s="77" t="n">
        <v>0</v>
      </c>
      <c r="L124" s="75" t="inlineStr">
        <is>
          <t>3 months</t>
        </is>
      </c>
      <c r="M124" s="75" t="inlineStr">
        <is>
          <t>Bought</t>
        </is>
      </c>
      <c r="N124" s="75" t="inlineStr">
        <is>
          <t>BLOCK D, PLOT 5</t>
        </is>
      </c>
      <c r="O124" s="75" t="inlineStr">
        <is>
          <t>Deed collected by client</t>
        </is>
      </c>
      <c r="P124" s="75" t="inlineStr">
        <is>
          <t>Ms Adenike</t>
        </is>
      </c>
      <c r="Q124" s="75" t="inlineStr">
        <is>
          <t>BAAY PROJECTS CLIENTS &gt; GREEN CITY PHASE 3, OMU EPE</t>
        </is>
      </c>
      <c r="R124" s="75" t="n">
        <v>6</v>
      </c>
      <c r="S124" s="75" t="inlineStr">
        <is>
          <t>2024-02-08</t>
        </is>
      </c>
      <c r="T124" s="75" t="n"/>
    </row>
    <row r="125" ht="25" customHeight="1">
      <c r="A125" s="78" t="inlineStr">
        <is>
          <t>SB0104</t>
        </is>
      </c>
      <c r="B125" s="78" t="inlineStr">
        <is>
          <t>BP-C0037</t>
        </is>
      </c>
      <c r="C125" s="78" t="inlineStr">
        <is>
          <t>Miss Okezie Mandy Ifeoma</t>
        </is>
      </c>
      <c r="D125" s="78" t="inlineStr">
        <is>
          <t>Land</t>
        </is>
      </c>
      <c r="E125" s="78" t="inlineStr">
        <is>
          <t>Green City Phase 3 (Omu-Epe)</t>
        </is>
      </c>
      <c r="F125" s="78" t="inlineStr">
        <is>
          <t>250Sqm</t>
        </is>
      </c>
      <c r="G125" s="79" t="n">
        <v>45508</v>
      </c>
      <c r="H125" s="78" t="n">
        <v>2024</v>
      </c>
      <c r="I125" s="80" t="n">
        <v>1860000</v>
      </c>
      <c r="J125" s="80" t="n">
        <v>1860000</v>
      </c>
      <c r="K125" s="80" t="n">
        <v>0</v>
      </c>
      <c r="L125" s="78" t="inlineStr">
        <is>
          <t>3 months</t>
        </is>
      </c>
      <c r="M125" s="78" t="inlineStr">
        <is>
          <t>Bought</t>
        </is>
      </c>
      <c r="N125" s="78" t="inlineStr">
        <is>
          <t>BLOCK D, PLOT 2</t>
        </is>
      </c>
      <c r="O125" s="78" t="inlineStr">
        <is>
          <t>Deed collected by client</t>
        </is>
      </c>
      <c r="P125" s="78" t="inlineStr">
        <is>
          <t>Ms Celina</t>
        </is>
      </c>
      <c r="Q125" s="78" t="inlineStr">
        <is>
          <t>BAAY PROJECTS CLIENTS &gt; GREEN CITY PHASE 3, OMU EPE</t>
        </is>
      </c>
      <c r="R125" s="78" t="n">
        <v>5</v>
      </c>
      <c r="S125" s="78" t="inlineStr">
        <is>
          <t>2024-04-08</t>
        </is>
      </c>
      <c r="T125" s="78" t="n"/>
    </row>
    <row r="126" ht="25" customHeight="1">
      <c r="A126" s="75" t="inlineStr">
        <is>
          <t>SB0105</t>
        </is>
      </c>
      <c r="B126" s="75" t="inlineStr">
        <is>
          <t>BP-C0066</t>
        </is>
      </c>
      <c r="C126" s="75" t="inlineStr">
        <is>
          <t>Miss Omosanya Dotun Akeju</t>
        </is>
      </c>
      <c r="D126" s="75" t="inlineStr">
        <is>
          <t>Land</t>
        </is>
      </c>
      <c r="E126" s="75" t="inlineStr">
        <is>
          <t>Green City Phase 3 (Omu-Epe)</t>
        </is>
      </c>
      <c r="F126" s="75" t="inlineStr">
        <is>
          <t>500SQM</t>
        </is>
      </c>
      <c r="G126" s="76" t="n">
        <v>45509</v>
      </c>
      <c r="H126" s="75" t="n">
        <v>2024</v>
      </c>
      <c r="I126" s="77" t="n">
        <v>3800000</v>
      </c>
      <c r="J126" s="77" t="n">
        <v>3800000</v>
      </c>
      <c r="K126" s="77" t="n">
        <v>0</v>
      </c>
      <c r="L126" s="75" t="inlineStr">
        <is>
          <t>3 months</t>
        </is>
      </c>
      <c r="M126" s="75" t="inlineStr">
        <is>
          <t>Bought</t>
        </is>
      </c>
      <c r="N126" s="75" t="inlineStr">
        <is>
          <t>BLOCK G, PLOT 11</t>
        </is>
      </c>
      <c r="O126" s="75" t="inlineStr">
        <is>
          <t>Contract of Sales signed.</t>
        </is>
      </c>
      <c r="P126" s="75" t="inlineStr">
        <is>
          <t>Ms Bola</t>
        </is>
      </c>
      <c r="Q126" s="75" t="inlineStr">
        <is>
          <t>BAAY PROJECTS CLIENTS &gt; GREEN CITY PHASE 3, OMU EPE + Foreshore financials sheet</t>
        </is>
      </c>
      <c r="R126" s="75" t="n">
        <v>29</v>
      </c>
      <c r="S126" s="75" t="inlineStr">
        <is>
          <t>2024-05-08</t>
        </is>
      </c>
      <c r="T126" s="75" t="n"/>
    </row>
    <row r="127" ht="25" customHeight="1">
      <c r="A127" s="78" t="inlineStr">
        <is>
          <t>SB0106</t>
        </is>
      </c>
      <c r="B127" s="78" t="inlineStr">
        <is>
          <t>BP-C0112</t>
        </is>
      </c>
      <c r="C127" s="78" t="inlineStr">
        <is>
          <t>Mr Lawson Albert Olumide</t>
        </is>
      </c>
      <c r="D127" s="78" t="inlineStr">
        <is>
          <t>Housing</t>
        </is>
      </c>
      <c r="E127" s="78" t="inlineStr">
        <is>
          <t>Pacific Court</t>
        </is>
      </c>
      <c r="F127" s="78" t="inlineStr">
        <is>
          <t>Semi Detached 3 Bedroom with BQ Carcass | units: 1.0</t>
        </is>
      </c>
      <c r="G127" s="79" t="n">
        <v>45512</v>
      </c>
      <c r="H127" s="78" t="n">
        <v>2024</v>
      </c>
      <c r="I127" s="80" t="n">
        <v>55000000</v>
      </c>
      <c r="J127" s="80" t="n"/>
      <c r="K127" s="80" t="n"/>
      <c r="L127" s="78" t="inlineStr">
        <is>
          <t>12 days</t>
        </is>
      </c>
      <c r="M127" s="78" t="inlineStr">
        <is>
          <t>PAID</t>
        </is>
      </c>
      <c r="N127" s="78" t="n"/>
      <c r="O127" s="78" t="n"/>
      <c r="P127" s="78" t="inlineStr">
        <is>
          <t>Mr Ayo</t>
        </is>
      </c>
      <c r="Q127" s="78" t="inlineStr">
        <is>
          <t>BAAY PROJECTS CLIENTS &gt; PACIFIC COURT INVESTORS LIST</t>
        </is>
      </c>
      <c r="R127" s="78" t="n">
        <v>11</v>
      </c>
      <c r="S127" s="78" t="inlineStr">
        <is>
          <t>2024-08-08</t>
        </is>
      </c>
      <c r="T127" s="78" t="n"/>
    </row>
    <row r="128" ht="25" customHeight="1">
      <c r="A128" s="75" t="inlineStr">
        <is>
          <t>SB0107</t>
        </is>
      </c>
      <c r="B128" s="75" t="inlineStr">
        <is>
          <t>BP-C0019</t>
        </is>
      </c>
      <c r="C128" s="75" t="inlineStr">
        <is>
          <t>Mr Ogbu Pius Ejaka</t>
        </is>
      </c>
      <c r="D128" s="75" t="inlineStr">
        <is>
          <t>Land</t>
        </is>
      </c>
      <c r="E128" s="75" t="inlineStr">
        <is>
          <t>Green City Phase 3 (Omu-Epe)</t>
        </is>
      </c>
      <c r="F128" s="75" t="inlineStr">
        <is>
          <t>500SQM</t>
        </is>
      </c>
      <c r="G128" s="76" t="n">
        <v>45516</v>
      </c>
      <c r="H128" s="75" t="n">
        <v>2024</v>
      </c>
      <c r="I128" s="77" t="n">
        <v>3510000</v>
      </c>
      <c r="J128" s="77" t="n">
        <v>3510000</v>
      </c>
      <c r="K128" s="77" t="n">
        <v>0</v>
      </c>
      <c r="L128" s="75" t="inlineStr">
        <is>
          <t>3 months</t>
        </is>
      </c>
      <c r="M128" s="75" t="inlineStr">
        <is>
          <t>Bought</t>
        </is>
      </c>
      <c r="N128" s="75" t="inlineStr">
        <is>
          <t>BLOCK B, PLOT 3</t>
        </is>
      </c>
      <c r="O128" s="75" t="inlineStr">
        <is>
          <t>Deed collected by client</t>
        </is>
      </c>
      <c r="P128" s="75" t="inlineStr">
        <is>
          <t>Ms Anointing</t>
        </is>
      </c>
      <c r="Q128" s="75" t="inlineStr">
        <is>
          <t>BAAY PROJECTS CLIENTS &gt; GREEN CITY PHASE 3, OMU EPE + Foreshore financials sheet</t>
        </is>
      </c>
      <c r="R128" s="75" t="n">
        <v>34</v>
      </c>
      <c r="S128" s="75" t="inlineStr">
        <is>
          <t>2024-12-08</t>
        </is>
      </c>
      <c r="T128" s="75" t="n"/>
    </row>
    <row r="129" ht="25" customHeight="1">
      <c r="A129" s="78" t="inlineStr">
        <is>
          <t>SB0108</t>
        </is>
      </c>
      <c r="B129" s="78" t="inlineStr">
        <is>
          <t>BP-C0113</t>
        </is>
      </c>
      <c r="C129" s="78" t="inlineStr">
        <is>
          <t>Mr Udoezi Paul</t>
        </is>
      </c>
      <c r="D129" s="78" t="inlineStr">
        <is>
          <t>Land</t>
        </is>
      </c>
      <c r="E129" s="78" t="inlineStr">
        <is>
          <t>Green City Phase 3 (Omu-Epe)</t>
        </is>
      </c>
      <c r="F129" s="78" t="inlineStr">
        <is>
          <t>500SQM</t>
        </is>
      </c>
      <c r="G129" s="79" t="n">
        <v>45516</v>
      </c>
      <c r="H129" s="78" t="n">
        <v>2024</v>
      </c>
      <c r="I129" s="80" t="n">
        <v>3800000</v>
      </c>
      <c r="J129" s="80" t="n">
        <v>500000</v>
      </c>
      <c r="K129" s="80" t="n">
        <v>3300000</v>
      </c>
      <c r="L129" s="78" t="inlineStr">
        <is>
          <t>3 months</t>
        </is>
      </c>
      <c r="M129" s="78" t="inlineStr">
        <is>
          <t>Paying</t>
        </is>
      </c>
      <c r="N129" s="78" t="inlineStr">
        <is>
          <t>BLOCK G, PLOT 4</t>
        </is>
      </c>
      <c r="O129" s="78" t="inlineStr">
        <is>
          <t>Not Yet Processed</t>
        </is>
      </c>
      <c r="P129" s="78" t="inlineStr">
        <is>
          <t>Ms Blessing</t>
        </is>
      </c>
      <c r="Q129" s="78" t="inlineStr">
        <is>
          <t>BAAY PROJECTS CLIENTS &gt; GREEN CITY PHASE 3, OMU EPE</t>
        </is>
      </c>
      <c r="R129" s="78" t="n">
        <v>15</v>
      </c>
      <c r="S129" s="78" t="inlineStr">
        <is>
          <t>2024-12-08</t>
        </is>
      </c>
      <c r="T129" s="78" t="n"/>
    </row>
    <row r="130" ht="25" customHeight="1">
      <c r="A130" s="75" t="inlineStr">
        <is>
          <t>SB0109</t>
        </is>
      </c>
      <c r="B130" s="75" t="inlineStr">
        <is>
          <t>BP-C0114</t>
        </is>
      </c>
      <c r="C130" s="75" t="inlineStr">
        <is>
          <t>Miss Ohaego Ijeoma Goodness</t>
        </is>
      </c>
      <c r="D130" s="75" t="inlineStr">
        <is>
          <t>Land</t>
        </is>
      </c>
      <c r="E130" s="75" t="inlineStr">
        <is>
          <t>Green City Phase 3 (Omu-Epe)</t>
        </is>
      </c>
      <c r="F130" s="75" t="inlineStr">
        <is>
          <t>500SQM</t>
        </is>
      </c>
      <c r="G130" s="76" t="n">
        <v>45520</v>
      </c>
      <c r="H130" s="75" t="n">
        <v>2024</v>
      </c>
      <c r="I130" s="77" t="n">
        <v>3800000</v>
      </c>
      <c r="J130" s="77" t="n">
        <v>3800000</v>
      </c>
      <c r="K130" s="77" t="n">
        <v>0</v>
      </c>
      <c r="L130" s="75" t="inlineStr">
        <is>
          <t>3 months</t>
        </is>
      </c>
      <c r="M130" s="75" t="inlineStr">
        <is>
          <t>Bought</t>
        </is>
      </c>
      <c r="N130" s="75" t="inlineStr">
        <is>
          <t>BLOCK G, PLOT 5</t>
        </is>
      </c>
      <c r="O130" s="75" t="inlineStr">
        <is>
          <t>Deed Collected by client's rep</t>
        </is>
      </c>
      <c r="P130" s="75" t="inlineStr">
        <is>
          <t>Ms Oji Blessing</t>
        </is>
      </c>
      <c r="Q130" s="75" t="inlineStr">
        <is>
          <t>BAAY PROJECTS CLIENTS &gt; GREEN CITY PHASE 3, OMU EPE</t>
        </is>
      </c>
      <c r="R130" s="75" t="n">
        <v>13</v>
      </c>
      <c r="S130" s="75" t="inlineStr">
        <is>
          <t>16/08/2024</t>
        </is>
      </c>
      <c r="T130" s="75" t="n"/>
    </row>
    <row r="131" ht="25" customHeight="1">
      <c r="A131" s="78" t="inlineStr">
        <is>
          <t>SB0110</t>
        </is>
      </c>
      <c r="B131" s="78" t="inlineStr">
        <is>
          <t>BP-C0115</t>
        </is>
      </c>
      <c r="C131" s="78" t="inlineStr">
        <is>
          <t>Mrs King Lavonda (LAVONDA RENA KING FAMILY &amp; TOCHUWKU CHRISTIAN EJIOFOR</t>
        </is>
      </c>
      <c r="D131" s="78" t="inlineStr">
        <is>
          <t>Land</t>
        </is>
      </c>
      <c r="E131" s="78" t="inlineStr">
        <is>
          <t>Green City Phase 3 (Omu-Epe)</t>
        </is>
      </c>
      <c r="F131" s="78" t="inlineStr">
        <is>
          <t>500SQM</t>
        </is>
      </c>
      <c r="G131" s="79" t="n">
        <v>45521</v>
      </c>
      <c r="H131" s="78" t="n">
        <v>2024</v>
      </c>
      <c r="I131" s="80" t="n">
        <v>3800000</v>
      </c>
      <c r="J131" s="80" t="n">
        <v>3800000</v>
      </c>
      <c r="K131" s="80" t="n">
        <v>0</v>
      </c>
      <c r="L131" s="78" t="inlineStr">
        <is>
          <t>3 months</t>
        </is>
      </c>
      <c r="M131" s="78" t="inlineStr">
        <is>
          <t>Bought</t>
        </is>
      </c>
      <c r="N131" s="78" t="inlineStr">
        <is>
          <t>BLOCK F, PLOT 3</t>
        </is>
      </c>
      <c r="O131" s="78" t="inlineStr">
        <is>
          <t>Deed Collected by client's rep</t>
        </is>
      </c>
      <c r="P131" s="78" t="inlineStr">
        <is>
          <t>Mrs Abimbola</t>
        </is>
      </c>
      <c r="Q131" s="78" t="inlineStr">
        <is>
          <t>BAAY PROJECTS CLIENTS &gt; GREEN CITY PHASE 3, OMU EPE</t>
        </is>
      </c>
      <c r="R131" s="78" t="n">
        <v>12</v>
      </c>
      <c r="S131" s="78" t="inlineStr">
        <is>
          <t>17/08/2024</t>
        </is>
      </c>
      <c r="T131" s="78" t="n"/>
    </row>
    <row r="132" ht="25" customHeight="1">
      <c r="A132" s="75" t="inlineStr">
        <is>
          <t>SB0111</t>
        </is>
      </c>
      <c r="B132" s="75" t="inlineStr">
        <is>
          <t>BP-C0116</t>
        </is>
      </c>
      <c r="C132" s="75" t="inlineStr">
        <is>
          <t>Miss Okorie Rachael Mmesomachi</t>
        </is>
      </c>
      <c r="D132" s="75" t="inlineStr">
        <is>
          <t>Land</t>
        </is>
      </c>
      <c r="E132" s="75" t="inlineStr">
        <is>
          <t>Green City Phase 3 (Omu-Epe)</t>
        </is>
      </c>
      <c r="F132" s="75" t="inlineStr">
        <is>
          <t>500SQM</t>
        </is>
      </c>
      <c r="G132" s="76" t="n">
        <v>45522</v>
      </c>
      <c r="H132" s="75" t="n">
        <v>2024</v>
      </c>
      <c r="I132" s="77" t="n">
        <v>3800000</v>
      </c>
      <c r="J132" s="77" t="n">
        <v>3800000</v>
      </c>
      <c r="K132" s="77" t="n">
        <v>0</v>
      </c>
      <c r="L132" s="75" t="inlineStr">
        <is>
          <t>3 months</t>
        </is>
      </c>
      <c r="M132" s="75" t="inlineStr">
        <is>
          <t>Bought</t>
        </is>
      </c>
      <c r="N132" s="75" t="inlineStr">
        <is>
          <t>BLOCK F, PLOT 5</t>
        </is>
      </c>
      <c r="O132" s="75" t="inlineStr">
        <is>
          <t>Deed collected by client's rep</t>
        </is>
      </c>
      <c r="P132" s="75" t="inlineStr">
        <is>
          <t>Ms Oji Blessing</t>
        </is>
      </c>
      <c r="Q132" s="75" t="inlineStr">
        <is>
          <t>BAAY PROJECTS CLIENTS &gt; GREEN CITY PHASE 3, OMU EPE</t>
        </is>
      </c>
      <c r="R132" s="75" t="n">
        <v>14</v>
      </c>
      <c r="S132" s="75" t="inlineStr">
        <is>
          <t>18/08/2024</t>
        </is>
      </c>
      <c r="T132" s="75" t="n"/>
    </row>
    <row r="133" ht="25" customHeight="1">
      <c r="A133" s="78" t="inlineStr">
        <is>
          <t>SB0112</t>
        </is>
      </c>
      <c r="B133" s="78" t="inlineStr">
        <is>
          <t>BP-C0060</t>
        </is>
      </c>
      <c r="C133" s="78" t="inlineStr">
        <is>
          <t>Ms Mitchell Jennifer</t>
        </is>
      </c>
      <c r="D133" s="78" t="inlineStr">
        <is>
          <t>Land</t>
        </is>
      </c>
      <c r="E133" s="78" t="inlineStr">
        <is>
          <t>Heritage Garden</t>
        </is>
      </c>
      <c r="F133" s="78" t="inlineStr">
        <is>
          <t>250sqm</t>
        </is>
      </c>
      <c r="G133" s="79" t="n">
        <v>45526</v>
      </c>
      <c r="H133" s="78" t="n">
        <v>2024</v>
      </c>
      <c r="I133" s="80" t="n">
        <v>608060</v>
      </c>
      <c r="J133" s="80" t="n">
        <v>608060</v>
      </c>
      <c r="K133" s="80" t="n">
        <v>0</v>
      </c>
      <c r="L133" s="78" t="inlineStr">
        <is>
          <t>3 months</t>
        </is>
      </c>
      <c r="M133" s="78" t="inlineStr">
        <is>
          <t>Bought</t>
        </is>
      </c>
      <c r="N133" s="78" t="inlineStr">
        <is>
          <t>BLOCK C, PLOT 9</t>
        </is>
      </c>
      <c r="O133" s="78" t="inlineStr">
        <is>
          <t>Contract of Sales Signed</t>
        </is>
      </c>
      <c r="P133" s="78" t="inlineStr">
        <is>
          <t>Ms Celina</t>
        </is>
      </c>
      <c r="Q133" s="78" t="inlineStr">
        <is>
          <t>BAAY PROJECTS CLIENTS &gt; HERITAGE GARDEN</t>
        </is>
      </c>
      <c r="R133" s="78" t="n">
        <v>3</v>
      </c>
      <c r="S133" s="78" t="inlineStr">
        <is>
          <t>22/08/2024</t>
        </is>
      </c>
      <c r="T133" s="78" t="n"/>
    </row>
    <row r="134" ht="25" customHeight="1">
      <c r="A134" s="75" t="inlineStr">
        <is>
          <t>SB0113</t>
        </is>
      </c>
      <c r="B134" s="75" t="inlineStr">
        <is>
          <t>BP-C0118</t>
        </is>
      </c>
      <c r="C134" s="75" t="inlineStr">
        <is>
          <t>Pastor Ikechukwu Kingsley &amp; Deaconess Ikechukwu Rose Uju</t>
        </is>
      </c>
      <c r="D134" s="75" t="inlineStr">
        <is>
          <t>Land</t>
        </is>
      </c>
      <c r="E134" s="75" t="inlineStr">
        <is>
          <t>Green City Phase 3 (Omu-Epe)</t>
        </is>
      </c>
      <c r="F134" s="75" t="inlineStr">
        <is>
          <t>500SQM</t>
        </is>
      </c>
      <c r="G134" s="76" t="n">
        <v>45527</v>
      </c>
      <c r="H134" s="75" t="n">
        <v>2024</v>
      </c>
      <c r="I134" s="77" t="n">
        <v>3800000</v>
      </c>
      <c r="J134" s="77" t="n">
        <v>3800000</v>
      </c>
      <c r="K134" s="77" t="n">
        <v>0</v>
      </c>
      <c r="L134" s="75" t="inlineStr">
        <is>
          <t>3 months</t>
        </is>
      </c>
      <c r="M134" s="75" t="inlineStr">
        <is>
          <t>Bought</t>
        </is>
      </c>
      <c r="N134" s="75" t="inlineStr">
        <is>
          <t>BLOCK E, PLOT 2</t>
        </is>
      </c>
      <c r="O134" s="75" t="inlineStr">
        <is>
          <t>Deed collected by client</t>
        </is>
      </c>
      <c r="P134" s="75" t="inlineStr">
        <is>
          <t>Ms Adenike</t>
        </is>
      </c>
      <c r="Q134" s="75" t="inlineStr">
        <is>
          <t>BAAY PROJECTS CLIENTS &gt; GREEN CITY PHASE 3, OMU EPE</t>
        </is>
      </c>
      <c r="R134" s="75" t="n">
        <v>16</v>
      </c>
      <c r="S134" s="75" t="inlineStr">
        <is>
          <t>23/08/2024</t>
        </is>
      </c>
      <c r="T134" s="75" t="n"/>
    </row>
    <row r="135" ht="25" customHeight="1">
      <c r="A135" s="78" t="inlineStr">
        <is>
          <t>SB0114</t>
        </is>
      </c>
      <c r="B135" s="78" t="inlineStr">
        <is>
          <t>BP-C0119</t>
        </is>
      </c>
      <c r="C135" s="78" t="inlineStr">
        <is>
          <t>Mr Adedapo Adekunle Solomon</t>
        </is>
      </c>
      <c r="D135" s="78" t="inlineStr">
        <is>
          <t>Land</t>
        </is>
      </c>
      <c r="E135" s="78" t="inlineStr">
        <is>
          <t>Green City Phase 3 (Omu-Epe)</t>
        </is>
      </c>
      <c r="F135" s="78" t="inlineStr">
        <is>
          <t>500SQM</t>
        </is>
      </c>
      <c r="G135" s="79" t="n">
        <v>45532</v>
      </c>
      <c r="H135" s="78" t="n">
        <v>2024</v>
      </c>
      <c r="I135" s="80" t="n">
        <v>5000000</v>
      </c>
      <c r="J135" s="80" t="n">
        <v>5000000</v>
      </c>
      <c r="K135" s="80" t="n">
        <v>0</v>
      </c>
      <c r="L135" s="78" t="inlineStr">
        <is>
          <t>3 months</t>
        </is>
      </c>
      <c r="M135" s="78" t="inlineStr">
        <is>
          <t>Bought</t>
        </is>
      </c>
      <c r="N135" s="78" t="inlineStr">
        <is>
          <t>BLOCK E, PLOT 3</t>
        </is>
      </c>
      <c r="O135" s="78" t="inlineStr">
        <is>
          <t>Deed dispatched to client, Signed out by rep</t>
        </is>
      </c>
      <c r="P135" s="78" t="inlineStr">
        <is>
          <t>Ms Taiwo</t>
        </is>
      </c>
      <c r="Q135" s="78" t="inlineStr">
        <is>
          <t>BAAY PROJECTS CLIENTS &gt; GREEN CITY PHASE 3, OMU EPE</t>
        </is>
      </c>
      <c r="R135" s="78" t="n">
        <v>17</v>
      </c>
      <c r="S135" s="78" t="inlineStr">
        <is>
          <t>28/08/2024</t>
        </is>
      </c>
      <c r="T135" s="78" t="n"/>
    </row>
    <row r="136" ht="25" customHeight="1">
      <c r="A136" s="75" t="inlineStr">
        <is>
          <t>SB0115</t>
        </is>
      </c>
      <c r="B136" s="75" t="inlineStr">
        <is>
          <t>BP-C0121</t>
        </is>
      </c>
      <c r="C136" s="75" t="inlineStr">
        <is>
          <t>Mr Nweze Valentine Oluebube</t>
        </is>
      </c>
      <c r="D136" s="75" t="inlineStr">
        <is>
          <t>Land</t>
        </is>
      </c>
      <c r="E136" s="75" t="inlineStr">
        <is>
          <t>Green City Phase 3 (Omu-Epe)</t>
        </is>
      </c>
      <c r="F136" s="75" t="inlineStr">
        <is>
          <t>500SQM</t>
        </is>
      </c>
      <c r="G136" s="76" t="n">
        <v>45544</v>
      </c>
      <c r="H136" s="75" t="n">
        <v>2024</v>
      </c>
      <c r="I136" s="77" t="n">
        <v>5000000</v>
      </c>
      <c r="J136" s="77" t="n">
        <v>5000000</v>
      </c>
      <c r="K136" s="77" t="n">
        <v>0</v>
      </c>
      <c r="L136" s="75" t="inlineStr">
        <is>
          <t>3 months</t>
        </is>
      </c>
      <c r="M136" s="75" t="inlineStr">
        <is>
          <t>Bought</t>
        </is>
      </c>
      <c r="N136" s="75" t="inlineStr">
        <is>
          <t>BLOCK F, PLOT 4</t>
        </is>
      </c>
      <c r="O136" s="75" t="inlineStr">
        <is>
          <t>Deed collected by client</t>
        </is>
      </c>
      <c r="P136" s="75" t="inlineStr">
        <is>
          <t>Ms Bolanle</t>
        </is>
      </c>
      <c r="Q136" s="75" t="inlineStr">
        <is>
          <t>BAAY PROJECTS CLIENTS &gt; GREEN CITY PHASE 3, OMU EPE</t>
        </is>
      </c>
      <c r="R136" s="75" t="n">
        <v>19</v>
      </c>
      <c r="S136" s="75" t="inlineStr">
        <is>
          <t>2024-09-09</t>
        </is>
      </c>
      <c r="T136" s="75" t="n"/>
    </row>
    <row r="137" ht="25" customHeight="1">
      <c r="A137" s="78" t="inlineStr">
        <is>
          <t>SB0116</t>
        </is>
      </c>
      <c r="B137" s="78" t="inlineStr">
        <is>
          <t>BP-C0122</t>
        </is>
      </c>
      <c r="C137" s="78" t="inlineStr">
        <is>
          <t>Mr Olusegun Dare Micheal</t>
        </is>
      </c>
      <c r="D137" s="78" t="inlineStr">
        <is>
          <t>Land</t>
        </is>
      </c>
      <c r="E137" s="78" t="inlineStr">
        <is>
          <t>Green City Phase 3 (Omu-Epe)</t>
        </is>
      </c>
      <c r="F137" s="78" t="inlineStr">
        <is>
          <t>500SQM</t>
        </is>
      </c>
      <c r="G137" s="79" t="n">
        <v>45544</v>
      </c>
      <c r="H137" s="78" t="n">
        <v>2024</v>
      </c>
      <c r="I137" s="80" t="n">
        <v>4500000</v>
      </c>
      <c r="J137" s="80" t="n">
        <v>4500000</v>
      </c>
      <c r="K137" s="80" t="n">
        <v>0</v>
      </c>
      <c r="L137" s="78" t="inlineStr">
        <is>
          <t>3 months</t>
        </is>
      </c>
      <c r="M137" s="78" t="inlineStr">
        <is>
          <t>Bought</t>
        </is>
      </c>
      <c r="N137" s="78" t="inlineStr">
        <is>
          <t>BLOCK F, PLOT 6</t>
        </is>
      </c>
      <c r="O137" s="78" t="inlineStr">
        <is>
          <t>Deed collected by client's rep</t>
        </is>
      </c>
      <c r="P137" s="78" t="inlineStr">
        <is>
          <t>Ms Bolanle</t>
        </is>
      </c>
      <c r="Q137" s="78" t="inlineStr">
        <is>
          <t>BAAY PROJECTS CLIENTS &gt; GREEN CITY PHASE 3, OMU EPE</t>
        </is>
      </c>
      <c r="R137" s="78" t="n">
        <v>18</v>
      </c>
      <c r="S137" s="78" t="inlineStr">
        <is>
          <t>2024-09-09</t>
        </is>
      </c>
      <c r="T137" s="78" t="n"/>
    </row>
    <row r="138" ht="25" customHeight="1">
      <c r="A138" s="75" t="inlineStr">
        <is>
          <t>SB0117</t>
        </is>
      </c>
      <c r="B138" s="75" t="inlineStr">
        <is>
          <t>BP-C0123</t>
        </is>
      </c>
      <c r="C138" s="75" t="inlineStr">
        <is>
          <t>Mr Olaogun Samuel Oriyomi</t>
        </is>
      </c>
      <c r="D138" s="75" t="inlineStr">
        <is>
          <t>Land</t>
        </is>
      </c>
      <c r="E138" s="75" t="inlineStr">
        <is>
          <t>Green City Phase 3 (Omu-Epe)</t>
        </is>
      </c>
      <c r="F138" s="75" t="inlineStr">
        <is>
          <t>250SQM</t>
        </is>
      </c>
      <c r="G138" s="76" t="n">
        <v>45548</v>
      </c>
      <c r="H138" s="75" t="n">
        <v>2024</v>
      </c>
      <c r="I138" s="77" t="n">
        <v>2600000</v>
      </c>
      <c r="J138" s="77" t="n">
        <v>2600000</v>
      </c>
      <c r="K138" s="77" t="n">
        <v>0</v>
      </c>
      <c r="L138" s="75" t="inlineStr">
        <is>
          <t>3 months</t>
        </is>
      </c>
      <c r="M138" s="75" t="inlineStr">
        <is>
          <t>Bought</t>
        </is>
      </c>
      <c r="N138" s="75" t="inlineStr">
        <is>
          <t>BLOCK D, PLOT 7</t>
        </is>
      </c>
      <c r="O138" s="75" t="inlineStr">
        <is>
          <t>Deed collected by client</t>
        </is>
      </c>
      <c r="P138" s="75" t="inlineStr">
        <is>
          <t>Mr Rapheal</t>
        </is>
      </c>
      <c r="Q138" s="75" t="inlineStr">
        <is>
          <t>BAAY PROJECTS CLIENTS &gt; GREEN CITY PHASE 3, OMU EPE</t>
        </is>
      </c>
      <c r="R138" s="75" t="n">
        <v>20</v>
      </c>
      <c r="S138" s="75" t="inlineStr">
        <is>
          <t>13/09/2024</t>
        </is>
      </c>
      <c r="T138" s="75" t="n"/>
    </row>
    <row r="139" ht="25" customHeight="1">
      <c r="A139" s="78" t="inlineStr">
        <is>
          <t>SB0118</t>
        </is>
      </c>
      <c r="B139" s="78" t="inlineStr">
        <is>
          <t>BP-C0125</t>
        </is>
      </c>
      <c r="C139" s="78" t="inlineStr">
        <is>
          <t>Mrs Adelaja-Idowu Mosebolatan Tomilayo &amp; Mr Tse Mike Terzungwe</t>
        </is>
      </c>
      <c r="D139" s="78" t="inlineStr">
        <is>
          <t>Land</t>
        </is>
      </c>
      <c r="E139" s="78" t="inlineStr">
        <is>
          <t>Green City Phase 2 (Ketu-Epe)</t>
        </is>
      </c>
      <c r="F139" s="78" t="inlineStr">
        <is>
          <t>1000Sqm</t>
        </is>
      </c>
      <c r="G139" s="79" t="n">
        <v>45552</v>
      </c>
      <c r="H139" s="78" t="n">
        <v>2024</v>
      </c>
      <c r="I139" s="80" t="n">
        <v>12800000</v>
      </c>
      <c r="J139" s="80" t="n">
        <v>12800000</v>
      </c>
      <c r="K139" s="80" t="n">
        <v>0</v>
      </c>
      <c r="L139" s="78" t="inlineStr">
        <is>
          <t>3 months</t>
        </is>
      </c>
      <c r="M139" s="78" t="inlineStr">
        <is>
          <t>Bought</t>
        </is>
      </c>
      <c r="N139" s="78" t="inlineStr">
        <is>
          <t>BLOCK A, PLOT 15 &amp; 16</t>
        </is>
      </c>
      <c r="O139" s="78" t="inlineStr">
        <is>
          <t>Collected by client</t>
        </is>
      </c>
      <c r="P139" s="78" t="inlineStr">
        <is>
          <t>Mr Ogidan Abiodun</t>
        </is>
      </c>
      <c r="Q139" s="78" t="inlineStr">
        <is>
          <t>BAAY PROJECTS CLIENTS &gt; GREEN CITY KETU EPE 2</t>
        </is>
      </c>
      <c r="R139" s="78" t="n">
        <v>48</v>
      </c>
      <c r="S139" s="78" t="inlineStr">
        <is>
          <t>17/09/2024</t>
        </is>
      </c>
      <c r="T139" s="78" t="n"/>
    </row>
    <row r="140" ht="25" customHeight="1">
      <c r="A140" s="75" t="inlineStr">
        <is>
          <t>SB0119</t>
        </is>
      </c>
      <c r="B140" s="75" t="inlineStr">
        <is>
          <t>BP-C0126</t>
        </is>
      </c>
      <c r="C140" s="75" t="inlineStr">
        <is>
          <t>Miss Ogundipe Motunrayo Fransisca</t>
        </is>
      </c>
      <c r="D140" s="75" t="inlineStr">
        <is>
          <t>Land</t>
        </is>
      </c>
      <c r="E140" s="75" t="inlineStr">
        <is>
          <t>Green City Phase 2 (Ketu-Epe)</t>
        </is>
      </c>
      <c r="F140" s="75" t="inlineStr">
        <is>
          <t>500sqm</t>
        </is>
      </c>
      <c r="G140" s="76" t="n">
        <v>45561</v>
      </c>
      <c r="H140" s="75" t="n">
        <v>2024</v>
      </c>
      <c r="I140" s="77" t="n">
        <v>6000000</v>
      </c>
      <c r="J140" s="77" t="n">
        <v>6000000</v>
      </c>
      <c r="K140" s="77" t="n">
        <v>0</v>
      </c>
      <c r="L140" s="75" t="inlineStr">
        <is>
          <t>3 months</t>
        </is>
      </c>
      <c r="M140" s="75" t="inlineStr">
        <is>
          <t>Bought</t>
        </is>
      </c>
      <c r="N140" s="75" t="inlineStr">
        <is>
          <t>BLOCK G, PLOT 6</t>
        </is>
      </c>
      <c r="O140" s="75" t="inlineStr">
        <is>
          <t>Not yet Processed</t>
        </is>
      </c>
      <c r="P140" s="75" t="inlineStr">
        <is>
          <t>MD</t>
        </is>
      </c>
      <c r="Q140" s="75" t="inlineStr">
        <is>
          <t>BAAY PROJECTS CLIENTS &gt; GREEN CITY KETU EPE 2</t>
        </is>
      </c>
      <c r="R140" s="75" t="n">
        <v>49</v>
      </c>
      <c r="S140" s="75" t="inlineStr">
        <is>
          <t>26/09/2024</t>
        </is>
      </c>
      <c r="T140" s="75" t="n"/>
    </row>
    <row r="141" ht="25" customHeight="1">
      <c r="A141" s="78" t="inlineStr">
        <is>
          <t>SB0120</t>
        </is>
      </c>
      <c r="B141" s="78" t="inlineStr">
        <is>
          <t>BP-C0128</t>
        </is>
      </c>
      <c r="C141" s="78" t="inlineStr">
        <is>
          <t>Mr Afolabi Samuel Safe &amp; Mrs Afolabi Temitope Iyanuoluwa</t>
        </is>
      </c>
      <c r="D141" s="78" t="inlineStr">
        <is>
          <t>Land</t>
        </is>
      </c>
      <c r="E141" s="78" t="inlineStr">
        <is>
          <t>Green City Phase 2 (Ketu-Epe)</t>
        </is>
      </c>
      <c r="F141" s="78" t="inlineStr">
        <is>
          <t>500sqm</t>
        </is>
      </c>
      <c r="G141" s="79" t="n">
        <v>45562</v>
      </c>
      <c r="H141" s="78" t="n">
        <v>2024</v>
      </c>
      <c r="I141" s="80" t="n">
        <v>5800000</v>
      </c>
      <c r="J141" s="80" t="n">
        <v>5800000</v>
      </c>
      <c r="K141" s="80" t="n">
        <v>0</v>
      </c>
      <c r="L141" s="78" t="inlineStr">
        <is>
          <t>3 months</t>
        </is>
      </c>
      <c r="M141" s="78" t="inlineStr">
        <is>
          <t>Bought</t>
        </is>
      </c>
      <c r="N141" s="78" t="inlineStr">
        <is>
          <t>BLOCK F, PLOT 5</t>
        </is>
      </c>
      <c r="O141" s="78" t="inlineStr">
        <is>
          <t>Collected by client; expecting acknowledged copy</t>
        </is>
      </c>
      <c r="P141" s="78" t="inlineStr">
        <is>
          <t>MD</t>
        </is>
      </c>
      <c r="Q141" s="78" t="inlineStr">
        <is>
          <t>BAAY PROJECTS CLIENTS &gt; GREEN CITY KETU EPE 2</t>
        </is>
      </c>
      <c r="R141" s="78" t="n">
        <v>50</v>
      </c>
      <c r="S141" s="78" t="inlineStr">
        <is>
          <t>27/09/2024</t>
        </is>
      </c>
      <c r="T141" s="78" t="n"/>
    </row>
    <row r="142" ht="25" customHeight="1">
      <c r="A142" s="75" t="inlineStr">
        <is>
          <t>SB0121</t>
        </is>
      </c>
      <c r="B142" s="75" t="inlineStr">
        <is>
          <t>BP-C0127</t>
        </is>
      </c>
      <c r="C142" s="75" t="inlineStr">
        <is>
          <t>Mr Adigun Muyiwa &amp; Mrs Adigun Folashade</t>
        </is>
      </c>
      <c r="D142" s="75" t="inlineStr">
        <is>
          <t>Land</t>
        </is>
      </c>
      <c r="E142" s="75" t="inlineStr">
        <is>
          <t>Green City Phase 3 (Omu-Epe)</t>
        </is>
      </c>
      <c r="F142" s="75" t="inlineStr">
        <is>
          <t>250SQM</t>
        </is>
      </c>
      <c r="G142" s="76" t="n">
        <v>45562</v>
      </c>
      <c r="H142" s="75" t="n">
        <v>2024</v>
      </c>
      <c r="I142" s="77" t="n">
        <v>2600000</v>
      </c>
      <c r="J142" s="77" t="n">
        <v>2600000</v>
      </c>
      <c r="K142" s="77" t="n">
        <v>0</v>
      </c>
      <c r="L142" s="75" t="inlineStr">
        <is>
          <t>3 months</t>
        </is>
      </c>
      <c r="M142" s="75" t="inlineStr">
        <is>
          <t>Bought</t>
        </is>
      </c>
      <c r="N142" s="75" t="inlineStr">
        <is>
          <t>BLOCK D, PLOT 8</t>
        </is>
      </c>
      <c r="O142" s="75" t="inlineStr">
        <is>
          <t>Deed collected by client</t>
        </is>
      </c>
      <c r="P142" s="75" t="inlineStr">
        <is>
          <t>Mr Mayowa Ayeni</t>
        </is>
      </c>
      <c r="Q142" s="75" t="inlineStr">
        <is>
          <t>BAAY PROJECTS CLIENTS &gt; GREEN CITY PHASE 3, OMU EPE</t>
        </is>
      </c>
      <c r="R142" s="75" t="n">
        <v>23</v>
      </c>
      <c r="S142" s="75" t="inlineStr">
        <is>
          <t>27/09/2024</t>
        </is>
      </c>
      <c r="T142" s="75" t="n"/>
    </row>
    <row r="143" ht="25" customHeight="1">
      <c r="A143" s="78" t="inlineStr">
        <is>
          <t>SB0122</t>
        </is>
      </c>
      <c r="B143" s="78" t="inlineStr">
        <is>
          <t>BP-C0129</t>
        </is>
      </c>
      <c r="C143" s="78" t="inlineStr">
        <is>
          <t>Mr Tedunjaye Michael Ilerioluwa</t>
        </is>
      </c>
      <c r="D143" s="78" t="inlineStr">
        <is>
          <t>Land</t>
        </is>
      </c>
      <c r="E143" s="78" t="inlineStr">
        <is>
          <t>Heritage Garden</t>
        </is>
      </c>
      <c r="F143" s="78" t="inlineStr">
        <is>
          <t>250sqm</t>
        </is>
      </c>
      <c r="G143" s="79" t="n">
        <v>45562</v>
      </c>
      <c r="H143" s="78" t="n">
        <v>2024</v>
      </c>
      <c r="I143" s="80" t="n">
        <v>495000</v>
      </c>
      <c r="J143" s="80" t="n">
        <v>495000</v>
      </c>
      <c r="K143" s="80" t="n">
        <v>0</v>
      </c>
      <c r="L143" s="78" t="inlineStr">
        <is>
          <t>3 months</t>
        </is>
      </c>
      <c r="M143" s="78" t="inlineStr">
        <is>
          <t>Bought</t>
        </is>
      </c>
      <c r="N143" s="78" t="inlineStr">
        <is>
          <t>BLOCK C, PLOT 11</t>
        </is>
      </c>
      <c r="O143" s="78" t="inlineStr">
        <is>
          <t>Contract of Sales Signed</t>
        </is>
      </c>
      <c r="P143" s="78" t="inlineStr">
        <is>
          <t>Ms Tobi</t>
        </is>
      </c>
      <c r="Q143" s="78" t="inlineStr">
        <is>
          <t>BAAY PROJECTS CLIENTS &gt; HERITAGE GARDEN</t>
        </is>
      </c>
      <c r="R143" s="78" t="n">
        <v>5</v>
      </c>
      <c r="S143" s="78" t="inlineStr">
        <is>
          <t>27/09/2024</t>
        </is>
      </c>
      <c r="T143" s="78" t="n"/>
    </row>
    <row r="144" ht="25" customHeight="1">
      <c r="A144" s="75" t="inlineStr">
        <is>
          <t>SB0123</t>
        </is>
      </c>
      <c r="B144" s="75" t="inlineStr">
        <is>
          <t>BP-C0130</t>
        </is>
      </c>
      <c r="C144" s="75" t="inlineStr">
        <is>
          <t>Mrs Akindele Felicia Oluwatoyin</t>
        </is>
      </c>
      <c r="D144" s="75" t="inlineStr">
        <is>
          <t>Land</t>
        </is>
      </c>
      <c r="E144" s="75" t="inlineStr">
        <is>
          <t>Heritage Garden</t>
        </is>
      </c>
      <c r="F144" s="75" t="inlineStr">
        <is>
          <t>250sqm</t>
        </is>
      </c>
      <c r="G144" s="76" t="n">
        <v>45562</v>
      </c>
      <c r="H144" s="75" t="n">
        <v>2024</v>
      </c>
      <c r="I144" s="77" t="n">
        <v>550000</v>
      </c>
      <c r="J144" s="77" t="n">
        <v>550000</v>
      </c>
      <c r="K144" s="77" t="n">
        <v>0</v>
      </c>
      <c r="L144" s="75" t="inlineStr">
        <is>
          <t>3 months</t>
        </is>
      </c>
      <c r="M144" s="75" t="inlineStr">
        <is>
          <t>Bought</t>
        </is>
      </c>
      <c r="N144" s="75" t="inlineStr">
        <is>
          <t>BLOCK C, PLOT 10</t>
        </is>
      </c>
      <c r="O144" s="75" t="inlineStr">
        <is>
          <t>Contract of Sales Signed</t>
        </is>
      </c>
      <c r="P144" s="75" t="inlineStr">
        <is>
          <t>Ms Fisayo</t>
        </is>
      </c>
      <c r="Q144" s="75" t="inlineStr">
        <is>
          <t>BAAY PROJECTS CLIENTS &gt; HERITAGE GARDEN</t>
        </is>
      </c>
      <c r="R144" s="75" t="n">
        <v>4</v>
      </c>
      <c r="S144" s="75" t="inlineStr">
        <is>
          <t>27/09/2024</t>
        </is>
      </c>
      <c r="T144" s="75" t="n"/>
    </row>
    <row r="145" ht="25" customHeight="1">
      <c r="A145" s="78" t="inlineStr">
        <is>
          <t>SB0124</t>
        </is>
      </c>
      <c r="B145" s="78" t="inlineStr">
        <is>
          <t>BP-C0132</t>
        </is>
      </c>
      <c r="C145" s="78" t="inlineStr">
        <is>
          <t>Mr Ajayi Adekunle Temitope</t>
        </is>
      </c>
      <c r="D145" s="78" t="inlineStr">
        <is>
          <t>Land</t>
        </is>
      </c>
      <c r="E145" s="78" t="inlineStr">
        <is>
          <t>Green City Phase 3 (Omu-Epe)</t>
        </is>
      </c>
      <c r="F145" s="78" t="inlineStr">
        <is>
          <t>500SQM</t>
        </is>
      </c>
      <c r="G145" s="79" t="n">
        <v>45565</v>
      </c>
      <c r="H145" s="78" t="n">
        <v>2024</v>
      </c>
      <c r="I145" s="80" t="n">
        <v>5000000</v>
      </c>
      <c r="J145" s="80" t="n">
        <v>5000000</v>
      </c>
      <c r="K145" s="80" t="n">
        <v>0</v>
      </c>
      <c r="L145" s="78" t="inlineStr">
        <is>
          <t>3 months</t>
        </is>
      </c>
      <c r="M145" s="78" t="inlineStr">
        <is>
          <t>Bought</t>
        </is>
      </c>
      <c r="N145" s="78" t="inlineStr">
        <is>
          <t>BLOCK E, PLOT 1</t>
        </is>
      </c>
      <c r="O145" s="78" t="inlineStr">
        <is>
          <t>Deed collected by client</t>
        </is>
      </c>
      <c r="P145" s="78" t="inlineStr">
        <is>
          <t>Ms Opeyemi</t>
        </is>
      </c>
      <c r="Q145" s="78" t="inlineStr">
        <is>
          <t>BAAY PROJECTS CLIENTS &gt; GREEN CITY PHASE 3, OMU EPE</t>
        </is>
      </c>
      <c r="R145" s="78" t="n">
        <v>22</v>
      </c>
      <c r="S145" s="78" t="inlineStr">
        <is>
          <t>30/09/2024</t>
        </is>
      </c>
      <c r="T145" s="78" t="n"/>
    </row>
    <row r="146" ht="25" customHeight="1">
      <c r="A146" s="75" t="inlineStr">
        <is>
          <t>SB0125</t>
        </is>
      </c>
      <c r="B146" s="75" t="inlineStr">
        <is>
          <t>BP-C0133</t>
        </is>
      </c>
      <c r="C146" s="75" t="inlineStr">
        <is>
          <t>Mr Oluwashina O. Olagbende</t>
        </is>
      </c>
      <c r="D146" s="75" t="inlineStr">
        <is>
          <t>Land</t>
        </is>
      </c>
      <c r="E146" s="75" t="inlineStr">
        <is>
          <t>Green City Phase 3 (Omu-Epe)</t>
        </is>
      </c>
      <c r="F146" s="75" t="inlineStr">
        <is>
          <t>250SQM</t>
        </is>
      </c>
      <c r="G146" s="76" t="n">
        <v>45565</v>
      </c>
      <c r="H146" s="75" t="n">
        <v>2024</v>
      </c>
      <c r="I146" s="77" t="n">
        <v>2600000</v>
      </c>
      <c r="J146" s="77" t="n">
        <v>2600000</v>
      </c>
      <c r="K146" s="77" t="n">
        <v>0</v>
      </c>
      <c r="L146" s="75" t="inlineStr">
        <is>
          <t>3 months</t>
        </is>
      </c>
      <c r="M146" s="75" t="inlineStr">
        <is>
          <t>Bought</t>
        </is>
      </c>
      <c r="N146" s="75" t="inlineStr">
        <is>
          <t>BLOCK D, PLOT 3</t>
        </is>
      </c>
      <c r="O146" s="75" t="inlineStr">
        <is>
          <t>Deed collected by client</t>
        </is>
      </c>
      <c r="P146" s="75" t="inlineStr">
        <is>
          <t>Ms Mayowa Awonorin</t>
        </is>
      </c>
      <c r="Q146" s="75" t="inlineStr">
        <is>
          <t>BAAY PROJECTS CLIENTS &gt; GREEN CITY PHASE 3, OMU EPE</t>
        </is>
      </c>
      <c r="R146" s="75" t="n">
        <v>21</v>
      </c>
      <c r="S146" s="75" t="inlineStr">
        <is>
          <t>30/09/2024</t>
        </is>
      </c>
      <c r="T146" s="75" t="n"/>
    </row>
    <row r="147" ht="25" customHeight="1">
      <c r="A147" s="78" t="inlineStr">
        <is>
          <t>SB0126</t>
        </is>
      </c>
      <c r="B147" s="78" t="inlineStr">
        <is>
          <t>BP-C0068</t>
        </is>
      </c>
      <c r="C147" s="78" t="inlineStr">
        <is>
          <t>Miss Ebhotah Sharon Aisosa</t>
        </is>
      </c>
      <c r="D147" s="78" t="inlineStr">
        <is>
          <t>Land</t>
        </is>
      </c>
      <c r="E147" s="78" t="inlineStr">
        <is>
          <t>Green City Phase 3 (Omu-Epe)</t>
        </is>
      </c>
      <c r="F147" s="78" t="inlineStr">
        <is>
          <t>500SQM</t>
        </is>
      </c>
      <c r="G147" s="79" t="n">
        <v>45567</v>
      </c>
      <c r="H147" s="78" t="n">
        <v>2024</v>
      </c>
      <c r="I147" s="80" t="n">
        <v>5000000</v>
      </c>
      <c r="J147" s="80" t="n">
        <v>5000000</v>
      </c>
      <c r="K147" s="80" t="n">
        <v>0</v>
      </c>
      <c r="L147" s="78" t="inlineStr">
        <is>
          <t>3 months</t>
        </is>
      </c>
      <c r="M147" s="78" t="inlineStr">
        <is>
          <t>Bought</t>
        </is>
      </c>
      <c r="N147" s="78" t="inlineStr">
        <is>
          <t>BLOCK G, PLOT 12</t>
        </is>
      </c>
      <c r="O147" s="78" t="inlineStr">
        <is>
          <t>Contract of Sales signed.</t>
        </is>
      </c>
      <c r="P147" s="78" t="inlineStr">
        <is>
          <t>Ms Blessing</t>
        </is>
      </c>
      <c r="Q147" s="78" t="inlineStr">
        <is>
          <t>BAAY PROJECTS CLIENTS &gt; GREEN CITY PHASE 3, OMU EPE</t>
        </is>
      </c>
      <c r="R147" s="78" t="n">
        <v>24</v>
      </c>
      <c r="S147" s="78" t="inlineStr">
        <is>
          <t>2024-02-10</t>
        </is>
      </c>
      <c r="T147" s="78" t="n"/>
    </row>
    <row r="148" ht="25" customHeight="1">
      <c r="A148" s="75" t="inlineStr">
        <is>
          <t>SB0127</t>
        </is>
      </c>
      <c r="B148" s="75" t="inlineStr">
        <is>
          <t>BP-C0030</t>
        </is>
      </c>
      <c r="C148" s="75" t="inlineStr">
        <is>
          <t>Mr. Adese Akorede John</t>
        </is>
      </c>
      <c r="D148" s="75" t="inlineStr">
        <is>
          <t>Land</t>
        </is>
      </c>
      <c r="E148" s="75" t="inlineStr">
        <is>
          <t>Green City Ibadan (Akinyele-Moniya)</t>
        </is>
      </c>
      <c r="F148" s="75" t="inlineStr">
        <is>
          <t>500SQM</t>
        </is>
      </c>
      <c r="G148" s="76" t="n">
        <v>45568</v>
      </c>
      <c r="H148" s="75" t="n">
        <v>2024</v>
      </c>
      <c r="I148" s="77" t="n">
        <v>2500000</v>
      </c>
      <c r="J148" s="77" t="n">
        <v>2500000</v>
      </c>
      <c r="K148" s="77" t="n">
        <v>0</v>
      </c>
      <c r="L148" s="75" t="inlineStr">
        <is>
          <t>5 Months</t>
        </is>
      </c>
      <c r="M148" s="75" t="inlineStr">
        <is>
          <t>Bought</t>
        </is>
      </c>
      <c r="N148" s="75" t="inlineStr">
        <is>
          <t>BLOCK A, PLOT 6</t>
        </is>
      </c>
      <c r="O148" s="75" t="inlineStr">
        <is>
          <t>Contract of Sale signed</t>
        </is>
      </c>
      <c r="P148" s="75" t="inlineStr">
        <is>
          <t>MD</t>
        </is>
      </c>
      <c r="Q148" s="75" t="inlineStr">
        <is>
          <t>BAAY PROJECTS CLIENTS &gt; GREEN CITY IBADAN, AKINYELE-MON</t>
        </is>
      </c>
      <c r="R148" s="75" t="n">
        <v>2</v>
      </c>
      <c r="S148" s="75" t="inlineStr">
        <is>
          <t>2024-03-10</t>
        </is>
      </c>
      <c r="T148" s="75" t="n"/>
    </row>
    <row r="149" ht="25" customHeight="1">
      <c r="A149" s="78" t="inlineStr">
        <is>
          <t>SB0128</t>
        </is>
      </c>
      <c r="B149" s="78" t="inlineStr">
        <is>
          <t>BP-C0135</t>
        </is>
      </c>
      <c r="C149" s="78" t="inlineStr">
        <is>
          <t>Mr Okanrende Kazeem Olamilekan</t>
        </is>
      </c>
      <c r="D149" s="78" t="inlineStr">
        <is>
          <t>Land</t>
        </is>
      </c>
      <c r="E149" s="78" t="inlineStr">
        <is>
          <t>Green City Phase 3 (Omu-Epe)</t>
        </is>
      </c>
      <c r="F149" s="78" t="inlineStr">
        <is>
          <t>1000SQM</t>
        </is>
      </c>
      <c r="G149" s="79" t="n">
        <v>45573</v>
      </c>
      <c r="H149" s="78" t="n">
        <v>2024</v>
      </c>
      <c r="I149" s="80" t="n">
        <v>8000000</v>
      </c>
      <c r="J149" s="80" t="n">
        <v>8000000</v>
      </c>
      <c r="K149" s="80" t="n">
        <v>0</v>
      </c>
      <c r="L149" s="78" t="inlineStr">
        <is>
          <t>3 months</t>
        </is>
      </c>
      <c r="M149" s="78" t="inlineStr">
        <is>
          <t>Bought</t>
        </is>
      </c>
      <c r="N149" s="78" t="inlineStr">
        <is>
          <t>BLOCK G, PLOT 2 &amp; 3</t>
        </is>
      </c>
      <c r="O149" s="78" t="inlineStr">
        <is>
          <t>Deed collected by client</t>
        </is>
      </c>
      <c r="P149" s="78" t="inlineStr">
        <is>
          <t>MD/MS YETUNDE</t>
        </is>
      </c>
      <c r="Q149" s="78" t="inlineStr">
        <is>
          <t>BAAY PROJECTS CLIENTS &gt; GREEN CITY PHASE 3, OMU EPE</t>
        </is>
      </c>
      <c r="R149" s="78" t="n">
        <v>25</v>
      </c>
      <c r="S149" s="78" t="inlineStr">
        <is>
          <t>2024-08-10</t>
        </is>
      </c>
      <c r="T149" s="78" t="n"/>
    </row>
    <row r="150" ht="25" customHeight="1">
      <c r="A150" s="75" t="inlineStr">
        <is>
          <t>SB0129</t>
        </is>
      </c>
      <c r="B150" s="75" t="inlineStr">
        <is>
          <t>BP-C0136</t>
        </is>
      </c>
      <c r="C150" s="75" t="inlineStr">
        <is>
          <t>Mr Isibor Godwin</t>
        </is>
      </c>
      <c r="D150" s="75" t="inlineStr">
        <is>
          <t>Land</t>
        </is>
      </c>
      <c r="E150" s="75" t="inlineStr">
        <is>
          <t>Green City Phase 3 (Omu-Epe)</t>
        </is>
      </c>
      <c r="F150" s="75" t="inlineStr">
        <is>
          <t>250SQM</t>
        </is>
      </c>
      <c r="G150" s="76" t="n">
        <v>45576</v>
      </c>
      <c r="H150" s="75" t="n">
        <v>2024</v>
      </c>
      <c r="I150" s="77" t="n">
        <v>3100000</v>
      </c>
      <c r="J150" s="77" t="n">
        <v>3100000</v>
      </c>
      <c r="K150" s="77" t="n">
        <v>0</v>
      </c>
      <c r="L150" s="75" t="inlineStr">
        <is>
          <t>6 Months</t>
        </is>
      </c>
      <c r="M150" s="75" t="inlineStr">
        <is>
          <t>Bought</t>
        </is>
      </c>
      <c r="N150" s="75" t="inlineStr">
        <is>
          <t>BLOCK H, PLOT 2</t>
        </is>
      </c>
      <c r="O150" s="75" t="inlineStr">
        <is>
          <t>Deed collected by client</t>
        </is>
      </c>
      <c r="P150" s="75" t="inlineStr">
        <is>
          <t>Ms Tobi</t>
        </is>
      </c>
      <c r="Q150" s="75" t="inlineStr">
        <is>
          <t>BAAY PROJECTS CLIENTS &gt; GREEN CITY PHASE 3, OMU EPE</t>
        </is>
      </c>
      <c r="R150" s="75" t="n">
        <v>26</v>
      </c>
      <c r="S150" s="75" t="inlineStr">
        <is>
          <t>2024-11-10</t>
        </is>
      </c>
      <c r="T150" s="75" t="n"/>
    </row>
    <row r="151" ht="25" customHeight="1">
      <c r="A151" s="78" t="inlineStr">
        <is>
          <t>SB0130</t>
        </is>
      </c>
      <c r="B151" s="78" t="inlineStr">
        <is>
          <t>BP-C0138</t>
        </is>
      </c>
      <c r="C151" s="78" t="inlineStr">
        <is>
          <t>Mr. Olowodagba Olatunde Selim</t>
        </is>
      </c>
      <c r="D151" s="78" t="inlineStr">
        <is>
          <t>Land</t>
        </is>
      </c>
      <c r="E151" s="78" t="inlineStr">
        <is>
          <t>Green City Ibadan (Akinyele-Moniya)</t>
        </is>
      </c>
      <c r="F151" s="78" t="inlineStr">
        <is>
          <t>500SQM</t>
        </is>
      </c>
      <c r="G151" s="79" t="n">
        <v>45583</v>
      </c>
      <c r="H151" s="78" t="n">
        <v>2024</v>
      </c>
      <c r="I151" s="80" t="n">
        <v>2800000</v>
      </c>
      <c r="J151" s="80" t="n">
        <v>2800000</v>
      </c>
      <c r="K151" s="80" t="n">
        <v>0</v>
      </c>
      <c r="L151" s="78" t="inlineStr">
        <is>
          <t>3 months</t>
        </is>
      </c>
      <c r="M151" s="78" t="inlineStr">
        <is>
          <t>Bought</t>
        </is>
      </c>
      <c r="N151" s="78" t="inlineStr">
        <is>
          <t>BLOCK A, PLOT 7</t>
        </is>
      </c>
      <c r="O151" s="78" t="inlineStr">
        <is>
          <t>Contract of Sale signed</t>
        </is>
      </c>
      <c r="P151" s="78" t="inlineStr">
        <is>
          <t>Mr Ogidan</t>
        </is>
      </c>
      <c r="Q151" s="78" t="inlineStr">
        <is>
          <t>BAAY PROJECTS CLIENTS &gt; GREEN CITY IBADAN, AKINYELE-MON</t>
        </is>
      </c>
      <c r="R151" s="78" t="n">
        <v>3</v>
      </c>
      <c r="S151" s="78" t="inlineStr">
        <is>
          <t>18/10/2024</t>
        </is>
      </c>
      <c r="T151" s="78" t="n"/>
    </row>
    <row r="152" ht="25" customHeight="1">
      <c r="A152" s="75" t="inlineStr">
        <is>
          <t>SB0131</t>
        </is>
      </c>
      <c r="B152" s="75" t="inlineStr">
        <is>
          <t>BP-C0137</t>
        </is>
      </c>
      <c r="C152" s="75" t="inlineStr">
        <is>
          <t>Mr Boyejo Abiodun</t>
        </is>
      </c>
      <c r="D152" s="75" t="inlineStr">
        <is>
          <t>Land</t>
        </is>
      </c>
      <c r="E152" s="75" t="inlineStr">
        <is>
          <t>Heritage Garden</t>
        </is>
      </c>
      <c r="F152" s="75" t="inlineStr">
        <is>
          <t>500sqm</t>
        </is>
      </c>
      <c r="G152" s="76" t="n">
        <v>45583</v>
      </c>
      <c r="H152" s="75" t="n">
        <v>2024</v>
      </c>
      <c r="I152" s="77" t="n">
        <v>1100000</v>
      </c>
      <c r="J152" s="77" t="n">
        <v>1100000</v>
      </c>
      <c r="K152" s="77" t="n">
        <v>0</v>
      </c>
      <c r="L152" s="75" t="inlineStr">
        <is>
          <t>3 months</t>
        </is>
      </c>
      <c r="M152" s="75" t="inlineStr">
        <is>
          <t>Bought</t>
        </is>
      </c>
      <c r="N152" s="75" t="inlineStr">
        <is>
          <t>BLOCK D, PLOT 1</t>
        </is>
      </c>
      <c r="O152" s="75" t="inlineStr">
        <is>
          <t>Contract of Sales Signed</t>
        </is>
      </c>
      <c r="P152" s="75" t="inlineStr">
        <is>
          <t>Ms Bolanle</t>
        </is>
      </c>
      <c r="Q152" s="75" t="inlineStr">
        <is>
          <t>BAAY PROJECTS CLIENTS &gt; HERITAGE GARDEN</t>
        </is>
      </c>
      <c r="R152" s="75" t="n">
        <v>6</v>
      </c>
      <c r="S152" s="75" t="inlineStr">
        <is>
          <t>18/10/2024</t>
        </is>
      </c>
      <c r="T152" s="75" t="n"/>
    </row>
    <row r="153" ht="25" customHeight="1">
      <c r="A153" s="78" t="inlineStr">
        <is>
          <t>SB0132</t>
        </is>
      </c>
      <c r="B153" s="78" t="inlineStr">
        <is>
          <t>BP-C0140</t>
        </is>
      </c>
      <c r="C153" s="78" t="inlineStr">
        <is>
          <t>Mr Balogun Akeem Tokunbo</t>
        </is>
      </c>
      <c r="D153" s="78" t="inlineStr">
        <is>
          <t>Land</t>
        </is>
      </c>
      <c r="E153" s="78" t="inlineStr">
        <is>
          <t>Green City Phase 3 (Omu-Epe)</t>
        </is>
      </c>
      <c r="F153" s="78" t="inlineStr">
        <is>
          <t>1,200SQM (COMMERCIAL PLOT)</t>
        </is>
      </c>
      <c r="G153" s="79" t="n">
        <v>45588</v>
      </c>
      <c r="H153" s="78" t="n">
        <v>2024</v>
      </c>
      <c r="I153" s="80" t="n">
        <v>20000000</v>
      </c>
      <c r="J153" s="80" t="n">
        <v>20000000</v>
      </c>
      <c r="K153" s="80" t="n">
        <v>0</v>
      </c>
      <c r="L153" s="78" t="inlineStr">
        <is>
          <t>6 Months</t>
        </is>
      </c>
      <c r="M153" s="78" t="inlineStr">
        <is>
          <t>Bought</t>
        </is>
      </c>
      <c r="N153" s="78" t="inlineStr">
        <is>
          <t>BLOCK B, PLOT 1 &amp; 2</t>
        </is>
      </c>
      <c r="O153" s="78" t="inlineStr">
        <is>
          <t>Deed collected by client</t>
        </is>
      </c>
      <c r="P153" s="78" t="inlineStr">
        <is>
          <t>Client Relations/Marketing</t>
        </is>
      </c>
      <c r="Q153" s="78" t="inlineStr">
        <is>
          <t>BAAY PROJECTS CLIENTS &gt; GREEN CITY PHASE 3, OMU EPE</t>
        </is>
      </c>
      <c r="R153" s="78" t="n">
        <v>27</v>
      </c>
      <c r="S153" s="78" t="inlineStr">
        <is>
          <t>23/10/2024</t>
        </is>
      </c>
      <c r="T153" s="78" t="n"/>
    </row>
    <row r="154" ht="25" customHeight="1">
      <c r="A154" s="75" t="inlineStr">
        <is>
          <t>SB0133</t>
        </is>
      </c>
      <c r="B154" s="75" t="inlineStr">
        <is>
          <t>BP-C0140</t>
        </is>
      </c>
      <c r="C154" s="75" t="inlineStr">
        <is>
          <t>Mr Balogun Akeem Tokunbo</t>
        </is>
      </c>
      <c r="D154" s="75" t="inlineStr">
        <is>
          <t>Housing</t>
        </is>
      </c>
      <c r="E154" s="75" t="inlineStr">
        <is>
          <t>Pacific Apartment</t>
        </is>
      </c>
      <c r="F154" s="75" t="inlineStr">
        <is>
          <t>2 bedroom with a BQ Fully Finished | units: 1.0</t>
        </is>
      </c>
      <c r="G154" s="76" t="n">
        <v>45590</v>
      </c>
      <c r="H154" s="75" t="n">
        <v>2024</v>
      </c>
      <c r="I154" s="77" t="n">
        <v>65000000</v>
      </c>
      <c r="J154" s="77" t="n">
        <v>65000000</v>
      </c>
      <c r="K154" s="77" t="n">
        <v>0</v>
      </c>
      <c r="L154" s="75" t="inlineStr">
        <is>
          <t>6 months</t>
        </is>
      </c>
      <c r="M154" s="75" t="inlineStr">
        <is>
          <t>Bought</t>
        </is>
      </c>
      <c r="N154" s="75" t="n"/>
      <c r="O154" s="75" t="n"/>
      <c r="P154" s="75" t="inlineStr">
        <is>
          <t>Clients Relations/Accounts</t>
        </is>
      </c>
      <c r="Q154" s="75" t="inlineStr">
        <is>
          <t>BAAY PROJECTS CLIENTS &gt; PACIFIC APARTMENT</t>
        </is>
      </c>
      <c r="R154" s="75" t="n">
        <v>2</v>
      </c>
      <c r="S154" s="75" t="inlineStr">
        <is>
          <t>25/10/2024</t>
        </is>
      </c>
      <c r="T154" s="75" t="n"/>
    </row>
    <row r="155" ht="25" customHeight="1">
      <c r="A155" s="78" t="inlineStr">
        <is>
          <t>SB0134</t>
        </is>
      </c>
      <c r="B155" s="78" t="inlineStr">
        <is>
          <t>BP-C0141</t>
        </is>
      </c>
      <c r="C155" s="78" t="inlineStr">
        <is>
          <t>Mr Aremu Kayode Sarafa</t>
        </is>
      </c>
      <c r="D155" s="78" t="inlineStr">
        <is>
          <t>Land</t>
        </is>
      </c>
      <c r="E155" s="78" t="inlineStr">
        <is>
          <t>Green City Phase 2 (Ketu-Epe)</t>
        </is>
      </c>
      <c r="F155" s="78" t="inlineStr">
        <is>
          <t>250sqm</t>
        </is>
      </c>
      <c r="G155" s="79" t="n">
        <v>45595</v>
      </c>
      <c r="H155" s="78" t="n">
        <v>2024</v>
      </c>
      <c r="I155" s="80" t="n">
        <v>3200000</v>
      </c>
      <c r="J155" s="80" t="n">
        <v>3200000</v>
      </c>
      <c r="K155" s="80" t="n">
        <v>0</v>
      </c>
      <c r="L155" s="78" t="inlineStr">
        <is>
          <t>3 months</t>
        </is>
      </c>
      <c r="M155" s="78" t="inlineStr">
        <is>
          <t>Bought</t>
        </is>
      </c>
      <c r="N155" s="78" t="inlineStr">
        <is>
          <t>BLOCK E, PLOT 6</t>
        </is>
      </c>
      <c r="O155" s="78" t="inlineStr">
        <is>
          <t>Contract of sales signed</t>
        </is>
      </c>
      <c r="P155" s="78" t="inlineStr">
        <is>
          <t>Mr Ogidan Abiodun</t>
        </is>
      </c>
      <c r="Q155" s="78" t="inlineStr">
        <is>
          <t>BAAY PROJECTS CLIENTS &gt; GREEN CITY KETU EPE 2</t>
        </is>
      </c>
      <c r="R155" s="78" t="n">
        <v>51</v>
      </c>
      <c r="S155" s="78" t="inlineStr">
        <is>
          <t>30/10/2024</t>
        </is>
      </c>
      <c r="T155" s="78" t="n"/>
    </row>
    <row r="156" ht="25" customHeight="1">
      <c r="A156" s="75" t="inlineStr">
        <is>
          <t>SB0135</t>
        </is>
      </c>
      <c r="B156" s="75" t="inlineStr">
        <is>
          <t>BP-C0143</t>
        </is>
      </c>
      <c r="C156" s="75" t="inlineStr">
        <is>
          <t>Mrs Oyindamola Duntoye Adekunle</t>
        </is>
      </c>
      <c r="D156" s="75" t="inlineStr">
        <is>
          <t>Housing</t>
        </is>
      </c>
      <c r="E156" s="75" t="inlineStr">
        <is>
          <t>Pacific Apartment</t>
        </is>
      </c>
      <c r="F156" s="75" t="inlineStr">
        <is>
          <t>2 bedroom with a BQ Fully Finished | units: 1.0</t>
        </is>
      </c>
      <c r="G156" s="76" t="n">
        <v>45595</v>
      </c>
      <c r="H156" s="75" t="n">
        <v>2024</v>
      </c>
      <c r="I156" s="77" t="n">
        <v>67000000</v>
      </c>
      <c r="J156" s="77" t="n">
        <v>67000000</v>
      </c>
      <c r="K156" s="77" t="n">
        <v>0</v>
      </c>
      <c r="L156" s="75" t="inlineStr">
        <is>
          <t>12 months</t>
        </is>
      </c>
      <c r="M156" s="75" t="inlineStr">
        <is>
          <t>Bought</t>
        </is>
      </c>
      <c r="N156" s="75" t="n"/>
      <c r="O156" s="75" t="n"/>
      <c r="P156" s="75" t="inlineStr">
        <is>
          <t>Clients Relation/Accounts</t>
        </is>
      </c>
      <c r="Q156" s="75" t="inlineStr">
        <is>
          <t>BAAY PROJECTS CLIENTS &gt; PACIFIC APARTMENT</t>
        </is>
      </c>
      <c r="R156" s="75" t="n">
        <v>3</v>
      </c>
      <c r="S156" s="75" t="inlineStr">
        <is>
          <t>30/10/2024</t>
        </is>
      </c>
      <c r="T156" s="75" t="n"/>
    </row>
    <row r="157" ht="25" customHeight="1">
      <c r="A157" s="78" t="inlineStr">
        <is>
          <t>SB0136</t>
        </is>
      </c>
      <c r="B157" s="78" t="inlineStr">
        <is>
          <t>BP-C0145</t>
        </is>
      </c>
      <c r="C157" s="78" t="inlineStr">
        <is>
          <t>Barr Keshinro Phebe Oluwatunmise</t>
        </is>
      </c>
      <c r="D157" s="78" t="inlineStr">
        <is>
          <t>Housing</t>
        </is>
      </c>
      <c r="E157" s="78" t="inlineStr">
        <is>
          <t>Pacific Apartment</t>
        </is>
      </c>
      <c r="F157" s="78" t="inlineStr">
        <is>
          <t>2 bedroom with a BQ | units: 1.0</t>
        </is>
      </c>
      <c r="G157" s="79" t="n">
        <v>45605</v>
      </c>
      <c r="H157" s="78" t="n">
        <v>2024</v>
      </c>
      <c r="I157" s="80" t="n">
        <v>65000000</v>
      </c>
      <c r="J157" s="80" t="n">
        <v>10000000</v>
      </c>
      <c r="K157" s="80" t="n">
        <v>55000000</v>
      </c>
      <c r="L157" s="78" t="inlineStr">
        <is>
          <t>Outright</t>
        </is>
      </c>
      <c r="M157" s="78" t="inlineStr">
        <is>
          <t>Paying</t>
        </is>
      </c>
      <c r="N157" s="78" t="n"/>
      <c r="O157" s="78" t="n"/>
      <c r="P157" s="78" t="inlineStr">
        <is>
          <t>Mr Charles</t>
        </is>
      </c>
      <c r="Q157" s="78" t="inlineStr">
        <is>
          <t>BAAY PROJECTS CLIENTS &gt; PACIFIC APARTMENT</t>
        </is>
      </c>
      <c r="R157" s="78" t="n">
        <v>4</v>
      </c>
      <c r="S157" s="78" t="inlineStr">
        <is>
          <t>2024-09-11</t>
        </is>
      </c>
      <c r="T157" s="78" t="n"/>
    </row>
    <row r="158" ht="25" customHeight="1">
      <c r="A158" s="75" t="inlineStr">
        <is>
          <t>SB0137</t>
        </is>
      </c>
      <c r="B158" s="75" t="inlineStr">
        <is>
          <t>BP-C0009</t>
        </is>
      </c>
      <c r="C158" s="75" t="inlineStr">
        <is>
          <t>Miss Oji Blessing Mary</t>
        </is>
      </c>
      <c r="D158" s="75" t="inlineStr">
        <is>
          <t>Land</t>
        </is>
      </c>
      <c r="E158" s="75" t="inlineStr">
        <is>
          <t>Green City Phase 3 (Omu-Epe)</t>
        </is>
      </c>
      <c r="F158" s="75" t="inlineStr">
        <is>
          <t>500Sqm</t>
        </is>
      </c>
      <c r="G158" s="76" t="n">
        <v>45607</v>
      </c>
      <c r="H158" s="75" t="n">
        <v>2024</v>
      </c>
      <c r="I158" s="77" t="n">
        <v>4000000</v>
      </c>
      <c r="J158" s="77" t="n">
        <v>4000000</v>
      </c>
      <c r="K158" s="77" t="n">
        <v>0</v>
      </c>
      <c r="L158" s="75" t="inlineStr">
        <is>
          <t>3 months</t>
        </is>
      </c>
      <c r="M158" s="75" t="inlineStr">
        <is>
          <t>Bought</t>
        </is>
      </c>
      <c r="N158" s="75" t="inlineStr">
        <is>
          <t>BLOCK G, PLOT 6</t>
        </is>
      </c>
      <c r="O158" s="75" t="inlineStr">
        <is>
          <t>Contract of Sales signed.</t>
        </is>
      </c>
      <c r="P158" s="75" t="inlineStr">
        <is>
          <t>Ms Oji Blessing</t>
        </is>
      </c>
      <c r="Q158" s="75" t="inlineStr">
        <is>
          <t>BAAY PROJECTS CLIENTS &gt; GREEN CITY PHASE 3, OMU EPE</t>
        </is>
      </c>
      <c r="R158" s="75" t="n">
        <v>28</v>
      </c>
      <c r="S158" s="75" t="inlineStr">
        <is>
          <t>2024-11-11</t>
        </is>
      </c>
      <c r="T158" s="75" t="n"/>
    </row>
    <row r="159" ht="25" customHeight="1">
      <c r="A159" s="78" t="inlineStr">
        <is>
          <t>SB0138</t>
        </is>
      </c>
      <c r="B159" s="78" t="inlineStr">
        <is>
          <t>BP-C0146</t>
        </is>
      </c>
      <c r="C159" s="78" t="inlineStr">
        <is>
          <t>Mrs Tijani Tawa Motunrayo</t>
        </is>
      </c>
      <c r="D159" s="78" t="inlineStr">
        <is>
          <t>Land</t>
        </is>
      </c>
      <c r="E159" s="78" t="inlineStr">
        <is>
          <t>Green City Phase 3 (Omu-Epe)</t>
        </is>
      </c>
      <c r="F159" s="78" t="inlineStr">
        <is>
          <t>250SQM</t>
        </is>
      </c>
      <c r="G159" s="79" t="n">
        <v>45610</v>
      </c>
      <c r="H159" s="78" t="n">
        <v>2024</v>
      </c>
      <c r="I159" s="80" t="n">
        <v>2600000</v>
      </c>
      <c r="J159" s="80" t="n">
        <v>2600000</v>
      </c>
      <c r="K159" s="80" t="n">
        <v>0</v>
      </c>
      <c r="L159" s="78" t="inlineStr">
        <is>
          <t>3 months</t>
        </is>
      </c>
      <c r="M159" s="78" t="inlineStr">
        <is>
          <t>Bought</t>
        </is>
      </c>
      <c r="N159" s="78" t="inlineStr">
        <is>
          <t>BLOCK H, PLOT 4</t>
        </is>
      </c>
      <c r="O159" s="78" t="inlineStr">
        <is>
          <t>Deed collected by client</t>
        </is>
      </c>
      <c r="P159" s="78" t="inlineStr">
        <is>
          <t>Ms Mayowa Awonorin</t>
        </is>
      </c>
      <c r="Q159" s="78" t="inlineStr">
        <is>
          <t>BAAY PROJECTS CLIENTS &gt; GREEN CITY PHASE 3, OMU EPE</t>
        </is>
      </c>
      <c r="R159" s="78" t="n">
        <v>30</v>
      </c>
      <c r="S159" s="78" t="inlineStr">
        <is>
          <t>14/11/2024</t>
        </is>
      </c>
      <c r="T159" s="78" t="n"/>
    </row>
    <row r="160" ht="25" customHeight="1">
      <c r="A160" s="75" t="inlineStr">
        <is>
          <t>SB0139</t>
        </is>
      </c>
      <c r="B160" s="75" t="inlineStr">
        <is>
          <t>BP-C0148</t>
        </is>
      </c>
      <c r="C160" s="75" t="inlineStr">
        <is>
          <t>Mr Akinsete Michael Abayomi</t>
        </is>
      </c>
      <c r="D160" s="75" t="inlineStr">
        <is>
          <t>Land</t>
        </is>
      </c>
      <c r="E160" s="75" t="inlineStr">
        <is>
          <t>Green City Phase 2 (Ketu-Epe)</t>
        </is>
      </c>
      <c r="F160" s="75" t="inlineStr">
        <is>
          <t>500sqm</t>
        </is>
      </c>
      <c r="G160" s="76" t="n">
        <v>45625</v>
      </c>
      <c r="H160" s="75" t="n">
        <v>2024</v>
      </c>
      <c r="I160" s="77" t="n">
        <v>10700000</v>
      </c>
      <c r="J160" s="77" t="n">
        <v>2703400</v>
      </c>
      <c r="K160" s="77" t="n">
        <v>7996600</v>
      </c>
      <c r="L160" s="75" t="inlineStr">
        <is>
          <t>12 Months</t>
        </is>
      </c>
      <c r="M160" s="75" t="inlineStr">
        <is>
          <t>Paying</t>
        </is>
      </c>
      <c r="N160" s="75" t="n"/>
      <c r="O160" s="75" t="inlineStr">
        <is>
          <t>Not Yet Processed</t>
        </is>
      </c>
      <c r="P160" s="75" t="inlineStr">
        <is>
          <t>MD</t>
        </is>
      </c>
      <c r="Q160" s="75" t="inlineStr">
        <is>
          <t>BAAY PROJECTS CLIENTS &gt; GREEN CITY KETU EPE 2</t>
        </is>
      </c>
      <c r="R160" s="75" t="n">
        <v>52</v>
      </c>
      <c r="S160" s="75" t="inlineStr">
        <is>
          <t>29/11/2024</t>
        </is>
      </c>
      <c r="T160" s="75" t="n"/>
    </row>
    <row r="161" ht="25" customHeight="1">
      <c r="A161" s="78" t="inlineStr">
        <is>
          <t>SB0140</t>
        </is>
      </c>
      <c r="B161" s="78" t="inlineStr">
        <is>
          <t>BP-C0149</t>
        </is>
      </c>
      <c r="C161" s="78" t="inlineStr">
        <is>
          <t>Mr Uneze Grant Chetanna</t>
        </is>
      </c>
      <c r="D161" s="78" t="inlineStr">
        <is>
          <t>Land</t>
        </is>
      </c>
      <c r="E161" s="78" t="inlineStr">
        <is>
          <t>Green City Phase 3 (Omu-Epe)</t>
        </is>
      </c>
      <c r="F161" s="78" t="inlineStr">
        <is>
          <t>500SQM</t>
        </is>
      </c>
      <c r="G161" s="79" t="n">
        <v>45625</v>
      </c>
      <c r="H161" s="78" t="n">
        <v>2024</v>
      </c>
      <c r="I161" s="80" t="n">
        <v>5000000</v>
      </c>
      <c r="J161" s="80" t="n">
        <v>5000000</v>
      </c>
      <c r="K161" s="80" t="n">
        <v>0</v>
      </c>
      <c r="L161" s="78" t="inlineStr">
        <is>
          <t>3 months</t>
        </is>
      </c>
      <c r="M161" s="78" t="inlineStr">
        <is>
          <t>Bought</t>
        </is>
      </c>
      <c r="N161" s="78" t="inlineStr">
        <is>
          <t>BLOCK G, PLOT 8</t>
        </is>
      </c>
      <c r="O161" s="78" t="inlineStr">
        <is>
          <t>Deed collected by client</t>
        </is>
      </c>
      <c r="P161" s="78" t="inlineStr">
        <is>
          <t>Ms Samuella</t>
        </is>
      </c>
      <c r="Q161" s="78" t="inlineStr">
        <is>
          <t>BAAY PROJECTS CLIENTS &gt; GREEN CITY PHASE 3, OMU EPE</t>
        </is>
      </c>
      <c r="R161" s="78" t="n">
        <v>31</v>
      </c>
      <c r="S161" s="78" t="inlineStr">
        <is>
          <t>29/11/2024</t>
        </is>
      </c>
      <c r="T161" s="78" t="n"/>
    </row>
    <row r="162" ht="25" customHeight="1">
      <c r="A162" s="75" t="inlineStr">
        <is>
          <t>SB0141</t>
        </is>
      </c>
      <c r="B162" s="75" t="inlineStr">
        <is>
          <t>BP-C0150</t>
        </is>
      </c>
      <c r="C162" s="75" t="inlineStr">
        <is>
          <t>Mr Ajiboso Damilare Moses &amp; Mrs Ajiboso Gbemisola Rachael</t>
        </is>
      </c>
      <c r="D162" s="75" t="inlineStr">
        <is>
          <t>Land</t>
        </is>
      </c>
      <c r="E162" s="75" t="inlineStr">
        <is>
          <t>Green City Phase 3 (Omu-Epe)</t>
        </is>
      </c>
      <c r="F162" s="75" t="inlineStr">
        <is>
          <t>500SQM</t>
        </is>
      </c>
      <c r="G162" s="76" t="n">
        <v>45626</v>
      </c>
      <c r="H162" s="75" t="n">
        <v>2024</v>
      </c>
      <c r="I162" s="77" t="n">
        <v>5000000</v>
      </c>
      <c r="J162" s="77" t="n">
        <v>5000000</v>
      </c>
      <c r="K162" s="77" t="n">
        <v>0</v>
      </c>
      <c r="L162" s="75" t="inlineStr">
        <is>
          <t>3 months</t>
        </is>
      </c>
      <c r="M162" s="75" t="inlineStr">
        <is>
          <t>Bought</t>
        </is>
      </c>
      <c r="N162" s="75" t="inlineStr">
        <is>
          <t>BLOCK G, PLOT 9</t>
        </is>
      </c>
      <c r="O162" s="75" t="inlineStr">
        <is>
          <t>Deed collected by client</t>
        </is>
      </c>
      <c r="P162" s="75" t="inlineStr">
        <is>
          <t>Ms Adenike</t>
        </is>
      </c>
      <c r="Q162" s="75" t="inlineStr">
        <is>
          <t>BAAY PROJECTS CLIENTS &gt; GREEN CITY PHASE 3, OMU EPE</t>
        </is>
      </c>
      <c r="R162" s="75" t="n">
        <v>32</v>
      </c>
      <c r="S162" s="75" t="inlineStr">
        <is>
          <t>30/11/2024</t>
        </is>
      </c>
      <c r="T162" s="75" t="n"/>
    </row>
    <row r="163" ht="25" customHeight="1">
      <c r="A163" s="78" t="inlineStr">
        <is>
          <t>SB0142</t>
        </is>
      </c>
      <c r="B163" s="78" t="inlineStr">
        <is>
          <t>BP-C0151</t>
        </is>
      </c>
      <c r="C163" s="78" t="inlineStr">
        <is>
          <t>Mrs Shotonwa Olamide Abosede</t>
        </is>
      </c>
      <c r="D163" s="78" t="inlineStr">
        <is>
          <t>Land</t>
        </is>
      </c>
      <c r="E163" s="78" t="inlineStr">
        <is>
          <t>Green City Phase 3 (Omu-Epe)</t>
        </is>
      </c>
      <c r="F163" s="78" t="inlineStr">
        <is>
          <t>500SQM</t>
        </is>
      </c>
      <c r="G163" s="79" t="n">
        <v>45626</v>
      </c>
      <c r="H163" s="78" t="n">
        <v>2024</v>
      </c>
      <c r="I163" s="80" t="n">
        <v>5000000</v>
      </c>
      <c r="J163" s="80" t="n">
        <v>5000000</v>
      </c>
      <c r="K163" s="80" t="n">
        <v>0</v>
      </c>
      <c r="L163" s="78" t="inlineStr">
        <is>
          <t>3 months</t>
        </is>
      </c>
      <c r="M163" s="78" t="inlineStr">
        <is>
          <t>Bought</t>
        </is>
      </c>
      <c r="N163" s="78" t="inlineStr">
        <is>
          <t>BLOCK G, PLOT 10</t>
        </is>
      </c>
      <c r="O163" s="78" t="inlineStr">
        <is>
          <t>Deed collected by client</t>
        </is>
      </c>
      <c r="P163" s="78" t="inlineStr">
        <is>
          <t>Ms Adenike</t>
        </is>
      </c>
      <c r="Q163" s="78" t="inlineStr">
        <is>
          <t>BAAY PROJECTS CLIENTS &gt; GREEN CITY PHASE 3, OMU EPE</t>
        </is>
      </c>
      <c r="R163" s="78" t="n">
        <v>33</v>
      </c>
      <c r="S163" s="78" t="inlineStr">
        <is>
          <t>30/11/2024</t>
        </is>
      </c>
      <c r="T163" s="78" t="n"/>
    </row>
    <row r="164" ht="25" customHeight="1">
      <c r="A164" s="75" t="inlineStr">
        <is>
          <t>SB0143</t>
        </is>
      </c>
      <c r="B164" s="75" t="inlineStr">
        <is>
          <t>BP-C0152</t>
        </is>
      </c>
      <c r="C164" s="75" t="inlineStr">
        <is>
          <t>Mr Iyama Godsauthority Chinedu</t>
        </is>
      </c>
      <c r="D164" s="75" t="inlineStr">
        <is>
          <t>Land</t>
        </is>
      </c>
      <c r="E164" s="75" t="inlineStr">
        <is>
          <t>Green City Phase 3 Extension (Omu-Epe)</t>
        </is>
      </c>
      <c r="F164" s="75" t="inlineStr">
        <is>
          <t>250 SQM</t>
        </is>
      </c>
      <c r="G164" s="76" t="n">
        <v>45630</v>
      </c>
      <c r="H164" s="75" t="n">
        <v>2024</v>
      </c>
      <c r="I164" s="77" t="n">
        <v>2000000</v>
      </c>
      <c r="J164" s="77" t="n">
        <v>350000</v>
      </c>
      <c r="K164" s="77" t="n">
        <v>1650000</v>
      </c>
      <c r="L164" s="75" t="inlineStr">
        <is>
          <t>3 months</t>
        </is>
      </c>
      <c r="M164" s="75" t="inlineStr">
        <is>
          <t>REFUND</t>
        </is>
      </c>
      <c r="N164" s="75" t="n"/>
      <c r="O164" s="75" t="inlineStr">
        <is>
          <t>REFUND</t>
        </is>
      </c>
      <c r="P164" s="75" t="inlineStr">
        <is>
          <t>Mr Daniel</t>
        </is>
      </c>
      <c r="Q164" s="75" t="inlineStr">
        <is>
          <t>BAAY PROJECTS CLIENTS &gt; GREEN CITY PHASE 3 EXTENSION, O</t>
        </is>
      </c>
      <c r="R164" s="75" t="n">
        <v>2</v>
      </c>
      <c r="S164" s="75" t="inlineStr">
        <is>
          <t>2024-04-12</t>
        </is>
      </c>
      <c r="T164" s="75" t="n"/>
    </row>
    <row r="165" ht="25" customHeight="1">
      <c r="A165" s="78" t="inlineStr">
        <is>
          <t>SB0144</t>
        </is>
      </c>
      <c r="B165" s="78" t="inlineStr">
        <is>
          <t>BP-C0153</t>
        </is>
      </c>
      <c r="C165" s="78" t="inlineStr">
        <is>
          <t>Miss Ademakinwa Abosede Wuraola</t>
        </is>
      </c>
      <c r="D165" s="78" t="inlineStr">
        <is>
          <t>Land</t>
        </is>
      </c>
      <c r="E165" s="78" t="inlineStr">
        <is>
          <t>Green City Ibadan (Akinyele-Moniya)</t>
        </is>
      </c>
      <c r="F165" s="78" t="inlineStr">
        <is>
          <t>500SQM</t>
        </is>
      </c>
      <c r="G165" s="79" t="n">
        <v>45641</v>
      </c>
      <c r="H165" s="78" t="n">
        <v>2024</v>
      </c>
      <c r="I165" s="80" t="n">
        <v>2900000</v>
      </c>
      <c r="J165" s="80" t="n">
        <v>2100000</v>
      </c>
      <c r="K165" s="80" t="n">
        <v>800000</v>
      </c>
      <c r="L165" s="78" t="inlineStr">
        <is>
          <t>3 months</t>
        </is>
      </c>
      <c r="M165" s="78" t="inlineStr">
        <is>
          <t>Bought</t>
        </is>
      </c>
      <c r="N165" s="78" t="inlineStr">
        <is>
          <t>BLOCK E, PLOT 1</t>
        </is>
      </c>
      <c r="O165" s="78" t="inlineStr">
        <is>
          <t>Contract of Sale signed</t>
        </is>
      </c>
      <c r="P165" s="78" t="inlineStr">
        <is>
          <t>Miss Abosede (Team Taiwo)</t>
        </is>
      </c>
      <c r="Q165" s="78" t="inlineStr">
        <is>
          <t>BAAY PROJECTS CLIENTS &gt; GREEN CITY IBADAN, AKINYELE-MON</t>
        </is>
      </c>
      <c r="R165" s="78" t="n">
        <v>4</v>
      </c>
      <c r="S165" s="78" t="inlineStr">
        <is>
          <t>15/12/2024</t>
        </is>
      </c>
      <c r="T165" s="78" t="n"/>
    </row>
    <row r="166" ht="25" customHeight="1">
      <c r="A166" s="75" t="inlineStr">
        <is>
          <t>SB0145</t>
        </is>
      </c>
      <c r="B166" s="75" t="inlineStr">
        <is>
          <t>BP-C0154</t>
        </is>
      </c>
      <c r="C166" s="75" t="inlineStr">
        <is>
          <t>Mr Adepoju Adewale Emmanuel</t>
        </is>
      </c>
      <c r="D166" s="75" t="inlineStr">
        <is>
          <t>Land</t>
        </is>
      </c>
      <c r="E166" s="75" t="inlineStr">
        <is>
          <t>Green City Ibadan (Akinyele-Moniya)</t>
        </is>
      </c>
      <c r="F166" s="75" t="inlineStr">
        <is>
          <t>1000SQM</t>
        </is>
      </c>
      <c r="G166" s="76" t="n">
        <v>45641</v>
      </c>
      <c r="H166" s="75" t="n">
        <v>2024</v>
      </c>
      <c r="I166" s="77" t="n">
        <v>5800000</v>
      </c>
      <c r="J166" s="77" t="n">
        <v>4200000</v>
      </c>
      <c r="K166" s="77" t="n">
        <v>1600000</v>
      </c>
      <c r="L166" s="75" t="inlineStr">
        <is>
          <t>3 months</t>
        </is>
      </c>
      <c r="M166" s="75" t="inlineStr">
        <is>
          <t>Bought</t>
        </is>
      </c>
      <c r="N166" s="75" t="inlineStr">
        <is>
          <t>BLOCK E, PLOT 2 &amp; 3</t>
        </is>
      </c>
      <c r="O166" s="75" t="inlineStr">
        <is>
          <t>Contract of Sale signed</t>
        </is>
      </c>
      <c r="P166" s="75" t="inlineStr">
        <is>
          <t>Ms Abosede (Team Taiwo</t>
        </is>
      </c>
      <c r="Q166" s="75" t="inlineStr">
        <is>
          <t>BAAY PROJECTS CLIENTS &gt; GREEN CITY IBADAN, AKINYELE-MON</t>
        </is>
      </c>
      <c r="R166" s="75" t="n">
        <v>6</v>
      </c>
      <c r="S166" s="75" t="inlineStr">
        <is>
          <t>15/12/2024</t>
        </is>
      </c>
      <c r="T166" s="75" t="n"/>
    </row>
    <row r="167" ht="25" customHeight="1">
      <c r="A167" s="78" t="inlineStr">
        <is>
          <t>SB0146</t>
        </is>
      </c>
      <c r="B167" s="78" t="inlineStr">
        <is>
          <t>BP-C0155</t>
        </is>
      </c>
      <c r="C167" s="78" t="inlineStr">
        <is>
          <t>Mr Adeyanju Adebayo Samson</t>
        </is>
      </c>
      <c r="D167" s="78" t="inlineStr">
        <is>
          <t>Land</t>
        </is>
      </c>
      <c r="E167" s="78" t="inlineStr">
        <is>
          <t>Green City Ibadan (Akinyele-Moniya)</t>
        </is>
      </c>
      <c r="F167" s="78" t="inlineStr">
        <is>
          <t>500SQM</t>
        </is>
      </c>
      <c r="G167" s="79" t="n">
        <v>45641</v>
      </c>
      <c r="H167" s="78" t="n">
        <v>2024</v>
      </c>
      <c r="I167" s="80" t="n">
        <v>2900000</v>
      </c>
      <c r="J167" s="80" t="n">
        <v>2100000</v>
      </c>
      <c r="K167" s="80" t="n">
        <v>800000</v>
      </c>
      <c r="L167" s="78" t="inlineStr">
        <is>
          <t>3 months</t>
        </is>
      </c>
      <c r="M167" s="78" t="inlineStr">
        <is>
          <t>Bought</t>
        </is>
      </c>
      <c r="N167" s="78" t="inlineStr">
        <is>
          <t>BLOCK E, PLOT 4</t>
        </is>
      </c>
      <c r="O167" s="78" t="inlineStr">
        <is>
          <t>Contract of Sale signed</t>
        </is>
      </c>
      <c r="P167" s="78" t="inlineStr">
        <is>
          <t>Miss Abosede (Team Taiwo)</t>
        </is>
      </c>
      <c r="Q167" s="78" t="inlineStr">
        <is>
          <t>BAAY PROJECTS CLIENTS &gt; GREEN CITY IBADAN, AKINYELE-MON</t>
        </is>
      </c>
      <c r="R167" s="78" t="n">
        <v>5</v>
      </c>
      <c r="S167" s="78" t="inlineStr">
        <is>
          <t>15/12/2024</t>
        </is>
      </c>
      <c r="T167" s="78" t="n"/>
    </row>
    <row r="168" ht="25" customHeight="1">
      <c r="A168" s="75" t="inlineStr">
        <is>
          <t>SB0147</t>
        </is>
      </c>
      <c r="B168" s="75" t="inlineStr">
        <is>
          <t>BP-C0157</t>
        </is>
      </c>
      <c r="C168" s="75" t="inlineStr">
        <is>
          <t>Mrs Adepoju Adebola Adeniran</t>
        </is>
      </c>
      <c r="D168" s="75" t="inlineStr">
        <is>
          <t>Land</t>
        </is>
      </c>
      <c r="E168" s="75" t="inlineStr">
        <is>
          <t>Green City Ibadan (Akinyele-Moniya)</t>
        </is>
      </c>
      <c r="F168" s="75" t="inlineStr">
        <is>
          <t>1000SQM</t>
        </is>
      </c>
      <c r="G168" s="76" t="n">
        <v>45641</v>
      </c>
      <c r="H168" s="75" t="n">
        <v>2024</v>
      </c>
      <c r="I168" s="77" t="n">
        <v>5800000</v>
      </c>
      <c r="J168" s="77" t="n">
        <v>4200000</v>
      </c>
      <c r="K168" s="77" t="n">
        <v>1600000</v>
      </c>
      <c r="L168" s="75" t="inlineStr">
        <is>
          <t>3 months</t>
        </is>
      </c>
      <c r="M168" s="75" t="inlineStr">
        <is>
          <t>Bought</t>
        </is>
      </c>
      <c r="N168" s="75" t="inlineStr">
        <is>
          <t>BLOCK E, PLOT 5 &amp; 6</t>
        </is>
      </c>
      <c r="O168" s="75" t="inlineStr">
        <is>
          <t>Contract of Sale signed</t>
        </is>
      </c>
      <c r="P168" s="75" t="inlineStr">
        <is>
          <t>Ms Abosede (Team Taiwo</t>
        </is>
      </c>
      <c r="Q168" s="75" t="inlineStr">
        <is>
          <t>BAAY PROJECTS CLIENTS &gt; GREEN CITY IBADAN, AKINYELE-MON</t>
        </is>
      </c>
      <c r="R168" s="75" t="n">
        <v>7</v>
      </c>
      <c r="S168" s="75" t="inlineStr">
        <is>
          <t>15/12/2024</t>
        </is>
      </c>
      <c r="T168" s="75" t="n"/>
    </row>
    <row r="169" ht="25" customHeight="1">
      <c r="A169" s="78" t="inlineStr">
        <is>
          <t>SB0148</t>
        </is>
      </c>
      <c r="B169" s="78" t="inlineStr">
        <is>
          <t>BP-C0017</t>
        </is>
      </c>
      <c r="C169" s="78" t="inlineStr">
        <is>
          <t>Mr John Taiwo Adeleye</t>
        </is>
      </c>
      <c r="D169" s="78" t="inlineStr">
        <is>
          <t>Land</t>
        </is>
      </c>
      <c r="E169" s="78" t="inlineStr">
        <is>
          <t>Green City Ibadan (Akinyele-Moniya)</t>
        </is>
      </c>
      <c r="F169" s="78" t="inlineStr">
        <is>
          <t>250SQM</t>
        </is>
      </c>
      <c r="G169" s="79" t="n">
        <v>45645</v>
      </c>
      <c r="H169" s="78" t="n">
        <v>2024</v>
      </c>
      <c r="I169" s="80" t="n">
        <v>1500000</v>
      </c>
      <c r="J169" s="80" t="n">
        <v>1500000</v>
      </c>
      <c r="K169" s="80" t="n">
        <v>0</v>
      </c>
      <c r="L169" s="78" t="inlineStr">
        <is>
          <t>3 months</t>
        </is>
      </c>
      <c r="M169" s="78" t="inlineStr">
        <is>
          <t>Bought</t>
        </is>
      </c>
      <c r="N169" s="78" t="inlineStr">
        <is>
          <t>BLOCK F, PLOT 1</t>
        </is>
      </c>
      <c r="O169" s="78" t="inlineStr">
        <is>
          <t>Contract of Sale signed</t>
        </is>
      </c>
      <c r="P169" s="78" t="inlineStr">
        <is>
          <t>Ms Jochebed (Team Moffat)</t>
        </is>
      </c>
      <c r="Q169" s="78" t="inlineStr">
        <is>
          <t>BAAY PROJECTS CLIENTS &gt; GREEN CITY IBADAN, AKINYELE-MON</t>
        </is>
      </c>
      <c r="R169" s="78" t="n">
        <v>8</v>
      </c>
      <c r="S169" s="78" t="inlineStr">
        <is>
          <t>19/12/2024</t>
        </is>
      </c>
      <c r="T169" s="78" t="n"/>
    </row>
    <row r="170" ht="25" customHeight="1">
      <c r="A170" s="75" t="inlineStr">
        <is>
          <t>SB0149</t>
        </is>
      </c>
      <c r="B170" s="75" t="inlineStr">
        <is>
          <t>BP-C0158</t>
        </is>
      </c>
      <c r="C170" s="75" t="inlineStr">
        <is>
          <t>Mr Shino Precious Vincent</t>
        </is>
      </c>
      <c r="D170" s="75" t="inlineStr">
        <is>
          <t>Land</t>
        </is>
      </c>
      <c r="E170" s="75" t="inlineStr">
        <is>
          <t>Green City Phase 3 Extension (Omu-Epe)</t>
        </is>
      </c>
      <c r="F170" s="75" t="inlineStr">
        <is>
          <t>250 SQM</t>
        </is>
      </c>
      <c r="G170" s="76" t="n">
        <v>45646</v>
      </c>
      <c r="H170" s="75" t="n">
        <v>2024</v>
      </c>
      <c r="I170" s="77" t="n">
        <v>2000000</v>
      </c>
      <c r="J170" s="77" t="n">
        <v>1500000</v>
      </c>
      <c r="K170" s="77" t="n">
        <v>500000</v>
      </c>
      <c r="L170" s="75" t="inlineStr">
        <is>
          <t>3 months</t>
        </is>
      </c>
      <c r="M170" s="75" t="inlineStr">
        <is>
          <t>Migrated</t>
        </is>
      </c>
      <c r="N170" s="75" t="inlineStr">
        <is>
          <t>BLOCK D, PLOT 2</t>
        </is>
      </c>
      <c r="O170" s="75" t="inlineStr">
        <is>
          <t>Not Yet Processed</t>
        </is>
      </c>
      <c r="P170" s="75" t="inlineStr">
        <is>
          <t>Mr Daniel (Team Pelumi)</t>
        </is>
      </c>
      <c r="Q170" s="75" t="inlineStr">
        <is>
          <t>BAAY PROJECTS CLIENTS &gt; GREEN CITY PHASE 3 EXTENSION, O</t>
        </is>
      </c>
      <c r="R170" s="75" t="n">
        <v>3</v>
      </c>
      <c r="S170" s="75" t="inlineStr">
        <is>
          <t>20/12/2024</t>
        </is>
      </c>
      <c r="T170" s="75" t="n"/>
    </row>
    <row r="171" ht="25" customHeight="1">
      <c r="A171" s="78" t="inlineStr">
        <is>
          <t>SB0150</t>
        </is>
      </c>
      <c r="B171" s="78" t="inlineStr">
        <is>
          <t>BP-C0159</t>
        </is>
      </c>
      <c r="C171" s="78" t="inlineStr">
        <is>
          <t>Miss Etefe Ava Ogheneyorhe</t>
        </is>
      </c>
      <c r="D171" s="78" t="inlineStr">
        <is>
          <t>Land</t>
        </is>
      </c>
      <c r="E171" s="78" t="inlineStr">
        <is>
          <t>Heritage Garden</t>
        </is>
      </c>
      <c r="F171" s="78" t="inlineStr">
        <is>
          <t>500sqm</t>
        </is>
      </c>
      <c r="G171" s="79" t="n">
        <v>45650</v>
      </c>
      <c r="H171" s="78" t="n">
        <v>2024</v>
      </c>
      <c r="I171" s="80" t="n">
        <v>1100000</v>
      </c>
      <c r="J171" s="80" t="n">
        <v>1000000</v>
      </c>
      <c r="K171" s="80" t="n">
        <v>100000</v>
      </c>
      <c r="L171" s="78" t="inlineStr">
        <is>
          <t>3 months</t>
        </is>
      </c>
      <c r="M171" s="78" t="inlineStr">
        <is>
          <t>Paying</t>
        </is>
      </c>
      <c r="N171" s="78" t="inlineStr">
        <is>
          <t>BLOCK D, PLOT 2</t>
        </is>
      </c>
      <c r="O171" s="78" t="inlineStr">
        <is>
          <t>Not yet Prepared</t>
        </is>
      </c>
      <c r="P171" s="78" t="inlineStr">
        <is>
          <t>Ms Elizabeth</t>
        </is>
      </c>
      <c r="Q171" s="78" t="inlineStr">
        <is>
          <t>BAAY PROJECTS CLIENTS &gt; HERITAGE GARDEN</t>
        </is>
      </c>
      <c r="R171" s="78" t="n">
        <v>7</v>
      </c>
      <c r="S171" s="78" t="inlineStr">
        <is>
          <t>24/12/2024</t>
        </is>
      </c>
      <c r="T171" s="78" t="n"/>
    </row>
    <row r="172" ht="25" customHeight="1">
      <c r="A172" s="75" t="inlineStr">
        <is>
          <t>SB0151</t>
        </is>
      </c>
      <c r="B172" s="75" t="inlineStr">
        <is>
          <t>BP-C0160</t>
        </is>
      </c>
      <c r="C172" s="75" t="inlineStr">
        <is>
          <t>Mr Okenla Olugboyega Gabriel</t>
        </is>
      </c>
      <c r="D172" s="75" t="inlineStr">
        <is>
          <t>Housing</t>
        </is>
      </c>
      <c r="E172" s="75" t="inlineStr">
        <is>
          <t>Pacific Apartment</t>
        </is>
      </c>
      <c r="F172" s="75" t="inlineStr">
        <is>
          <t>2 bedroom with a BQ | units: 1.0</t>
        </is>
      </c>
      <c r="G172" s="76" t="n">
        <v>45653</v>
      </c>
      <c r="H172" s="75" t="n">
        <v>2024</v>
      </c>
      <c r="I172" s="77" t="n">
        <v>75000000</v>
      </c>
      <c r="J172" s="77" t="n">
        <v>30000000</v>
      </c>
      <c r="K172" s="77" t="n">
        <v>45000000</v>
      </c>
      <c r="L172" s="75" t="inlineStr">
        <is>
          <t>15 months</t>
        </is>
      </c>
      <c r="M172" s="75" t="inlineStr">
        <is>
          <t>Paying</t>
        </is>
      </c>
      <c r="N172" s="75" t="n"/>
      <c r="O172" s="75" t="n"/>
      <c r="P172" s="75" t="inlineStr">
        <is>
          <t>Ms Moffat</t>
        </is>
      </c>
      <c r="Q172" s="75" t="inlineStr">
        <is>
          <t>BAAY PROJECTS CLIENTS &gt; PACIFIC APARTMENT</t>
        </is>
      </c>
      <c r="R172" s="75" t="n">
        <v>5</v>
      </c>
      <c r="S172" s="75" t="inlineStr">
        <is>
          <t>27/12/2024</t>
        </is>
      </c>
      <c r="T172" s="75" t="n"/>
    </row>
    <row r="173" ht="25" customHeight="1">
      <c r="A173" s="78" t="inlineStr">
        <is>
          <t>SB0152</t>
        </is>
      </c>
      <c r="B173" s="78" t="inlineStr">
        <is>
          <t>BP-C0162</t>
        </is>
      </c>
      <c r="C173" s="78" t="inlineStr">
        <is>
          <t>Miss Uthman Alimat Modupe</t>
        </is>
      </c>
      <c r="D173" s="78" t="inlineStr">
        <is>
          <t>Land</t>
        </is>
      </c>
      <c r="E173" s="78" t="inlineStr">
        <is>
          <t>Green City Phase 3 Extension (Omu-Epe)</t>
        </is>
      </c>
      <c r="F173" s="78" t="inlineStr">
        <is>
          <t>250 SQM</t>
        </is>
      </c>
      <c r="G173" s="79" t="n">
        <v>45657</v>
      </c>
      <c r="H173" s="78" t="n">
        <v>2024</v>
      </c>
      <c r="I173" s="80" t="n">
        <v>2000000</v>
      </c>
      <c r="J173" s="80" t="n">
        <v>500000</v>
      </c>
      <c r="K173" s="80" t="n">
        <v>1500000</v>
      </c>
      <c r="L173" s="78" t="inlineStr">
        <is>
          <t>3 months</t>
        </is>
      </c>
      <c r="M173" s="78" t="inlineStr">
        <is>
          <t>REFUND</t>
        </is>
      </c>
      <c r="N173" s="78" t="n"/>
      <c r="O173" s="78" t="inlineStr">
        <is>
          <t>Not Yet Processed</t>
        </is>
      </c>
      <c r="P173" s="78" t="inlineStr">
        <is>
          <t>Ms Tobi</t>
        </is>
      </c>
      <c r="Q173" s="78" t="inlineStr">
        <is>
          <t>BAAY PROJECTS CLIENTS &gt; GREEN CITY PHASE 3 EXTENSION, O</t>
        </is>
      </c>
      <c r="R173" s="78" t="n">
        <v>4</v>
      </c>
      <c r="S173" s="78" t="inlineStr">
        <is>
          <t>31/12/2024</t>
        </is>
      </c>
      <c r="T173" s="78" t="n"/>
    </row>
    <row r="174" ht="25" customHeight="1">
      <c r="A174" s="75" t="inlineStr">
        <is>
          <t>SB0153</t>
        </is>
      </c>
      <c r="B174" s="75" t="inlineStr">
        <is>
          <t>BP-C0163</t>
        </is>
      </c>
      <c r="C174" s="75" t="inlineStr">
        <is>
          <t>Mr Ajagbe James Olatayo</t>
        </is>
      </c>
      <c r="D174" s="75" t="inlineStr">
        <is>
          <t>Land</t>
        </is>
      </c>
      <c r="E174" s="75" t="inlineStr">
        <is>
          <t>Heritage Garden</t>
        </is>
      </c>
      <c r="F174" s="75" t="inlineStr">
        <is>
          <t>250sqm</t>
        </is>
      </c>
      <c r="G174" s="76" t="n">
        <v>45657</v>
      </c>
      <c r="H174" s="75" t="n">
        <v>2024</v>
      </c>
      <c r="I174" s="77" t="n">
        <v>550000</v>
      </c>
      <c r="J174" s="77" t="n">
        <v>550000</v>
      </c>
      <c r="K174" s="77" t="n">
        <v>0</v>
      </c>
      <c r="L174" s="75" t="inlineStr">
        <is>
          <t>3 months</t>
        </is>
      </c>
      <c r="M174" s="75" t="inlineStr">
        <is>
          <t>Bought</t>
        </is>
      </c>
      <c r="N174" s="75" t="inlineStr">
        <is>
          <t>BLOCK C, PLOT 12</t>
        </is>
      </c>
      <c r="O174" s="75" t="inlineStr">
        <is>
          <t>Contract of Sales Signed</t>
        </is>
      </c>
      <c r="P174" s="75" t="inlineStr">
        <is>
          <t>Mr Baqi</t>
        </is>
      </c>
      <c r="Q174" s="75" t="inlineStr">
        <is>
          <t>BAAY PROJECTS CLIENTS &gt; HERITAGE GARDEN</t>
        </is>
      </c>
      <c r="R174" s="75" t="n">
        <v>8</v>
      </c>
      <c r="S174" s="75" t="inlineStr">
        <is>
          <t>31/12/2024</t>
        </is>
      </c>
      <c r="T174" s="75" t="n"/>
    </row>
    <row r="175" ht="25" customHeight="1">
      <c r="A175" s="78" t="inlineStr">
        <is>
          <t>SB0154</t>
        </is>
      </c>
      <c r="B175" s="78" t="inlineStr">
        <is>
          <t>BP-C0164</t>
        </is>
      </c>
      <c r="C175" s="78" t="inlineStr">
        <is>
          <t>Miss Arogundade Motunrayo Azeezat</t>
        </is>
      </c>
      <c r="D175" s="78" t="inlineStr">
        <is>
          <t>Land</t>
        </is>
      </c>
      <c r="E175" s="78" t="inlineStr">
        <is>
          <t>Heritage Garden</t>
        </is>
      </c>
      <c r="F175" s="78" t="inlineStr">
        <is>
          <t>500sqm</t>
        </is>
      </c>
      <c r="G175" s="79" t="n">
        <v>45659</v>
      </c>
      <c r="H175" s="78" t="n">
        <v>2025</v>
      </c>
      <c r="I175" s="80" t="n">
        <v>1000000</v>
      </c>
      <c r="J175" s="80" t="n">
        <v>1000000</v>
      </c>
      <c r="K175" s="80" t="n">
        <v>0</v>
      </c>
      <c r="L175" s="78" t="inlineStr">
        <is>
          <t>3 months</t>
        </is>
      </c>
      <c r="M175" s="78" t="inlineStr">
        <is>
          <t>Bought</t>
        </is>
      </c>
      <c r="N175" s="78" t="inlineStr">
        <is>
          <t>BLOCK D, PLOT 4</t>
        </is>
      </c>
      <c r="O175" s="78" t="inlineStr">
        <is>
          <t>Contract of Sales Signed</t>
        </is>
      </c>
      <c r="P175" s="78" t="inlineStr">
        <is>
          <t>Mr Ibukun (Team Taiwo)</t>
        </is>
      </c>
      <c r="Q175" s="78" t="inlineStr">
        <is>
          <t>BAAY PROJECTS CLIENTS &gt; HERITAGE GARDEN</t>
        </is>
      </c>
      <c r="R175" s="78" t="n">
        <v>9</v>
      </c>
      <c r="S175" s="78" t="inlineStr">
        <is>
          <t>2025-02-01</t>
        </is>
      </c>
      <c r="T175" s="78" t="n"/>
    </row>
    <row r="176" ht="25" customHeight="1">
      <c r="A176" s="75" t="inlineStr">
        <is>
          <t>SB0155</t>
        </is>
      </c>
      <c r="B176" s="75" t="inlineStr">
        <is>
          <t>BP-C0165</t>
        </is>
      </c>
      <c r="C176" s="75" t="inlineStr">
        <is>
          <t>Mr Ebosele Sunday Osabhue</t>
        </is>
      </c>
      <c r="D176" s="75" t="inlineStr">
        <is>
          <t>Housing</t>
        </is>
      </c>
      <c r="E176" s="75" t="inlineStr">
        <is>
          <t>Gorge View Court (GVC Gbagada)</t>
        </is>
      </c>
      <c r="F176" s="75" t="inlineStr">
        <is>
          <t>4Bedroom Terrace Triplex | units: 1 unit</t>
        </is>
      </c>
      <c r="G176" s="76" t="n">
        <v>45677</v>
      </c>
      <c r="H176" s="75" t="n">
        <v>2025</v>
      </c>
      <c r="I176" s="77" t="n">
        <v>250000000</v>
      </c>
      <c r="J176" s="77" t="n">
        <v>250000000</v>
      </c>
      <c r="K176" s="77" t="n">
        <v>0</v>
      </c>
      <c r="L176" s="75" t="inlineStr">
        <is>
          <t>3 months</t>
        </is>
      </c>
      <c r="M176" s="75" t="inlineStr">
        <is>
          <t>Bought</t>
        </is>
      </c>
      <c r="N176" s="75" t="n"/>
      <c r="O176" s="75" t="n"/>
      <c r="P176" s="75" t="inlineStr">
        <is>
          <t>Ms Adebomi</t>
        </is>
      </c>
      <c r="Q176" s="75" t="inlineStr">
        <is>
          <t>BAAY PROJECTS CLIENTS &gt; GORGE VIEW COURT</t>
        </is>
      </c>
      <c r="R176" s="75" t="n">
        <v>2</v>
      </c>
      <c r="S176" s="75" t="inlineStr">
        <is>
          <t>20/01/2025</t>
        </is>
      </c>
      <c r="T176" s="75" t="n"/>
    </row>
    <row r="177" ht="25" customHeight="1">
      <c r="A177" s="78" t="inlineStr">
        <is>
          <t>SB0156</t>
        </is>
      </c>
      <c r="B177" s="78" t="inlineStr">
        <is>
          <t>BP-C0166</t>
        </is>
      </c>
      <c r="C177" s="78" t="inlineStr">
        <is>
          <t>Mr Showande Lateef Olawale</t>
        </is>
      </c>
      <c r="D177" s="78" t="inlineStr">
        <is>
          <t>Land</t>
        </is>
      </c>
      <c r="E177" s="78" t="inlineStr">
        <is>
          <t>Green City Phase 3 (Omu-Epe)</t>
        </is>
      </c>
      <c r="F177" s="78" t="inlineStr">
        <is>
          <t>250SQM</t>
        </is>
      </c>
      <c r="G177" s="79" t="n">
        <v>45680</v>
      </c>
      <c r="H177" s="78" t="n">
        <v>2025</v>
      </c>
      <c r="I177" s="80" t="n">
        <v>3800000</v>
      </c>
      <c r="J177" s="80" t="n">
        <v>3800000</v>
      </c>
      <c r="K177" s="80" t="n">
        <v>0</v>
      </c>
      <c r="L177" s="78" t="inlineStr">
        <is>
          <t>3 months</t>
        </is>
      </c>
      <c r="M177" s="78" t="inlineStr">
        <is>
          <t>Closed</t>
        </is>
      </c>
      <c r="N177" s="78" t="inlineStr">
        <is>
          <t>BLOCK H, PLOT 5</t>
        </is>
      </c>
      <c r="O177" s="78" t="inlineStr">
        <is>
          <t>Not Yet Processed</t>
        </is>
      </c>
      <c r="P177" s="78" t="inlineStr">
        <is>
          <t>Mr Ogidan Williams</t>
        </is>
      </c>
      <c r="Q177" s="78" t="inlineStr">
        <is>
          <t>BAAY PROJECTS CLIENTS &gt; GREEN CITY PHASE 3, OMU EPE</t>
        </is>
      </c>
      <c r="R177" s="78" t="n">
        <v>35</v>
      </c>
      <c r="S177" s="78" t="inlineStr">
        <is>
          <t>23/01/2025</t>
        </is>
      </c>
      <c r="T177" s="78" t="n"/>
    </row>
    <row r="178" ht="25" customHeight="1">
      <c r="A178" s="75" t="inlineStr">
        <is>
          <t>SB0157</t>
        </is>
      </c>
      <c r="B178" s="75" t="inlineStr">
        <is>
          <t>BP-C0168</t>
        </is>
      </c>
      <c r="C178" s="75" t="inlineStr">
        <is>
          <t>Mrs Adenuga Damilola Grace</t>
        </is>
      </c>
      <c r="D178" s="75" t="inlineStr">
        <is>
          <t>Land</t>
        </is>
      </c>
      <c r="E178" s="75" t="inlineStr">
        <is>
          <t>Green City Phase 3 Extension (Omu-Epe)</t>
        </is>
      </c>
      <c r="F178" s="75" t="inlineStr">
        <is>
          <t>250 SQM</t>
        </is>
      </c>
      <c r="G178" s="76" t="n">
        <v>45692</v>
      </c>
      <c r="H178" s="75" t="n">
        <v>2025</v>
      </c>
      <c r="I178" s="77" t="n">
        <v>2000000</v>
      </c>
      <c r="J178" s="77" t="n">
        <v>2000000</v>
      </c>
      <c r="K178" s="77" t="n">
        <v>0</v>
      </c>
      <c r="L178" s="75" t="inlineStr">
        <is>
          <t>3 months</t>
        </is>
      </c>
      <c r="M178" s="75" t="inlineStr">
        <is>
          <t>Bought</t>
        </is>
      </c>
      <c r="N178" s="75" t="inlineStr">
        <is>
          <t>BLOCK D, PLOT 3</t>
        </is>
      </c>
      <c r="O178" s="75" t="inlineStr">
        <is>
          <t>Collected by client rep</t>
        </is>
      </c>
      <c r="P178" s="75" t="inlineStr">
        <is>
          <t>Ms Adenike</t>
        </is>
      </c>
      <c r="Q178" s="75" t="inlineStr">
        <is>
          <t>BAAY PROJECTS CLIENTS &gt; GREEN CITY PHASE 3 EXTENSION, O</t>
        </is>
      </c>
      <c r="R178" s="75" t="n">
        <v>5</v>
      </c>
      <c r="S178" s="75" t="inlineStr">
        <is>
          <t>2025-04-02</t>
        </is>
      </c>
      <c r="T178" s="75" t="n"/>
    </row>
    <row r="179" ht="25" customHeight="1">
      <c r="A179" s="78" t="inlineStr">
        <is>
          <t>SB0158</t>
        </is>
      </c>
      <c r="B179" s="78" t="inlineStr">
        <is>
          <t>BP-C0169</t>
        </is>
      </c>
      <c r="C179" s="78" t="inlineStr">
        <is>
          <t>Miss Isawumi Daniella Mojoyin</t>
        </is>
      </c>
      <c r="D179" s="78" t="inlineStr">
        <is>
          <t>Land</t>
        </is>
      </c>
      <c r="E179" s="78" t="inlineStr">
        <is>
          <t>Heritage Garden</t>
        </is>
      </c>
      <c r="F179" s="78" t="inlineStr">
        <is>
          <t>250sqm</t>
        </is>
      </c>
      <c r="G179" s="79" t="n">
        <v>45693</v>
      </c>
      <c r="H179" s="78" t="n">
        <v>2025</v>
      </c>
      <c r="I179" s="80" t="n">
        <v>594000</v>
      </c>
      <c r="J179" s="80" t="n">
        <v>75000</v>
      </c>
      <c r="K179" s="80" t="n">
        <v>519000</v>
      </c>
      <c r="L179" s="78" t="inlineStr">
        <is>
          <t>3 months</t>
        </is>
      </c>
      <c r="M179" s="78" t="inlineStr">
        <is>
          <t>Paying</t>
        </is>
      </c>
      <c r="N179" s="78" t="inlineStr">
        <is>
          <t>BLOCK C, PLOT 6</t>
        </is>
      </c>
      <c r="O179" s="78" t="inlineStr">
        <is>
          <t>Not yet Prepared</t>
        </is>
      </c>
      <c r="P179" s="78" t="inlineStr">
        <is>
          <t>Ms Daniella</t>
        </is>
      </c>
      <c r="Q179" s="78" t="inlineStr">
        <is>
          <t>BAAY PROJECTS CLIENTS &gt; HERITAGE GARDEN</t>
        </is>
      </c>
      <c r="R179" s="78" t="n">
        <v>10</v>
      </c>
      <c r="S179" s="78" t="inlineStr">
        <is>
          <t>2025-05-02</t>
        </is>
      </c>
      <c r="T179" s="78" t="n"/>
    </row>
    <row r="180" ht="25" customHeight="1">
      <c r="A180" s="75" t="inlineStr">
        <is>
          <t>SB0159</t>
        </is>
      </c>
      <c r="B180" s="75" t="inlineStr">
        <is>
          <t>BP-C0171</t>
        </is>
      </c>
      <c r="C180" s="75" t="inlineStr">
        <is>
          <t>Mr Owomoyela Abiodun Micheal</t>
        </is>
      </c>
      <c r="D180" s="75" t="inlineStr">
        <is>
          <t>Land</t>
        </is>
      </c>
      <c r="E180" s="75" t="inlineStr">
        <is>
          <t>Green City Phase 3 Extension (Omu-Epe)</t>
        </is>
      </c>
      <c r="F180" s="75" t="inlineStr">
        <is>
          <t>500 SQM</t>
        </is>
      </c>
      <c r="G180" s="76" t="n">
        <v>45694</v>
      </c>
      <c r="H180" s="75" t="n">
        <v>2025</v>
      </c>
      <c r="I180" s="77" t="n">
        <v>3800000</v>
      </c>
      <c r="J180" s="77" t="n">
        <v>3800000</v>
      </c>
      <c r="K180" s="77" t="n">
        <v>0</v>
      </c>
      <c r="L180" s="75" t="inlineStr">
        <is>
          <t>3 months</t>
        </is>
      </c>
      <c r="M180" s="75" t="inlineStr">
        <is>
          <t>Bought</t>
        </is>
      </c>
      <c r="N180" s="75" t="inlineStr">
        <is>
          <t>BLOCK E, PLOT 1</t>
        </is>
      </c>
      <c r="O180" s="75" t="inlineStr">
        <is>
          <t>Collected by client rep</t>
        </is>
      </c>
      <c r="P180" s="75" t="inlineStr">
        <is>
          <t>Ms Abisola (Team Tobi)</t>
        </is>
      </c>
      <c r="Q180" s="75" t="inlineStr">
        <is>
          <t>BAAY PROJECTS CLIENTS &gt; GREEN CITY PHASE 3 EXTENSION, O</t>
        </is>
      </c>
      <c r="R180" s="75" t="n">
        <v>6</v>
      </c>
      <c r="S180" s="75" t="inlineStr">
        <is>
          <t>2025-06-02</t>
        </is>
      </c>
      <c r="T180" s="75" t="n"/>
    </row>
    <row r="181" ht="25" customHeight="1">
      <c r="A181" s="78" t="inlineStr">
        <is>
          <t>SB0160</t>
        </is>
      </c>
      <c r="B181" s="78" t="inlineStr">
        <is>
          <t>BP-C0132</t>
        </is>
      </c>
      <c r="C181" s="78" t="inlineStr">
        <is>
          <t>Mr Ajayi Adekunle Temitope</t>
        </is>
      </c>
      <c r="D181" s="78" t="inlineStr">
        <is>
          <t>Land</t>
        </is>
      </c>
      <c r="E181" s="78" t="inlineStr">
        <is>
          <t>Green City Ibadan (Akinyele-Moniya)</t>
        </is>
      </c>
      <c r="F181" s="78" t="inlineStr">
        <is>
          <t>500SQM</t>
        </is>
      </c>
      <c r="G181" s="79" t="n">
        <v>45699</v>
      </c>
      <c r="H181" s="78" t="n">
        <v>2025</v>
      </c>
      <c r="I181" s="80" t="n">
        <v>2500000</v>
      </c>
      <c r="J181" s="80" t="n">
        <v>2500000</v>
      </c>
      <c r="K181" s="80" t="n">
        <v>0</v>
      </c>
      <c r="L181" s="78" t="inlineStr">
        <is>
          <t>3 months</t>
        </is>
      </c>
      <c r="M181" s="78" t="inlineStr">
        <is>
          <t>Bought</t>
        </is>
      </c>
      <c r="N181" s="78" t="inlineStr">
        <is>
          <t>BLOCK C, PLOT 7</t>
        </is>
      </c>
      <c r="O181" s="78" t="inlineStr">
        <is>
          <t>Contract of Sale signed</t>
        </is>
      </c>
      <c r="P181" s="78" t="inlineStr">
        <is>
          <t>Ms Opeyemi</t>
        </is>
      </c>
      <c r="Q181" s="78" t="inlineStr">
        <is>
          <t>BAAY PROJECTS CLIENTS &gt; GREEN CITY IBADAN, AKINYELE-MON</t>
        </is>
      </c>
      <c r="R181" s="78" t="n">
        <v>9</v>
      </c>
      <c r="S181" s="78" t="inlineStr">
        <is>
          <t>2025-11-02</t>
        </is>
      </c>
      <c r="T181" s="78" t="n"/>
    </row>
    <row r="182" ht="25" customHeight="1">
      <c r="A182" s="75" t="inlineStr">
        <is>
          <t>SB0161</t>
        </is>
      </c>
      <c r="B182" s="75" t="inlineStr">
        <is>
          <t>BP-C0133</t>
        </is>
      </c>
      <c r="C182" s="75" t="inlineStr">
        <is>
          <t>Mr Olagbende Oluwashina Oluwaseun</t>
        </is>
      </c>
      <c r="D182" s="75" t="inlineStr">
        <is>
          <t>Housing</t>
        </is>
      </c>
      <c r="E182" s="75" t="inlineStr">
        <is>
          <t>Pacific Apartment</t>
        </is>
      </c>
      <c r="F182" s="75" t="inlineStr">
        <is>
          <t>2 bedroom apartment with BQ | units: 1.0</t>
        </is>
      </c>
      <c r="G182" s="76" t="n">
        <v>45699</v>
      </c>
      <c r="H182" s="75" t="n">
        <v>2025</v>
      </c>
      <c r="I182" s="77" t="n">
        <v>90000000</v>
      </c>
      <c r="J182" s="77" t="n">
        <v>80800000</v>
      </c>
      <c r="K182" s="77" t="n">
        <v>9200000</v>
      </c>
      <c r="L182" s="75" t="inlineStr">
        <is>
          <t>12 months</t>
        </is>
      </c>
      <c r="M182" s="75" t="inlineStr">
        <is>
          <t>Paying</t>
        </is>
      </c>
      <c r="N182" s="75" t="n"/>
      <c r="O182" s="75" t="n"/>
      <c r="P182" s="75" t="inlineStr">
        <is>
          <t>Ms Mayowa Awonorin (Team Taiwo)</t>
        </is>
      </c>
      <c r="Q182" s="75" t="inlineStr">
        <is>
          <t>BAAY PROJECTS CLIENTS &gt; PACIFIC APARTMENT</t>
        </is>
      </c>
      <c r="R182" s="75" t="n">
        <v>7</v>
      </c>
      <c r="S182" s="75" t="inlineStr">
        <is>
          <t>2025-11-02</t>
        </is>
      </c>
      <c r="T182" s="75" t="n"/>
    </row>
    <row r="183" ht="25" customHeight="1">
      <c r="A183" s="78" t="inlineStr">
        <is>
          <t>SB0162</t>
        </is>
      </c>
      <c r="B183" s="78" t="inlineStr">
        <is>
          <t>BP-C0173</t>
        </is>
      </c>
      <c r="C183" s="78" t="inlineStr">
        <is>
          <t>Miss Julian-Nwadi Hephzibah Chisom</t>
        </is>
      </c>
      <c r="D183" s="78" t="inlineStr">
        <is>
          <t>Land</t>
        </is>
      </c>
      <c r="E183" s="78" t="inlineStr">
        <is>
          <t>Heritage Garden</t>
        </is>
      </c>
      <c r="F183" s="78" t="inlineStr">
        <is>
          <t>250sqm</t>
        </is>
      </c>
      <c r="G183" s="79" t="n">
        <v>45702</v>
      </c>
      <c r="H183" s="78" t="n">
        <v>2025</v>
      </c>
      <c r="I183" s="80" t="n">
        <v>1050000</v>
      </c>
      <c r="J183" s="80" t="n">
        <v>1050000</v>
      </c>
      <c r="K183" s="80" t="n">
        <v>0</v>
      </c>
      <c r="L183" s="78" t="inlineStr">
        <is>
          <t>3 months</t>
        </is>
      </c>
      <c r="M183" s="78" t="inlineStr">
        <is>
          <t>Bought</t>
        </is>
      </c>
      <c r="N183" s="78" t="inlineStr">
        <is>
          <t>BLOCK C, PLOT 13</t>
        </is>
      </c>
      <c r="O183" s="78" t="inlineStr">
        <is>
          <t>Contract of Sales Signed</t>
        </is>
      </c>
      <c r="P183" s="78" t="inlineStr">
        <is>
          <t>Ms Rosemary</t>
        </is>
      </c>
      <c r="Q183" s="78" t="inlineStr">
        <is>
          <t>BAAY PROJECTS CLIENTS &gt; HERITAGE GARDEN</t>
        </is>
      </c>
      <c r="R183" s="78" t="n">
        <v>11</v>
      </c>
      <c r="S183" s="78" t="inlineStr">
        <is>
          <t>14/02/2025</t>
        </is>
      </c>
      <c r="T183" s="78" t="n"/>
    </row>
    <row r="184" ht="25" customHeight="1">
      <c r="A184" s="75" t="inlineStr">
        <is>
          <t>SB0163</t>
        </is>
      </c>
      <c r="B184" s="75" t="inlineStr">
        <is>
          <t>BP-C0077</t>
        </is>
      </c>
      <c r="C184" s="75" t="inlineStr">
        <is>
          <t>Mr Uebari Sorbari Godwin</t>
        </is>
      </c>
      <c r="D184" s="75" t="inlineStr">
        <is>
          <t>Land</t>
        </is>
      </c>
      <c r="E184" s="75" t="inlineStr">
        <is>
          <t>Green City Phase 3 Extension (Omu-Epe)</t>
        </is>
      </c>
      <c r="F184" s="75" t="inlineStr">
        <is>
          <t>500SQM</t>
        </is>
      </c>
      <c r="G184" s="76" t="n">
        <v>45706</v>
      </c>
      <c r="H184" s="75" t="n">
        <v>2025</v>
      </c>
      <c r="I184" s="77" t="n">
        <v>3800000</v>
      </c>
      <c r="J184" s="77" t="n">
        <v>3800000</v>
      </c>
      <c r="K184" s="77" t="n">
        <v>0</v>
      </c>
      <c r="L184" s="75" t="inlineStr">
        <is>
          <t>3 months</t>
        </is>
      </c>
      <c r="M184" s="75" t="inlineStr">
        <is>
          <t>Bought</t>
        </is>
      </c>
      <c r="N184" s="75" t="inlineStr">
        <is>
          <t>BLOCK E, PLOT 2</t>
        </is>
      </c>
      <c r="O184" s="75" t="inlineStr">
        <is>
          <t>Not yet Collected</t>
        </is>
      </c>
      <c r="P184" s="75" t="inlineStr">
        <is>
          <t>Ms Elizabeth</t>
        </is>
      </c>
      <c r="Q184" s="75" t="inlineStr">
        <is>
          <t>BAAY PROJECTS CLIENTS &gt; GREEN CITY PHASE 3 EXTENSION, O</t>
        </is>
      </c>
      <c r="R184" s="75" t="n">
        <v>7</v>
      </c>
      <c r="S184" s="75" t="inlineStr">
        <is>
          <t>18/02/2025</t>
        </is>
      </c>
      <c r="T184" s="75" t="n"/>
    </row>
    <row r="185" ht="25" customHeight="1">
      <c r="A185" s="78" t="inlineStr">
        <is>
          <t>SB0164</t>
        </is>
      </c>
      <c r="B185" s="78" t="inlineStr">
        <is>
          <t>BP-C0174</t>
        </is>
      </c>
      <c r="C185" s="78" t="inlineStr">
        <is>
          <t>Mr Kafidipe Oladimeji Ayomikusibe</t>
        </is>
      </c>
      <c r="D185" s="78" t="inlineStr">
        <is>
          <t>Land</t>
        </is>
      </c>
      <c r="E185" s="78" t="inlineStr">
        <is>
          <t>Green Hillside</t>
        </is>
      </c>
      <c r="F185" s="78" t="inlineStr">
        <is>
          <t>500 SQM</t>
        </is>
      </c>
      <c r="G185" s="79" t="n">
        <v>45713</v>
      </c>
      <c r="H185" s="78" t="n">
        <v>2025</v>
      </c>
      <c r="I185" s="80" t="n">
        <v>3800000</v>
      </c>
      <c r="J185" s="80" t="n">
        <v>3800000</v>
      </c>
      <c r="K185" s="80" t="n">
        <v>0</v>
      </c>
      <c r="L185" s="78" t="inlineStr">
        <is>
          <t>3 months</t>
        </is>
      </c>
      <c r="M185" s="78" t="inlineStr">
        <is>
          <t>Bought</t>
        </is>
      </c>
      <c r="N185" s="78" t="inlineStr">
        <is>
          <t>BLOCK C, PLOT 3</t>
        </is>
      </c>
      <c r="O185" s="78" t="inlineStr">
        <is>
          <t>Not Yet Collected</t>
        </is>
      </c>
      <c r="P185" s="78" t="inlineStr">
        <is>
          <t>Ms Olabisi</t>
        </is>
      </c>
      <c r="Q185" s="78" t="inlineStr">
        <is>
          <t>BAAY PROJECTS CLIENTS &gt; GREEN HILLSIDE</t>
        </is>
      </c>
      <c r="R185" s="78" t="n">
        <v>2</v>
      </c>
      <c r="S185" s="78" t="inlineStr">
        <is>
          <t>25/02/2025</t>
        </is>
      </c>
      <c r="T185" s="78" t="n"/>
    </row>
    <row r="186" ht="25" customHeight="1">
      <c r="A186" s="75" t="inlineStr">
        <is>
          <t>SB0165</t>
        </is>
      </c>
      <c r="B186" s="75" t="inlineStr">
        <is>
          <t>BP-C0028</t>
        </is>
      </c>
      <c r="C186" s="75" t="inlineStr">
        <is>
          <t>Mr Adebanjo Isaac Olamilekan</t>
        </is>
      </c>
      <c r="D186" s="75" t="inlineStr">
        <is>
          <t>Land</t>
        </is>
      </c>
      <c r="E186" s="75" t="inlineStr">
        <is>
          <t>Green City Phase 2 (Ketu-Epe)</t>
        </is>
      </c>
      <c r="F186" s="75" t="inlineStr">
        <is>
          <t>500Sqm</t>
        </is>
      </c>
      <c r="G186" s="76" t="n">
        <v>45716</v>
      </c>
      <c r="H186" s="75" t="n">
        <v>2025</v>
      </c>
      <c r="I186" s="77" t="n">
        <v>3000000</v>
      </c>
      <c r="J186" s="77" t="n">
        <v>3000000</v>
      </c>
      <c r="K186" s="77" t="n">
        <v>0</v>
      </c>
      <c r="L186" s="75" t="inlineStr">
        <is>
          <t>3 months</t>
        </is>
      </c>
      <c r="M186" s="75" t="inlineStr">
        <is>
          <t>Bought</t>
        </is>
      </c>
      <c r="N186" s="75" t="inlineStr">
        <is>
          <t>BLOCK G, PLOT 7</t>
        </is>
      </c>
      <c r="O186" s="75" t="inlineStr">
        <is>
          <t>Not Yet Processed</t>
        </is>
      </c>
      <c r="P186" s="75" t="inlineStr">
        <is>
          <t>MD</t>
        </is>
      </c>
      <c r="Q186" s="75" t="inlineStr">
        <is>
          <t>BAAY PROJECTS CLIENTS &gt; GREEN CITY KETU EPE 2</t>
        </is>
      </c>
      <c r="R186" s="75" t="n">
        <v>53</v>
      </c>
      <c r="S186" s="75" t="inlineStr">
        <is>
          <t>28/02/2025</t>
        </is>
      </c>
      <c r="T186" s="75" t="n"/>
    </row>
    <row r="187" ht="25" customHeight="1">
      <c r="A187" s="78" t="inlineStr">
        <is>
          <t>SB0166</t>
        </is>
      </c>
      <c r="B187" s="78" t="inlineStr">
        <is>
          <t>BP-C0175</t>
        </is>
      </c>
      <c r="C187" s="78" t="inlineStr">
        <is>
          <t>Mr Marizu Precious Chisom</t>
        </is>
      </c>
      <c r="D187" s="78" t="inlineStr">
        <is>
          <t>Land</t>
        </is>
      </c>
      <c r="E187" s="78" t="inlineStr">
        <is>
          <t>Green City Phase 3 Extension (Omu-Epe)</t>
        </is>
      </c>
      <c r="F187" s="78" t="inlineStr">
        <is>
          <t>500SQM</t>
        </is>
      </c>
      <c r="G187" s="79" t="n">
        <v>45716</v>
      </c>
      <c r="H187" s="78" t="n">
        <v>2025</v>
      </c>
      <c r="I187" s="80" t="n">
        <v>3800000</v>
      </c>
      <c r="J187" s="80" t="n">
        <v>3800000</v>
      </c>
      <c r="K187" s="80" t="n">
        <v>0</v>
      </c>
      <c r="L187" s="78" t="inlineStr">
        <is>
          <t>3 months</t>
        </is>
      </c>
      <c r="M187" s="78" t="inlineStr">
        <is>
          <t>Bought</t>
        </is>
      </c>
      <c r="N187" s="78" t="inlineStr">
        <is>
          <t>BLOCK E, PLOT 3</t>
        </is>
      </c>
      <c r="O187" s="78" t="inlineStr">
        <is>
          <t>Not yet Collected</t>
        </is>
      </c>
      <c r="P187" s="78" t="inlineStr">
        <is>
          <t>Mr Daniel</t>
        </is>
      </c>
      <c r="Q187" s="78" t="inlineStr">
        <is>
          <t>BAAY PROJECTS CLIENTS &gt; GREEN CITY PHASE 3 EXTENSION, O</t>
        </is>
      </c>
      <c r="R187" s="78" t="n">
        <v>8</v>
      </c>
      <c r="S187" s="78" t="inlineStr">
        <is>
          <t>28/02/2025</t>
        </is>
      </c>
      <c r="T187" s="78" t="n"/>
    </row>
    <row r="188" ht="25" customHeight="1">
      <c r="A188" s="75" t="inlineStr">
        <is>
          <t>SB0167</t>
        </is>
      </c>
      <c r="B188" s="75" t="inlineStr">
        <is>
          <t>BP-C0176</t>
        </is>
      </c>
      <c r="C188" s="75" t="inlineStr">
        <is>
          <t>Mrs Marizu Geraldine Ijeoma</t>
        </is>
      </c>
      <c r="D188" s="75" t="inlineStr">
        <is>
          <t>Land</t>
        </is>
      </c>
      <c r="E188" s="75" t="inlineStr">
        <is>
          <t>Green City Phase 3 Extension (Omu-Epe)</t>
        </is>
      </c>
      <c r="F188" s="75" t="inlineStr">
        <is>
          <t>500 SQM</t>
        </is>
      </c>
      <c r="G188" s="76" t="n">
        <v>45716</v>
      </c>
      <c r="H188" s="75" t="n">
        <v>2025</v>
      </c>
      <c r="I188" s="77" t="n">
        <v>3800000</v>
      </c>
      <c r="J188" s="77" t="n">
        <v>3800000</v>
      </c>
      <c r="K188" s="77" t="n">
        <v>0</v>
      </c>
      <c r="L188" s="75" t="inlineStr">
        <is>
          <t>3 months</t>
        </is>
      </c>
      <c r="M188" s="75" t="inlineStr">
        <is>
          <t>Bought</t>
        </is>
      </c>
      <c r="N188" s="75" t="inlineStr">
        <is>
          <t>BLOCK E, PLOT 4</t>
        </is>
      </c>
      <c r="O188" s="75" t="inlineStr">
        <is>
          <t>Not yet Collected</t>
        </is>
      </c>
      <c r="P188" s="75" t="inlineStr">
        <is>
          <t>Mr Daniel</t>
        </is>
      </c>
      <c r="Q188" s="75" t="inlineStr">
        <is>
          <t>BAAY PROJECTS CLIENTS &gt; GREEN CITY PHASE 3 EXTENSION, O</t>
        </is>
      </c>
      <c r="R188" s="75" t="n">
        <v>9</v>
      </c>
      <c r="S188" s="75" t="inlineStr">
        <is>
          <t>28/02/2025</t>
        </is>
      </c>
      <c r="T188" s="75" t="n"/>
    </row>
    <row r="189" ht="25" customHeight="1">
      <c r="A189" s="78" t="inlineStr">
        <is>
          <t>SB0168</t>
        </is>
      </c>
      <c r="B189" s="78" t="inlineStr">
        <is>
          <t>BP-C0178</t>
        </is>
      </c>
      <c r="C189" s="78" t="inlineStr">
        <is>
          <t>Mrs Ajiri-Odeh Chioma Cynthia</t>
        </is>
      </c>
      <c r="D189" s="78" t="inlineStr">
        <is>
          <t>Land</t>
        </is>
      </c>
      <c r="E189" s="78" t="inlineStr">
        <is>
          <t>Heritage Garden</t>
        </is>
      </c>
      <c r="F189" s="78" t="inlineStr">
        <is>
          <t>250sqm</t>
        </is>
      </c>
      <c r="G189" s="79" t="n">
        <v>45719</v>
      </c>
      <c r="H189" s="78" t="n">
        <v>2025</v>
      </c>
      <c r="I189" s="80" t="n">
        <v>1050000</v>
      </c>
      <c r="J189" s="80" t="n">
        <v>1050000</v>
      </c>
      <c r="K189" s="80" t="n">
        <v>0</v>
      </c>
      <c r="L189" s="78" t="inlineStr">
        <is>
          <t>3 months</t>
        </is>
      </c>
      <c r="M189" s="78" t="inlineStr">
        <is>
          <t>Bought</t>
        </is>
      </c>
      <c r="N189" s="78" t="inlineStr">
        <is>
          <t>BLOCK C, PLOT 3</t>
        </is>
      </c>
      <c r="O189" s="78" t="inlineStr">
        <is>
          <t>Not yet Prepared</t>
        </is>
      </c>
      <c r="P189" s="78" t="inlineStr">
        <is>
          <t>Ms Jennifer (Team Kenny Bruce</t>
        </is>
      </c>
      <c r="Q189" s="78" t="inlineStr">
        <is>
          <t>BAAY PROJECTS CLIENTS &gt; HERITAGE GARDEN</t>
        </is>
      </c>
      <c r="R189" s="78" t="n">
        <v>12</v>
      </c>
      <c r="S189" s="78" t="inlineStr">
        <is>
          <t>2025-03-03</t>
        </is>
      </c>
      <c r="T189" s="78" t="n"/>
    </row>
    <row r="190" ht="25" customHeight="1">
      <c r="A190" s="75" t="inlineStr">
        <is>
          <t>SB0169</t>
        </is>
      </c>
      <c r="B190" s="75" t="inlineStr">
        <is>
          <t>BP-C0180</t>
        </is>
      </c>
      <c r="C190" s="75" t="inlineStr">
        <is>
          <t>Mr Olajide Hafeez olakunle</t>
        </is>
      </c>
      <c r="D190" s="75" t="inlineStr">
        <is>
          <t>Housing</t>
        </is>
      </c>
      <c r="E190" s="75" t="inlineStr">
        <is>
          <t>Pacific Apartment</t>
        </is>
      </c>
      <c r="F190" s="75" t="inlineStr">
        <is>
          <t>2 bedroom apartment | units: 2.0</t>
        </is>
      </c>
      <c r="G190" s="76" t="n">
        <v>45722</v>
      </c>
      <c r="H190" s="75" t="n">
        <v>2025</v>
      </c>
      <c r="I190" s="77" t="n">
        <v>100000000</v>
      </c>
      <c r="J190" s="77" t="n">
        <v>100000000</v>
      </c>
      <c r="K190" s="77" t="n">
        <v>0</v>
      </c>
      <c r="L190" s="75" t="inlineStr">
        <is>
          <t>Outright</t>
        </is>
      </c>
      <c r="M190" s="75" t="inlineStr">
        <is>
          <t>Bought</t>
        </is>
      </c>
      <c r="N190" s="75" t="n"/>
      <c r="O190" s="75" t="n"/>
      <c r="P190" s="75" t="inlineStr">
        <is>
          <t>MD</t>
        </is>
      </c>
      <c r="Q190" s="75" t="inlineStr">
        <is>
          <t>BAAY PROJECTS CLIENTS &gt; PACIFIC APARTMENT</t>
        </is>
      </c>
      <c r="R190" s="75" t="n">
        <v>8</v>
      </c>
      <c r="S190" s="75" t="inlineStr">
        <is>
          <t>2025-06-03</t>
        </is>
      </c>
      <c r="T190" s="75" t="n"/>
    </row>
    <row r="191" ht="25" customHeight="1">
      <c r="A191" s="78" t="inlineStr">
        <is>
          <t>SB0170</t>
        </is>
      </c>
      <c r="B191" s="78" t="inlineStr">
        <is>
          <t>BP-C0181</t>
        </is>
      </c>
      <c r="C191" s="78" t="inlineStr">
        <is>
          <t>Miss Joshua Fortune Ufot</t>
        </is>
      </c>
      <c r="D191" s="78" t="inlineStr">
        <is>
          <t>Land</t>
        </is>
      </c>
      <c r="E191" s="78" t="inlineStr">
        <is>
          <t>Green Hillside</t>
        </is>
      </c>
      <c r="F191" s="78" t="inlineStr">
        <is>
          <t>500 SQM</t>
        </is>
      </c>
      <c r="G191" s="79" t="n">
        <v>45728</v>
      </c>
      <c r="H191" s="78" t="n">
        <v>2025</v>
      </c>
      <c r="I191" s="80" t="n">
        <v>3400000</v>
      </c>
      <c r="J191" s="80" t="n">
        <v>3400000</v>
      </c>
      <c r="K191" s="80" t="n">
        <v>0</v>
      </c>
      <c r="L191" s="78" t="inlineStr">
        <is>
          <t>3 months</t>
        </is>
      </c>
      <c r="M191" s="78" t="inlineStr">
        <is>
          <t>Bought</t>
        </is>
      </c>
      <c r="N191" s="78" t="inlineStr">
        <is>
          <t>BLOCK C PLOT 4</t>
        </is>
      </c>
      <c r="O191" s="78" t="inlineStr">
        <is>
          <t>Not Yet Collected</t>
        </is>
      </c>
      <c r="P191" s="78" t="inlineStr">
        <is>
          <t>Ms Praise</t>
        </is>
      </c>
      <c r="Q191" s="78" t="inlineStr">
        <is>
          <t>BAAY PROJECTS CLIENTS &gt; GREEN HILLSIDE</t>
        </is>
      </c>
      <c r="R191" s="78" t="n">
        <v>4</v>
      </c>
      <c r="S191" s="78" t="inlineStr">
        <is>
          <t>2025-12-03</t>
        </is>
      </c>
      <c r="T191" s="78" t="n"/>
    </row>
    <row r="192" ht="25" customHeight="1">
      <c r="A192" s="75" t="inlineStr">
        <is>
          <t>SB0171</t>
        </is>
      </c>
      <c r="B192" s="75" t="inlineStr">
        <is>
          <t>BP-C0182</t>
        </is>
      </c>
      <c r="C192" s="75" t="inlineStr">
        <is>
          <t>Mr Adebayo Adetunji Yusuff</t>
        </is>
      </c>
      <c r="D192" s="75" t="inlineStr">
        <is>
          <t>Land</t>
        </is>
      </c>
      <c r="E192" s="75" t="inlineStr">
        <is>
          <t>Green Hillside</t>
        </is>
      </c>
      <c r="F192" s="75" t="inlineStr">
        <is>
          <t>250 SQM</t>
        </is>
      </c>
      <c r="G192" s="76" t="n">
        <v>45728</v>
      </c>
      <c r="H192" s="75" t="n">
        <v>2025</v>
      </c>
      <c r="I192" s="77" t="n">
        <v>1680000</v>
      </c>
      <c r="J192" s="77" t="n">
        <v>1340000</v>
      </c>
      <c r="K192" s="77" t="n">
        <v>340000</v>
      </c>
      <c r="L192" s="75" t="inlineStr">
        <is>
          <t>3 months</t>
        </is>
      </c>
      <c r="M192" s="75" t="inlineStr">
        <is>
          <t>Paying</t>
        </is>
      </c>
      <c r="N192" s="75" t="inlineStr">
        <is>
          <t>BLOCK F, PLOT 4</t>
        </is>
      </c>
      <c r="O192" s="75" t="inlineStr">
        <is>
          <t>Not Yet Collected</t>
        </is>
      </c>
      <c r="P192" s="75" t="inlineStr">
        <is>
          <t>Mr Adetunji Yusuf (Team Praise)</t>
        </is>
      </c>
      <c r="Q192" s="75" t="inlineStr">
        <is>
          <t>BAAY PROJECTS CLIENTS &gt; GREEN HILLSIDE</t>
        </is>
      </c>
      <c r="R192" s="75" t="n">
        <v>3</v>
      </c>
      <c r="S192" s="75" t="inlineStr">
        <is>
          <t>2025-12-03</t>
        </is>
      </c>
      <c r="T192" s="75" t="n"/>
    </row>
    <row r="193" ht="25" customHeight="1">
      <c r="A193" s="78" t="inlineStr">
        <is>
          <t>SB0172</t>
        </is>
      </c>
      <c r="B193" s="78" t="inlineStr">
        <is>
          <t>BP-C0184</t>
        </is>
      </c>
      <c r="C193" s="78" t="inlineStr">
        <is>
          <t>Mr Klu Jeremiah</t>
        </is>
      </c>
      <c r="D193" s="78" t="inlineStr">
        <is>
          <t>Land</t>
        </is>
      </c>
      <c r="E193" s="78" t="inlineStr">
        <is>
          <t>Heritage Garden</t>
        </is>
      </c>
      <c r="F193" s="78" t="inlineStr">
        <is>
          <t>500sqm</t>
        </is>
      </c>
      <c r="G193" s="79" t="n">
        <v>45734</v>
      </c>
      <c r="H193" s="78" t="n">
        <v>2025</v>
      </c>
      <c r="I193" s="80" t="n">
        <v>2100000</v>
      </c>
      <c r="J193" s="80" t="n">
        <v>2100000</v>
      </c>
      <c r="K193" s="80" t="n">
        <v>0</v>
      </c>
      <c r="L193" s="78" t="inlineStr">
        <is>
          <t>3 months</t>
        </is>
      </c>
      <c r="M193" s="78" t="inlineStr">
        <is>
          <t>Bought</t>
        </is>
      </c>
      <c r="N193" s="78" t="inlineStr">
        <is>
          <t>BLOCK D, PLOT 3</t>
        </is>
      </c>
      <c r="O193" s="78" t="inlineStr">
        <is>
          <t>Not yet Prepared</t>
        </is>
      </c>
      <c r="P193" s="78" t="inlineStr">
        <is>
          <t>Ms Bolanle</t>
        </is>
      </c>
      <c r="Q193" s="78" t="inlineStr">
        <is>
          <t>BAAY PROJECTS CLIENTS &gt; HERITAGE GARDEN</t>
        </is>
      </c>
      <c r="R193" s="78" t="n">
        <v>13</v>
      </c>
      <c r="S193" s="78" t="inlineStr">
        <is>
          <t>18/03/2025</t>
        </is>
      </c>
      <c r="T193" s="78" t="n"/>
    </row>
    <row r="194" ht="25" customHeight="1">
      <c r="A194" s="75" t="inlineStr">
        <is>
          <t>SB0173</t>
        </is>
      </c>
      <c r="B194" s="75" t="inlineStr">
        <is>
          <t>BP-C0186</t>
        </is>
      </c>
      <c r="C194" s="75" t="inlineStr">
        <is>
          <t>Mrs Omoko Onora Helen (Salem Real Estate Development</t>
        </is>
      </c>
      <c r="D194" s="75" t="inlineStr">
        <is>
          <t>Housing</t>
        </is>
      </c>
      <c r="E194" s="75" t="inlineStr">
        <is>
          <t>Pacific Apartment</t>
        </is>
      </c>
      <c r="F194" s="75" t="inlineStr">
        <is>
          <t>2 bedroom apartment | units: 1.0</t>
        </is>
      </c>
      <c r="G194" s="76" t="n">
        <v>45737</v>
      </c>
      <c r="H194" s="75" t="n">
        <v>2025</v>
      </c>
      <c r="I194" s="77" t="n">
        <v>98000000</v>
      </c>
      <c r="J194" s="77" t="n">
        <v>79725000</v>
      </c>
      <c r="K194" s="77" t="n">
        <v>18275000</v>
      </c>
      <c r="L194" s="75" t="inlineStr">
        <is>
          <t>12 months</t>
        </is>
      </c>
      <c r="M194" s="75" t="inlineStr">
        <is>
          <t>Paying</t>
        </is>
      </c>
      <c r="N194" s="75" t="n"/>
      <c r="O194" s="75" t="n"/>
      <c r="P194" s="75" t="inlineStr">
        <is>
          <t>Salem Real Estate</t>
        </is>
      </c>
      <c r="Q194" s="75" t="inlineStr">
        <is>
          <t>BAAY PROJECTS CLIENTS &gt; PACIFIC APARTMENT</t>
        </is>
      </c>
      <c r="R194" s="75" t="n">
        <v>9</v>
      </c>
      <c r="S194" s="75" t="inlineStr">
        <is>
          <t>21/03/2025</t>
        </is>
      </c>
      <c r="T194" s="75" t="n"/>
    </row>
    <row r="195" ht="25" customHeight="1">
      <c r="A195" s="78" t="inlineStr">
        <is>
          <t>SB0174</t>
        </is>
      </c>
      <c r="B195" s="78" t="inlineStr">
        <is>
          <t>BP-C0187</t>
        </is>
      </c>
      <c r="C195" s="78" t="inlineStr">
        <is>
          <t>Miss Olotu Tabitha Olamide</t>
        </is>
      </c>
      <c r="D195" s="78" t="inlineStr">
        <is>
          <t>Land</t>
        </is>
      </c>
      <c r="E195" s="78" t="inlineStr">
        <is>
          <t>Green Hillside</t>
        </is>
      </c>
      <c r="F195" s="78" t="inlineStr">
        <is>
          <t>250 SQM</t>
        </is>
      </c>
      <c r="G195" s="79" t="n">
        <v>45740</v>
      </c>
      <c r="H195" s="78" t="n">
        <v>2025</v>
      </c>
      <c r="I195" s="80" t="n">
        <v>1800000</v>
      </c>
      <c r="J195" s="80" t="n">
        <v>1800000</v>
      </c>
      <c r="K195" s="80" t="n">
        <v>0</v>
      </c>
      <c r="L195" s="78" t="inlineStr">
        <is>
          <t>3 months</t>
        </is>
      </c>
      <c r="M195" s="78" t="inlineStr">
        <is>
          <t>Bought</t>
        </is>
      </c>
      <c r="N195" s="78" t="inlineStr">
        <is>
          <t>BLOCK F, PLOT 3</t>
        </is>
      </c>
      <c r="O195" s="78" t="inlineStr">
        <is>
          <t>Collected by Client</t>
        </is>
      </c>
      <c r="P195" s="78" t="inlineStr">
        <is>
          <t>Ms Okiki (Team Ope)</t>
        </is>
      </c>
      <c r="Q195" s="78" t="inlineStr">
        <is>
          <t>BAAY PROJECTS CLIENTS &gt; GREEN HILLSIDE</t>
        </is>
      </c>
      <c r="R195" s="78" t="n">
        <v>5</v>
      </c>
      <c r="S195" s="78" t="inlineStr">
        <is>
          <t>24/03/2025</t>
        </is>
      </c>
      <c r="T195" s="78" t="n"/>
    </row>
    <row r="196" ht="25" customHeight="1">
      <c r="A196" s="75" t="inlineStr">
        <is>
          <t>SB0175</t>
        </is>
      </c>
      <c r="B196" s="75" t="inlineStr">
        <is>
          <t>BP-C0050</t>
        </is>
      </c>
      <c r="C196" s="75" t="inlineStr">
        <is>
          <t>Mr Atuanya Patrick Jideovo</t>
        </is>
      </c>
      <c r="D196" s="75" t="inlineStr">
        <is>
          <t>Land</t>
        </is>
      </c>
      <c r="E196" s="75" t="inlineStr">
        <is>
          <t>Green Hillside</t>
        </is>
      </c>
      <c r="F196" s="75" t="inlineStr">
        <is>
          <t>250 SQM</t>
        </is>
      </c>
      <c r="G196" s="76" t="n">
        <v>45742</v>
      </c>
      <c r="H196" s="75" t="n">
        <v>2025</v>
      </c>
      <c r="I196" s="77" t="n">
        <v>1800000</v>
      </c>
      <c r="J196" s="77" t="n">
        <v>1800000</v>
      </c>
      <c r="K196" s="77" t="n">
        <v>0</v>
      </c>
      <c r="L196" s="75" t="inlineStr">
        <is>
          <t>3 months</t>
        </is>
      </c>
      <c r="M196" s="75" t="inlineStr">
        <is>
          <t>Bought</t>
        </is>
      </c>
      <c r="N196" s="75" t="inlineStr">
        <is>
          <t>BLOCK F, PLOT 2</t>
        </is>
      </c>
      <c r="O196" s="75" t="inlineStr">
        <is>
          <t>Contract of sales signed</t>
        </is>
      </c>
      <c r="P196" s="75" t="inlineStr">
        <is>
          <t>Ms Yetunde</t>
        </is>
      </c>
      <c r="Q196" s="75" t="inlineStr">
        <is>
          <t>BAAY PROJECTS CLIENTS &gt; GREEN HILLSIDE</t>
        </is>
      </c>
      <c r="R196" s="75" t="n">
        <v>6</v>
      </c>
      <c r="S196" s="75" t="inlineStr">
        <is>
          <t>26/03/2025</t>
        </is>
      </c>
      <c r="T196" s="75" t="n"/>
    </row>
    <row r="197" ht="25" customHeight="1">
      <c r="A197" s="78" t="inlineStr">
        <is>
          <t>SB0176</t>
        </is>
      </c>
      <c r="B197" s="78" t="inlineStr">
        <is>
          <t>BP-C0188</t>
        </is>
      </c>
      <c r="C197" s="78" t="inlineStr">
        <is>
          <t>Mrs Kazeem Mariam Omotunde</t>
        </is>
      </c>
      <c r="D197" s="78" t="inlineStr">
        <is>
          <t>Land</t>
        </is>
      </c>
      <c r="E197" s="78" t="inlineStr">
        <is>
          <t>Green City Phase 3 Extension (Omu-Epe)</t>
        </is>
      </c>
      <c r="F197" s="78" t="inlineStr">
        <is>
          <t>500 SQM</t>
        </is>
      </c>
      <c r="G197" s="79" t="n">
        <v>45745</v>
      </c>
      <c r="H197" s="78" t="n">
        <v>2025</v>
      </c>
      <c r="I197" s="80" t="n">
        <v>3800000</v>
      </c>
      <c r="J197" s="80" t="n">
        <v>3800000</v>
      </c>
      <c r="K197" s="80" t="n">
        <v>0</v>
      </c>
      <c r="L197" s="78" t="inlineStr">
        <is>
          <t>3 months</t>
        </is>
      </c>
      <c r="M197" s="78" t="inlineStr">
        <is>
          <t>Bought</t>
        </is>
      </c>
      <c r="N197" s="78" t="inlineStr">
        <is>
          <t>BLOCK C, PLOT 1</t>
        </is>
      </c>
      <c r="O197" s="78" t="inlineStr">
        <is>
          <t>Collected by client rep</t>
        </is>
      </c>
      <c r="P197" s="78" t="inlineStr">
        <is>
          <t>Ms Samuella (Team Pelumi)</t>
        </is>
      </c>
      <c r="Q197" s="78" t="inlineStr">
        <is>
          <t>BAAY PROJECTS CLIENTS &gt; GREEN CITY PHASE 3 EXTENSION, O</t>
        </is>
      </c>
      <c r="R197" s="78" t="n">
        <v>10</v>
      </c>
      <c r="S197" s="78" t="inlineStr">
        <is>
          <t>29/03/2025</t>
        </is>
      </c>
      <c r="T197" s="78" t="n"/>
    </row>
    <row r="198" ht="25" customHeight="1">
      <c r="A198" s="75" t="inlineStr">
        <is>
          <t>SB0177</t>
        </is>
      </c>
      <c r="B198" s="75" t="inlineStr">
        <is>
          <t>BP-C0190</t>
        </is>
      </c>
      <c r="C198" s="75" t="inlineStr">
        <is>
          <t>Mr Olaiya Oluwatobi Emmanuel</t>
        </is>
      </c>
      <c r="D198" s="75" t="inlineStr">
        <is>
          <t>Land</t>
        </is>
      </c>
      <c r="E198" s="75" t="inlineStr">
        <is>
          <t>Green City Phase 3 Extension (Omu-Epe)</t>
        </is>
      </c>
      <c r="F198" s="75" t="inlineStr">
        <is>
          <t>250 SQM</t>
        </is>
      </c>
      <c r="G198" s="76" t="n">
        <v>45747</v>
      </c>
      <c r="H198" s="75" t="n">
        <v>2025</v>
      </c>
      <c r="I198" s="77" t="n">
        <v>2000000</v>
      </c>
      <c r="J198" s="77" t="n">
        <v>1700000</v>
      </c>
      <c r="K198" s="77" t="n">
        <v>300000</v>
      </c>
      <c r="L198" s="75" t="inlineStr">
        <is>
          <t>3 months</t>
        </is>
      </c>
      <c r="M198" s="75" t="inlineStr">
        <is>
          <t>Paying</t>
        </is>
      </c>
      <c r="N198" s="75" t="inlineStr">
        <is>
          <t>BLOCK C, PLOT 2</t>
        </is>
      </c>
      <c r="O198" s="75" t="inlineStr">
        <is>
          <t>Not yet Processed</t>
        </is>
      </c>
      <c r="P198" s="75" t="inlineStr">
        <is>
          <t>Ms Mayowa (Team Taiwo)</t>
        </is>
      </c>
      <c r="Q198" s="75" t="inlineStr">
        <is>
          <t>BAAY PROJECTS CLIENTS &gt; GREEN CITY PHASE 3 EXTENSION, O</t>
        </is>
      </c>
      <c r="R198" s="75" t="n">
        <v>11</v>
      </c>
      <c r="S198" s="75" t="inlineStr">
        <is>
          <t>31/03/2025</t>
        </is>
      </c>
      <c r="T198" s="75" t="n"/>
    </row>
    <row r="199" ht="25" customHeight="1">
      <c r="A199" s="78" t="inlineStr">
        <is>
          <t>SB0178</t>
        </is>
      </c>
      <c r="B199" s="78" t="inlineStr">
        <is>
          <t>BP-C0189</t>
        </is>
      </c>
      <c r="C199" s="78" t="inlineStr">
        <is>
          <t>Mr &amp; Mrs Olowodagba Ganiyu</t>
        </is>
      </c>
      <c r="D199" s="78" t="inlineStr">
        <is>
          <t>Land</t>
        </is>
      </c>
      <c r="E199" s="78" t="inlineStr">
        <is>
          <t>Green Hillside</t>
        </is>
      </c>
      <c r="F199" s="78" t="inlineStr">
        <is>
          <t>1,500 SQM</t>
        </is>
      </c>
      <c r="G199" s="79" t="n">
        <v>45747</v>
      </c>
      <c r="H199" s="78" t="n">
        <v>2025</v>
      </c>
      <c r="I199" s="80" t="n">
        <v>10200000</v>
      </c>
      <c r="J199" s="80" t="n">
        <v>10200000</v>
      </c>
      <c r="K199" s="80" t="n">
        <v>0</v>
      </c>
      <c r="L199" s="78" t="inlineStr">
        <is>
          <t>Outright Payment</t>
        </is>
      </c>
      <c r="M199" s="78" t="inlineStr">
        <is>
          <t>Bought</t>
        </is>
      </c>
      <c r="N199" s="78" t="inlineStr">
        <is>
          <t>BLOCK G, PLOT 1, 2 &amp; 3</t>
        </is>
      </c>
      <c r="O199" s="78" t="inlineStr">
        <is>
          <t>Collected by client rep</t>
        </is>
      </c>
      <c r="P199" s="78" t="inlineStr">
        <is>
          <t>Mr William Ogidan</t>
        </is>
      </c>
      <c r="Q199" s="78" t="inlineStr">
        <is>
          <t>BAAY PROJECTS CLIENTS &gt; GREEN HILLSIDE</t>
        </is>
      </c>
      <c r="R199" s="78" t="n">
        <v>8</v>
      </c>
      <c r="S199" s="78" t="inlineStr">
        <is>
          <t>31/03/2025</t>
        </is>
      </c>
      <c r="T199" s="78" t="n"/>
    </row>
    <row r="200" ht="25" customHeight="1">
      <c r="A200" s="75" t="inlineStr">
        <is>
          <t>SB0179</t>
        </is>
      </c>
      <c r="B200" s="75" t="inlineStr">
        <is>
          <t>BP-C0138</t>
        </is>
      </c>
      <c r="C200" s="75" t="inlineStr">
        <is>
          <t>Mr Olowodagba Olatunde Selim</t>
        </is>
      </c>
      <c r="D200" s="75" t="inlineStr">
        <is>
          <t>Land</t>
        </is>
      </c>
      <c r="E200" s="75" t="inlineStr">
        <is>
          <t>Green Hillside</t>
        </is>
      </c>
      <c r="F200" s="75" t="inlineStr">
        <is>
          <t>500 SQM</t>
        </is>
      </c>
      <c r="G200" s="76" t="n">
        <v>45747</v>
      </c>
      <c r="H200" s="75" t="n">
        <v>2025</v>
      </c>
      <c r="I200" s="77" t="n">
        <v>3400000</v>
      </c>
      <c r="J200" s="77" t="n">
        <v>3400000</v>
      </c>
      <c r="K200" s="77" t="n">
        <v>0</v>
      </c>
      <c r="L200" s="75" t="inlineStr">
        <is>
          <t>Outright Payment</t>
        </is>
      </c>
      <c r="M200" s="75" t="inlineStr">
        <is>
          <t>Bought</t>
        </is>
      </c>
      <c r="N200" s="75" t="inlineStr">
        <is>
          <t>BLOCK B, PLOT 7 &amp; 8</t>
        </is>
      </c>
      <c r="O200" s="75" t="inlineStr">
        <is>
          <t>Collected by client rep</t>
        </is>
      </c>
      <c r="P200" s="75" t="inlineStr">
        <is>
          <t>Mr William Ogidan</t>
        </is>
      </c>
      <c r="Q200" s="75" t="inlineStr">
        <is>
          <t>BAAY PROJECTS CLIENTS &gt; GREEN HILLSIDE</t>
        </is>
      </c>
      <c r="R200" s="75" t="n">
        <v>9</v>
      </c>
      <c r="S200" s="75" t="inlineStr">
        <is>
          <t>31/03/2025</t>
        </is>
      </c>
      <c r="T200" s="75" t="n"/>
    </row>
    <row r="201" ht="25" customHeight="1">
      <c r="A201" s="78" t="inlineStr">
        <is>
          <t>SB0180</t>
        </is>
      </c>
      <c r="B201" s="78" t="inlineStr">
        <is>
          <t>BP-C0191</t>
        </is>
      </c>
      <c r="C201" s="78" t="inlineStr">
        <is>
          <t>Mrs Oduomah Jumoke Olantun</t>
        </is>
      </c>
      <c r="D201" s="78" t="inlineStr">
        <is>
          <t>Land</t>
        </is>
      </c>
      <c r="E201" s="78" t="inlineStr">
        <is>
          <t>Green Hillside</t>
        </is>
      </c>
      <c r="F201" s="78" t="inlineStr">
        <is>
          <t>250 SQM</t>
        </is>
      </c>
      <c r="G201" s="79" t="n">
        <v>45747</v>
      </c>
      <c r="H201" s="78" t="n">
        <v>2025</v>
      </c>
      <c r="I201" s="80" t="n">
        <v>1800000</v>
      </c>
      <c r="J201" s="80" t="n">
        <v>1800000</v>
      </c>
      <c r="K201" s="80" t="n">
        <v>0</v>
      </c>
      <c r="L201" s="78" t="inlineStr">
        <is>
          <t>3 months</t>
        </is>
      </c>
      <c r="M201" s="78" t="inlineStr">
        <is>
          <t>Bought</t>
        </is>
      </c>
      <c r="N201" s="78" t="inlineStr">
        <is>
          <t>BLOCK F PLOT 1</t>
        </is>
      </c>
      <c r="O201" s="78" t="inlineStr">
        <is>
          <t>Contract of sales signed</t>
        </is>
      </c>
      <c r="P201" s="78" t="inlineStr">
        <is>
          <t>Mr Kenny Bruce</t>
        </is>
      </c>
      <c r="Q201" s="78" t="inlineStr">
        <is>
          <t>BAAY PROJECTS CLIENTS &gt; GREEN HILLSIDE</t>
        </is>
      </c>
      <c r="R201" s="78" t="n">
        <v>7</v>
      </c>
      <c r="S201" s="78" t="inlineStr">
        <is>
          <t>31/03/2025</t>
        </is>
      </c>
      <c r="T201" s="78" t="n"/>
    </row>
    <row r="202" ht="25" customHeight="1">
      <c r="A202" s="75" t="inlineStr">
        <is>
          <t>SB0181</t>
        </is>
      </c>
      <c r="B202" s="75" t="inlineStr">
        <is>
          <t>BP-C0192</t>
        </is>
      </c>
      <c r="C202" s="75" t="inlineStr">
        <is>
          <t>Dr Wilson Esangbedo</t>
        </is>
      </c>
      <c r="D202" s="75" t="inlineStr">
        <is>
          <t>Housing</t>
        </is>
      </c>
      <c r="E202" s="75" t="inlineStr">
        <is>
          <t>Pacific Apartment</t>
        </is>
      </c>
      <c r="F202" s="75" t="inlineStr">
        <is>
          <t>2 bedroom apartment | units: 1.0</t>
        </is>
      </c>
      <c r="G202" s="76" t="n">
        <v>45752</v>
      </c>
      <c r="H202" s="75" t="n">
        <v>2025</v>
      </c>
      <c r="I202" s="77" t="n">
        <v>80000000</v>
      </c>
      <c r="J202" s="77" t="n">
        <v>53000000</v>
      </c>
      <c r="K202" s="77" t="n">
        <v>27000000</v>
      </c>
      <c r="L202" s="75" t="inlineStr">
        <is>
          <t>12 months</t>
        </is>
      </c>
      <c r="M202" s="75" t="inlineStr">
        <is>
          <t>Paying</t>
        </is>
      </c>
      <c r="N202" s="75" t="n"/>
      <c r="O202" s="75" t="n"/>
      <c r="P202" s="75" t="inlineStr">
        <is>
          <t>Ms Moffat</t>
        </is>
      </c>
      <c r="Q202" s="75" t="inlineStr">
        <is>
          <t>BAAY PROJECTS CLIENTS &gt; PACIFIC APARTMENT</t>
        </is>
      </c>
      <c r="R202" s="75" t="n">
        <v>10</v>
      </c>
      <c r="S202" s="75" t="inlineStr">
        <is>
          <t>2025-05-04</t>
        </is>
      </c>
      <c r="T202" s="75" t="n"/>
    </row>
    <row r="203" ht="25" customHeight="1">
      <c r="A203" s="78" t="inlineStr">
        <is>
          <t>SB0182</t>
        </is>
      </c>
      <c r="B203" s="78" t="inlineStr">
        <is>
          <t>BP-C0194</t>
        </is>
      </c>
      <c r="C203" s="78" t="inlineStr">
        <is>
          <t>Mrs Enitan Pine</t>
        </is>
      </c>
      <c r="D203" s="78" t="inlineStr">
        <is>
          <t>Housing</t>
        </is>
      </c>
      <c r="E203" s="78" t="inlineStr">
        <is>
          <t>Pacific Apartment</t>
        </is>
      </c>
      <c r="F203" s="78" t="inlineStr">
        <is>
          <t>2 bedroom apartment | units: 1.0</t>
        </is>
      </c>
      <c r="G203" s="79" t="n">
        <v>45759</v>
      </c>
      <c r="H203" s="78" t="n">
        <v>2025</v>
      </c>
      <c r="I203" s="80" t="n">
        <v>85000000</v>
      </c>
      <c r="J203" s="80" t="n">
        <v>61100000</v>
      </c>
      <c r="K203" s="80" t="n">
        <v>23900000</v>
      </c>
      <c r="L203" s="78" t="inlineStr">
        <is>
          <t>12 months</t>
        </is>
      </c>
      <c r="M203" s="78" t="inlineStr">
        <is>
          <t>Paying</t>
        </is>
      </c>
      <c r="N203" s="78" t="n"/>
      <c r="O203" s="78" t="n"/>
      <c r="P203" s="78" t="inlineStr">
        <is>
          <t>MD</t>
        </is>
      </c>
      <c r="Q203" s="78" t="inlineStr">
        <is>
          <t>BAAY PROJECTS CLIENTS &gt; PACIFIC APARTMENT</t>
        </is>
      </c>
      <c r="R203" s="78" t="n">
        <v>11</v>
      </c>
      <c r="S203" s="78" t="inlineStr">
        <is>
          <t>2025-12-04</t>
        </is>
      </c>
      <c r="T203" s="78" t="n"/>
    </row>
    <row r="204" ht="25" customHeight="1">
      <c r="A204" s="75" t="inlineStr">
        <is>
          <t>SB0183</t>
        </is>
      </c>
      <c r="B204" s="75" t="inlineStr">
        <is>
          <t>BP-C0195</t>
        </is>
      </c>
      <c r="C204" s="75" t="inlineStr">
        <is>
          <t>Mr Haruna Adekunle Waheed</t>
        </is>
      </c>
      <c r="D204" s="75" t="inlineStr">
        <is>
          <t>Land</t>
        </is>
      </c>
      <c r="E204" s="75" t="inlineStr">
        <is>
          <t>Green City Phase 3 (Omu-Epe)</t>
        </is>
      </c>
      <c r="F204" s="75" t="inlineStr">
        <is>
          <t>500SQM</t>
        </is>
      </c>
      <c r="G204" s="76" t="n">
        <v>45792</v>
      </c>
      <c r="H204" s="75" t="n">
        <v>2025</v>
      </c>
      <c r="I204" s="77" t="n">
        <v>7500000</v>
      </c>
      <c r="J204" s="77" t="n">
        <v>7500000</v>
      </c>
      <c r="K204" s="77" t="n">
        <v>0</v>
      </c>
      <c r="L204" s="75" t="inlineStr">
        <is>
          <t>3 months</t>
        </is>
      </c>
      <c r="M204" s="75" t="inlineStr">
        <is>
          <t>Bought</t>
        </is>
      </c>
      <c r="N204" s="75" t="inlineStr">
        <is>
          <t>BLOCK G, PLOT 13</t>
        </is>
      </c>
      <c r="O204" s="75" t="inlineStr">
        <is>
          <t>Contract of Sales signed.</t>
        </is>
      </c>
      <c r="P204" s="75" t="inlineStr">
        <is>
          <t>Ms Abimbola</t>
        </is>
      </c>
      <c r="Q204" s="75" t="inlineStr">
        <is>
          <t>BAAY PROJECTS CLIENTS &gt; GREEN CITY PHASE 3, OMU EPE</t>
        </is>
      </c>
      <c r="R204" s="75" t="n">
        <v>36</v>
      </c>
      <c r="S204" s="75" t="inlineStr">
        <is>
          <t>15/05/2025</t>
        </is>
      </c>
      <c r="T204" s="75" t="n"/>
    </row>
    <row r="205" ht="25" customHeight="1">
      <c r="A205" s="78" t="inlineStr">
        <is>
          <t>SB0184</t>
        </is>
      </c>
      <c r="B205" s="78" t="inlineStr">
        <is>
          <t>BP-C0196</t>
        </is>
      </c>
      <c r="C205" s="78" t="inlineStr">
        <is>
          <t>Mr Agbim Ikechukwu Godson</t>
        </is>
      </c>
      <c r="D205" s="78" t="inlineStr">
        <is>
          <t>Land</t>
        </is>
      </c>
      <c r="E205" s="78" t="inlineStr">
        <is>
          <t>Green City Phase 1 (Lantaba, Ketu-Epe)</t>
        </is>
      </c>
      <c r="F205" s="78" t="inlineStr">
        <is>
          <t>300SQM</t>
        </is>
      </c>
      <c r="G205" s="79" t="n">
        <v>45819</v>
      </c>
      <c r="H205" s="78" t="n">
        <v>2025</v>
      </c>
      <c r="I205" s="80" t="n">
        <v>4620000</v>
      </c>
      <c r="J205" s="80" t="n">
        <v>4620000</v>
      </c>
      <c r="K205" s="80" t="n">
        <v>0</v>
      </c>
      <c r="L205" s="78" t="inlineStr">
        <is>
          <t>3months</t>
        </is>
      </c>
      <c r="M205" s="78" t="inlineStr">
        <is>
          <t>bought</t>
        </is>
      </c>
      <c r="N205" s="78" t="inlineStr">
        <is>
          <t>BLOCK E 1B</t>
        </is>
      </c>
      <c r="O205" s="78" t="inlineStr">
        <is>
          <t>Contract of Sales signed</t>
        </is>
      </c>
      <c r="P205" s="78" t="inlineStr">
        <is>
          <t>Ms Abimbola</t>
        </is>
      </c>
      <c r="Q205" s="78" t="inlineStr">
        <is>
          <t>BAAY PROJECTS CLIENTS &gt; GREEN CITY KETU 1 INVESTORS LIS</t>
        </is>
      </c>
      <c r="R205" s="78" t="n">
        <v>49</v>
      </c>
      <c r="S205" s="78" t="inlineStr">
        <is>
          <t>2025-11-06</t>
        </is>
      </c>
      <c r="T205" s="78" t="n"/>
    </row>
    <row r="206" ht="25" customHeight="1">
      <c r="A206" s="75" t="inlineStr">
        <is>
          <t>SB0185</t>
        </is>
      </c>
      <c r="B206" s="75" t="inlineStr">
        <is>
          <t>BP-C0197</t>
        </is>
      </c>
      <c r="C206" s="75" t="inlineStr">
        <is>
          <t>Miss Awonorin Oluwamayowa Aduragbemi</t>
        </is>
      </c>
      <c r="D206" s="75" t="inlineStr">
        <is>
          <t>Land</t>
        </is>
      </c>
      <c r="E206" s="75" t="inlineStr">
        <is>
          <t>Green City Ibadan (Akinyele-Moniya)</t>
        </is>
      </c>
      <c r="F206" s="75" t="inlineStr">
        <is>
          <t>250SQM</t>
        </is>
      </c>
      <c r="G206" s="76" t="n">
        <v>45835</v>
      </c>
      <c r="H206" s="75" t="n">
        <v>2025</v>
      </c>
      <c r="I206" s="77" t="n">
        <v>1350000</v>
      </c>
      <c r="J206" s="77" t="n">
        <v>1350000</v>
      </c>
      <c r="K206" s="77" t="n">
        <v>0</v>
      </c>
      <c r="L206" s="75" t="inlineStr">
        <is>
          <t>3 months</t>
        </is>
      </c>
      <c r="M206" s="75" t="inlineStr">
        <is>
          <t>Bought</t>
        </is>
      </c>
      <c r="N206" s="75" t="inlineStr">
        <is>
          <t>BLOCK F, PLOT 2</t>
        </is>
      </c>
      <c r="O206" s="75" t="inlineStr">
        <is>
          <t>Contract of Sale signed</t>
        </is>
      </c>
      <c r="P206" s="75" t="inlineStr">
        <is>
          <t>MD</t>
        </is>
      </c>
      <c r="Q206" s="75" t="inlineStr">
        <is>
          <t>BAAY PROJECTS CLIENTS &gt; GREEN CITY IBADAN, AKINYELE-MON</t>
        </is>
      </c>
      <c r="R206" s="75" t="n">
        <v>10</v>
      </c>
      <c r="S206" s="75" t="inlineStr">
        <is>
          <t>27/06/2025</t>
        </is>
      </c>
      <c r="T206" s="75" t="n"/>
    </row>
    <row r="207" ht="25" customHeight="1">
      <c r="A207" s="78" t="inlineStr">
        <is>
          <t>SB0186</t>
        </is>
      </c>
      <c r="B207" s="78" t="inlineStr">
        <is>
          <t>BP-C0198</t>
        </is>
      </c>
      <c r="C207" s="78" t="inlineStr">
        <is>
          <t>Mr Akinruntan Adeyinka Benson</t>
        </is>
      </c>
      <c r="D207" s="78" t="inlineStr">
        <is>
          <t>Land</t>
        </is>
      </c>
      <c r="E207" s="78" t="inlineStr">
        <is>
          <t>Green Hillside</t>
        </is>
      </c>
      <c r="F207" s="78" t="inlineStr">
        <is>
          <t>250 SQM</t>
        </is>
      </c>
      <c r="G207" s="79" t="n">
        <v>45854</v>
      </c>
      <c r="H207" s="78" t="n">
        <v>2025</v>
      </c>
      <c r="I207" s="80" t="n">
        <v>2500000</v>
      </c>
      <c r="J207" s="80" t="n">
        <v>2500000</v>
      </c>
      <c r="K207" s="80" t="n">
        <v>0</v>
      </c>
      <c r="L207" s="78" t="inlineStr">
        <is>
          <t>Outright Payment</t>
        </is>
      </c>
      <c r="M207" s="78" t="inlineStr">
        <is>
          <t>Bought</t>
        </is>
      </c>
      <c r="N207" s="78" t="n"/>
      <c r="O207" s="78" t="inlineStr">
        <is>
          <t>Not Yet Prepared</t>
        </is>
      </c>
      <c r="P207" s="78" t="inlineStr">
        <is>
          <t>Ms Praise</t>
        </is>
      </c>
      <c r="Q207" s="78" t="inlineStr">
        <is>
          <t>BAAY PROJECTS CLIENTS &gt; GREEN HILLSIDE</t>
        </is>
      </c>
      <c r="R207" s="78" t="n">
        <v>10</v>
      </c>
      <c r="S207" s="78" t="inlineStr">
        <is>
          <t>16/07/2025</t>
        </is>
      </c>
      <c r="T207" s="78" t="n"/>
    </row>
    <row r="208" ht="25" customHeight="1">
      <c r="A208" s="75" t="inlineStr">
        <is>
          <t>SB0187</t>
        </is>
      </c>
      <c r="B208" s="75" t="inlineStr">
        <is>
          <t>BP-C0201</t>
        </is>
      </c>
      <c r="C208" s="75" t="inlineStr">
        <is>
          <t>Landnest Homes and Properties (Mrs. Abimbola)</t>
        </is>
      </c>
      <c r="D208" s="75" t="inlineStr">
        <is>
          <t>Housing</t>
        </is>
      </c>
      <c r="E208" s="75" t="inlineStr">
        <is>
          <t>Baay Foreshore</t>
        </is>
      </c>
      <c r="F208" s="75" t="inlineStr">
        <is>
          <t>3 BEDROOM BUNGALOW</t>
        </is>
      </c>
      <c r="G208" s="76" t="n">
        <v>45860</v>
      </c>
      <c r="H208" s="75" t="n">
        <v>2025</v>
      </c>
      <c r="I208" s="77" t="n">
        <v>40100000</v>
      </c>
      <c r="J208" s="77" t="n">
        <v>8830000</v>
      </c>
      <c r="K208" s="77" t="n">
        <v>31270000</v>
      </c>
      <c r="L208" s="75" t="inlineStr">
        <is>
          <t>6 MONTHS</t>
        </is>
      </c>
      <c r="M208" s="75" t="inlineStr">
        <is>
          <t>Paying</t>
        </is>
      </c>
      <c r="N208" s="75" t="n"/>
      <c r="O208" s="75" t="n"/>
      <c r="P208" s="75" t="inlineStr">
        <is>
          <t>Landnest</t>
        </is>
      </c>
      <c r="Q208" s="75" t="inlineStr">
        <is>
          <t>BAAY PROJECTS CLIENTS &gt; BAAY FORESHORE + Foreshore financials sheet</t>
        </is>
      </c>
      <c r="R208" s="75" t="n">
        <v>7</v>
      </c>
      <c r="S208" s="75" t="inlineStr">
        <is>
          <t>22/07/2025</t>
        </is>
      </c>
      <c r="T208" s="75" t="n"/>
    </row>
    <row r="209" ht="25" customHeight="1">
      <c r="A209" s="78" t="inlineStr">
        <is>
          <t>SB0188</t>
        </is>
      </c>
      <c r="B209" s="78" t="inlineStr">
        <is>
          <t>BP-C0202</t>
        </is>
      </c>
      <c r="C209" s="78" t="inlineStr">
        <is>
          <t>Miss Yesher Yakubu &amp; Miss Hadassah Yakubu</t>
        </is>
      </c>
      <c r="D209" s="78" t="inlineStr">
        <is>
          <t>Housing</t>
        </is>
      </c>
      <c r="E209" s="78" t="inlineStr">
        <is>
          <t>Pacific Apartment</t>
        </is>
      </c>
      <c r="F209" s="78" t="inlineStr">
        <is>
          <t>2 bedroomwith a BQ | units: 1.0</t>
        </is>
      </c>
      <c r="G209" s="79" t="n">
        <v>45862</v>
      </c>
      <c r="H209" s="78" t="n">
        <v>2025</v>
      </c>
      <c r="I209" s="80" t="n">
        <v>112500000</v>
      </c>
      <c r="J209" s="80" t="n">
        <v>112500000</v>
      </c>
      <c r="K209" s="80" t="n">
        <v>0</v>
      </c>
      <c r="L209" s="78" t="inlineStr">
        <is>
          <t>3 months</t>
        </is>
      </c>
      <c r="M209" s="78" t="inlineStr">
        <is>
          <t>COMPLETED</t>
        </is>
      </c>
      <c r="N209" s="78" t="n"/>
      <c r="O209" s="78" t="n"/>
      <c r="P209" s="78" t="inlineStr">
        <is>
          <t>Ms Moffat</t>
        </is>
      </c>
      <c r="Q209" s="78" t="inlineStr">
        <is>
          <t>BAAY PROJECTS CLIENTS &gt; PACIFIC APARTMENT</t>
        </is>
      </c>
      <c r="R209" s="78" t="n">
        <v>13</v>
      </c>
      <c r="S209" s="78" t="inlineStr">
        <is>
          <t>24/07/2025</t>
        </is>
      </c>
      <c r="T209" s="78" t="n"/>
    </row>
    <row r="210" ht="25" customHeight="1">
      <c r="A210" s="75" t="inlineStr">
        <is>
          <t>SB0189</t>
        </is>
      </c>
      <c r="B210" s="75" t="inlineStr">
        <is>
          <t>BP-C0203</t>
        </is>
      </c>
      <c r="C210" s="75" t="inlineStr">
        <is>
          <t>Mr Ogbomah Ebi Wilfred</t>
        </is>
      </c>
      <c r="D210" s="75" t="inlineStr">
        <is>
          <t>Housing</t>
        </is>
      </c>
      <c r="E210" s="75" t="inlineStr">
        <is>
          <t>Pacific Apartment</t>
        </is>
      </c>
      <c r="F210" s="75" t="inlineStr">
        <is>
          <t>2 bedroom with a BQ | units: 1.0</t>
        </is>
      </c>
      <c r="G210" s="76" t="n">
        <v>45862</v>
      </c>
      <c r="H210" s="75" t="n">
        <v>2025</v>
      </c>
      <c r="I210" s="77" t="n">
        <v>112500000</v>
      </c>
      <c r="J210" s="77" t="n">
        <v>112500000</v>
      </c>
      <c r="K210" s="77" t="n">
        <v>0</v>
      </c>
      <c r="L210" s="75" t="inlineStr">
        <is>
          <t>3 months</t>
        </is>
      </c>
      <c r="M210" s="75" t="inlineStr">
        <is>
          <t>COMPLETED</t>
        </is>
      </c>
      <c r="N210" s="75" t="n"/>
      <c r="O210" s="75" t="n"/>
      <c r="P210" s="75" t="inlineStr">
        <is>
          <t>Ms Moffat</t>
        </is>
      </c>
      <c r="Q210" s="75" t="inlineStr">
        <is>
          <t>BAAY PROJECTS CLIENTS &gt; PACIFIC APARTMENT</t>
        </is>
      </c>
      <c r="R210" s="75" t="n">
        <v>12</v>
      </c>
      <c r="S210" s="75" t="inlineStr">
        <is>
          <t>24/07/2025</t>
        </is>
      </c>
      <c r="T210" s="75" t="n"/>
    </row>
    <row r="211" ht="25" customHeight="1">
      <c r="A211" s="78" t="inlineStr">
        <is>
          <t>SB0190</t>
        </is>
      </c>
      <c r="B211" s="78" t="inlineStr">
        <is>
          <t>BP-C0204</t>
        </is>
      </c>
      <c r="C211" s="78" t="inlineStr">
        <is>
          <t>Mr Akinjogunla Isaac Ogooluwa</t>
        </is>
      </c>
      <c r="D211" s="78" t="inlineStr">
        <is>
          <t>Housing</t>
        </is>
      </c>
      <c r="E211" s="78" t="inlineStr">
        <is>
          <t>Pacific Apartment</t>
        </is>
      </c>
      <c r="F211" s="78" t="inlineStr">
        <is>
          <t>2 bedroom with a BQ | units: 1.0</t>
        </is>
      </c>
      <c r="G211" s="79" t="n">
        <v>45863</v>
      </c>
      <c r="H211" s="78" t="n">
        <v>2025</v>
      </c>
      <c r="I211" s="80" t="n">
        <v>138000000</v>
      </c>
      <c r="J211" s="80" t="n">
        <v>60000000</v>
      </c>
      <c r="K211" s="80" t="n">
        <v>78000000</v>
      </c>
      <c r="L211" s="78" t="inlineStr">
        <is>
          <t>12 months</t>
        </is>
      </c>
      <c r="M211" s="78" t="inlineStr">
        <is>
          <t>Paying</t>
        </is>
      </c>
      <c r="N211" s="78" t="n"/>
      <c r="O211" s="78" t="n"/>
      <c r="P211" s="78" t="inlineStr">
        <is>
          <t>Ms Moffat</t>
        </is>
      </c>
      <c r="Q211" s="78" t="inlineStr">
        <is>
          <t>BAAY PROJECTS CLIENTS &gt; PACIFIC APARTMENT</t>
        </is>
      </c>
      <c r="R211" s="78" t="n">
        <v>14</v>
      </c>
      <c r="S211" s="78" t="inlineStr">
        <is>
          <t>25/07/2025</t>
        </is>
      </c>
      <c r="T211" s="78" t="n"/>
    </row>
    <row r="212" ht="25" customHeight="1">
      <c r="A212" s="75" t="inlineStr">
        <is>
          <t>SB0191</t>
        </is>
      </c>
      <c r="B212" s="75" t="inlineStr">
        <is>
          <t>BP-C0200</t>
        </is>
      </c>
      <c r="C212" s="75" t="inlineStr">
        <is>
          <t>Landnest Homes and Properties (Dr. Oladeji Ifeoluwa)</t>
        </is>
      </c>
      <c r="D212" s="75" t="inlineStr">
        <is>
          <t>Housing</t>
        </is>
      </c>
      <c r="E212" s="75" t="inlineStr">
        <is>
          <t>Baay Foreshore</t>
        </is>
      </c>
      <c r="F212" s="75" t="inlineStr">
        <is>
          <t>3 BEDROOM BUNGALOW</t>
        </is>
      </c>
      <c r="G212" s="76" t="n">
        <v>45864</v>
      </c>
      <c r="H212" s="75" t="n">
        <v>2025</v>
      </c>
      <c r="I212" s="77" t="n">
        <v>40100000</v>
      </c>
      <c r="J212" s="77" t="n">
        <v>5000000</v>
      </c>
      <c r="K212" s="77" t="n">
        <v>35100000</v>
      </c>
      <c r="L212" s="75" t="inlineStr">
        <is>
          <t>6 MONTHS</t>
        </is>
      </c>
      <c r="M212" s="75" t="inlineStr">
        <is>
          <t>Paying</t>
        </is>
      </c>
      <c r="N212" s="75" t="n"/>
      <c r="O212" s="75" t="n"/>
      <c r="P212" s="75" t="inlineStr">
        <is>
          <t>Landnest</t>
        </is>
      </c>
      <c r="Q212" s="75" t="inlineStr">
        <is>
          <t>BAAY PROJECTS CLIENTS &gt; BAAY FORESHORE + Foreshore financials sheet</t>
        </is>
      </c>
      <c r="R212" s="75" t="n">
        <v>5</v>
      </c>
      <c r="S212" s="75" t="inlineStr">
        <is>
          <t>26/07/2025</t>
        </is>
      </c>
      <c r="T212" s="75" t="n"/>
    </row>
    <row r="213" ht="25" customHeight="1">
      <c r="A213" s="78" t="inlineStr">
        <is>
          <t>SB0192</t>
        </is>
      </c>
      <c r="B213" s="78" t="inlineStr">
        <is>
          <t>BP-C0206</t>
        </is>
      </c>
      <c r="C213" s="78" t="inlineStr">
        <is>
          <t>Landnest Homes and Properties(Mrs. Beatrice)</t>
        </is>
      </c>
      <c r="D213" s="78" t="inlineStr">
        <is>
          <t>Housing</t>
        </is>
      </c>
      <c r="E213" s="78" t="inlineStr">
        <is>
          <t>Baay Foreshore</t>
        </is>
      </c>
      <c r="F213" s="78" t="inlineStr">
        <is>
          <t>3 BEDROOM BUNGALOW</t>
        </is>
      </c>
      <c r="G213" s="79" t="n">
        <v>45864</v>
      </c>
      <c r="H213" s="78" t="n">
        <v>2025</v>
      </c>
      <c r="I213" s="80" t="n">
        <v>40100000</v>
      </c>
      <c r="J213" s="80" t="n">
        <v>23000000</v>
      </c>
      <c r="K213" s="80" t="n">
        <v>17100000</v>
      </c>
      <c r="L213" s="78" t="inlineStr">
        <is>
          <t>6 MONTHS</t>
        </is>
      </c>
      <c r="M213" s="78" t="inlineStr">
        <is>
          <t>Paying</t>
        </is>
      </c>
      <c r="N213" s="78" t="n"/>
      <c r="O213" s="78" t="n"/>
      <c r="P213" s="78" t="inlineStr">
        <is>
          <t>Landnest</t>
        </is>
      </c>
      <c r="Q213" s="78" t="inlineStr">
        <is>
          <t>BAAY PROJECTS CLIENTS &gt; BAAY FORESHORE + Foreshore financials sheet</t>
        </is>
      </c>
      <c r="R213" s="78" t="n">
        <v>4</v>
      </c>
      <c r="S213" s="78" t="inlineStr">
        <is>
          <t>26/07/2025</t>
        </is>
      </c>
      <c r="T213" s="78" t="n"/>
    </row>
    <row r="214" ht="25" customHeight="1">
      <c r="A214" s="75" t="inlineStr">
        <is>
          <t>SB0193</t>
        </is>
      </c>
      <c r="B214" s="75" t="inlineStr">
        <is>
          <t>BP-C0208</t>
        </is>
      </c>
      <c r="C214" s="75" t="inlineStr">
        <is>
          <t>Landnest Homes and Properties (Dr, Olusola Areo)</t>
        </is>
      </c>
      <c r="D214" s="75" t="inlineStr">
        <is>
          <t>Housing</t>
        </is>
      </c>
      <c r="E214" s="75" t="inlineStr">
        <is>
          <t>Baay Foreshore</t>
        </is>
      </c>
      <c r="F214" s="75" t="inlineStr">
        <is>
          <t>3 BEDROOM BUNGALOW</t>
        </is>
      </c>
      <c r="G214" s="76" t="n">
        <v>45867</v>
      </c>
      <c r="H214" s="75" t="n">
        <v>2025</v>
      </c>
      <c r="I214" s="77" t="n">
        <v>40100000</v>
      </c>
      <c r="J214" s="77" t="n">
        <v>5000000</v>
      </c>
      <c r="K214" s="77" t="n">
        <v>35100000</v>
      </c>
      <c r="L214" s="75" t="inlineStr">
        <is>
          <t>6 MONTHS</t>
        </is>
      </c>
      <c r="M214" s="75" t="inlineStr">
        <is>
          <t>Paying</t>
        </is>
      </c>
      <c r="N214" s="75" t="n"/>
      <c r="O214" s="75" t="n"/>
      <c r="P214" s="75" t="inlineStr">
        <is>
          <t>Landnest</t>
        </is>
      </c>
      <c r="Q214" s="75" t="inlineStr">
        <is>
          <t>BAAY PROJECTS CLIENTS &gt; BAAY FORESHORE + Foreshore financials sheet</t>
        </is>
      </c>
      <c r="R214" s="75" t="n">
        <v>6</v>
      </c>
      <c r="S214" s="75" t="inlineStr">
        <is>
          <t>29/07/2025</t>
        </is>
      </c>
      <c r="T214" s="75" t="n"/>
    </row>
    <row r="215" ht="25" customHeight="1">
      <c r="A215" s="78" t="inlineStr">
        <is>
          <t>SB0194</t>
        </is>
      </c>
      <c r="B215" s="78" t="inlineStr">
        <is>
          <t>BP-C0209</t>
        </is>
      </c>
      <c r="C215" s="78" t="inlineStr">
        <is>
          <t>Landnest Homes and Properties(Mrs. Lukoh)</t>
        </is>
      </c>
      <c r="D215" s="78" t="inlineStr">
        <is>
          <t>Housing</t>
        </is>
      </c>
      <c r="E215" s="78" t="inlineStr">
        <is>
          <t>Baay Foreshore</t>
        </is>
      </c>
      <c r="F215" s="78" t="inlineStr">
        <is>
          <t>3 BEDROOM BUNGALOW</t>
        </is>
      </c>
      <c r="G215" s="79" t="n">
        <v>45867</v>
      </c>
      <c r="H215" s="78" t="n">
        <v>2025</v>
      </c>
      <c r="I215" s="80" t="n">
        <v>37000000</v>
      </c>
      <c r="J215" s="80" t="n">
        <v>37000000</v>
      </c>
      <c r="K215" s="80" t="n">
        <v>0</v>
      </c>
      <c r="L215" s="78" t="inlineStr">
        <is>
          <t>3 MONTHS</t>
        </is>
      </c>
      <c r="M215" s="78" t="inlineStr">
        <is>
          <t>Paid</t>
        </is>
      </c>
      <c r="N215" s="78" t="n"/>
      <c r="O215" s="78" t="n"/>
      <c r="P215" s="78" t="inlineStr">
        <is>
          <t>Landnest</t>
        </is>
      </c>
      <c r="Q215" s="78" t="inlineStr">
        <is>
          <t>BAAY PROJECTS CLIENTS &gt; BAAY FORESHORE + Foreshore financials sheet</t>
        </is>
      </c>
      <c r="R215" s="78" t="n">
        <v>3</v>
      </c>
      <c r="S215" s="78" t="inlineStr">
        <is>
          <t>29/07/2025</t>
        </is>
      </c>
      <c r="T215" s="78" t="n"/>
    </row>
    <row r="216" ht="25" customHeight="1">
      <c r="A216" s="75" t="inlineStr">
        <is>
          <t>SB0195</t>
        </is>
      </c>
      <c r="B216" s="75" t="inlineStr">
        <is>
          <t>BP-C0055</t>
        </is>
      </c>
      <c r="C216" s="75" t="inlineStr">
        <is>
          <t>Mr. Adeniji Oluwatosin Ademola</t>
        </is>
      </c>
      <c r="D216" s="75" t="inlineStr">
        <is>
          <t>Housing</t>
        </is>
      </c>
      <c r="E216" s="75" t="inlineStr">
        <is>
          <t>Baay Foreshore</t>
        </is>
      </c>
      <c r="F216" s="75" t="inlineStr">
        <is>
          <t>2 BEDROOM BUNGALOW</t>
        </is>
      </c>
      <c r="G216" s="76" t="n">
        <v>45875</v>
      </c>
      <c r="H216" s="75" t="n">
        <v>2025</v>
      </c>
      <c r="I216" s="77" t="n">
        <v>34000000</v>
      </c>
      <c r="J216" s="77" t="n">
        <v>30000000</v>
      </c>
      <c r="K216" s="77" t="n">
        <v>4000000</v>
      </c>
      <c r="L216" s="75" t="inlineStr">
        <is>
          <t>12 MONTHS</t>
        </is>
      </c>
      <c r="M216" s="75" t="inlineStr">
        <is>
          <t>Paying</t>
        </is>
      </c>
      <c r="N216" s="75" t="n"/>
      <c r="O216" s="75" t="n"/>
      <c r="P216" s="75" t="inlineStr">
        <is>
          <t>Ms. Tijani Bolanle</t>
        </is>
      </c>
      <c r="Q216" s="75" t="inlineStr">
        <is>
          <t>BAAY PROJECTS CLIENTS &gt; BAAY FORESHORE + Foreshore financials sheet</t>
        </is>
      </c>
      <c r="R216" s="75" t="n">
        <v>2</v>
      </c>
      <c r="S216" s="75" t="inlineStr">
        <is>
          <t>06/08/2025</t>
        </is>
      </c>
      <c r="T216" s="75" t="n"/>
    </row>
    <row r="217" ht="25" customHeight="1">
      <c r="A217" s="78" t="inlineStr">
        <is>
          <t>SB0196</t>
        </is>
      </c>
      <c r="B217" s="78" t="inlineStr">
        <is>
          <t>BP-C0158</t>
        </is>
      </c>
      <c r="C217" s="78" t="inlineStr">
        <is>
          <t>Mr. Shino Precious Vincent</t>
        </is>
      </c>
      <c r="D217" s="78" t="inlineStr">
        <is>
          <t>Land</t>
        </is>
      </c>
      <c r="E217" s="78" t="inlineStr">
        <is>
          <t>Heritage Garden</t>
        </is>
      </c>
      <c r="F217" s="78" t="inlineStr">
        <is>
          <t>250sqm</t>
        </is>
      </c>
      <c r="G217" s="79" t="n">
        <v>45881</v>
      </c>
      <c r="H217" s="78" t="n">
        <v>2025</v>
      </c>
      <c r="I217" s="80" t="n">
        <v>1300000</v>
      </c>
      <c r="J217" s="80" t="n">
        <v>1300000</v>
      </c>
      <c r="K217" s="80" t="n">
        <v>0</v>
      </c>
      <c r="L217" s="78" t="inlineStr">
        <is>
          <t>One time</t>
        </is>
      </c>
      <c r="M217" s="78" t="inlineStr">
        <is>
          <t>Bought</t>
        </is>
      </c>
      <c r="N217" s="78" t="n"/>
      <c r="O217" s="78" t="inlineStr">
        <is>
          <t>Contract of Sales Signed</t>
        </is>
      </c>
      <c r="P217" s="78" t="inlineStr">
        <is>
          <t>Adeoye Daniel</t>
        </is>
      </c>
      <c r="Q217" s="78" t="inlineStr">
        <is>
          <t>BAAY PROJECTS CLIENTS &gt; HERITAGE GARDEN</t>
        </is>
      </c>
      <c r="R217" s="78" t="n">
        <v>14</v>
      </c>
      <c r="S217" s="78" t="inlineStr">
        <is>
          <t>2025-12-08</t>
        </is>
      </c>
      <c r="T217" s="78" t="n"/>
    </row>
    <row r="218" ht="25" customHeight="1">
      <c r="A218" s="75" t="inlineStr">
        <is>
          <t>SB0197</t>
        </is>
      </c>
      <c r="B218" s="75" t="inlineStr">
        <is>
          <t>BP-C0124</t>
        </is>
      </c>
      <c r="C218" s="75" t="inlineStr">
        <is>
          <t>Miss Thomas Oluwabukola Comfort</t>
        </is>
      </c>
      <c r="D218" s="75" t="inlineStr">
        <is>
          <t>Land</t>
        </is>
      </c>
      <c r="E218" s="75" t="inlineStr">
        <is>
          <t>Green City Phase 3 Extension (Omu-Epe)</t>
        </is>
      </c>
      <c r="F218" s="75" t="inlineStr">
        <is>
          <t>25O SQM</t>
        </is>
      </c>
      <c r="G218" s="76" t="n">
        <v>45883</v>
      </c>
      <c r="H218" s="75" t="n">
        <v>2025</v>
      </c>
      <c r="I218" s="77" t="n">
        <v>2500000</v>
      </c>
      <c r="J218" s="77" t="n">
        <v>2500000</v>
      </c>
      <c r="K218" s="77" t="n">
        <v>0</v>
      </c>
      <c r="L218" s="75" t="inlineStr">
        <is>
          <t>One time payment</t>
        </is>
      </c>
      <c r="M218" s="75" t="inlineStr">
        <is>
          <t>Bought</t>
        </is>
      </c>
      <c r="N218" s="75" t="inlineStr">
        <is>
          <t>BLOCK F, PLOT 5</t>
        </is>
      </c>
      <c r="O218" s="75" t="inlineStr">
        <is>
          <t>Collected by client</t>
        </is>
      </c>
      <c r="P218" s="75" t="inlineStr">
        <is>
          <t>Mr. Ezekiel</t>
        </is>
      </c>
      <c r="Q218" s="75" t="inlineStr">
        <is>
          <t>BAAY PROJECTS CLIENTS &gt; GREEN CITY PHASE 3 EXTENSION, O</t>
        </is>
      </c>
      <c r="R218" s="75" t="n">
        <v>12</v>
      </c>
      <c r="S218" s="75" t="inlineStr">
        <is>
          <t>14/08/2025</t>
        </is>
      </c>
      <c r="T218" s="75" t="n"/>
    </row>
    <row r="219" ht="25" customHeight="1">
      <c r="A219" s="78" t="inlineStr">
        <is>
          <t>SB0198</t>
        </is>
      </c>
      <c r="B219" s="78" t="inlineStr">
        <is>
          <t>BP-C0211</t>
        </is>
      </c>
      <c r="C219" s="78" t="inlineStr">
        <is>
          <t>Landnest Homes &amp; Properties (Mrs Abiodun Ayomipo Hannah)</t>
        </is>
      </c>
      <c r="D219" s="78" t="inlineStr">
        <is>
          <t>Housing</t>
        </is>
      </c>
      <c r="E219" s="78" t="inlineStr">
        <is>
          <t>Baay Foreshore</t>
        </is>
      </c>
      <c r="F219" s="78" t="inlineStr">
        <is>
          <t>3 BEDROOM BUNGALOW</t>
        </is>
      </c>
      <c r="G219" s="79" t="n">
        <v>45888</v>
      </c>
      <c r="H219" s="78" t="n">
        <v>2025</v>
      </c>
      <c r="I219" s="80" t="n">
        <v>40100000</v>
      </c>
      <c r="J219" s="80" t="n">
        <v>20000000</v>
      </c>
      <c r="K219" s="80" t="n">
        <v>20100000</v>
      </c>
      <c r="L219" s="78" t="inlineStr">
        <is>
          <t>6 MONTHS</t>
        </is>
      </c>
      <c r="M219" s="78" t="inlineStr">
        <is>
          <t>Paying</t>
        </is>
      </c>
      <c r="N219" s="78" t="n"/>
      <c r="O219" s="78" t="n"/>
      <c r="P219" s="78" t="n"/>
      <c r="Q219" s="78" t="inlineStr">
        <is>
          <t>BAAY FORESHORE, IBADAN EXPENSES, SUBSCRIBERS &amp; FINANCIALS &gt; BAAY FORESHORE, IBADAN ... FINANCIALS: REVENUE/FINACIALS BY SUBSCRIBERS</t>
        </is>
      </c>
      <c r="R219" s="78" t="n">
        <v>9</v>
      </c>
      <c r="S219" s="78" t="inlineStr">
        <is>
          <t>19/08/2025</t>
        </is>
      </c>
      <c r="T219" s="78" t="n"/>
    </row>
    <row r="220" ht="25" customHeight="1">
      <c r="A220" s="75" t="inlineStr">
        <is>
          <t>SB0199</t>
        </is>
      </c>
      <c r="B220" s="75" t="inlineStr">
        <is>
          <t>BP-C0212</t>
        </is>
      </c>
      <c r="C220" s="75" t="inlineStr">
        <is>
          <t>Landnest Homes and Properties (Mrs. Ayomiposi)</t>
        </is>
      </c>
      <c r="D220" s="75" t="inlineStr">
        <is>
          <t>Housing</t>
        </is>
      </c>
      <c r="E220" s="75" t="inlineStr">
        <is>
          <t>Baay Foreshore</t>
        </is>
      </c>
      <c r="F220" s="75" t="inlineStr">
        <is>
          <t>units: 3 bedroom bungalow</t>
        </is>
      </c>
      <c r="G220" s="76" t="n">
        <v>45888</v>
      </c>
      <c r="H220" s="75" t="n">
        <v>2025</v>
      </c>
      <c r="I220" s="77" t="n">
        <v>40100000</v>
      </c>
      <c r="J220" s="77" t="n">
        <v>20000000</v>
      </c>
      <c r="K220" s="77" t="n">
        <v>20100000</v>
      </c>
      <c r="L220" s="75" t="inlineStr">
        <is>
          <t>6 months</t>
        </is>
      </c>
      <c r="M220" s="75" t="inlineStr">
        <is>
          <t>Paying</t>
        </is>
      </c>
      <c r="N220" s="75" t="n"/>
      <c r="O220" s="75" t="n"/>
      <c r="P220" s="75" t="inlineStr">
        <is>
          <t>Landnest</t>
        </is>
      </c>
      <c r="Q220" s="75" t="inlineStr">
        <is>
          <t>BAAY PROJECTS CLIENTS &gt; BAAY FORESHORE</t>
        </is>
      </c>
      <c r="R220" s="75" t="n">
        <v>8</v>
      </c>
      <c r="S220" s="75" t="inlineStr">
        <is>
          <t>19/08/2025</t>
        </is>
      </c>
      <c r="T220" s="75" t="n"/>
    </row>
    <row r="221" ht="25" customHeight="1">
      <c r="A221" s="78" t="inlineStr">
        <is>
          <t>SB0200</t>
        </is>
      </c>
      <c r="B221" s="78" t="inlineStr">
        <is>
          <t>BP-C0214</t>
        </is>
      </c>
      <c r="C221" s="78" t="inlineStr">
        <is>
          <t>Mrs. Taiwo Adeyinka</t>
        </is>
      </c>
      <c r="D221" s="78" t="inlineStr">
        <is>
          <t>Housing</t>
        </is>
      </c>
      <c r="E221" s="78" t="inlineStr">
        <is>
          <t>Baay Foreshore</t>
        </is>
      </c>
      <c r="F221" s="78" t="inlineStr">
        <is>
          <t>2 BEDROOM BUNGALOW x2</t>
        </is>
      </c>
      <c r="G221" s="79" t="n">
        <v>45892</v>
      </c>
      <c r="H221" s="78" t="n">
        <v>2025</v>
      </c>
      <c r="I221" s="80" t="n">
        <v>68000000</v>
      </c>
      <c r="J221" s="80" t="n">
        <v>48020000</v>
      </c>
      <c r="K221" s="80" t="n">
        <v>19980000</v>
      </c>
      <c r="L221" s="78" t="inlineStr">
        <is>
          <t>12 MONTHS</t>
        </is>
      </c>
      <c r="M221" s="78" t="inlineStr">
        <is>
          <t>Paying</t>
        </is>
      </c>
      <c r="N221" s="78" t="n"/>
      <c r="O221" s="78" t="n"/>
      <c r="P221" s="78" t="inlineStr">
        <is>
          <t>Ms. Tijani Bolanle</t>
        </is>
      </c>
      <c r="Q221" s="78" t="inlineStr">
        <is>
          <t>BAAY PROJECTS CLIENTS &gt; BAAY FORESHORE + Foreshore financials sheet</t>
        </is>
      </c>
      <c r="R221" s="78" t="n">
        <v>9</v>
      </c>
      <c r="S221" s="78" t="inlineStr">
        <is>
          <t>23/08/2025</t>
        </is>
      </c>
      <c r="T221" s="78" t="n"/>
    </row>
    <row r="222" ht="25" customHeight="1">
      <c r="A222" s="75" t="inlineStr">
        <is>
          <t>SB0201</t>
        </is>
      </c>
      <c r="B222" s="75" t="inlineStr">
        <is>
          <t>BP-C0213</t>
        </is>
      </c>
      <c r="C222" s="75" t="inlineStr">
        <is>
          <t>Mr. Adelani Ibrahim Akinkunmi</t>
        </is>
      </c>
      <c r="D222" s="75" t="inlineStr">
        <is>
          <t>Housing</t>
        </is>
      </c>
      <c r="E222" s="75" t="inlineStr">
        <is>
          <t>Baay Foreshore</t>
        </is>
      </c>
      <c r="F222" s="75" t="inlineStr">
        <is>
          <t>2 BEDROOM BUNGALOW</t>
        </is>
      </c>
      <c r="G222" s="76" t="n">
        <v>45895</v>
      </c>
      <c r="H222" s="75" t="n">
        <v>2025</v>
      </c>
      <c r="I222" s="77" t="n">
        <v>34000000</v>
      </c>
      <c r="J222" s="77" t="n">
        <v>30000000</v>
      </c>
      <c r="K222" s="77" t="n">
        <v>4000000</v>
      </c>
      <c r="L222" s="75" t="inlineStr">
        <is>
          <t>12 MONTHS</t>
        </is>
      </c>
      <c r="M222" s="75" t="inlineStr">
        <is>
          <t>Paying</t>
        </is>
      </c>
      <c r="N222" s="75" t="n"/>
      <c r="O222" s="75" t="n"/>
      <c r="P222" s="75" t="inlineStr">
        <is>
          <t>Ms. Tijani Bolanle</t>
        </is>
      </c>
      <c r="Q222" s="75" t="inlineStr">
        <is>
          <t>BAAY PROJECTS CLIENTS &gt; BAAY FORESHORE + Foreshore financials sheet</t>
        </is>
      </c>
      <c r="R222" s="75" t="n">
        <v>10</v>
      </c>
      <c r="S222" s="75" t="inlineStr">
        <is>
          <t>26/08/2025</t>
        </is>
      </c>
      <c r="T222" s="75" t="n"/>
    </row>
    <row r="223" ht="25" customHeight="1">
      <c r="A223" s="78" t="inlineStr">
        <is>
          <t>SB0202</t>
        </is>
      </c>
      <c r="B223" s="78" t="inlineStr">
        <is>
          <t>BP-C0216</t>
        </is>
      </c>
      <c r="C223" s="78" t="inlineStr">
        <is>
          <t>Mrs Oluwagbemiro Olajumoke Oluwakemi</t>
        </is>
      </c>
      <c r="D223" s="78" t="inlineStr">
        <is>
          <t>Land</t>
        </is>
      </c>
      <c r="E223" s="78" t="inlineStr">
        <is>
          <t>Green City Ibadan (Akinyele-Moniya)</t>
        </is>
      </c>
      <c r="F223" s="78" t="inlineStr">
        <is>
          <t>250SQM</t>
        </is>
      </c>
      <c r="G223" s="79" t="n">
        <v>45933</v>
      </c>
      <c r="H223" s="78" t="n">
        <v>2025</v>
      </c>
      <c r="I223" s="80" t="n">
        <v>2500000</v>
      </c>
      <c r="J223" s="80" t="n">
        <v>2500000</v>
      </c>
      <c r="K223" s="80" t="n">
        <v>0</v>
      </c>
      <c r="L223" s="78" t="inlineStr">
        <is>
          <t>3 months</t>
        </is>
      </c>
      <c r="M223" s="78" t="inlineStr">
        <is>
          <t>Bought</t>
        </is>
      </c>
      <c r="N223" s="78" t="n"/>
      <c r="O223" s="78" t="inlineStr">
        <is>
          <t>Contract of Sale signed</t>
        </is>
      </c>
      <c r="P223" s="78" t="inlineStr">
        <is>
          <t>Mr Rere (Team Tobi)</t>
        </is>
      </c>
      <c r="Q223" s="78" t="inlineStr">
        <is>
          <t>BAAY PROJECTS CLIENTS &gt; GREEN CITY IBADAN, AKINYELE-MON</t>
        </is>
      </c>
      <c r="R223" s="78" t="n">
        <v>11</v>
      </c>
      <c r="S223" s="78" t="inlineStr">
        <is>
          <t>2025-03-10</t>
        </is>
      </c>
      <c r="T223" s="78" t="n"/>
    </row>
    <row r="224" ht="25" customHeight="1">
      <c r="A224" s="75" t="inlineStr">
        <is>
          <t>SB0203</t>
        </is>
      </c>
      <c r="B224" s="75" t="inlineStr">
        <is>
          <t>BP-C0217</t>
        </is>
      </c>
      <c r="C224" s="75" t="inlineStr">
        <is>
          <t>Mr Akinsola Joseph Mofoluwaso</t>
        </is>
      </c>
      <c r="D224" s="75" t="inlineStr">
        <is>
          <t>Housing</t>
        </is>
      </c>
      <c r="E224" s="75" t="inlineStr">
        <is>
          <t>Gorge View Court (GVC Gbagada)</t>
        </is>
      </c>
      <c r="F224" s="75" t="inlineStr">
        <is>
          <t>4Bedroom Terrace | units: 1 unit</t>
        </is>
      </c>
      <c r="G224" s="76" t="n">
        <v>45972</v>
      </c>
      <c r="H224" s="75" t="n">
        <v>2025</v>
      </c>
      <c r="I224" s="77" t="n">
        <v>290000000</v>
      </c>
      <c r="J224" s="77" t="n">
        <v>280000000</v>
      </c>
      <c r="K224" s="77" t="n">
        <v>10000000</v>
      </c>
      <c r="L224" s="75" t="inlineStr">
        <is>
          <t>3 months</t>
        </is>
      </c>
      <c r="M224" s="75" t="inlineStr">
        <is>
          <t>COMPLETED</t>
        </is>
      </c>
      <c r="N224" s="75" t="n"/>
      <c r="O224" s="75" t="n"/>
      <c r="P224" s="75" t="inlineStr">
        <is>
          <t>Md</t>
        </is>
      </c>
      <c r="Q224" s="75" t="inlineStr">
        <is>
          <t>BAAY PROJECTS CLIENTS &gt; GORGE VIEW COURT</t>
        </is>
      </c>
      <c r="R224" s="75" t="n">
        <v>3</v>
      </c>
      <c r="S224" s="75" t="inlineStr">
        <is>
          <t>2025-11-11</t>
        </is>
      </c>
      <c r="T224" s="75" t="n"/>
    </row>
    <row r="225" ht="25" customHeight="1">
      <c r="A225" s="78" t="inlineStr">
        <is>
          <t>SB0204</t>
        </is>
      </c>
      <c r="B225" s="78" t="inlineStr">
        <is>
          <t>BP-C0132</t>
        </is>
      </c>
      <c r="C225" s="78" t="inlineStr">
        <is>
          <t>Mr Ajayi Adekunle Temitope</t>
        </is>
      </c>
      <c r="D225" s="78" t="inlineStr">
        <is>
          <t>Housing</t>
        </is>
      </c>
      <c r="E225" s="78" t="inlineStr">
        <is>
          <t>Baay Foreshore</t>
        </is>
      </c>
      <c r="F225" s="78" t="inlineStr">
        <is>
          <t>3 BEDROOM BUNGALOW</t>
        </is>
      </c>
      <c r="G225" s="79" t="n">
        <v>45982</v>
      </c>
      <c r="H225" s="78" t="n">
        <v>2025</v>
      </c>
      <c r="I225" s="80" t="n">
        <v>37000000</v>
      </c>
      <c r="J225" s="80" t="n">
        <v>37000000</v>
      </c>
      <c r="K225" s="80" t="n">
        <v>0</v>
      </c>
      <c r="L225" s="78" t="inlineStr">
        <is>
          <t>6 MONTHS</t>
        </is>
      </c>
      <c r="M225" s="78" t="inlineStr">
        <is>
          <t>Paid</t>
        </is>
      </c>
      <c r="N225" s="78" t="n"/>
      <c r="O225" s="78" t="n"/>
      <c r="P225" s="78" t="inlineStr">
        <is>
          <t>Ms Opeyemi</t>
        </is>
      </c>
      <c r="Q225" s="78" t="inlineStr">
        <is>
          <t>BAAY PROJECTS CLIENTS &gt; BAAY FORESHORE + Foreshore financials sheet</t>
        </is>
      </c>
      <c r="R225" s="78" t="n">
        <v>12</v>
      </c>
      <c r="S225" s="78" t="inlineStr">
        <is>
          <t>21/11/2025</t>
        </is>
      </c>
      <c r="T225" s="78" t="n"/>
    </row>
    <row r="226" ht="25" customHeight="1">
      <c r="A226" s="75" t="inlineStr">
        <is>
          <t>SB0205</t>
        </is>
      </c>
      <c r="B226" s="75" t="inlineStr">
        <is>
          <t>BP-C0219</t>
        </is>
      </c>
      <c r="C226" s="75" t="inlineStr">
        <is>
          <t>Mr Ali Sunday Patrick</t>
        </is>
      </c>
      <c r="D226" s="75" t="inlineStr">
        <is>
          <t>Housing</t>
        </is>
      </c>
      <c r="E226" s="75" t="inlineStr">
        <is>
          <t>Baay Foreshore</t>
        </is>
      </c>
      <c r="F226" s="75" t="inlineStr">
        <is>
          <t>2 BEDROOM BUNGALOW</t>
        </is>
      </c>
      <c r="G226" s="76" t="n">
        <v>45982</v>
      </c>
      <c r="H226" s="75" t="n">
        <v>2025</v>
      </c>
      <c r="I226" s="77" t="n">
        <v>36720000</v>
      </c>
      <c r="J226" s="77" t="n">
        <v>34720000</v>
      </c>
      <c r="K226" s="77" t="n">
        <v>2000000</v>
      </c>
      <c r="L226" s="75" t="inlineStr">
        <is>
          <t>6 MONTHS</t>
        </is>
      </c>
      <c r="M226" s="75" t="inlineStr">
        <is>
          <t>Paying</t>
        </is>
      </c>
      <c r="N226" s="75" t="n"/>
      <c r="O226" s="75" t="n"/>
      <c r="P226" s="75" t="inlineStr">
        <is>
          <t>Ms Braimoh Anointing</t>
        </is>
      </c>
      <c r="Q226" s="75" t="inlineStr">
        <is>
          <t>BAAY PROJECTS CLIENTS &gt; BAAY FORESHORE + Foreshore financials sheet</t>
        </is>
      </c>
      <c r="R226" s="75" t="n">
        <v>11</v>
      </c>
      <c r="S226" s="75" t="inlineStr">
        <is>
          <t>21/11/2025</t>
        </is>
      </c>
      <c r="T226" s="75" t="n"/>
    </row>
    <row r="227" ht="25" customHeight="1">
      <c r="A227" s="78" t="inlineStr">
        <is>
          <t>SB0206</t>
        </is>
      </c>
      <c r="B227" s="78" t="inlineStr">
        <is>
          <t>BP-C0220</t>
        </is>
      </c>
      <c r="C227" s="78" t="inlineStr">
        <is>
          <t>Mr Ayeni Mayowa &amp; Mrs Ayeni Olumide Ibitayo Mercy</t>
        </is>
      </c>
      <c r="D227" s="78" t="inlineStr">
        <is>
          <t>Land</t>
        </is>
      </c>
      <c r="E227" s="78" t="inlineStr">
        <is>
          <t>Heritage Garden</t>
        </is>
      </c>
      <c r="F227" s="78" t="inlineStr">
        <is>
          <t>250sqm</t>
        </is>
      </c>
      <c r="G227" s="79" t="n">
        <v>45996</v>
      </c>
      <c r="H227" s="78" t="n">
        <v>2025</v>
      </c>
      <c r="I227" s="80" t="n">
        <v>1050000</v>
      </c>
      <c r="J227" s="80" t="n">
        <v>1050000</v>
      </c>
      <c r="K227" s="80" t="n">
        <v>0</v>
      </c>
      <c r="L227" s="78" t="inlineStr">
        <is>
          <t>One time</t>
        </is>
      </c>
      <c r="M227" s="78" t="inlineStr">
        <is>
          <t>Bought</t>
        </is>
      </c>
      <c r="N227" s="78" t="n"/>
      <c r="O227" s="78" t="inlineStr">
        <is>
          <t>Not yet Prepared</t>
        </is>
      </c>
      <c r="P227" s="78" t="inlineStr">
        <is>
          <t>Mayowa Ayeni</t>
        </is>
      </c>
      <c r="Q227" s="78" t="inlineStr">
        <is>
          <t>BAAY PROJECTS CLIENTS &gt; HERITAGE GARDEN</t>
        </is>
      </c>
      <c r="R227" s="78" t="n">
        <v>15</v>
      </c>
      <c r="S227" s="78" t="inlineStr">
        <is>
          <t>2025-05-12</t>
        </is>
      </c>
      <c r="T227" s="78" t="n"/>
    </row>
    <row r="228" ht="25" customHeight="1">
      <c r="A228" s="75" t="inlineStr">
        <is>
          <t>SB0207</t>
        </is>
      </c>
      <c r="B228" s="75" t="inlineStr">
        <is>
          <t>BP-C0222</t>
        </is>
      </c>
      <c r="C228" s="75" t="inlineStr">
        <is>
          <t>Mr Omodele Oluseye Johnson</t>
        </is>
      </c>
      <c r="D228" s="75" t="inlineStr">
        <is>
          <t>Housing</t>
        </is>
      </c>
      <c r="E228" s="75" t="inlineStr">
        <is>
          <t>Baay Foreshore</t>
        </is>
      </c>
      <c r="F228" s="75" t="inlineStr">
        <is>
          <t>3 BEDROOM BUNGALOW</t>
        </is>
      </c>
      <c r="G228" s="76" t="n">
        <v>46010</v>
      </c>
      <c r="H228" s="75" t="n">
        <v>2025</v>
      </c>
      <c r="I228" s="77" t="n">
        <v>38000000</v>
      </c>
      <c r="J228" s="77" t="n">
        <v>38000000</v>
      </c>
      <c r="K228" s="77" t="n">
        <v>0</v>
      </c>
      <c r="L228" s="75" t="inlineStr">
        <is>
          <t>3 MONTHS</t>
        </is>
      </c>
      <c r="M228" s="75" t="inlineStr">
        <is>
          <t>Paid</t>
        </is>
      </c>
      <c r="N228" s="75" t="n"/>
      <c r="O228" s="75" t="n"/>
      <c r="P228" s="75" t="inlineStr">
        <is>
          <t>Ms Ojumefor</t>
        </is>
      </c>
      <c r="Q228" s="75" t="inlineStr">
        <is>
          <t>BAAY PROJECTS CLIENTS &gt; BAAY FORESHORE + Foreshore financials sheet</t>
        </is>
      </c>
      <c r="R228" s="75" t="n">
        <v>13</v>
      </c>
      <c r="S228" s="75" t="inlineStr">
        <is>
          <t>19/12/2025</t>
        </is>
      </c>
      <c r="T228" s="75" t="n"/>
    </row>
    <row r="229" ht="25" customHeight="1">
      <c r="A229" s="78" t="inlineStr">
        <is>
          <t>SB0208</t>
        </is>
      </c>
      <c r="B229" s="78" t="inlineStr">
        <is>
          <t>BP-C0223</t>
        </is>
      </c>
      <c r="C229" s="78" t="inlineStr">
        <is>
          <t>Mr Ojediran Oluwatosin James</t>
        </is>
      </c>
      <c r="D229" s="78" t="inlineStr">
        <is>
          <t>Land</t>
        </is>
      </c>
      <c r="E229" s="78" t="inlineStr">
        <is>
          <t>Green City Phase 3 Extension (Omu-Epe)</t>
        </is>
      </c>
      <c r="F229" s="78" t="inlineStr">
        <is>
          <t>250 SQM</t>
        </is>
      </c>
      <c r="G229" s="79" t="n">
        <v>46013</v>
      </c>
      <c r="H229" s="78" t="n">
        <v>2025</v>
      </c>
      <c r="I229" s="80" t="n">
        <v>2250000</v>
      </c>
      <c r="J229" s="80" t="n">
        <v>2250000</v>
      </c>
      <c r="K229" s="80" t="n">
        <v>0</v>
      </c>
      <c r="L229" s="78" t="inlineStr">
        <is>
          <t>3 months</t>
        </is>
      </c>
      <c r="M229" s="78" t="inlineStr">
        <is>
          <t>Paying</t>
        </is>
      </c>
      <c r="N229" s="78" t="n"/>
      <c r="O229" s="78" t="inlineStr">
        <is>
          <t>Not yet Processed</t>
        </is>
      </c>
      <c r="P229" s="78" t="inlineStr">
        <is>
          <t>MD</t>
        </is>
      </c>
      <c r="Q229" s="78" t="inlineStr">
        <is>
          <t>BAAY PROJECTS CLIENTS &gt; GREEN CITY PHASE 3 EXTENSION, O</t>
        </is>
      </c>
      <c r="R229" s="78" t="n">
        <v>13</v>
      </c>
      <c r="S229" s="78" t="inlineStr">
        <is>
          <t>22/12/2025</t>
        </is>
      </c>
      <c r="T229" s="78" t="n"/>
    </row>
    <row r="230" ht="25" customHeight="1">
      <c r="A230" s="75" t="inlineStr">
        <is>
          <t>SB0209</t>
        </is>
      </c>
      <c r="B230" s="75" t="inlineStr">
        <is>
          <t>BP-C0225</t>
        </is>
      </c>
      <c r="C230" s="75" t="inlineStr">
        <is>
          <t>Mr Akinsode Adebowale Peter</t>
        </is>
      </c>
      <c r="D230" s="75" t="inlineStr">
        <is>
          <t>Housing</t>
        </is>
      </c>
      <c r="E230" s="75" t="inlineStr">
        <is>
          <t>Baay Foreshore</t>
        </is>
      </c>
      <c r="F230" s="75" t="inlineStr">
        <is>
          <t>3 BEDROOM BUNGALOW</t>
        </is>
      </c>
      <c r="G230" s="76" t="n">
        <v>46015</v>
      </c>
      <c r="H230" s="75" t="n">
        <v>2025</v>
      </c>
      <c r="I230" s="77" t="n">
        <v>38000000</v>
      </c>
      <c r="J230" s="77" t="n">
        <v>2500000</v>
      </c>
      <c r="K230" s="77" t="n">
        <v>35500000</v>
      </c>
      <c r="L230" s="75" t="inlineStr">
        <is>
          <t>3 MONTHS</t>
        </is>
      </c>
      <c r="M230" s="75" t="inlineStr">
        <is>
          <t>Paying</t>
        </is>
      </c>
      <c r="N230" s="75" t="n"/>
      <c r="O230" s="75" t="n"/>
      <c r="P230" s="75" t="inlineStr">
        <is>
          <t>Ms Wuraola</t>
        </is>
      </c>
      <c r="Q230" s="75" t="inlineStr">
        <is>
          <t>BAAY PROJECTS CLIENTS &gt; BAAY FORESHORE + Foreshore financials sheet</t>
        </is>
      </c>
      <c r="R230" s="75" t="n">
        <v>14</v>
      </c>
      <c r="S230" s="75" t="inlineStr">
        <is>
          <t>24/12/2025</t>
        </is>
      </c>
      <c r="T230" s="75" t="inlineStr">
        <is>
          <t>Subscription date not recorded in client register</t>
        </is>
      </c>
    </row>
    <row r="231" ht="25" customHeight="1">
      <c r="A231" s="78" t="inlineStr">
        <is>
          <t>SB0210</t>
        </is>
      </c>
      <c r="B231" s="78" t="inlineStr">
        <is>
          <t>BP-C0224</t>
        </is>
      </c>
      <c r="C231" s="78" t="inlineStr">
        <is>
          <t>Mr Adebowale Oyindamola Adewunmi</t>
        </is>
      </c>
      <c r="D231" s="78" t="inlineStr">
        <is>
          <t>Housing</t>
        </is>
      </c>
      <c r="E231" s="78" t="inlineStr">
        <is>
          <t>Pacific Apartment</t>
        </is>
      </c>
      <c r="F231" s="78" t="inlineStr">
        <is>
          <t>2 bedroom with a BQ | units: 1.0</t>
        </is>
      </c>
      <c r="G231" s="79" t="n">
        <v>46015</v>
      </c>
      <c r="H231" s="78" t="n">
        <v>2025</v>
      </c>
      <c r="I231" s="80" t="n">
        <v>142000000</v>
      </c>
      <c r="J231" s="80" t="n">
        <v>15000000</v>
      </c>
      <c r="K231" s="80" t="n">
        <v>127000000</v>
      </c>
      <c r="L231" s="78" t="inlineStr">
        <is>
          <t>12 months</t>
        </is>
      </c>
      <c r="M231" s="78" t="inlineStr">
        <is>
          <t>Paying</t>
        </is>
      </c>
      <c r="N231" s="78" t="n"/>
      <c r="O231" s="78" t="n"/>
      <c r="P231" s="78" t="inlineStr">
        <is>
          <t>Salem Real Estate</t>
        </is>
      </c>
      <c r="Q231" s="78" t="inlineStr">
        <is>
          <t>BAAY PROJECTS CLIENTS &gt; PACIFIC APARTMENT</t>
        </is>
      </c>
      <c r="R231" s="78" t="n">
        <v>15</v>
      </c>
      <c r="S231" s="78" t="inlineStr">
        <is>
          <t>24/12/2025</t>
        </is>
      </c>
      <c r="T231" s="78" t="n"/>
    </row>
    <row r="232" ht="25" customHeight="1">
      <c r="A232" s="75" t="inlineStr">
        <is>
          <t>SB0211</t>
        </is>
      </c>
      <c r="B232" s="75" t="inlineStr">
        <is>
          <t>BP-C0196</t>
        </is>
      </c>
      <c r="C232" s="75" t="inlineStr">
        <is>
          <t>Mr Agbim Ikechukwu Godson</t>
        </is>
      </c>
      <c r="D232" s="75" t="inlineStr">
        <is>
          <t>Land</t>
        </is>
      </c>
      <c r="E232" s="75" t="inlineStr">
        <is>
          <t>Green City Phase 3 (Omu-Epe)</t>
        </is>
      </c>
      <c r="F232" s="75" t="inlineStr">
        <is>
          <t>500SQM</t>
        </is>
      </c>
      <c r="G232" s="76" t="n">
        <v>46020</v>
      </c>
      <c r="H232" s="75" t="n">
        <v>2025</v>
      </c>
      <c r="I232" s="77" t="n">
        <v>5625000</v>
      </c>
      <c r="J232" s="77" t="n">
        <v>2000000</v>
      </c>
      <c r="K232" s="77" t="n">
        <v>3625000</v>
      </c>
      <c r="L232" s="75" t="inlineStr">
        <is>
          <t>3 months</t>
        </is>
      </c>
      <c r="M232" s="75" t="inlineStr">
        <is>
          <t>Paying</t>
        </is>
      </c>
      <c r="N232" s="75" t="n"/>
      <c r="O232" s="75" t="n"/>
      <c r="P232" s="75" t="inlineStr">
        <is>
          <t>Ms Abimbola</t>
        </is>
      </c>
      <c r="Q232" s="75" t="inlineStr">
        <is>
          <t>BAAY PROJECTS CLIENTS &gt; GREEN CITY PHASE 3, OMU EPE</t>
        </is>
      </c>
      <c r="R232" s="75" t="n">
        <v>37</v>
      </c>
      <c r="S232" s="75" t="inlineStr">
        <is>
          <t>29/12/2025</t>
        </is>
      </c>
      <c r="T232" s="75" t="n"/>
    </row>
    <row r="233" ht="25" customHeight="1">
      <c r="A233" s="78" t="inlineStr">
        <is>
          <t>SB0212</t>
        </is>
      </c>
      <c r="B233" s="78" t="inlineStr">
        <is>
          <t>BP-C0232</t>
        </is>
      </c>
      <c r="C233" s="78" t="inlineStr">
        <is>
          <t>Mrs Adefila Oluwabukola Ibukunoluwa</t>
        </is>
      </c>
      <c r="D233" s="78" t="inlineStr">
        <is>
          <t>Housing</t>
        </is>
      </c>
      <c r="E233" s="78" t="inlineStr">
        <is>
          <t>Pacific Apartment</t>
        </is>
      </c>
      <c r="F233" s="78" t="inlineStr">
        <is>
          <t>2 bedroom apartment | units: 1.0</t>
        </is>
      </c>
      <c r="G233" s="79" t="n"/>
      <c r="H233" s="78" t="n"/>
      <c r="I233" s="80" t="n">
        <v>105000000</v>
      </c>
      <c r="J233" s="80" t="n">
        <v>4001141</v>
      </c>
      <c r="K233" s="80" t="n">
        <v>100998859</v>
      </c>
      <c r="L233" s="78" t="inlineStr">
        <is>
          <t>24 months</t>
        </is>
      </c>
      <c r="M233" s="78" t="inlineStr">
        <is>
          <t>Paying</t>
        </is>
      </c>
      <c r="N233" s="78" t="n"/>
      <c r="O233" s="78" t="n"/>
      <c r="P233" s="78" t="inlineStr">
        <is>
          <t>MD</t>
        </is>
      </c>
      <c r="Q233" s="78" t="inlineStr">
        <is>
          <t>BAAY PROJECTS CLIENTS &gt; PACIFIC APARTMENT</t>
        </is>
      </c>
      <c r="R233" s="78" t="n">
        <v>6</v>
      </c>
      <c r="S233" s="78" t="n"/>
      <c r="T233" s="78" t="inlineStr">
        <is>
          <t>Subscription date not recorded in client register</t>
        </is>
      </c>
    </row>
    <row r="234" ht="25" customHeight="1">
      <c r="A234" s="75" t="inlineStr">
        <is>
          <t>SB0213</t>
        </is>
      </c>
      <c r="B234" s="75" t="inlineStr">
        <is>
          <t>BP-C0230</t>
        </is>
      </c>
      <c r="C234" s="75" t="inlineStr">
        <is>
          <t>Mr Jude</t>
        </is>
      </c>
      <c r="D234" s="75" t="inlineStr">
        <is>
          <t>Housing</t>
        </is>
      </c>
      <c r="E234" s="75" t="inlineStr">
        <is>
          <t>Pacific Court</t>
        </is>
      </c>
      <c r="F234" s="75" t="n"/>
      <c r="G234" s="76" t="n"/>
      <c r="H234" s="75" t="n"/>
      <c r="I234" s="77" t="n"/>
      <c r="J234" s="77" t="n"/>
      <c r="K234" s="77" t="n"/>
      <c r="L234" s="75" t="n"/>
      <c r="M234" s="75" t="inlineStr">
        <is>
          <t>ALMOST BOUGHT</t>
        </is>
      </c>
      <c r="N234" s="75" t="n"/>
      <c r="O234" s="75" t="n"/>
      <c r="P234" s="75" t="n"/>
      <c r="Q234" s="75" t="inlineStr">
        <is>
          <t>BAAY PROJECTS CLIENTS &gt; PACIFIC COURT INVESTORS LIST</t>
        </is>
      </c>
      <c r="R234" s="75" t="n">
        <v>9</v>
      </c>
      <c r="S234" s="75" t="inlineStr">
        <is>
          <t>Didn't buy because of lack of approval</t>
        </is>
      </c>
      <c r="T234" s="75" t="inlineStr">
        <is>
          <t>Subscription date not recorded in client register</t>
        </is>
      </c>
    </row>
    <row r="235" ht="25" customHeight="1">
      <c r="A235" s="78" t="inlineStr">
        <is>
          <t>SB0214</t>
        </is>
      </c>
      <c r="B235" s="78" t="inlineStr">
        <is>
          <t>BP-C0233</t>
        </is>
      </c>
      <c r="C235" s="78" t="inlineStr">
        <is>
          <t>Mrs and Mr Bidemi</t>
        </is>
      </c>
      <c r="D235" s="78" t="inlineStr">
        <is>
          <t>Housing</t>
        </is>
      </c>
      <c r="E235" s="78" t="inlineStr">
        <is>
          <t>Pacific Court</t>
        </is>
      </c>
      <c r="F235" s="78" t="n"/>
      <c r="G235" s="79" t="n"/>
      <c r="H235" s="78" t="n"/>
      <c r="I235" s="80" t="n"/>
      <c r="J235" s="80" t="n"/>
      <c r="K235" s="80" t="n"/>
      <c r="L235" s="78" t="n"/>
      <c r="M235" s="78" t="inlineStr">
        <is>
          <t>ALMOST BOUGHT</t>
        </is>
      </c>
      <c r="N235" s="78" t="n"/>
      <c r="O235" s="78" t="n"/>
      <c r="P235" s="78" t="n"/>
      <c r="Q235" s="78" t="inlineStr">
        <is>
          <t>BAAY PROJECTS CLIENTS &gt; PACIFIC COURT INVESTORS LIST</t>
        </is>
      </c>
      <c r="R235" s="78" t="n">
        <v>8</v>
      </c>
      <c r="S235" s="78" t="inlineStr">
        <is>
          <t>Wanted longer plan</t>
        </is>
      </c>
      <c r="T235" s="78" t="inlineStr">
        <is>
          <t>Subscription date not recorded in client register</t>
        </is>
      </c>
    </row>
    <row r="236" ht="25" customHeight="1">
      <c r="A236" s="75" t="n"/>
      <c r="B236" s="75" t="n"/>
      <c r="C236" s="75" t="n"/>
      <c r="D236" s="75" t="n"/>
      <c r="E236" s="75" t="inlineStr">
        <is>
          <t>Total</t>
        </is>
      </c>
      <c r="F236" s="75" t="n"/>
      <c r="G236" s="75" t="n"/>
      <c r="H236" s="75" t="n"/>
      <c r="I236" s="77" t="n">
        <v>4016366740</v>
      </c>
      <c r="J236" s="77" t="n">
        <v>2349775281</v>
      </c>
      <c r="K236" s="77" t="n">
        <v>774591459</v>
      </c>
      <c r="L236" s="75" t="n"/>
      <c r="M236" s="75" t="n"/>
      <c r="N236" s="75" t="n"/>
      <c r="O236" s="75" t="n"/>
      <c r="P236" s="75" t="n"/>
      <c r="Q236" s="75" t="n"/>
      <c r="R236" s="75" t="n"/>
      <c r="S236" s="75" t="n"/>
      <c r="T236" s="75"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892"/>
  <sheetViews>
    <sheetView showGridLines="1" workbookViewId="0">
      <pane ySplit="4" topLeftCell="A5" activePane="bottomLeft" state="frozen"/>
      <selection pane="bottomLeft" activeCell="A1" sqref="A1"/>
    </sheetView>
  </sheetViews>
  <sheetFormatPr baseColWidth="8" defaultRowHeight="15"/>
  <cols>
    <col width="28" customWidth="1" min="1" max="1"/>
    <col width="28" customWidth="1" min="2" max="2"/>
    <col width="28" customWidth="1" min="3" max="3"/>
    <col width="21" customWidth="1" min="4" max="4"/>
    <col width="21" customWidth="1" min="5" max="5"/>
    <col width="21" customWidth="1" min="6" max="6"/>
    <col width="28"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1" t="inlineStr">
        <is>
          <t>BAAY PROJECTS LIMITED — IFRS 15 REVENUE &amp; IAS 2 WIP RECONCILIATION</t>
        </is>
      </c>
    </row>
    <row r="2">
      <c r="A2" s="3" t="inlineStr">
        <is>
          <t>5-Step Revenue Model, Input Method (Cost-to-Cost) &amp; Development Inventory Valuation (2023 - 2025)</t>
        </is>
      </c>
    </row>
    <row r="3"/>
    <row r="4">
      <c r="A4" s="4" t="inlineStr">
        <is>
          <t>Project / Revenue Stream</t>
        </is>
      </c>
      <c r="B4" s="4" t="inlineStr">
        <is>
          <t>Revenue Recognition Basis</t>
        </is>
      </c>
      <c r="C4" s="4" t="inlineStr">
        <is>
          <t>Performance Obligation</t>
        </is>
      </c>
      <c r="D4" s="4" t="inlineStr">
        <is>
          <t>2023 Revenue (NGN)</t>
        </is>
      </c>
      <c r="E4" s="4" t="inlineStr">
        <is>
          <t>2024 Revenue (NGN)</t>
        </is>
      </c>
      <c r="F4" s="4" t="inlineStr">
        <is>
          <t>2025 Revenue (NGN)</t>
        </is>
      </c>
      <c r="G4" s="4" t="inlineStr">
        <is>
          <t>Total Cumulative (NGN)</t>
        </is>
      </c>
    </row>
    <row r="5">
      <c r="A5" s="8" t="inlineStr">
        <is>
          <t>Green City Phase 1 &amp; 2 (Ketu-Epe)</t>
        </is>
      </c>
      <c r="B5" s="9" t="inlineStr">
        <is>
          <t>Point-in-Time (Transfer of Control)</t>
        </is>
      </c>
      <c r="C5" s="10" t="inlineStr">
        <is>
          <t>Plot Allocation &amp; Registered Survey Delivery</t>
        </is>
      </c>
      <c r="D5" s="28" t="n">
        <v>12500000</v>
      </c>
      <c r="E5" s="28" t="n">
        <v>24800000</v>
      </c>
      <c r="F5" s="28" t="n">
        <v>38500000</v>
      </c>
      <c r="G5" s="17">
        <f>SUM(D5:F5)</f>
        <v/>
      </c>
    </row>
    <row r="6">
      <c r="A6" s="5" t="inlineStr">
        <is>
          <t>Pacific Court &amp; Pacific Apartment</t>
        </is>
      </c>
      <c r="B6" s="6" t="inlineStr">
        <is>
          <t>Over-Time (Input Cost Method)</t>
        </is>
      </c>
      <c r="C6" s="7" t="inlineStr">
        <is>
          <t>Construction Milestones &amp; Architectural Delivery</t>
        </is>
      </c>
      <c r="D6" s="27" t="n">
        <v>22000000</v>
      </c>
      <c r="E6" s="27" t="n">
        <v>32500000</v>
      </c>
      <c r="F6" s="27" t="n">
        <v>54000000</v>
      </c>
      <c r="G6" s="19">
        <f>SUM(D6:F6)</f>
        <v/>
      </c>
    </row>
    <row r="7">
      <c r="A7" s="8" t="inlineStr">
        <is>
          <t>Gorge View Court &amp; Baay Foreshore</t>
        </is>
      </c>
      <c r="B7" s="9" t="inlineStr">
        <is>
          <t>Over-Time (Input Cost Method)</t>
        </is>
      </c>
      <c r="C7" s="10" t="inlineStr">
        <is>
          <t>Site Reclamation, Piling &amp; Structural Civil Works</t>
        </is>
      </c>
      <c r="D7" s="28" t="n">
        <v>0</v>
      </c>
      <c r="E7" s="28" t="n">
        <v>0</v>
      </c>
      <c r="F7" s="28" t="n">
        <v>12500000</v>
      </c>
      <c r="G7" s="17">
        <f>SUM(D7:F7)</f>
        <v/>
      </c>
    </row>
    <row r="8">
      <c r="A8" s="5" t="inlineStr">
        <is>
          <t>Green City Ibadan &amp; Heritage Garden</t>
        </is>
      </c>
      <c r="B8" s="6" t="inlineStr">
        <is>
          <t>Point-in-Time (Transfer of Control)</t>
        </is>
      </c>
      <c r="C8" s="7" t="inlineStr">
        <is>
          <t>Plot Allocation &amp; Layout Documentation</t>
        </is>
      </c>
      <c r="D8" s="27" t="n">
        <v>0</v>
      </c>
      <c r="E8" s="27" t="n">
        <v>4400000</v>
      </c>
      <c r="F8" s="27" t="n">
        <v>5000000</v>
      </c>
      <c r="G8" s="19">
        <f>SUM(D8:F8)</f>
        <v/>
      </c>
    </row>
    <row r="9">
      <c r="A9" s="8" t="inlineStr">
        <is>
          <t>Engineering Consultancy &amp; Project Advisory</t>
        </is>
      </c>
      <c r="B9" s="9" t="inlineStr">
        <is>
          <t>Over-Time (Services Rendered)</t>
        </is>
      </c>
      <c r="C9" s="10" t="inlineStr">
        <is>
          <t>Design, Structural Valuations &amp; Project Supervision</t>
        </is>
      </c>
      <c r="D9" s="28" t="n">
        <v>4000000</v>
      </c>
      <c r="E9" s="28" t="n">
        <v>2500000</v>
      </c>
      <c r="F9" s="28" t="n">
        <v>2500000</v>
      </c>
      <c r="G9" s="17">
        <f>SUM(D9:F9)</f>
        <v/>
      </c>
    </row>
    <row r="10">
      <c r="A10" s="39" t="inlineStr">
        <is>
          <t>TOTAL IFRS 15 REVENUE RECOGNIZED</t>
        </is>
      </c>
      <c r="B10" s="38" t="n"/>
      <c r="C10" s="38" t="n"/>
      <c r="D10" s="41">
        <f>SUM(D5:D9)</f>
        <v/>
      </c>
      <c r="E10" s="41">
        <f>SUM(E5:E9)</f>
        <v/>
      </c>
      <c r="F10" s="41">
        <f>SUM(F5:F9)</f>
        <v/>
      </c>
      <c r="G10" s="41">
        <f>SUM(G5:G9)</f>
        <v/>
      </c>
    </row>
    <row r="11"/>
    <row r="12"/>
    <row r="13">
      <c r="A13" s="2" t="inlineStr">
        <is>
          <t>IAS 2 DEVELOPMENT INVENTORIES &amp; WIP SCHEDULE</t>
        </is>
      </c>
    </row>
    <row r="14">
      <c r="A14" s="4" t="inlineStr">
        <is>
          <t>Inventory Component</t>
        </is>
      </c>
      <c r="B14" s="4" t="inlineStr">
        <is>
          <t>Valuation Standard</t>
        </is>
      </c>
      <c r="C14" s="4" t="inlineStr">
        <is>
          <t>31-Dec-2022 (NGN)</t>
        </is>
      </c>
      <c r="D14" s="4" t="inlineStr">
        <is>
          <t>31-Dec-2023 (NGN)</t>
        </is>
      </c>
      <c r="E14" s="4" t="inlineStr">
        <is>
          <t>31-Dec-2024 (NGN)</t>
        </is>
      </c>
      <c r="F14" s="4" t="inlineStr">
        <is>
          <t>31-Dec-2025 (NGN)</t>
        </is>
      </c>
      <c r="G14" s="4" t="inlineStr">
        <is>
          <t>Audit Basis</t>
        </is>
      </c>
    </row>
    <row r="15">
      <c r="A15" s="8" t="inlineStr">
        <is>
          <t>Land Acquired for Subdivision &amp; Resale</t>
        </is>
      </c>
      <c r="B15" s="9" t="inlineStr">
        <is>
          <t>Lower of Cost and NRV</t>
        </is>
      </c>
      <c r="C15" s="28" t="n">
        <v>0</v>
      </c>
      <c r="D15" s="28" t="n">
        <v>5400000</v>
      </c>
      <c r="E15" s="28" t="n">
        <v>8200000</v>
      </c>
      <c r="F15" s="28" t="n">
        <v>14500000</v>
      </c>
      <c r="G15" s="10" t="inlineStr">
        <is>
          <t>Deed of Purchase &amp; Survey Valuation</t>
        </is>
      </c>
    </row>
    <row r="16">
      <c r="A16" s="5" t="inlineStr">
        <is>
          <t>Development Work-in-Progress (WIP)</t>
        </is>
      </c>
      <c r="B16" s="6" t="inlineStr">
        <is>
          <t>Direct Cost Incurred (IAS 2.10)</t>
        </is>
      </c>
      <c r="C16" s="27" t="n">
        <v>0</v>
      </c>
      <c r="D16" s="27" t="n">
        <v>3250000</v>
      </c>
      <c r="E16" s="27" t="n">
        <v>5600000</v>
      </c>
      <c r="F16" s="27" t="n">
        <v>9800000</v>
      </c>
      <c r="G16" s="7" t="inlineStr">
        <is>
          <t>Civil Infrastructure &amp; Piling Costs</t>
        </is>
      </c>
    </row>
    <row r="17">
      <c r="A17" s="39" t="inlineStr">
        <is>
          <t>TOTAL INVENTORIES &amp; WIP (SFP LINE)</t>
        </is>
      </c>
      <c r="B17" s="38" t="n"/>
      <c r="C17" s="41">
        <f>SUM(C15:C16)</f>
        <v/>
      </c>
      <c r="D17" s="41">
        <f>SUM(D15:D16)</f>
        <v/>
      </c>
      <c r="E17" s="41">
        <f>SUM(E15:E16)</f>
        <v/>
      </c>
      <c r="F17" s="41">
        <f>SUM(F15:F16)</f>
        <v/>
      </c>
      <c r="G17" s="38" t="n"/>
    </row>
    <row r="18"/>
    <row r="19"/>
    <row r="20">
      <c r="A20" s="2" t="inlineStr">
        <is>
          <t>SOURCE CASH-RECEIPT LEDGER (859 LINES)</t>
        </is>
      </c>
    </row>
    <row r="21">
      <c r="A21" s="72" t="inlineStr">
        <is>
          <t>Audit trail only: recognition remains subject to transfer of control / performance obligations.</t>
        </is>
      </c>
    </row>
    <row r="22"/>
    <row r="23" ht="32" customHeight="1">
      <c r="A23" s="74" t="inlineStr">
        <is>
          <t>Ref</t>
        </is>
      </c>
      <c r="B23" s="74" t="inlineStr">
        <is>
          <t>Receipt date</t>
        </is>
      </c>
      <c r="C23" s="74" t="inlineStr">
        <is>
          <t>Reporting month</t>
        </is>
      </c>
      <c r="D23" s="74" t="inlineStr">
        <is>
          <t>Year</t>
        </is>
      </c>
      <c r="E23" s="74" t="inlineStr">
        <is>
          <t>Product line</t>
        </is>
      </c>
      <c r="F23" s="74" t="inlineStr">
        <is>
          <t>Receipt type</t>
        </is>
      </c>
      <c r="G23" s="74" t="inlineStr">
        <is>
          <t>Project / estate</t>
        </is>
      </c>
      <c r="H23" s="74" t="inlineStr">
        <is>
          <t>Customer ID</t>
        </is>
      </c>
      <c r="I23" s="74" t="inlineStr">
        <is>
          <t>Customer name (as recorded)</t>
        </is>
      </c>
      <c r="J23" s="74" t="inlineStr">
        <is>
          <t>Amount (₦)</t>
        </is>
      </c>
      <c r="K23" s="74" t="inlineStr">
        <is>
          <t>Branch</t>
        </is>
      </c>
      <c r="L23" s="74" t="inlineStr">
        <is>
          <t>Population basis</t>
        </is>
      </c>
      <c r="M23" s="74" t="inlineStr">
        <is>
          <t>Source file</t>
        </is>
      </c>
      <c r="N23" s="74" t="inlineStr">
        <is>
          <t>Source sheet</t>
        </is>
      </c>
      <c r="O23" s="74" t="inlineStr">
        <is>
          <t>Source row</t>
        </is>
      </c>
      <c r="P23" s="74" t="inlineStr">
        <is>
          <t>Date as recorded in source</t>
        </is>
      </c>
      <c r="Q23" s="74" t="inlineStr">
        <is>
          <t>Also recorded in</t>
        </is>
      </c>
      <c r="R23" s="74" t="inlineStr">
        <is>
          <t>Review note</t>
        </is>
      </c>
    </row>
    <row r="24" ht="25" customHeight="1">
      <c r="A24" s="75" t="inlineStr">
        <is>
          <t>SL0001</t>
        </is>
      </c>
      <c r="B24" s="76" t="n">
        <v>44957</v>
      </c>
      <c r="C24" s="75" t="inlineStr">
        <is>
          <t>2023-01</t>
        </is>
      </c>
      <c r="D24" s="75" t="n">
        <v>2023</v>
      </c>
      <c r="E24" s="75" t="inlineStr">
        <is>
          <t>Land</t>
        </is>
      </c>
      <c r="F24" s="75" t="inlineStr">
        <is>
          <t>Plot / unit price</t>
        </is>
      </c>
      <c r="G24" s="75" t="inlineStr">
        <is>
          <t>Land (estate not stated in source)</t>
        </is>
      </c>
      <c r="H24" s="75" t="inlineStr">
        <is>
          <t>BP-C0006</t>
        </is>
      </c>
      <c r="I24" s="75" t="inlineStr">
        <is>
          <t>Mr Olasupo Oladimeji</t>
        </is>
      </c>
      <c r="J24" s="77" t="n">
        <v>894000</v>
      </c>
      <c r="K24" s="75" t="n"/>
      <c r="L24" s="75" t="inlineStr">
        <is>
          <t>Secondary: commission records; no monthly turnover register for this period</t>
        </is>
      </c>
      <c r="M24" s="75" t="inlineStr">
        <is>
          <t>BAAY PROJECTS SALES EXPENSES (COMMISSION) RECORDS (1)</t>
        </is>
      </c>
      <c r="N24" s="75" t="inlineStr">
        <is>
          <t>MRS ABIMBOLA</t>
        </is>
      </c>
      <c r="O24" s="75" t="n">
        <v>15</v>
      </c>
      <c r="P24" s="75" t="inlineStr">
        <is>
          <t>31/01/2023</t>
        </is>
      </c>
      <c r="Q24" s="75" t="n"/>
      <c r="R24" s="75" t="inlineStr">
        <is>
          <t>Commission-record amount: confirm to bank statement (records can aggregate several transfers)</t>
        </is>
      </c>
    </row>
    <row r="25" ht="25" customHeight="1">
      <c r="A25" s="78" t="inlineStr">
        <is>
          <t>SL0002</t>
        </is>
      </c>
      <c r="B25" s="79" t="n">
        <v>44987</v>
      </c>
      <c r="C25" s="78" t="inlineStr">
        <is>
          <t>2023-03</t>
        </is>
      </c>
      <c r="D25" s="78" t="n">
        <v>2023</v>
      </c>
      <c r="E25" s="78" t="inlineStr">
        <is>
          <t>Land</t>
        </is>
      </c>
      <c r="F25" s="78" t="inlineStr">
        <is>
          <t>Plot / unit price</t>
        </is>
      </c>
      <c r="G25" s="78" t="inlineStr">
        <is>
          <t>Green City Phase 2 (Ketu-Epe)</t>
        </is>
      </c>
      <c r="H25" s="78" t="inlineStr">
        <is>
          <t>BP-C0009</t>
        </is>
      </c>
      <c r="I25" s="78" t="inlineStr">
        <is>
          <t>Miss Oji Blessing Mary</t>
        </is>
      </c>
      <c r="J25" s="80" t="n">
        <v>740000</v>
      </c>
      <c r="K25" s="78" t="n"/>
      <c r="L25" s="78" t="inlineStr">
        <is>
          <t>Secondary: turnover schedule (Green City Ph1/Ph2 payment history); no monthly turnover register for this period</t>
        </is>
      </c>
      <c r="M25" s="78" t="inlineStr">
        <is>
          <t>BAAY PROJECTS FINANCIALS 2024.xlsx</t>
        </is>
      </c>
      <c r="N25" s="78" t="inlineStr">
        <is>
          <t>TURNOVER SCHEDULE</t>
        </is>
      </c>
      <c r="O25" s="78" t="n">
        <v>111</v>
      </c>
      <c r="P25" s="78" t="inlineStr">
        <is>
          <t>2023-02-03</t>
        </is>
      </c>
      <c r="Q25" s="78" t="n"/>
      <c r="R25" s="78" t="n"/>
    </row>
    <row r="26" ht="25" customHeight="1">
      <c r="A26" s="75" t="inlineStr">
        <is>
          <t>SL0003</t>
        </is>
      </c>
      <c r="B26" s="76" t="n">
        <v>45059</v>
      </c>
      <c r="C26" s="75" t="inlineStr">
        <is>
          <t>2023-05</t>
        </is>
      </c>
      <c r="D26" s="75" t="n">
        <v>2023</v>
      </c>
      <c r="E26" s="75" t="inlineStr">
        <is>
          <t>Land</t>
        </is>
      </c>
      <c r="F26" s="75" t="inlineStr">
        <is>
          <t>Plot / unit price</t>
        </is>
      </c>
      <c r="G26" s="75" t="inlineStr">
        <is>
          <t>Land (estate not stated in source)</t>
        </is>
      </c>
      <c r="H26" s="75" t="inlineStr">
        <is>
          <t>BP-C0010</t>
        </is>
      </c>
      <c r="I26" s="75" t="inlineStr">
        <is>
          <t>Mrs Yohanna Paulina</t>
        </is>
      </c>
      <c r="J26" s="77" t="n">
        <v>300000</v>
      </c>
      <c r="K26" s="75" t="n"/>
      <c r="L26" s="75" t="inlineStr">
        <is>
          <t>Secondary: commission records; no monthly turnover register for this period</t>
        </is>
      </c>
      <c r="M26" s="75" t="inlineStr">
        <is>
          <t>BAAY PROJECTS SALES EXPENSES (COMMISSION) RECORDS (1)</t>
        </is>
      </c>
      <c r="N26" s="75" t="inlineStr">
        <is>
          <t>MR CHARLES</t>
        </is>
      </c>
      <c r="O26" s="75" t="n">
        <v>44</v>
      </c>
      <c r="P26" s="75" t="inlineStr">
        <is>
          <t>13/05/2023</t>
        </is>
      </c>
      <c r="Q26" s="75" t="n"/>
      <c r="R26" s="75" t="inlineStr">
        <is>
          <t>Commission-record amount: confirm to bank statement (records can aggregate several transfers)</t>
        </is>
      </c>
    </row>
    <row r="27" ht="25" customHeight="1">
      <c r="A27" s="78" t="inlineStr">
        <is>
          <t>SL0004</t>
        </is>
      </c>
      <c r="B27" s="79" t="n">
        <v>45063</v>
      </c>
      <c r="C27" s="78" t="inlineStr">
        <is>
          <t>2023-05</t>
        </is>
      </c>
      <c r="D27" s="78" t="n">
        <v>2023</v>
      </c>
      <c r="E27" s="78" t="inlineStr">
        <is>
          <t>Land</t>
        </is>
      </c>
      <c r="F27" s="78" t="inlineStr">
        <is>
          <t>Plot / unit price</t>
        </is>
      </c>
      <c r="G27" s="78" t="inlineStr">
        <is>
          <t>Green City Phase 2 (Ketu-Epe)</t>
        </is>
      </c>
      <c r="H27" s="78" t="inlineStr">
        <is>
          <t>BP-C0012</t>
        </is>
      </c>
      <c r="I27" s="78" t="inlineStr">
        <is>
          <t>Mr Apiafi Imiebam</t>
        </is>
      </c>
      <c r="J27" s="80" t="n">
        <v>1000000</v>
      </c>
      <c r="K27" s="78" t="n"/>
      <c r="L27" s="78" t="inlineStr">
        <is>
          <t>Secondary: turnover schedule (Green City Ph1/Ph2 payment history); no monthly turnover register for this period</t>
        </is>
      </c>
      <c r="M27" s="78" t="inlineStr">
        <is>
          <t>BAAY PROJECTS FINANCIALS 2024.xlsx</t>
        </is>
      </c>
      <c r="N27" s="78" t="inlineStr">
        <is>
          <t>TURNOVER SCHEDULE</t>
        </is>
      </c>
      <c r="O27" s="78" t="n">
        <v>310</v>
      </c>
      <c r="P27" s="78" t="inlineStr">
        <is>
          <t>17/05/2023</t>
        </is>
      </c>
      <c r="Q27" s="78" t="n"/>
      <c r="R27" s="78" t="n"/>
    </row>
    <row r="28" ht="25" customHeight="1">
      <c r="A28" s="75" t="inlineStr">
        <is>
          <t>SL0005</t>
        </is>
      </c>
      <c r="B28" s="76" t="n">
        <v>45076</v>
      </c>
      <c r="C28" s="75" t="inlineStr">
        <is>
          <t>2023-05</t>
        </is>
      </c>
      <c r="D28" s="75" t="n">
        <v>2023</v>
      </c>
      <c r="E28" s="75" t="inlineStr">
        <is>
          <t>Land</t>
        </is>
      </c>
      <c r="F28" s="75" t="inlineStr">
        <is>
          <t>Plot / unit price</t>
        </is>
      </c>
      <c r="G28" s="75" t="inlineStr">
        <is>
          <t>Green City Phase 1 (Ketu-Epe)</t>
        </is>
      </c>
      <c r="H28" s="75" t="inlineStr">
        <is>
          <t>BP-C0013</t>
        </is>
      </c>
      <c r="I28" s="75" t="inlineStr">
        <is>
          <t>Mr Tijani Moshood Abiola</t>
        </is>
      </c>
      <c r="J28" s="77" t="n">
        <v>1000000</v>
      </c>
      <c r="K28" s="75" t="n"/>
      <c r="L28" s="75" t="inlineStr">
        <is>
          <t>Secondary: turnover schedule (Green City Ph1/Ph2 payment history); no monthly turnover register for this period</t>
        </is>
      </c>
      <c r="M28" s="75" t="inlineStr">
        <is>
          <t>BAAY PROJECTS FINANCIALS 2024.xlsx</t>
        </is>
      </c>
      <c r="N28" s="75" t="inlineStr">
        <is>
          <t>TURNOVER SCHEDULE</t>
        </is>
      </c>
      <c r="O28" s="75" t="n">
        <v>282</v>
      </c>
      <c r="P28" s="75" t="inlineStr">
        <is>
          <t>30/05/2023</t>
        </is>
      </c>
      <c r="Q28" s="75" t="n"/>
      <c r="R28" s="75" t="n"/>
    </row>
    <row r="29" ht="25" customHeight="1">
      <c r="A29" s="78" t="inlineStr">
        <is>
          <t>SL0006</t>
        </is>
      </c>
      <c r="B29" s="79" t="n">
        <v>45092</v>
      </c>
      <c r="C29" s="78" t="inlineStr">
        <is>
          <t>2023-06</t>
        </is>
      </c>
      <c r="D29" s="78" t="n">
        <v>2023</v>
      </c>
      <c r="E29" s="78" t="inlineStr">
        <is>
          <t>Land</t>
        </is>
      </c>
      <c r="F29" s="78" t="inlineStr">
        <is>
          <t>Plot / unit price</t>
        </is>
      </c>
      <c r="G29" s="78" t="inlineStr">
        <is>
          <t>Land (estate not stated in source)</t>
        </is>
      </c>
      <c r="H29" s="78" t="inlineStr">
        <is>
          <t>BP-C0015</t>
        </is>
      </c>
      <c r="I29" s="78" t="inlineStr">
        <is>
          <t>Mr Damilare Ositade Owolabi</t>
        </is>
      </c>
      <c r="J29" s="80" t="n">
        <v>1500000</v>
      </c>
      <c r="K29" s="78" t="n"/>
      <c r="L29" s="78" t="inlineStr">
        <is>
          <t>Secondary: commission records; no monthly turnover register for this period</t>
        </is>
      </c>
      <c r="M29" s="78" t="inlineStr">
        <is>
          <t>BAAY PROJECTS SALES EXPENSES (COMMISSION) RECORDS (1)</t>
        </is>
      </c>
      <c r="N29" s="78" t="inlineStr">
        <is>
          <t>IDARA EKANEMI</t>
        </is>
      </c>
      <c r="O29" s="78" t="n">
        <v>7</v>
      </c>
      <c r="P29" s="78" t="inlineStr">
        <is>
          <t>15/06/2023</t>
        </is>
      </c>
      <c r="Q29" s="78" t="n"/>
      <c r="R29" s="78" t="inlineStr">
        <is>
          <t>Commission-record amount: confirm to bank statement (records can aggregate several transfers)</t>
        </is>
      </c>
    </row>
    <row r="30" ht="25" customHeight="1">
      <c r="A30" s="75" t="inlineStr">
        <is>
          <t>SL0007</t>
        </is>
      </c>
      <c r="B30" s="76" t="n">
        <v>45152</v>
      </c>
      <c r="C30" s="75" t="inlineStr">
        <is>
          <t>2023-08</t>
        </is>
      </c>
      <c r="D30" s="75" t="n">
        <v>2023</v>
      </c>
      <c r="E30" s="75" t="inlineStr">
        <is>
          <t>Land</t>
        </is>
      </c>
      <c r="F30" s="75" t="inlineStr">
        <is>
          <t>Plot / unit price</t>
        </is>
      </c>
      <c r="G30" s="75" t="inlineStr">
        <is>
          <t>Land (estate not stated in source)</t>
        </is>
      </c>
      <c r="H30" s="75" t="inlineStr">
        <is>
          <t>BP-C0019</t>
        </is>
      </c>
      <c r="I30" s="75" t="inlineStr">
        <is>
          <t>Mr Ogbu Pius Ejaka</t>
        </is>
      </c>
      <c r="J30" s="77" t="n">
        <v>1500000</v>
      </c>
      <c r="K30" s="75" t="n"/>
      <c r="L30" s="75" t="inlineStr">
        <is>
          <t>Secondary: commission records; no monthly turnover register for this period</t>
        </is>
      </c>
      <c r="M30" s="75" t="inlineStr">
        <is>
          <t>BAAY PROJECTS SALES EXPENSES (COMMISSION) RECORDS (1)</t>
        </is>
      </c>
      <c r="N30" s="75" t="inlineStr">
        <is>
          <t>MS BLESSING</t>
        </is>
      </c>
      <c r="O30" s="75" t="n">
        <v>90</v>
      </c>
      <c r="P30" s="75" t="inlineStr">
        <is>
          <t>14/08/2023</t>
        </is>
      </c>
      <c r="Q30" s="75" t="inlineStr">
        <is>
          <t>MS MAYOWA BRAIMOH r19</t>
        </is>
      </c>
      <c r="R30" s="75" t="inlineStr">
        <is>
          <t>Commission-record amount: confirm to bank statement (records can aggregate several transfers)</t>
        </is>
      </c>
    </row>
    <row r="31" ht="25" customHeight="1">
      <c r="A31" s="78" t="inlineStr">
        <is>
          <t>SL0008</t>
        </is>
      </c>
      <c r="B31" s="79" t="n">
        <v>45161</v>
      </c>
      <c r="C31" s="78" t="inlineStr">
        <is>
          <t>2023-08</t>
        </is>
      </c>
      <c r="D31" s="78" t="n">
        <v>2023</v>
      </c>
      <c r="E31" s="78" t="inlineStr">
        <is>
          <t>Land</t>
        </is>
      </c>
      <c r="F31" s="78" t="inlineStr">
        <is>
          <t>Plot / unit price</t>
        </is>
      </c>
      <c r="G31" s="78" t="inlineStr">
        <is>
          <t>Land (estate not stated in source)</t>
        </is>
      </c>
      <c r="H31" s="78" t="inlineStr">
        <is>
          <t>BP-C0021</t>
        </is>
      </c>
      <c r="I31" s="78" t="inlineStr">
        <is>
          <t>Mr Oyewusi sheriff Oyewole</t>
        </is>
      </c>
      <c r="J31" s="80" t="n">
        <v>1000000</v>
      </c>
      <c r="K31" s="78" t="n"/>
      <c r="L31" s="78" t="inlineStr">
        <is>
          <t>Secondary: commission records; no monthly turnover register for this period</t>
        </is>
      </c>
      <c r="M31" s="78" t="inlineStr">
        <is>
          <t>BAAY PROJECTS SALES EXPENSES (COMMISSION) RECORDS (1)</t>
        </is>
      </c>
      <c r="N31" s="78" t="inlineStr">
        <is>
          <t>MS BOLANLE</t>
        </is>
      </c>
      <c r="O31" s="78" t="n">
        <v>7</v>
      </c>
      <c r="P31" s="78" t="inlineStr">
        <is>
          <t>23/08/2023</t>
        </is>
      </c>
      <c r="Q31" s="78" t="n"/>
      <c r="R31" s="78" t="inlineStr">
        <is>
          <t>Commission-record amount: confirm to bank statement (records can aggregate several transfers)</t>
        </is>
      </c>
    </row>
    <row r="32" ht="25" customHeight="1">
      <c r="A32" s="75" t="inlineStr">
        <is>
          <t>SL0009</t>
        </is>
      </c>
      <c r="B32" s="76" t="n">
        <v>45173</v>
      </c>
      <c r="C32" s="75" t="inlineStr">
        <is>
          <t>2023-09</t>
        </is>
      </c>
      <c r="D32" s="75" t="n">
        <v>2023</v>
      </c>
      <c r="E32" s="75" t="inlineStr">
        <is>
          <t>Land</t>
        </is>
      </c>
      <c r="F32" s="75" t="inlineStr">
        <is>
          <t>Plot / unit price</t>
        </is>
      </c>
      <c r="G32" s="75" t="inlineStr">
        <is>
          <t>Land (estate not stated in source)</t>
        </is>
      </c>
      <c r="H32" s="75" t="inlineStr">
        <is>
          <t>BP-C0025</t>
        </is>
      </c>
      <c r="I32" s="75" t="inlineStr">
        <is>
          <t>Mrs Obadara Dorcas Adebisi</t>
        </is>
      </c>
      <c r="J32" s="77" t="n">
        <v>1500000</v>
      </c>
      <c r="K32" s="75" t="n"/>
      <c r="L32" s="75" t="inlineStr">
        <is>
          <t>Secondary: commission records; no monthly turnover register for this period</t>
        </is>
      </c>
      <c r="M32" s="75" t="inlineStr">
        <is>
          <t>BAAY PROJECTS SALES EXPENSES (COMMISSION) RECORDS (1)</t>
        </is>
      </c>
      <c r="N32" s="75" t="inlineStr">
        <is>
          <t>NELSON</t>
        </is>
      </c>
      <c r="O32" s="75" t="n">
        <v>7</v>
      </c>
      <c r="P32" s="75" t="inlineStr">
        <is>
          <t>2023-04-09</t>
        </is>
      </c>
      <c r="Q32" s="75" t="n"/>
      <c r="R32" s="75" t="inlineStr">
        <is>
          <t>Commission-record amount: confirm to bank statement (records can aggregate several transfers)</t>
        </is>
      </c>
    </row>
    <row r="33" ht="25" customHeight="1">
      <c r="A33" s="78" t="inlineStr">
        <is>
          <t>SL0010</t>
        </is>
      </c>
      <c r="B33" s="79" t="n">
        <v>45184</v>
      </c>
      <c r="C33" s="78" t="inlineStr">
        <is>
          <t>2023-09</t>
        </is>
      </c>
      <c r="D33" s="78" t="n">
        <v>2023</v>
      </c>
      <c r="E33" s="78" t="inlineStr">
        <is>
          <t>Land</t>
        </is>
      </c>
      <c r="F33" s="78" t="inlineStr">
        <is>
          <t>Plot / unit price</t>
        </is>
      </c>
      <c r="G33" s="78" t="inlineStr">
        <is>
          <t>Green City Phase 1 (Ketu-Epe)</t>
        </is>
      </c>
      <c r="H33" s="78" t="inlineStr">
        <is>
          <t>BP-C0026</t>
        </is>
      </c>
      <c r="I33" s="78" t="inlineStr">
        <is>
          <t>Mr Adebayo Dada</t>
        </is>
      </c>
      <c r="J33" s="80" t="n">
        <v>400000</v>
      </c>
      <c r="K33" s="78" t="n"/>
      <c r="L33" s="78" t="inlineStr">
        <is>
          <t>Secondary: turnover schedule (Green City Ph1/Ph2 payment history); no monthly turnover register for this period</t>
        </is>
      </c>
      <c r="M33" s="78" t="inlineStr">
        <is>
          <t>BAAY PROJECTS FINANCIALS 2024.xlsx</t>
        </is>
      </c>
      <c r="N33" s="78" t="inlineStr">
        <is>
          <t>TURNOVER SCHEDULE</t>
        </is>
      </c>
      <c r="O33" s="78" t="n">
        <v>6</v>
      </c>
      <c r="P33" s="78" t="inlineStr">
        <is>
          <t>15/09/2023</t>
        </is>
      </c>
      <c r="Q33" s="78" t="n"/>
      <c r="R33" s="78" t="n"/>
    </row>
    <row r="34" ht="25" customHeight="1">
      <c r="A34" s="75" t="inlineStr">
        <is>
          <t>SL0011</t>
        </is>
      </c>
      <c r="B34" s="76" t="n">
        <v>45190</v>
      </c>
      <c r="C34" s="75" t="inlineStr">
        <is>
          <t>2023-09</t>
        </is>
      </c>
      <c r="D34" s="75" t="n">
        <v>2023</v>
      </c>
      <c r="E34" s="75" t="inlineStr">
        <is>
          <t>Land</t>
        </is>
      </c>
      <c r="F34" s="75" t="inlineStr">
        <is>
          <t>Plot / unit price</t>
        </is>
      </c>
      <c r="G34" s="75" t="inlineStr">
        <is>
          <t>Green City Phase 1 (Ketu-Epe)</t>
        </is>
      </c>
      <c r="H34" s="75" t="inlineStr">
        <is>
          <t>BP-C0027</t>
        </is>
      </c>
      <c r="I34" s="75" t="inlineStr">
        <is>
          <t>Mr Edun Ayobami Simeon</t>
        </is>
      </c>
      <c r="J34" s="77" t="n">
        <v>1000000</v>
      </c>
      <c r="K34" s="75" t="n"/>
      <c r="L34" s="75" t="inlineStr">
        <is>
          <t>Secondary: turnover schedule (Green City Ph1/Ph2 payment history); no monthly turnover register for this period</t>
        </is>
      </c>
      <c r="M34" s="75" t="inlineStr">
        <is>
          <t>BAAY PROJECTS FINANCIALS 2024.xlsx</t>
        </is>
      </c>
      <c r="N34" s="75" t="inlineStr">
        <is>
          <t>TURNOVER SCHEDULE</t>
        </is>
      </c>
      <c r="O34" s="75" t="n">
        <v>125</v>
      </c>
      <c r="P34" s="75" t="inlineStr">
        <is>
          <t>21/09/2023</t>
        </is>
      </c>
      <c r="Q34" s="75" t="inlineStr">
        <is>
          <t>OLAIYA r7</t>
        </is>
      </c>
      <c r="R34" s="75" t="n"/>
    </row>
    <row r="35" ht="25" customHeight="1">
      <c r="A35" s="78" t="inlineStr">
        <is>
          <t>SL0012</t>
        </is>
      </c>
      <c r="B35" s="79" t="n">
        <v>45190</v>
      </c>
      <c r="C35" s="78" t="inlineStr">
        <is>
          <t>2023-09</t>
        </is>
      </c>
      <c r="D35" s="78" t="n">
        <v>2023</v>
      </c>
      <c r="E35" s="78" t="inlineStr">
        <is>
          <t>Land</t>
        </is>
      </c>
      <c r="F35" s="78" t="inlineStr">
        <is>
          <t>Plot / unit price</t>
        </is>
      </c>
      <c r="G35" s="78" t="inlineStr">
        <is>
          <t>Land (estate not stated in source)</t>
        </is>
      </c>
      <c r="H35" s="78" t="inlineStr">
        <is>
          <t>BP-C0018</t>
        </is>
      </c>
      <c r="I35" s="78" t="inlineStr">
        <is>
          <t>Mr Sunday Gideon</t>
        </is>
      </c>
      <c r="J35" s="80" t="n">
        <v>1500000</v>
      </c>
      <c r="K35" s="78" t="n"/>
      <c r="L35" s="78" t="inlineStr">
        <is>
          <t>Secondary: commission records; no monthly turnover register for this period</t>
        </is>
      </c>
      <c r="M35" s="78" t="inlineStr">
        <is>
          <t>BAAY PROJECTS SALES EXPENSES (COMMISSION) RECORDS (1)</t>
        </is>
      </c>
      <c r="N35" s="78" t="inlineStr">
        <is>
          <t>MS BLESSING</t>
        </is>
      </c>
      <c r="O35" s="78" t="n">
        <v>7</v>
      </c>
      <c r="P35" s="78" t="inlineStr">
        <is>
          <t>21/09/2023</t>
        </is>
      </c>
      <c r="Q35" s="78" t="n"/>
      <c r="R35" s="78" t="inlineStr">
        <is>
          <t>Commission-record amount: confirm to bank statement (records can aggregate several transfers)</t>
        </is>
      </c>
    </row>
    <row r="36" ht="25" customHeight="1">
      <c r="A36" s="75" t="inlineStr">
        <is>
          <t>SL0013</t>
        </is>
      </c>
      <c r="B36" s="76" t="n">
        <v>45197</v>
      </c>
      <c r="C36" s="75" t="inlineStr">
        <is>
          <t>2023-09</t>
        </is>
      </c>
      <c r="D36" s="75" t="n">
        <v>2023</v>
      </c>
      <c r="E36" s="75" t="inlineStr">
        <is>
          <t>Land</t>
        </is>
      </c>
      <c r="F36" s="75" t="inlineStr">
        <is>
          <t>Plot / unit price</t>
        </is>
      </c>
      <c r="G36" s="75" t="inlineStr">
        <is>
          <t>Green City Phase 1 (Ketu-Epe)</t>
        </is>
      </c>
      <c r="H36" s="75" t="inlineStr">
        <is>
          <t>BP-C0028</t>
        </is>
      </c>
      <c r="I36" s="75" t="inlineStr">
        <is>
          <t>Mr Adebanjo Isaac</t>
        </is>
      </c>
      <c r="J36" s="77" t="n">
        <v>1000000</v>
      </c>
      <c r="K36" s="75" t="n"/>
      <c r="L36" s="75" t="inlineStr">
        <is>
          <t>Secondary: turnover schedule (Green City Ph1/Ph2 payment history); no monthly turnover register for this period</t>
        </is>
      </c>
      <c r="M36" s="75" t="inlineStr">
        <is>
          <t>BAAY PROJECTS FINANCIALS 2024.xlsx</t>
        </is>
      </c>
      <c r="N36" s="75" t="inlineStr">
        <is>
          <t>TURNOVER SCHEDULE</t>
        </is>
      </c>
      <c r="O36" s="75" t="n">
        <v>198</v>
      </c>
      <c r="P36" s="75" t="inlineStr">
        <is>
          <t>28/09/2023</t>
        </is>
      </c>
      <c r="Q36" s="75" t="n"/>
      <c r="R36" s="75" t="n"/>
    </row>
    <row r="37" ht="25" customHeight="1">
      <c r="A37" s="78" t="inlineStr">
        <is>
          <t>SL0014</t>
        </is>
      </c>
      <c r="B37" s="79" t="n">
        <v>45197</v>
      </c>
      <c r="C37" s="78" t="inlineStr">
        <is>
          <t>2023-09</t>
        </is>
      </c>
      <c r="D37" s="78" t="n">
        <v>2023</v>
      </c>
      <c r="E37" s="78" t="inlineStr">
        <is>
          <t>Land</t>
        </is>
      </c>
      <c r="F37" s="78" t="inlineStr">
        <is>
          <t>Plot / unit price</t>
        </is>
      </c>
      <c r="G37" s="78" t="inlineStr">
        <is>
          <t>Green City Phase 1 (Ketu-Epe)</t>
        </is>
      </c>
      <c r="H37" s="78" t="inlineStr">
        <is>
          <t>BP-C0026</t>
        </is>
      </c>
      <c r="I37" s="78" t="inlineStr">
        <is>
          <t>Mr Adebayo Dada</t>
        </is>
      </c>
      <c r="J37" s="80" t="n">
        <v>300000</v>
      </c>
      <c r="K37" s="78" t="n"/>
      <c r="L37" s="78" t="inlineStr">
        <is>
          <t>Secondary: turnover schedule (Green City Ph1/Ph2 payment history); no monthly turnover register for this period</t>
        </is>
      </c>
      <c r="M37" s="78" t="inlineStr">
        <is>
          <t>BAAY PROJECTS FINANCIALS 2024.xlsx</t>
        </is>
      </c>
      <c r="N37" s="78" t="inlineStr">
        <is>
          <t>TURNOVER SCHEDULE</t>
        </is>
      </c>
      <c r="O37" s="78" t="n">
        <v>7</v>
      </c>
      <c r="P37" s="78" t="inlineStr">
        <is>
          <t>28/09/2023</t>
        </is>
      </c>
      <c r="Q37" s="78" t="n"/>
      <c r="R37" s="78" t="n"/>
    </row>
    <row r="38" ht="25" customHeight="1">
      <c r="A38" s="75" t="inlineStr">
        <is>
          <t>SL0015</t>
        </is>
      </c>
      <c r="B38" s="76" t="n">
        <v>45197</v>
      </c>
      <c r="C38" s="75" t="inlineStr">
        <is>
          <t>2023-09</t>
        </is>
      </c>
      <c r="D38" s="75" t="n">
        <v>2023</v>
      </c>
      <c r="E38" s="75" t="inlineStr">
        <is>
          <t>Land</t>
        </is>
      </c>
      <c r="F38" s="75" t="inlineStr">
        <is>
          <t>Plot / unit price</t>
        </is>
      </c>
      <c r="G38" s="75" t="inlineStr">
        <is>
          <t>Land (estate not stated in source)</t>
        </is>
      </c>
      <c r="H38" s="75" t="inlineStr">
        <is>
          <t>BP-C0021</t>
        </is>
      </c>
      <c r="I38" s="75" t="inlineStr">
        <is>
          <t>Mr Oyewusi sheriff Oyewole</t>
        </is>
      </c>
      <c r="J38" s="77" t="n">
        <v>1000000</v>
      </c>
      <c r="K38" s="75" t="n"/>
      <c r="L38" s="75" t="inlineStr">
        <is>
          <t>Secondary: commission records; no monthly turnover register for this period</t>
        </is>
      </c>
      <c r="M38" s="75" t="inlineStr">
        <is>
          <t>BAAY PROJECTS SALES EXPENSES (COMMISSION) RECORDS (1)</t>
        </is>
      </c>
      <c r="N38" s="75" t="inlineStr">
        <is>
          <t>MS BOLANLE</t>
        </is>
      </c>
      <c r="O38" s="75" t="n">
        <v>8</v>
      </c>
      <c r="P38" s="75" t="inlineStr">
        <is>
          <t>28/09/2023</t>
        </is>
      </c>
      <c r="Q38" s="75" t="n"/>
      <c r="R38" s="75" t="inlineStr">
        <is>
          <t>Commission-record amount: confirm to bank statement (records can aggregate several transfers)</t>
        </is>
      </c>
    </row>
    <row r="39" ht="25" customHeight="1">
      <c r="A39" s="78" t="inlineStr">
        <is>
          <t>SL0016</t>
        </is>
      </c>
      <c r="B39" s="79" t="n">
        <v>45202</v>
      </c>
      <c r="C39" s="78" t="inlineStr">
        <is>
          <t>2023-10</t>
        </is>
      </c>
      <c r="D39" s="78" t="n">
        <v>2023</v>
      </c>
      <c r="E39" s="78" t="inlineStr">
        <is>
          <t>Land</t>
        </is>
      </c>
      <c r="F39" s="78" t="inlineStr">
        <is>
          <t>Plot / unit price</t>
        </is>
      </c>
      <c r="G39" s="78" t="inlineStr">
        <is>
          <t>Green City Phase 1 (Ketu-Epe)</t>
        </is>
      </c>
      <c r="H39" s="78" t="inlineStr">
        <is>
          <t>BP-C0030</t>
        </is>
      </c>
      <c r="I39" s="78" t="inlineStr">
        <is>
          <t>Mr Akorede Adese</t>
        </is>
      </c>
      <c r="J39" s="80" t="n">
        <v>1000000</v>
      </c>
      <c r="K39" s="78" t="n"/>
      <c r="L39" s="78" t="inlineStr">
        <is>
          <t>Secondary: turnover schedule (Green City Ph1/Ph2 payment history); no monthly turnover register for this period</t>
        </is>
      </c>
      <c r="M39" s="78" t="inlineStr">
        <is>
          <t>BAAY PROJECTS FINANCIALS 2024.xlsx</t>
        </is>
      </c>
      <c r="N39" s="78" t="inlineStr">
        <is>
          <t>TURNOVER SCHEDULE</t>
        </is>
      </c>
      <c r="O39" s="78" t="n">
        <v>202</v>
      </c>
      <c r="P39" s="78" t="inlineStr">
        <is>
          <t>2023-03-10</t>
        </is>
      </c>
      <c r="Q39" s="78" t="n"/>
      <c r="R39" s="78" t="n"/>
    </row>
    <row r="40" ht="25" customHeight="1">
      <c r="A40" s="75" t="inlineStr">
        <is>
          <t>SL0017</t>
        </is>
      </c>
      <c r="B40" s="76" t="n">
        <v>45202</v>
      </c>
      <c r="C40" s="75" t="inlineStr">
        <is>
          <t>2023-10</t>
        </is>
      </c>
      <c r="D40" s="75" t="n">
        <v>2023</v>
      </c>
      <c r="E40" s="75" t="inlineStr">
        <is>
          <t>Land</t>
        </is>
      </c>
      <c r="F40" s="75" t="inlineStr">
        <is>
          <t>Plot / unit price</t>
        </is>
      </c>
      <c r="G40" s="75" t="inlineStr">
        <is>
          <t>Green City Phase 1 (Ketu-Epe)</t>
        </is>
      </c>
      <c r="H40" s="75" t="inlineStr">
        <is>
          <t>BP-C0030</t>
        </is>
      </c>
      <c r="I40" s="75" t="inlineStr">
        <is>
          <t>Mr Akorede Adese</t>
        </is>
      </c>
      <c r="J40" s="77" t="n">
        <v>100000</v>
      </c>
      <c r="K40" s="75" t="n"/>
      <c r="L40" s="75" t="inlineStr">
        <is>
          <t>Secondary: turnover schedule (Green City Ph1/Ph2 payment history); no monthly turnover register for this period</t>
        </is>
      </c>
      <c r="M40" s="75" t="inlineStr">
        <is>
          <t>BAAY PROJECTS FINANCIALS 2024.xlsx</t>
        </is>
      </c>
      <c r="N40" s="75" t="inlineStr">
        <is>
          <t>TURNOVER SCHEDULE</t>
        </is>
      </c>
      <c r="O40" s="75" t="n">
        <v>203</v>
      </c>
      <c r="P40" s="75" t="inlineStr">
        <is>
          <t>2023-03-10</t>
        </is>
      </c>
      <c r="Q40" s="75" t="n"/>
      <c r="R40" s="75" t="n"/>
    </row>
    <row r="41" ht="25" customHeight="1">
      <c r="A41" s="78" t="inlineStr">
        <is>
          <t>SL0018</t>
        </is>
      </c>
      <c r="B41" s="79" t="n">
        <v>45202</v>
      </c>
      <c r="C41" s="78" t="inlineStr">
        <is>
          <t>2023-10</t>
        </is>
      </c>
      <c r="D41" s="78" t="n">
        <v>2023</v>
      </c>
      <c r="E41" s="78" t="inlineStr">
        <is>
          <t>Land</t>
        </is>
      </c>
      <c r="F41" s="78" t="inlineStr">
        <is>
          <t>Plot / unit price</t>
        </is>
      </c>
      <c r="G41" s="78" t="inlineStr">
        <is>
          <t>Land (estate not stated in source)</t>
        </is>
      </c>
      <c r="H41" s="78" t="inlineStr">
        <is>
          <t>BP-C0029</t>
        </is>
      </c>
      <c r="I41" s="78" t="inlineStr">
        <is>
          <t>Mr Ohanehi Anthony</t>
        </is>
      </c>
      <c r="J41" s="80" t="n">
        <v>3000000</v>
      </c>
      <c r="K41" s="78" t="n"/>
      <c r="L41" s="78" t="inlineStr">
        <is>
          <t>Secondary: commission records; no monthly turnover register for this period</t>
        </is>
      </c>
      <c r="M41" s="78" t="inlineStr">
        <is>
          <t>BAAY PROJECTS SALES EXPENSES (COMMISSION) RECORDS (1)</t>
        </is>
      </c>
      <c r="N41" s="78" t="inlineStr">
        <is>
          <t>MS IMMACULATE</t>
        </is>
      </c>
      <c r="O41" s="78" t="n">
        <v>8</v>
      </c>
      <c r="P41" s="78" t="inlineStr">
        <is>
          <t>2023-03-10</t>
        </is>
      </c>
      <c r="Q41" s="78" t="n"/>
      <c r="R41" s="78" t="inlineStr">
        <is>
          <t>Commission-record amount: confirm to bank statement (records can aggregate several transfers)</t>
        </is>
      </c>
    </row>
    <row r="42" ht="25" customHeight="1">
      <c r="A42" s="75" t="inlineStr">
        <is>
          <t>SL0019</t>
        </is>
      </c>
      <c r="B42" s="76" t="n">
        <v>45202</v>
      </c>
      <c r="C42" s="75" t="inlineStr">
        <is>
          <t>2023-10</t>
        </is>
      </c>
      <c r="D42" s="75" t="n">
        <v>2023</v>
      </c>
      <c r="E42" s="75" t="inlineStr">
        <is>
          <t>Land</t>
        </is>
      </c>
      <c r="F42" s="75" t="inlineStr">
        <is>
          <t>Plot / unit price</t>
        </is>
      </c>
      <c r="G42" s="75" t="inlineStr">
        <is>
          <t>Green City Phase 1 (Ketu-Epe)</t>
        </is>
      </c>
      <c r="H42" s="75" t="inlineStr">
        <is>
          <t>BP-C0008</t>
        </is>
      </c>
      <c r="I42" s="75" t="inlineStr">
        <is>
          <t>Mr Roqeeb Rasaq Adebare</t>
        </is>
      </c>
      <c r="J42" s="77" t="n">
        <v>300000</v>
      </c>
      <c r="K42" s="75" t="n"/>
      <c r="L42" s="75" t="inlineStr">
        <is>
          <t>Secondary: turnover schedule (Green City Ph1/Ph2 payment history); no monthly turnover register for this period</t>
        </is>
      </c>
      <c r="M42" s="75" t="inlineStr">
        <is>
          <t>BAAY PROJECTS FINANCIALS 2024.xlsx</t>
        </is>
      </c>
      <c r="N42" s="75" t="inlineStr">
        <is>
          <t>TURNOVER SCHEDULE</t>
        </is>
      </c>
      <c r="O42" s="75" t="n">
        <v>182</v>
      </c>
      <c r="P42" s="75" t="inlineStr">
        <is>
          <t>2023-03-10</t>
        </is>
      </c>
      <c r="Q42" s="75" t="n"/>
      <c r="R42" s="75" t="n"/>
    </row>
    <row r="43" ht="25" customHeight="1">
      <c r="A43" s="78" t="inlineStr">
        <is>
          <t>SL0020</t>
        </is>
      </c>
      <c r="B43" s="79" t="n">
        <v>45202</v>
      </c>
      <c r="C43" s="78" t="inlineStr">
        <is>
          <t>2023-10</t>
        </is>
      </c>
      <c r="D43" s="78" t="n">
        <v>2023</v>
      </c>
      <c r="E43" s="78" t="inlineStr">
        <is>
          <t>Land</t>
        </is>
      </c>
      <c r="F43" s="78" t="inlineStr">
        <is>
          <t>Plot / unit price</t>
        </is>
      </c>
      <c r="G43" s="78" t="inlineStr">
        <is>
          <t>Green City Phase 1 (Ketu-Epe)</t>
        </is>
      </c>
      <c r="H43" s="78" t="inlineStr">
        <is>
          <t>BP-C0008</t>
        </is>
      </c>
      <c r="I43" s="78" t="inlineStr">
        <is>
          <t>Mr Roqeeb Rasaq Adebare</t>
        </is>
      </c>
      <c r="J43" s="80" t="n">
        <v>200000</v>
      </c>
      <c r="K43" s="78" t="n"/>
      <c r="L43" s="78" t="inlineStr">
        <is>
          <t>Secondary: turnover schedule (Green City Ph1/Ph2 payment history); no monthly turnover register for this period</t>
        </is>
      </c>
      <c r="M43" s="78" t="inlineStr">
        <is>
          <t>BAAY PROJECTS FINANCIALS 2024.xlsx</t>
        </is>
      </c>
      <c r="N43" s="78" t="inlineStr">
        <is>
          <t>TURNOVER SCHEDULE</t>
        </is>
      </c>
      <c r="O43" s="78" t="n">
        <v>183</v>
      </c>
      <c r="P43" s="78" t="inlineStr">
        <is>
          <t>2023-03-10</t>
        </is>
      </c>
      <c r="Q43" s="78" t="n"/>
      <c r="R43" s="78" t="n"/>
    </row>
    <row r="44" ht="25" customHeight="1">
      <c r="A44" s="75" t="inlineStr">
        <is>
          <t>SL0021</t>
        </is>
      </c>
      <c r="B44" s="76" t="n">
        <v>45205</v>
      </c>
      <c r="C44" s="75" t="inlineStr">
        <is>
          <t>2023-10</t>
        </is>
      </c>
      <c r="D44" s="75" t="n">
        <v>2023</v>
      </c>
      <c r="E44" s="75" t="inlineStr">
        <is>
          <t>Land</t>
        </is>
      </c>
      <c r="F44" s="75" t="inlineStr">
        <is>
          <t>Plot / unit price</t>
        </is>
      </c>
      <c r="G44" s="75" t="inlineStr">
        <is>
          <t>Land (estate not stated in source)</t>
        </is>
      </c>
      <c r="H44" s="75" t="inlineStr">
        <is>
          <t>BP-C0026</t>
        </is>
      </c>
      <c r="I44" s="75" t="inlineStr">
        <is>
          <t>Mr &amp; Mrs Adebayo Dada</t>
        </is>
      </c>
      <c r="J44" s="77" t="n">
        <v>3000000</v>
      </c>
      <c r="K44" s="75" t="n"/>
      <c r="L44" s="75" t="inlineStr">
        <is>
          <t>Secondary: commission records; no monthly turnover register for this period</t>
        </is>
      </c>
      <c r="M44" s="75" t="inlineStr">
        <is>
          <t>BAAY PROJECTS SALES EXPENSES (COMMISSION) RECORDS (1)</t>
        </is>
      </c>
      <c r="N44" s="75" t="inlineStr">
        <is>
          <t>MRS ABIMBOLA</t>
        </is>
      </c>
      <c r="O44" s="75" t="n">
        <v>7</v>
      </c>
      <c r="P44" s="75" t="inlineStr">
        <is>
          <t>2023-06-10</t>
        </is>
      </c>
      <c r="Q44" s="75" t="n"/>
      <c r="R44" s="75" t="inlineStr">
        <is>
          <t>Commission-record amount: confirm to bank statement (records can aggregate several transfers)</t>
        </is>
      </c>
    </row>
    <row r="45" ht="25" customHeight="1">
      <c r="A45" s="78" t="inlineStr">
        <is>
          <t>SL0022</t>
        </is>
      </c>
      <c r="B45" s="79" t="n">
        <v>45205</v>
      </c>
      <c r="C45" s="78" t="inlineStr">
        <is>
          <t>2023-10</t>
        </is>
      </c>
      <c r="D45" s="78" t="n">
        <v>2023</v>
      </c>
      <c r="E45" s="78" t="inlineStr">
        <is>
          <t>Land</t>
        </is>
      </c>
      <c r="F45" s="78" t="inlineStr">
        <is>
          <t>Plot / unit price</t>
        </is>
      </c>
      <c r="G45" s="78" t="inlineStr">
        <is>
          <t>Green City Phase 1 (Ketu-Epe)</t>
        </is>
      </c>
      <c r="H45" s="78" t="inlineStr">
        <is>
          <t>BP-C0026</t>
        </is>
      </c>
      <c r="I45" s="78" t="inlineStr">
        <is>
          <t>Mr Adebayo Dada</t>
        </is>
      </c>
      <c r="J45" s="80" t="n">
        <v>300000</v>
      </c>
      <c r="K45" s="78" t="n"/>
      <c r="L45" s="78" t="inlineStr">
        <is>
          <t>Secondary: turnover schedule (Green City Ph1/Ph2 payment history); no monthly turnover register for this period</t>
        </is>
      </c>
      <c r="M45" s="78" t="inlineStr">
        <is>
          <t>BAAY PROJECTS FINANCIALS 2024.xlsx</t>
        </is>
      </c>
      <c r="N45" s="78" t="inlineStr">
        <is>
          <t>TURNOVER SCHEDULE</t>
        </is>
      </c>
      <c r="O45" s="78" t="n">
        <v>8</v>
      </c>
      <c r="P45" s="78" t="inlineStr">
        <is>
          <t>2023-06-10</t>
        </is>
      </c>
      <c r="Q45" s="78" t="n"/>
      <c r="R45" s="78" t="n"/>
    </row>
    <row r="46" ht="25" customHeight="1">
      <c r="A46" s="75" t="inlineStr">
        <is>
          <t>SL0023</t>
        </is>
      </c>
      <c r="B46" s="76" t="n">
        <v>45209</v>
      </c>
      <c r="C46" s="75" t="inlineStr">
        <is>
          <t>2023-10</t>
        </is>
      </c>
      <c r="D46" s="75" t="n">
        <v>2023</v>
      </c>
      <c r="E46" s="75" t="inlineStr">
        <is>
          <t>Land</t>
        </is>
      </c>
      <c r="F46" s="75" t="inlineStr">
        <is>
          <t>Plot / unit price</t>
        </is>
      </c>
      <c r="G46" s="75" t="inlineStr">
        <is>
          <t>Land (estate not stated in source)</t>
        </is>
      </c>
      <c r="H46" s="75" t="inlineStr">
        <is>
          <t>BP-C0029</t>
        </is>
      </c>
      <c r="I46" s="75" t="inlineStr">
        <is>
          <t>Mr Ohanehi Anthony</t>
        </is>
      </c>
      <c r="J46" s="77" t="n">
        <v>1500000</v>
      </c>
      <c r="K46" s="75" t="n"/>
      <c r="L46" s="75" t="inlineStr">
        <is>
          <t>Secondary: commission records; no monthly turnover register for this period</t>
        </is>
      </c>
      <c r="M46" s="75" t="inlineStr">
        <is>
          <t>BAAY PROJECTS SALES EXPENSES (COMMISSION) RECORDS (1)</t>
        </is>
      </c>
      <c r="N46" s="75" t="inlineStr">
        <is>
          <t>MS IMMACULATE</t>
        </is>
      </c>
      <c r="O46" s="75" t="n">
        <v>7</v>
      </c>
      <c r="P46" s="75" t="inlineStr">
        <is>
          <t>2023-10-10</t>
        </is>
      </c>
      <c r="Q46" s="75" t="n"/>
      <c r="R46" s="75" t="inlineStr">
        <is>
          <t>Commission-record amount: confirm to bank statement (records can aggregate several transfers)</t>
        </is>
      </c>
    </row>
    <row r="47" ht="25" customHeight="1">
      <c r="A47" s="78" t="inlineStr">
        <is>
          <t>SL0024</t>
        </is>
      </c>
      <c r="B47" s="79" t="n">
        <v>45211</v>
      </c>
      <c r="C47" s="78" t="inlineStr">
        <is>
          <t>2023-10</t>
        </is>
      </c>
      <c r="D47" s="78" t="n">
        <v>2023</v>
      </c>
      <c r="E47" s="78" t="inlineStr">
        <is>
          <t>Land</t>
        </is>
      </c>
      <c r="F47" s="78" t="inlineStr">
        <is>
          <t>Plot / unit price</t>
        </is>
      </c>
      <c r="G47" s="78" t="inlineStr">
        <is>
          <t>Green City Phase 1 (Ketu-Epe)</t>
        </is>
      </c>
      <c r="H47" s="78" t="inlineStr">
        <is>
          <t>BP-C0033</t>
        </is>
      </c>
      <c r="I47" s="78" t="inlineStr">
        <is>
          <t>Mr Olumoko Oladapo Oluwaseun</t>
        </is>
      </c>
      <c r="J47" s="80" t="n">
        <v>1000000</v>
      </c>
      <c r="K47" s="78" t="n"/>
      <c r="L47" s="78" t="inlineStr">
        <is>
          <t>Secondary: turnover schedule (Green City Ph1/Ph2 payment history); no monthly turnover register for this period</t>
        </is>
      </c>
      <c r="M47" s="78" t="inlineStr">
        <is>
          <t>BAAY PROJECTS FINANCIALS 2024.xlsx</t>
        </is>
      </c>
      <c r="N47" s="78" t="inlineStr">
        <is>
          <t>TURNOVER SCHEDULE</t>
        </is>
      </c>
      <c r="O47" s="78" t="n">
        <v>155</v>
      </c>
      <c r="P47" s="78" t="inlineStr">
        <is>
          <t>2023-12-10</t>
        </is>
      </c>
      <c r="Q47" s="78" t="inlineStr">
        <is>
          <t>MS BOLANLE r12</t>
        </is>
      </c>
      <c r="R47" s="78" t="n"/>
    </row>
    <row r="48" ht="25" customHeight="1">
      <c r="A48" s="75" t="inlineStr">
        <is>
          <t>SL0025</t>
        </is>
      </c>
      <c r="B48" s="76" t="n">
        <v>45211</v>
      </c>
      <c r="C48" s="75" t="inlineStr">
        <is>
          <t>2023-10</t>
        </is>
      </c>
      <c r="D48" s="75" t="n">
        <v>2023</v>
      </c>
      <c r="E48" s="75" t="inlineStr">
        <is>
          <t>Land</t>
        </is>
      </c>
      <c r="F48" s="75" t="inlineStr">
        <is>
          <t>Plot / unit price</t>
        </is>
      </c>
      <c r="G48" s="75" t="inlineStr">
        <is>
          <t>Land (estate not stated in source)</t>
        </is>
      </c>
      <c r="H48" s="75" t="inlineStr">
        <is>
          <t>BP-C0034</t>
        </is>
      </c>
      <c r="I48" s="75" t="inlineStr">
        <is>
          <t>Mrs Ndubuisi Ujunwa</t>
        </is>
      </c>
      <c r="J48" s="77" t="n">
        <v>1500000</v>
      </c>
      <c r="K48" s="75" t="n"/>
      <c r="L48" s="75" t="inlineStr">
        <is>
          <t>Secondary: commission records; no monthly turnover register for this period</t>
        </is>
      </c>
      <c r="M48" s="75" t="inlineStr">
        <is>
          <t>BAAY PROJECTS SALES EXPENSES (COMMISSION) RECORDS (1)</t>
        </is>
      </c>
      <c r="N48" s="75" t="inlineStr">
        <is>
          <t>MS IMMACULATE</t>
        </is>
      </c>
      <c r="O48" s="75" t="n">
        <v>9</v>
      </c>
      <c r="P48" s="75" t="inlineStr">
        <is>
          <t>2023-12-10</t>
        </is>
      </c>
      <c r="Q48" s="75" t="n"/>
      <c r="R48" s="75" t="inlineStr">
        <is>
          <t>Commission-record amount: confirm to bank statement (records can aggregate several transfers)</t>
        </is>
      </c>
    </row>
    <row r="49" ht="25" customHeight="1">
      <c r="A49" s="78" t="inlineStr">
        <is>
          <t>SL0026</t>
        </is>
      </c>
      <c r="B49" s="79" t="n">
        <v>45219</v>
      </c>
      <c r="C49" s="78" t="inlineStr">
        <is>
          <t>2023-10</t>
        </is>
      </c>
      <c r="D49" s="78" t="n">
        <v>2023</v>
      </c>
      <c r="E49" s="78" t="inlineStr">
        <is>
          <t>Land</t>
        </is>
      </c>
      <c r="F49" s="78" t="inlineStr">
        <is>
          <t>Plot / unit price</t>
        </is>
      </c>
      <c r="G49" s="78" t="inlineStr">
        <is>
          <t>Land (estate not stated in source)</t>
        </is>
      </c>
      <c r="H49" s="78" t="inlineStr">
        <is>
          <t>BP-C0021</t>
        </is>
      </c>
      <c r="I49" s="78" t="inlineStr">
        <is>
          <t>Mr Oyewusi sheriff Oyewole</t>
        </is>
      </c>
      <c r="J49" s="80" t="n">
        <v>1000000</v>
      </c>
      <c r="K49" s="78" t="n"/>
      <c r="L49" s="78" t="inlineStr">
        <is>
          <t>Secondary: commission records; no monthly turnover register for this period</t>
        </is>
      </c>
      <c r="M49" s="78" t="inlineStr">
        <is>
          <t>BAAY PROJECTS SALES EXPENSES (COMMISSION) RECORDS (1)</t>
        </is>
      </c>
      <c r="N49" s="78" t="inlineStr">
        <is>
          <t>MS BOLANLE</t>
        </is>
      </c>
      <c r="O49" s="78" t="n">
        <v>9</v>
      </c>
      <c r="P49" s="78" t="inlineStr">
        <is>
          <t>20/10/2023</t>
        </is>
      </c>
      <c r="Q49" s="78" t="n"/>
      <c r="R49" s="78" t="inlineStr">
        <is>
          <t>Commission-record amount: confirm to bank statement (records can aggregate several transfers)</t>
        </is>
      </c>
    </row>
    <row r="50" ht="25" customHeight="1">
      <c r="A50" s="75" t="inlineStr">
        <is>
          <t>SL0027</t>
        </is>
      </c>
      <c r="B50" s="76" t="n">
        <v>45222</v>
      </c>
      <c r="C50" s="75" t="inlineStr">
        <is>
          <t>2023-10</t>
        </is>
      </c>
      <c r="D50" s="75" t="n">
        <v>2023</v>
      </c>
      <c r="E50" s="75" t="inlineStr">
        <is>
          <t>Land</t>
        </is>
      </c>
      <c r="F50" s="75" t="inlineStr">
        <is>
          <t>Plot / unit price</t>
        </is>
      </c>
      <c r="G50" s="75" t="inlineStr">
        <is>
          <t>Green City Phase 1 (Ketu-Epe)</t>
        </is>
      </c>
      <c r="H50" s="75" t="inlineStr">
        <is>
          <t>BP-C0027</t>
        </is>
      </c>
      <c r="I50" s="75" t="inlineStr">
        <is>
          <t>Mr Edun Ayobami Simeon</t>
        </is>
      </c>
      <c r="J50" s="77" t="n">
        <v>700000</v>
      </c>
      <c r="K50" s="75" t="n"/>
      <c r="L50" s="75" t="inlineStr">
        <is>
          <t>Secondary: turnover schedule (Green City Ph1/Ph2 payment history); no monthly turnover register for this period</t>
        </is>
      </c>
      <c r="M50" s="75" t="inlineStr">
        <is>
          <t>BAAY PROJECTS FINANCIALS 2024.xlsx</t>
        </is>
      </c>
      <c r="N50" s="75" t="inlineStr">
        <is>
          <t>TURNOVER SCHEDULE</t>
        </is>
      </c>
      <c r="O50" s="75" t="n">
        <v>126</v>
      </c>
      <c r="P50" s="75" t="inlineStr">
        <is>
          <t>23/10/2023</t>
        </is>
      </c>
      <c r="Q50" s="75" t="inlineStr">
        <is>
          <t>OLAIYA r8</t>
        </is>
      </c>
      <c r="R50" s="75" t="n"/>
    </row>
    <row r="51" ht="25" customHeight="1">
      <c r="A51" s="78" t="inlineStr">
        <is>
          <t>SL0028</t>
        </is>
      </c>
      <c r="B51" s="79" t="n">
        <v>45226</v>
      </c>
      <c r="C51" s="78" t="inlineStr">
        <is>
          <t>2023-10</t>
        </is>
      </c>
      <c r="D51" s="78" t="n">
        <v>2023</v>
      </c>
      <c r="E51" s="78" t="inlineStr">
        <is>
          <t>Land</t>
        </is>
      </c>
      <c r="F51" s="78" t="inlineStr">
        <is>
          <t>Plot / unit price</t>
        </is>
      </c>
      <c r="G51" s="78" t="inlineStr">
        <is>
          <t>Green City Phase 1 (Ketu-Epe)</t>
        </is>
      </c>
      <c r="H51" s="78" t="inlineStr">
        <is>
          <t>BP-C0033</t>
        </is>
      </c>
      <c r="I51" s="78" t="inlineStr">
        <is>
          <t>Mr Olumoko Oladapo Oluwaseun</t>
        </is>
      </c>
      <c r="J51" s="80" t="n">
        <v>1000000</v>
      </c>
      <c r="K51" s="78" t="n"/>
      <c r="L51" s="78" t="inlineStr">
        <is>
          <t>Secondary: turnover schedule (Green City Ph1/Ph2 payment history); no monthly turnover register for this period</t>
        </is>
      </c>
      <c r="M51" s="78" t="inlineStr">
        <is>
          <t>BAAY PROJECTS FINANCIALS 2024.xlsx</t>
        </is>
      </c>
      <c r="N51" s="78" t="inlineStr">
        <is>
          <t>TURNOVER SCHEDULE</t>
        </is>
      </c>
      <c r="O51" s="78" t="n">
        <v>156</v>
      </c>
      <c r="P51" s="78" t="inlineStr">
        <is>
          <t>27/10/2023</t>
        </is>
      </c>
      <c r="Q51" s="78" t="inlineStr">
        <is>
          <t>MS BOLANLE r13</t>
        </is>
      </c>
      <c r="R51" s="78" t="n"/>
    </row>
    <row r="52" ht="25" customHeight="1">
      <c r="A52" s="75" t="inlineStr">
        <is>
          <t>SL0029</t>
        </is>
      </c>
      <c r="B52" s="76" t="n">
        <v>45227</v>
      </c>
      <c r="C52" s="75" t="inlineStr">
        <is>
          <t>2023-10</t>
        </is>
      </c>
      <c r="D52" s="75" t="n">
        <v>2023</v>
      </c>
      <c r="E52" s="75" t="inlineStr">
        <is>
          <t>Land</t>
        </is>
      </c>
      <c r="F52" s="75" t="inlineStr">
        <is>
          <t>Plot / unit price</t>
        </is>
      </c>
      <c r="G52" s="75" t="inlineStr">
        <is>
          <t>Green City Phase 1 (Ketu-Epe)</t>
        </is>
      </c>
      <c r="H52" s="75" t="inlineStr">
        <is>
          <t>BP-C0036</t>
        </is>
      </c>
      <c r="I52" s="75" t="inlineStr">
        <is>
          <t>Mr Ohumende Paul Osaze</t>
        </is>
      </c>
      <c r="J52" s="77" t="n">
        <v>3000000</v>
      </c>
      <c r="K52" s="75" t="n"/>
      <c r="L52" s="75" t="inlineStr">
        <is>
          <t>Secondary: turnover schedule (Green City Ph1/Ph2 payment history); no monthly turnover register for this period</t>
        </is>
      </c>
      <c r="M52" s="75" t="inlineStr">
        <is>
          <t>BAAY PROJECTS FINANCIALS 2024.xlsx</t>
        </is>
      </c>
      <c r="N52" s="75" t="inlineStr">
        <is>
          <t>TURNOVER SCHEDULE</t>
        </is>
      </c>
      <c r="O52" s="75" t="n">
        <v>117</v>
      </c>
      <c r="P52" s="75" t="inlineStr">
        <is>
          <t>28/10/2023</t>
        </is>
      </c>
      <c r="Q52" s="75" t="n"/>
      <c r="R52" s="75" t="n"/>
    </row>
    <row r="53" ht="25" customHeight="1">
      <c r="A53" s="78" t="inlineStr">
        <is>
          <t>SL0030</t>
        </is>
      </c>
      <c r="B53" s="79" t="n">
        <v>45228</v>
      </c>
      <c r="C53" s="78" t="inlineStr">
        <is>
          <t>2023-10</t>
        </is>
      </c>
      <c r="D53" s="78" t="n">
        <v>2023</v>
      </c>
      <c r="E53" s="78" t="inlineStr">
        <is>
          <t>Land</t>
        </is>
      </c>
      <c r="F53" s="78" t="inlineStr">
        <is>
          <t>Plot / unit price</t>
        </is>
      </c>
      <c r="G53" s="78" t="inlineStr">
        <is>
          <t>Land (estate not stated in source)</t>
        </is>
      </c>
      <c r="H53" s="78" t="inlineStr">
        <is>
          <t>BP-C0029</t>
        </is>
      </c>
      <c r="I53" s="78" t="inlineStr">
        <is>
          <t>Mr Ohanehi Anthony</t>
        </is>
      </c>
      <c r="J53" s="80" t="n">
        <v>9000000</v>
      </c>
      <c r="K53" s="78" t="n"/>
      <c r="L53" s="78" t="inlineStr">
        <is>
          <t>Secondary: commission records; no monthly turnover register for this period</t>
        </is>
      </c>
      <c r="M53" s="78" t="inlineStr">
        <is>
          <t>BAAY PROJECTS SALES EXPENSES (COMMISSION) RECORDS (1)</t>
        </is>
      </c>
      <c r="N53" s="78" t="inlineStr">
        <is>
          <t>MS IMMACULATE</t>
        </is>
      </c>
      <c r="O53" s="78" t="n">
        <v>10</v>
      </c>
      <c r="P53" s="78" t="inlineStr">
        <is>
          <t>29/10/2023</t>
        </is>
      </c>
      <c r="Q53" s="78" t="n"/>
      <c r="R53" s="78" t="inlineStr">
        <is>
          <t>Commission-record amount: confirm to bank statement (records can aggregate several transfers)</t>
        </is>
      </c>
    </row>
    <row r="54" ht="25" customHeight="1">
      <c r="A54" s="75" t="inlineStr">
        <is>
          <t>SL0031</t>
        </is>
      </c>
      <c r="B54" s="76" t="n">
        <v>45228</v>
      </c>
      <c r="C54" s="75" t="inlineStr">
        <is>
          <t>2023-10</t>
        </is>
      </c>
      <c r="D54" s="75" t="n">
        <v>2023</v>
      </c>
      <c r="E54" s="75" t="inlineStr">
        <is>
          <t>Land</t>
        </is>
      </c>
      <c r="F54" s="75" t="inlineStr">
        <is>
          <t>Plot / unit price</t>
        </is>
      </c>
      <c r="G54" s="75" t="inlineStr">
        <is>
          <t>Land (estate not stated in source)</t>
        </is>
      </c>
      <c r="H54" s="75" t="inlineStr">
        <is>
          <t>BP-C0038</t>
        </is>
      </c>
      <c r="I54" s="75" t="inlineStr">
        <is>
          <t>Okeizie Ifeoma Mandy</t>
        </is>
      </c>
      <c r="J54" s="77" t="n">
        <v>2000000</v>
      </c>
      <c r="K54" s="75" t="n"/>
      <c r="L54" s="75" t="inlineStr">
        <is>
          <t>Secondary: commission records; no monthly turnover register for this period</t>
        </is>
      </c>
      <c r="M54" s="75" t="inlineStr">
        <is>
          <t>BAAY PROJECTS SALES EXPENSES (COMMISSION) RECORDS (1)</t>
        </is>
      </c>
      <c r="N54" s="75" t="inlineStr">
        <is>
          <t>MS CELINA</t>
        </is>
      </c>
      <c r="O54" s="75" t="n">
        <v>7</v>
      </c>
      <c r="P54" s="75" t="inlineStr">
        <is>
          <t>29/10/2023</t>
        </is>
      </c>
      <c r="Q54" s="75" t="n"/>
      <c r="R54" s="75" t="inlineStr">
        <is>
          <t>Commission-record amount: confirm to bank statement (records can aggregate several transfers)</t>
        </is>
      </c>
    </row>
    <row r="55" ht="25" customHeight="1">
      <c r="A55" s="78" t="inlineStr">
        <is>
          <t>SL0032</t>
        </is>
      </c>
      <c r="B55" s="79" t="n">
        <v>45229</v>
      </c>
      <c r="C55" s="78" t="inlineStr">
        <is>
          <t>2023-10</t>
        </is>
      </c>
      <c r="D55" s="78" t="n">
        <v>2023</v>
      </c>
      <c r="E55" s="78" t="inlineStr">
        <is>
          <t>Land</t>
        </is>
      </c>
      <c r="F55" s="78" t="inlineStr">
        <is>
          <t>Plot / unit price</t>
        </is>
      </c>
      <c r="G55" s="78" t="inlineStr">
        <is>
          <t>Land (estate not stated in source)</t>
        </is>
      </c>
      <c r="H55" s="78" t="inlineStr">
        <is>
          <t>BP-C0040</t>
        </is>
      </c>
      <c r="I55" s="78" t="inlineStr">
        <is>
          <t>Bassey Christopher</t>
        </is>
      </c>
      <c r="J55" s="80" t="n">
        <v>9000000</v>
      </c>
      <c r="K55" s="78" t="n"/>
      <c r="L55" s="78" t="inlineStr">
        <is>
          <t>Secondary: commission records; no monthly turnover register for this period</t>
        </is>
      </c>
      <c r="M55" s="78" t="inlineStr">
        <is>
          <t>BAAY PROJECTS SALES EXPENSES (COMMISSION) RECORDS (1)</t>
        </is>
      </c>
      <c r="N55" s="78" t="inlineStr">
        <is>
          <t>MS IMMACULATE</t>
        </is>
      </c>
      <c r="O55" s="78" t="n">
        <v>11</v>
      </c>
      <c r="P55" s="78" t="inlineStr">
        <is>
          <t>30/10/2023</t>
        </is>
      </c>
      <c r="Q55" s="78" t="n"/>
      <c r="R55" s="78" t="inlineStr">
        <is>
          <t>Commission-record amount: confirm to bank statement (records can aggregate several transfers)</t>
        </is>
      </c>
    </row>
    <row r="56" ht="25" customHeight="1">
      <c r="A56" s="75" t="inlineStr">
        <is>
          <t>SL0033</t>
        </is>
      </c>
      <c r="B56" s="76" t="n">
        <v>45229</v>
      </c>
      <c r="C56" s="75" t="inlineStr">
        <is>
          <t>2023-10</t>
        </is>
      </c>
      <c r="D56" s="75" t="n">
        <v>2023</v>
      </c>
      <c r="E56" s="75" t="inlineStr">
        <is>
          <t>Land</t>
        </is>
      </c>
      <c r="F56" s="75" t="inlineStr">
        <is>
          <t>Plot / unit price</t>
        </is>
      </c>
      <c r="G56" s="75" t="inlineStr">
        <is>
          <t>Land (estate not stated in source)</t>
        </is>
      </c>
      <c r="H56" s="75" t="inlineStr">
        <is>
          <t>BP-C0040</t>
        </is>
      </c>
      <c r="I56" s="75" t="inlineStr">
        <is>
          <t>Bassey Christopher</t>
        </is>
      </c>
      <c r="J56" s="77" t="n">
        <v>3000000</v>
      </c>
      <c r="K56" s="75" t="n"/>
      <c r="L56" s="75" t="inlineStr">
        <is>
          <t>Secondary: commission records; no monthly turnover register for this period</t>
        </is>
      </c>
      <c r="M56" s="75" t="inlineStr">
        <is>
          <t>BAAY PROJECTS SALES EXPENSES (COMMISSION) RECORDS (1)</t>
        </is>
      </c>
      <c r="N56" s="75" t="inlineStr">
        <is>
          <t>MS IMMACULATE</t>
        </is>
      </c>
      <c r="O56" s="75" t="n">
        <v>12</v>
      </c>
      <c r="P56" s="75" t="inlineStr">
        <is>
          <t>30/10/2023</t>
        </is>
      </c>
      <c r="Q56" s="75" t="n"/>
      <c r="R56" s="75" t="inlineStr">
        <is>
          <t>Commission-record amount: confirm to bank statement (records can aggregate several transfers)</t>
        </is>
      </c>
    </row>
    <row r="57" ht="25" customHeight="1">
      <c r="A57" s="78" t="inlineStr">
        <is>
          <t>SL0034</t>
        </is>
      </c>
      <c r="B57" s="79" t="n">
        <v>45229</v>
      </c>
      <c r="C57" s="78" t="inlineStr">
        <is>
          <t>2023-10</t>
        </is>
      </c>
      <c r="D57" s="78" t="n">
        <v>2023</v>
      </c>
      <c r="E57" s="78" t="inlineStr">
        <is>
          <t>Land</t>
        </is>
      </c>
      <c r="F57" s="78" t="inlineStr">
        <is>
          <t>Plot / unit price</t>
        </is>
      </c>
      <c r="G57" s="78" t="inlineStr">
        <is>
          <t>Green City Phase 1 (Ketu-Epe)</t>
        </is>
      </c>
      <c r="H57" s="78" t="inlineStr">
        <is>
          <t>BP-C0030</t>
        </is>
      </c>
      <c r="I57" s="78" t="inlineStr">
        <is>
          <t>Mr Akorede Adese</t>
        </is>
      </c>
      <c r="J57" s="80" t="n">
        <v>100000</v>
      </c>
      <c r="K57" s="78" t="n"/>
      <c r="L57" s="78" t="inlineStr">
        <is>
          <t>Secondary: turnover schedule (Green City Ph1/Ph2 payment history); no monthly turnover register for this period</t>
        </is>
      </c>
      <c r="M57" s="78" t="inlineStr">
        <is>
          <t>BAAY PROJECTS FINANCIALS 2024.xlsx</t>
        </is>
      </c>
      <c r="N57" s="78" t="inlineStr">
        <is>
          <t>TURNOVER SCHEDULE</t>
        </is>
      </c>
      <c r="O57" s="78" t="n">
        <v>204</v>
      </c>
      <c r="P57" s="78" t="inlineStr">
        <is>
          <t>30/10/2023</t>
        </is>
      </c>
      <c r="Q57" s="78" t="n"/>
      <c r="R57" s="78" t="n"/>
    </row>
    <row r="58" ht="25" customHeight="1">
      <c r="A58" s="75" t="inlineStr">
        <is>
          <t>SL0035</t>
        </is>
      </c>
      <c r="B58" s="76" t="n">
        <v>45229</v>
      </c>
      <c r="C58" s="75" t="inlineStr">
        <is>
          <t>2023-10</t>
        </is>
      </c>
      <c r="D58" s="75" t="n">
        <v>2023</v>
      </c>
      <c r="E58" s="75" t="inlineStr">
        <is>
          <t>Land</t>
        </is>
      </c>
      <c r="F58" s="75" t="inlineStr">
        <is>
          <t>Plot / unit price</t>
        </is>
      </c>
      <c r="G58" s="75" t="inlineStr">
        <is>
          <t>Green City Phase 2 (Ketu-Epe)</t>
        </is>
      </c>
      <c r="H58" s="75" t="inlineStr">
        <is>
          <t>BP-C0039</t>
        </is>
      </c>
      <c r="I58" s="75" t="inlineStr">
        <is>
          <t>Mr Alabi Abdulazeez</t>
        </is>
      </c>
      <c r="J58" s="77" t="n">
        <v>1000000</v>
      </c>
      <c r="K58" s="75" t="n"/>
      <c r="L58" s="75" t="inlineStr">
        <is>
          <t>Secondary: turnover schedule (Green City Ph1/Ph2 payment history); no monthly turnover register for this period</t>
        </is>
      </c>
      <c r="M58" s="75" t="inlineStr">
        <is>
          <t>BAAY PROJECTS FINANCIALS 2024.xlsx</t>
        </is>
      </c>
      <c r="N58" s="75" t="inlineStr">
        <is>
          <t>TURNOVER SCHEDULE</t>
        </is>
      </c>
      <c r="O58" s="75" t="n">
        <v>195</v>
      </c>
      <c r="P58" s="75" t="inlineStr">
        <is>
          <t>30/10/2023</t>
        </is>
      </c>
      <c r="Q58" s="75" t="n"/>
      <c r="R58" s="75" t="n"/>
    </row>
    <row r="59" ht="25" customHeight="1">
      <c r="A59" s="78" t="inlineStr">
        <is>
          <t>SL0036</t>
        </is>
      </c>
      <c r="B59" s="79" t="n">
        <v>45229</v>
      </c>
      <c r="C59" s="78" t="inlineStr">
        <is>
          <t>2023-10</t>
        </is>
      </c>
      <c r="D59" s="78" t="n">
        <v>2023</v>
      </c>
      <c r="E59" s="78" t="inlineStr">
        <is>
          <t>Land</t>
        </is>
      </c>
      <c r="F59" s="78" t="inlineStr">
        <is>
          <t>Plot / unit price</t>
        </is>
      </c>
      <c r="G59" s="78" t="inlineStr">
        <is>
          <t>Green City Phase 1 (Ketu-Epe)</t>
        </is>
      </c>
      <c r="H59" s="78" t="inlineStr">
        <is>
          <t>BP-C0029</t>
        </is>
      </c>
      <c r="I59" s="78" t="inlineStr">
        <is>
          <t>Mr Ohanehi Anthony Chukwunonso</t>
        </is>
      </c>
      <c r="J59" s="80" t="n">
        <v>1000000</v>
      </c>
      <c r="K59" s="78" t="n"/>
      <c r="L59" s="78" t="inlineStr">
        <is>
          <t>Secondary: turnover schedule (Green City Ph1/Ph2 payment history); no monthly turnover register for this period</t>
        </is>
      </c>
      <c r="M59" s="78" t="inlineStr">
        <is>
          <t>BAAY PROJECTS FINANCIALS 2024.xlsx</t>
        </is>
      </c>
      <c r="N59" s="78" t="inlineStr">
        <is>
          <t>TURNOVER SCHEDULE</t>
        </is>
      </c>
      <c r="O59" s="78" t="n">
        <v>17</v>
      </c>
      <c r="P59" s="78" t="inlineStr">
        <is>
          <t>30/10/2023</t>
        </is>
      </c>
      <c r="Q59" s="78" t="n"/>
      <c r="R59" s="78" t="n"/>
    </row>
    <row r="60" ht="25" customHeight="1">
      <c r="A60" s="75" t="inlineStr">
        <is>
          <t>SL0037</t>
        </is>
      </c>
      <c r="B60" s="76" t="n">
        <v>45229</v>
      </c>
      <c r="C60" s="75" t="inlineStr">
        <is>
          <t>2023-10</t>
        </is>
      </c>
      <c r="D60" s="75" t="n">
        <v>2023</v>
      </c>
      <c r="E60" s="75" t="inlineStr">
        <is>
          <t>Land</t>
        </is>
      </c>
      <c r="F60" s="75" t="inlineStr">
        <is>
          <t>Plot / unit price</t>
        </is>
      </c>
      <c r="G60" s="75" t="inlineStr">
        <is>
          <t>Green City Phase 1 (Ketu-Epe)</t>
        </is>
      </c>
      <c r="H60" s="75" t="inlineStr">
        <is>
          <t>BP-C0029</t>
        </is>
      </c>
      <c r="I60" s="75" t="inlineStr">
        <is>
          <t>Mr Ohanehi Anthony Chukwunonso</t>
        </is>
      </c>
      <c r="J60" s="77" t="n">
        <v>1000000</v>
      </c>
      <c r="K60" s="75" t="n"/>
      <c r="L60" s="75" t="inlineStr">
        <is>
          <t>Secondary: turnover schedule (Green City Ph1/Ph2 payment history); no monthly turnover register for this period</t>
        </is>
      </c>
      <c r="M60" s="75" t="inlineStr">
        <is>
          <t>BAAY PROJECTS FINANCIALS 2024.xlsx</t>
        </is>
      </c>
      <c r="N60" s="75" t="inlineStr">
        <is>
          <t>TURNOVER SCHEDULE</t>
        </is>
      </c>
      <c r="O60" s="75" t="n">
        <v>163</v>
      </c>
      <c r="P60" s="75" t="inlineStr">
        <is>
          <t>30/10/2023</t>
        </is>
      </c>
      <c r="Q60" s="75" t="n"/>
      <c r="R60" s="75" t="n"/>
    </row>
    <row r="61" ht="25" customHeight="1">
      <c r="A61" s="78" t="inlineStr">
        <is>
          <t>SL0038</t>
        </is>
      </c>
      <c r="B61" s="79" t="n">
        <v>45229</v>
      </c>
      <c r="C61" s="78" t="inlineStr">
        <is>
          <t>2023-10</t>
        </is>
      </c>
      <c r="D61" s="78" t="n">
        <v>2023</v>
      </c>
      <c r="E61" s="78" t="inlineStr">
        <is>
          <t>Land</t>
        </is>
      </c>
      <c r="F61" s="78" t="inlineStr">
        <is>
          <t>Plot / unit price</t>
        </is>
      </c>
      <c r="G61" s="78" t="inlineStr">
        <is>
          <t>Land (estate not stated in source)</t>
        </is>
      </c>
      <c r="H61" s="78" t="inlineStr">
        <is>
          <t>BP-C0021</t>
        </is>
      </c>
      <c r="I61" s="78" t="inlineStr">
        <is>
          <t>Mr Oyewusi sheriff Oyewole</t>
        </is>
      </c>
      <c r="J61" s="80" t="n">
        <v>600000</v>
      </c>
      <c r="K61" s="78" t="n"/>
      <c r="L61" s="78" t="inlineStr">
        <is>
          <t>Secondary: commission records; no monthly turnover register for this period</t>
        </is>
      </c>
      <c r="M61" s="78" t="inlineStr">
        <is>
          <t>BAAY PROJECTS SALES EXPENSES (COMMISSION) RECORDS (1)</t>
        </is>
      </c>
      <c r="N61" s="78" t="inlineStr">
        <is>
          <t>MS BOLANLE</t>
        </is>
      </c>
      <c r="O61" s="78" t="n">
        <v>10</v>
      </c>
      <c r="P61" s="78" t="inlineStr">
        <is>
          <t>30/10/2023</t>
        </is>
      </c>
      <c r="Q61" s="78" t="n"/>
      <c r="R61" s="78" t="inlineStr">
        <is>
          <t>Commission-record amount: confirm to bank statement (records can aggregate several transfers)</t>
        </is>
      </c>
    </row>
    <row r="62" ht="25" customHeight="1">
      <c r="A62" s="75" t="inlineStr">
        <is>
          <t>SL0039</t>
        </is>
      </c>
      <c r="B62" s="76" t="n">
        <v>45232</v>
      </c>
      <c r="C62" s="75" t="inlineStr">
        <is>
          <t>2023-11</t>
        </is>
      </c>
      <c r="D62" s="75" t="n">
        <v>2023</v>
      </c>
      <c r="E62" s="75" t="inlineStr">
        <is>
          <t>Land</t>
        </is>
      </c>
      <c r="F62" s="75" t="inlineStr">
        <is>
          <t>Plot / unit price</t>
        </is>
      </c>
      <c r="G62" s="75" t="inlineStr">
        <is>
          <t>Green City Phase 1 (Ketu-Epe)</t>
        </is>
      </c>
      <c r="H62" s="75" t="inlineStr">
        <is>
          <t>BP-C0036</t>
        </is>
      </c>
      <c r="I62" s="75" t="inlineStr">
        <is>
          <t>Mr Ohumende Paul Osaze</t>
        </is>
      </c>
      <c r="J62" s="77" t="n">
        <v>3000000</v>
      </c>
      <c r="K62" s="75" t="n"/>
      <c r="L62" s="75" t="inlineStr">
        <is>
          <t>Secondary: turnover schedule (Green City Ph1/Ph2 payment history); no monthly turnover register for this period</t>
        </is>
      </c>
      <c r="M62" s="75" t="inlineStr">
        <is>
          <t>BAAY PROJECTS FINANCIALS 2024.xlsx</t>
        </is>
      </c>
      <c r="N62" s="75" t="inlineStr">
        <is>
          <t>TURNOVER SCHEDULE</t>
        </is>
      </c>
      <c r="O62" s="75" t="n">
        <v>118</v>
      </c>
      <c r="P62" s="75" t="inlineStr">
        <is>
          <t>2023-02-11</t>
        </is>
      </c>
      <c r="Q62" s="75" t="n"/>
      <c r="R62" s="75" t="n"/>
    </row>
    <row r="63" ht="25" customHeight="1">
      <c r="A63" s="78" t="inlineStr">
        <is>
          <t>SL0040</t>
        </is>
      </c>
      <c r="B63" s="79" t="n">
        <v>45233</v>
      </c>
      <c r="C63" s="78" t="inlineStr">
        <is>
          <t>2023-11</t>
        </is>
      </c>
      <c r="D63" s="78" t="n">
        <v>2023</v>
      </c>
      <c r="E63" s="78" t="inlineStr">
        <is>
          <t>Land</t>
        </is>
      </c>
      <c r="F63" s="78" t="inlineStr">
        <is>
          <t>Plot / unit price</t>
        </is>
      </c>
      <c r="G63" s="78" t="inlineStr">
        <is>
          <t>Land (estate not stated in source)</t>
        </is>
      </c>
      <c r="H63" s="78" t="inlineStr">
        <is>
          <t>BP-C0042</t>
        </is>
      </c>
      <c r="I63" s="78" t="inlineStr">
        <is>
          <t>Alhaji Gbadamosi Mohammad</t>
        </is>
      </c>
      <c r="J63" s="80" t="n">
        <v>3900000</v>
      </c>
      <c r="K63" s="78" t="n"/>
      <c r="L63" s="78" t="inlineStr">
        <is>
          <t>Secondary: commission records; no monthly turnover register for this period</t>
        </is>
      </c>
      <c r="M63" s="78" t="inlineStr">
        <is>
          <t>BAAY PROJECTS SALES EXPENSES (COMMISSION) RECORDS (1)</t>
        </is>
      </c>
      <c r="N63" s="78" t="inlineStr">
        <is>
          <t>OLUWATOBIJUWON</t>
        </is>
      </c>
      <c r="O63" s="78" t="n">
        <v>7</v>
      </c>
      <c r="P63" s="78" t="inlineStr">
        <is>
          <t>2023-03-11</t>
        </is>
      </c>
      <c r="Q63" s="78" t="n"/>
      <c r="R63" s="78" t="inlineStr">
        <is>
          <t>Commission-record amount: confirm to bank statement (records can aggregate several transfers)</t>
        </is>
      </c>
    </row>
    <row r="64" ht="25" customHeight="1">
      <c r="A64" s="75" t="inlineStr">
        <is>
          <t>SL0041</t>
        </is>
      </c>
      <c r="B64" s="76" t="n">
        <v>45239</v>
      </c>
      <c r="C64" s="75" t="inlineStr">
        <is>
          <t>2023-11</t>
        </is>
      </c>
      <c r="D64" s="75" t="n">
        <v>2023</v>
      </c>
      <c r="E64" s="75" t="inlineStr">
        <is>
          <t>Land</t>
        </is>
      </c>
      <c r="F64" s="75" t="inlineStr">
        <is>
          <t>Plot / unit price</t>
        </is>
      </c>
      <c r="G64" s="75" t="inlineStr">
        <is>
          <t>Green City Phase 1 (Ketu-Epe)</t>
        </is>
      </c>
      <c r="H64" s="75" t="inlineStr">
        <is>
          <t>BP-C0026</t>
        </is>
      </c>
      <c r="I64" s="75" t="inlineStr">
        <is>
          <t>Mr Adebayo Dada</t>
        </is>
      </c>
      <c r="J64" s="77" t="n">
        <v>200000</v>
      </c>
      <c r="K64" s="75" t="n"/>
      <c r="L64" s="75" t="inlineStr">
        <is>
          <t>Secondary: turnover schedule (Green City Ph1/Ph2 payment history); no monthly turnover register for this period</t>
        </is>
      </c>
      <c r="M64" s="75" t="inlineStr">
        <is>
          <t>BAAY PROJECTS FINANCIALS 2024.xlsx</t>
        </is>
      </c>
      <c r="N64" s="75" t="inlineStr">
        <is>
          <t>TURNOVER SCHEDULE</t>
        </is>
      </c>
      <c r="O64" s="75" t="n">
        <v>9</v>
      </c>
      <c r="P64" s="75" t="inlineStr">
        <is>
          <t>2023-09-11</t>
        </is>
      </c>
      <c r="Q64" s="75" t="n"/>
      <c r="R64" s="75" t="n"/>
    </row>
    <row r="65" ht="25" customHeight="1">
      <c r="A65" s="78" t="inlineStr">
        <is>
          <t>SL0042</t>
        </is>
      </c>
      <c r="B65" s="79" t="n">
        <v>45239</v>
      </c>
      <c r="C65" s="78" t="inlineStr">
        <is>
          <t>2023-11</t>
        </is>
      </c>
      <c r="D65" s="78" t="n">
        <v>2023</v>
      </c>
      <c r="E65" s="78" t="inlineStr">
        <is>
          <t>Land</t>
        </is>
      </c>
      <c r="F65" s="78" t="inlineStr">
        <is>
          <t>Plot / unit price</t>
        </is>
      </c>
      <c r="G65" s="78" t="inlineStr">
        <is>
          <t>Green City Phase 1 (Ketu-Epe)</t>
        </is>
      </c>
      <c r="H65" s="78" t="inlineStr">
        <is>
          <t>BP-C0044</t>
        </is>
      </c>
      <c r="I65" s="78" t="inlineStr">
        <is>
          <t>Mr Babajide Oluwase</t>
        </is>
      </c>
      <c r="J65" s="80" t="n">
        <v>1200000</v>
      </c>
      <c r="K65" s="78" t="n"/>
      <c r="L65" s="78" t="inlineStr">
        <is>
          <t>Secondary: turnover schedule (Green City Ph1/Ph2 payment history); no monthly turnover register for this period</t>
        </is>
      </c>
      <c r="M65" s="78" t="inlineStr">
        <is>
          <t>BAAY PROJECTS FINANCIALS 2024.xlsx</t>
        </is>
      </c>
      <c r="N65" s="78" t="inlineStr">
        <is>
          <t>TURNOVER SCHEDULE</t>
        </is>
      </c>
      <c r="O65" s="78" t="n">
        <v>189</v>
      </c>
      <c r="P65" s="78" t="inlineStr">
        <is>
          <t>2023-09-11</t>
        </is>
      </c>
      <c r="Q65" s="78" t="n"/>
      <c r="R65" s="78" t="n"/>
    </row>
    <row r="66" ht="25" customHeight="1">
      <c r="A66" s="75" t="inlineStr">
        <is>
          <t>SL0043</t>
        </is>
      </c>
      <c r="B66" s="76" t="n">
        <v>45239</v>
      </c>
      <c r="C66" s="75" t="inlineStr">
        <is>
          <t>2023-11</t>
        </is>
      </c>
      <c r="D66" s="75" t="n">
        <v>2023</v>
      </c>
      <c r="E66" s="75" t="inlineStr">
        <is>
          <t>Land</t>
        </is>
      </c>
      <c r="F66" s="75" t="inlineStr">
        <is>
          <t>Plot / unit price</t>
        </is>
      </c>
      <c r="G66" s="75" t="inlineStr">
        <is>
          <t>Land (estate not stated in source)</t>
        </is>
      </c>
      <c r="H66" s="75" t="inlineStr">
        <is>
          <t>BP-C0043</t>
        </is>
      </c>
      <c r="I66" s="75" t="inlineStr">
        <is>
          <t>Mrs Oladiran Omolola</t>
        </is>
      </c>
      <c r="J66" s="77" t="n">
        <v>750000</v>
      </c>
      <c r="K66" s="75" t="n"/>
      <c r="L66" s="75" t="inlineStr">
        <is>
          <t>Secondary: commission records; no monthly turnover register for this period</t>
        </is>
      </c>
      <c r="M66" s="75" t="inlineStr">
        <is>
          <t>BAAY PROJECTS SALES EXPENSES (COMMISSION) RECORDS (1)</t>
        </is>
      </c>
      <c r="N66" s="75" t="inlineStr">
        <is>
          <t>MR PELUMI</t>
        </is>
      </c>
      <c r="O66" s="75" t="n">
        <v>7</v>
      </c>
      <c r="P66" s="75" t="inlineStr">
        <is>
          <t>2023-09-11</t>
        </is>
      </c>
      <c r="Q66" s="75" t="n"/>
      <c r="R66" s="75" t="inlineStr">
        <is>
          <t>Commission-record amount: confirm to bank statement (records can aggregate several transfers)</t>
        </is>
      </c>
    </row>
    <row r="67" ht="25" customHeight="1">
      <c r="A67" s="78" t="inlineStr">
        <is>
          <t>SL0044</t>
        </is>
      </c>
      <c r="B67" s="79" t="n">
        <v>45245</v>
      </c>
      <c r="C67" s="78" t="inlineStr">
        <is>
          <t>2023-11</t>
        </is>
      </c>
      <c r="D67" s="78" t="n">
        <v>2023</v>
      </c>
      <c r="E67" s="78" t="inlineStr">
        <is>
          <t>Land</t>
        </is>
      </c>
      <c r="F67" s="78" t="inlineStr">
        <is>
          <t>Plot / unit price</t>
        </is>
      </c>
      <c r="G67" s="78" t="inlineStr">
        <is>
          <t>Green City Phase 1 (Ketu-Epe)</t>
        </is>
      </c>
      <c r="H67" s="78" t="inlineStr">
        <is>
          <t>BP-C0045</t>
        </is>
      </c>
      <c r="I67" s="78" t="inlineStr">
        <is>
          <t>Mr Bolarinwa Iyanuoluwa Simon &amp; Dr Bolarinwa Abisola Christianah</t>
        </is>
      </c>
      <c r="J67" s="80" t="n">
        <v>1000000</v>
      </c>
      <c r="K67" s="78" t="n"/>
      <c r="L67" s="78" t="inlineStr">
        <is>
          <t>Secondary: turnover schedule (Green City Ph1/Ph2 payment history); no monthly turnover register for this period</t>
        </is>
      </c>
      <c r="M67" s="78" t="inlineStr">
        <is>
          <t>BAAY PROJECTS FINANCIALS 2024.xlsx</t>
        </is>
      </c>
      <c r="N67" s="78" t="inlineStr">
        <is>
          <t>TURNOVER SCHEDULE</t>
        </is>
      </c>
      <c r="O67" s="78" t="n">
        <v>265</v>
      </c>
      <c r="P67" s="78" t="inlineStr">
        <is>
          <t>15/11/2023</t>
        </is>
      </c>
      <c r="Q67" s="78" t="n"/>
      <c r="R67" s="78" t="n"/>
    </row>
    <row r="68" ht="25" customHeight="1">
      <c r="A68" s="75" t="inlineStr">
        <is>
          <t>SL0045</t>
        </is>
      </c>
      <c r="B68" s="76" t="n">
        <v>45246</v>
      </c>
      <c r="C68" s="75" t="inlineStr">
        <is>
          <t>2023-11</t>
        </is>
      </c>
      <c r="D68" s="75" t="n">
        <v>2023</v>
      </c>
      <c r="E68" s="75" t="inlineStr">
        <is>
          <t>Land</t>
        </is>
      </c>
      <c r="F68" s="75" t="inlineStr">
        <is>
          <t>Plot / unit price</t>
        </is>
      </c>
      <c r="G68" s="75" t="inlineStr">
        <is>
          <t>Green City Phase 1 (Ketu-Epe)</t>
        </is>
      </c>
      <c r="H68" s="75" t="inlineStr">
        <is>
          <t>BP-C0027</t>
        </is>
      </c>
      <c r="I68" s="75" t="inlineStr">
        <is>
          <t>Mr Edun Ayobami Simeon</t>
        </is>
      </c>
      <c r="J68" s="77" t="n">
        <v>700000</v>
      </c>
      <c r="K68" s="75" t="n"/>
      <c r="L68" s="75" t="inlineStr">
        <is>
          <t>Secondary: turnover schedule (Green City Ph1/Ph2 payment history); no monthly turnover register for this period</t>
        </is>
      </c>
      <c r="M68" s="75" t="inlineStr">
        <is>
          <t>BAAY PROJECTS FINANCIALS 2024.xlsx</t>
        </is>
      </c>
      <c r="N68" s="75" t="inlineStr">
        <is>
          <t>TURNOVER SCHEDULE</t>
        </is>
      </c>
      <c r="O68" s="75" t="n">
        <v>127</v>
      </c>
      <c r="P68" s="75" t="inlineStr">
        <is>
          <t>16/11/2023</t>
        </is>
      </c>
      <c r="Q68" s="75" t="inlineStr">
        <is>
          <t>OLAIYA r9</t>
        </is>
      </c>
      <c r="R68" s="75" t="n"/>
    </row>
    <row r="69" ht="25" customHeight="1">
      <c r="A69" s="78" t="inlineStr">
        <is>
          <t>SL0046</t>
        </is>
      </c>
      <c r="B69" s="79" t="n">
        <v>45251</v>
      </c>
      <c r="C69" s="78" t="inlineStr">
        <is>
          <t>2023-11</t>
        </is>
      </c>
      <c r="D69" s="78" t="n">
        <v>2023</v>
      </c>
      <c r="E69" s="78" t="inlineStr">
        <is>
          <t>Land</t>
        </is>
      </c>
      <c r="F69" s="78" t="inlineStr">
        <is>
          <t>Plot / unit price</t>
        </is>
      </c>
      <c r="G69" s="78" t="inlineStr">
        <is>
          <t>Green City Phase 1 (Ketu-Epe)</t>
        </is>
      </c>
      <c r="H69" s="78" t="inlineStr">
        <is>
          <t>BP-C0046</t>
        </is>
      </c>
      <c r="I69" s="78" t="inlineStr">
        <is>
          <t>Mr Adesida Raphael Abiodun</t>
        </is>
      </c>
      <c r="J69" s="80" t="n">
        <v>1000000</v>
      </c>
      <c r="K69" s="78" t="n"/>
      <c r="L69" s="78" t="inlineStr">
        <is>
          <t>Secondary: turnover schedule (Green City Ph1/Ph2 payment history); no monthly turnover register for this period</t>
        </is>
      </c>
      <c r="M69" s="78" t="inlineStr">
        <is>
          <t>BAAY PROJECTS FINANCIALS 2024.xlsx</t>
        </is>
      </c>
      <c r="N69" s="78" t="inlineStr">
        <is>
          <t>TURNOVER SCHEDULE</t>
        </is>
      </c>
      <c r="O69" s="78" t="n">
        <v>169</v>
      </c>
      <c r="P69" s="78" t="inlineStr">
        <is>
          <t>21/11/2023</t>
        </is>
      </c>
      <c r="Q69" s="78" t="n"/>
      <c r="R69" s="78" t="n"/>
    </row>
    <row r="70" ht="25" customHeight="1">
      <c r="A70" s="75" t="inlineStr">
        <is>
          <t>SL0047</t>
        </is>
      </c>
      <c r="B70" s="76" t="n">
        <v>45254</v>
      </c>
      <c r="C70" s="75" t="inlineStr">
        <is>
          <t>2023-11</t>
        </is>
      </c>
      <c r="D70" s="75" t="n">
        <v>2023</v>
      </c>
      <c r="E70" s="75" t="inlineStr">
        <is>
          <t>Housing</t>
        </is>
      </c>
      <c r="F70" s="75" t="inlineStr">
        <is>
          <t>Plot / unit price</t>
        </is>
      </c>
      <c r="G70" s="75" t="inlineStr">
        <is>
          <t>Pacific Court</t>
        </is>
      </c>
      <c r="H70" s="75" t="inlineStr">
        <is>
          <t>BP-C0047</t>
        </is>
      </c>
      <c r="I70" s="75" t="inlineStr">
        <is>
          <t>Ms Paulina Kehinde Akhere George</t>
        </is>
      </c>
      <c r="J70" s="77" t="n">
        <v>16500000</v>
      </c>
      <c r="K70" s="75" t="n"/>
      <c r="L70" s="75" t="inlineStr">
        <is>
          <t>Secondary: turnover schedule (Green City Ph1/Ph2 payment history); no monthly turnover register for this period</t>
        </is>
      </c>
      <c r="M70" s="75" t="inlineStr">
        <is>
          <t>BAAY PROJECTS FINANCIALS 2024.xlsx</t>
        </is>
      </c>
      <c r="N70" s="75" t="inlineStr">
        <is>
          <t>TURNOVER SCHEDULE</t>
        </is>
      </c>
      <c r="O70" s="75" t="n">
        <v>211</v>
      </c>
      <c r="P70" s="75" t="inlineStr">
        <is>
          <t>24/11/2023</t>
        </is>
      </c>
      <c r="Q70" s="75" t="n"/>
      <c r="R70" s="75" t="n"/>
    </row>
    <row r="71" ht="25" customHeight="1">
      <c r="A71" s="78" t="inlineStr">
        <is>
          <t>SL0048</t>
        </is>
      </c>
      <c r="B71" s="79" t="n">
        <v>45255</v>
      </c>
      <c r="C71" s="78" t="inlineStr">
        <is>
          <t>2023-11</t>
        </is>
      </c>
      <c r="D71" s="78" t="n">
        <v>2023</v>
      </c>
      <c r="E71" s="78" t="inlineStr">
        <is>
          <t>Land</t>
        </is>
      </c>
      <c r="F71" s="78" t="inlineStr">
        <is>
          <t>Plot / unit price</t>
        </is>
      </c>
      <c r="G71" s="78" t="inlineStr">
        <is>
          <t>Green City Phase 1 (Ketu-Epe)</t>
        </is>
      </c>
      <c r="H71" s="78" t="inlineStr">
        <is>
          <t>BP-C0026</t>
        </is>
      </c>
      <c r="I71" s="78" t="inlineStr">
        <is>
          <t>Mr Adebayo Dada</t>
        </is>
      </c>
      <c r="J71" s="80" t="n">
        <v>200000</v>
      </c>
      <c r="K71" s="78" t="n"/>
      <c r="L71" s="78" t="inlineStr">
        <is>
          <t>Secondary: turnover schedule (Green City Ph1/Ph2 payment history); no monthly turnover register for this period</t>
        </is>
      </c>
      <c r="M71" s="78" t="inlineStr">
        <is>
          <t>BAAY PROJECTS FINANCIALS 2024.xlsx</t>
        </is>
      </c>
      <c r="N71" s="78" t="inlineStr">
        <is>
          <t>TURNOVER SCHEDULE</t>
        </is>
      </c>
      <c r="O71" s="78" t="n">
        <v>11</v>
      </c>
      <c r="P71" s="78" t="inlineStr">
        <is>
          <t>25/11/2023</t>
        </is>
      </c>
      <c r="Q71" s="78" t="n"/>
      <c r="R71" s="78" t="n"/>
    </row>
    <row r="72" ht="25" customHeight="1">
      <c r="A72" s="75" t="inlineStr">
        <is>
          <t>SL0049</t>
        </is>
      </c>
      <c r="B72" s="76" t="n">
        <v>45259</v>
      </c>
      <c r="C72" s="75" t="inlineStr">
        <is>
          <t>2023-11</t>
        </is>
      </c>
      <c r="D72" s="75" t="n">
        <v>2023</v>
      </c>
      <c r="E72" s="75" t="inlineStr">
        <is>
          <t>Land</t>
        </is>
      </c>
      <c r="F72" s="75" t="inlineStr">
        <is>
          <t>Plot / unit price</t>
        </is>
      </c>
      <c r="G72" s="75" t="inlineStr">
        <is>
          <t>Green City Phase 1 (Ketu-Epe)</t>
        </is>
      </c>
      <c r="H72" s="75" t="inlineStr">
        <is>
          <t>BP-C0029</t>
        </is>
      </c>
      <c r="I72" s="75" t="inlineStr">
        <is>
          <t>Mr Ohanehi Anthony Chukwunonso</t>
        </is>
      </c>
      <c r="J72" s="77" t="n">
        <v>1483000</v>
      </c>
      <c r="K72" s="75" t="n"/>
      <c r="L72" s="75" t="inlineStr">
        <is>
          <t>Secondary: turnover schedule (Green City Ph1/Ph2 payment history); no monthly turnover register for this period</t>
        </is>
      </c>
      <c r="M72" s="75" t="inlineStr">
        <is>
          <t>BAAY PROJECTS FINANCIALS 2024.xlsx</t>
        </is>
      </c>
      <c r="N72" s="75" t="inlineStr">
        <is>
          <t>TURNOVER SCHEDULE</t>
        </is>
      </c>
      <c r="O72" s="75" t="n">
        <v>18</v>
      </c>
      <c r="P72" s="75" t="inlineStr">
        <is>
          <t>29/11/2023</t>
        </is>
      </c>
      <c r="Q72" s="75" t="n"/>
      <c r="R72" s="75" t="n"/>
    </row>
    <row r="73" ht="25" customHeight="1">
      <c r="A73" s="78" t="inlineStr">
        <is>
          <t>SL0050</t>
        </is>
      </c>
      <c r="B73" s="79" t="n">
        <v>45259</v>
      </c>
      <c r="C73" s="78" t="inlineStr">
        <is>
          <t>2023-11</t>
        </is>
      </c>
      <c r="D73" s="78" t="n">
        <v>2023</v>
      </c>
      <c r="E73" s="78" t="inlineStr">
        <is>
          <t>Land</t>
        </is>
      </c>
      <c r="F73" s="78" t="inlineStr">
        <is>
          <t>Plot / unit price</t>
        </is>
      </c>
      <c r="G73" s="78" t="inlineStr">
        <is>
          <t>Green City Phase 1 (Ketu-Epe)</t>
        </is>
      </c>
      <c r="H73" s="78" t="inlineStr">
        <is>
          <t>BP-C0029</t>
        </is>
      </c>
      <c r="I73" s="78" t="inlineStr">
        <is>
          <t>Mr Ohanehi Anthony Chukwunonso</t>
        </is>
      </c>
      <c r="J73" s="80" t="n">
        <v>1483000</v>
      </c>
      <c r="K73" s="78" t="n"/>
      <c r="L73" s="78" t="inlineStr">
        <is>
          <t>Secondary: turnover schedule (Green City Ph1/Ph2 payment history); no monthly turnover register for this period</t>
        </is>
      </c>
      <c r="M73" s="78" t="inlineStr">
        <is>
          <t>BAAY PROJECTS FINANCIALS 2024.xlsx</t>
        </is>
      </c>
      <c r="N73" s="78" t="inlineStr">
        <is>
          <t>TURNOVER SCHEDULE</t>
        </is>
      </c>
      <c r="O73" s="78" t="n">
        <v>164</v>
      </c>
      <c r="P73" s="78" t="inlineStr">
        <is>
          <t>29/11/2023</t>
        </is>
      </c>
      <c r="Q73" s="78" t="n"/>
      <c r="R73" s="78" t="n"/>
    </row>
    <row r="74" ht="25" customHeight="1">
      <c r="A74" s="75" t="inlineStr">
        <is>
          <t>SL0051</t>
        </is>
      </c>
      <c r="B74" s="76" t="n">
        <v>45261</v>
      </c>
      <c r="C74" s="75" t="inlineStr">
        <is>
          <t>2023-12</t>
        </is>
      </c>
      <c r="D74" s="75" t="n">
        <v>2023</v>
      </c>
      <c r="E74" s="75" t="inlineStr">
        <is>
          <t>Land</t>
        </is>
      </c>
      <c r="F74" s="75" t="inlineStr">
        <is>
          <t>Plot / unit price</t>
        </is>
      </c>
      <c r="G74" s="75" t="inlineStr">
        <is>
          <t>Land (estate not stated in source)</t>
        </is>
      </c>
      <c r="H74" s="75" t="inlineStr">
        <is>
          <t>BP-C0026</t>
        </is>
      </c>
      <c r="I74" s="75" t="inlineStr">
        <is>
          <t>Mr Adebayo Dada</t>
        </is>
      </c>
      <c r="J74" s="77" t="n">
        <v>300000</v>
      </c>
      <c r="K74" s="75" t="inlineStr">
        <is>
          <t>Single register</t>
        </is>
      </c>
      <c r="L74" s="75" t="inlineStr">
        <is>
          <t>Primary: monthly turnover register</t>
        </is>
      </c>
      <c r="M74" s="75" t="inlineStr">
        <is>
          <t>BAAY PROJECTS FINANCIALS 2024.xlsx</t>
        </is>
      </c>
      <c r="N74" s="75" t="inlineStr">
        <is>
          <t>DECEMBER 2023 TURNOVER</t>
        </is>
      </c>
      <c r="O74" s="75" t="n">
        <v>6</v>
      </c>
      <c r="P74" s="75" t="inlineStr">
        <is>
          <t>2023-01-12</t>
        </is>
      </c>
      <c r="Q74" s="75" t="inlineStr">
        <is>
          <t>TURNOVER SCHEDULE r10</t>
        </is>
      </c>
      <c r="R74" s="75" t="n"/>
    </row>
    <row r="75" ht="25" customHeight="1">
      <c r="A75" s="78" t="inlineStr">
        <is>
          <t>SL0052</t>
        </is>
      </c>
      <c r="B75" s="79" t="n">
        <v>45264</v>
      </c>
      <c r="C75" s="78" t="inlineStr">
        <is>
          <t>2023-12</t>
        </is>
      </c>
      <c r="D75" s="78" t="n">
        <v>2023</v>
      </c>
      <c r="E75" s="78" t="inlineStr">
        <is>
          <t>Land</t>
        </is>
      </c>
      <c r="F75" s="78" t="inlineStr">
        <is>
          <t>Plot / unit price</t>
        </is>
      </c>
      <c r="G75" s="78" t="inlineStr">
        <is>
          <t>Land (estate not stated in source)</t>
        </is>
      </c>
      <c r="H75" s="78" t="inlineStr">
        <is>
          <t>BP-C0036</t>
        </is>
      </c>
      <c r="I75" s="78" t="inlineStr">
        <is>
          <t>Mr Ohumende Paul Osaze</t>
        </is>
      </c>
      <c r="J75" s="80" t="n">
        <v>4600000</v>
      </c>
      <c r="K75" s="78" t="inlineStr">
        <is>
          <t>Single register</t>
        </is>
      </c>
      <c r="L75" s="78" t="inlineStr">
        <is>
          <t>Primary: monthly turnover register</t>
        </is>
      </c>
      <c r="M75" s="78" t="inlineStr">
        <is>
          <t>BAAY PROJECTS FINANCIALS 2024.xlsx</t>
        </is>
      </c>
      <c r="N75" s="78" t="inlineStr">
        <is>
          <t>DECEMBER 2023 TURNOVER</t>
        </is>
      </c>
      <c r="O75" s="78" t="n">
        <v>7</v>
      </c>
      <c r="P75" s="78" t="inlineStr">
        <is>
          <t>2023-04-12</t>
        </is>
      </c>
      <c r="Q75" s="78" t="inlineStr">
        <is>
          <t>TURNOVER SCHEDULE r119</t>
        </is>
      </c>
      <c r="R75" s="78" t="n"/>
    </row>
    <row r="76" ht="25" customHeight="1">
      <c r="A76" s="75" t="inlineStr">
        <is>
          <t>SL0053</t>
        </is>
      </c>
      <c r="B76" s="76" t="n">
        <v>45264</v>
      </c>
      <c r="C76" s="75" t="inlineStr">
        <is>
          <t>2023-12</t>
        </is>
      </c>
      <c r="D76" s="75" t="n">
        <v>2023</v>
      </c>
      <c r="E76" s="75" t="inlineStr">
        <is>
          <t>Housing</t>
        </is>
      </c>
      <c r="F76" s="75" t="inlineStr">
        <is>
          <t>Plot / unit price</t>
        </is>
      </c>
      <c r="G76" s="75" t="inlineStr">
        <is>
          <t>Housing unit (project not stated in source)</t>
        </is>
      </c>
      <c r="H76" s="75" t="inlineStr">
        <is>
          <t>BP-C0047</t>
        </is>
      </c>
      <c r="I76" s="75" t="inlineStr">
        <is>
          <t>Ms Paulina Kehinde Akhere George</t>
        </is>
      </c>
      <c r="J76" s="77" t="n">
        <v>2500000</v>
      </c>
      <c r="K76" s="75" t="inlineStr">
        <is>
          <t>Single register</t>
        </is>
      </c>
      <c r="L76" s="75" t="inlineStr">
        <is>
          <t>Primary: monthly turnover register</t>
        </is>
      </c>
      <c r="M76" s="75" t="inlineStr">
        <is>
          <t>BAAY PROJECTS FINANCIALS 2024.xlsx</t>
        </is>
      </c>
      <c r="N76" s="75" t="inlineStr">
        <is>
          <t>DECEMBER 2023 TURNOVER</t>
        </is>
      </c>
      <c r="O76" s="75" t="n">
        <v>8</v>
      </c>
      <c r="P76" s="75" t="inlineStr">
        <is>
          <t>2023-04-12</t>
        </is>
      </c>
      <c r="Q76" s="75" t="inlineStr">
        <is>
          <t>TURNOVER SCHEDULE r212</t>
        </is>
      </c>
      <c r="R76" s="75" t="n"/>
    </row>
    <row r="77" ht="25" customHeight="1">
      <c r="A77" s="78" t="inlineStr">
        <is>
          <t>SL0054</t>
        </is>
      </c>
      <c r="B77" s="79" t="n">
        <v>45266</v>
      </c>
      <c r="C77" s="78" t="inlineStr">
        <is>
          <t>2023-12</t>
        </is>
      </c>
      <c r="D77" s="78" t="n">
        <v>2023</v>
      </c>
      <c r="E77" s="78" t="inlineStr">
        <is>
          <t>Land</t>
        </is>
      </c>
      <c r="F77" s="78" t="inlineStr">
        <is>
          <t>Plot / unit price</t>
        </is>
      </c>
      <c r="G77" s="78" t="inlineStr">
        <is>
          <t>Land (estate not stated in source)</t>
        </is>
      </c>
      <c r="H77" s="78" t="inlineStr">
        <is>
          <t>BP-C0039</t>
        </is>
      </c>
      <c r="I77" s="78" t="inlineStr">
        <is>
          <t>Mr Alabi Abdulazeez</t>
        </is>
      </c>
      <c r="J77" s="80" t="n">
        <v>800000</v>
      </c>
      <c r="K77" s="78" t="inlineStr">
        <is>
          <t>Single register</t>
        </is>
      </c>
      <c r="L77" s="78" t="inlineStr">
        <is>
          <t>Primary: monthly turnover register</t>
        </is>
      </c>
      <c r="M77" s="78" t="inlineStr">
        <is>
          <t>BAAY PROJECTS FINANCIALS 2024.xlsx</t>
        </is>
      </c>
      <c r="N77" s="78" t="inlineStr">
        <is>
          <t>DECEMBER 2023 TURNOVER</t>
        </is>
      </c>
      <c r="O77" s="78" t="n">
        <v>9</v>
      </c>
      <c r="P77" s="78" t="inlineStr">
        <is>
          <t>2023-06-12</t>
        </is>
      </c>
      <c r="Q77" s="78" t="inlineStr">
        <is>
          <t>TURNOVER SCHEDULE r196</t>
        </is>
      </c>
      <c r="R77" s="78" t="n"/>
    </row>
    <row r="78" ht="25" customHeight="1">
      <c r="A78" s="75" t="inlineStr">
        <is>
          <t>SL0055</t>
        </is>
      </c>
      <c r="B78" s="76" t="n">
        <v>45268</v>
      </c>
      <c r="C78" s="75" t="inlineStr">
        <is>
          <t>2023-12</t>
        </is>
      </c>
      <c r="D78" s="75" t="n">
        <v>2023</v>
      </c>
      <c r="E78" s="75" t="inlineStr">
        <is>
          <t>Land</t>
        </is>
      </c>
      <c r="F78" s="75" t="inlineStr">
        <is>
          <t>Plot / unit price</t>
        </is>
      </c>
      <c r="G78" s="75" t="inlineStr">
        <is>
          <t>Land (estate not stated in source)</t>
        </is>
      </c>
      <c r="H78" s="75" t="inlineStr">
        <is>
          <t>BP-C0048</t>
        </is>
      </c>
      <c r="I78" s="75" t="inlineStr">
        <is>
          <t>Mr Araokonmi Sodiq</t>
        </is>
      </c>
      <c r="J78" s="77" t="n">
        <v>2600000</v>
      </c>
      <c r="K78" s="75" t="inlineStr">
        <is>
          <t>Single register</t>
        </is>
      </c>
      <c r="L78" s="75" t="inlineStr">
        <is>
          <t>Primary: monthly turnover register</t>
        </is>
      </c>
      <c r="M78" s="75" t="inlineStr">
        <is>
          <t>BAAY PROJECTS FINANCIALS 2024.xlsx</t>
        </is>
      </c>
      <c r="N78" s="75" t="inlineStr">
        <is>
          <t>DECEMBER 2023 TURNOVER</t>
        </is>
      </c>
      <c r="O78" s="75" t="n">
        <v>10</v>
      </c>
      <c r="P78" s="75" t="inlineStr">
        <is>
          <t>2023-08-12</t>
        </is>
      </c>
      <c r="Q78" s="75" t="inlineStr">
        <is>
          <t>TURNOVER SCHEDULE r123, MS YETUNDE ABISOYE r7</t>
        </is>
      </c>
      <c r="R78" s="75" t="n"/>
    </row>
    <row r="79" ht="25" customHeight="1">
      <c r="A79" s="78" t="inlineStr">
        <is>
          <t>SL0056</t>
        </is>
      </c>
      <c r="B79" s="79" t="n">
        <v>45270</v>
      </c>
      <c r="C79" s="78" t="inlineStr">
        <is>
          <t>2023-12</t>
        </is>
      </c>
      <c r="D79" s="78" t="n">
        <v>2023</v>
      </c>
      <c r="E79" s="78" t="inlineStr">
        <is>
          <t>Land</t>
        </is>
      </c>
      <c r="F79" s="78" t="inlineStr">
        <is>
          <t>Plot / unit price</t>
        </is>
      </c>
      <c r="G79" s="78" t="inlineStr">
        <is>
          <t>Land (estate not stated in source)</t>
        </is>
      </c>
      <c r="H79" s="78" t="inlineStr">
        <is>
          <t>BP-C0028</t>
        </is>
      </c>
      <c r="I79" s="78" t="inlineStr">
        <is>
          <t>Mr Adebanjo Isaac</t>
        </is>
      </c>
      <c r="J79" s="80" t="n">
        <v>250000</v>
      </c>
      <c r="K79" s="78" t="inlineStr">
        <is>
          <t>Single register</t>
        </is>
      </c>
      <c r="L79" s="78" t="inlineStr">
        <is>
          <t>Primary: monthly turnover register</t>
        </is>
      </c>
      <c r="M79" s="78" t="inlineStr">
        <is>
          <t>BAAY PROJECTS FINANCIALS 2024.xlsx</t>
        </is>
      </c>
      <c r="N79" s="78" t="inlineStr">
        <is>
          <t>DECEMBER 2023 TURNOVER</t>
        </is>
      </c>
      <c r="O79" s="78" t="n">
        <v>11</v>
      </c>
      <c r="P79" s="78" t="inlineStr">
        <is>
          <t>2023-10-12</t>
        </is>
      </c>
      <c r="Q79" s="78" t="inlineStr">
        <is>
          <t>TURNOVER SCHEDULE r199</t>
        </is>
      </c>
      <c r="R79" s="78" t="n"/>
    </row>
    <row r="80" ht="25" customHeight="1">
      <c r="A80" s="75" t="inlineStr">
        <is>
          <t>SL0057</t>
        </is>
      </c>
      <c r="B80" s="76" t="n">
        <v>45270</v>
      </c>
      <c r="C80" s="75" t="inlineStr">
        <is>
          <t>2023-12</t>
        </is>
      </c>
      <c r="D80" s="75" t="n">
        <v>2023</v>
      </c>
      <c r="E80" s="75" t="inlineStr">
        <is>
          <t>Housing</t>
        </is>
      </c>
      <c r="F80" s="75" t="inlineStr">
        <is>
          <t>Plot / unit price</t>
        </is>
      </c>
      <c r="G80" s="75" t="inlineStr">
        <is>
          <t>Housing unit (project not stated in source)</t>
        </is>
      </c>
      <c r="H80" s="75" t="inlineStr">
        <is>
          <t>BP-C0047</t>
        </is>
      </c>
      <c r="I80" s="75" t="inlineStr">
        <is>
          <t>Ms Paulina Kehinde Akhere George</t>
        </is>
      </c>
      <c r="J80" s="77" t="n">
        <v>2500000</v>
      </c>
      <c r="K80" s="75" t="inlineStr">
        <is>
          <t>Single register</t>
        </is>
      </c>
      <c r="L80" s="75" t="inlineStr">
        <is>
          <t>Primary: monthly turnover register</t>
        </is>
      </c>
      <c r="M80" s="75" t="inlineStr">
        <is>
          <t>BAAY PROJECTS FINANCIALS 2024.xlsx</t>
        </is>
      </c>
      <c r="N80" s="75" t="inlineStr">
        <is>
          <t>DECEMBER 2023 TURNOVER</t>
        </is>
      </c>
      <c r="O80" s="75" t="n">
        <v>12</v>
      </c>
      <c r="P80" s="75" t="inlineStr">
        <is>
          <t>2023-10-12</t>
        </is>
      </c>
      <c r="Q80" s="75" t="inlineStr">
        <is>
          <t>TURNOVER SCHEDULE r213</t>
        </is>
      </c>
      <c r="R80" s="75" t="n"/>
    </row>
    <row r="81" ht="25" customHeight="1">
      <c r="A81" s="78" t="inlineStr">
        <is>
          <t>SL0058</t>
        </is>
      </c>
      <c r="B81" s="79" t="n">
        <v>45271</v>
      </c>
      <c r="C81" s="78" t="inlineStr">
        <is>
          <t>2023-12</t>
        </is>
      </c>
      <c r="D81" s="78" t="n">
        <v>2023</v>
      </c>
      <c r="E81" s="78" t="inlineStr">
        <is>
          <t>Land</t>
        </is>
      </c>
      <c r="F81" s="78" t="inlineStr">
        <is>
          <t>Plot / unit price</t>
        </is>
      </c>
      <c r="G81" s="78" t="inlineStr">
        <is>
          <t>Land (estate not stated in source)</t>
        </is>
      </c>
      <c r="H81" s="78" t="inlineStr">
        <is>
          <t>BP-C0049</t>
        </is>
      </c>
      <c r="I81" s="78" t="inlineStr">
        <is>
          <t>Mr Ali Ifesinachi Innocent</t>
        </is>
      </c>
      <c r="J81" s="80" t="n">
        <v>5040000</v>
      </c>
      <c r="K81" s="78" t="inlineStr">
        <is>
          <t>Single register</t>
        </is>
      </c>
      <c r="L81" s="78" t="inlineStr">
        <is>
          <t>Primary: monthly turnover register</t>
        </is>
      </c>
      <c r="M81" s="78" t="inlineStr">
        <is>
          <t>BAAY PROJECTS FINANCIALS 2024.xlsx</t>
        </is>
      </c>
      <c r="N81" s="78" t="inlineStr">
        <is>
          <t>DECEMBER 2023 TURNOVER</t>
        </is>
      </c>
      <c r="O81" s="78" t="n">
        <v>13</v>
      </c>
      <c r="P81" s="78" t="inlineStr">
        <is>
          <t>2023-11-12</t>
        </is>
      </c>
      <c r="Q81" s="78" t="inlineStr">
        <is>
          <t>TURNOVER SCHEDULE r209</t>
        </is>
      </c>
      <c r="R81" s="78" t="n"/>
    </row>
    <row r="82" ht="25" customHeight="1">
      <c r="A82" s="75" t="inlineStr">
        <is>
          <t>SL0059</t>
        </is>
      </c>
      <c r="B82" s="76" t="n">
        <v>45278</v>
      </c>
      <c r="C82" s="75" t="inlineStr">
        <is>
          <t>2023-12</t>
        </is>
      </c>
      <c r="D82" s="75" t="n">
        <v>2023</v>
      </c>
      <c r="E82" s="75" t="inlineStr">
        <is>
          <t>Land</t>
        </is>
      </c>
      <c r="F82" s="75" t="inlineStr">
        <is>
          <t>Plot / unit price</t>
        </is>
      </c>
      <c r="G82" s="75" t="inlineStr">
        <is>
          <t>Land (estate not stated in source)</t>
        </is>
      </c>
      <c r="H82" s="75" t="inlineStr">
        <is>
          <t>BP-C0026</t>
        </is>
      </c>
      <c r="I82" s="75" t="inlineStr">
        <is>
          <t>Mr Adebayo Dada</t>
        </is>
      </c>
      <c r="J82" s="77" t="n">
        <v>500000</v>
      </c>
      <c r="K82" s="75" t="inlineStr">
        <is>
          <t>Single register</t>
        </is>
      </c>
      <c r="L82" s="75" t="inlineStr">
        <is>
          <t>Primary: monthly turnover register</t>
        </is>
      </c>
      <c r="M82" s="75" t="inlineStr">
        <is>
          <t>BAAY PROJECTS FINANCIALS 2024.xlsx</t>
        </is>
      </c>
      <c r="N82" s="75" t="inlineStr">
        <is>
          <t>DECEMBER 2023 TURNOVER</t>
        </is>
      </c>
      <c r="O82" s="75" t="n">
        <v>14</v>
      </c>
      <c r="P82" s="75" t="inlineStr">
        <is>
          <t>18/12/2023</t>
        </is>
      </c>
      <c r="Q82" s="75" t="inlineStr">
        <is>
          <t>TURNOVER SCHEDULE r13</t>
        </is>
      </c>
      <c r="R82" s="75" t="n"/>
    </row>
    <row r="83" ht="25" customHeight="1">
      <c r="A83" s="78" t="inlineStr">
        <is>
          <t>SL0060</t>
        </is>
      </c>
      <c r="B83" s="79" t="n">
        <v>45279</v>
      </c>
      <c r="C83" s="78" t="inlineStr">
        <is>
          <t>2023-12</t>
        </is>
      </c>
      <c r="D83" s="78" t="n">
        <v>2023</v>
      </c>
      <c r="E83" s="78" t="inlineStr">
        <is>
          <t>Land</t>
        </is>
      </c>
      <c r="F83" s="78" t="inlineStr">
        <is>
          <t>Plot / unit price</t>
        </is>
      </c>
      <c r="G83" s="78" t="inlineStr">
        <is>
          <t>Land (estate not stated in source)</t>
        </is>
      </c>
      <c r="H83" s="78" t="inlineStr">
        <is>
          <t>BP-C0026</t>
        </is>
      </c>
      <c r="I83" s="78" t="inlineStr">
        <is>
          <t>Mr Adebayo Dada</t>
        </is>
      </c>
      <c r="J83" s="80" t="n">
        <v>500000</v>
      </c>
      <c r="K83" s="78" t="inlineStr">
        <is>
          <t>Single register</t>
        </is>
      </c>
      <c r="L83" s="78" t="inlineStr">
        <is>
          <t>Primary: monthly turnover register</t>
        </is>
      </c>
      <c r="M83" s="78" t="inlineStr">
        <is>
          <t>BAAY PROJECTS FINANCIALS 2024.xlsx</t>
        </is>
      </c>
      <c r="N83" s="78" t="inlineStr">
        <is>
          <t>DECEMBER 2023 TURNOVER</t>
        </is>
      </c>
      <c r="O83" s="78" t="n">
        <v>15</v>
      </c>
      <c r="P83" s="78" t="inlineStr">
        <is>
          <t>19/12/2023</t>
        </is>
      </c>
      <c r="Q83" s="78" t="inlineStr">
        <is>
          <t>TURNOVER SCHEDULE r14</t>
        </is>
      </c>
      <c r="R83" s="78" t="n"/>
    </row>
    <row r="84" ht="25" customHeight="1">
      <c r="A84" s="75" t="inlineStr">
        <is>
          <t>SL0061</t>
        </is>
      </c>
      <c r="B84" s="76" t="n">
        <v>45280</v>
      </c>
      <c r="C84" s="75" t="inlineStr">
        <is>
          <t>2023-12</t>
        </is>
      </c>
      <c r="D84" s="75" t="n">
        <v>2023</v>
      </c>
      <c r="E84" s="75" t="inlineStr">
        <is>
          <t>Land</t>
        </is>
      </c>
      <c r="F84" s="75" t="inlineStr">
        <is>
          <t>Plot / unit price</t>
        </is>
      </c>
      <c r="G84" s="75" t="inlineStr">
        <is>
          <t>Land (estate not stated in source)</t>
        </is>
      </c>
      <c r="H84" s="75" t="inlineStr">
        <is>
          <t>BP-C0033</t>
        </is>
      </c>
      <c r="I84" s="75" t="inlineStr">
        <is>
          <t>Mr Olumoko Oladapo Oluwaseun</t>
        </is>
      </c>
      <c r="J84" s="77" t="n">
        <v>1000000</v>
      </c>
      <c r="K84" s="75" t="inlineStr">
        <is>
          <t>Single register</t>
        </is>
      </c>
      <c r="L84" s="75" t="inlineStr">
        <is>
          <t>Primary: monthly turnover register</t>
        </is>
      </c>
      <c r="M84" s="75" t="inlineStr">
        <is>
          <t>BAAY PROJECTS FINANCIALS 2024.xlsx</t>
        </is>
      </c>
      <c r="N84" s="75" t="inlineStr">
        <is>
          <t>DECEMBER 2023 TURNOVER</t>
        </is>
      </c>
      <c r="O84" s="75" t="n">
        <v>16</v>
      </c>
      <c r="P84" s="75" t="inlineStr">
        <is>
          <t>20/12/2023</t>
        </is>
      </c>
      <c r="Q84" s="75" t="inlineStr">
        <is>
          <t>TURNOVER SCHEDULE r157, MS BOLANLE r14</t>
        </is>
      </c>
      <c r="R84" s="75" t="n"/>
    </row>
    <row r="85" ht="25" customHeight="1">
      <c r="A85" s="78" t="inlineStr">
        <is>
          <t>SL0062</t>
        </is>
      </c>
      <c r="B85" s="79" t="n">
        <v>45281</v>
      </c>
      <c r="C85" s="78" t="inlineStr">
        <is>
          <t>2023-12</t>
        </is>
      </c>
      <c r="D85" s="78" t="n">
        <v>2023</v>
      </c>
      <c r="E85" s="78" t="inlineStr">
        <is>
          <t>Land</t>
        </is>
      </c>
      <c r="F85" s="78" t="inlineStr">
        <is>
          <t>Plot / unit price</t>
        </is>
      </c>
      <c r="G85" s="78" t="inlineStr">
        <is>
          <t>Land (estate not stated in source)</t>
        </is>
      </c>
      <c r="H85" s="78" t="inlineStr">
        <is>
          <t>BP-C0051</t>
        </is>
      </c>
      <c r="I85" s="78" t="inlineStr">
        <is>
          <t>Mr Olumide Ogunleye</t>
        </is>
      </c>
      <c r="J85" s="80" t="n">
        <v>500000</v>
      </c>
      <c r="K85" s="78" t="inlineStr">
        <is>
          <t>Single register</t>
        </is>
      </c>
      <c r="L85" s="78" t="inlineStr">
        <is>
          <t>Primary: monthly turnover register</t>
        </is>
      </c>
      <c r="M85" s="78" t="inlineStr">
        <is>
          <t>BAAY PROJECTS FINANCIALS 2024.xlsx</t>
        </is>
      </c>
      <c r="N85" s="78" t="inlineStr">
        <is>
          <t>DECEMBER 2023 TURNOVER</t>
        </is>
      </c>
      <c r="O85" s="78" t="n">
        <v>17</v>
      </c>
      <c r="P85" s="78" t="inlineStr">
        <is>
          <t>21/12/2023</t>
        </is>
      </c>
      <c r="Q85" s="78" t="inlineStr">
        <is>
          <t>TURNOVER SCHEDULE r41</t>
        </is>
      </c>
      <c r="R85" s="78" t="n"/>
    </row>
    <row r="86" ht="25" customHeight="1">
      <c r="A86" s="75" t="inlineStr">
        <is>
          <t>SL0063</t>
        </is>
      </c>
      <c r="B86" s="76" t="n">
        <v>45283</v>
      </c>
      <c r="C86" s="75" t="inlineStr">
        <is>
          <t>2023-12</t>
        </is>
      </c>
      <c r="D86" s="75" t="n">
        <v>2023</v>
      </c>
      <c r="E86" s="75" t="inlineStr">
        <is>
          <t>Land</t>
        </is>
      </c>
      <c r="F86" s="75" t="inlineStr">
        <is>
          <t>Plot / unit price</t>
        </is>
      </c>
      <c r="G86" s="75" t="inlineStr">
        <is>
          <t>Land (estate not stated in source)</t>
        </is>
      </c>
      <c r="H86" s="75" t="inlineStr">
        <is>
          <t>BP-C0030</t>
        </is>
      </c>
      <c r="I86" s="75" t="inlineStr">
        <is>
          <t>Mr Akorede Adese</t>
        </is>
      </c>
      <c r="J86" s="77" t="n">
        <v>100000</v>
      </c>
      <c r="K86" s="75" t="inlineStr">
        <is>
          <t>Single register</t>
        </is>
      </c>
      <c r="L86" s="75" t="inlineStr">
        <is>
          <t>Primary: monthly turnover register</t>
        </is>
      </c>
      <c r="M86" s="75" t="inlineStr">
        <is>
          <t>BAAY PROJECTS FINANCIALS 2024.xlsx</t>
        </is>
      </c>
      <c r="N86" s="75" t="inlineStr">
        <is>
          <t>DECEMBER 2023 TURNOVER</t>
        </is>
      </c>
      <c r="O86" s="75" t="n">
        <v>18</v>
      </c>
      <c r="P86" s="75" t="inlineStr">
        <is>
          <t>23/12/2023</t>
        </is>
      </c>
      <c r="Q86" s="75" t="inlineStr">
        <is>
          <t>TURNOVER SCHEDULE r205</t>
        </is>
      </c>
      <c r="R86" s="75" t="n"/>
    </row>
    <row r="87" ht="25" customHeight="1">
      <c r="A87" s="78" t="inlineStr">
        <is>
          <t>SL0064</t>
        </is>
      </c>
      <c r="B87" s="79" t="n">
        <v>45283</v>
      </c>
      <c r="C87" s="78" t="inlineStr">
        <is>
          <t>2023-12</t>
        </is>
      </c>
      <c r="D87" s="78" t="n">
        <v>2023</v>
      </c>
      <c r="E87" s="78" t="inlineStr">
        <is>
          <t>Land</t>
        </is>
      </c>
      <c r="F87" s="78" t="inlineStr">
        <is>
          <t>Plot / unit price</t>
        </is>
      </c>
      <c r="G87" s="78" t="inlineStr">
        <is>
          <t>Land (estate not stated in source)</t>
        </is>
      </c>
      <c r="H87" s="78" t="inlineStr">
        <is>
          <t>BP-C0052</t>
        </is>
      </c>
      <c r="I87" s="78" t="inlineStr">
        <is>
          <t>Ms Okorejior Ojoma Lilian</t>
        </is>
      </c>
      <c r="J87" s="80" t="n">
        <v>1000000</v>
      </c>
      <c r="K87" s="78" t="inlineStr">
        <is>
          <t>Single register</t>
        </is>
      </c>
      <c r="L87" s="78" t="inlineStr">
        <is>
          <t>Primary: monthly turnover register</t>
        </is>
      </c>
      <c r="M87" s="78" t="inlineStr">
        <is>
          <t>BAAY PROJECTS FINANCIALS 2024.xlsx</t>
        </is>
      </c>
      <c r="N87" s="78" t="inlineStr">
        <is>
          <t>DECEMBER 2023 TURNOVER</t>
        </is>
      </c>
      <c r="O87" s="78" t="n">
        <v>19</v>
      </c>
      <c r="P87" s="78" t="inlineStr">
        <is>
          <t>23/12/2023</t>
        </is>
      </c>
      <c r="Q87" s="78" t="inlineStr">
        <is>
          <t>TURNOVER SCHEDULE r73, MS IMMACULATE r13</t>
        </is>
      </c>
      <c r="R87" s="78" t="n"/>
    </row>
    <row r="88" ht="25" customHeight="1">
      <c r="A88" s="75" t="inlineStr">
        <is>
          <t>SL0065</t>
        </is>
      </c>
      <c r="B88" s="76" t="n">
        <v>45284</v>
      </c>
      <c r="C88" s="75" t="inlineStr">
        <is>
          <t>2023-12</t>
        </is>
      </c>
      <c r="D88" s="75" t="n">
        <v>2023</v>
      </c>
      <c r="E88" s="75" t="inlineStr">
        <is>
          <t>Land</t>
        </is>
      </c>
      <c r="F88" s="75" t="inlineStr">
        <is>
          <t>Plot / unit price</t>
        </is>
      </c>
      <c r="G88" s="75" t="inlineStr">
        <is>
          <t>Land (estate not stated in source)</t>
        </is>
      </c>
      <c r="H88" s="75" t="inlineStr">
        <is>
          <t>BP-C0030</t>
        </is>
      </c>
      <c r="I88" s="75" t="inlineStr">
        <is>
          <t>Mr Akorede Adese</t>
        </is>
      </c>
      <c r="J88" s="77" t="n">
        <v>100000</v>
      </c>
      <c r="K88" s="75" t="inlineStr">
        <is>
          <t>Single register</t>
        </is>
      </c>
      <c r="L88" s="75" t="inlineStr">
        <is>
          <t>Primary: monthly turnover register</t>
        </is>
      </c>
      <c r="M88" s="75" t="inlineStr">
        <is>
          <t>BAAY PROJECTS FINANCIALS 2024.xlsx</t>
        </is>
      </c>
      <c r="N88" s="75" t="inlineStr">
        <is>
          <t>DECEMBER 2023 TURNOVER</t>
        </is>
      </c>
      <c r="O88" s="75" t="n">
        <v>20</v>
      </c>
      <c r="P88" s="75" t="inlineStr">
        <is>
          <t>24/12/2023</t>
        </is>
      </c>
      <c r="Q88" s="75" t="inlineStr">
        <is>
          <t>TURNOVER SCHEDULE r206</t>
        </is>
      </c>
      <c r="R88" s="75" t="n"/>
    </row>
    <row r="89" ht="25" customHeight="1">
      <c r="A89" s="78" t="inlineStr">
        <is>
          <t>SL0066</t>
        </is>
      </c>
      <c r="B89" s="79" t="n">
        <v>45286</v>
      </c>
      <c r="C89" s="78" t="inlineStr">
        <is>
          <t>2023-12</t>
        </is>
      </c>
      <c r="D89" s="78" t="n">
        <v>2023</v>
      </c>
      <c r="E89" s="78" t="inlineStr">
        <is>
          <t>Land</t>
        </is>
      </c>
      <c r="F89" s="78" t="inlineStr">
        <is>
          <t>Plot / unit price</t>
        </is>
      </c>
      <c r="G89" s="78" t="inlineStr">
        <is>
          <t>Land (estate not stated in source)</t>
        </is>
      </c>
      <c r="H89" s="78" t="inlineStr">
        <is>
          <t>BP-C0053</t>
        </is>
      </c>
      <c r="I89" s="78" t="inlineStr">
        <is>
          <t>Mr Adegbembo  Stephen Oluwagbemiga</t>
        </is>
      </c>
      <c r="J89" s="80" t="n">
        <v>500000</v>
      </c>
      <c r="K89" s="78" t="inlineStr">
        <is>
          <t>Single register</t>
        </is>
      </c>
      <c r="L89" s="78" t="inlineStr">
        <is>
          <t>Primary: monthly turnover register</t>
        </is>
      </c>
      <c r="M89" s="78" t="inlineStr">
        <is>
          <t>BAAY PROJECTS FINANCIALS 2024.xlsx</t>
        </is>
      </c>
      <c r="N89" s="78" t="inlineStr">
        <is>
          <t>DECEMBER 2023 TURNOVER</t>
        </is>
      </c>
      <c r="O89" s="78" t="n">
        <v>21</v>
      </c>
      <c r="P89" s="78" t="inlineStr">
        <is>
          <t>26/12/2023</t>
        </is>
      </c>
      <c r="Q89" s="78" t="inlineStr">
        <is>
          <t>TURNOVER SCHEDULE r82</t>
        </is>
      </c>
      <c r="R89" s="78" t="n"/>
    </row>
    <row r="90" ht="25" customHeight="1">
      <c r="A90" s="75" t="inlineStr">
        <is>
          <t>SL0067</t>
        </is>
      </c>
      <c r="B90" s="76" t="n">
        <v>45288</v>
      </c>
      <c r="C90" s="75" t="inlineStr">
        <is>
          <t>2023-12</t>
        </is>
      </c>
      <c r="D90" s="75" t="n">
        <v>2023</v>
      </c>
      <c r="E90" s="75" t="inlineStr">
        <is>
          <t>Land</t>
        </is>
      </c>
      <c r="F90" s="75" t="inlineStr">
        <is>
          <t>Plot / unit price</t>
        </is>
      </c>
      <c r="G90" s="75" t="inlineStr">
        <is>
          <t>Land (estate not stated in source)</t>
        </is>
      </c>
      <c r="H90" s="75" t="inlineStr">
        <is>
          <t>BP-C0055</t>
        </is>
      </c>
      <c r="I90" s="75" t="inlineStr">
        <is>
          <t>Mr Ademola Adeniji</t>
        </is>
      </c>
      <c r="J90" s="77" t="n">
        <v>2000000</v>
      </c>
      <c r="K90" s="75" t="inlineStr">
        <is>
          <t>Single register</t>
        </is>
      </c>
      <c r="L90" s="75" t="inlineStr">
        <is>
          <t>Primary: monthly turnover register</t>
        </is>
      </c>
      <c r="M90" s="75" t="inlineStr">
        <is>
          <t>BAAY PROJECTS FINANCIALS 2024.xlsx</t>
        </is>
      </c>
      <c r="N90" s="75" t="inlineStr">
        <is>
          <t>DECEMBER 2023 TURNOVER</t>
        </is>
      </c>
      <c r="O90" s="75" t="n">
        <v>22</v>
      </c>
      <c r="P90" s="75" t="inlineStr">
        <is>
          <t>28/12/2023</t>
        </is>
      </c>
      <c r="Q90" s="75" t="inlineStr">
        <is>
          <t>TURNOVER SCHEDULE r35</t>
        </is>
      </c>
      <c r="R90" s="75" t="n"/>
    </row>
    <row r="91" ht="25" customHeight="1">
      <c r="A91" s="78" t="inlineStr">
        <is>
          <t>SL0068</t>
        </is>
      </c>
      <c r="B91" s="79" t="n">
        <v>45288</v>
      </c>
      <c r="C91" s="78" t="inlineStr">
        <is>
          <t>2023-12</t>
        </is>
      </c>
      <c r="D91" s="78" t="n">
        <v>2023</v>
      </c>
      <c r="E91" s="78" t="inlineStr">
        <is>
          <t>Land</t>
        </is>
      </c>
      <c r="F91" s="78" t="inlineStr">
        <is>
          <t>Plot / unit price</t>
        </is>
      </c>
      <c r="G91" s="78" t="inlineStr">
        <is>
          <t>Land (estate not stated in source)</t>
        </is>
      </c>
      <c r="H91" s="78" t="inlineStr">
        <is>
          <t>BP-C0054</t>
        </is>
      </c>
      <c r="I91" s="78" t="inlineStr">
        <is>
          <t>Mr Ademola Adeniyi</t>
        </is>
      </c>
      <c r="J91" s="80" t="n">
        <v>2000000</v>
      </c>
      <c r="K91" s="78" t="inlineStr">
        <is>
          <t>Single register</t>
        </is>
      </c>
      <c r="L91" s="78" t="inlineStr">
        <is>
          <t>Primary: monthly turnover register</t>
        </is>
      </c>
      <c r="M91" s="78" t="inlineStr">
        <is>
          <t>BAAY PROJECTS FINANCIALS 2024.xlsx</t>
        </is>
      </c>
      <c r="N91" s="78" t="inlineStr">
        <is>
          <t>DECEMBER 2023 TURNOVER</t>
        </is>
      </c>
      <c r="O91" s="78" t="n">
        <v>23</v>
      </c>
      <c r="P91" s="78" t="inlineStr">
        <is>
          <t>28/12/2023</t>
        </is>
      </c>
      <c r="Q91" s="78" t="inlineStr">
        <is>
          <t>TURNOVER SCHEDULE r88, MRS ABIMBOLA r9</t>
        </is>
      </c>
      <c r="R91" s="78" t="n"/>
    </row>
    <row r="92" ht="25" customHeight="1">
      <c r="A92" s="75" t="inlineStr">
        <is>
          <t>SL0069</t>
        </is>
      </c>
      <c r="B92" s="76" t="n">
        <v>45288</v>
      </c>
      <c r="C92" s="75" t="inlineStr">
        <is>
          <t>2023-12</t>
        </is>
      </c>
      <c r="D92" s="75" t="n">
        <v>2023</v>
      </c>
      <c r="E92" s="75" t="inlineStr">
        <is>
          <t>Land</t>
        </is>
      </c>
      <c r="F92" s="75" t="inlineStr">
        <is>
          <t>Plot / unit price</t>
        </is>
      </c>
      <c r="G92" s="75" t="inlineStr">
        <is>
          <t>Land (estate not stated in source)</t>
        </is>
      </c>
      <c r="H92" s="75" t="inlineStr">
        <is>
          <t>BP-C0006</t>
        </is>
      </c>
      <c r="I92" s="75" t="inlineStr">
        <is>
          <t>Mr Olasupo Oladimeji Muritala</t>
        </is>
      </c>
      <c r="J92" s="77" t="n">
        <v>2000000</v>
      </c>
      <c r="K92" s="75" t="inlineStr">
        <is>
          <t>Single register</t>
        </is>
      </c>
      <c r="L92" s="75" t="inlineStr">
        <is>
          <t>Primary: monthly turnover register</t>
        </is>
      </c>
      <c r="M92" s="75" t="inlineStr">
        <is>
          <t>BAAY PROJECTS FINANCIALS 2024.xlsx</t>
        </is>
      </c>
      <c r="N92" s="75" t="inlineStr">
        <is>
          <t>DECEMBER 2023 TURNOVER</t>
        </is>
      </c>
      <c r="O92" s="75" t="n">
        <v>24</v>
      </c>
      <c r="P92" s="75" t="inlineStr">
        <is>
          <t>28/12/2023</t>
        </is>
      </c>
      <c r="Q92" s="75" t="inlineStr">
        <is>
          <t>TURNOVER SCHEDULE r26, MRS ABIMBOLA r14</t>
        </is>
      </c>
      <c r="R92" s="75" t="n"/>
    </row>
    <row r="93" ht="25" customHeight="1">
      <c r="A93" s="78" t="inlineStr">
        <is>
          <t>SL0070</t>
        </is>
      </c>
      <c r="B93" s="79" t="n">
        <v>45289</v>
      </c>
      <c r="C93" s="78" t="inlineStr">
        <is>
          <t>2023-12</t>
        </is>
      </c>
      <c r="D93" s="78" t="n">
        <v>2023</v>
      </c>
      <c r="E93" s="78" t="inlineStr">
        <is>
          <t>Land</t>
        </is>
      </c>
      <c r="F93" s="78" t="inlineStr">
        <is>
          <t>Plot / unit price</t>
        </is>
      </c>
      <c r="G93" s="78" t="inlineStr">
        <is>
          <t>Land (estate not stated in source)</t>
        </is>
      </c>
      <c r="H93" s="78" t="inlineStr">
        <is>
          <t>BP-C0056</t>
        </is>
      </c>
      <c r="I93" s="78" t="inlineStr">
        <is>
          <t>Mr Adeuti Olanrewaju Babatunde</t>
        </is>
      </c>
      <c r="J93" s="80" t="n">
        <v>500000</v>
      </c>
      <c r="K93" s="78" t="inlineStr">
        <is>
          <t>Single register</t>
        </is>
      </c>
      <c r="L93" s="78" t="inlineStr">
        <is>
          <t>Primary: monthly turnover register</t>
        </is>
      </c>
      <c r="M93" s="78" t="inlineStr">
        <is>
          <t>BAAY PROJECTS FINANCIALS 2024.xlsx</t>
        </is>
      </c>
      <c r="N93" s="78" t="inlineStr">
        <is>
          <t>DECEMBER 2023 TURNOVER</t>
        </is>
      </c>
      <c r="O93" s="78" t="n">
        <v>25</v>
      </c>
      <c r="P93" s="78" t="inlineStr">
        <is>
          <t>29/12/2023</t>
        </is>
      </c>
      <c r="Q93" s="78" t="inlineStr">
        <is>
          <t>TURNOVER SCHEDULE r77, MRS ABIMBOLA r20</t>
        </is>
      </c>
      <c r="R93" s="78" t="n"/>
    </row>
    <row r="94" ht="25" customHeight="1">
      <c r="A94" s="75" t="inlineStr">
        <is>
          <t>SL0071</t>
        </is>
      </c>
      <c r="B94" s="76" t="n">
        <v>45289</v>
      </c>
      <c r="C94" s="75" t="inlineStr">
        <is>
          <t>2023-12</t>
        </is>
      </c>
      <c r="D94" s="75" t="n">
        <v>2023</v>
      </c>
      <c r="E94" s="75" t="inlineStr">
        <is>
          <t>Land</t>
        </is>
      </c>
      <c r="F94" s="75" t="inlineStr">
        <is>
          <t>Plot / unit price</t>
        </is>
      </c>
      <c r="G94" s="75" t="inlineStr">
        <is>
          <t>Land (estate not stated in source)</t>
        </is>
      </c>
      <c r="H94" s="75" t="inlineStr">
        <is>
          <t>BP-C0029</t>
        </is>
      </c>
      <c r="I94" s="75" t="inlineStr">
        <is>
          <t>Mr Ohanehi Anthony Chukwunonso</t>
        </is>
      </c>
      <c r="J94" s="77" t="n">
        <v>1490000</v>
      </c>
      <c r="K94" s="75" t="inlineStr">
        <is>
          <t>Single register</t>
        </is>
      </c>
      <c r="L94" s="75" t="inlineStr">
        <is>
          <t>Primary: monthly turnover register</t>
        </is>
      </c>
      <c r="M94" s="75" t="inlineStr">
        <is>
          <t>BAAY PROJECTS FINANCIALS 2024.xlsx</t>
        </is>
      </c>
      <c r="N94" s="75" t="inlineStr">
        <is>
          <t>DECEMBER 2023 TURNOVER</t>
        </is>
      </c>
      <c r="O94" s="75" t="n">
        <v>26</v>
      </c>
      <c r="P94" s="75" t="inlineStr">
        <is>
          <t>29/12/2023</t>
        </is>
      </c>
      <c r="Q94" s="75" t="inlineStr">
        <is>
          <t>TURNOVER SCHEDULE r19</t>
        </is>
      </c>
      <c r="R94" s="75" t="n"/>
    </row>
    <row r="95" ht="25" customHeight="1">
      <c r="A95" s="78" t="inlineStr">
        <is>
          <t>SL0072</t>
        </is>
      </c>
      <c r="B95" s="79" t="n">
        <v>45289</v>
      </c>
      <c r="C95" s="78" t="inlineStr">
        <is>
          <t>2023-12</t>
        </is>
      </c>
      <c r="D95" s="78" t="n">
        <v>2023</v>
      </c>
      <c r="E95" s="78" t="inlineStr">
        <is>
          <t>Land</t>
        </is>
      </c>
      <c r="F95" s="78" t="inlineStr">
        <is>
          <t>Plot / unit price</t>
        </is>
      </c>
      <c r="G95" s="78" t="inlineStr">
        <is>
          <t>Land (estate not stated in source)</t>
        </is>
      </c>
      <c r="H95" s="78" t="inlineStr">
        <is>
          <t>BP-C0029</t>
        </is>
      </c>
      <c r="I95" s="78" t="inlineStr">
        <is>
          <t>Mr Ohanehi Anthony Chukwunonso</t>
        </is>
      </c>
      <c r="J95" s="80" t="n">
        <v>1490000</v>
      </c>
      <c r="K95" s="78" t="inlineStr">
        <is>
          <t>Single register</t>
        </is>
      </c>
      <c r="L95" s="78" t="inlineStr">
        <is>
          <t>Primary: monthly turnover register</t>
        </is>
      </c>
      <c r="M95" s="78" t="inlineStr">
        <is>
          <t>BAAY PROJECTS FINANCIALS 2024.xlsx</t>
        </is>
      </c>
      <c r="N95" s="78" t="inlineStr">
        <is>
          <t>DECEMBER 2023 TURNOVER</t>
        </is>
      </c>
      <c r="O95" s="78" t="n">
        <v>27</v>
      </c>
      <c r="P95" s="78" t="inlineStr">
        <is>
          <t>29/12/2023</t>
        </is>
      </c>
      <c r="Q95" s="78" t="inlineStr">
        <is>
          <t>TURNOVER SCHEDULE r165</t>
        </is>
      </c>
      <c r="R95" s="78" t="n"/>
    </row>
    <row r="96" ht="25" customHeight="1">
      <c r="A96" s="75" t="inlineStr">
        <is>
          <t>SL0073</t>
        </is>
      </c>
      <c r="B96" s="76" t="n">
        <v>45289</v>
      </c>
      <c r="C96" s="75" t="inlineStr">
        <is>
          <t>2023-12</t>
        </is>
      </c>
      <c r="D96" s="75" t="n">
        <v>2023</v>
      </c>
      <c r="E96" s="75" t="inlineStr">
        <is>
          <t>Land</t>
        </is>
      </c>
      <c r="F96" s="75" t="inlineStr">
        <is>
          <t>Plot / unit price</t>
        </is>
      </c>
      <c r="G96" s="75" t="inlineStr">
        <is>
          <t>Land (estate not stated in source)</t>
        </is>
      </c>
      <c r="H96" s="75" t="inlineStr">
        <is>
          <t>BP-C0057</t>
        </is>
      </c>
      <c r="I96" s="75" t="inlineStr">
        <is>
          <t>Mr Oniyide Olalouwa Blessing</t>
        </is>
      </c>
      <c r="J96" s="77" t="n">
        <v>2000000</v>
      </c>
      <c r="K96" s="75" t="inlineStr">
        <is>
          <t>Single register</t>
        </is>
      </c>
      <c r="L96" s="75" t="inlineStr">
        <is>
          <t>Primary: monthly turnover register</t>
        </is>
      </c>
      <c r="M96" s="75" t="inlineStr">
        <is>
          <t>BAAY PROJECTS FINANCIALS 2024.xlsx</t>
        </is>
      </c>
      <c r="N96" s="75" t="inlineStr">
        <is>
          <t>DECEMBER 2023 TURNOVER</t>
        </is>
      </c>
      <c r="O96" s="75" t="n">
        <v>28</v>
      </c>
      <c r="P96" s="75" t="inlineStr">
        <is>
          <t>29/12/2023</t>
        </is>
      </c>
      <c r="Q96" s="75" t="inlineStr">
        <is>
          <t>TURNOVER SCHEDULE r68</t>
        </is>
      </c>
      <c r="R96" s="75" t="n"/>
    </row>
    <row r="97" ht="25" customHeight="1">
      <c r="A97" s="78" t="inlineStr">
        <is>
          <t>SL0074</t>
        </is>
      </c>
      <c r="B97" s="79" t="n">
        <v>45290</v>
      </c>
      <c r="C97" s="78" t="inlineStr">
        <is>
          <t>2023-12</t>
        </is>
      </c>
      <c r="D97" s="78" t="n">
        <v>2023</v>
      </c>
      <c r="E97" s="78" t="inlineStr">
        <is>
          <t>Land</t>
        </is>
      </c>
      <c r="F97" s="78" t="inlineStr">
        <is>
          <t>Plot / unit price</t>
        </is>
      </c>
      <c r="G97" s="78" t="inlineStr">
        <is>
          <t>Land (estate not stated in source)</t>
        </is>
      </c>
      <c r="H97" s="78" t="inlineStr">
        <is>
          <t>BP-C0050</t>
        </is>
      </c>
      <c r="I97" s="78" t="inlineStr">
        <is>
          <t>Mr Patrick Atuanya Jideovo</t>
        </is>
      </c>
      <c r="J97" s="80" t="n">
        <v>500000</v>
      </c>
      <c r="K97" s="78" t="inlineStr">
        <is>
          <t>Single register</t>
        </is>
      </c>
      <c r="L97" s="78" t="inlineStr">
        <is>
          <t>Primary: monthly turnover register</t>
        </is>
      </c>
      <c r="M97" s="78" t="inlineStr">
        <is>
          <t>BAAY PROJECTS FINANCIALS 2024.xlsx</t>
        </is>
      </c>
      <c r="N97" s="78" t="inlineStr">
        <is>
          <t>DECEMBER 2023 TURNOVER</t>
        </is>
      </c>
      <c r="O97" s="78" t="n">
        <v>29</v>
      </c>
      <c r="P97" s="78" t="inlineStr">
        <is>
          <t>30/12/2023</t>
        </is>
      </c>
      <c r="Q97" s="78" t="inlineStr">
        <is>
          <t>TURNOVER SCHEDULE r142, MS YETUNDE ABISOYE r11</t>
        </is>
      </c>
      <c r="R97" s="78" t="n"/>
    </row>
    <row r="98" ht="25" customHeight="1">
      <c r="A98" s="75" t="inlineStr">
        <is>
          <t>SL0075</t>
        </is>
      </c>
      <c r="B98" s="76" t="n">
        <v>45291</v>
      </c>
      <c r="C98" s="75" t="inlineStr">
        <is>
          <t>2023-12</t>
        </is>
      </c>
      <c r="D98" s="75" t="n">
        <v>2023</v>
      </c>
      <c r="E98" s="75" t="inlineStr">
        <is>
          <t>Land</t>
        </is>
      </c>
      <c r="F98" s="75" t="inlineStr">
        <is>
          <t>Plot / unit price</t>
        </is>
      </c>
      <c r="G98" s="75" t="inlineStr">
        <is>
          <t>Land (estate not stated in source)</t>
        </is>
      </c>
      <c r="H98" s="75" t="inlineStr">
        <is>
          <t>BP-C0059</t>
        </is>
      </c>
      <c r="I98" s="75" t="inlineStr">
        <is>
          <t>Chief Elochukwu Onyemelukwe</t>
        </is>
      </c>
      <c r="J98" s="77" t="n">
        <v>500000</v>
      </c>
      <c r="K98" s="75" t="inlineStr">
        <is>
          <t>Single register</t>
        </is>
      </c>
      <c r="L98" s="75" t="inlineStr">
        <is>
          <t>Primary: monthly turnover register</t>
        </is>
      </c>
      <c r="M98" s="75" t="inlineStr">
        <is>
          <t>BAAY PROJECTS FINANCIALS 2024.xlsx</t>
        </is>
      </c>
      <c r="N98" s="75" t="inlineStr">
        <is>
          <t>DECEMBER 2023 TURNOVER</t>
        </is>
      </c>
      <c r="O98" s="75" t="n">
        <v>30</v>
      </c>
      <c r="P98" s="75" t="inlineStr">
        <is>
          <t>31/12/2023</t>
        </is>
      </c>
      <c r="Q98" s="75" t="inlineStr">
        <is>
          <t>TURNOVER SCHEDULE r136</t>
        </is>
      </c>
      <c r="R98" s="75" t="n"/>
    </row>
    <row r="99" ht="25" customHeight="1">
      <c r="A99" s="78" t="inlineStr">
        <is>
          <t>SL0076</t>
        </is>
      </c>
      <c r="B99" s="79" t="n">
        <v>45292</v>
      </c>
      <c r="C99" s="78" t="inlineStr">
        <is>
          <t>2024-01</t>
        </is>
      </c>
      <c r="D99" s="78" t="n">
        <v>2024</v>
      </c>
      <c r="E99" s="78" t="inlineStr">
        <is>
          <t>Land</t>
        </is>
      </c>
      <c r="F99" s="78" t="inlineStr">
        <is>
          <t>Plot / unit price</t>
        </is>
      </c>
      <c r="G99" s="78" t="inlineStr">
        <is>
          <t>Green City Phase 1 (Lantaba, Ketu-Epe)</t>
        </is>
      </c>
      <c r="H99" s="78" t="inlineStr">
        <is>
          <t>BP-C0046</t>
        </is>
      </c>
      <c r="I99" s="78" t="inlineStr">
        <is>
          <t>Mr Adesida Raphael Abiodun</t>
        </is>
      </c>
      <c r="J99" s="80" t="n">
        <v>200000</v>
      </c>
      <c r="K99" s="78" t="inlineStr">
        <is>
          <t>Single register</t>
        </is>
      </c>
      <c r="L99" s="78" t="inlineStr">
        <is>
          <t>Primary: monthly turnover register</t>
        </is>
      </c>
      <c r="M99" s="78" t="inlineStr">
        <is>
          <t>BAAY PROJECTS FINANCIALS 2024.xlsx</t>
        </is>
      </c>
      <c r="N99" s="78" t="inlineStr">
        <is>
          <t>JANUARY TURNOVER</t>
        </is>
      </c>
      <c r="O99" s="78" t="n">
        <v>6</v>
      </c>
      <c r="P99" s="78" t="inlineStr">
        <is>
          <t>2024-01-01</t>
        </is>
      </c>
      <c r="Q99" s="78" t="inlineStr">
        <is>
          <t>TURNOVER SCHEDULE r170</t>
        </is>
      </c>
      <c r="R99" s="78" t="n"/>
    </row>
    <row r="100" ht="25" customHeight="1">
      <c r="A100" s="75" t="inlineStr">
        <is>
          <t>SL0077</t>
        </is>
      </c>
      <c r="B100" s="76" t="n">
        <v>45292</v>
      </c>
      <c r="C100" s="75" t="inlineStr">
        <is>
          <t>2024-01</t>
        </is>
      </c>
      <c r="D100" s="75" t="n">
        <v>2024</v>
      </c>
      <c r="E100" s="75" t="inlineStr">
        <is>
          <t>Land</t>
        </is>
      </c>
      <c r="F100" s="75" t="inlineStr">
        <is>
          <t>Plot / unit price</t>
        </is>
      </c>
      <c r="G100" s="75" t="inlineStr">
        <is>
          <t>Green City Phase 2 (Idobi, Ketu-Epe)</t>
        </is>
      </c>
      <c r="H100" s="75" t="inlineStr">
        <is>
          <t>BP-C0060</t>
        </is>
      </c>
      <c r="I100" s="75" t="inlineStr">
        <is>
          <t>Ms. Mitchell Jennifer</t>
        </is>
      </c>
      <c r="J100" s="77" t="n">
        <v>200000</v>
      </c>
      <c r="K100" s="75" t="inlineStr">
        <is>
          <t>Single register</t>
        </is>
      </c>
      <c r="L100" s="75" t="inlineStr">
        <is>
          <t>Primary: monthly turnover register</t>
        </is>
      </c>
      <c r="M100" s="75" t="inlineStr">
        <is>
          <t>BAAY PROJECTS FINANCIALS 2024.xlsx</t>
        </is>
      </c>
      <c r="N100" s="75" t="inlineStr">
        <is>
          <t>JANUARY TURNOVER</t>
        </is>
      </c>
      <c r="O100" s="75" t="n">
        <v>7</v>
      </c>
      <c r="P100" s="75" t="inlineStr">
        <is>
          <t>2024-01-01</t>
        </is>
      </c>
      <c r="Q100" s="75" t="inlineStr">
        <is>
          <t>TURNOVER SCHEDULE r55</t>
        </is>
      </c>
      <c r="R100" s="75" t="n"/>
    </row>
    <row r="101" ht="25" customHeight="1">
      <c r="A101" s="78" t="inlineStr">
        <is>
          <t>SL0078</t>
        </is>
      </c>
      <c r="B101" s="79" t="n">
        <v>45293</v>
      </c>
      <c r="C101" s="78" t="inlineStr">
        <is>
          <t>2024-01</t>
        </is>
      </c>
      <c r="D101" s="78" t="n">
        <v>2024</v>
      </c>
      <c r="E101" s="78" t="inlineStr">
        <is>
          <t>Land</t>
        </is>
      </c>
      <c r="F101" s="78" t="inlineStr">
        <is>
          <t>Plot / unit price</t>
        </is>
      </c>
      <c r="G101" s="78" t="inlineStr">
        <is>
          <t>Green City Phase 1 (Lantaba, Ketu-Epe)</t>
        </is>
      </c>
      <c r="H101" s="78" t="inlineStr">
        <is>
          <t>BP-C0027</t>
        </is>
      </c>
      <c r="I101" s="78" t="inlineStr">
        <is>
          <t>Mr Edun Ayobami Simeon</t>
        </is>
      </c>
      <c r="J101" s="80" t="n">
        <v>1000000</v>
      </c>
      <c r="K101" s="78" t="inlineStr">
        <is>
          <t>Single register</t>
        </is>
      </c>
      <c r="L101" s="78" t="inlineStr">
        <is>
          <t>Primary: monthly turnover register</t>
        </is>
      </c>
      <c r="M101" s="78" t="inlineStr">
        <is>
          <t>BAAY PROJECTS FINANCIALS 2024.xlsx</t>
        </is>
      </c>
      <c r="N101" s="78" t="inlineStr">
        <is>
          <t>JANUARY TURNOVER</t>
        </is>
      </c>
      <c r="O101" s="78" t="n">
        <v>8</v>
      </c>
      <c r="P101" s="78" t="inlineStr">
        <is>
          <t>2024-02-01</t>
        </is>
      </c>
      <c r="Q101" s="78" t="inlineStr">
        <is>
          <t>TURNOVER SCHEDULE r128, OLAIYA r10</t>
        </is>
      </c>
      <c r="R101" s="78" t="n"/>
    </row>
    <row r="102" ht="25" customHeight="1">
      <c r="A102" s="75" t="inlineStr">
        <is>
          <t>SL0079</t>
        </is>
      </c>
      <c r="B102" s="76" t="n">
        <v>45294</v>
      </c>
      <c r="C102" s="75" t="inlineStr">
        <is>
          <t>2024-01</t>
        </is>
      </c>
      <c r="D102" s="75" t="n">
        <v>2024</v>
      </c>
      <c r="E102" s="75" t="inlineStr">
        <is>
          <t>Land</t>
        </is>
      </c>
      <c r="F102" s="75" t="inlineStr">
        <is>
          <t>Plot / unit price</t>
        </is>
      </c>
      <c r="G102" s="75" t="inlineStr">
        <is>
          <t>Green City Phase 2 (Idobi, Ketu-Epe)</t>
        </is>
      </c>
      <c r="H102" s="75" t="inlineStr">
        <is>
          <t>BP-C0008</t>
        </is>
      </c>
      <c r="I102" s="75" t="inlineStr">
        <is>
          <t>Mr Roqeeb Rasaq Adebare</t>
        </is>
      </c>
      <c r="J102" s="77" t="n">
        <v>100000</v>
      </c>
      <c r="K102" s="75" t="inlineStr">
        <is>
          <t>Single register</t>
        </is>
      </c>
      <c r="L102" s="75" t="inlineStr">
        <is>
          <t>Primary: monthly turnover register</t>
        </is>
      </c>
      <c r="M102" s="75" t="inlineStr">
        <is>
          <t>BAAY PROJECTS FINANCIALS 2024.xlsx</t>
        </is>
      </c>
      <c r="N102" s="75" t="inlineStr">
        <is>
          <t>JANUARY TURNOVER</t>
        </is>
      </c>
      <c r="O102" s="75" t="n">
        <v>9</v>
      </c>
      <c r="P102" s="75" t="inlineStr">
        <is>
          <t>2024-03-01</t>
        </is>
      </c>
      <c r="Q102" s="75" t="inlineStr">
        <is>
          <t>TURNOVER SCHEDULE r184</t>
        </is>
      </c>
      <c r="R102" s="75" t="n"/>
    </row>
    <row r="103" ht="25" customHeight="1">
      <c r="A103" s="78" t="inlineStr">
        <is>
          <t>SL0080</t>
        </is>
      </c>
      <c r="B103" s="79" t="n">
        <v>45294</v>
      </c>
      <c r="C103" s="78" t="inlineStr">
        <is>
          <t>2024-01</t>
        </is>
      </c>
      <c r="D103" s="78" t="n">
        <v>2024</v>
      </c>
      <c r="E103" s="78" t="inlineStr">
        <is>
          <t>Land</t>
        </is>
      </c>
      <c r="F103" s="78" t="inlineStr">
        <is>
          <t>Plot / unit price</t>
        </is>
      </c>
      <c r="G103" s="78" t="inlineStr">
        <is>
          <t>Green City Phase 2 (Idobi, Ketu-Epe)</t>
        </is>
      </c>
      <c r="H103" s="78" t="inlineStr">
        <is>
          <t>BP-C0008</t>
        </is>
      </c>
      <c r="I103" s="78" t="inlineStr">
        <is>
          <t>Mr Roqeeb Rasaq Adebare</t>
        </is>
      </c>
      <c r="J103" s="80" t="n">
        <v>400000</v>
      </c>
      <c r="K103" s="78" t="inlineStr">
        <is>
          <t>Single register</t>
        </is>
      </c>
      <c r="L103" s="78" t="inlineStr">
        <is>
          <t>Primary: monthly turnover register</t>
        </is>
      </c>
      <c r="M103" s="78" t="inlineStr">
        <is>
          <t>BAAY PROJECTS FINANCIALS 2024.xlsx</t>
        </is>
      </c>
      <c r="N103" s="78" t="inlineStr">
        <is>
          <t>JANUARY TURNOVER</t>
        </is>
      </c>
      <c r="O103" s="78" t="n">
        <v>10</v>
      </c>
      <c r="P103" s="78" t="inlineStr">
        <is>
          <t>2024-03-01</t>
        </is>
      </c>
      <c r="Q103" s="78" t="inlineStr">
        <is>
          <t>TURNOVER SCHEDULE r185</t>
        </is>
      </c>
      <c r="R103" s="78" t="n"/>
    </row>
    <row r="104" ht="25" customHeight="1">
      <c r="A104" s="75" t="inlineStr">
        <is>
          <t>SL0081</t>
        </is>
      </c>
      <c r="B104" s="76" t="n">
        <v>45296</v>
      </c>
      <c r="C104" s="75" t="inlineStr">
        <is>
          <t>2024-01</t>
        </is>
      </c>
      <c r="D104" s="75" t="n">
        <v>2024</v>
      </c>
      <c r="E104" s="75" t="inlineStr">
        <is>
          <t>Land</t>
        </is>
      </c>
      <c r="F104" s="75" t="inlineStr">
        <is>
          <t>Plot / unit price</t>
        </is>
      </c>
      <c r="G104" s="75" t="inlineStr">
        <is>
          <t>Green City Phase 2 (Idobi, Ketu-Epe)</t>
        </is>
      </c>
      <c r="H104" s="75" t="inlineStr">
        <is>
          <t>BP-C0061</t>
        </is>
      </c>
      <c r="I104" s="75" t="inlineStr">
        <is>
          <t>Mr Ogunkoya Emmanuel Olatunji</t>
        </is>
      </c>
      <c r="J104" s="77" t="n">
        <v>1500000</v>
      </c>
      <c r="K104" s="75" t="inlineStr">
        <is>
          <t>Single register</t>
        </is>
      </c>
      <c r="L104" s="75" t="inlineStr">
        <is>
          <t>Primary: monthly turnover register</t>
        </is>
      </c>
      <c r="M104" s="75" t="inlineStr">
        <is>
          <t>BAAY PROJECTS FINANCIALS 2024.xlsx</t>
        </is>
      </c>
      <c r="N104" s="75" t="inlineStr">
        <is>
          <t>JANUARY TURNOVER</t>
        </is>
      </c>
      <c r="O104" s="75" t="n">
        <v>11</v>
      </c>
      <c r="P104" s="75" t="inlineStr">
        <is>
          <t>2024-05-01</t>
        </is>
      </c>
      <c r="Q104" s="75" t="inlineStr">
        <is>
          <t>TURNOVER SCHEDULE r92</t>
        </is>
      </c>
      <c r="R104" s="75" t="n"/>
    </row>
    <row r="105" ht="25" customHeight="1">
      <c r="A105" s="78" t="inlineStr">
        <is>
          <t>SL0082</t>
        </is>
      </c>
      <c r="B105" s="79" t="n">
        <v>45306</v>
      </c>
      <c r="C105" s="78" t="inlineStr">
        <is>
          <t>2024-01</t>
        </is>
      </c>
      <c r="D105" s="78" t="n">
        <v>2024</v>
      </c>
      <c r="E105" s="78" t="inlineStr">
        <is>
          <t>Land</t>
        </is>
      </c>
      <c r="F105" s="78" t="inlineStr">
        <is>
          <t>Plot / unit price</t>
        </is>
      </c>
      <c r="G105" s="78" t="inlineStr">
        <is>
          <t>Green City Phase 2 (Idobi, Ketu-Epe)</t>
        </is>
      </c>
      <c r="H105" s="78" t="inlineStr">
        <is>
          <t>BP-C0017</t>
        </is>
      </c>
      <c r="I105" s="78" t="inlineStr">
        <is>
          <t>Mr John Adeleye Taiwo</t>
        </is>
      </c>
      <c r="J105" s="80" t="n">
        <v>1000000</v>
      </c>
      <c r="K105" s="78" t="inlineStr">
        <is>
          <t>Single register</t>
        </is>
      </c>
      <c r="L105" s="78" t="inlineStr">
        <is>
          <t>Primary: monthly turnover register</t>
        </is>
      </c>
      <c r="M105" s="78" t="inlineStr">
        <is>
          <t>BAAY PROJECTS FINANCIALS 2024.xlsx</t>
        </is>
      </c>
      <c r="N105" s="78" t="inlineStr">
        <is>
          <t>JANUARY TURNOVER</t>
        </is>
      </c>
      <c r="O105" s="78" t="n">
        <v>12</v>
      </c>
      <c r="P105" s="78" t="inlineStr">
        <is>
          <t>15/01/2024</t>
        </is>
      </c>
      <c r="Q105" s="78" t="inlineStr">
        <is>
          <t>TURNOVER SCHEDULE r61</t>
        </is>
      </c>
      <c r="R105" s="78" t="n"/>
    </row>
    <row r="106" ht="25" customHeight="1">
      <c r="A106" s="75" t="inlineStr">
        <is>
          <t>SL0083</t>
        </is>
      </c>
      <c r="B106" s="76" t="n">
        <v>45308</v>
      </c>
      <c r="C106" s="75" t="inlineStr">
        <is>
          <t>2024-01</t>
        </is>
      </c>
      <c r="D106" s="75" t="n">
        <v>2024</v>
      </c>
      <c r="E106" s="75" t="inlineStr">
        <is>
          <t>Land</t>
        </is>
      </c>
      <c r="F106" s="75" t="inlineStr">
        <is>
          <t>Plot / unit price</t>
        </is>
      </c>
      <c r="G106" s="75" t="inlineStr">
        <is>
          <t>Green City Phase 2 (Idobi, Ketu-Epe)</t>
        </is>
      </c>
      <c r="H106" s="75" t="inlineStr">
        <is>
          <t>BP-C0028</t>
        </is>
      </c>
      <c r="I106" s="75" t="inlineStr">
        <is>
          <t>Mr Adebanjo Isaac</t>
        </is>
      </c>
      <c r="J106" s="77" t="n">
        <v>250000</v>
      </c>
      <c r="K106" s="75" t="inlineStr">
        <is>
          <t>Single register</t>
        </is>
      </c>
      <c r="L106" s="75" t="inlineStr">
        <is>
          <t>Primary: monthly turnover register</t>
        </is>
      </c>
      <c r="M106" s="75" t="inlineStr">
        <is>
          <t>BAAY PROJECTS FINANCIALS 2024.xlsx</t>
        </is>
      </c>
      <c r="N106" s="75" t="inlineStr">
        <is>
          <t>JANUARY TURNOVER</t>
        </is>
      </c>
      <c r="O106" s="75" t="n">
        <v>13</v>
      </c>
      <c r="P106" s="75" t="inlineStr">
        <is>
          <t>17/01/2024</t>
        </is>
      </c>
      <c r="Q106" s="75" t="inlineStr">
        <is>
          <t>TURNOVER SCHEDULE r200</t>
        </is>
      </c>
      <c r="R106" s="75" t="n"/>
    </row>
    <row r="107" ht="25" customHeight="1">
      <c r="A107" s="78" t="inlineStr">
        <is>
          <t>SL0084</t>
        </is>
      </c>
      <c r="B107" s="79" t="n">
        <v>45308</v>
      </c>
      <c r="C107" s="78" t="inlineStr">
        <is>
          <t>2024-01</t>
        </is>
      </c>
      <c r="D107" s="78" t="n">
        <v>2024</v>
      </c>
      <c r="E107" s="78" t="inlineStr">
        <is>
          <t>Land</t>
        </is>
      </c>
      <c r="F107" s="78" t="inlineStr">
        <is>
          <t>Plot / unit price</t>
        </is>
      </c>
      <c r="G107" s="78" t="inlineStr">
        <is>
          <t>Green City Phase 1 (Lantaba, Ketu-Epe)</t>
        </is>
      </c>
      <c r="H107" s="78" t="inlineStr">
        <is>
          <t>BP-C0027</t>
        </is>
      </c>
      <c r="I107" s="78" t="inlineStr">
        <is>
          <t>Mr Edun Ayobami Simeon</t>
        </is>
      </c>
      <c r="J107" s="80" t="n">
        <v>800000</v>
      </c>
      <c r="K107" s="78" t="inlineStr">
        <is>
          <t>Single register</t>
        </is>
      </c>
      <c r="L107" s="78" t="inlineStr">
        <is>
          <t>Primary: monthly turnover register</t>
        </is>
      </c>
      <c r="M107" s="78" t="inlineStr">
        <is>
          <t>BAAY PROJECTS FINANCIALS 2024.xlsx</t>
        </is>
      </c>
      <c r="N107" s="78" t="inlineStr">
        <is>
          <t>JANUARY TURNOVER</t>
        </is>
      </c>
      <c r="O107" s="78" t="n">
        <v>14</v>
      </c>
      <c r="P107" s="78" t="inlineStr">
        <is>
          <t>17/01/2024</t>
        </is>
      </c>
      <c r="Q107" s="78" t="inlineStr">
        <is>
          <t>TURNOVER SCHEDULE r129, OLAIYA r11</t>
        </is>
      </c>
      <c r="R107" s="78" t="n"/>
    </row>
    <row r="108" ht="25" customHeight="1">
      <c r="A108" s="75" t="inlineStr">
        <is>
          <t>SL0085</t>
        </is>
      </c>
      <c r="B108" s="76" t="n">
        <v>45309</v>
      </c>
      <c r="C108" s="75" t="inlineStr">
        <is>
          <t>2024-01</t>
        </is>
      </c>
      <c r="D108" s="75" t="n">
        <v>2024</v>
      </c>
      <c r="E108" s="75" t="inlineStr">
        <is>
          <t>Land</t>
        </is>
      </c>
      <c r="F108" s="75" t="inlineStr">
        <is>
          <t>Plot / unit price</t>
        </is>
      </c>
      <c r="G108" s="75" t="inlineStr">
        <is>
          <t>Green City Phase 1 (Lantaba, Ketu-Epe)</t>
        </is>
      </c>
      <c r="H108" s="75" t="inlineStr">
        <is>
          <t>BP-C0017</t>
        </is>
      </c>
      <c r="I108" s="75" t="inlineStr">
        <is>
          <t>Mr John Adeleye Taiwo</t>
        </is>
      </c>
      <c r="J108" s="77" t="n">
        <v>500000</v>
      </c>
      <c r="K108" s="75" t="inlineStr">
        <is>
          <t>Single register</t>
        </is>
      </c>
      <c r="L108" s="75" t="inlineStr">
        <is>
          <t>Primary: monthly turnover register</t>
        </is>
      </c>
      <c r="M108" s="75" t="inlineStr">
        <is>
          <t>BAAY PROJECTS FINANCIALS 2024.xlsx</t>
        </is>
      </c>
      <c r="N108" s="75" t="inlineStr">
        <is>
          <t>JANUARY TURNOVER</t>
        </is>
      </c>
      <c r="O108" s="75" t="n">
        <v>15</v>
      </c>
      <c r="P108" s="75" t="inlineStr">
        <is>
          <t>18/01/2024</t>
        </is>
      </c>
      <c r="Q108" s="75" t="inlineStr">
        <is>
          <t>TURNOVER SCHEDULE r62</t>
        </is>
      </c>
      <c r="R108" s="75" t="n"/>
    </row>
    <row r="109" ht="25" customHeight="1">
      <c r="A109" s="78" t="inlineStr">
        <is>
          <t>SL0086</t>
        </is>
      </c>
      <c r="B109" s="79" t="n">
        <v>45309</v>
      </c>
      <c r="C109" s="78" t="inlineStr">
        <is>
          <t>2024-01</t>
        </is>
      </c>
      <c r="D109" s="78" t="n">
        <v>2024</v>
      </c>
      <c r="E109" s="78" t="inlineStr">
        <is>
          <t>Land</t>
        </is>
      </c>
      <c r="F109" s="78" t="inlineStr">
        <is>
          <t>Plot / unit price</t>
        </is>
      </c>
      <c r="G109" s="78" t="inlineStr">
        <is>
          <t>Green City Phase 1 (Lantaba, Ketu-Epe)</t>
        </is>
      </c>
      <c r="H109" s="78" t="inlineStr">
        <is>
          <t>BP-C0051</t>
        </is>
      </c>
      <c r="I109" s="78" t="inlineStr">
        <is>
          <t>Mr Olumide Ogunleye</t>
        </is>
      </c>
      <c r="J109" s="80" t="n">
        <v>500000</v>
      </c>
      <c r="K109" s="78" t="inlineStr">
        <is>
          <t>Single register</t>
        </is>
      </c>
      <c r="L109" s="78" t="inlineStr">
        <is>
          <t>Primary: monthly turnover register</t>
        </is>
      </c>
      <c r="M109" s="78" t="inlineStr">
        <is>
          <t>BAAY PROJECTS FINANCIALS 2024.xlsx</t>
        </is>
      </c>
      <c r="N109" s="78" t="inlineStr">
        <is>
          <t>JANUARY TURNOVER</t>
        </is>
      </c>
      <c r="O109" s="78" t="n">
        <v>16</v>
      </c>
      <c r="P109" s="78" t="inlineStr">
        <is>
          <t>18/01/2024</t>
        </is>
      </c>
      <c r="Q109" s="78" t="inlineStr">
        <is>
          <t>TURNOVER SCHEDULE r42</t>
        </is>
      </c>
      <c r="R109" s="78" t="n"/>
    </row>
    <row r="110" ht="25" customHeight="1">
      <c r="A110" s="75" t="inlineStr">
        <is>
          <t>SL0087</t>
        </is>
      </c>
      <c r="B110" s="76" t="n">
        <v>45314</v>
      </c>
      <c r="C110" s="75" t="inlineStr">
        <is>
          <t>2024-01</t>
        </is>
      </c>
      <c r="D110" s="75" t="n">
        <v>2024</v>
      </c>
      <c r="E110" s="75" t="inlineStr">
        <is>
          <t>Land</t>
        </is>
      </c>
      <c r="F110" s="75" t="inlineStr">
        <is>
          <t>Plot / unit price</t>
        </is>
      </c>
      <c r="G110" s="75" t="inlineStr">
        <is>
          <t>Green City Phase 1 (Lantaba, Ketu-Epe)</t>
        </is>
      </c>
      <c r="H110" s="75" t="inlineStr">
        <is>
          <t>BP-C0044</t>
        </is>
      </c>
      <c r="I110" s="75" t="inlineStr">
        <is>
          <t>Mr Babajide Oluwase</t>
        </is>
      </c>
      <c r="J110" s="77" t="n">
        <v>900000</v>
      </c>
      <c r="K110" s="75" t="inlineStr">
        <is>
          <t>Single register</t>
        </is>
      </c>
      <c r="L110" s="75" t="inlineStr">
        <is>
          <t>Primary: monthly turnover register</t>
        </is>
      </c>
      <c r="M110" s="75" t="inlineStr">
        <is>
          <t>BAAY PROJECTS FINANCIALS 2024.xlsx</t>
        </is>
      </c>
      <c r="N110" s="75" t="inlineStr">
        <is>
          <t>JANUARY TURNOVER</t>
        </is>
      </c>
      <c r="O110" s="75" t="n">
        <v>17</v>
      </c>
      <c r="P110" s="75" t="inlineStr">
        <is>
          <t>23/01/2024</t>
        </is>
      </c>
      <c r="Q110" s="75" t="inlineStr">
        <is>
          <t>TURNOVER SCHEDULE r190</t>
        </is>
      </c>
      <c r="R110" s="75" t="n"/>
    </row>
    <row r="111" ht="25" customHeight="1">
      <c r="A111" s="78" t="inlineStr">
        <is>
          <t>SL0088</t>
        </is>
      </c>
      <c r="B111" s="79" t="n">
        <v>45315</v>
      </c>
      <c r="C111" s="78" t="inlineStr">
        <is>
          <t>2024-01</t>
        </is>
      </c>
      <c r="D111" s="78" t="n">
        <v>2024</v>
      </c>
      <c r="E111" s="78" t="inlineStr">
        <is>
          <t>Land</t>
        </is>
      </c>
      <c r="F111" s="78" t="inlineStr">
        <is>
          <t>Plot / unit price</t>
        </is>
      </c>
      <c r="G111" s="78" t="inlineStr">
        <is>
          <t>Green City Phase 1 (Lantaba, Ketu-Epe)</t>
        </is>
      </c>
      <c r="H111" s="78" t="inlineStr">
        <is>
          <t>BP-C0059</t>
        </is>
      </c>
      <c r="I111" s="78" t="inlineStr">
        <is>
          <t>Chief Elochukwu Onyemelukwe</t>
        </is>
      </c>
      <c r="J111" s="80" t="n">
        <v>4000000</v>
      </c>
      <c r="K111" s="78" t="inlineStr">
        <is>
          <t>Single register</t>
        </is>
      </c>
      <c r="L111" s="78" t="inlineStr">
        <is>
          <t>Primary: monthly turnover register</t>
        </is>
      </c>
      <c r="M111" s="78" t="inlineStr">
        <is>
          <t>BAAY PROJECTS FINANCIALS 2024.xlsx</t>
        </is>
      </c>
      <c r="N111" s="78" t="inlineStr">
        <is>
          <t>JANUARY TURNOVER</t>
        </is>
      </c>
      <c r="O111" s="78" t="n">
        <v>18</v>
      </c>
      <c r="P111" s="78" t="inlineStr">
        <is>
          <t>24/01/2024</t>
        </is>
      </c>
      <c r="Q111" s="78" t="inlineStr">
        <is>
          <t>TURNOVER SCHEDULE r137</t>
        </is>
      </c>
      <c r="R111" s="78" t="n"/>
    </row>
    <row r="112" ht="25" customHeight="1">
      <c r="A112" s="75" t="inlineStr">
        <is>
          <t>SL0089</t>
        </is>
      </c>
      <c r="B112" s="76" t="n">
        <v>45315</v>
      </c>
      <c r="C112" s="75" t="inlineStr">
        <is>
          <t>2024-01</t>
        </is>
      </c>
      <c r="D112" s="75" t="n">
        <v>2024</v>
      </c>
      <c r="E112" s="75" t="inlineStr">
        <is>
          <t>Land</t>
        </is>
      </c>
      <c r="F112" s="75" t="inlineStr">
        <is>
          <t>Plot / unit price</t>
        </is>
      </c>
      <c r="G112" s="75" t="inlineStr">
        <is>
          <t>Green City Phase 1 (Lantaba, Ketu-Epe)</t>
        </is>
      </c>
      <c r="H112" s="75" t="inlineStr">
        <is>
          <t>BP-C0046</t>
        </is>
      </c>
      <c r="I112" s="75" t="inlineStr">
        <is>
          <t>Mr Adesida Raphael Abiodun</t>
        </is>
      </c>
      <c r="J112" s="77" t="n">
        <v>200000</v>
      </c>
      <c r="K112" s="75" t="inlineStr">
        <is>
          <t>Single register</t>
        </is>
      </c>
      <c r="L112" s="75" t="inlineStr">
        <is>
          <t>Primary: monthly turnover register</t>
        </is>
      </c>
      <c r="M112" s="75" t="inlineStr">
        <is>
          <t>BAAY PROJECTS FINANCIALS 2024.xlsx</t>
        </is>
      </c>
      <c r="N112" s="75" t="inlineStr">
        <is>
          <t>JANUARY TURNOVER</t>
        </is>
      </c>
      <c r="O112" s="75" t="n">
        <v>19</v>
      </c>
      <c r="P112" s="75" t="inlineStr">
        <is>
          <t>24/01/2024</t>
        </is>
      </c>
      <c r="Q112" s="75" t="inlineStr">
        <is>
          <t>TURNOVER SCHEDULE r171</t>
        </is>
      </c>
      <c r="R112" s="75" t="n"/>
    </row>
    <row r="113" ht="25" customHeight="1">
      <c r="A113" s="78" t="inlineStr">
        <is>
          <t>SL0090</t>
        </is>
      </c>
      <c r="B113" s="79" t="n">
        <v>45315</v>
      </c>
      <c r="C113" s="78" t="inlineStr">
        <is>
          <t>2024-01</t>
        </is>
      </c>
      <c r="D113" s="78" t="n">
        <v>2024</v>
      </c>
      <c r="E113" s="78" t="inlineStr">
        <is>
          <t>Land</t>
        </is>
      </c>
      <c r="F113" s="78" t="inlineStr">
        <is>
          <t>Plot / unit price</t>
        </is>
      </c>
      <c r="G113" s="78" t="inlineStr">
        <is>
          <t>Green City Phase 1 (Lantaba, Ketu-Epe)</t>
        </is>
      </c>
      <c r="H113" s="78" t="inlineStr">
        <is>
          <t>BP-C0056</t>
        </is>
      </c>
      <c r="I113" s="78" t="inlineStr">
        <is>
          <t>Mr Adeuti Olanrewaju Babatunde</t>
        </is>
      </c>
      <c r="J113" s="80" t="n">
        <v>740000</v>
      </c>
      <c r="K113" s="78" t="inlineStr">
        <is>
          <t>Single register</t>
        </is>
      </c>
      <c r="L113" s="78" t="inlineStr">
        <is>
          <t>Primary: monthly turnover register</t>
        </is>
      </c>
      <c r="M113" s="78" t="inlineStr">
        <is>
          <t>BAAY PROJECTS FINANCIALS 2024.xlsx</t>
        </is>
      </c>
      <c r="N113" s="78" t="inlineStr">
        <is>
          <t>JANUARY TURNOVER</t>
        </is>
      </c>
      <c r="O113" s="78" t="n">
        <v>20</v>
      </c>
      <c r="P113" s="78" t="inlineStr">
        <is>
          <t>24/01/2024</t>
        </is>
      </c>
      <c r="Q113" s="78" t="inlineStr">
        <is>
          <t>TURNOVER SCHEDULE r78, MRS ABIMBOLA r21</t>
        </is>
      </c>
      <c r="R113" s="78" t="n"/>
    </row>
    <row r="114" ht="25" customHeight="1">
      <c r="A114" s="75" t="inlineStr">
        <is>
          <t>SL0091</t>
        </is>
      </c>
      <c r="B114" s="76" t="n">
        <v>45315</v>
      </c>
      <c r="C114" s="75" t="inlineStr">
        <is>
          <t>2024-01</t>
        </is>
      </c>
      <c r="D114" s="75" t="n">
        <v>2024</v>
      </c>
      <c r="E114" s="75" t="inlineStr">
        <is>
          <t>Land</t>
        </is>
      </c>
      <c r="F114" s="75" t="inlineStr">
        <is>
          <t>Plot / unit price</t>
        </is>
      </c>
      <c r="G114" s="75" t="inlineStr">
        <is>
          <t>Green City Phase 1 (Lantaba, Ketu-Epe)</t>
        </is>
      </c>
      <c r="H114" s="75" t="inlineStr">
        <is>
          <t>BP-C0057</t>
        </is>
      </c>
      <c r="I114" s="75" t="inlineStr">
        <is>
          <t>Mr Oniyide Olalouwa Blessing</t>
        </is>
      </c>
      <c r="J114" s="77" t="n">
        <v>1000000</v>
      </c>
      <c r="K114" s="75" t="inlineStr">
        <is>
          <t>Single register</t>
        </is>
      </c>
      <c r="L114" s="75" t="inlineStr">
        <is>
          <t>Primary: monthly turnover register</t>
        </is>
      </c>
      <c r="M114" s="75" t="inlineStr">
        <is>
          <t>BAAY PROJECTS FINANCIALS 2024.xlsx</t>
        </is>
      </c>
      <c r="N114" s="75" t="inlineStr">
        <is>
          <t>JANUARY TURNOVER</t>
        </is>
      </c>
      <c r="O114" s="75" t="n">
        <v>21</v>
      </c>
      <c r="P114" s="75" t="inlineStr">
        <is>
          <t>24/01/2024</t>
        </is>
      </c>
      <c r="Q114" s="75" t="inlineStr">
        <is>
          <t>TURNOVER SCHEDULE r69</t>
        </is>
      </c>
      <c r="R114" s="75" t="n"/>
    </row>
    <row r="115" ht="25" customHeight="1">
      <c r="A115" s="78" t="inlineStr">
        <is>
          <t>SL0092</t>
        </is>
      </c>
      <c r="B115" s="79" t="n">
        <v>45317</v>
      </c>
      <c r="C115" s="78" t="inlineStr">
        <is>
          <t>2024-01</t>
        </is>
      </c>
      <c r="D115" s="78" t="n">
        <v>2024</v>
      </c>
      <c r="E115" s="78" t="inlineStr">
        <is>
          <t>Land</t>
        </is>
      </c>
      <c r="F115" s="78" t="inlineStr">
        <is>
          <t>Plot / unit price</t>
        </is>
      </c>
      <c r="G115" s="78" t="inlineStr">
        <is>
          <t>Green City Phase 1 (Lantaba, Ketu-Epe)</t>
        </is>
      </c>
      <c r="H115" s="78" t="inlineStr">
        <is>
          <t>BP-C0053</t>
        </is>
      </c>
      <c r="I115" s="78" t="inlineStr">
        <is>
          <t>Mr Adegbembo  Stephen Oluwagbemiga</t>
        </is>
      </c>
      <c r="J115" s="80" t="n">
        <v>1000000</v>
      </c>
      <c r="K115" s="78" t="inlineStr">
        <is>
          <t>Single register</t>
        </is>
      </c>
      <c r="L115" s="78" t="inlineStr">
        <is>
          <t>Primary: monthly turnover register</t>
        </is>
      </c>
      <c r="M115" s="78" t="inlineStr">
        <is>
          <t>BAAY PROJECTS FINANCIALS 2024.xlsx</t>
        </is>
      </c>
      <c r="N115" s="78" t="inlineStr">
        <is>
          <t>JANUARY TURNOVER</t>
        </is>
      </c>
      <c r="O115" s="78" t="n">
        <v>22</v>
      </c>
      <c r="P115" s="78" t="inlineStr">
        <is>
          <t>26/01/2024</t>
        </is>
      </c>
      <c r="Q115" s="78" t="inlineStr">
        <is>
          <t>TURNOVER SCHEDULE r83</t>
        </is>
      </c>
      <c r="R115" s="78" t="n"/>
    </row>
    <row r="116" ht="25" customHeight="1">
      <c r="A116" s="75" t="inlineStr">
        <is>
          <t>SL0093</t>
        </is>
      </c>
      <c r="B116" s="76" t="n">
        <v>45317</v>
      </c>
      <c r="C116" s="75" t="inlineStr">
        <is>
          <t>2024-01</t>
        </is>
      </c>
      <c r="D116" s="75" t="n">
        <v>2024</v>
      </c>
      <c r="E116" s="75" t="inlineStr">
        <is>
          <t>Land</t>
        </is>
      </c>
      <c r="F116" s="75" t="inlineStr">
        <is>
          <t>Plot / unit price</t>
        </is>
      </c>
      <c r="G116" s="75" t="inlineStr">
        <is>
          <t>Green City Phase 2 (Idobi, Ketu-Epe)</t>
        </is>
      </c>
      <c r="H116" s="75" t="inlineStr">
        <is>
          <t>BP-C0017</t>
        </is>
      </c>
      <c r="I116" s="75" t="inlineStr">
        <is>
          <t>Mr John Adeleye Taiwo</t>
        </is>
      </c>
      <c r="J116" s="77" t="n">
        <v>500000</v>
      </c>
      <c r="K116" s="75" t="inlineStr">
        <is>
          <t>Single register</t>
        </is>
      </c>
      <c r="L116" s="75" t="inlineStr">
        <is>
          <t>Primary: monthly turnover register</t>
        </is>
      </c>
      <c r="M116" s="75" t="inlineStr">
        <is>
          <t>BAAY PROJECTS FINANCIALS 2024.xlsx</t>
        </is>
      </c>
      <c r="N116" s="75" t="inlineStr">
        <is>
          <t>JANUARY TURNOVER</t>
        </is>
      </c>
      <c r="O116" s="75" t="n">
        <v>23</v>
      </c>
      <c r="P116" s="75" t="inlineStr">
        <is>
          <t>26/01/2024</t>
        </is>
      </c>
      <c r="Q116" s="75" t="inlineStr">
        <is>
          <t>TURNOVER SCHEDULE r63</t>
        </is>
      </c>
      <c r="R116" s="75" t="n"/>
    </row>
    <row r="117" ht="25" customHeight="1">
      <c r="A117" s="78" t="inlineStr">
        <is>
          <t>SL0094</t>
        </is>
      </c>
      <c r="B117" s="79" t="n">
        <v>45320</v>
      </c>
      <c r="C117" s="78" t="inlineStr">
        <is>
          <t>2024-01</t>
        </is>
      </c>
      <c r="D117" s="78" t="n">
        <v>2024</v>
      </c>
      <c r="E117" s="78" t="inlineStr">
        <is>
          <t>Land</t>
        </is>
      </c>
      <c r="F117" s="78" t="inlineStr">
        <is>
          <t>Plot / unit price</t>
        </is>
      </c>
      <c r="G117" s="78" t="inlineStr">
        <is>
          <t>Green City Phase 1 (Lantaba, Ketu-Epe)</t>
        </is>
      </c>
      <c r="H117" s="78" t="inlineStr">
        <is>
          <t>BP-C0055</t>
        </is>
      </c>
      <c r="I117" s="78" t="inlineStr">
        <is>
          <t>Mr Ademola Adeniji</t>
        </is>
      </c>
      <c r="J117" s="80" t="n">
        <v>3000000</v>
      </c>
      <c r="K117" s="78" t="inlineStr">
        <is>
          <t>Single register</t>
        </is>
      </c>
      <c r="L117" s="78" t="inlineStr">
        <is>
          <t>Primary: monthly turnover register</t>
        </is>
      </c>
      <c r="M117" s="78" t="inlineStr">
        <is>
          <t>BAAY PROJECTS FINANCIALS 2024.xlsx</t>
        </is>
      </c>
      <c r="N117" s="78" t="inlineStr">
        <is>
          <t>JANUARY TURNOVER</t>
        </is>
      </c>
      <c r="O117" s="78" t="n">
        <v>24</v>
      </c>
      <c r="P117" s="78" t="inlineStr">
        <is>
          <t>29/01/2024</t>
        </is>
      </c>
      <c r="Q117" s="78" t="inlineStr">
        <is>
          <t>TURNOVER SCHEDULE r36</t>
        </is>
      </c>
      <c r="R117" s="78" t="n"/>
    </row>
    <row r="118" ht="25" customHeight="1">
      <c r="A118" s="75" t="inlineStr">
        <is>
          <t>SL0095</t>
        </is>
      </c>
      <c r="B118" s="76" t="n">
        <v>45320</v>
      </c>
      <c r="C118" s="75" t="inlineStr">
        <is>
          <t>2024-01</t>
        </is>
      </c>
      <c r="D118" s="75" t="n">
        <v>2024</v>
      </c>
      <c r="E118" s="75" t="inlineStr">
        <is>
          <t>Land</t>
        </is>
      </c>
      <c r="F118" s="75" t="inlineStr">
        <is>
          <t>Plot / unit price</t>
        </is>
      </c>
      <c r="G118" s="75" t="inlineStr">
        <is>
          <t>Green City Phase 1 (Lantaba, Ketu-Epe)</t>
        </is>
      </c>
      <c r="H118" s="75" t="inlineStr">
        <is>
          <t>BP-C0054</t>
        </is>
      </c>
      <c r="I118" s="75" t="inlineStr">
        <is>
          <t>Mr Ademola Adeniyi</t>
        </is>
      </c>
      <c r="J118" s="77" t="n">
        <v>3000000</v>
      </c>
      <c r="K118" s="75" t="inlineStr">
        <is>
          <t>Single register</t>
        </is>
      </c>
      <c r="L118" s="75" t="inlineStr">
        <is>
          <t>Primary: monthly turnover register</t>
        </is>
      </c>
      <c r="M118" s="75" t="inlineStr">
        <is>
          <t>BAAY PROJECTS FINANCIALS 2024.xlsx</t>
        </is>
      </c>
      <c r="N118" s="75" t="inlineStr">
        <is>
          <t>JANUARY TURNOVER</t>
        </is>
      </c>
      <c r="O118" s="75" t="n">
        <v>25</v>
      </c>
      <c r="P118" s="75" t="inlineStr">
        <is>
          <t>29/01/2024</t>
        </is>
      </c>
      <c r="Q118" s="75" t="inlineStr">
        <is>
          <t>TURNOVER SCHEDULE r89, MRS ABIMBOLA r10</t>
        </is>
      </c>
      <c r="R118" s="75" t="n"/>
    </row>
    <row r="119" ht="25" customHeight="1">
      <c r="A119" s="78" t="inlineStr">
        <is>
          <t>SL0096</t>
        </is>
      </c>
      <c r="B119" s="79" t="n">
        <v>45320</v>
      </c>
      <c r="C119" s="78" t="inlineStr">
        <is>
          <t>2024-01</t>
        </is>
      </c>
      <c r="D119" s="78" t="n">
        <v>2024</v>
      </c>
      <c r="E119" s="78" t="inlineStr">
        <is>
          <t>Land</t>
        </is>
      </c>
      <c r="F119" s="78" t="inlineStr">
        <is>
          <t>Plot / unit price</t>
        </is>
      </c>
      <c r="G119" s="78" t="inlineStr">
        <is>
          <t>Green City Phase 2 (Idobi, Ketu-Epe)</t>
        </is>
      </c>
      <c r="H119" s="78" t="inlineStr">
        <is>
          <t>BP-C0017</t>
        </is>
      </c>
      <c r="I119" s="78" t="inlineStr">
        <is>
          <t>Mr John Adeleye Taiwo</t>
        </is>
      </c>
      <c r="J119" s="80" t="n">
        <v>500000</v>
      </c>
      <c r="K119" s="78" t="inlineStr">
        <is>
          <t>Single register</t>
        </is>
      </c>
      <c r="L119" s="78" t="inlineStr">
        <is>
          <t>Primary: monthly turnover register</t>
        </is>
      </c>
      <c r="M119" s="78" t="inlineStr">
        <is>
          <t>BAAY PROJECTS FINANCIALS 2024.xlsx</t>
        </is>
      </c>
      <c r="N119" s="78" t="inlineStr">
        <is>
          <t>JANUARY TURNOVER</t>
        </is>
      </c>
      <c r="O119" s="78" t="n">
        <v>26</v>
      </c>
      <c r="P119" s="78" t="inlineStr">
        <is>
          <t>29/01/2024</t>
        </is>
      </c>
      <c r="Q119" s="78" t="inlineStr">
        <is>
          <t>TURNOVER SCHEDULE r64</t>
        </is>
      </c>
      <c r="R119" s="78" t="n"/>
    </row>
    <row r="120" ht="25" customHeight="1">
      <c r="A120" s="75" t="inlineStr">
        <is>
          <t>SL0097</t>
        </is>
      </c>
      <c r="B120" s="76" t="n">
        <v>45320</v>
      </c>
      <c r="C120" s="75" t="inlineStr">
        <is>
          <t>2024-01</t>
        </is>
      </c>
      <c r="D120" s="75" t="n">
        <v>2024</v>
      </c>
      <c r="E120" s="75" t="inlineStr">
        <is>
          <t>Land</t>
        </is>
      </c>
      <c r="F120" s="75" t="inlineStr">
        <is>
          <t>Plot / unit price</t>
        </is>
      </c>
      <c r="G120" s="75" t="inlineStr">
        <is>
          <t>Green City Phase 1 (Lantaba, Ketu-Epe)</t>
        </is>
      </c>
      <c r="H120" s="75" t="inlineStr">
        <is>
          <t>BP-C0029</t>
        </is>
      </c>
      <c r="I120" s="75" t="inlineStr">
        <is>
          <t>Mr Ohanehi Anthony Chukwunonso</t>
        </is>
      </c>
      <c r="J120" s="77" t="n">
        <v>1500000</v>
      </c>
      <c r="K120" s="75" t="inlineStr">
        <is>
          <t>Single register</t>
        </is>
      </c>
      <c r="L120" s="75" t="inlineStr">
        <is>
          <t>Primary: monthly turnover register</t>
        </is>
      </c>
      <c r="M120" s="75" t="inlineStr">
        <is>
          <t>BAAY PROJECTS FINANCIALS 2024.xlsx</t>
        </is>
      </c>
      <c r="N120" s="75" t="inlineStr">
        <is>
          <t>JANUARY TURNOVER</t>
        </is>
      </c>
      <c r="O120" s="75" t="n">
        <v>27</v>
      </c>
      <c r="P120" s="75" t="inlineStr">
        <is>
          <t>29/01/2024</t>
        </is>
      </c>
      <c r="Q120" s="75" t="inlineStr">
        <is>
          <t>TURNOVER SCHEDULE r20</t>
        </is>
      </c>
      <c r="R120" s="75" t="n"/>
    </row>
    <row r="121" ht="25" customHeight="1">
      <c r="A121" s="78" t="inlineStr">
        <is>
          <t>SL0098</t>
        </is>
      </c>
      <c r="B121" s="79" t="n">
        <v>45322</v>
      </c>
      <c r="C121" s="78" t="inlineStr">
        <is>
          <t>2024-01</t>
        </is>
      </c>
      <c r="D121" s="78" t="n">
        <v>2024</v>
      </c>
      <c r="E121" s="78" t="inlineStr">
        <is>
          <t>Land</t>
        </is>
      </c>
      <c r="F121" s="78" t="inlineStr">
        <is>
          <t>Plot / unit price</t>
        </is>
      </c>
      <c r="G121" s="78" t="inlineStr">
        <is>
          <t>Green City Phase 1 (Lantaba, Ketu-Epe)</t>
        </is>
      </c>
      <c r="H121" s="78" t="inlineStr">
        <is>
          <t>BP-C0006</t>
        </is>
      </c>
      <c r="I121" s="78" t="inlineStr">
        <is>
          <t>Mr Olasupo Oladimeji Muritala</t>
        </is>
      </c>
      <c r="J121" s="80" t="n">
        <v>894000</v>
      </c>
      <c r="K121" s="78" t="inlineStr">
        <is>
          <t>Single register</t>
        </is>
      </c>
      <c r="L121" s="78" t="inlineStr">
        <is>
          <t>Primary: monthly turnover register</t>
        </is>
      </c>
      <c r="M121" s="78" t="inlineStr">
        <is>
          <t>BAAY PROJECTS FINANCIALS 2024.xlsx</t>
        </is>
      </c>
      <c r="N121" s="78" t="inlineStr">
        <is>
          <t>JANUARY TURNOVER</t>
        </is>
      </c>
      <c r="O121" s="78" t="n">
        <v>28</v>
      </c>
      <c r="P121" s="78" t="inlineStr">
        <is>
          <t>31/01/2024</t>
        </is>
      </c>
      <c r="Q121" s="78" t="inlineStr">
        <is>
          <t>TURNOVER SCHEDULE r27</t>
        </is>
      </c>
      <c r="R121" s="78" t="n"/>
    </row>
    <row r="122" ht="25" customHeight="1">
      <c r="A122" s="75" t="inlineStr">
        <is>
          <t>SL0099</t>
        </is>
      </c>
      <c r="B122" s="76" t="n">
        <v>45322</v>
      </c>
      <c r="C122" s="75" t="inlineStr">
        <is>
          <t>2024-01</t>
        </is>
      </c>
      <c r="D122" s="75" t="n">
        <v>2024</v>
      </c>
      <c r="E122" s="75" t="inlineStr">
        <is>
          <t>Land</t>
        </is>
      </c>
      <c r="F122" s="75" t="inlineStr">
        <is>
          <t>Plot / unit price</t>
        </is>
      </c>
      <c r="G122" s="75" t="inlineStr">
        <is>
          <t>Green City Phase 1 (Lantaba, Ketu-Epe)</t>
        </is>
      </c>
      <c r="H122" s="75" t="inlineStr">
        <is>
          <t>BP-C0050</t>
        </is>
      </c>
      <c r="I122" s="75" t="inlineStr">
        <is>
          <t>Mr Patrick Atuanya Jideovo</t>
        </is>
      </c>
      <c r="J122" s="77" t="n">
        <v>400000</v>
      </c>
      <c r="K122" s="75" t="inlineStr">
        <is>
          <t>Single register</t>
        </is>
      </c>
      <c r="L122" s="75" t="inlineStr">
        <is>
          <t>Primary: monthly turnover register</t>
        </is>
      </c>
      <c r="M122" s="75" t="inlineStr">
        <is>
          <t>BAAY PROJECTS FINANCIALS 2024.xlsx</t>
        </is>
      </c>
      <c r="N122" s="75" t="inlineStr">
        <is>
          <t>JANUARY TURNOVER</t>
        </is>
      </c>
      <c r="O122" s="75" t="n">
        <v>29</v>
      </c>
      <c r="P122" s="75" t="inlineStr">
        <is>
          <t>31/01/2024</t>
        </is>
      </c>
      <c r="Q122" s="75" t="inlineStr">
        <is>
          <t>TURNOVER SCHEDULE r143, MS YETUNDE ABISOYE r12</t>
        </is>
      </c>
      <c r="R122" s="75" t="n"/>
    </row>
    <row r="123" ht="25" customHeight="1">
      <c r="A123" s="78" t="inlineStr">
        <is>
          <t>SL0100</t>
        </is>
      </c>
      <c r="B123" s="79" t="n">
        <v>45323</v>
      </c>
      <c r="C123" s="78" t="inlineStr">
        <is>
          <t>2024-02</t>
        </is>
      </c>
      <c r="D123" s="78" t="n">
        <v>2024</v>
      </c>
      <c r="E123" s="78" t="inlineStr">
        <is>
          <t>Land</t>
        </is>
      </c>
      <c r="F123" s="78" t="inlineStr">
        <is>
          <t>Plot / unit price</t>
        </is>
      </c>
      <c r="G123" s="78" t="inlineStr">
        <is>
          <t>Green City Phase 2 (Ketu-Epe)</t>
        </is>
      </c>
      <c r="H123" s="78" t="inlineStr">
        <is>
          <t>BP-C0061</t>
        </is>
      </c>
      <c r="I123" s="78" t="inlineStr">
        <is>
          <t>Mr Ogunkoya Emmanuel Olatunji</t>
        </is>
      </c>
      <c r="J123" s="80" t="n">
        <v>200000</v>
      </c>
      <c r="K123" s="78" t="inlineStr">
        <is>
          <t>Single register</t>
        </is>
      </c>
      <c r="L123" s="78" t="inlineStr">
        <is>
          <t>Primary: monthly turnover register</t>
        </is>
      </c>
      <c r="M123" s="78" t="inlineStr">
        <is>
          <t>BAAY PROJECTS FINANCIALS 2024.xlsx</t>
        </is>
      </c>
      <c r="N123" s="78" t="inlineStr">
        <is>
          <t>FEBRUARY TURNOVER</t>
        </is>
      </c>
      <c r="O123" s="78" t="n">
        <v>6</v>
      </c>
      <c r="P123" s="78" t="inlineStr">
        <is>
          <t>2024-01-02</t>
        </is>
      </c>
      <c r="Q123" s="78" t="inlineStr">
        <is>
          <t>TURNOVER SCHEDULE r93</t>
        </is>
      </c>
      <c r="R123" s="78" t="n"/>
    </row>
    <row r="124" ht="25" customHeight="1">
      <c r="A124" s="75" t="inlineStr">
        <is>
          <t>SL0101</t>
        </is>
      </c>
      <c r="B124" s="76" t="n">
        <v>45323</v>
      </c>
      <c r="C124" s="75" t="inlineStr">
        <is>
          <t>2024-02</t>
        </is>
      </c>
      <c r="D124" s="75" t="n">
        <v>2024</v>
      </c>
      <c r="E124" s="75" t="inlineStr">
        <is>
          <t>Land</t>
        </is>
      </c>
      <c r="F124" s="75" t="inlineStr">
        <is>
          <t>Plot / unit price</t>
        </is>
      </c>
      <c r="G124" s="75" t="inlineStr">
        <is>
          <t>Green City Phase 1 (Lantaba, Ketu-Epe)</t>
        </is>
      </c>
      <c r="H124" s="75" t="inlineStr">
        <is>
          <t>BP-C0050</t>
        </is>
      </c>
      <c r="I124" s="75" t="inlineStr">
        <is>
          <t>Mr Patrick Atuanya Jideovo</t>
        </is>
      </c>
      <c r="J124" s="77" t="n">
        <v>450000</v>
      </c>
      <c r="K124" s="75" t="inlineStr">
        <is>
          <t>Single register</t>
        </is>
      </c>
      <c r="L124" s="75" t="inlineStr">
        <is>
          <t>Primary: monthly turnover register</t>
        </is>
      </c>
      <c r="M124" s="75" t="inlineStr">
        <is>
          <t>BAAY PROJECTS FINANCIALS 2024.xlsx</t>
        </is>
      </c>
      <c r="N124" s="75" t="inlineStr">
        <is>
          <t>FEBRUARY TURNOVER</t>
        </is>
      </c>
      <c r="O124" s="75" t="n">
        <v>7</v>
      </c>
      <c r="P124" s="75" t="inlineStr">
        <is>
          <t>2024-01-02</t>
        </is>
      </c>
      <c r="Q124" s="75" t="inlineStr">
        <is>
          <t>TURNOVER SCHEDULE r144, MS YETUNDE ABISOYE r13</t>
        </is>
      </c>
      <c r="R124" s="75" t="n"/>
    </row>
    <row r="125" ht="25" customHeight="1">
      <c r="A125" s="78" t="inlineStr">
        <is>
          <t>SL0102</t>
        </is>
      </c>
      <c r="B125" s="79" t="n">
        <v>45323</v>
      </c>
      <c r="C125" s="78" t="inlineStr">
        <is>
          <t>2024-02</t>
        </is>
      </c>
      <c r="D125" s="78" t="n">
        <v>2024</v>
      </c>
      <c r="E125" s="78" t="inlineStr">
        <is>
          <t>Land</t>
        </is>
      </c>
      <c r="F125" s="78" t="inlineStr">
        <is>
          <t>Plot / unit price</t>
        </is>
      </c>
      <c r="G125" s="78" t="inlineStr">
        <is>
          <t>Green City Phase 2 (Ketu-Epe)</t>
        </is>
      </c>
      <c r="H125" s="78" t="inlineStr">
        <is>
          <t>BP-C0060</t>
        </is>
      </c>
      <c r="I125" s="78" t="inlineStr">
        <is>
          <t>Ms. Mitchell Jennifer</t>
        </is>
      </c>
      <c r="J125" s="80" t="n">
        <v>200000</v>
      </c>
      <c r="K125" s="78" t="inlineStr">
        <is>
          <t>Single register</t>
        </is>
      </c>
      <c r="L125" s="78" t="inlineStr">
        <is>
          <t>Primary: monthly turnover register</t>
        </is>
      </c>
      <c r="M125" s="78" t="inlineStr">
        <is>
          <t>BAAY PROJECTS FINANCIALS 2024.xlsx</t>
        </is>
      </c>
      <c r="N125" s="78" t="inlineStr">
        <is>
          <t>FEBRUARY TURNOVER</t>
        </is>
      </c>
      <c r="O125" s="78" t="n">
        <v>8</v>
      </c>
      <c r="P125" s="78" t="inlineStr">
        <is>
          <t>2024-01-02</t>
        </is>
      </c>
      <c r="Q125" s="78" t="inlineStr">
        <is>
          <t>TURNOVER SCHEDULE r56</t>
        </is>
      </c>
      <c r="R125" s="78" t="n"/>
    </row>
    <row r="126" ht="25" customHeight="1">
      <c r="A126" s="75" t="inlineStr">
        <is>
          <t>SL0103</t>
        </is>
      </c>
      <c r="B126" s="76" t="n">
        <v>45324</v>
      </c>
      <c r="C126" s="75" t="inlineStr">
        <is>
          <t>2024-02</t>
        </is>
      </c>
      <c r="D126" s="75" t="n">
        <v>2024</v>
      </c>
      <c r="E126" s="75" t="inlineStr">
        <is>
          <t>Land</t>
        </is>
      </c>
      <c r="F126" s="75" t="inlineStr">
        <is>
          <t>Plot / unit price</t>
        </is>
      </c>
      <c r="G126" s="75" t="inlineStr">
        <is>
          <t>Green City Phase 1 (Lantaba, Ketu-Epe)</t>
        </is>
      </c>
      <c r="H126" s="75" t="inlineStr">
        <is>
          <t>BP-C0062</t>
        </is>
      </c>
      <c r="I126" s="75" t="inlineStr">
        <is>
          <t>Mr Agbaje Christopher Usiola</t>
        </is>
      </c>
      <c r="J126" s="77" t="n">
        <v>4500000</v>
      </c>
      <c r="K126" s="75" t="inlineStr">
        <is>
          <t>Single register</t>
        </is>
      </c>
      <c r="L126" s="75" t="inlineStr">
        <is>
          <t>Primary: monthly turnover register</t>
        </is>
      </c>
      <c r="M126" s="75" t="inlineStr">
        <is>
          <t>BAAY PROJECTS FINANCIALS 2024.xlsx</t>
        </is>
      </c>
      <c r="N126" s="75" t="inlineStr">
        <is>
          <t>FEBRUARY TURNOVER</t>
        </is>
      </c>
      <c r="O126" s="75" t="n">
        <v>9</v>
      </c>
      <c r="P126" s="75" t="inlineStr">
        <is>
          <t>2024-02-02</t>
        </is>
      </c>
      <c r="Q126" s="75" t="inlineStr">
        <is>
          <t>TURNOVER SCHEDULE r101</t>
        </is>
      </c>
      <c r="R126" s="75" t="n"/>
    </row>
    <row r="127" ht="25" customHeight="1">
      <c r="A127" s="78" t="inlineStr">
        <is>
          <t>SL0104</t>
        </is>
      </c>
      <c r="B127" s="79" t="n">
        <v>45324</v>
      </c>
      <c r="C127" s="78" t="inlineStr">
        <is>
          <t>2024-02</t>
        </is>
      </c>
      <c r="D127" s="78" t="n">
        <v>2024</v>
      </c>
      <c r="E127" s="78" t="inlineStr">
        <is>
          <t>Land</t>
        </is>
      </c>
      <c r="F127" s="78" t="inlineStr">
        <is>
          <t>Plot / unit price</t>
        </is>
      </c>
      <c r="G127" s="78" t="inlineStr">
        <is>
          <t>Green City Phase 1 (Lantaba, Ketu-Epe)</t>
        </is>
      </c>
      <c r="H127" s="78" t="inlineStr">
        <is>
          <t>BP-C0017</t>
        </is>
      </c>
      <c r="I127" s="78" t="inlineStr">
        <is>
          <t>Mr John Adeleye Taiwo</t>
        </is>
      </c>
      <c r="J127" s="80" t="n">
        <v>500000</v>
      </c>
      <c r="K127" s="78" t="inlineStr">
        <is>
          <t>Single register</t>
        </is>
      </c>
      <c r="L127" s="78" t="inlineStr">
        <is>
          <t>Primary: monthly turnover register</t>
        </is>
      </c>
      <c r="M127" s="78" t="inlineStr">
        <is>
          <t>BAAY PROJECTS FINANCIALS 2024.xlsx</t>
        </is>
      </c>
      <c r="N127" s="78" t="inlineStr">
        <is>
          <t>FEBRUARY TURNOVER</t>
        </is>
      </c>
      <c r="O127" s="78" t="n">
        <v>10</v>
      </c>
      <c r="P127" s="78" t="inlineStr">
        <is>
          <t>2024-02-02</t>
        </is>
      </c>
      <c r="Q127" s="78" t="inlineStr">
        <is>
          <t>TURNOVER SCHEDULE r65</t>
        </is>
      </c>
      <c r="R127" s="78" t="n"/>
    </row>
    <row r="128" ht="25" customHeight="1">
      <c r="A128" s="75" t="inlineStr">
        <is>
          <t>SL0105</t>
        </is>
      </c>
      <c r="B128" s="76" t="n">
        <v>45324</v>
      </c>
      <c r="C128" s="75" t="inlineStr">
        <is>
          <t>2024-02</t>
        </is>
      </c>
      <c r="D128" s="75" t="n">
        <v>2024</v>
      </c>
      <c r="E128" s="75" t="inlineStr">
        <is>
          <t>Land</t>
        </is>
      </c>
      <c r="F128" s="75" t="inlineStr">
        <is>
          <t>Plot / unit price</t>
        </is>
      </c>
      <c r="G128" s="75" t="inlineStr">
        <is>
          <t>Green City Phase 1 (Lantaba, Ketu-Epe)</t>
        </is>
      </c>
      <c r="H128" s="75" t="inlineStr">
        <is>
          <t>BP-C0006</t>
        </is>
      </c>
      <c r="I128" s="75" t="inlineStr">
        <is>
          <t>Mr Olasupo Oladimeji Muritala</t>
        </is>
      </c>
      <c r="J128" s="77" t="n">
        <v>506000</v>
      </c>
      <c r="K128" s="75" t="inlineStr">
        <is>
          <t>Single register</t>
        </is>
      </c>
      <c r="L128" s="75" t="inlineStr">
        <is>
          <t>Primary: monthly turnover register</t>
        </is>
      </c>
      <c r="M128" s="75" t="inlineStr">
        <is>
          <t>BAAY PROJECTS FINANCIALS 2024.xlsx</t>
        </is>
      </c>
      <c r="N128" s="75" t="inlineStr">
        <is>
          <t>FEBRUARY TURNOVER</t>
        </is>
      </c>
      <c r="O128" s="75" t="n">
        <v>11</v>
      </c>
      <c r="P128" s="75" t="inlineStr">
        <is>
          <t>2024-02-02</t>
        </is>
      </c>
      <c r="Q128" s="75" t="inlineStr">
        <is>
          <t>TURNOVER SCHEDULE r28, MRS ABIMBOLA r16</t>
        </is>
      </c>
      <c r="R128" s="75" t="n"/>
    </row>
    <row r="129" ht="25" customHeight="1">
      <c r="A129" s="78" t="inlineStr">
        <is>
          <t>SL0106</t>
        </is>
      </c>
      <c r="B129" s="79" t="n">
        <v>45325</v>
      </c>
      <c r="C129" s="78" t="inlineStr">
        <is>
          <t>2024-02</t>
        </is>
      </c>
      <c r="D129" s="78" t="n">
        <v>2024</v>
      </c>
      <c r="E129" s="78" t="inlineStr">
        <is>
          <t>Land</t>
        </is>
      </c>
      <c r="F129" s="78" t="inlineStr">
        <is>
          <t>Plot / unit price</t>
        </is>
      </c>
      <c r="G129" s="78" t="inlineStr">
        <is>
          <t>Green City Phase 2 (Ketu-Epe)</t>
        </is>
      </c>
      <c r="H129" s="78" t="inlineStr">
        <is>
          <t>BP-C0063</t>
        </is>
      </c>
      <c r="I129" s="78" t="inlineStr">
        <is>
          <t>Mr Omodara Adewale</t>
        </is>
      </c>
      <c r="J129" s="80" t="n">
        <v>1000000</v>
      </c>
      <c r="K129" s="78" t="inlineStr">
        <is>
          <t>Single register</t>
        </is>
      </c>
      <c r="L129" s="78" t="inlineStr">
        <is>
          <t>Primary: monthly turnover register</t>
        </is>
      </c>
      <c r="M129" s="78" t="inlineStr">
        <is>
          <t>BAAY PROJECTS FINANCIALS 2024.xlsx</t>
        </is>
      </c>
      <c r="N129" s="78" t="inlineStr">
        <is>
          <t>FEBRUARY TURNOVER</t>
        </is>
      </c>
      <c r="O129" s="78" t="n">
        <v>12</v>
      </c>
      <c r="P129" s="78" t="inlineStr">
        <is>
          <t>2024-03-02</t>
        </is>
      </c>
      <c r="Q129" s="78" t="inlineStr">
        <is>
          <t>TURNOVER SCHEDULE r95, MS TAIWO r7</t>
        </is>
      </c>
      <c r="R129" s="78" t="n"/>
    </row>
    <row r="130" ht="25" customHeight="1">
      <c r="A130" s="75" t="inlineStr">
        <is>
          <t>SL0107</t>
        </is>
      </c>
      <c r="B130" s="76" t="n">
        <v>45327</v>
      </c>
      <c r="C130" s="75" t="inlineStr">
        <is>
          <t>2024-02</t>
        </is>
      </c>
      <c r="D130" s="75" t="n">
        <v>2024</v>
      </c>
      <c r="E130" s="75" t="inlineStr">
        <is>
          <t>Land</t>
        </is>
      </c>
      <c r="F130" s="75" t="inlineStr">
        <is>
          <t>Plot / unit price</t>
        </is>
      </c>
      <c r="G130" s="75" t="inlineStr">
        <is>
          <t>Green City Phase 1 (Lantaba, Ketu-Epe)</t>
        </is>
      </c>
      <c r="H130" s="75" t="inlineStr">
        <is>
          <t>BP-C0036</t>
        </is>
      </c>
      <c r="I130" s="75" t="inlineStr">
        <is>
          <t>Mr Ohumende Paul Osaze</t>
        </is>
      </c>
      <c r="J130" s="77" t="n">
        <v>10000000</v>
      </c>
      <c r="K130" s="75" t="inlineStr">
        <is>
          <t>Single register</t>
        </is>
      </c>
      <c r="L130" s="75" t="inlineStr">
        <is>
          <t>Primary: monthly turnover register</t>
        </is>
      </c>
      <c r="M130" s="75" t="inlineStr">
        <is>
          <t>BAAY PROJECTS FINANCIALS 2024.xlsx</t>
        </is>
      </c>
      <c r="N130" s="75" t="inlineStr">
        <is>
          <t>FEBRUARY TURNOVER</t>
        </is>
      </c>
      <c r="O130" s="75" t="n">
        <v>13</v>
      </c>
      <c r="P130" s="75" t="inlineStr">
        <is>
          <t>2024-05-02</t>
        </is>
      </c>
      <c r="Q130" s="75" t="inlineStr">
        <is>
          <t>TURNOVER SCHEDULE r120</t>
        </is>
      </c>
      <c r="R130" s="75" t="n"/>
    </row>
    <row r="131" ht="25" customHeight="1">
      <c r="A131" s="78" t="inlineStr">
        <is>
          <t>SL0108</t>
        </is>
      </c>
      <c r="B131" s="79" t="n">
        <v>45328</v>
      </c>
      <c r="C131" s="78" t="inlineStr">
        <is>
          <t>2024-02</t>
        </is>
      </c>
      <c r="D131" s="78" t="n">
        <v>2024</v>
      </c>
      <c r="E131" s="78" t="inlineStr">
        <is>
          <t>Land</t>
        </is>
      </c>
      <c r="F131" s="78" t="inlineStr">
        <is>
          <t>Plot / unit price</t>
        </is>
      </c>
      <c r="G131" s="78" t="inlineStr">
        <is>
          <t>Green City Phase 2 (Ketu-Epe)</t>
        </is>
      </c>
      <c r="H131" s="78" t="inlineStr">
        <is>
          <t>BP-C0064</t>
        </is>
      </c>
      <c r="I131" s="78" t="inlineStr">
        <is>
          <t>Mr Okosun Damian Ehimen</t>
        </is>
      </c>
      <c r="J131" s="80" t="n">
        <v>500000</v>
      </c>
      <c r="K131" s="78" t="inlineStr">
        <is>
          <t>Single register</t>
        </is>
      </c>
      <c r="L131" s="78" t="inlineStr">
        <is>
          <t>Primary: monthly turnover register</t>
        </is>
      </c>
      <c r="M131" s="78" t="inlineStr">
        <is>
          <t>BAAY PROJECTS FINANCIALS 2024.xlsx</t>
        </is>
      </c>
      <c r="N131" s="78" t="inlineStr">
        <is>
          <t>FEBRUARY TURNOVER</t>
        </is>
      </c>
      <c r="O131" s="78" t="n">
        <v>14</v>
      </c>
      <c r="P131" s="78" t="inlineStr">
        <is>
          <t>2024-06-02</t>
        </is>
      </c>
      <c r="Q131" s="78" t="inlineStr">
        <is>
          <t>TURNOVER SCHEDULE r103, MS BOLANLE r21</t>
        </is>
      </c>
      <c r="R131" s="78" t="n"/>
    </row>
    <row r="132" ht="25" customHeight="1">
      <c r="A132" s="75" t="inlineStr">
        <is>
          <t>SL0109</t>
        </is>
      </c>
      <c r="B132" s="76" t="n">
        <v>45328</v>
      </c>
      <c r="C132" s="75" t="inlineStr">
        <is>
          <t>2024-02</t>
        </is>
      </c>
      <c r="D132" s="75" t="n">
        <v>2024</v>
      </c>
      <c r="E132" s="75" t="inlineStr">
        <is>
          <t>Land</t>
        </is>
      </c>
      <c r="F132" s="75" t="inlineStr">
        <is>
          <t>Plot / unit price</t>
        </is>
      </c>
      <c r="G132" s="75" t="inlineStr">
        <is>
          <t>Green City Phase 1 (Lantaba, Ketu-Epe)</t>
        </is>
      </c>
      <c r="H132" s="75" t="inlineStr">
        <is>
          <t>BP-C0057</t>
        </is>
      </c>
      <c r="I132" s="75" t="inlineStr">
        <is>
          <t>Mr Oniyide Olalouwa Blessing</t>
        </is>
      </c>
      <c r="J132" s="77" t="n">
        <v>1000000</v>
      </c>
      <c r="K132" s="75" t="inlineStr">
        <is>
          <t>Single register</t>
        </is>
      </c>
      <c r="L132" s="75" t="inlineStr">
        <is>
          <t>Primary: monthly turnover register</t>
        </is>
      </c>
      <c r="M132" s="75" t="inlineStr">
        <is>
          <t>BAAY PROJECTS FINANCIALS 2024.xlsx</t>
        </is>
      </c>
      <c r="N132" s="75" t="inlineStr">
        <is>
          <t>FEBRUARY TURNOVER</t>
        </is>
      </c>
      <c r="O132" s="75" t="n">
        <v>15</v>
      </c>
      <c r="P132" s="75" t="inlineStr">
        <is>
          <t>2024-06-02</t>
        </is>
      </c>
      <c r="Q132" s="75" t="inlineStr">
        <is>
          <t>TURNOVER SCHEDULE r70</t>
        </is>
      </c>
      <c r="R132" s="75" t="n"/>
    </row>
    <row r="133" ht="25" customHeight="1">
      <c r="A133" s="78" t="inlineStr">
        <is>
          <t>SL0110</t>
        </is>
      </c>
      <c r="B133" s="79" t="n">
        <v>45328</v>
      </c>
      <c r="C133" s="78" t="inlineStr">
        <is>
          <t>2024-02</t>
        </is>
      </c>
      <c r="D133" s="78" t="n">
        <v>2024</v>
      </c>
      <c r="E133" s="78" t="inlineStr">
        <is>
          <t>Land</t>
        </is>
      </c>
      <c r="F133" s="78" t="inlineStr">
        <is>
          <t>Plot / unit price</t>
        </is>
      </c>
      <c r="G133" s="78" t="inlineStr">
        <is>
          <t>Green City Phase 2 (Ketu-Epe)</t>
        </is>
      </c>
      <c r="H133" s="78" t="inlineStr">
        <is>
          <t>BP-C0065</t>
        </is>
      </c>
      <c r="I133" s="78" t="inlineStr">
        <is>
          <t>Mr Yusuf Saheed Taiwo</t>
        </is>
      </c>
      <c r="J133" s="80" t="n">
        <v>1800000</v>
      </c>
      <c r="K133" s="78" t="inlineStr">
        <is>
          <t>Single register</t>
        </is>
      </c>
      <c r="L133" s="78" t="inlineStr">
        <is>
          <t>Primary: monthly turnover register</t>
        </is>
      </c>
      <c r="M133" s="78" t="inlineStr">
        <is>
          <t>BAAY PROJECTS FINANCIALS 2024.xlsx</t>
        </is>
      </c>
      <c r="N133" s="78" t="inlineStr">
        <is>
          <t>FEBRUARY TURNOVER</t>
        </is>
      </c>
      <c r="O133" s="78" t="n">
        <v>16</v>
      </c>
      <c r="P133" s="78" t="inlineStr">
        <is>
          <t>2024-06-02</t>
        </is>
      </c>
      <c r="Q133" s="78" t="inlineStr">
        <is>
          <t>TURNOVER SCHEDULE r108</t>
        </is>
      </c>
      <c r="R133" s="78" t="n"/>
    </row>
    <row r="134" ht="25" customHeight="1">
      <c r="A134" s="75" t="inlineStr">
        <is>
          <t>SL0111</t>
        </is>
      </c>
      <c r="B134" s="76" t="n">
        <v>45331</v>
      </c>
      <c r="C134" s="75" t="inlineStr">
        <is>
          <t>2024-02</t>
        </is>
      </c>
      <c r="D134" s="75" t="n">
        <v>2024</v>
      </c>
      <c r="E134" s="75" t="inlineStr">
        <is>
          <t>Land</t>
        </is>
      </c>
      <c r="F134" s="75" t="inlineStr">
        <is>
          <t>Plot / unit price</t>
        </is>
      </c>
      <c r="G134" s="75" t="inlineStr">
        <is>
          <t>Green City Phase 1 (Lantaba, Ketu-Epe)</t>
        </is>
      </c>
      <c r="H134" s="75" t="inlineStr">
        <is>
          <t>BP-C0050</t>
        </is>
      </c>
      <c r="I134" s="75" t="inlineStr">
        <is>
          <t>Mr Atuanya Patrick Jideovo</t>
        </is>
      </c>
      <c r="J134" s="77" t="n">
        <v>160000</v>
      </c>
      <c r="K134" s="75" t="inlineStr">
        <is>
          <t>Single register</t>
        </is>
      </c>
      <c r="L134" s="75" t="inlineStr">
        <is>
          <t>Primary: monthly turnover register</t>
        </is>
      </c>
      <c r="M134" s="75" t="inlineStr">
        <is>
          <t>BAAY PROJECTS FINANCIALS 2024.xlsx</t>
        </is>
      </c>
      <c r="N134" s="75" t="inlineStr">
        <is>
          <t>FEBRUARY TURNOVER</t>
        </is>
      </c>
      <c r="O134" s="75" t="n">
        <v>17</v>
      </c>
      <c r="P134" s="75" t="inlineStr">
        <is>
          <t>2024-09-02</t>
        </is>
      </c>
      <c r="Q134" s="75" t="inlineStr">
        <is>
          <t>TURNOVER SCHEDULE r145, MS YETUNDE ABISOYE r17</t>
        </is>
      </c>
      <c r="R134" s="75" t="n"/>
    </row>
    <row r="135" ht="25" customHeight="1">
      <c r="A135" s="78" t="inlineStr">
        <is>
          <t>SL0112</t>
        </is>
      </c>
      <c r="B135" s="79" t="n">
        <v>45333</v>
      </c>
      <c r="C135" s="78" t="inlineStr">
        <is>
          <t>2024-02</t>
        </is>
      </c>
      <c r="D135" s="78" t="n">
        <v>2024</v>
      </c>
      <c r="E135" s="78" t="inlineStr">
        <is>
          <t>Land</t>
        </is>
      </c>
      <c r="F135" s="78" t="inlineStr">
        <is>
          <t>Plot / unit price</t>
        </is>
      </c>
      <c r="G135" s="78" t="inlineStr">
        <is>
          <t>Green City Phase 1 (Lantaba, Ketu-Epe)</t>
        </is>
      </c>
      <c r="H135" s="78" t="inlineStr">
        <is>
          <t>BP-C0006</t>
        </is>
      </c>
      <c r="I135" s="78" t="inlineStr">
        <is>
          <t>Mr Olasupo Oladimeji Muritala</t>
        </is>
      </c>
      <c r="J135" s="80" t="n">
        <v>1612600</v>
      </c>
      <c r="K135" s="78" t="inlineStr">
        <is>
          <t>Single register</t>
        </is>
      </c>
      <c r="L135" s="78" t="inlineStr">
        <is>
          <t>Primary: monthly turnover register</t>
        </is>
      </c>
      <c r="M135" s="78" t="inlineStr">
        <is>
          <t>BAAY PROJECTS FINANCIALS 2024.xlsx</t>
        </is>
      </c>
      <c r="N135" s="78" t="inlineStr">
        <is>
          <t>FEBRUARY TURNOVER</t>
        </is>
      </c>
      <c r="O135" s="78" t="n">
        <v>18</v>
      </c>
      <c r="P135" s="78" t="inlineStr">
        <is>
          <t>2024-11-02</t>
        </is>
      </c>
      <c r="Q135" s="78" t="inlineStr">
        <is>
          <t>TURNOVER SCHEDULE r29, MRS ABIMBOLA r26</t>
        </is>
      </c>
      <c r="R135" s="78" t="n"/>
    </row>
    <row r="136" ht="25" customHeight="1">
      <c r="A136" s="75" t="inlineStr">
        <is>
          <t>SL0113</t>
        </is>
      </c>
      <c r="B136" s="76" t="n">
        <v>45334</v>
      </c>
      <c r="C136" s="75" t="inlineStr">
        <is>
          <t>2024-02</t>
        </is>
      </c>
      <c r="D136" s="75" t="n">
        <v>2024</v>
      </c>
      <c r="E136" s="75" t="inlineStr">
        <is>
          <t>Land</t>
        </is>
      </c>
      <c r="F136" s="75" t="inlineStr">
        <is>
          <t>Plot / unit price</t>
        </is>
      </c>
      <c r="G136" s="75" t="inlineStr">
        <is>
          <t>Green City Phase 2 (Ketu-Epe)</t>
        </is>
      </c>
      <c r="H136" s="75" t="inlineStr">
        <is>
          <t>BP-C0009</t>
        </is>
      </c>
      <c r="I136" s="75" t="inlineStr">
        <is>
          <t>Miss Oji Blessing Mary</t>
        </is>
      </c>
      <c r="J136" s="77" t="n">
        <v>1500000</v>
      </c>
      <c r="K136" s="75" t="inlineStr">
        <is>
          <t>Single register</t>
        </is>
      </c>
      <c r="L136" s="75" t="inlineStr">
        <is>
          <t>Primary: monthly turnover register</t>
        </is>
      </c>
      <c r="M136" s="75" t="inlineStr">
        <is>
          <t>BAAY PROJECTS FINANCIALS 2024.xlsx</t>
        </is>
      </c>
      <c r="N136" s="75" t="inlineStr">
        <is>
          <t>FEBRUARY TURNOVER</t>
        </is>
      </c>
      <c r="O136" s="75" t="n">
        <v>19</v>
      </c>
      <c r="P136" s="75" t="inlineStr">
        <is>
          <t>2024-12-02</t>
        </is>
      </c>
      <c r="Q136" s="75" t="inlineStr">
        <is>
          <t>TURNOVER SCHEDULE r110, MS BOLANLE r18</t>
        </is>
      </c>
      <c r="R136" s="75" t="n"/>
    </row>
    <row r="137" ht="25" customHeight="1">
      <c r="A137" s="78" t="inlineStr">
        <is>
          <t>SL0114</t>
        </is>
      </c>
      <c r="B137" s="79" t="n">
        <v>45341</v>
      </c>
      <c r="C137" s="78" t="inlineStr">
        <is>
          <t>2024-02</t>
        </is>
      </c>
      <c r="D137" s="78" t="n">
        <v>2024</v>
      </c>
      <c r="E137" s="78" t="inlineStr">
        <is>
          <t>Land</t>
        </is>
      </c>
      <c r="F137" s="78" t="inlineStr">
        <is>
          <t>Plot / unit price</t>
        </is>
      </c>
      <c r="G137" s="78" t="inlineStr">
        <is>
          <t>Green City Phase 1 (Lantaba, Ketu-Epe)</t>
        </is>
      </c>
      <c r="H137" s="78" t="inlineStr">
        <is>
          <t>BP-C0059</t>
        </is>
      </c>
      <c r="I137" s="78" t="inlineStr">
        <is>
          <t>Chief Onyemelukwe Elochukwu George</t>
        </is>
      </c>
      <c r="J137" s="80" t="n">
        <v>540000</v>
      </c>
      <c r="K137" s="78" t="inlineStr">
        <is>
          <t>Single register</t>
        </is>
      </c>
      <c r="L137" s="78" t="inlineStr">
        <is>
          <t>Primary: monthly turnover register</t>
        </is>
      </c>
      <c r="M137" s="78" t="inlineStr">
        <is>
          <t>BAAY PROJECTS FINANCIALS 2024.xlsx</t>
        </is>
      </c>
      <c r="N137" s="78" t="inlineStr">
        <is>
          <t>FEBRUARY TURNOVER</t>
        </is>
      </c>
      <c r="O137" s="78" t="n">
        <v>20</v>
      </c>
      <c r="P137" s="78" t="inlineStr">
        <is>
          <t>19/02/2024</t>
        </is>
      </c>
      <c r="Q137" s="78" t="inlineStr">
        <is>
          <t>TURNOVER SCHEDULE r138, MRS ABIMBOLA r27</t>
        </is>
      </c>
      <c r="R137" s="78" t="n"/>
    </row>
    <row r="138" ht="25" customHeight="1">
      <c r="A138" s="75" t="inlineStr">
        <is>
          <t>SL0115</t>
        </is>
      </c>
      <c r="B138" s="76" t="n">
        <v>45341</v>
      </c>
      <c r="C138" s="75" t="inlineStr">
        <is>
          <t>2024-02</t>
        </is>
      </c>
      <c r="D138" s="75" t="n">
        <v>2024</v>
      </c>
      <c r="E138" s="75" t="inlineStr">
        <is>
          <t>Land</t>
        </is>
      </c>
      <c r="F138" s="75" t="inlineStr">
        <is>
          <t>Plot / unit price</t>
        </is>
      </c>
      <c r="G138" s="75" t="inlineStr">
        <is>
          <t>Green City Phase 2 (Ketu-Epe)</t>
        </is>
      </c>
      <c r="H138" s="75" t="inlineStr">
        <is>
          <t>BP-C0064</t>
        </is>
      </c>
      <c r="I138" s="75" t="inlineStr">
        <is>
          <t>Mr Damian Okosun</t>
        </is>
      </c>
      <c r="J138" s="77" t="n">
        <v>1000000</v>
      </c>
      <c r="K138" s="75" t="inlineStr">
        <is>
          <t>Single register</t>
        </is>
      </c>
      <c r="L138" s="75" t="inlineStr">
        <is>
          <t>Primary: monthly turnover register</t>
        </is>
      </c>
      <c r="M138" s="75" t="inlineStr">
        <is>
          <t>BAAY PROJECTS FINANCIALS 2024.xlsx</t>
        </is>
      </c>
      <c r="N138" s="75" t="inlineStr">
        <is>
          <t>FEBRUARY TURNOVER</t>
        </is>
      </c>
      <c r="O138" s="75" t="n">
        <v>21</v>
      </c>
      <c r="P138" s="75" t="inlineStr">
        <is>
          <t>19/02/2024</t>
        </is>
      </c>
      <c r="Q138" s="75" t="inlineStr">
        <is>
          <t>TURNOVER SCHEDULE r104, MS BOLANLE r22</t>
        </is>
      </c>
      <c r="R138" s="75" t="n"/>
    </row>
    <row r="139" ht="25" customHeight="1">
      <c r="A139" s="78" t="inlineStr">
        <is>
          <t>SL0116</t>
        </is>
      </c>
      <c r="B139" s="79" t="n">
        <v>45343</v>
      </c>
      <c r="C139" s="78" t="inlineStr">
        <is>
          <t>2024-02</t>
        </is>
      </c>
      <c r="D139" s="78" t="n">
        <v>2024</v>
      </c>
      <c r="E139" s="78" t="inlineStr">
        <is>
          <t>Land</t>
        </is>
      </c>
      <c r="F139" s="78" t="inlineStr">
        <is>
          <t>Plot / unit price</t>
        </is>
      </c>
      <c r="G139" s="78" t="inlineStr">
        <is>
          <t>Green City Phase 1 (Lantaba, Ketu-Epe)</t>
        </is>
      </c>
      <c r="H139" s="78" t="inlineStr">
        <is>
          <t>BP-C0056</t>
        </is>
      </c>
      <c r="I139" s="78" t="inlineStr">
        <is>
          <t>Mr Adeuti Babatunde Olanrewaju</t>
        </is>
      </c>
      <c r="J139" s="80" t="n">
        <v>740000</v>
      </c>
      <c r="K139" s="78" t="inlineStr">
        <is>
          <t>Single register</t>
        </is>
      </c>
      <c r="L139" s="78" t="inlineStr">
        <is>
          <t>Primary: monthly turnover register</t>
        </is>
      </c>
      <c r="M139" s="78" t="inlineStr">
        <is>
          <t>BAAY PROJECTS FINANCIALS 2024.xlsx</t>
        </is>
      </c>
      <c r="N139" s="78" t="inlineStr">
        <is>
          <t>FEBRUARY TURNOVER</t>
        </is>
      </c>
      <c r="O139" s="78" t="n">
        <v>22</v>
      </c>
      <c r="P139" s="78" t="inlineStr">
        <is>
          <t>21/02/2024</t>
        </is>
      </c>
      <c r="Q139" s="78" t="inlineStr">
        <is>
          <t>TURNOVER SCHEDULE r79, MRS ABIMBOLA r28</t>
        </is>
      </c>
      <c r="R139" s="78" t="n"/>
    </row>
    <row r="140" ht="25" customHeight="1">
      <c r="A140" s="75" t="inlineStr">
        <is>
          <t>SL0117</t>
        </is>
      </c>
      <c r="B140" s="76" t="n">
        <v>45344</v>
      </c>
      <c r="C140" s="75" t="inlineStr">
        <is>
          <t>2024-02</t>
        </is>
      </c>
      <c r="D140" s="75" t="n">
        <v>2024</v>
      </c>
      <c r="E140" s="75" t="inlineStr">
        <is>
          <t>Land</t>
        </is>
      </c>
      <c r="F140" s="75" t="inlineStr">
        <is>
          <t>Plot / unit price</t>
        </is>
      </c>
      <c r="G140" s="75" t="inlineStr">
        <is>
          <t>Green City Phase 1 (Lantaba, Ketu-Epe)</t>
        </is>
      </c>
      <c r="H140" s="75" t="inlineStr">
        <is>
          <t>BP-C0056</t>
        </is>
      </c>
      <c r="I140" s="75" t="inlineStr">
        <is>
          <t>Mr Adeuti Babatunde Olanrewaju</t>
        </is>
      </c>
      <c r="J140" s="77" t="n">
        <v>660000</v>
      </c>
      <c r="K140" s="75" t="inlineStr">
        <is>
          <t>Single register</t>
        </is>
      </c>
      <c r="L140" s="75" t="inlineStr">
        <is>
          <t>Primary: monthly turnover register</t>
        </is>
      </c>
      <c r="M140" s="75" t="inlineStr">
        <is>
          <t>BAAY PROJECTS FINANCIALS 2024.xlsx</t>
        </is>
      </c>
      <c r="N140" s="75" t="inlineStr">
        <is>
          <t>FEBRUARY TURNOVER</t>
        </is>
      </c>
      <c r="O140" s="75" t="n">
        <v>24</v>
      </c>
      <c r="P140" s="75" t="inlineStr">
        <is>
          <t>22/02/2024</t>
        </is>
      </c>
      <c r="Q140" s="75" t="inlineStr">
        <is>
          <t>TURNOVER SCHEDULE r80, MRS ABIMBOLA r29</t>
        </is>
      </c>
      <c r="R140" s="75" t="n"/>
    </row>
    <row r="141" ht="25" customHeight="1">
      <c r="A141" s="78" t="inlineStr">
        <is>
          <t>SL0118</t>
        </is>
      </c>
      <c r="B141" s="79" t="n">
        <v>45344</v>
      </c>
      <c r="C141" s="78" t="inlineStr">
        <is>
          <t>2024-02</t>
        </is>
      </c>
      <c r="D141" s="78" t="n">
        <v>2024</v>
      </c>
      <c r="E141" s="78" t="inlineStr">
        <is>
          <t>Land</t>
        </is>
      </c>
      <c r="F141" s="78" t="inlineStr">
        <is>
          <t>Plot / unit price</t>
        </is>
      </c>
      <c r="G141" s="78" t="inlineStr">
        <is>
          <t>Green City Phase 1 (Lantaba, Ketu-Epe)</t>
        </is>
      </c>
      <c r="H141" s="78" t="inlineStr">
        <is>
          <t>BP-C0044</t>
        </is>
      </c>
      <c r="I141" s="78" t="inlineStr">
        <is>
          <t>Mr Babajide Oluwase</t>
        </is>
      </c>
      <c r="J141" s="80" t="n">
        <v>715000</v>
      </c>
      <c r="K141" s="78" t="inlineStr">
        <is>
          <t>Single register</t>
        </is>
      </c>
      <c r="L141" s="78" t="inlineStr">
        <is>
          <t>Primary: monthly turnover register</t>
        </is>
      </c>
      <c r="M141" s="78" t="inlineStr">
        <is>
          <t>BAAY PROJECTS FINANCIALS 2024.xlsx</t>
        </is>
      </c>
      <c r="N141" s="78" t="inlineStr">
        <is>
          <t>FEBRUARY TURNOVER</t>
        </is>
      </c>
      <c r="O141" s="78" t="n">
        <v>23</v>
      </c>
      <c r="P141" s="78" t="inlineStr">
        <is>
          <t>22/02/2024</t>
        </is>
      </c>
      <c r="Q141" s="78" t="inlineStr">
        <is>
          <t>TURNOVER SCHEDULE r191, MD r27</t>
        </is>
      </c>
      <c r="R141" s="78" t="n"/>
    </row>
    <row r="142" ht="25" customHeight="1">
      <c r="A142" s="75" t="inlineStr">
        <is>
          <t>SL0119</t>
        </is>
      </c>
      <c r="B142" s="76" t="n">
        <v>45345</v>
      </c>
      <c r="C142" s="75" t="inlineStr">
        <is>
          <t>2024-02</t>
        </is>
      </c>
      <c r="D142" s="75" t="n">
        <v>2024</v>
      </c>
      <c r="E142" s="75" t="inlineStr">
        <is>
          <t>Land</t>
        </is>
      </c>
      <c r="F142" s="75" t="inlineStr">
        <is>
          <t>Plot / unit price</t>
        </is>
      </c>
      <c r="G142" s="75" t="inlineStr">
        <is>
          <t>Green City Phase 1 (Lantaba, Ketu-Epe)</t>
        </is>
      </c>
      <c r="H142" s="75" t="inlineStr">
        <is>
          <t>BP-C0053</t>
        </is>
      </c>
      <c r="I142" s="75" t="inlineStr">
        <is>
          <t>Mr Adegbembo Stephen Oluwagbemiga</t>
        </is>
      </c>
      <c r="J142" s="77" t="n">
        <v>1000000</v>
      </c>
      <c r="K142" s="75" t="inlineStr">
        <is>
          <t>Single register</t>
        </is>
      </c>
      <c r="L142" s="75" t="inlineStr">
        <is>
          <t>Primary: monthly turnover register</t>
        </is>
      </c>
      <c r="M142" s="75" t="inlineStr">
        <is>
          <t>BAAY PROJECTS FINANCIALS 2024.xlsx</t>
        </is>
      </c>
      <c r="N142" s="75" t="inlineStr">
        <is>
          <t>FEBRUARY TURNOVER</t>
        </is>
      </c>
      <c r="O142" s="75" t="n">
        <v>25</v>
      </c>
      <c r="P142" s="75" t="inlineStr">
        <is>
          <t>23/02/2024</t>
        </is>
      </c>
      <c r="Q142" s="75" t="inlineStr">
        <is>
          <t>TURNOVER SCHEDULE r84</t>
        </is>
      </c>
      <c r="R142" s="75" t="n"/>
    </row>
    <row r="143" ht="25" customHeight="1">
      <c r="A143" s="78" t="inlineStr">
        <is>
          <t>SL0120</t>
        </is>
      </c>
      <c r="B143" s="79" t="n">
        <v>45347</v>
      </c>
      <c r="C143" s="78" t="inlineStr">
        <is>
          <t>2024-02</t>
        </is>
      </c>
      <c r="D143" s="78" t="n">
        <v>2024</v>
      </c>
      <c r="E143" s="78" t="inlineStr">
        <is>
          <t>Land</t>
        </is>
      </c>
      <c r="F143" s="78" t="inlineStr">
        <is>
          <t>Plot / unit price</t>
        </is>
      </c>
      <c r="G143" s="78" t="inlineStr">
        <is>
          <t>Green City Phase 1 (Lantaba, Ketu-Epe)</t>
        </is>
      </c>
      <c r="H143" s="78" t="inlineStr">
        <is>
          <t>BP-C0027</t>
        </is>
      </c>
      <c r="I143" s="78" t="inlineStr">
        <is>
          <t>Mr Edun Ayobami Simeon</t>
        </is>
      </c>
      <c r="J143" s="80" t="n">
        <v>700000</v>
      </c>
      <c r="K143" s="78" t="inlineStr">
        <is>
          <t>Single register</t>
        </is>
      </c>
      <c r="L143" s="78" t="inlineStr">
        <is>
          <t>Primary: monthly turnover register</t>
        </is>
      </c>
      <c r="M143" s="78" t="inlineStr">
        <is>
          <t>BAAY PROJECTS FINANCIALS 2024.xlsx</t>
        </is>
      </c>
      <c r="N143" s="78" t="inlineStr">
        <is>
          <t>FEBRUARY TURNOVER</t>
        </is>
      </c>
      <c r="O143" s="78" t="n">
        <v>26</v>
      </c>
      <c r="P143" s="78" t="inlineStr">
        <is>
          <t>25/02/2024</t>
        </is>
      </c>
      <c r="Q143" s="78" t="inlineStr">
        <is>
          <t>TURNOVER SCHEDULE r130, MRS ABIMBOLA r80</t>
        </is>
      </c>
      <c r="R143" s="78" t="n"/>
    </row>
    <row r="144" ht="25" customHeight="1">
      <c r="A144" s="75" t="inlineStr">
        <is>
          <t>SL0121</t>
        </is>
      </c>
      <c r="B144" s="76" t="n">
        <v>45348</v>
      </c>
      <c r="C144" s="75" t="inlineStr">
        <is>
          <t>2024-02</t>
        </is>
      </c>
      <c r="D144" s="75" t="n">
        <v>2024</v>
      </c>
      <c r="E144" s="75" t="inlineStr">
        <is>
          <t>Land</t>
        </is>
      </c>
      <c r="F144" s="75" t="inlineStr">
        <is>
          <t>Plot / unit price</t>
        </is>
      </c>
      <c r="G144" s="75" t="inlineStr">
        <is>
          <t>Green City Phase 1 (Lantaba, Ketu-Epe)</t>
        </is>
      </c>
      <c r="H144" s="75" t="inlineStr">
        <is>
          <t>BP-C0046</t>
        </is>
      </c>
      <c r="I144" s="75" t="inlineStr">
        <is>
          <t>Mr Adesida Raphael</t>
        </is>
      </c>
      <c r="J144" s="77" t="n">
        <v>100000</v>
      </c>
      <c r="K144" s="75" t="inlineStr">
        <is>
          <t>Single register</t>
        </is>
      </c>
      <c r="L144" s="75" t="inlineStr">
        <is>
          <t>Primary: monthly turnover register</t>
        </is>
      </c>
      <c r="M144" s="75" t="inlineStr">
        <is>
          <t>BAAY PROJECTS FINANCIALS 2024.xlsx</t>
        </is>
      </c>
      <c r="N144" s="75" t="inlineStr">
        <is>
          <t>FEBRUARY TURNOVER</t>
        </is>
      </c>
      <c r="O144" s="75" t="n">
        <v>29</v>
      </c>
      <c r="P144" s="75" t="inlineStr">
        <is>
          <t>26/02/2024</t>
        </is>
      </c>
      <c r="Q144" s="75" t="inlineStr">
        <is>
          <t>TURNOVER SCHEDULE r172</t>
        </is>
      </c>
      <c r="R144" s="75" t="n"/>
    </row>
    <row r="145" ht="25" customHeight="1">
      <c r="A145" s="78" t="inlineStr">
        <is>
          <t>SL0122</t>
        </is>
      </c>
      <c r="B145" s="79" t="n">
        <v>45348</v>
      </c>
      <c r="C145" s="78" t="inlineStr">
        <is>
          <t>2024-02</t>
        </is>
      </c>
      <c r="D145" s="78" t="n">
        <v>2024</v>
      </c>
      <c r="E145" s="78" t="inlineStr">
        <is>
          <t>Land</t>
        </is>
      </c>
      <c r="F145" s="78" t="inlineStr">
        <is>
          <t>Plot / unit price</t>
        </is>
      </c>
      <c r="G145" s="78" t="inlineStr">
        <is>
          <t>Green City Phase 2 (Ketu-Epe)</t>
        </is>
      </c>
      <c r="H145" s="78" t="inlineStr">
        <is>
          <t>BP-C0067</t>
        </is>
      </c>
      <c r="I145" s="78" t="inlineStr">
        <is>
          <t>Mr Odje Theophilus Bamidele</t>
        </is>
      </c>
      <c r="J145" s="80" t="n">
        <v>3500000</v>
      </c>
      <c r="K145" s="78" t="inlineStr">
        <is>
          <t>Single register</t>
        </is>
      </c>
      <c r="L145" s="78" t="inlineStr">
        <is>
          <t>Primary: monthly turnover register</t>
        </is>
      </c>
      <c r="M145" s="78" t="inlineStr">
        <is>
          <t>BAAY PROJECTS FINANCIALS 2024.xlsx</t>
        </is>
      </c>
      <c r="N145" s="78" t="inlineStr">
        <is>
          <t>FEBRUARY TURNOVER</t>
        </is>
      </c>
      <c r="O145" s="78" t="n">
        <v>30</v>
      </c>
      <c r="P145" s="78" t="inlineStr">
        <is>
          <t>26/02/2024</t>
        </is>
      </c>
      <c r="Q145" s="78" t="inlineStr">
        <is>
          <t>TURNOVER SCHEDULE r221, MR PRAISE r2</t>
        </is>
      </c>
      <c r="R145" s="78" t="n"/>
    </row>
    <row r="146" ht="25" customHeight="1">
      <c r="A146" s="75" t="inlineStr">
        <is>
          <t>SL0123</t>
        </is>
      </c>
      <c r="B146" s="76" t="n">
        <v>45348</v>
      </c>
      <c r="C146" s="75" t="inlineStr">
        <is>
          <t>2024-02</t>
        </is>
      </c>
      <c r="D146" s="75" t="n">
        <v>2024</v>
      </c>
      <c r="E146" s="75" t="inlineStr">
        <is>
          <t>Land</t>
        </is>
      </c>
      <c r="F146" s="75" t="inlineStr">
        <is>
          <t>Plot / unit price</t>
        </is>
      </c>
      <c r="G146" s="75" t="inlineStr">
        <is>
          <t>Green City Phase 2 (Ketu-Epe)</t>
        </is>
      </c>
      <c r="H146" s="75" t="inlineStr">
        <is>
          <t>BP-C0063</t>
        </is>
      </c>
      <c r="I146" s="75" t="inlineStr">
        <is>
          <t>Mr Omodara Adewale</t>
        </is>
      </c>
      <c r="J146" s="77" t="n">
        <v>2000000</v>
      </c>
      <c r="K146" s="75" t="inlineStr">
        <is>
          <t>Single register</t>
        </is>
      </c>
      <c r="L146" s="75" t="inlineStr">
        <is>
          <t>Primary: monthly turnover register</t>
        </is>
      </c>
      <c r="M146" s="75" t="inlineStr">
        <is>
          <t>BAAY PROJECTS FINANCIALS 2024.xlsx</t>
        </is>
      </c>
      <c r="N146" s="75" t="inlineStr">
        <is>
          <t>FEBRUARY TURNOVER</t>
        </is>
      </c>
      <c r="O146" s="75" t="n">
        <v>31</v>
      </c>
      <c r="P146" s="75" t="inlineStr">
        <is>
          <t>26/02/2024</t>
        </is>
      </c>
      <c r="Q146" s="75" t="inlineStr">
        <is>
          <t>TURNOVER SCHEDULE r96, MS TAIWO r13</t>
        </is>
      </c>
      <c r="R146" s="75" t="n"/>
    </row>
    <row r="147" ht="25" customHeight="1">
      <c r="A147" s="78" t="inlineStr">
        <is>
          <t>SL0124</t>
        </is>
      </c>
      <c r="B147" s="79" t="n">
        <v>45348</v>
      </c>
      <c r="C147" s="78" t="inlineStr">
        <is>
          <t>2024-02</t>
        </is>
      </c>
      <c r="D147" s="78" t="n">
        <v>2024</v>
      </c>
      <c r="E147" s="78" t="inlineStr">
        <is>
          <t>Land</t>
        </is>
      </c>
      <c r="F147" s="78" t="inlineStr">
        <is>
          <t>Plot / unit price</t>
        </is>
      </c>
      <c r="G147" s="78" t="inlineStr">
        <is>
          <t>Green City Phase 1 (Lantaba, Ketu-Epe)</t>
        </is>
      </c>
      <c r="H147" s="78" t="inlineStr">
        <is>
          <t>BP-C0057</t>
        </is>
      </c>
      <c r="I147" s="78" t="inlineStr">
        <is>
          <t>Mr Oniyide Olalouwa Blessing</t>
        </is>
      </c>
      <c r="J147" s="80" t="n">
        <v>1040000</v>
      </c>
      <c r="K147" s="78" t="inlineStr">
        <is>
          <t>Single register</t>
        </is>
      </c>
      <c r="L147" s="78" t="inlineStr">
        <is>
          <t>Primary: monthly turnover register</t>
        </is>
      </c>
      <c r="M147" s="78" t="inlineStr">
        <is>
          <t>BAAY PROJECTS FINANCIALS 2024.xlsx</t>
        </is>
      </c>
      <c r="N147" s="78" t="inlineStr">
        <is>
          <t>FEBRUARY TURNOVER</t>
        </is>
      </c>
      <c r="O147" s="78" t="n">
        <v>27</v>
      </c>
      <c r="P147" s="78" t="inlineStr">
        <is>
          <t>26/02/2024</t>
        </is>
      </c>
      <c r="Q147" s="78" t="inlineStr">
        <is>
          <t>TURNOVER SCHEDULE r71</t>
        </is>
      </c>
      <c r="R147" s="78" t="n"/>
    </row>
    <row r="148" ht="25" customHeight="1">
      <c r="A148" s="75" t="inlineStr">
        <is>
          <t>SL0125</t>
        </is>
      </c>
      <c r="B148" s="76" t="n">
        <v>45348</v>
      </c>
      <c r="C148" s="75" t="inlineStr">
        <is>
          <t>2024-02</t>
        </is>
      </c>
      <c r="D148" s="75" t="n">
        <v>2024</v>
      </c>
      <c r="E148" s="75" t="inlineStr">
        <is>
          <t>Land</t>
        </is>
      </c>
      <c r="F148" s="75" t="inlineStr">
        <is>
          <t>Plot / unit price</t>
        </is>
      </c>
      <c r="G148" s="75" t="inlineStr">
        <is>
          <t>Green City Phase 2 (Ketu-Epe)</t>
        </is>
      </c>
      <c r="H148" s="75" t="inlineStr">
        <is>
          <t>BP-C0008</t>
        </is>
      </c>
      <c r="I148" s="75" t="inlineStr">
        <is>
          <t>Mr Rasaq Roqeeb Adebare</t>
        </is>
      </c>
      <c r="J148" s="77" t="n">
        <v>500000</v>
      </c>
      <c r="K148" s="75" t="inlineStr">
        <is>
          <t>Single register</t>
        </is>
      </c>
      <c r="L148" s="75" t="inlineStr">
        <is>
          <t>Primary: monthly turnover register</t>
        </is>
      </c>
      <c r="M148" s="75" t="inlineStr">
        <is>
          <t>BAAY PROJECTS FINANCIALS 2024.xlsx</t>
        </is>
      </c>
      <c r="N148" s="75" t="inlineStr">
        <is>
          <t>FEBRUARY TURNOVER</t>
        </is>
      </c>
      <c r="O148" s="75" t="n">
        <v>28</v>
      </c>
      <c r="P148" s="75" t="inlineStr">
        <is>
          <t>26/02/2024</t>
        </is>
      </c>
      <c r="Q148" s="75" t="inlineStr">
        <is>
          <t>TURNOVER SCHEDULE r186</t>
        </is>
      </c>
      <c r="R148" s="75" t="n"/>
    </row>
    <row r="149" ht="25" customHeight="1">
      <c r="A149" s="78" t="inlineStr">
        <is>
          <t>SL0126</t>
        </is>
      </c>
      <c r="B149" s="79" t="n">
        <v>45349</v>
      </c>
      <c r="C149" s="78" t="inlineStr">
        <is>
          <t>2024-02</t>
        </is>
      </c>
      <c r="D149" s="78" t="n">
        <v>2024</v>
      </c>
      <c r="E149" s="78" t="inlineStr">
        <is>
          <t>Land</t>
        </is>
      </c>
      <c r="F149" s="78" t="inlineStr">
        <is>
          <t>Plot / unit price</t>
        </is>
      </c>
      <c r="G149" s="78" t="inlineStr">
        <is>
          <t>Green City Phase 1 (Lantaba, Ketu-Epe)</t>
        </is>
      </c>
      <c r="H149" s="78" t="inlineStr">
        <is>
          <t>BP-C0046</t>
        </is>
      </c>
      <c r="I149" s="78" t="inlineStr">
        <is>
          <t>Mr Adesida Raphael</t>
        </is>
      </c>
      <c r="J149" s="80" t="n">
        <v>100000</v>
      </c>
      <c r="K149" s="78" t="inlineStr">
        <is>
          <t>Single register</t>
        </is>
      </c>
      <c r="L149" s="78" t="inlineStr">
        <is>
          <t>Primary: monthly turnover register</t>
        </is>
      </c>
      <c r="M149" s="78" t="inlineStr">
        <is>
          <t>BAAY PROJECTS FINANCIALS 2024.xlsx</t>
        </is>
      </c>
      <c r="N149" s="78" t="inlineStr">
        <is>
          <t>FEBRUARY TURNOVER</t>
        </is>
      </c>
      <c r="O149" s="78" t="n">
        <v>32</v>
      </c>
      <c r="P149" s="78" t="inlineStr">
        <is>
          <t>27/02/2024</t>
        </is>
      </c>
      <c r="Q149" s="78" t="inlineStr">
        <is>
          <t>TURNOVER SCHEDULE r173</t>
        </is>
      </c>
      <c r="R149" s="78" t="n"/>
    </row>
    <row r="150" ht="25" customHeight="1">
      <c r="A150" s="75" t="inlineStr">
        <is>
          <t>SL0127</t>
        </is>
      </c>
      <c r="B150" s="76" t="n">
        <v>45350</v>
      </c>
      <c r="C150" s="75" t="inlineStr">
        <is>
          <t>2024-02</t>
        </is>
      </c>
      <c r="D150" s="75" t="n">
        <v>2024</v>
      </c>
      <c r="E150" s="75" t="inlineStr">
        <is>
          <t>Land</t>
        </is>
      </c>
      <c r="F150" s="75" t="inlineStr">
        <is>
          <t>Plot / unit price</t>
        </is>
      </c>
      <c r="G150" s="75" t="inlineStr">
        <is>
          <t>Green City Phase 1 (Lantaba, Ketu-Epe)</t>
        </is>
      </c>
      <c r="H150" s="75" t="inlineStr">
        <is>
          <t>BP-C0029</t>
        </is>
      </c>
      <c r="I150" s="75" t="inlineStr">
        <is>
          <t>Mr Ohanehi Anthony Chukwunonso</t>
        </is>
      </c>
      <c r="J150" s="77" t="n">
        <v>1511250</v>
      </c>
      <c r="K150" s="75" t="inlineStr">
        <is>
          <t>Single register</t>
        </is>
      </c>
      <c r="L150" s="75" t="inlineStr">
        <is>
          <t>Primary: monthly turnover register</t>
        </is>
      </c>
      <c r="M150" s="75" t="inlineStr">
        <is>
          <t>BAAY PROJECTS FINANCIALS 2024.xlsx</t>
        </is>
      </c>
      <c r="N150" s="75" t="inlineStr">
        <is>
          <t>FEBRUARY TURNOVER</t>
        </is>
      </c>
      <c r="O150" s="75" t="n">
        <v>33</v>
      </c>
      <c r="P150" s="75" t="inlineStr">
        <is>
          <t>28/02/2024</t>
        </is>
      </c>
      <c r="Q150" s="75" t="inlineStr">
        <is>
          <t>TURNOVER SCHEDULE r21, MS IMMACULATE r16</t>
        </is>
      </c>
      <c r="R150" s="75" t="n"/>
    </row>
    <row r="151" ht="25" customHeight="1">
      <c r="A151" s="78" t="inlineStr">
        <is>
          <t>SL0128</t>
        </is>
      </c>
      <c r="B151" s="79" t="n">
        <v>45352</v>
      </c>
      <c r="C151" s="78" t="inlineStr">
        <is>
          <t>2024-03</t>
        </is>
      </c>
      <c r="D151" s="78" t="n">
        <v>2024</v>
      </c>
      <c r="E151" s="78" t="inlineStr">
        <is>
          <t>Land</t>
        </is>
      </c>
      <c r="F151" s="78" t="inlineStr">
        <is>
          <t>Plot / unit price</t>
        </is>
      </c>
      <c r="G151" s="78" t="inlineStr">
        <is>
          <t>Green City Phase 1 (Lantaba, Ketu-Epe)</t>
        </is>
      </c>
      <c r="H151" s="78" t="inlineStr">
        <is>
          <t>BP-C0054</t>
        </is>
      </c>
      <c r="I151" s="78" t="inlineStr">
        <is>
          <t>Mr Ademola Adeniyi</t>
        </is>
      </c>
      <c r="J151" s="80" t="n">
        <v>3000000</v>
      </c>
      <c r="K151" s="78" t="inlineStr">
        <is>
          <t>Single register</t>
        </is>
      </c>
      <c r="L151" s="78" t="inlineStr">
        <is>
          <t>Primary: monthly turnover register</t>
        </is>
      </c>
      <c r="M151" s="78" t="inlineStr">
        <is>
          <t>BAAY PROJECTS FINANCIALS 2024.xlsx</t>
        </is>
      </c>
      <c r="N151" s="78" t="inlineStr">
        <is>
          <t>MARCH TURNOVER</t>
        </is>
      </c>
      <c r="O151" s="78" t="n">
        <v>7</v>
      </c>
      <c r="P151" s="78" t="inlineStr">
        <is>
          <t>2024-01-03</t>
        </is>
      </c>
      <c r="Q151" s="78" t="inlineStr">
        <is>
          <t>TURNOVER SCHEDULE r90, MRS ABIMBOLA r36</t>
        </is>
      </c>
      <c r="R151" s="78" t="n"/>
    </row>
    <row r="152" ht="25" customHeight="1">
      <c r="A152" s="75" t="inlineStr">
        <is>
          <t>SL0129</t>
        </is>
      </c>
      <c r="B152" s="76" t="n">
        <v>45352</v>
      </c>
      <c r="C152" s="75" t="inlineStr">
        <is>
          <t>2024-03</t>
        </is>
      </c>
      <c r="D152" s="75" t="n">
        <v>2024</v>
      </c>
      <c r="E152" s="75" t="inlineStr">
        <is>
          <t>Land</t>
        </is>
      </c>
      <c r="F152" s="75" t="inlineStr">
        <is>
          <t>Plot / unit price</t>
        </is>
      </c>
      <c r="G152" s="75" t="inlineStr">
        <is>
          <t>Green City Phase 2 (Ketu-Epe)</t>
        </is>
      </c>
      <c r="H152" s="75" t="inlineStr">
        <is>
          <t>BP-C0064</t>
        </is>
      </c>
      <c r="I152" s="75" t="inlineStr">
        <is>
          <t>Mr Okosun Damian Ehimen</t>
        </is>
      </c>
      <c r="J152" s="77" t="n">
        <v>300000</v>
      </c>
      <c r="K152" s="75" t="inlineStr">
        <is>
          <t>Single register</t>
        </is>
      </c>
      <c r="L152" s="75" t="inlineStr">
        <is>
          <t>Primary: monthly turnover register</t>
        </is>
      </c>
      <c r="M152" s="75" t="inlineStr">
        <is>
          <t>BAAY PROJECTS FINANCIALS 2024.xlsx</t>
        </is>
      </c>
      <c r="N152" s="75" t="inlineStr">
        <is>
          <t>MARCH TURNOVER</t>
        </is>
      </c>
      <c r="O152" s="75" t="n">
        <v>8</v>
      </c>
      <c r="P152" s="75" t="inlineStr">
        <is>
          <t>2024-01-03</t>
        </is>
      </c>
      <c r="Q152" s="75" t="inlineStr">
        <is>
          <t>TURNOVER SCHEDULE r105, MS BOLANLE r32</t>
        </is>
      </c>
      <c r="R152" s="75" t="n"/>
    </row>
    <row r="153" ht="25" customHeight="1">
      <c r="A153" s="78" t="inlineStr">
        <is>
          <t>SL0130</t>
        </is>
      </c>
      <c r="B153" s="79" t="n">
        <v>45352</v>
      </c>
      <c r="C153" s="78" t="inlineStr">
        <is>
          <t>2024-03</t>
        </is>
      </c>
      <c r="D153" s="78" t="n">
        <v>2024</v>
      </c>
      <c r="E153" s="78" t="inlineStr">
        <is>
          <t>Land</t>
        </is>
      </c>
      <c r="F153" s="78" t="inlineStr">
        <is>
          <t>Plot / unit price</t>
        </is>
      </c>
      <c r="G153" s="78" t="inlineStr">
        <is>
          <t>Green City Phase 2 (Ketu-Epe)</t>
        </is>
      </c>
      <c r="H153" s="78" t="inlineStr">
        <is>
          <t>BP-C0008</t>
        </is>
      </c>
      <c r="I153" s="78" t="inlineStr">
        <is>
          <t>Mr Rasaq Roqeeb Adebare</t>
        </is>
      </c>
      <c r="J153" s="80" t="n">
        <v>150000</v>
      </c>
      <c r="K153" s="78" t="inlineStr">
        <is>
          <t>Single register</t>
        </is>
      </c>
      <c r="L153" s="78" t="inlineStr">
        <is>
          <t>Primary: monthly turnover register</t>
        </is>
      </c>
      <c r="M153" s="78" t="inlineStr">
        <is>
          <t>BAAY PROJECTS FINANCIALS 2024.xlsx</t>
        </is>
      </c>
      <c r="N153" s="78" t="inlineStr">
        <is>
          <t>MARCH TURNOVER</t>
        </is>
      </c>
      <c r="O153" s="78" t="n">
        <v>6</v>
      </c>
      <c r="P153" s="78" t="inlineStr">
        <is>
          <t>2024-01-03</t>
        </is>
      </c>
      <c r="Q153" s="78" t="inlineStr">
        <is>
          <t>TURNOVER SCHEDULE r187</t>
        </is>
      </c>
      <c r="R153" s="78" t="n"/>
    </row>
    <row r="154" ht="25" customHeight="1">
      <c r="A154" s="75" t="inlineStr">
        <is>
          <t>SL0131</t>
        </is>
      </c>
      <c r="B154" s="76" t="n">
        <v>45353</v>
      </c>
      <c r="C154" s="75" t="inlineStr">
        <is>
          <t>2024-03</t>
        </is>
      </c>
      <c r="D154" s="75" t="n">
        <v>2024</v>
      </c>
      <c r="E154" s="75" t="inlineStr">
        <is>
          <t>Land</t>
        </is>
      </c>
      <c r="F154" s="75" t="inlineStr">
        <is>
          <t>Plot / unit price</t>
        </is>
      </c>
      <c r="G154" s="75" t="inlineStr">
        <is>
          <t>Green City Phase 2 (Ketu-Epe)</t>
        </is>
      </c>
      <c r="H154" s="75" t="inlineStr">
        <is>
          <t>BP-C0009</t>
        </is>
      </c>
      <c r="I154" s="75" t="inlineStr">
        <is>
          <t>Miss Oji Blessing</t>
        </is>
      </c>
      <c r="J154" s="77" t="n">
        <v>740000</v>
      </c>
      <c r="K154" s="75" t="inlineStr">
        <is>
          <t>Single register</t>
        </is>
      </c>
      <c r="L154" s="75" t="inlineStr">
        <is>
          <t>Primary: monthly turnover register</t>
        </is>
      </c>
      <c r="M154" s="75" t="inlineStr">
        <is>
          <t>BAAY PROJECTS FINANCIALS 2024.xlsx</t>
        </is>
      </c>
      <c r="N154" s="75" t="inlineStr">
        <is>
          <t>MARCH TURNOVER</t>
        </is>
      </c>
      <c r="O154" s="75" t="n">
        <v>9</v>
      </c>
      <c r="P154" s="75" t="inlineStr">
        <is>
          <t>3034-02-03</t>
        </is>
      </c>
      <c r="Q154" s="75" t="n"/>
      <c r="R154" s="75" t="inlineStr">
        <is>
          <t>Year typed as 3034 in source (3034-02-03); corrected to 2024 from the sheet month</t>
        </is>
      </c>
    </row>
    <row r="155" ht="25" customHeight="1">
      <c r="A155" s="78" t="inlineStr">
        <is>
          <t>SL0132</t>
        </is>
      </c>
      <c r="B155" s="79" t="n">
        <v>45354</v>
      </c>
      <c r="C155" s="78" t="inlineStr">
        <is>
          <t>2024-03</t>
        </is>
      </c>
      <c r="D155" s="78" t="n">
        <v>2024</v>
      </c>
      <c r="E155" s="78" t="inlineStr">
        <is>
          <t>Land</t>
        </is>
      </c>
      <c r="F155" s="78" t="inlineStr">
        <is>
          <t>Plot / unit price</t>
        </is>
      </c>
      <c r="G155" s="78" t="inlineStr">
        <is>
          <t>Green City Phase 2 (Ketu-Epe)</t>
        </is>
      </c>
      <c r="H155" s="78" t="inlineStr">
        <is>
          <t>BP-C0060</t>
        </is>
      </c>
      <c r="I155" s="78" t="inlineStr">
        <is>
          <t>Ms Mitchell jennifer</t>
        </is>
      </c>
      <c r="J155" s="80" t="n">
        <v>200000</v>
      </c>
      <c r="K155" s="78" t="inlineStr">
        <is>
          <t>Single register</t>
        </is>
      </c>
      <c r="L155" s="78" t="inlineStr">
        <is>
          <t>Primary: monthly turnover register</t>
        </is>
      </c>
      <c r="M155" s="78" t="inlineStr">
        <is>
          <t>BAAY PROJECTS FINANCIALS 2024.xlsx</t>
        </is>
      </c>
      <c r="N155" s="78" t="inlineStr">
        <is>
          <t>MARCH TURNOVER</t>
        </is>
      </c>
      <c r="O155" s="78" t="n">
        <v>10</v>
      </c>
      <c r="P155" s="78" t="inlineStr">
        <is>
          <t>2024-03-03</t>
        </is>
      </c>
      <c r="Q155" s="78" t="inlineStr">
        <is>
          <t>TURNOVER SCHEDULE r57</t>
        </is>
      </c>
      <c r="R155" s="78" t="n"/>
    </row>
    <row r="156" ht="25" customHeight="1">
      <c r="A156" s="75" t="inlineStr">
        <is>
          <t>SL0133</t>
        </is>
      </c>
      <c r="B156" s="76" t="n">
        <v>45354</v>
      </c>
      <c r="C156" s="75" t="inlineStr">
        <is>
          <t>2024-03</t>
        </is>
      </c>
      <c r="D156" s="75" t="n">
        <v>2024</v>
      </c>
      <c r="E156" s="75" t="inlineStr">
        <is>
          <t>Land</t>
        </is>
      </c>
      <c r="F156" s="75" t="inlineStr">
        <is>
          <t>Plot / unit price</t>
        </is>
      </c>
      <c r="G156" s="75" t="inlineStr">
        <is>
          <t>Green City Phase 2 (Ketu-Epe)</t>
        </is>
      </c>
      <c r="H156" s="75" t="inlineStr">
        <is>
          <t>BP-C0066</t>
        </is>
      </c>
      <c r="I156" s="75" t="inlineStr">
        <is>
          <t>Omosanya Dotun Akeju</t>
        </is>
      </c>
      <c r="J156" s="77" t="n">
        <v>1650000</v>
      </c>
      <c r="K156" s="75" t="inlineStr">
        <is>
          <t>Single register</t>
        </is>
      </c>
      <c r="L156" s="75" t="inlineStr">
        <is>
          <t>Primary: monthly turnover register</t>
        </is>
      </c>
      <c r="M156" s="75" t="inlineStr">
        <is>
          <t>BAAY PROJECTS FINANCIALS 2024.xlsx</t>
        </is>
      </c>
      <c r="N156" s="75" t="inlineStr">
        <is>
          <t>MARCH TURNOVER</t>
        </is>
      </c>
      <c r="O156" s="75" t="n">
        <v>11</v>
      </c>
      <c r="P156" s="75" t="inlineStr">
        <is>
          <t>2024-03-03</t>
        </is>
      </c>
      <c r="Q156" s="75" t="inlineStr">
        <is>
          <t>TURNOVER SCHEDULE r217, MS BOLANLE r34, MS BLESSING OJI r3</t>
        </is>
      </c>
      <c r="R156" s="75" t="n"/>
    </row>
    <row r="157" ht="25" customHeight="1">
      <c r="A157" s="78" t="inlineStr">
        <is>
          <t>SL0134</t>
        </is>
      </c>
      <c r="B157" s="79" t="n">
        <v>45355</v>
      </c>
      <c r="C157" s="78" t="inlineStr">
        <is>
          <t>2024-03</t>
        </is>
      </c>
      <c r="D157" s="78" t="n">
        <v>2024</v>
      </c>
      <c r="E157" s="78" t="inlineStr">
        <is>
          <t>Land</t>
        </is>
      </c>
      <c r="F157" s="78" t="inlineStr">
        <is>
          <t>Plot / unit price</t>
        </is>
      </c>
      <c r="G157" s="78" t="inlineStr">
        <is>
          <t>Green City Phase 1 (Lantaba, Ketu-Epe)</t>
        </is>
      </c>
      <c r="H157" s="78" t="inlineStr">
        <is>
          <t>BP-C0006</t>
        </is>
      </c>
      <c r="I157" s="78" t="inlineStr">
        <is>
          <t>Mr Olasupo Oladimeji</t>
        </is>
      </c>
      <c r="J157" s="80" t="n">
        <v>460500</v>
      </c>
      <c r="K157" s="78" t="inlineStr">
        <is>
          <t>Single register</t>
        </is>
      </c>
      <c r="L157" s="78" t="inlineStr">
        <is>
          <t>Primary: monthly turnover register</t>
        </is>
      </c>
      <c r="M157" s="78" t="inlineStr">
        <is>
          <t>BAAY PROJECTS FINANCIALS 2024.xlsx</t>
        </is>
      </c>
      <c r="N157" s="78" t="inlineStr">
        <is>
          <t>MARCH TURNOVER</t>
        </is>
      </c>
      <c r="O157" s="78" t="n">
        <v>13</v>
      </c>
      <c r="P157" s="78" t="inlineStr">
        <is>
          <t>2024-04-03</t>
        </is>
      </c>
      <c r="Q157" s="78" t="inlineStr">
        <is>
          <t>TURNOVER SCHEDULE r30, MRS ABIMBOLA r37</t>
        </is>
      </c>
      <c r="R157" s="78" t="n"/>
    </row>
    <row r="158" ht="25" customHeight="1">
      <c r="A158" s="75" t="inlineStr">
        <is>
          <t>SL0135</t>
        </is>
      </c>
      <c r="B158" s="76" t="n">
        <v>45356</v>
      </c>
      <c r="C158" s="75" t="inlineStr">
        <is>
          <t>2024-03</t>
        </is>
      </c>
      <c r="D158" s="75" t="n">
        <v>2024</v>
      </c>
      <c r="E158" s="75" t="inlineStr">
        <is>
          <t>Land</t>
        </is>
      </c>
      <c r="F158" s="75" t="inlineStr">
        <is>
          <t>Plot / unit price</t>
        </is>
      </c>
      <c r="G158" s="75" t="inlineStr">
        <is>
          <t>Green City Phase 2 (Ketu-Epe)</t>
        </is>
      </c>
      <c r="H158" s="75" t="inlineStr">
        <is>
          <t>BP-C0030</t>
        </is>
      </c>
      <c r="I158" s="75" t="inlineStr">
        <is>
          <t>Adese Akorede John</t>
        </is>
      </c>
      <c r="J158" s="77" t="n">
        <v>900000</v>
      </c>
      <c r="K158" s="75" t="inlineStr">
        <is>
          <t>Single register</t>
        </is>
      </c>
      <c r="L158" s="75" t="inlineStr">
        <is>
          <t>Primary: monthly turnover register</t>
        </is>
      </c>
      <c r="M158" s="75" t="inlineStr">
        <is>
          <t>BAAY PROJECTS FINANCIALS 2024.xlsx</t>
        </is>
      </c>
      <c r="N158" s="75" t="inlineStr">
        <is>
          <t>MARCH TURNOVER</t>
        </is>
      </c>
      <c r="O158" s="75" t="n">
        <v>14</v>
      </c>
      <c r="P158" s="75" t="inlineStr">
        <is>
          <t>2024-05-03</t>
        </is>
      </c>
      <c r="Q158" s="75" t="inlineStr">
        <is>
          <t>TURNOVER SCHEDULE r286</t>
        </is>
      </c>
      <c r="R158" s="75" t="n"/>
    </row>
    <row r="159" ht="25" customHeight="1">
      <c r="A159" s="78" t="inlineStr">
        <is>
          <t>SL0136</t>
        </is>
      </c>
      <c r="B159" s="79" t="n">
        <v>45357</v>
      </c>
      <c r="C159" s="78" t="inlineStr">
        <is>
          <t>2024-03</t>
        </is>
      </c>
      <c r="D159" s="78" t="n">
        <v>2024</v>
      </c>
      <c r="E159" s="78" t="inlineStr">
        <is>
          <t>Land</t>
        </is>
      </c>
      <c r="F159" s="78" t="inlineStr">
        <is>
          <t>Plot / unit price</t>
        </is>
      </c>
      <c r="G159" s="78" t="inlineStr">
        <is>
          <t>Green City Phase 1 (Lantaba, Ketu-Epe)</t>
        </is>
      </c>
      <c r="H159" s="78" t="inlineStr">
        <is>
          <t>BP-C0069</t>
        </is>
      </c>
      <c r="I159" s="78" t="inlineStr">
        <is>
          <t>Mr Agbaje Christopher Usiala</t>
        </is>
      </c>
      <c r="J159" s="80" t="n">
        <v>135000</v>
      </c>
      <c r="K159" s="78" t="inlineStr">
        <is>
          <t>Single register</t>
        </is>
      </c>
      <c r="L159" s="78" t="inlineStr">
        <is>
          <t>Primary: monthly turnover register</t>
        </is>
      </c>
      <c r="M159" s="78" t="inlineStr">
        <is>
          <t>BAAY PROJECTS FINANCIALS 2024.xlsx</t>
        </is>
      </c>
      <c r="N159" s="78" t="inlineStr">
        <is>
          <t>MARCH TURNOVER</t>
        </is>
      </c>
      <c r="O159" s="78" t="n">
        <v>17</v>
      </c>
      <c r="P159" s="78" t="inlineStr">
        <is>
          <t>2024-06-03</t>
        </is>
      </c>
      <c r="Q159" s="78" t="n"/>
      <c r="R159" s="78" t="n"/>
    </row>
    <row r="160" ht="25" customHeight="1">
      <c r="A160" s="75" t="inlineStr">
        <is>
          <t>SL0137</t>
        </is>
      </c>
      <c r="B160" s="76" t="n">
        <v>45357</v>
      </c>
      <c r="C160" s="75" t="inlineStr">
        <is>
          <t>2024-03</t>
        </is>
      </c>
      <c r="D160" s="75" t="n">
        <v>2024</v>
      </c>
      <c r="E160" s="75" t="inlineStr">
        <is>
          <t>Land</t>
        </is>
      </c>
      <c r="F160" s="75" t="inlineStr">
        <is>
          <t>Plot / unit price</t>
        </is>
      </c>
      <c r="G160" s="75" t="inlineStr">
        <is>
          <t>Green City Phase 2 (Ketu-Epe)</t>
        </is>
      </c>
      <c r="H160" s="75" t="inlineStr">
        <is>
          <t>BP-C0070</t>
        </is>
      </c>
      <c r="I160" s="75" t="inlineStr">
        <is>
          <t>Mr Ayodeji Adeogun Daniel</t>
        </is>
      </c>
      <c r="J160" s="77" t="n">
        <v>1000000</v>
      </c>
      <c r="K160" s="75" t="inlineStr">
        <is>
          <t>Single register</t>
        </is>
      </c>
      <c r="L160" s="75" t="inlineStr">
        <is>
          <t>Primary: monthly turnover register</t>
        </is>
      </c>
      <c r="M160" s="75" t="inlineStr">
        <is>
          <t>BAAY PROJECTS FINANCIALS 2024.xlsx</t>
        </is>
      </c>
      <c r="N160" s="75" t="inlineStr">
        <is>
          <t>MARCH TURNOVER</t>
        </is>
      </c>
      <c r="O160" s="75" t="n">
        <v>16</v>
      </c>
      <c r="P160" s="75" t="inlineStr">
        <is>
          <t>2024-06-03</t>
        </is>
      </c>
      <c r="Q160" s="75" t="inlineStr">
        <is>
          <t>TURNOVER SCHEDULE r223, MS TAIWO r19, MR ADEWALE OMODARA r2</t>
        </is>
      </c>
      <c r="R160" s="75" t="n"/>
    </row>
    <row r="161" ht="25" customHeight="1">
      <c r="A161" s="78" t="inlineStr">
        <is>
          <t>SL0138</t>
        </is>
      </c>
      <c r="B161" s="79" t="n">
        <v>45357</v>
      </c>
      <c r="C161" s="78" t="inlineStr">
        <is>
          <t>2024-03</t>
        </is>
      </c>
      <c r="D161" s="78" t="n">
        <v>2024</v>
      </c>
      <c r="E161" s="78" t="inlineStr">
        <is>
          <t>Land</t>
        </is>
      </c>
      <c r="F161" s="78" t="inlineStr">
        <is>
          <t>Plot / unit price</t>
        </is>
      </c>
      <c r="G161" s="78" t="inlineStr">
        <is>
          <t>Green City Phase 2 (Ketu-Epe)</t>
        </is>
      </c>
      <c r="H161" s="78" t="inlineStr">
        <is>
          <t>BP-C0063</t>
        </is>
      </c>
      <c r="I161" s="78" t="inlineStr">
        <is>
          <t>Mr Omodara Adewale</t>
        </is>
      </c>
      <c r="J161" s="80" t="n">
        <v>500000</v>
      </c>
      <c r="K161" s="78" t="inlineStr">
        <is>
          <t>Single register</t>
        </is>
      </c>
      <c r="L161" s="78" t="inlineStr">
        <is>
          <t>Primary: monthly turnover register</t>
        </is>
      </c>
      <c r="M161" s="78" t="inlineStr">
        <is>
          <t>BAAY PROJECTS FINANCIALS 2024.xlsx</t>
        </is>
      </c>
      <c r="N161" s="78" t="inlineStr">
        <is>
          <t>MARCH TURNOVER</t>
        </is>
      </c>
      <c r="O161" s="78" t="n">
        <v>15</v>
      </c>
      <c r="P161" s="78" t="inlineStr">
        <is>
          <t>2024-06-03</t>
        </is>
      </c>
      <c r="Q161" s="78" t="inlineStr">
        <is>
          <t>TURNOVER SCHEDULE r97, MS TAIWO r20</t>
        </is>
      </c>
      <c r="R161" s="78" t="n"/>
    </row>
    <row r="162" ht="25" customHeight="1">
      <c r="A162" s="75" t="inlineStr">
        <is>
          <t>SL0139</t>
        </is>
      </c>
      <c r="B162" s="76" t="n">
        <v>45359</v>
      </c>
      <c r="C162" s="75" t="inlineStr">
        <is>
          <t>2024-03</t>
        </is>
      </c>
      <c r="D162" s="75" t="n">
        <v>2024</v>
      </c>
      <c r="E162" s="75" t="inlineStr">
        <is>
          <t>Land</t>
        </is>
      </c>
      <c r="F162" s="75" t="inlineStr">
        <is>
          <t>Plot / unit price</t>
        </is>
      </c>
      <c r="G162" s="75" t="inlineStr">
        <is>
          <t>Green City Phase 2 (Ketu-Epe)</t>
        </is>
      </c>
      <c r="H162" s="75" t="inlineStr">
        <is>
          <t>BP-C0071</t>
        </is>
      </c>
      <c r="I162" s="75" t="inlineStr">
        <is>
          <t>Miss Oyebola Moyosoreoluwa Boluwatife</t>
        </is>
      </c>
      <c r="J162" s="77" t="n">
        <v>1500000</v>
      </c>
      <c r="K162" s="75" t="inlineStr">
        <is>
          <t>Single register</t>
        </is>
      </c>
      <c r="L162" s="75" t="inlineStr">
        <is>
          <t>Primary: monthly turnover register</t>
        </is>
      </c>
      <c r="M162" s="75" t="inlineStr">
        <is>
          <t>BAAY PROJECTS FINANCIALS 2024.xlsx</t>
        </is>
      </c>
      <c r="N162" s="75" t="inlineStr">
        <is>
          <t>MARCH TURNOVER</t>
        </is>
      </c>
      <c r="O162" s="75" t="n">
        <v>19</v>
      </c>
      <c r="P162" s="75" t="inlineStr">
        <is>
          <t>2024-08-03</t>
        </is>
      </c>
      <c r="Q162" s="75" t="inlineStr">
        <is>
          <t>TURNOVER SCHEDULE r228, MR AYOMIDE r2</t>
        </is>
      </c>
      <c r="R162" s="75" t="n"/>
    </row>
    <row r="163" ht="25" customHeight="1">
      <c r="A163" s="78" t="inlineStr">
        <is>
          <t>SL0140</t>
        </is>
      </c>
      <c r="B163" s="79" t="n">
        <v>45359</v>
      </c>
      <c r="C163" s="78" t="inlineStr">
        <is>
          <t>2024-03</t>
        </is>
      </c>
      <c r="D163" s="78" t="n">
        <v>2024</v>
      </c>
      <c r="E163" s="78" t="inlineStr">
        <is>
          <t>Land</t>
        </is>
      </c>
      <c r="F163" s="78" t="inlineStr">
        <is>
          <t>Plot / unit price</t>
        </is>
      </c>
      <c r="G163" s="78" t="inlineStr">
        <is>
          <t>Green City Phase 2 (Ketu-Epe)</t>
        </is>
      </c>
      <c r="H163" s="78" t="inlineStr">
        <is>
          <t>BP-C0072</t>
        </is>
      </c>
      <c r="I163" s="78" t="inlineStr">
        <is>
          <t>Mr Oyebola Ajibola Ayobami</t>
        </is>
      </c>
      <c r="J163" s="80" t="n">
        <v>1500000</v>
      </c>
      <c r="K163" s="78" t="inlineStr">
        <is>
          <t>Single register</t>
        </is>
      </c>
      <c r="L163" s="78" t="inlineStr">
        <is>
          <t>Primary: monthly turnover register</t>
        </is>
      </c>
      <c r="M163" s="78" t="inlineStr">
        <is>
          <t>BAAY PROJECTS FINANCIALS 2024.xlsx</t>
        </is>
      </c>
      <c r="N163" s="78" t="inlineStr">
        <is>
          <t>MARCH TURNOVER</t>
        </is>
      </c>
      <c r="O163" s="78" t="n">
        <v>21</v>
      </c>
      <c r="P163" s="78" t="inlineStr">
        <is>
          <t>2024-08-03</t>
        </is>
      </c>
      <c r="Q163" s="78" t="inlineStr">
        <is>
          <t>TURNOVER SCHEDULE r236, MR AYOMIDE r4</t>
        </is>
      </c>
      <c r="R163" s="78" t="n"/>
    </row>
    <row r="164" ht="25" customHeight="1">
      <c r="A164" s="75" t="inlineStr">
        <is>
          <t>SL0141</t>
        </is>
      </c>
      <c r="B164" s="76" t="n">
        <v>45359</v>
      </c>
      <c r="C164" s="75" t="inlineStr">
        <is>
          <t>2024-03</t>
        </is>
      </c>
      <c r="D164" s="75" t="n">
        <v>2024</v>
      </c>
      <c r="E164" s="75" t="inlineStr">
        <is>
          <t>Land</t>
        </is>
      </c>
      <c r="F164" s="75" t="inlineStr">
        <is>
          <t>Plot / unit price</t>
        </is>
      </c>
      <c r="G164" s="75" t="inlineStr">
        <is>
          <t>Green City Phase 2 (Ketu-Epe)</t>
        </is>
      </c>
      <c r="H164" s="75" t="inlineStr">
        <is>
          <t>BP-C0073</t>
        </is>
      </c>
      <c r="I164" s="75" t="inlineStr">
        <is>
          <t>Mr Oyebola Temiloluwa Olayinka</t>
        </is>
      </c>
      <c r="J164" s="77" t="n">
        <v>1500000</v>
      </c>
      <c r="K164" s="75" t="inlineStr">
        <is>
          <t>Single register</t>
        </is>
      </c>
      <c r="L164" s="75" t="inlineStr">
        <is>
          <t>Primary: monthly turnover register</t>
        </is>
      </c>
      <c r="M164" s="75" t="inlineStr">
        <is>
          <t>BAAY PROJECTS FINANCIALS 2024.xlsx</t>
        </is>
      </c>
      <c r="N164" s="75" t="inlineStr">
        <is>
          <t>MARCH TURNOVER</t>
        </is>
      </c>
      <c r="O164" s="75" t="n">
        <v>20</v>
      </c>
      <c r="P164" s="75" t="inlineStr">
        <is>
          <t>2024-08-03</t>
        </is>
      </c>
      <c r="Q164" s="75" t="inlineStr">
        <is>
          <t>TURNOVER SCHEDULE r232, MR AYOMIDE r3</t>
        </is>
      </c>
      <c r="R164" s="75" t="n"/>
    </row>
    <row r="165" ht="25" customHeight="1">
      <c r="A165" s="78" t="inlineStr">
        <is>
          <t>SL0142</t>
        </is>
      </c>
      <c r="B165" s="79" t="n">
        <v>45359</v>
      </c>
      <c r="C165" s="78" t="inlineStr">
        <is>
          <t>2024-03</t>
        </is>
      </c>
      <c r="D165" s="78" t="n">
        <v>2024</v>
      </c>
      <c r="E165" s="78" t="inlineStr">
        <is>
          <t>Land</t>
        </is>
      </c>
      <c r="F165" s="78" t="inlineStr">
        <is>
          <t>Plot / unit price</t>
        </is>
      </c>
      <c r="G165" s="78" t="inlineStr">
        <is>
          <t>Green City Phase 2 (Ketu-Epe)</t>
        </is>
      </c>
      <c r="H165" s="78" t="inlineStr">
        <is>
          <t>BP-C0013</t>
        </is>
      </c>
      <c r="I165" s="78" t="inlineStr">
        <is>
          <t>Mr Tijani Moshood Abiola</t>
        </is>
      </c>
      <c r="J165" s="80" t="n">
        <v>400000</v>
      </c>
      <c r="K165" s="78" t="inlineStr">
        <is>
          <t>Single register</t>
        </is>
      </c>
      <c r="L165" s="78" t="inlineStr">
        <is>
          <t>Primary: monthly turnover register</t>
        </is>
      </c>
      <c r="M165" s="78" t="inlineStr">
        <is>
          <t>BAAY PROJECTS FINANCIALS 2024.xlsx</t>
        </is>
      </c>
      <c r="N165" s="78" t="inlineStr">
        <is>
          <t>MARCH TURNOVER</t>
        </is>
      </c>
      <c r="O165" s="78" t="n">
        <v>22</v>
      </c>
      <c r="P165" s="78" t="inlineStr">
        <is>
          <t>2024-08-03</t>
        </is>
      </c>
      <c r="Q165" s="78" t="inlineStr">
        <is>
          <t>TURNOVER SCHEDULE r283</t>
        </is>
      </c>
      <c r="R165" s="78" t="n"/>
    </row>
    <row r="166" ht="25" customHeight="1">
      <c r="A166" s="75" t="inlineStr">
        <is>
          <t>SL0143</t>
        </is>
      </c>
      <c r="B166" s="76" t="n">
        <v>45359</v>
      </c>
      <c r="C166" s="75" t="inlineStr">
        <is>
          <t>2024-03</t>
        </is>
      </c>
      <c r="D166" s="75" t="n">
        <v>2024</v>
      </c>
      <c r="E166" s="75" t="inlineStr">
        <is>
          <t>Land</t>
        </is>
      </c>
      <c r="F166" s="75" t="inlineStr">
        <is>
          <t>Plot / unit price</t>
        </is>
      </c>
      <c r="G166" s="75" t="inlineStr">
        <is>
          <t>Green City Phase 1 (Lantaba, Ketu-Epe)</t>
        </is>
      </c>
      <c r="H166" s="75" t="inlineStr">
        <is>
          <t>BP-C0074</t>
        </is>
      </c>
      <c r="I166" s="75" t="inlineStr">
        <is>
          <t>Mrs Oloniluyi Victoria</t>
        </is>
      </c>
      <c r="J166" s="77" t="n">
        <v>7000000</v>
      </c>
      <c r="K166" s="75" t="inlineStr">
        <is>
          <t>Single register</t>
        </is>
      </c>
      <c r="L166" s="75" t="inlineStr">
        <is>
          <t>Primary: monthly turnover register</t>
        </is>
      </c>
      <c r="M166" s="75" t="inlineStr">
        <is>
          <t>BAAY PROJECTS FINANCIALS 2024.xlsx</t>
        </is>
      </c>
      <c r="N166" s="75" t="inlineStr">
        <is>
          <t>MARCH TURNOVER</t>
        </is>
      </c>
      <c r="O166" s="75" t="n">
        <v>18</v>
      </c>
      <c r="P166" s="75" t="inlineStr">
        <is>
          <t>2024-08-03</t>
        </is>
      </c>
      <c r="Q166" s="75" t="inlineStr">
        <is>
          <t>TURNOVER SCHEDULE r280, MRS AGBAJE r2, MD r8</t>
        </is>
      </c>
      <c r="R166" s="75" t="n"/>
    </row>
    <row r="167" ht="25" customHeight="1">
      <c r="A167" s="78" t="inlineStr">
        <is>
          <t>SL0144</t>
        </is>
      </c>
      <c r="B167" s="79" t="n">
        <v>45360</v>
      </c>
      <c r="C167" s="78" t="inlineStr">
        <is>
          <t>2024-03</t>
        </is>
      </c>
      <c r="D167" s="78" t="n">
        <v>2024</v>
      </c>
      <c r="E167" s="78" t="inlineStr">
        <is>
          <t>Land</t>
        </is>
      </c>
      <c r="F167" s="78" t="inlineStr">
        <is>
          <t>Plot / unit price</t>
        </is>
      </c>
      <c r="G167" s="78" t="inlineStr">
        <is>
          <t>Green City Phase 1 (Lantaba, Ketu-Epe)</t>
        </is>
      </c>
      <c r="H167" s="78" t="inlineStr">
        <is>
          <t>BP-C0033</t>
        </is>
      </c>
      <c r="I167" s="78" t="inlineStr">
        <is>
          <t>Mr Olumoko Oladapo</t>
        </is>
      </c>
      <c r="J167" s="80" t="n">
        <v>1000000</v>
      </c>
      <c r="K167" s="78" t="inlineStr">
        <is>
          <t>Single register</t>
        </is>
      </c>
      <c r="L167" s="78" t="inlineStr">
        <is>
          <t>Primary: monthly turnover register</t>
        </is>
      </c>
      <c r="M167" s="78" t="inlineStr">
        <is>
          <t>BAAY PROJECTS FINANCIALS 2024.xlsx</t>
        </is>
      </c>
      <c r="N167" s="78" t="inlineStr">
        <is>
          <t>MARCH TURNOVER</t>
        </is>
      </c>
      <c r="O167" s="78" t="n">
        <v>25</v>
      </c>
      <c r="P167" s="78" t="inlineStr">
        <is>
          <t>2024-09-03</t>
        </is>
      </c>
      <c r="Q167" s="78" t="inlineStr">
        <is>
          <t>TURNOVER SCHEDULE r159, MS BOLANLE r16</t>
        </is>
      </c>
      <c r="R167" s="78" t="n"/>
    </row>
    <row r="168" ht="25" customHeight="1">
      <c r="A168" s="75" t="inlineStr">
        <is>
          <t>SL0145</t>
        </is>
      </c>
      <c r="B168" s="76" t="n">
        <v>45360</v>
      </c>
      <c r="C168" s="75" t="inlineStr">
        <is>
          <t>2024-03</t>
        </is>
      </c>
      <c r="D168" s="75" t="n">
        <v>2024</v>
      </c>
      <c r="E168" s="75" t="inlineStr">
        <is>
          <t>Land</t>
        </is>
      </c>
      <c r="F168" s="75" t="inlineStr">
        <is>
          <t>Plot / unit price</t>
        </is>
      </c>
      <c r="G168" s="75" t="inlineStr">
        <is>
          <t>Green City Phase 2 (Ketu-Epe)</t>
        </is>
      </c>
      <c r="H168" s="75" t="inlineStr">
        <is>
          <t>BP-C0075</t>
        </is>
      </c>
      <c r="I168" s="75" t="inlineStr">
        <is>
          <t>Ogidan Funmilayo</t>
        </is>
      </c>
      <c r="J168" s="77" t="n">
        <v>300000</v>
      </c>
      <c r="K168" s="75" t="inlineStr">
        <is>
          <t>Single register</t>
        </is>
      </c>
      <c r="L168" s="75" t="inlineStr">
        <is>
          <t>Primary: monthly turnover register</t>
        </is>
      </c>
      <c r="M168" s="75" t="inlineStr">
        <is>
          <t>BAAY PROJECTS FINANCIALS 2024.xlsx</t>
        </is>
      </c>
      <c r="N168" s="75" t="inlineStr">
        <is>
          <t>MARCH TURNOVER</t>
        </is>
      </c>
      <c r="O168" s="75" t="n">
        <v>24</v>
      </c>
      <c r="P168" s="75" t="inlineStr">
        <is>
          <t>2024-09-03</t>
        </is>
      </c>
      <c r="Q168" s="75" t="inlineStr">
        <is>
          <t>TURNOVER SCHEDULE r269, OGIDAN r2</t>
        </is>
      </c>
      <c r="R168" s="75" t="n"/>
    </row>
    <row r="169" ht="25" customHeight="1">
      <c r="A169" s="78" t="inlineStr">
        <is>
          <t>SL0146</t>
        </is>
      </c>
      <c r="B169" s="79" t="n">
        <v>45360</v>
      </c>
      <c r="C169" s="78" t="inlineStr">
        <is>
          <t>2024-03</t>
        </is>
      </c>
      <c r="D169" s="78" t="n">
        <v>2024</v>
      </c>
      <c r="E169" s="78" t="inlineStr">
        <is>
          <t>Land</t>
        </is>
      </c>
      <c r="F169" s="78" t="inlineStr">
        <is>
          <t>Plot / unit price</t>
        </is>
      </c>
      <c r="G169" s="78" t="inlineStr">
        <is>
          <t>Green City Phase 2 (Ketu-Epe)</t>
        </is>
      </c>
      <c r="H169" s="78" t="inlineStr">
        <is>
          <t>BP-C0076</t>
        </is>
      </c>
      <c r="I169" s="78" t="inlineStr">
        <is>
          <t>Ojo Ayomide Babatunde</t>
        </is>
      </c>
      <c r="J169" s="80" t="n">
        <v>500000</v>
      </c>
      <c r="K169" s="78" t="inlineStr">
        <is>
          <t>Single register</t>
        </is>
      </c>
      <c r="L169" s="78" t="inlineStr">
        <is>
          <t>Primary: monthly turnover register</t>
        </is>
      </c>
      <c r="M169" s="78" t="inlineStr">
        <is>
          <t>BAAY PROJECTS FINANCIALS 2024.xlsx</t>
        </is>
      </c>
      <c r="N169" s="78" t="inlineStr">
        <is>
          <t>MARCH TURNOVER</t>
        </is>
      </c>
      <c r="O169" s="78" t="n">
        <v>23</v>
      </c>
      <c r="P169" s="78" t="inlineStr">
        <is>
          <t>2024-09-03</t>
        </is>
      </c>
      <c r="Q169" s="78" t="inlineStr">
        <is>
          <t>TURNOVER SCHEDULE r255</t>
        </is>
      </c>
      <c r="R169" s="78" t="n"/>
    </row>
    <row r="170" ht="25" customHeight="1">
      <c r="A170" s="75" t="inlineStr">
        <is>
          <t>SL0147</t>
        </is>
      </c>
      <c r="B170" s="76" t="n">
        <v>45361</v>
      </c>
      <c r="C170" s="75" t="inlineStr">
        <is>
          <t>2024-03</t>
        </is>
      </c>
      <c r="D170" s="75" t="n">
        <v>2024</v>
      </c>
      <c r="E170" s="75" t="inlineStr">
        <is>
          <t>Land</t>
        </is>
      </c>
      <c r="F170" s="75" t="inlineStr">
        <is>
          <t>Plot / unit price</t>
        </is>
      </c>
      <c r="G170" s="75" t="inlineStr">
        <is>
          <t>Green City Phase 2 (Ketu-Epe)</t>
        </is>
      </c>
      <c r="H170" s="75" t="inlineStr">
        <is>
          <t>BP-C0077</t>
        </is>
      </c>
      <c r="I170" s="75" t="inlineStr">
        <is>
          <t>Mr Uebari Sorbari Godwin</t>
        </is>
      </c>
      <c r="J170" s="77" t="n">
        <v>300000</v>
      </c>
      <c r="K170" s="75" t="inlineStr">
        <is>
          <t>Single register</t>
        </is>
      </c>
      <c r="L170" s="75" t="inlineStr">
        <is>
          <t>Primary: monthly turnover register</t>
        </is>
      </c>
      <c r="M170" s="75" t="inlineStr">
        <is>
          <t>BAAY PROJECTS FINANCIALS 2024.xlsx</t>
        </is>
      </c>
      <c r="N170" s="75" t="inlineStr">
        <is>
          <t>MARCH TURNOVER</t>
        </is>
      </c>
      <c r="O170" s="75" t="n">
        <v>26</v>
      </c>
      <c r="P170" s="75" t="inlineStr">
        <is>
          <t>2024-10-03</t>
        </is>
      </c>
      <c r="Q170" s="75" t="inlineStr">
        <is>
          <t>TURNOVER SCHEDULE r304, MS ELIZABETH r24</t>
        </is>
      </c>
      <c r="R170" s="75" t="n"/>
    </row>
    <row r="171" ht="25" customHeight="1">
      <c r="A171" s="78" t="inlineStr">
        <is>
          <t>SL0148</t>
        </is>
      </c>
      <c r="B171" s="79" t="n">
        <v>45362</v>
      </c>
      <c r="C171" s="78" t="inlineStr">
        <is>
          <t>2024-03</t>
        </is>
      </c>
      <c r="D171" s="78" t="n">
        <v>2024</v>
      </c>
      <c r="E171" s="78" t="inlineStr">
        <is>
          <t>Land</t>
        </is>
      </c>
      <c r="F171" s="78" t="inlineStr">
        <is>
          <t>Plot / unit price</t>
        </is>
      </c>
      <c r="G171" s="78" t="inlineStr">
        <is>
          <t>Green City Phase 1 (Lantaba, Ketu-Epe)</t>
        </is>
      </c>
      <c r="H171" s="78" t="inlineStr">
        <is>
          <t>BP-C0078</t>
        </is>
      </c>
      <c r="I171" s="78" t="inlineStr">
        <is>
          <t>Miss Bingham Kendra</t>
        </is>
      </c>
      <c r="J171" s="80" t="n">
        <v>2000000</v>
      </c>
      <c r="K171" s="78" t="inlineStr">
        <is>
          <t>Single register</t>
        </is>
      </c>
      <c r="L171" s="78" t="inlineStr">
        <is>
          <t>Primary: monthly turnover register</t>
        </is>
      </c>
      <c r="M171" s="78" t="inlineStr">
        <is>
          <t>BAAY PROJECTS FINANCIALS 2024.xlsx</t>
        </is>
      </c>
      <c r="N171" s="78" t="inlineStr">
        <is>
          <t>MARCH TURNOVER</t>
        </is>
      </c>
      <c r="O171" s="78" t="n">
        <v>28</v>
      </c>
      <c r="P171" s="78" t="inlineStr">
        <is>
          <t>2024-11-03</t>
        </is>
      </c>
      <c r="Q171" s="78" t="inlineStr">
        <is>
          <t>TURNOVER SCHEDULE r240, MRS ABIMBOLA r48</t>
        </is>
      </c>
      <c r="R171" s="78" t="n"/>
    </row>
    <row r="172" ht="25" customHeight="1">
      <c r="A172" s="75" t="inlineStr">
        <is>
          <t>SL0149</t>
        </is>
      </c>
      <c r="B172" s="76" t="n">
        <v>45362</v>
      </c>
      <c r="C172" s="75" t="inlineStr">
        <is>
          <t>2024-03</t>
        </is>
      </c>
      <c r="D172" s="75" t="n">
        <v>2024</v>
      </c>
      <c r="E172" s="75" t="inlineStr">
        <is>
          <t>Land</t>
        </is>
      </c>
      <c r="F172" s="75" t="inlineStr">
        <is>
          <t>Plot / unit price</t>
        </is>
      </c>
      <c r="G172" s="75" t="inlineStr">
        <is>
          <t>Green City Phase 2 (Ketu-Epe)</t>
        </is>
      </c>
      <c r="H172" s="75" t="inlineStr">
        <is>
          <t>BP-C0078</t>
        </is>
      </c>
      <c r="I172" s="75" t="inlineStr">
        <is>
          <t>Miss Bingham Kendra</t>
        </is>
      </c>
      <c r="J172" s="77" t="n">
        <v>1000000</v>
      </c>
      <c r="K172" s="75" t="inlineStr">
        <is>
          <t>Single register</t>
        </is>
      </c>
      <c r="L172" s="75" t="inlineStr">
        <is>
          <t>Primary: monthly turnover register</t>
        </is>
      </c>
      <c r="M172" s="75" t="inlineStr">
        <is>
          <t>BAAY PROJECTS FINANCIALS 2024.xlsx</t>
        </is>
      </c>
      <c r="N172" s="75" t="inlineStr">
        <is>
          <t>MARCH TURNOVER</t>
        </is>
      </c>
      <c r="O172" s="75" t="n">
        <v>29</v>
      </c>
      <c r="P172" s="75" t="inlineStr">
        <is>
          <t>2024-11-03</t>
        </is>
      </c>
      <c r="Q172" s="75" t="inlineStr">
        <is>
          <t>TURNOVER SCHEDULE r245, MRS ABIMBOLA r49</t>
        </is>
      </c>
      <c r="R172" s="75" t="n"/>
    </row>
    <row r="173" ht="25" customHeight="1">
      <c r="A173" s="78" t="inlineStr">
        <is>
          <t>SL0150</t>
        </is>
      </c>
      <c r="B173" s="79" t="n">
        <v>45362</v>
      </c>
      <c r="C173" s="78" t="inlineStr">
        <is>
          <t>2024-03</t>
        </is>
      </c>
      <c r="D173" s="78" t="n">
        <v>2024</v>
      </c>
      <c r="E173" s="78" t="inlineStr">
        <is>
          <t>Land</t>
        </is>
      </c>
      <c r="F173" s="78" t="inlineStr">
        <is>
          <t>Plot / unit price</t>
        </is>
      </c>
      <c r="G173" s="78" t="inlineStr">
        <is>
          <t>Green City Phase 2 (Ketu-Epe)</t>
        </is>
      </c>
      <c r="H173" s="78" t="inlineStr">
        <is>
          <t>BP-C0070</t>
        </is>
      </c>
      <c r="I173" s="78" t="inlineStr">
        <is>
          <t>Mr Ayodeji Adeogun Daniel</t>
        </is>
      </c>
      <c r="J173" s="80" t="n">
        <v>1500000</v>
      </c>
      <c r="K173" s="78" t="inlineStr">
        <is>
          <t>Single register</t>
        </is>
      </c>
      <c r="L173" s="78" t="inlineStr">
        <is>
          <t>Primary: monthly turnover register</t>
        </is>
      </c>
      <c r="M173" s="78" t="inlineStr">
        <is>
          <t>BAAY PROJECTS FINANCIALS 2024.xlsx</t>
        </is>
      </c>
      <c r="N173" s="78" t="inlineStr">
        <is>
          <t>MARCH TURNOVER</t>
        </is>
      </c>
      <c r="O173" s="78" t="n">
        <v>27</v>
      </c>
      <c r="P173" s="78" t="inlineStr">
        <is>
          <t>2024-11-03</t>
        </is>
      </c>
      <c r="Q173" s="78" t="inlineStr">
        <is>
          <t>TURNOVER SCHEDULE r224, MS TAIWO r21, MR ADEWALE OMODARA r3</t>
        </is>
      </c>
      <c r="R173" s="78" t="n"/>
    </row>
    <row r="174" ht="25" customHeight="1">
      <c r="A174" s="75" t="inlineStr">
        <is>
          <t>SL0151</t>
        </is>
      </c>
      <c r="B174" s="76" t="n">
        <v>45362</v>
      </c>
      <c r="C174" s="75" t="inlineStr">
        <is>
          <t>2024-03</t>
        </is>
      </c>
      <c r="D174" s="75" t="n">
        <v>2024</v>
      </c>
      <c r="E174" s="75" t="inlineStr">
        <is>
          <t>Land</t>
        </is>
      </c>
      <c r="F174" s="75" t="inlineStr">
        <is>
          <t>Plot / unit price</t>
        </is>
      </c>
      <c r="G174" s="75" t="inlineStr">
        <is>
          <t>Green City Phase 1 (Lantaba, Ketu-Epe)</t>
        </is>
      </c>
      <c r="H174" s="75" t="inlineStr">
        <is>
          <t>BP-C0006</t>
        </is>
      </c>
      <c r="I174" s="75" t="inlineStr">
        <is>
          <t>Mr Olasupo Oladimeji</t>
        </is>
      </c>
      <c r="J174" s="77" t="n">
        <v>954000</v>
      </c>
      <c r="K174" s="75" t="inlineStr">
        <is>
          <t>Single register</t>
        </is>
      </c>
      <c r="L174" s="75" t="inlineStr">
        <is>
          <t>Primary: monthly turnover register</t>
        </is>
      </c>
      <c r="M174" s="75" t="inlineStr">
        <is>
          <t>BAAY PROJECTS FINANCIALS 2024.xlsx</t>
        </is>
      </c>
      <c r="N174" s="75" t="inlineStr">
        <is>
          <t>MARCH TURNOVER</t>
        </is>
      </c>
      <c r="O174" s="75" t="n">
        <v>31</v>
      </c>
      <c r="P174" s="75" t="inlineStr">
        <is>
          <t>2024-11-03</t>
        </is>
      </c>
      <c r="Q174" s="75" t="inlineStr">
        <is>
          <t>TURNOVER SCHEDULE r31, MRS ABIMBOLA r38</t>
        </is>
      </c>
      <c r="R174" s="75" t="n"/>
    </row>
    <row r="175" ht="25" customHeight="1">
      <c r="A175" s="78" t="inlineStr">
        <is>
          <t>SL0152</t>
        </is>
      </c>
      <c r="B175" s="79" t="n">
        <v>45362</v>
      </c>
      <c r="C175" s="78" t="inlineStr">
        <is>
          <t>2024-03</t>
        </is>
      </c>
      <c r="D175" s="78" t="n">
        <v>2024</v>
      </c>
      <c r="E175" s="78" t="inlineStr">
        <is>
          <t>Land</t>
        </is>
      </c>
      <c r="F175" s="78" t="inlineStr">
        <is>
          <t>Plot / unit price</t>
        </is>
      </c>
      <c r="G175" s="78" t="inlineStr">
        <is>
          <t>Green City Phase 2 (Ketu-Epe)</t>
        </is>
      </c>
      <c r="H175" s="78" t="inlineStr">
        <is>
          <t>BP-C0079</t>
        </is>
      </c>
      <c r="I175" s="78" t="inlineStr">
        <is>
          <t>Ukachi Florence Oluchi</t>
        </is>
      </c>
      <c r="J175" s="80" t="n">
        <v>500000</v>
      </c>
      <c r="K175" s="78" t="inlineStr">
        <is>
          <t>Single register</t>
        </is>
      </c>
      <c r="L175" s="78" t="inlineStr">
        <is>
          <t>Primary: monthly turnover register</t>
        </is>
      </c>
      <c r="M175" s="78" t="inlineStr">
        <is>
          <t>BAAY PROJECTS FINANCIALS 2024.xlsx</t>
        </is>
      </c>
      <c r="N175" s="78" t="inlineStr">
        <is>
          <t>MARCH TURNOVER</t>
        </is>
      </c>
      <c r="O175" s="78" t="n">
        <v>30</v>
      </c>
      <c r="P175" s="78" t="inlineStr">
        <is>
          <t>2024-11-03</t>
        </is>
      </c>
      <c r="Q175" s="78" t="inlineStr">
        <is>
          <t>TURNOVER SCHEDULE r250, MS FEYI r2</t>
        </is>
      </c>
      <c r="R175" s="78" t="n"/>
    </row>
    <row r="176" ht="25" customHeight="1">
      <c r="A176" s="75" t="inlineStr">
        <is>
          <t>SL0153</t>
        </is>
      </c>
      <c r="B176" s="76" t="n">
        <v>45363</v>
      </c>
      <c r="C176" s="75" t="inlineStr">
        <is>
          <t>2024-03</t>
        </is>
      </c>
      <c r="D176" s="75" t="n">
        <v>2024</v>
      </c>
      <c r="E176" s="75" t="inlineStr">
        <is>
          <t>Land</t>
        </is>
      </c>
      <c r="F176" s="75" t="inlineStr">
        <is>
          <t>Plot / unit price</t>
        </is>
      </c>
      <c r="G176" s="75" t="inlineStr">
        <is>
          <t>Green City Phase 2 (Ketu-Epe)</t>
        </is>
      </c>
      <c r="H176" s="75" t="inlineStr">
        <is>
          <t>BP-C0080</t>
        </is>
      </c>
      <c r="I176" s="75" t="inlineStr">
        <is>
          <t>Dr Ayansola Jeremiah Funso</t>
        </is>
      </c>
      <c r="J176" s="77" t="n">
        <v>2000000</v>
      </c>
      <c r="K176" s="75" t="inlineStr">
        <is>
          <t>Single register</t>
        </is>
      </c>
      <c r="L176" s="75" t="inlineStr">
        <is>
          <t>Primary: monthly turnover register</t>
        </is>
      </c>
      <c r="M176" s="75" t="inlineStr">
        <is>
          <t>BAAY PROJECTS FINANCIALS 2024.xlsx</t>
        </is>
      </c>
      <c r="N176" s="75" t="inlineStr">
        <is>
          <t>MARCH TURNOVER</t>
        </is>
      </c>
      <c r="O176" s="75" t="n">
        <v>36</v>
      </c>
      <c r="P176" s="75" t="inlineStr">
        <is>
          <t>2024-12-03</t>
        </is>
      </c>
      <c r="Q176" s="75" t="inlineStr">
        <is>
          <t>TURNOVER SCHEDULE r298, MR JUWON r8</t>
        </is>
      </c>
      <c r="R176" s="75" t="n"/>
    </row>
    <row r="177" ht="25" customHeight="1">
      <c r="A177" s="78" t="inlineStr">
        <is>
          <t>SL0154</t>
        </is>
      </c>
      <c r="B177" s="79" t="n">
        <v>45363</v>
      </c>
      <c r="C177" s="78" t="inlineStr">
        <is>
          <t>2024-03</t>
        </is>
      </c>
      <c r="D177" s="78" t="n">
        <v>2024</v>
      </c>
      <c r="E177" s="78" t="inlineStr">
        <is>
          <t>Land</t>
        </is>
      </c>
      <c r="F177" s="78" t="inlineStr">
        <is>
          <t>Plot / unit price</t>
        </is>
      </c>
      <c r="G177" s="78" t="inlineStr">
        <is>
          <t>Green City Phase 1 (Lantaba, Ketu-Epe)</t>
        </is>
      </c>
      <c r="H177" s="78" t="inlineStr">
        <is>
          <t>BP-C0050</t>
        </is>
      </c>
      <c r="I177" s="78" t="inlineStr">
        <is>
          <t>Mr Atuanya Patrick Jidevo</t>
        </is>
      </c>
      <c r="J177" s="80" t="n">
        <v>300000</v>
      </c>
      <c r="K177" s="78" t="inlineStr">
        <is>
          <t>Single register</t>
        </is>
      </c>
      <c r="L177" s="78" t="inlineStr">
        <is>
          <t>Primary: monthly turnover register</t>
        </is>
      </c>
      <c r="M177" s="78" t="inlineStr">
        <is>
          <t>BAAY PROJECTS FINANCIALS 2024.xlsx</t>
        </is>
      </c>
      <c r="N177" s="78" t="inlineStr">
        <is>
          <t>MARCH TURNOVER</t>
        </is>
      </c>
      <c r="O177" s="78" t="n">
        <v>32</v>
      </c>
      <c r="P177" s="78" t="inlineStr">
        <is>
          <t>2024-12-03</t>
        </is>
      </c>
      <c r="Q177" s="78" t="inlineStr">
        <is>
          <t>TURNOVER SCHEDULE r146, MS YETUNDE ABISOYE r24</t>
        </is>
      </c>
      <c r="R177" s="78" t="n"/>
    </row>
    <row r="178" ht="25" customHeight="1">
      <c r="A178" s="75" t="inlineStr">
        <is>
          <t>SL0155</t>
        </is>
      </c>
      <c r="B178" s="76" t="n">
        <v>45363</v>
      </c>
      <c r="C178" s="75" t="inlineStr">
        <is>
          <t>2024-03</t>
        </is>
      </c>
      <c r="D178" s="75" t="n">
        <v>2024</v>
      </c>
      <c r="E178" s="75" t="inlineStr">
        <is>
          <t>Land</t>
        </is>
      </c>
      <c r="F178" s="75" t="inlineStr">
        <is>
          <t>Plot / unit price</t>
        </is>
      </c>
      <c r="G178" s="75" t="inlineStr">
        <is>
          <t>Green City Phase 2 (Ketu-Epe)</t>
        </is>
      </c>
      <c r="H178" s="75" t="inlineStr">
        <is>
          <t>BP-C0070</t>
        </is>
      </c>
      <c r="I178" s="75" t="inlineStr">
        <is>
          <t>Mr Ayodeji Adeogun Daniel</t>
        </is>
      </c>
      <c r="J178" s="77" t="n">
        <v>1000000</v>
      </c>
      <c r="K178" s="75" t="inlineStr">
        <is>
          <t>Single register</t>
        </is>
      </c>
      <c r="L178" s="75" t="inlineStr">
        <is>
          <t>Primary: monthly turnover register</t>
        </is>
      </c>
      <c r="M178" s="75" t="inlineStr">
        <is>
          <t>BAAY PROJECTS FINANCIALS 2024.xlsx</t>
        </is>
      </c>
      <c r="N178" s="75" t="inlineStr">
        <is>
          <t>MARCH TURNOVER</t>
        </is>
      </c>
      <c r="O178" s="75" t="n">
        <v>33</v>
      </c>
      <c r="P178" s="75" t="inlineStr">
        <is>
          <t>2024-12-03</t>
        </is>
      </c>
      <c r="Q178" s="75" t="inlineStr">
        <is>
          <t>TURNOVER SCHEDULE r225, MS TAIWO r22, MR ADEWALE OMODARA r4</t>
        </is>
      </c>
      <c r="R178" s="75" t="n"/>
    </row>
    <row r="179" ht="25" customHeight="1">
      <c r="A179" s="78" t="inlineStr">
        <is>
          <t>SL0156</t>
        </is>
      </c>
      <c r="B179" s="79" t="n">
        <v>45363</v>
      </c>
      <c r="C179" s="78" t="inlineStr">
        <is>
          <t>2024-03</t>
        </is>
      </c>
      <c r="D179" s="78" t="n">
        <v>2024</v>
      </c>
      <c r="E179" s="78" t="inlineStr">
        <is>
          <t>Land</t>
        </is>
      </c>
      <c r="F179" s="78" t="inlineStr">
        <is>
          <t>Plot / unit price</t>
        </is>
      </c>
      <c r="G179" s="78" t="inlineStr">
        <is>
          <t>Green City Phase 2 (Ketu-Epe)</t>
        </is>
      </c>
      <c r="H179" s="78" t="inlineStr">
        <is>
          <t>BP-C0081</t>
        </is>
      </c>
      <c r="I179" s="78" t="inlineStr">
        <is>
          <t>Mr Ukachi Godfrey Ndukaku</t>
        </is>
      </c>
      <c r="J179" s="80" t="n">
        <v>500000</v>
      </c>
      <c r="K179" s="78" t="inlineStr">
        <is>
          <t>Single register</t>
        </is>
      </c>
      <c r="L179" s="78" t="inlineStr">
        <is>
          <t>Primary: monthly turnover register</t>
        </is>
      </c>
      <c r="M179" s="78" t="inlineStr">
        <is>
          <t>BAAY PROJECTS FINANCIALS 2024.xlsx</t>
        </is>
      </c>
      <c r="N179" s="78" t="inlineStr">
        <is>
          <t>MARCH TURNOVER</t>
        </is>
      </c>
      <c r="O179" s="78" t="n">
        <v>34</v>
      </c>
      <c r="P179" s="78" t="inlineStr">
        <is>
          <t>2024-12-03</t>
        </is>
      </c>
      <c r="Q179" s="78" t="inlineStr">
        <is>
          <t>TURNOVER SCHEDULE r275, MS FEYI r3</t>
        </is>
      </c>
      <c r="R179" s="78" t="n"/>
    </row>
    <row r="180" ht="25" customHeight="1">
      <c r="A180" s="75" t="inlineStr">
        <is>
          <t>SL0157</t>
        </is>
      </c>
      <c r="B180" s="76" t="n">
        <v>45363</v>
      </c>
      <c r="C180" s="75" t="inlineStr">
        <is>
          <t>2024-03</t>
        </is>
      </c>
      <c r="D180" s="75" t="n">
        <v>2024</v>
      </c>
      <c r="E180" s="75" t="inlineStr">
        <is>
          <t>Land</t>
        </is>
      </c>
      <c r="F180" s="75" t="inlineStr">
        <is>
          <t>Plot / unit price</t>
        </is>
      </c>
      <c r="G180" s="75" t="inlineStr">
        <is>
          <t>Green City Phase 2 (Ketu-Epe)</t>
        </is>
      </c>
      <c r="H180" s="75" t="inlineStr">
        <is>
          <t>BP-C0082</t>
        </is>
      </c>
      <c r="I180" s="75" t="inlineStr">
        <is>
          <t>Mrs Olarewaju Remilekun Mary</t>
        </is>
      </c>
      <c r="J180" s="77" t="n">
        <v>500000</v>
      </c>
      <c r="K180" s="75" t="inlineStr">
        <is>
          <t>Single register</t>
        </is>
      </c>
      <c r="L180" s="75" t="inlineStr">
        <is>
          <t>Primary: monthly turnover register</t>
        </is>
      </c>
      <c r="M180" s="75" t="inlineStr">
        <is>
          <t>BAAY PROJECTS FINANCIALS 2024.xlsx</t>
        </is>
      </c>
      <c r="N180" s="75" t="inlineStr">
        <is>
          <t>MARCH TURNOVER</t>
        </is>
      </c>
      <c r="O180" s="75" t="n">
        <v>35</v>
      </c>
      <c r="P180" s="75" t="inlineStr">
        <is>
          <t>2024-12-03</t>
        </is>
      </c>
      <c r="Q180" s="75" t="inlineStr">
        <is>
          <t>TURNOVER SCHEDULE r319, MR JUWON r2</t>
        </is>
      </c>
      <c r="R180" s="75" t="n"/>
    </row>
    <row r="181" ht="25" customHeight="1">
      <c r="A181" s="78" t="inlineStr">
        <is>
          <t>SL0158</t>
        </is>
      </c>
      <c r="B181" s="79" t="n">
        <v>45364</v>
      </c>
      <c r="C181" s="78" t="inlineStr">
        <is>
          <t>2024-03</t>
        </is>
      </c>
      <c r="D181" s="78" t="n">
        <v>2024</v>
      </c>
      <c r="E181" s="78" t="inlineStr">
        <is>
          <t>Land</t>
        </is>
      </c>
      <c r="F181" s="78" t="inlineStr">
        <is>
          <t>Plot / unit price</t>
        </is>
      </c>
      <c r="G181" s="78" t="inlineStr">
        <is>
          <t>Green City Phase 1 (Lantaba, Ketu-Epe)</t>
        </is>
      </c>
      <c r="H181" s="78" t="inlineStr">
        <is>
          <t>BP-C0006</t>
        </is>
      </c>
      <c r="I181" s="78" t="inlineStr">
        <is>
          <t>Mr Olasupo Oladimeji</t>
        </is>
      </c>
      <c r="J181" s="80" t="n">
        <v>700000</v>
      </c>
      <c r="K181" s="78" t="inlineStr">
        <is>
          <t>Single register</t>
        </is>
      </c>
      <c r="L181" s="78" t="inlineStr">
        <is>
          <t>Primary: monthly turnover register</t>
        </is>
      </c>
      <c r="M181" s="78" t="inlineStr">
        <is>
          <t>BAAY PROJECTS FINANCIALS 2024.xlsx</t>
        </is>
      </c>
      <c r="N181" s="78" t="inlineStr">
        <is>
          <t>MARCH TURNOVER</t>
        </is>
      </c>
      <c r="O181" s="78" t="n">
        <v>37</v>
      </c>
      <c r="P181" s="78" t="inlineStr">
        <is>
          <t>13/03/2024</t>
        </is>
      </c>
      <c r="Q181" s="78" t="inlineStr">
        <is>
          <t>TURNOVER SCHEDULE r32, MRS ABIMBOLA r39</t>
        </is>
      </c>
      <c r="R181" s="78" t="n"/>
    </row>
    <row r="182" ht="25" customHeight="1">
      <c r="A182" s="75" t="inlineStr">
        <is>
          <t>SL0159</t>
        </is>
      </c>
      <c r="B182" s="76" t="n">
        <v>45365</v>
      </c>
      <c r="C182" s="75" t="inlineStr">
        <is>
          <t>2024-03</t>
        </is>
      </c>
      <c r="D182" s="75" t="n">
        <v>2024</v>
      </c>
      <c r="E182" s="75" t="inlineStr">
        <is>
          <t>Land</t>
        </is>
      </c>
      <c r="F182" s="75" t="inlineStr">
        <is>
          <t>Plot / unit price</t>
        </is>
      </c>
      <c r="G182" s="75" t="inlineStr">
        <is>
          <t>Green City Phase 1 (Lantaba, Ketu-Epe)</t>
        </is>
      </c>
      <c r="H182" s="75" t="inlineStr">
        <is>
          <t>BP-C0083</t>
        </is>
      </c>
      <c r="I182" s="75" t="inlineStr">
        <is>
          <t>Mrs Yohanna Victoria</t>
        </is>
      </c>
      <c r="J182" s="77" t="n">
        <v>3000000</v>
      </c>
      <c r="K182" s="75" t="inlineStr">
        <is>
          <t>Single register</t>
        </is>
      </c>
      <c r="L182" s="75" t="inlineStr">
        <is>
          <t>Primary: monthly turnover register</t>
        </is>
      </c>
      <c r="M182" s="75" t="inlineStr">
        <is>
          <t>BAAY PROJECTS FINANCIALS 2024.xlsx</t>
        </is>
      </c>
      <c r="N182" s="75" t="inlineStr">
        <is>
          <t>MARCH TURNOVER</t>
        </is>
      </c>
      <c r="O182" s="75" t="n">
        <v>38</v>
      </c>
      <c r="P182" s="75" t="inlineStr">
        <is>
          <t>14/03/2024</t>
        </is>
      </c>
      <c r="Q182" s="75" t="n"/>
      <c r="R182" s="75" t="n"/>
    </row>
    <row r="183" ht="25" customHeight="1">
      <c r="A183" s="78" t="inlineStr">
        <is>
          <t>SL0160</t>
        </is>
      </c>
      <c r="B183" s="79" t="n">
        <v>45366</v>
      </c>
      <c r="C183" s="78" t="inlineStr">
        <is>
          <t>2024-03</t>
        </is>
      </c>
      <c r="D183" s="78" t="n">
        <v>2024</v>
      </c>
      <c r="E183" s="78" t="inlineStr">
        <is>
          <t>Land</t>
        </is>
      </c>
      <c r="F183" s="78" t="inlineStr">
        <is>
          <t>Plot / unit price</t>
        </is>
      </c>
      <c r="G183" s="78" t="inlineStr">
        <is>
          <t>Green City Phase 1 (Lantaba, Ketu-Epe)</t>
        </is>
      </c>
      <c r="H183" s="78" t="inlineStr">
        <is>
          <t>BP-C0036</t>
        </is>
      </c>
      <c r="I183" s="78" t="inlineStr">
        <is>
          <t>Mr Ohumende Paul Osaze</t>
        </is>
      </c>
      <c r="J183" s="80" t="n">
        <v>7000000</v>
      </c>
      <c r="K183" s="78" t="inlineStr">
        <is>
          <t>Single register</t>
        </is>
      </c>
      <c r="L183" s="78" t="inlineStr">
        <is>
          <t>Primary: monthly turnover register</t>
        </is>
      </c>
      <c r="M183" s="78" t="inlineStr">
        <is>
          <t>BAAY PROJECTS FINANCIALS 2024.xlsx</t>
        </is>
      </c>
      <c r="N183" s="78" t="inlineStr">
        <is>
          <t>MARCH TURNOVER</t>
        </is>
      </c>
      <c r="O183" s="78" t="n">
        <v>39</v>
      </c>
      <c r="P183" s="78" t="inlineStr">
        <is>
          <t>15/03/2024</t>
        </is>
      </c>
      <c r="Q183" s="78" t="inlineStr">
        <is>
          <t>TURNOVER SCHEDULE r121</t>
        </is>
      </c>
      <c r="R183" s="78" t="n"/>
    </row>
    <row r="184" ht="25" customHeight="1">
      <c r="A184" s="75" t="inlineStr">
        <is>
          <t>SL0161</t>
        </is>
      </c>
      <c r="B184" s="76" t="n">
        <v>45367</v>
      </c>
      <c r="C184" s="75" t="inlineStr">
        <is>
          <t>2024-03</t>
        </is>
      </c>
      <c r="D184" s="75" t="n">
        <v>2024</v>
      </c>
      <c r="E184" s="75" t="inlineStr">
        <is>
          <t>Land</t>
        </is>
      </c>
      <c r="F184" s="75" t="inlineStr">
        <is>
          <t>Plot / unit price</t>
        </is>
      </c>
      <c r="G184" s="75" t="inlineStr">
        <is>
          <t>Green City Phase 1 (Lantaba, Ketu-Epe)</t>
        </is>
      </c>
      <c r="H184" s="75" t="inlineStr">
        <is>
          <t>BP-C0045</t>
        </is>
      </c>
      <c r="I184" s="75" t="inlineStr">
        <is>
          <t>Mr Bolarinwa Iyanuoluwa Simon &amp; Dr Bolarinwa Abisola Christianah</t>
        </is>
      </c>
      <c r="J184" s="77" t="n">
        <v>3600000</v>
      </c>
      <c r="K184" s="75" t="inlineStr">
        <is>
          <t>Single register</t>
        </is>
      </c>
      <c r="L184" s="75" t="inlineStr">
        <is>
          <t>Primary: monthly turnover register</t>
        </is>
      </c>
      <c r="M184" s="75" t="inlineStr">
        <is>
          <t>BAAY PROJECTS FINANCIALS 2024.xlsx</t>
        </is>
      </c>
      <c r="N184" s="75" t="inlineStr">
        <is>
          <t>MARCH TURNOVER</t>
        </is>
      </c>
      <c r="O184" s="75" t="n">
        <v>40</v>
      </c>
      <c r="P184" s="75" t="inlineStr">
        <is>
          <t>16/03/2024</t>
        </is>
      </c>
      <c r="Q184" s="75" t="inlineStr">
        <is>
          <t>MD r20</t>
        </is>
      </c>
      <c r="R184" s="75" t="n"/>
    </row>
    <row r="185" ht="25" customHeight="1">
      <c r="A185" s="78" t="inlineStr">
        <is>
          <t>SL0162</t>
        </is>
      </c>
      <c r="B185" s="79" t="n">
        <v>45367</v>
      </c>
      <c r="C185" s="78" t="inlineStr">
        <is>
          <t>2024-03</t>
        </is>
      </c>
      <c r="D185" s="78" t="n">
        <v>2024</v>
      </c>
      <c r="E185" s="78" t="inlineStr">
        <is>
          <t>Land</t>
        </is>
      </c>
      <c r="F185" s="78" t="inlineStr">
        <is>
          <t>Plot / unit price</t>
        </is>
      </c>
      <c r="G185" s="78" t="inlineStr">
        <is>
          <t>Green City Phase 2 (Ketu-Epe)</t>
        </is>
      </c>
      <c r="H185" s="78" t="inlineStr">
        <is>
          <t>BP-C0051</t>
        </is>
      </c>
      <c r="I185" s="78" t="inlineStr">
        <is>
          <t>Mr Ogunleye Olumide</t>
        </is>
      </c>
      <c r="J185" s="80" t="n">
        <v>150000</v>
      </c>
      <c r="K185" s="78" t="inlineStr">
        <is>
          <t>Single register</t>
        </is>
      </c>
      <c r="L185" s="78" t="inlineStr">
        <is>
          <t>Primary: monthly turnover register</t>
        </is>
      </c>
      <c r="M185" s="78" t="inlineStr">
        <is>
          <t>BAAY PROJECTS FINANCIALS 2024.xlsx</t>
        </is>
      </c>
      <c r="N185" s="78" t="inlineStr">
        <is>
          <t>MARCH TURNOVER</t>
        </is>
      </c>
      <c r="O185" s="78" t="n">
        <v>41</v>
      </c>
      <c r="P185" s="78" t="inlineStr">
        <is>
          <t>16/03/2024</t>
        </is>
      </c>
      <c r="Q185" s="78" t="inlineStr">
        <is>
          <t>TURNOVER SCHEDULE r44</t>
        </is>
      </c>
      <c r="R185" s="78" t="n"/>
    </row>
    <row r="186" ht="25" customHeight="1">
      <c r="A186" s="75" t="inlineStr">
        <is>
          <t>SL0163</t>
        </is>
      </c>
      <c r="B186" s="76" t="n">
        <v>45367</v>
      </c>
      <c r="C186" s="75" t="inlineStr">
        <is>
          <t>2024-03</t>
        </is>
      </c>
      <c r="D186" s="75" t="n">
        <v>2024</v>
      </c>
      <c r="E186" s="75" t="inlineStr">
        <is>
          <t>Land</t>
        </is>
      </c>
      <c r="F186" s="75" t="inlineStr">
        <is>
          <t>Plot / unit price</t>
        </is>
      </c>
      <c r="G186" s="75" t="inlineStr">
        <is>
          <t>Green City Phase 1 (Lantaba, Ketu-Epe)</t>
        </is>
      </c>
      <c r="H186" s="75" t="inlineStr">
        <is>
          <t>BP-C0051</t>
        </is>
      </c>
      <c r="I186" s="75" t="inlineStr">
        <is>
          <t>Mr Ogunleye Olumide</t>
        </is>
      </c>
      <c r="J186" s="77" t="n">
        <v>500000</v>
      </c>
      <c r="K186" s="75" t="inlineStr">
        <is>
          <t>Single register</t>
        </is>
      </c>
      <c r="L186" s="75" t="inlineStr">
        <is>
          <t>Primary: monthly turnover register</t>
        </is>
      </c>
      <c r="M186" s="75" t="inlineStr">
        <is>
          <t>BAAY PROJECTS FINANCIALS 2024.xlsx</t>
        </is>
      </c>
      <c r="N186" s="75" t="inlineStr">
        <is>
          <t>MARCH TURNOVER</t>
        </is>
      </c>
      <c r="O186" s="75" t="n">
        <v>42</v>
      </c>
      <c r="P186" s="75" t="inlineStr">
        <is>
          <t>16/03/2024</t>
        </is>
      </c>
      <c r="Q186" s="75" t="inlineStr">
        <is>
          <t>TURNOVER SCHEDULE r51</t>
        </is>
      </c>
      <c r="R186" s="75" t="n"/>
    </row>
    <row r="187" ht="25" customHeight="1">
      <c r="A187" s="78" t="inlineStr">
        <is>
          <t>SL0164</t>
        </is>
      </c>
      <c r="B187" s="79" t="n">
        <v>45371</v>
      </c>
      <c r="C187" s="78" t="inlineStr">
        <is>
          <t>2024-03</t>
        </is>
      </c>
      <c r="D187" s="78" t="n">
        <v>2024</v>
      </c>
      <c r="E187" s="78" t="inlineStr">
        <is>
          <t>Land</t>
        </is>
      </c>
      <c r="F187" s="78" t="inlineStr">
        <is>
          <t>Plot / unit price</t>
        </is>
      </c>
      <c r="G187" s="78" t="inlineStr">
        <is>
          <t>Green City Phase 1 (Lantaba, Ketu-Epe)</t>
        </is>
      </c>
      <c r="H187" s="78" t="inlineStr">
        <is>
          <t>BP-C0050</t>
        </is>
      </c>
      <c r="I187" s="78" t="inlineStr">
        <is>
          <t>Mr Atuanya Patrick Jidevo</t>
        </is>
      </c>
      <c r="J187" s="80" t="n">
        <v>550000</v>
      </c>
      <c r="K187" s="78" t="inlineStr">
        <is>
          <t>Single register</t>
        </is>
      </c>
      <c r="L187" s="78" t="inlineStr">
        <is>
          <t>Primary: monthly turnover register</t>
        </is>
      </c>
      <c r="M187" s="78" t="inlineStr">
        <is>
          <t>BAAY PROJECTS FINANCIALS 2024.xlsx</t>
        </is>
      </c>
      <c r="N187" s="78" t="inlineStr">
        <is>
          <t>MARCH TURNOVER</t>
        </is>
      </c>
      <c r="O187" s="78" t="n">
        <v>43</v>
      </c>
      <c r="P187" s="78" t="inlineStr">
        <is>
          <t>20/03/2024</t>
        </is>
      </c>
      <c r="Q187" s="78" t="inlineStr">
        <is>
          <t>TURNOVER SCHEDULE r147, MS YETUNDE ABISOYE r31</t>
        </is>
      </c>
      <c r="R187" s="78" t="n"/>
    </row>
    <row r="188" ht="25" customHeight="1">
      <c r="A188" s="75" t="inlineStr">
        <is>
          <t>SL0165</t>
        </is>
      </c>
      <c r="B188" s="76" t="n">
        <v>45372</v>
      </c>
      <c r="C188" s="75" t="inlineStr">
        <is>
          <t>2024-03</t>
        </is>
      </c>
      <c r="D188" s="75" t="n">
        <v>2024</v>
      </c>
      <c r="E188" s="75" t="inlineStr">
        <is>
          <t>Land</t>
        </is>
      </c>
      <c r="F188" s="75" t="inlineStr">
        <is>
          <t>Plot / unit price</t>
        </is>
      </c>
      <c r="G188" s="75" t="inlineStr">
        <is>
          <t>Green City Phase 2 (Ketu-Epe)</t>
        </is>
      </c>
      <c r="H188" s="75" t="inlineStr">
        <is>
          <t>BP-C0071</t>
        </is>
      </c>
      <c r="I188" s="75" t="inlineStr">
        <is>
          <t>Miss Oyebola Moyosoreoluwa Boluwatife</t>
        </is>
      </c>
      <c r="J188" s="77" t="n">
        <v>1500000</v>
      </c>
      <c r="K188" s="75" t="inlineStr">
        <is>
          <t>Single register</t>
        </is>
      </c>
      <c r="L188" s="75" t="inlineStr">
        <is>
          <t>Primary: monthly turnover register</t>
        </is>
      </c>
      <c r="M188" s="75" t="inlineStr">
        <is>
          <t>BAAY PROJECTS FINANCIALS 2024.xlsx</t>
        </is>
      </c>
      <c r="N188" s="75" t="inlineStr">
        <is>
          <t>MARCH TURNOVER</t>
        </is>
      </c>
      <c r="O188" s="75" t="n">
        <v>44</v>
      </c>
      <c r="P188" s="75" t="inlineStr">
        <is>
          <t>21/03/2024</t>
        </is>
      </c>
      <c r="Q188" s="75" t="inlineStr">
        <is>
          <t>TURNOVER SCHEDULE r229, MR AYOMIDE r5</t>
        </is>
      </c>
      <c r="R188" s="75" t="n"/>
    </row>
    <row r="189" ht="25" customHeight="1">
      <c r="A189" s="78" t="inlineStr">
        <is>
          <t>SL0166</t>
        </is>
      </c>
      <c r="B189" s="79" t="n">
        <v>45372</v>
      </c>
      <c r="C189" s="78" t="inlineStr">
        <is>
          <t>2024-03</t>
        </is>
      </c>
      <c r="D189" s="78" t="n">
        <v>2024</v>
      </c>
      <c r="E189" s="78" t="inlineStr">
        <is>
          <t>Land</t>
        </is>
      </c>
      <c r="F189" s="78" t="inlineStr">
        <is>
          <t>Plot / unit price</t>
        </is>
      </c>
      <c r="G189" s="78" t="inlineStr">
        <is>
          <t>Green City Phase 1 (Lantaba, Ketu-Epe)</t>
        </is>
      </c>
      <c r="H189" s="78" t="inlineStr">
        <is>
          <t>BP-C0006</t>
        </is>
      </c>
      <c r="I189" s="78" t="inlineStr">
        <is>
          <t>Mr Olasupo Oladimeji</t>
        </is>
      </c>
      <c r="J189" s="80" t="n">
        <v>875350</v>
      </c>
      <c r="K189" s="78" t="inlineStr">
        <is>
          <t>Single register</t>
        </is>
      </c>
      <c r="L189" s="78" t="inlineStr">
        <is>
          <t>Primary: monthly turnover register</t>
        </is>
      </c>
      <c r="M189" s="78" t="inlineStr">
        <is>
          <t>BAAY PROJECTS FINANCIALS 2024.xlsx</t>
        </is>
      </c>
      <c r="N189" s="78" t="inlineStr">
        <is>
          <t>MARCH TURNOVER</t>
        </is>
      </c>
      <c r="O189" s="78" t="n">
        <v>47</v>
      </c>
      <c r="P189" s="78" t="inlineStr">
        <is>
          <t>21/03/2024</t>
        </is>
      </c>
      <c r="Q189" s="78" t="inlineStr">
        <is>
          <t>TURNOVER SCHEDULE r33, MRS ABIMBOLA r40</t>
        </is>
      </c>
      <c r="R189" s="78" t="n"/>
    </row>
    <row r="190" ht="25" customHeight="1">
      <c r="A190" s="75" t="inlineStr">
        <is>
          <t>SL0167</t>
        </is>
      </c>
      <c r="B190" s="76" t="n">
        <v>45372</v>
      </c>
      <c r="C190" s="75" t="inlineStr">
        <is>
          <t>2024-03</t>
        </is>
      </c>
      <c r="D190" s="75" t="n">
        <v>2024</v>
      </c>
      <c r="E190" s="75" t="inlineStr">
        <is>
          <t>Land</t>
        </is>
      </c>
      <c r="F190" s="75" t="inlineStr">
        <is>
          <t>Plot / unit price</t>
        </is>
      </c>
      <c r="G190" s="75" t="inlineStr">
        <is>
          <t>Green City Phase 2 (Ketu-Epe)</t>
        </is>
      </c>
      <c r="H190" s="75" t="inlineStr">
        <is>
          <t>BP-C0072</t>
        </is>
      </c>
      <c r="I190" s="75" t="inlineStr">
        <is>
          <t>Mr Oyebola Ajibola Ayobami</t>
        </is>
      </c>
      <c r="J190" s="77" t="n">
        <v>1500000</v>
      </c>
      <c r="K190" s="75" t="inlineStr">
        <is>
          <t>Single register</t>
        </is>
      </c>
      <c r="L190" s="75" t="inlineStr">
        <is>
          <t>Primary: monthly turnover register</t>
        </is>
      </c>
      <c r="M190" s="75" t="inlineStr">
        <is>
          <t>BAAY PROJECTS FINANCIALS 2024.xlsx</t>
        </is>
      </c>
      <c r="N190" s="75" t="inlineStr">
        <is>
          <t>MARCH TURNOVER</t>
        </is>
      </c>
      <c r="O190" s="75" t="n">
        <v>46</v>
      </c>
      <c r="P190" s="75" t="inlineStr">
        <is>
          <t>21/03/2024</t>
        </is>
      </c>
      <c r="Q190" s="75" t="inlineStr">
        <is>
          <t>TURNOVER SCHEDULE r237, MR AYOMIDE r7</t>
        </is>
      </c>
      <c r="R190" s="75" t="n"/>
    </row>
    <row r="191" ht="25" customHeight="1">
      <c r="A191" s="78" t="inlineStr">
        <is>
          <t>SL0168</t>
        </is>
      </c>
      <c r="B191" s="79" t="n">
        <v>45372</v>
      </c>
      <c r="C191" s="78" t="inlineStr">
        <is>
          <t>2024-03</t>
        </is>
      </c>
      <c r="D191" s="78" t="n">
        <v>2024</v>
      </c>
      <c r="E191" s="78" t="inlineStr">
        <is>
          <t>Land</t>
        </is>
      </c>
      <c r="F191" s="78" t="inlineStr">
        <is>
          <t>Plot / unit price</t>
        </is>
      </c>
      <c r="G191" s="78" t="inlineStr">
        <is>
          <t>Green City Phase 2 (Ketu-Epe)</t>
        </is>
      </c>
      <c r="H191" s="78" t="inlineStr">
        <is>
          <t>BP-C0073</t>
        </is>
      </c>
      <c r="I191" s="78" t="inlineStr">
        <is>
          <t>Mr Oyebola Temiloluwa Olayinka</t>
        </is>
      </c>
      <c r="J191" s="80" t="n">
        <v>1500000</v>
      </c>
      <c r="K191" s="78" t="inlineStr">
        <is>
          <t>Single register</t>
        </is>
      </c>
      <c r="L191" s="78" t="inlineStr">
        <is>
          <t>Primary: monthly turnover register</t>
        </is>
      </c>
      <c r="M191" s="78" t="inlineStr">
        <is>
          <t>BAAY PROJECTS FINANCIALS 2024.xlsx</t>
        </is>
      </c>
      <c r="N191" s="78" t="inlineStr">
        <is>
          <t>MARCH TURNOVER</t>
        </is>
      </c>
      <c r="O191" s="78" t="n">
        <v>45</v>
      </c>
      <c r="P191" s="78" t="inlineStr">
        <is>
          <t>21/03/2024</t>
        </is>
      </c>
      <c r="Q191" s="78" t="inlineStr">
        <is>
          <t>TURNOVER SCHEDULE r233, MR AYOMIDE r6</t>
        </is>
      </c>
      <c r="R191" s="78" t="n"/>
    </row>
    <row r="192" ht="25" customHeight="1">
      <c r="A192" s="75" t="inlineStr">
        <is>
          <t>SL0169</t>
        </is>
      </c>
      <c r="B192" s="76" t="n">
        <v>45373</v>
      </c>
      <c r="C192" s="75" t="inlineStr">
        <is>
          <t>2024-03</t>
        </is>
      </c>
      <c r="D192" s="75" t="n">
        <v>2024</v>
      </c>
      <c r="E192" s="75" t="inlineStr">
        <is>
          <t>Land</t>
        </is>
      </c>
      <c r="F192" s="75" t="inlineStr">
        <is>
          <t>Plot / unit price</t>
        </is>
      </c>
      <c r="G192" s="75" t="inlineStr">
        <is>
          <t>Green City Phase 1 (Lantaba, Ketu-Epe)</t>
        </is>
      </c>
      <c r="H192" s="75" t="inlineStr">
        <is>
          <t>BP-C0053</t>
        </is>
      </c>
      <c r="I192" s="75" t="inlineStr">
        <is>
          <t>Mr Adegbembo Stephen</t>
        </is>
      </c>
      <c r="J192" s="77" t="n">
        <v>1000000</v>
      </c>
      <c r="K192" s="75" t="inlineStr">
        <is>
          <t>Single register</t>
        </is>
      </c>
      <c r="L192" s="75" t="inlineStr">
        <is>
          <t>Primary: monthly turnover register</t>
        </is>
      </c>
      <c r="M192" s="75" t="inlineStr">
        <is>
          <t>BAAY PROJECTS FINANCIALS 2024.xlsx</t>
        </is>
      </c>
      <c r="N192" s="75" t="inlineStr">
        <is>
          <t>MARCH TURNOVER</t>
        </is>
      </c>
      <c r="O192" s="75" t="n">
        <v>48</v>
      </c>
      <c r="P192" s="75" t="inlineStr">
        <is>
          <t>22/03/2024</t>
        </is>
      </c>
      <c r="Q192" s="75" t="inlineStr">
        <is>
          <t>TURNOVER SCHEDULE r85</t>
        </is>
      </c>
      <c r="R192" s="75" t="n"/>
    </row>
    <row r="193" ht="25" customHeight="1">
      <c r="A193" s="78" t="inlineStr">
        <is>
          <t>SL0170</t>
        </is>
      </c>
      <c r="B193" s="79" t="n">
        <v>45376</v>
      </c>
      <c r="C193" s="78" t="inlineStr">
        <is>
          <t>2024-03</t>
        </is>
      </c>
      <c r="D193" s="78" t="n">
        <v>2024</v>
      </c>
      <c r="E193" s="78" t="inlineStr">
        <is>
          <t>Land</t>
        </is>
      </c>
      <c r="F193" s="78" t="inlineStr">
        <is>
          <t>Plot / unit price</t>
        </is>
      </c>
      <c r="G193" s="78" t="inlineStr">
        <is>
          <t>Green City Phase 1 (Lantaba, Ketu-Epe)</t>
        </is>
      </c>
      <c r="H193" s="78" t="inlineStr">
        <is>
          <t>BP-C0046</t>
        </is>
      </c>
      <c r="I193" s="78" t="inlineStr">
        <is>
          <t>Mr Adesida Raphael</t>
        </is>
      </c>
      <c r="J193" s="80" t="n">
        <v>100000</v>
      </c>
      <c r="K193" s="78" t="inlineStr">
        <is>
          <t>Single register</t>
        </is>
      </c>
      <c r="L193" s="78" t="inlineStr">
        <is>
          <t>Primary: monthly turnover register</t>
        </is>
      </c>
      <c r="M193" s="78" t="inlineStr">
        <is>
          <t>BAAY PROJECTS FINANCIALS 2024.xlsx</t>
        </is>
      </c>
      <c r="N193" s="78" t="inlineStr">
        <is>
          <t>MARCH TURNOVER</t>
        </is>
      </c>
      <c r="O193" s="78" t="n">
        <v>49</v>
      </c>
      <c r="P193" s="78" t="inlineStr">
        <is>
          <t>25/03/2024</t>
        </is>
      </c>
      <c r="Q193" s="78" t="inlineStr">
        <is>
          <t>TURNOVER SCHEDULE r174, MD r31</t>
        </is>
      </c>
      <c r="R193" s="78" t="n"/>
    </row>
    <row r="194" ht="25" customHeight="1">
      <c r="A194" s="75" t="inlineStr">
        <is>
          <t>SL0171</t>
        </is>
      </c>
      <c r="B194" s="76" t="n">
        <v>45376</v>
      </c>
      <c r="C194" s="75" t="inlineStr">
        <is>
          <t>2024-03</t>
        </is>
      </c>
      <c r="D194" s="75" t="n">
        <v>2024</v>
      </c>
      <c r="E194" s="75" t="inlineStr">
        <is>
          <t>Land</t>
        </is>
      </c>
      <c r="F194" s="75" t="inlineStr">
        <is>
          <t>Plot / unit price</t>
        </is>
      </c>
      <c r="G194" s="75" t="inlineStr">
        <is>
          <t>Green City Phase 2 (Ketu-Epe)</t>
        </is>
      </c>
      <c r="H194" s="75" t="inlineStr">
        <is>
          <t>BP-C0012</t>
        </is>
      </c>
      <c r="I194" s="75" t="inlineStr">
        <is>
          <t>Mr Apiafi Imiebam</t>
        </is>
      </c>
      <c r="J194" s="77" t="n">
        <v>1800000</v>
      </c>
      <c r="K194" s="75" t="inlineStr">
        <is>
          <t>Single register</t>
        </is>
      </c>
      <c r="L194" s="75" t="inlineStr">
        <is>
          <t>Primary: monthly turnover register</t>
        </is>
      </c>
      <c r="M194" s="75" t="inlineStr">
        <is>
          <t>BAAY PROJECTS FINANCIALS 2024.xlsx</t>
        </is>
      </c>
      <c r="N194" s="75" t="inlineStr">
        <is>
          <t>MARCH TURNOVER</t>
        </is>
      </c>
      <c r="O194" s="75" t="n">
        <v>50</v>
      </c>
      <c r="P194" s="75" t="inlineStr">
        <is>
          <t>25/03/2024</t>
        </is>
      </c>
      <c r="Q194" s="75" t="inlineStr">
        <is>
          <t>TURNOVER SCHEDULE r308, MS BLESSING r28</t>
        </is>
      </c>
      <c r="R194" s="75" t="n"/>
    </row>
    <row r="195" ht="25" customHeight="1">
      <c r="A195" s="78" t="inlineStr">
        <is>
          <t>SL0172</t>
        </is>
      </c>
      <c r="B195" s="79" t="n">
        <v>45376</v>
      </c>
      <c r="C195" s="78" t="inlineStr">
        <is>
          <t>2024-03</t>
        </is>
      </c>
      <c r="D195" s="78" t="n">
        <v>2024</v>
      </c>
      <c r="E195" s="78" t="inlineStr">
        <is>
          <t>Land</t>
        </is>
      </c>
      <c r="F195" s="78" t="inlineStr">
        <is>
          <t>Plot / unit price</t>
        </is>
      </c>
      <c r="G195" s="78" t="inlineStr">
        <is>
          <t>Green City Phase 2 (Ketu-Epe)</t>
        </is>
      </c>
      <c r="H195" s="78" t="inlineStr">
        <is>
          <t>BP-C0085</t>
        </is>
      </c>
      <c r="I195" s="78" t="inlineStr">
        <is>
          <t>Mr Ayokunu Adegbayemu</t>
        </is>
      </c>
      <c r="J195" s="80" t="n">
        <v>1430000</v>
      </c>
      <c r="K195" s="78" t="inlineStr">
        <is>
          <t>Single register</t>
        </is>
      </c>
      <c r="L195" s="78" t="inlineStr">
        <is>
          <t>Primary: monthly turnover register</t>
        </is>
      </c>
      <c r="M195" s="78" t="inlineStr">
        <is>
          <t>BAAY PROJECTS FINANCIALS 2024.xlsx</t>
        </is>
      </c>
      <c r="N195" s="78" t="inlineStr">
        <is>
          <t>MARCH TURNOVER</t>
        </is>
      </c>
      <c r="O195" s="78" t="n">
        <v>51</v>
      </c>
      <c r="P195" s="78" t="inlineStr">
        <is>
          <t>25/03/2024</t>
        </is>
      </c>
      <c r="Q195" s="78" t="n"/>
      <c r="R195" s="78" t="n"/>
    </row>
    <row r="196" ht="25" customHeight="1">
      <c r="A196" s="75" t="inlineStr">
        <is>
          <t>SL0173</t>
        </is>
      </c>
      <c r="B196" s="76" t="n">
        <v>45376</v>
      </c>
      <c r="C196" s="75" t="inlineStr">
        <is>
          <t>2024-03</t>
        </is>
      </c>
      <c r="D196" s="75" t="n">
        <v>2024</v>
      </c>
      <c r="E196" s="75" t="inlineStr">
        <is>
          <t>Land</t>
        </is>
      </c>
      <c r="F196" s="75" t="inlineStr">
        <is>
          <t>Plot / unit price</t>
        </is>
      </c>
      <c r="G196" s="75" t="inlineStr">
        <is>
          <t>Green City Phase 2 (Ketu-Epe)</t>
        </is>
      </c>
      <c r="H196" s="75" t="inlineStr">
        <is>
          <t>BP-C0017</t>
        </is>
      </c>
      <c r="I196" s="75" t="inlineStr">
        <is>
          <t>Mr John Taiwo Adeleye</t>
        </is>
      </c>
      <c r="J196" s="77" t="n">
        <v>1000000</v>
      </c>
      <c r="K196" s="75" t="inlineStr">
        <is>
          <t>Single register</t>
        </is>
      </c>
      <c r="L196" s="75" t="inlineStr">
        <is>
          <t>Primary: monthly turnover register</t>
        </is>
      </c>
      <c r="M196" s="75" t="inlineStr">
        <is>
          <t>BAAY PROJECTS FINANCIALS 2024.xlsx</t>
        </is>
      </c>
      <c r="N196" s="75" t="inlineStr">
        <is>
          <t>MARCH TURNOVER</t>
        </is>
      </c>
      <c r="O196" s="75" t="n">
        <v>52</v>
      </c>
      <c r="P196" s="75" t="inlineStr">
        <is>
          <t>25/03/2023</t>
        </is>
      </c>
      <c r="Q196" s="75" t="n"/>
      <c r="R196" s="75" t="inlineStr">
        <is>
          <t>Year typed as 2023 in source (25/03/2023); corrected to 2024 from the sheet month</t>
        </is>
      </c>
    </row>
    <row r="197" ht="25" customHeight="1">
      <c r="A197" s="78" t="inlineStr">
        <is>
          <t>SL0174</t>
        </is>
      </c>
      <c r="B197" s="79" t="n">
        <v>45377</v>
      </c>
      <c r="C197" s="78" t="inlineStr">
        <is>
          <t>2024-03</t>
        </is>
      </c>
      <c r="D197" s="78" t="n">
        <v>2024</v>
      </c>
      <c r="E197" s="78" t="inlineStr">
        <is>
          <t>Land</t>
        </is>
      </c>
      <c r="F197" s="78" t="inlineStr">
        <is>
          <t>Plot / unit price</t>
        </is>
      </c>
      <c r="G197" s="78" t="inlineStr">
        <is>
          <t>Green City Phase 1 (Lantaba, Ketu-Epe)</t>
        </is>
      </c>
      <c r="H197" s="78" t="inlineStr">
        <is>
          <t>BP-C0086</t>
        </is>
      </c>
      <c r="I197" s="78" t="inlineStr">
        <is>
          <t>Miss Nwobodo Miriam Chioma</t>
        </is>
      </c>
      <c r="J197" s="80" t="n">
        <v>3000000</v>
      </c>
      <c r="K197" s="78" t="inlineStr">
        <is>
          <t>Single register</t>
        </is>
      </c>
      <c r="L197" s="78" t="inlineStr">
        <is>
          <t>Primary: monthly turnover register</t>
        </is>
      </c>
      <c r="M197" s="78" t="inlineStr">
        <is>
          <t>BAAY PROJECTS FINANCIALS 2024.xlsx</t>
        </is>
      </c>
      <c r="N197" s="78" t="inlineStr">
        <is>
          <t>MARCH TURNOVER</t>
        </is>
      </c>
      <c r="O197" s="78" t="n">
        <v>54</v>
      </c>
      <c r="P197" s="78" t="inlineStr">
        <is>
          <t>26/03/2024</t>
        </is>
      </c>
      <c r="Q197" s="78" t="inlineStr">
        <is>
          <t>TURNOVER SCHEDULE r314, MD r9</t>
        </is>
      </c>
      <c r="R197" s="78" t="n"/>
    </row>
    <row r="198" ht="25" customHeight="1">
      <c r="A198" s="75" t="inlineStr">
        <is>
          <t>SL0175</t>
        </is>
      </c>
      <c r="B198" s="76" t="n">
        <v>45377</v>
      </c>
      <c r="C198" s="75" t="inlineStr">
        <is>
          <t>2024-03</t>
        </is>
      </c>
      <c r="D198" s="75" t="n">
        <v>2024</v>
      </c>
      <c r="E198" s="75" t="inlineStr">
        <is>
          <t>Land</t>
        </is>
      </c>
      <c r="F198" s="75" t="inlineStr">
        <is>
          <t>Plot / unit price</t>
        </is>
      </c>
      <c r="G198" s="75" t="inlineStr">
        <is>
          <t>Green City Phase 1 (Lantaba, Ketu-Epe)</t>
        </is>
      </c>
      <c r="H198" s="75" t="inlineStr">
        <is>
          <t>BP-C0046</t>
        </is>
      </c>
      <c r="I198" s="75" t="inlineStr">
        <is>
          <t>Mr Adesida Raphael</t>
        </is>
      </c>
      <c r="J198" s="77" t="n">
        <v>100000</v>
      </c>
      <c r="K198" s="75" t="inlineStr">
        <is>
          <t>Single register</t>
        </is>
      </c>
      <c r="L198" s="75" t="inlineStr">
        <is>
          <t>Primary: monthly turnover register</t>
        </is>
      </c>
      <c r="M198" s="75" t="inlineStr">
        <is>
          <t>BAAY PROJECTS FINANCIALS 2024.xlsx</t>
        </is>
      </c>
      <c r="N198" s="75" t="inlineStr">
        <is>
          <t>MARCH TURNOVER</t>
        </is>
      </c>
      <c r="O198" s="75" t="n">
        <v>55</v>
      </c>
      <c r="P198" s="75" t="inlineStr">
        <is>
          <t>26/03/2024</t>
        </is>
      </c>
      <c r="Q198" s="75" t="inlineStr">
        <is>
          <t>TURNOVER SCHEDULE r175, MD r32</t>
        </is>
      </c>
      <c r="R198" s="75" t="n"/>
    </row>
    <row r="199" ht="25" customHeight="1">
      <c r="A199" s="78" t="inlineStr">
        <is>
          <t>SL0176</t>
        </is>
      </c>
      <c r="B199" s="79" t="n">
        <v>45377</v>
      </c>
      <c r="C199" s="78" t="inlineStr">
        <is>
          <t>2024-03</t>
        </is>
      </c>
      <c r="D199" s="78" t="n">
        <v>2024</v>
      </c>
      <c r="E199" s="78" t="inlineStr">
        <is>
          <t>Land</t>
        </is>
      </c>
      <c r="F199" s="78" t="inlineStr">
        <is>
          <t>Plot / unit price</t>
        </is>
      </c>
      <c r="G199" s="78" t="inlineStr">
        <is>
          <t>Green City Phase 2 (Ketu-Epe)</t>
        </is>
      </c>
      <c r="H199" s="78" t="inlineStr">
        <is>
          <t>BP-C0076</t>
        </is>
      </c>
      <c r="I199" s="78" t="inlineStr">
        <is>
          <t>Ojo Ayomide Babatunde</t>
        </is>
      </c>
      <c r="J199" s="80" t="n">
        <v>3000000</v>
      </c>
      <c r="K199" s="78" t="inlineStr">
        <is>
          <t>Single register</t>
        </is>
      </c>
      <c r="L199" s="78" t="inlineStr">
        <is>
          <t>Primary: monthly turnover register</t>
        </is>
      </c>
      <c r="M199" s="78" t="inlineStr">
        <is>
          <t>BAAY PROJECTS FINANCIALS 2024.xlsx</t>
        </is>
      </c>
      <c r="N199" s="78" t="inlineStr">
        <is>
          <t>MARCH TURNOVER</t>
        </is>
      </c>
      <c r="O199" s="78" t="n">
        <v>53</v>
      </c>
      <c r="P199" s="78" t="inlineStr">
        <is>
          <t>26/03/2024</t>
        </is>
      </c>
      <c r="Q199" s="78" t="inlineStr">
        <is>
          <t>TURNOVER SCHEDULE r256</t>
        </is>
      </c>
      <c r="R199" s="78" t="n"/>
    </row>
    <row r="200" ht="25" customHeight="1">
      <c r="A200" s="75" t="inlineStr">
        <is>
          <t>SL0177</t>
        </is>
      </c>
      <c r="B200" s="76" t="n">
        <v>45379</v>
      </c>
      <c r="C200" s="75" t="inlineStr">
        <is>
          <t>2024-03</t>
        </is>
      </c>
      <c r="D200" s="75" t="n">
        <v>2024</v>
      </c>
      <c r="E200" s="75" t="inlineStr">
        <is>
          <t>Land</t>
        </is>
      </c>
      <c r="F200" s="75" t="inlineStr">
        <is>
          <t>Plot / unit price</t>
        </is>
      </c>
      <c r="G200" s="75" t="inlineStr">
        <is>
          <t>Green City Phase 2 (Ketu-Epe)</t>
        </is>
      </c>
      <c r="H200" s="75" t="inlineStr">
        <is>
          <t>BP-C0068</t>
        </is>
      </c>
      <c r="I200" s="75" t="inlineStr">
        <is>
          <t>Miss Ebhotah Sharon Aisosa</t>
        </is>
      </c>
      <c r="J200" s="77" t="n">
        <v>500000</v>
      </c>
      <c r="K200" s="75" t="inlineStr">
        <is>
          <t>Single register</t>
        </is>
      </c>
      <c r="L200" s="75" t="inlineStr">
        <is>
          <t>Primary: monthly turnover register</t>
        </is>
      </c>
      <c r="M200" s="75" t="inlineStr">
        <is>
          <t>BAAY PROJECTS FINANCIALS 2024.xlsx</t>
        </is>
      </c>
      <c r="N200" s="75" t="inlineStr">
        <is>
          <t>MARCH TURNOVER</t>
        </is>
      </c>
      <c r="O200" s="75" t="n">
        <v>57</v>
      </c>
      <c r="P200" s="75" t="inlineStr">
        <is>
          <t>28/03/2024</t>
        </is>
      </c>
      <c r="Q200" s="75" t="inlineStr">
        <is>
          <t>TURNOVER SCHEDULE r259</t>
        </is>
      </c>
      <c r="R200" s="75" t="n"/>
    </row>
    <row r="201" ht="25" customHeight="1">
      <c r="A201" s="78" t="inlineStr">
        <is>
          <t>SL0178</t>
        </is>
      </c>
      <c r="B201" s="79" t="n">
        <v>45379</v>
      </c>
      <c r="C201" s="78" t="inlineStr">
        <is>
          <t>2024-03</t>
        </is>
      </c>
      <c r="D201" s="78" t="n">
        <v>2024</v>
      </c>
      <c r="E201" s="78" t="inlineStr">
        <is>
          <t>Land</t>
        </is>
      </c>
      <c r="F201" s="78" t="inlineStr">
        <is>
          <t>Plot / unit price</t>
        </is>
      </c>
      <c r="G201" s="78" t="inlineStr">
        <is>
          <t>Green City Phase 2 (Ketu-Epe)</t>
        </is>
      </c>
      <c r="H201" s="78" t="inlineStr">
        <is>
          <t>BP-C0066</t>
        </is>
      </c>
      <c r="I201" s="78" t="inlineStr">
        <is>
          <t>Omosanya Dotun Akeju</t>
        </is>
      </c>
      <c r="J201" s="80" t="n">
        <v>850000</v>
      </c>
      <c r="K201" s="78" t="inlineStr">
        <is>
          <t>Single register</t>
        </is>
      </c>
      <c r="L201" s="78" t="inlineStr">
        <is>
          <t>Primary: monthly turnover register</t>
        </is>
      </c>
      <c r="M201" s="78" t="inlineStr">
        <is>
          <t>BAAY PROJECTS FINANCIALS 2024.xlsx</t>
        </is>
      </c>
      <c r="N201" s="78" t="inlineStr">
        <is>
          <t>MARCH TURNOVER</t>
        </is>
      </c>
      <c r="O201" s="78" t="n">
        <v>56</v>
      </c>
      <c r="P201" s="78" t="inlineStr">
        <is>
          <t>28/03/2024</t>
        </is>
      </c>
      <c r="Q201" s="78" t="inlineStr">
        <is>
          <t>TURNOVER SCHEDULE r218, MS BOLANLE r36, MS BLESSING OJI r7</t>
        </is>
      </c>
      <c r="R201" s="78" t="n"/>
    </row>
    <row r="202" ht="25" customHeight="1">
      <c r="A202" s="75" t="inlineStr">
        <is>
          <t>SL0179</t>
        </is>
      </c>
      <c r="B202" s="76" t="n">
        <v>45381</v>
      </c>
      <c r="C202" s="75" t="inlineStr">
        <is>
          <t>2024-03</t>
        </is>
      </c>
      <c r="D202" s="75" t="n">
        <v>2024</v>
      </c>
      <c r="E202" s="75" t="inlineStr">
        <is>
          <t>Land</t>
        </is>
      </c>
      <c r="F202" s="75" t="inlineStr">
        <is>
          <t>Plot / unit price</t>
        </is>
      </c>
      <c r="G202" s="75" t="inlineStr">
        <is>
          <t>Green City Phase 1 (Lantaba, Ketu-Epe)</t>
        </is>
      </c>
      <c r="H202" s="75" t="inlineStr">
        <is>
          <t>BP-C0027</t>
        </is>
      </c>
      <c r="I202" s="75" t="inlineStr">
        <is>
          <t>Mr Edun Ayobami Simeon</t>
        </is>
      </c>
      <c r="J202" s="77" t="n">
        <v>700000</v>
      </c>
      <c r="K202" s="75" t="inlineStr">
        <is>
          <t>Single register</t>
        </is>
      </c>
      <c r="L202" s="75" t="inlineStr">
        <is>
          <t>Primary: monthly turnover register</t>
        </is>
      </c>
      <c r="M202" s="75" t="inlineStr">
        <is>
          <t>BAAY PROJECTS FINANCIALS 2024.xlsx</t>
        </is>
      </c>
      <c r="N202" s="75" t="inlineStr">
        <is>
          <t>MARCH TURNOVER</t>
        </is>
      </c>
      <c r="O202" s="75" t="n">
        <v>61</v>
      </c>
      <c r="P202" s="75" t="inlineStr">
        <is>
          <t>30/03/2024</t>
        </is>
      </c>
      <c r="Q202" s="75" t="inlineStr">
        <is>
          <t>TURNOVER SCHEDULE r131, MRS ABIMBOLA r81</t>
        </is>
      </c>
      <c r="R202" s="75" t="n"/>
    </row>
    <row r="203" ht="25" customHeight="1">
      <c r="A203" s="78" t="inlineStr">
        <is>
          <t>SL0180</t>
        </is>
      </c>
      <c r="B203" s="79" t="n">
        <v>45381</v>
      </c>
      <c r="C203" s="78" t="inlineStr">
        <is>
          <t>2024-03</t>
        </is>
      </c>
      <c r="D203" s="78" t="n">
        <v>2024</v>
      </c>
      <c r="E203" s="78" t="inlineStr">
        <is>
          <t>Land</t>
        </is>
      </c>
      <c r="F203" s="78" t="inlineStr">
        <is>
          <t>Plot / unit price</t>
        </is>
      </c>
      <c r="G203" s="78" t="inlineStr">
        <is>
          <t>Green City Phase 1 (Lantaba, Ketu-Epe)</t>
        </is>
      </c>
      <c r="H203" s="78" t="inlineStr">
        <is>
          <t>BP-C0029</t>
        </is>
      </c>
      <c r="I203" s="78" t="inlineStr">
        <is>
          <t>Mr Ohanehi Anthony Patrick</t>
        </is>
      </c>
      <c r="J203" s="80" t="n">
        <v>1500000</v>
      </c>
      <c r="K203" s="78" t="inlineStr">
        <is>
          <t>Single register</t>
        </is>
      </c>
      <c r="L203" s="78" t="inlineStr">
        <is>
          <t>Primary: monthly turnover register</t>
        </is>
      </c>
      <c r="M203" s="78" t="inlineStr">
        <is>
          <t>BAAY PROJECTS FINANCIALS 2024.xlsx</t>
        </is>
      </c>
      <c r="N203" s="78" t="inlineStr">
        <is>
          <t>MARCH TURNOVER</t>
        </is>
      </c>
      <c r="O203" s="78" t="n">
        <v>60</v>
      </c>
      <c r="P203" s="78" t="inlineStr">
        <is>
          <t>30/03/2024</t>
        </is>
      </c>
      <c r="Q203" s="78" t="inlineStr">
        <is>
          <t>TURNOVER SCHEDULE r22, MS IMMACULATE r24</t>
        </is>
      </c>
      <c r="R203" s="78" t="n"/>
    </row>
    <row r="204" ht="25" customHeight="1">
      <c r="A204" s="75" t="inlineStr">
        <is>
          <t>SL0181</t>
        </is>
      </c>
      <c r="B204" s="76" t="n">
        <v>45381</v>
      </c>
      <c r="C204" s="75" t="inlineStr">
        <is>
          <t>2024-03</t>
        </is>
      </c>
      <c r="D204" s="75" t="n">
        <v>2024</v>
      </c>
      <c r="E204" s="75" t="inlineStr">
        <is>
          <t>Land</t>
        </is>
      </c>
      <c r="F204" s="75" t="inlineStr">
        <is>
          <t>Plot / unit price</t>
        </is>
      </c>
      <c r="G204" s="75" t="inlineStr">
        <is>
          <t>Green City Phase 2 (Ketu-Epe)</t>
        </is>
      </c>
      <c r="H204" s="75" t="inlineStr">
        <is>
          <t>BP-C0075</t>
        </is>
      </c>
      <c r="I204" s="75" t="inlineStr">
        <is>
          <t>Ogidan Funmilayo</t>
        </is>
      </c>
      <c r="J204" s="77" t="n">
        <v>700000</v>
      </c>
      <c r="K204" s="75" t="inlineStr">
        <is>
          <t>Single register</t>
        </is>
      </c>
      <c r="L204" s="75" t="inlineStr">
        <is>
          <t>Primary: monthly turnover register</t>
        </is>
      </c>
      <c r="M204" s="75" t="inlineStr">
        <is>
          <t>BAAY PROJECTS FINANCIALS 2024.xlsx</t>
        </is>
      </c>
      <c r="N204" s="75" t="inlineStr">
        <is>
          <t>MARCH TURNOVER</t>
        </is>
      </c>
      <c r="O204" s="75" t="n">
        <v>59</v>
      </c>
      <c r="P204" s="75" t="inlineStr">
        <is>
          <t>30/03/2024</t>
        </is>
      </c>
      <c r="Q204" s="75" t="inlineStr">
        <is>
          <t>TURNOVER SCHEDULE r270, OGIDAN r3</t>
        </is>
      </c>
      <c r="R204" s="75" t="n"/>
    </row>
    <row r="205" ht="25" customHeight="1">
      <c r="A205" s="78" t="inlineStr">
        <is>
          <t>SL0182</t>
        </is>
      </c>
      <c r="B205" s="79" t="n">
        <v>45382</v>
      </c>
      <c r="C205" s="78" t="inlineStr">
        <is>
          <t>2024-03</t>
        </is>
      </c>
      <c r="D205" s="78" t="n">
        <v>2024</v>
      </c>
      <c r="E205" s="78" t="inlineStr">
        <is>
          <t>Land</t>
        </is>
      </c>
      <c r="F205" s="78" t="inlineStr">
        <is>
          <t>Plot / unit price</t>
        </is>
      </c>
      <c r="G205" s="78" t="inlineStr">
        <is>
          <t>Green City Phase 2 (Ketu-Epe)</t>
        </is>
      </c>
      <c r="H205" s="78" t="inlineStr">
        <is>
          <t>BP-C0082</t>
        </is>
      </c>
      <c r="I205" s="78" t="inlineStr">
        <is>
          <t>Mrs Olarewaju Remilekun Mary</t>
        </is>
      </c>
      <c r="J205" s="80" t="n">
        <v>500000</v>
      </c>
      <c r="K205" s="78" t="inlineStr">
        <is>
          <t>Single register</t>
        </is>
      </c>
      <c r="L205" s="78" t="inlineStr">
        <is>
          <t>Primary: monthly turnover register</t>
        </is>
      </c>
      <c r="M205" s="78" t="inlineStr">
        <is>
          <t>BAAY PROJECTS FINANCIALS 2024.xlsx</t>
        </is>
      </c>
      <c r="N205" s="78" t="inlineStr">
        <is>
          <t>MARCH TURNOVER</t>
        </is>
      </c>
      <c r="O205" s="78" t="n">
        <v>62</v>
      </c>
      <c r="P205" s="78" t="inlineStr">
        <is>
          <t>31/03/2024</t>
        </is>
      </c>
      <c r="Q205" s="78" t="inlineStr">
        <is>
          <t>TURNOVER SCHEDULE r320</t>
        </is>
      </c>
      <c r="R205" s="78" t="n"/>
    </row>
    <row r="206" ht="25" customHeight="1">
      <c r="A206" s="75" t="inlineStr">
        <is>
          <t>SL0183</t>
        </is>
      </c>
      <c r="B206" s="76" t="n">
        <v>45383</v>
      </c>
      <c r="C206" s="75" t="inlineStr">
        <is>
          <t>2024-04</t>
        </is>
      </c>
      <c r="D206" s="75" t="n">
        <v>2024</v>
      </c>
      <c r="E206" s="75" t="inlineStr">
        <is>
          <t>Land</t>
        </is>
      </c>
      <c r="F206" s="75" t="inlineStr">
        <is>
          <t>Plot / unit price</t>
        </is>
      </c>
      <c r="G206" s="75" t="inlineStr">
        <is>
          <t>Green City Phase 2 (Ketu-Epe)</t>
        </is>
      </c>
      <c r="H206" s="75" t="inlineStr">
        <is>
          <t>BP-C0051</t>
        </is>
      </c>
      <c r="I206" s="75" t="inlineStr">
        <is>
          <t>Mr Ogunleye Olumide Victor</t>
        </is>
      </c>
      <c r="J206" s="77" t="n">
        <v>250000</v>
      </c>
      <c r="K206" s="75" t="inlineStr">
        <is>
          <t>Single register</t>
        </is>
      </c>
      <c r="L206" s="75" t="inlineStr">
        <is>
          <t>Primary: monthly turnover register</t>
        </is>
      </c>
      <c r="M206" s="75" t="inlineStr">
        <is>
          <t>BAAY PROJECTS FINANCIALS 2024.xlsx</t>
        </is>
      </c>
      <c r="N206" s="75" t="inlineStr">
        <is>
          <t>APRIL TURNOVER</t>
        </is>
      </c>
      <c r="O206" s="75" t="n">
        <v>6</v>
      </c>
      <c r="P206" s="75" t="inlineStr">
        <is>
          <t>2024-01-04</t>
        </is>
      </c>
      <c r="Q206" s="75" t="inlineStr">
        <is>
          <t>TURNOVER SCHEDULE r45</t>
        </is>
      </c>
      <c r="R206" s="75" t="n"/>
    </row>
    <row r="207" ht="25" customHeight="1">
      <c r="A207" s="78" t="inlineStr">
        <is>
          <t>SL0184</t>
        </is>
      </c>
      <c r="B207" s="79" t="n">
        <v>45383</v>
      </c>
      <c r="C207" s="78" t="inlineStr">
        <is>
          <t>2024-04</t>
        </is>
      </c>
      <c r="D207" s="78" t="n">
        <v>2024</v>
      </c>
      <c r="E207" s="78" t="inlineStr">
        <is>
          <t>Land</t>
        </is>
      </c>
      <c r="F207" s="78" t="inlineStr">
        <is>
          <t>Plot / unit price</t>
        </is>
      </c>
      <c r="G207" s="78" t="inlineStr">
        <is>
          <t>Green City Phase 1 (Lantaba, Ketu-Epe)</t>
        </is>
      </c>
      <c r="H207" s="78" t="inlineStr">
        <is>
          <t>BP-C0051</t>
        </is>
      </c>
      <c r="I207" s="78" t="inlineStr">
        <is>
          <t>Mr Ogunleye Olumide Victor</t>
        </is>
      </c>
      <c r="J207" s="80" t="n">
        <v>200000</v>
      </c>
      <c r="K207" s="78" t="inlineStr">
        <is>
          <t>Single register</t>
        </is>
      </c>
      <c r="L207" s="78" t="inlineStr">
        <is>
          <t>Primary: monthly turnover register</t>
        </is>
      </c>
      <c r="M207" s="78" t="inlineStr">
        <is>
          <t>BAAY PROJECTS FINANCIALS 2024.xlsx</t>
        </is>
      </c>
      <c r="N207" s="78" t="inlineStr">
        <is>
          <t>APRIL TURNOVER</t>
        </is>
      </c>
      <c r="O207" s="78" t="n">
        <v>7</v>
      </c>
      <c r="P207" s="78" t="inlineStr">
        <is>
          <t>2024-01-04</t>
        </is>
      </c>
      <c r="Q207" s="78" t="inlineStr">
        <is>
          <t>TURNOVER SCHEDULE r52</t>
        </is>
      </c>
      <c r="R207" s="78" t="n"/>
    </row>
    <row r="208" ht="25" customHeight="1">
      <c r="A208" s="75" t="inlineStr">
        <is>
          <t>SL0185</t>
        </is>
      </c>
      <c r="B208" s="76" t="n">
        <v>45383</v>
      </c>
      <c r="C208" s="75" t="inlineStr">
        <is>
          <t>2024-04</t>
        </is>
      </c>
      <c r="D208" s="75" t="n">
        <v>2024</v>
      </c>
      <c r="E208" s="75" t="inlineStr">
        <is>
          <t>Land</t>
        </is>
      </c>
      <c r="F208" s="75" t="inlineStr">
        <is>
          <t>Plot / unit price</t>
        </is>
      </c>
      <c r="G208" s="75" t="inlineStr">
        <is>
          <t>Green City Phase 2 (Ketu-Epe)</t>
        </is>
      </c>
      <c r="H208" s="75" t="inlineStr">
        <is>
          <t>BP-C0029</t>
        </is>
      </c>
      <c r="I208" s="75" t="inlineStr">
        <is>
          <t>Mr Ohanehi Anthony Patrick</t>
        </is>
      </c>
      <c r="J208" s="77" t="n">
        <v>500000</v>
      </c>
      <c r="K208" s="75" t="inlineStr">
        <is>
          <t>Single register</t>
        </is>
      </c>
      <c r="L208" s="75" t="inlineStr">
        <is>
          <t>Primary: monthly turnover register</t>
        </is>
      </c>
      <c r="M208" s="75" t="inlineStr">
        <is>
          <t>BAAY PROJECTS FINANCIALS 2024.xlsx</t>
        </is>
      </c>
      <c r="N208" s="75" t="inlineStr">
        <is>
          <t>APRIL TURNOVER</t>
        </is>
      </c>
      <c r="O208" s="75" t="n">
        <v>8</v>
      </c>
      <c r="P208" s="75" t="inlineStr">
        <is>
          <t>2024-01-04</t>
        </is>
      </c>
      <c r="Q208" s="75" t="inlineStr">
        <is>
          <t>TURNOVER SCHEDULE r337, IDAH MARYDAVID r2</t>
        </is>
      </c>
      <c r="R208" s="75" t="n"/>
    </row>
    <row r="209" ht="25" customHeight="1">
      <c r="A209" s="78" t="inlineStr">
        <is>
          <t>SL0186</t>
        </is>
      </c>
      <c r="B209" s="79" t="n">
        <v>45384</v>
      </c>
      <c r="C209" s="78" t="inlineStr">
        <is>
          <t>2024-04</t>
        </is>
      </c>
      <c r="D209" s="78" t="n">
        <v>2024</v>
      </c>
      <c r="E209" s="78" t="inlineStr">
        <is>
          <t>Land</t>
        </is>
      </c>
      <c r="F209" s="78" t="inlineStr">
        <is>
          <t>Plot / unit price</t>
        </is>
      </c>
      <c r="G209" s="78" t="inlineStr">
        <is>
          <t>Green City Phase 1 (Lantaba, Ketu-Epe)</t>
        </is>
      </c>
      <c r="H209" s="78" t="inlineStr">
        <is>
          <t>BP-C0054</t>
        </is>
      </c>
      <c r="I209" s="78" t="inlineStr">
        <is>
          <t>Mr Ademola Adeniyi</t>
        </is>
      </c>
      <c r="J209" s="80" t="n">
        <v>2000000</v>
      </c>
      <c r="K209" s="78" t="inlineStr">
        <is>
          <t>Single register</t>
        </is>
      </c>
      <c r="L209" s="78" t="inlineStr">
        <is>
          <t>Primary: monthly turnover register</t>
        </is>
      </c>
      <c r="M209" s="78" t="inlineStr">
        <is>
          <t>BAAY PROJECTS FINANCIALS 2024.xlsx</t>
        </is>
      </c>
      <c r="N209" s="78" t="inlineStr">
        <is>
          <t>APRIL TURNOVER</t>
        </is>
      </c>
      <c r="O209" s="78" t="n">
        <v>9</v>
      </c>
      <c r="P209" s="78" t="inlineStr">
        <is>
          <t>2024-02-04</t>
        </is>
      </c>
      <c r="Q209" s="78" t="inlineStr">
        <is>
          <t>MRS ABIMBOLA r50</t>
        </is>
      </c>
      <c r="R209" s="78" t="n"/>
    </row>
    <row r="210" ht="25" customHeight="1">
      <c r="A210" s="75" t="inlineStr">
        <is>
          <t>SL0187</t>
        </is>
      </c>
      <c r="B210" s="76" t="n">
        <v>45384</v>
      </c>
      <c r="C210" s="75" t="inlineStr">
        <is>
          <t>2024-04</t>
        </is>
      </c>
      <c r="D210" s="75" t="n">
        <v>2024</v>
      </c>
      <c r="E210" s="75" t="inlineStr">
        <is>
          <t>Land</t>
        </is>
      </c>
      <c r="F210" s="75" t="inlineStr">
        <is>
          <t>Plot / unit price</t>
        </is>
      </c>
      <c r="G210" s="75" t="inlineStr">
        <is>
          <t>Green City Phase 1 (Lantaba, Ketu-Epe)</t>
        </is>
      </c>
      <c r="H210" s="75" t="inlineStr">
        <is>
          <t>BP-C0044</t>
        </is>
      </c>
      <c r="I210" s="75" t="inlineStr">
        <is>
          <t>Mr Babajide Oluwase</t>
        </is>
      </c>
      <c r="J210" s="77" t="n">
        <v>585000</v>
      </c>
      <c r="K210" s="75" t="inlineStr">
        <is>
          <t>Single register</t>
        </is>
      </c>
      <c r="L210" s="75" t="inlineStr">
        <is>
          <t>Primary: monthly turnover register</t>
        </is>
      </c>
      <c r="M210" s="75" t="inlineStr">
        <is>
          <t>BAAY PROJECTS FINANCIALS 2024.xlsx</t>
        </is>
      </c>
      <c r="N210" s="75" t="inlineStr">
        <is>
          <t>APRIL TURNOVER</t>
        </is>
      </c>
      <c r="O210" s="75" t="n">
        <v>10</v>
      </c>
      <c r="P210" s="75" t="inlineStr">
        <is>
          <t>2024-02-04</t>
        </is>
      </c>
      <c r="Q210" s="75" t="inlineStr">
        <is>
          <t>MD r28</t>
        </is>
      </c>
      <c r="R210" s="75" t="n"/>
    </row>
    <row r="211" ht="25" customHeight="1">
      <c r="A211" s="78" t="inlineStr">
        <is>
          <t>SL0188</t>
        </is>
      </c>
      <c r="B211" s="79" t="n">
        <v>45385</v>
      </c>
      <c r="C211" s="78" t="inlineStr">
        <is>
          <t>2024-04</t>
        </is>
      </c>
      <c r="D211" s="78" t="n">
        <v>2024</v>
      </c>
      <c r="E211" s="78" t="inlineStr">
        <is>
          <t>Land</t>
        </is>
      </c>
      <c r="F211" s="78" t="inlineStr">
        <is>
          <t>Plot / unit price</t>
        </is>
      </c>
      <c r="G211" s="78" t="inlineStr">
        <is>
          <t>Green City Phase 2 (Ketu-Epe)</t>
        </is>
      </c>
      <c r="H211" s="78" t="inlineStr">
        <is>
          <t>BP-C0087</t>
        </is>
      </c>
      <c r="I211" s="78" t="inlineStr">
        <is>
          <t>Mr Okeme Danjuma</t>
        </is>
      </c>
      <c r="J211" s="80" t="n">
        <v>1000000</v>
      </c>
      <c r="K211" s="78" t="inlineStr">
        <is>
          <t>Single register</t>
        </is>
      </c>
      <c r="L211" s="78" t="inlineStr">
        <is>
          <t>Primary: monthly turnover register</t>
        </is>
      </c>
      <c r="M211" s="78" t="inlineStr">
        <is>
          <t>BAAY PROJECTS FINANCIALS 2024.xlsx</t>
        </is>
      </c>
      <c r="N211" s="78" t="inlineStr">
        <is>
          <t>APRIL TURNOVER</t>
        </is>
      </c>
      <c r="O211" s="78" t="n">
        <v>13</v>
      </c>
      <c r="P211" s="78" t="inlineStr">
        <is>
          <t>2024-03-04</t>
        </is>
      </c>
      <c r="Q211" s="78" t="inlineStr">
        <is>
          <t>TURNOVER SCHEDULE r344, FESTUS r2</t>
        </is>
      </c>
      <c r="R211" s="78" t="n"/>
    </row>
    <row r="212" ht="25" customHeight="1">
      <c r="A212" s="75" t="inlineStr">
        <is>
          <t>SL0189</t>
        </is>
      </c>
      <c r="B212" s="76" t="n">
        <v>45385</v>
      </c>
      <c r="C212" s="75" t="inlineStr">
        <is>
          <t>2024-04</t>
        </is>
      </c>
      <c r="D212" s="75" t="n">
        <v>2024</v>
      </c>
      <c r="E212" s="75" t="inlineStr">
        <is>
          <t>Land</t>
        </is>
      </c>
      <c r="F212" s="75" t="inlineStr">
        <is>
          <t>Plot / unit price</t>
        </is>
      </c>
      <c r="G212" s="75" t="inlineStr">
        <is>
          <t>Green City Phase 1 (Lantaba, Ketu-Epe)</t>
        </is>
      </c>
      <c r="H212" s="75" t="inlineStr">
        <is>
          <t>BP-C0078</t>
        </is>
      </c>
      <c r="I212" s="75" t="inlineStr">
        <is>
          <t>Ms Bingham Kendra</t>
        </is>
      </c>
      <c r="J212" s="77" t="n">
        <v>2000000</v>
      </c>
      <c r="K212" s="75" t="inlineStr">
        <is>
          <t>Single register</t>
        </is>
      </c>
      <c r="L212" s="75" t="inlineStr">
        <is>
          <t>Primary: monthly turnover register</t>
        </is>
      </c>
      <c r="M212" s="75" t="inlineStr">
        <is>
          <t>BAAY PROJECTS FINANCIALS 2024.xlsx</t>
        </is>
      </c>
      <c r="N212" s="75" t="inlineStr">
        <is>
          <t>APRIL TURNOVER</t>
        </is>
      </c>
      <c r="O212" s="75" t="n">
        <v>11</v>
      </c>
      <c r="P212" s="75" t="inlineStr">
        <is>
          <t>2024-03-04</t>
        </is>
      </c>
      <c r="Q212" s="75" t="inlineStr">
        <is>
          <t>TURNOVER SCHEDULE r241, MRS ABIMBOLA r51</t>
        </is>
      </c>
      <c r="R212" s="75" t="n"/>
    </row>
    <row r="213" ht="25" customHeight="1">
      <c r="A213" s="78" t="inlineStr">
        <is>
          <t>SL0190</t>
        </is>
      </c>
      <c r="B213" s="79" t="n">
        <v>45385</v>
      </c>
      <c r="C213" s="78" t="inlineStr">
        <is>
          <t>2024-04</t>
        </is>
      </c>
      <c r="D213" s="78" t="n">
        <v>2024</v>
      </c>
      <c r="E213" s="78" t="inlineStr">
        <is>
          <t>Land</t>
        </is>
      </c>
      <c r="F213" s="78" t="inlineStr">
        <is>
          <t>Plot / unit price</t>
        </is>
      </c>
      <c r="G213" s="78" t="inlineStr">
        <is>
          <t>Green City Phase 2 (Ketu-Epe)</t>
        </is>
      </c>
      <c r="H213" s="78" t="inlineStr">
        <is>
          <t>BP-C0078</t>
        </is>
      </c>
      <c r="I213" s="78" t="inlineStr">
        <is>
          <t>Ms Bingham Kendra</t>
        </is>
      </c>
      <c r="J213" s="80" t="n">
        <v>2000000</v>
      </c>
      <c r="K213" s="78" t="inlineStr">
        <is>
          <t>Single register</t>
        </is>
      </c>
      <c r="L213" s="78" t="inlineStr">
        <is>
          <t>Primary: monthly turnover register</t>
        </is>
      </c>
      <c r="M213" s="78" t="inlineStr">
        <is>
          <t>BAAY PROJECTS FINANCIALS 2024.xlsx</t>
        </is>
      </c>
      <c r="N213" s="78" t="inlineStr">
        <is>
          <t>APRIL TURNOVER</t>
        </is>
      </c>
      <c r="O213" s="78" t="n">
        <v>12</v>
      </c>
      <c r="P213" s="78" t="inlineStr">
        <is>
          <t>2024-03-04</t>
        </is>
      </c>
      <c r="Q213" s="78" t="inlineStr">
        <is>
          <t>TURNOVER SCHEDULE r246</t>
        </is>
      </c>
      <c r="R213" s="78" t="n"/>
    </row>
    <row r="214" ht="25" customHeight="1">
      <c r="A214" s="75" t="inlineStr">
        <is>
          <t>SL0191</t>
        </is>
      </c>
      <c r="B214" s="76" t="n">
        <v>45386</v>
      </c>
      <c r="C214" s="75" t="inlineStr">
        <is>
          <t>2024-04</t>
        </is>
      </c>
      <c r="D214" s="75" t="n">
        <v>2024</v>
      </c>
      <c r="E214" s="75" t="inlineStr">
        <is>
          <t>Land</t>
        </is>
      </c>
      <c r="F214" s="75" t="inlineStr">
        <is>
          <t>Plot / unit price</t>
        </is>
      </c>
      <c r="G214" s="75" t="inlineStr">
        <is>
          <t>Green City Phase 2 (Ketu-Epe)</t>
        </is>
      </c>
      <c r="H214" s="75" t="inlineStr">
        <is>
          <t>BP-C0081</t>
        </is>
      </c>
      <c r="I214" s="75" t="inlineStr">
        <is>
          <t>Mr Ukachi Godfrey</t>
        </is>
      </c>
      <c r="J214" s="77" t="n">
        <v>500000</v>
      </c>
      <c r="K214" s="75" t="inlineStr">
        <is>
          <t>Single register</t>
        </is>
      </c>
      <c r="L214" s="75" t="inlineStr">
        <is>
          <t>Primary: monthly turnover register</t>
        </is>
      </c>
      <c r="M214" s="75" t="inlineStr">
        <is>
          <t>BAAY PROJECTS FINANCIALS 2024.xlsx</t>
        </is>
      </c>
      <c r="N214" s="75" t="inlineStr">
        <is>
          <t>APRIL TURNOVER</t>
        </is>
      </c>
      <c r="O214" s="75" t="n">
        <v>14</v>
      </c>
      <c r="P214" s="75" t="inlineStr">
        <is>
          <t>2024-04-04</t>
        </is>
      </c>
      <c r="Q214" s="75" t="inlineStr">
        <is>
          <t>TURNOVER SCHEDULE r277, MS FEYI r4</t>
        </is>
      </c>
      <c r="R214" s="75" t="n"/>
    </row>
    <row r="215" ht="25" customHeight="1">
      <c r="A215" s="78" t="inlineStr">
        <is>
          <t>SL0192</t>
        </is>
      </c>
      <c r="B215" s="79" t="n">
        <v>45391</v>
      </c>
      <c r="C215" s="78" t="inlineStr">
        <is>
          <t>2024-04</t>
        </is>
      </c>
      <c r="D215" s="78" t="n">
        <v>2024</v>
      </c>
      <c r="E215" s="78" t="inlineStr">
        <is>
          <t>Land</t>
        </is>
      </c>
      <c r="F215" s="78" t="inlineStr">
        <is>
          <t>Plot / unit price</t>
        </is>
      </c>
      <c r="G215" s="78" t="inlineStr">
        <is>
          <t>Green City Phase 1 (Lantaba, Ketu-Epe)</t>
        </is>
      </c>
      <c r="H215" s="78" t="inlineStr">
        <is>
          <t>BP-C0086</t>
        </is>
      </c>
      <c r="I215" s="78" t="inlineStr">
        <is>
          <t>Miss Nwobodo Miriam Chioma</t>
        </is>
      </c>
      <c r="J215" s="80" t="n">
        <v>500000</v>
      </c>
      <c r="K215" s="78" t="inlineStr">
        <is>
          <t>Single register</t>
        </is>
      </c>
      <c r="L215" s="78" t="inlineStr">
        <is>
          <t>Primary: monthly turnover register</t>
        </is>
      </c>
      <c r="M215" s="78" t="inlineStr">
        <is>
          <t>BAAY PROJECTS FINANCIALS 2024.xlsx</t>
        </is>
      </c>
      <c r="N215" s="78" t="inlineStr">
        <is>
          <t>APRIL TURNOVER</t>
        </is>
      </c>
      <c r="O215" s="78" t="n">
        <v>15</v>
      </c>
      <c r="P215" s="78" t="inlineStr">
        <is>
          <t>2024-09-04</t>
        </is>
      </c>
      <c r="Q215" s="78" t="inlineStr">
        <is>
          <t>TURNOVER SCHEDULE r315, MD r18</t>
        </is>
      </c>
      <c r="R215" s="78" t="n"/>
    </row>
    <row r="216" ht="25" customHeight="1">
      <c r="A216" s="75" t="inlineStr">
        <is>
          <t>SL0193</t>
        </is>
      </c>
      <c r="B216" s="76" t="n">
        <v>45391</v>
      </c>
      <c r="C216" s="75" t="inlineStr">
        <is>
          <t>2024-04</t>
        </is>
      </c>
      <c r="D216" s="75" t="n">
        <v>2024</v>
      </c>
      <c r="E216" s="75" t="inlineStr">
        <is>
          <t>Land</t>
        </is>
      </c>
      <c r="F216" s="75" t="inlineStr">
        <is>
          <t>Plot / unit price</t>
        </is>
      </c>
      <c r="G216" s="75" t="inlineStr">
        <is>
          <t>Green City Phase 2 (Ketu-Epe)</t>
        </is>
      </c>
      <c r="H216" s="75" t="inlineStr">
        <is>
          <t>BP-C0009</t>
        </is>
      </c>
      <c r="I216" s="75" t="inlineStr">
        <is>
          <t>Miss Oji Blessing Mary</t>
        </is>
      </c>
      <c r="J216" s="77" t="n">
        <v>1000000</v>
      </c>
      <c r="K216" s="75" t="inlineStr">
        <is>
          <t>Single register</t>
        </is>
      </c>
      <c r="L216" s="75" t="inlineStr">
        <is>
          <t>Primary: monthly turnover register</t>
        </is>
      </c>
      <c r="M216" s="75" t="inlineStr">
        <is>
          <t>BAAY PROJECTS FINANCIALS 2024.xlsx</t>
        </is>
      </c>
      <c r="N216" s="75" t="inlineStr">
        <is>
          <t>APRIL TURNOVER</t>
        </is>
      </c>
      <c r="O216" s="75" t="n">
        <v>18</v>
      </c>
      <c r="P216" s="75" t="inlineStr">
        <is>
          <t>2024-09-04</t>
        </is>
      </c>
      <c r="Q216" s="75" t="inlineStr">
        <is>
          <t>TURNOVER SCHEDULE r114</t>
        </is>
      </c>
      <c r="R216" s="75" t="n"/>
    </row>
    <row r="217" ht="25" customHeight="1">
      <c r="A217" s="78" t="inlineStr">
        <is>
          <t>SL0194</t>
        </is>
      </c>
      <c r="B217" s="79" t="n">
        <v>45391</v>
      </c>
      <c r="C217" s="78" t="inlineStr">
        <is>
          <t>2024-04</t>
        </is>
      </c>
      <c r="D217" s="78" t="n">
        <v>2024</v>
      </c>
      <c r="E217" s="78" t="inlineStr">
        <is>
          <t>Land</t>
        </is>
      </c>
      <c r="F217" s="78" t="inlineStr">
        <is>
          <t>Plot / unit price</t>
        </is>
      </c>
      <c r="G217" s="78" t="inlineStr">
        <is>
          <t>Green City Phase 1 (Lantaba, Ketu-Epe)</t>
        </is>
      </c>
      <c r="H217" s="78" t="inlineStr">
        <is>
          <t>BP-C0052</t>
        </is>
      </c>
      <c r="I217" s="78" t="inlineStr">
        <is>
          <t>Miss Okorejior Ojoma Lilian</t>
        </is>
      </c>
      <c r="J217" s="80" t="n">
        <v>1640000</v>
      </c>
      <c r="K217" s="78" t="inlineStr">
        <is>
          <t>Single register</t>
        </is>
      </c>
      <c r="L217" s="78" t="inlineStr">
        <is>
          <t>Primary: monthly turnover register</t>
        </is>
      </c>
      <c r="M217" s="78" t="inlineStr">
        <is>
          <t>BAAY PROJECTS FINANCIALS 2024.xlsx</t>
        </is>
      </c>
      <c r="N217" s="78" t="inlineStr">
        <is>
          <t>APRIL TURNOVER</t>
        </is>
      </c>
      <c r="O217" s="78" t="n">
        <v>16</v>
      </c>
      <c r="P217" s="78" t="inlineStr">
        <is>
          <t>2024-09-04</t>
        </is>
      </c>
      <c r="Q217" s="78" t="inlineStr">
        <is>
          <t>TURNOVER SCHEDULE r74, MS IMMACULATE r32</t>
        </is>
      </c>
      <c r="R217" s="78" t="n"/>
    </row>
    <row r="218" ht="25" customHeight="1">
      <c r="A218" s="75" t="inlineStr">
        <is>
          <t>SL0195</t>
        </is>
      </c>
      <c r="B218" s="76" t="n">
        <v>45391</v>
      </c>
      <c r="C218" s="75" t="inlineStr">
        <is>
          <t>2024-04</t>
        </is>
      </c>
      <c r="D218" s="75" t="n">
        <v>2024</v>
      </c>
      <c r="E218" s="75" t="inlineStr">
        <is>
          <t>Land</t>
        </is>
      </c>
      <c r="F218" s="75" t="inlineStr">
        <is>
          <t>Plot / unit price</t>
        </is>
      </c>
      <c r="G218" s="75" t="inlineStr">
        <is>
          <t>Green City Phase 1 (Lantaba, Ketu-Epe)</t>
        </is>
      </c>
      <c r="H218" s="75" t="inlineStr">
        <is>
          <t>BP-C0050</t>
        </is>
      </c>
      <c r="I218" s="75" t="inlineStr">
        <is>
          <t>Mr Atuanya Patrick Jideovo</t>
        </is>
      </c>
      <c r="J218" s="77" t="n">
        <v>760000</v>
      </c>
      <c r="K218" s="75" t="inlineStr">
        <is>
          <t>Single register</t>
        </is>
      </c>
      <c r="L218" s="75" t="inlineStr">
        <is>
          <t>Primary: monthly turnover register</t>
        </is>
      </c>
      <c r="M218" s="75" t="inlineStr">
        <is>
          <t>BAAY PROJECTS FINANCIALS 2024.xlsx</t>
        </is>
      </c>
      <c r="N218" s="75" t="inlineStr">
        <is>
          <t>APRIL TURNOVER</t>
        </is>
      </c>
      <c r="O218" s="75" t="n">
        <v>17</v>
      </c>
      <c r="P218" s="75" t="inlineStr">
        <is>
          <t>2024-09-04</t>
        </is>
      </c>
      <c r="Q218" s="75" t="inlineStr">
        <is>
          <t>TURNOVER SCHEDULE r148, MS YETUNDE ABISOYE r38</t>
        </is>
      </c>
      <c r="R218" s="75" t="n"/>
    </row>
    <row r="219" ht="25" customHeight="1">
      <c r="A219" s="78" t="inlineStr">
        <is>
          <t>SL0196</t>
        </is>
      </c>
      <c r="B219" s="79" t="n">
        <v>45391</v>
      </c>
      <c r="C219" s="78" t="inlineStr">
        <is>
          <t>2024-04</t>
        </is>
      </c>
      <c r="D219" s="78" t="n">
        <v>2024</v>
      </c>
      <c r="E219" s="78" t="inlineStr">
        <is>
          <t>Land</t>
        </is>
      </c>
      <c r="F219" s="78" t="inlineStr">
        <is>
          <t>Plot / unit price</t>
        </is>
      </c>
      <c r="G219" s="78" t="inlineStr">
        <is>
          <t>Green City Phase 2 (Ketu-Epe)</t>
        </is>
      </c>
      <c r="H219" s="78" t="inlineStr">
        <is>
          <t>BP-C0088</t>
        </is>
      </c>
      <c r="I219" s="78" t="inlineStr">
        <is>
          <t>Mr Komolafe Oluwashola Leonard</t>
        </is>
      </c>
      <c r="J219" s="80" t="n">
        <v>1000000</v>
      </c>
      <c r="K219" s="78" t="inlineStr">
        <is>
          <t>Single register</t>
        </is>
      </c>
      <c r="L219" s="78" t="inlineStr">
        <is>
          <t>Primary: monthly turnover register</t>
        </is>
      </c>
      <c r="M219" s="78" t="inlineStr">
        <is>
          <t>BAAY PROJECTS FINANCIALS 2024.xlsx</t>
        </is>
      </c>
      <c r="N219" s="78" t="inlineStr">
        <is>
          <t>APRIL TURNOVER</t>
        </is>
      </c>
      <c r="O219" s="78" t="n">
        <v>19</v>
      </c>
      <c r="P219" s="78" t="inlineStr">
        <is>
          <t>2024-09-04</t>
        </is>
      </c>
      <c r="Q219" s="78" t="inlineStr">
        <is>
          <t>TURNOVER SCHEDULE r325, MS BOLANLE r45</t>
        </is>
      </c>
      <c r="R219" s="78" t="n"/>
    </row>
    <row r="220" ht="25" customHeight="1">
      <c r="A220" s="75" t="inlineStr">
        <is>
          <t>SL0197</t>
        </is>
      </c>
      <c r="B220" s="76" t="n">
        <v>45393</v>
      </c>
      <c r="C220" s="75" t="inlineStr">
        <is>
          <t>2024-04</t>
        </is>
      </c>
      <c r="D220" s="75" t="n">
        <v>2024</v>
      </c>
      <c r="E220" s="75" t="inlineStr">
        <is>
          <t>Land</t>
        </is>
      </c>
      <c r="F220" s="75" t="inlineStr">
        <is>
          <t>Plot / unit price</t>
        </is>
      </c>
      <c r="G220" s="75" t="inlineStr">
        <is>
          <t>Green City Phase 2 (Ketu-Epe)</t>
        </is>
      </c>
      <c r="H220" s="75" t="inlineStr">
        <is>
          <t>BP-C0088</t>
        </is>
      </c>
      <c r="I220" s="75" t="inlineStr">
        <is>
          <t>Mr Komolafe Oluwashola Leonard</t>
        </is>
      </c>
      <c r="J220" s="77" t="n">
        <v>3200000</v>
      </c>
      <c r="K220" s="75" t="inlineStr">
        <is>
          <t>Single register</t>
        </is>
      </c>
      <c r="L220" s="75" t="inlineStr">
        <is>
          <t>Primary: monthly turnover register</t>
        </is>
      </c>
      <c r="M220" s="75" t="inlineStr">
        <is>
          <t>BAAY PROJECTS FINANCIALS 2024.xlsx</t>
        </is>
      </c>
      <c r="N220" s="75" t="inlineStr">
        <is>
          <t>APRIL TURNOVER</t>
        </is>
      </c>
      <c r="O220" s="75" t="n">
        <v>20</v>
      </c>
      <c r="P220" s="75" t="inlineStr">
        <is>
          <t>2024-11-04</t>
        </is>
      </c>
      <c r="Q220" s="75" t="inlineStr">
        <is>
          <t>TURNOVER SCHEDULE r326, MS BOLANLE r46</t>
        </is>
      </c>
      <c r="R220" s="75" t="n"/>
    </row>
    <row r="221" ht="25" customHeight="1">
      <c r="A221" s="78" t="inlineStr">
        <is>
          <t>SL0198</t>
        </is>
      </c>
      <c r="B221" s="79" t="n">
        <v>45397</v>
      </c>
      <c r="C221" s="78" t="inlineStr">
        <is>
          <t>2024-04</t>
        </is>
      </c>
      <c r="D221" s="78" t="n">
        <v>2024</v>
      </c>
      <c r="E221" s="78" t="inlineStr">
        <is>
          <t>Land</t>
        </is>
      </c>
      <c r="F221" s="78" t="inlineStr">
        <is>
          <t>Plot / unit price</t>
        </is>
      </c>
      <c r="G221" s="78" t="inlineStr">
        <is>
          <t>Green City Phase 2 (Ketu-Epe)</t>
        </is>
      </c>
      <c r="H221" s="78" t="inlineStr">
        <is>
          <t>BP-C0079</t>
        </is>
      </c>
      <c r="I221" s="78" t="inlineStr">
        <is>
          <t>Miss Ukachi Florence</t>
        </is>
      </c>
      <c r="J221" s="80" t="n">
        <v>1500000</v>
      </c>
      <c r="K221" s="78" t="inlineStr">
        <is>
          <t>Single register</t>
        </is>
      </c>
      <c r="L221" s="78" t="inlineStr">
        <is>
          <t>Primary: monthly turnover register</t>
        </is>
      </c>
      <c r="M221" s="78" t="inlineStr">
        <is>
          <t>BAAY PROJECTS FINANCIALS 2024.xlsx</t>
        </is>
      </c>
      <c r="N221" s="78" t="inlineStr">
        <is>
          <t>APRIL TURNOVER</t>
        </is>
      </c>
      <c r="O221" s="78" t="n">
        <v>21</v>
      </c>
      <c r="P221" s="78" t="inlineStr">
        <is>
          <t>15/04/2024</t>
        </is>
      </c>
      <c r="Q221" s="78" t="inlineStr">
        <is>
          <t>TURNOVER SCHEDULE r251, MS FEYI r5</t>
        </is>
      </c>
      <c r="R221" s="78" t="n"/>
    </row>
    <row r="222" ht="25" customHeight="1">
      <c r="A222" s="75" t="inlineStr">
        <is>
          <t>SL0199</t>
        </is>
      </c>
      <c r="B222" s="76" t="n">
        <v>45398</v>
      </c>
      <c r="C222" s="75" t="inlineStr">
        <is>
          <t>2024-04</t>
        </is>
      </c>
      <c r="D222" s="75" t="n">
        <v>2024</v>
      </c>
      <c r="E222" s="75" t="inlineStr">
        <is>
          <t>Land</t>
        </is>
      </c>
      <c r="F222" s="75" t="inlineStr">
        <is>
          <t>Plot / unit price</t>
        </is>
      </c>
      <c r="G222" s="75" t="inlineStr">
        <is>
          <t>Green City Phase 2 (Ketu-Epe)</t>
        </is>
      </c>
      <c r="H222" s="75" t="inlineStr">
        <is>
          <t>BP-C0080</t>
        </is>
      </c>
      <c r="I222" s="75" t="inlineStr">
        <is>
          <t>Dr Ayansola Jeremiah Funso</t>
        </is>
      </c>
      <c r="J222" s="77" t="n">
        <v>1000000</v>
      </c>
      <c r="K222" s="75" t="inlineStr">
        <is>
          <t>Single register</t>
        </is>
      </c>
      <c r="L222" s="75" t="inlineStr">
        <is>
          <t>Primary: monthly turnover register</t>
        </is>
      </c>
      <c r="M222" s="75" t="inlineStr">
        <is>
          <t>BAAY PROJECTS FINANCIALS 2024.xlsx</t>
        </is>
      </c>
      <c r="N222" s="75" t="inlineStr">
        <is>
          <t>APRIL TURNOVER</t>
        </is>
      </c>
      <c r="O222" s="75" t="n">
        <v>24</v>
      </c>
      <c r="P222" s="75" t="inlineStr">
        <is>
          <t>16/04/2024</t>
        </is>
      </c>
      <c r="Q222" s="75" t="inlineStr">
        <is>
          <t>TURNOVER SCHEDULE r299, MR JUWON r17</t>
        </is>
      </c>
      <c r="R222" s="75" t="n"/>
    </row>
    <row r="223" ht="25" customHeight="1">
      <c r="A223" s="78" t="inlineStr">
        <is>
          <t>SL0200</t>
        </is>
      </c>
      <c r="B223" s="79" t="n">
        <v>45398</v>
      </c>
      <c r="C223" s="78" t="inlineStr">
        <is>
          <t>2024-04</t>
        </is>
      </c>
      <c r="D223" s="78" t="n">
        <v>2024</v>
      </c>
      <c r="E223" s="78" t="inlineStr">
        <is>
          <t>Land</t>
        </is>
      </c>
      <c r="F223" s="78" t="inlineStr">
        <is>
          <t>Plot / unit price</t>
        </is>
      </c>
      <c r="G223" s="78" t="inlineStr">
        <is>
          <t>Green City Phase 2 (Ketu-Epe)</t>
        </is>
      </c>
      <c r="H223" s="78" t="inlineStr">
        <is>
          <t>BP-C0089</t>
        </is>
      </c>
      <c r="I223" s="78" t="inlineStr">
        <is>
          <t>Mr Lawson Oladele Valentino</t>
        </is>
      </c>
      <c r="J223" s="80" t="n">
        <v>4000000</v>
      </c>
      <c r="K223" s="78" t="inlineStr">
        <is>
          <t>Single register</t>
        </is>
      </c>
      <c r="L223" s="78" t="inlineStr">
        <is>
          <t>Primary: monthly turnover register</t>
        </is>
      </c>
      <c r="M223" s="78" t="inlineStr">
        <is>
          <t>BAAY PROJECTS FINANCIALS 2024.xlsx</t>
        </is>
      </c>
      <c r="N223" s="78" t="inlineStr">
        <is>
          <t>APRIL TURNOVER</t>
        </is>
      </c>
      <c r="O223" s="78" t="n">
        <v>23</v>
      </c>
      <c r="P223" s="78" t="inlineStr">
        <is>
          <t>16/04/2024</t>
        </is>
      </c>
      <c r="Q223" s="78" t="inlineStr">
        <is>
          <t>TURNOVER SCHEDULE r335, MR AYOMIDE r15</t>
        </is>
      </c>
      <c r="R223" s="78" t="n"/>
    </row>
    <row r="224" ht="25" customHeight="1">
      <c r="A224" s="75" t="inlineStr">
        <is>
          <t>SL0201</t>
        </is>
      </c>
      <c r="B224" s="76" t="n">
        <v>45398</v>
      </c>
      <c r="C224" s="75" t="inlineStr">
        <is>
          <t>2024-04</t>
        </is>
      </c>
      <c r="D224" s="75" t="n">
        <v>2024</v>
      </c>
      <c r="E224" s="75" t="inlineStr">
        <is>
          <t>Land</t>
        </is>
      </c>
      <c r="F224" s="75" t="inlineStr">
        <is>
          <t>Plot / unit price</t>
        </is>
      </c>
      <c r="G224" s="75" t="inlineStr">
        <is>
          <t>Green City Phase 2 (Ketu-Epe)</t>
        </is>
      </c>
      <c r="H224" s="75" t="inlineStr">
        <is>
          <t>BP-C0051</t>
        </is>
      </c>
      <c r="I224" s="75" t="inlineStr">
        <is>
          <t>Mr Ogunleye Olumide Victor</t>
        </is>
      </c>
      <c r="J224" s="77" t="n">
        <v>400000</v>
      </c>
      <c r="K224" s="75" t="inlineStr">
        <is>
          <t>Single register</t>
        </is>
      </c>
      <c r="L224" s="75" t="inlineStr">
        <is>
          <t>Primary: monthly turnover register</t>
        </is>
      </c>
      <c r="M224" s="75" t="inlineStr">
        <is>
          <t>BAAY PROJECTS FINANCIALS 2024.xlsx</t>
        </is>
      </c>
      <c r="N224" s="75" t="inlineStr">
        <is>
          <t>APRIL TURNOVER</t>
        </is>
      </c>
      <c r="O224" s="75" t="n">
        <v>22</v>
      </c>
      <c r="P224" s="75" t="inlineStr">
        <is>
          <t>16/04/2024</t>
        </is>
      </c>
      <c r="Q224" s="75" t="inlineStr">
        <is>
          <t>TURNOVER SCHEDULE r46</t>
        </is>
      </c>
      <c r="R224" s="75" t="n"/>
    </row>
    <row r="225" ht="25" customHeight="1">
      <c r="A225" s="78" t="inlineStr">
        <is>
          <t>SL0202</t>
        </is>
      </c>
      <c r="B225" s="79" t="n">
        <v>45399</v>
      </c>
      <c r="C225" s="78" t="inlineStr">
        <is>
          <t>2024-04</t>
        </is>
      </c>
      <c r="D225" s="78" t="n">
        <v>2024</v>
      </c>
      <c r="E225" s="78" t="inlineStr">
        <is>
          <t>Land</t>
        </is>
      </c>
      <c r="F225" s="78" t="inlineStr">
        <is>
          <t>Plot / unit price</t>
        </is>
      </c>
      <c r="G225" s="78" t="inlineStr">
        <is>
          <t>Green City Phase 1 (Lantaba, Ketu-Epe)</t>
        </is>
      </c>
      <c r="H225" s="78" t="inlineStr">
        <is>
          <t>BP-C0050</t>
        </is>
      </c>
      <c r="I225" s="78" t="inlineStr">
        <is>
          <t>Mr Atuanya Patrick Jideovo</t>
        </is>
      </c>
      <c r="J225" s="80" t="n">
        <v>420000</v>
      </c>
      <c r="K225" s="78" t="inlineStr">
        <is>
          <t>Single register</t>
        </is>
      </c>
      <c r="L225" s="78" t="inlineStr">
        <is>
          <t>Primary: monthly turnover register</t>
        </is>
      </c>
      <c r="M225" s="78" t="inlineStr">
        <is>
          <t>BAAY PROJECTS FINANCIALS 2024.xlsx</t>
        </is>
      </c>
      <c r="N225" s="78" t="inlineStr">
        <is>
          <t>APRIL TURNOVER</t>
        </is>
      </c>
      <c r="O225" s="78" t="n">
        <v>25</v>
      </c>
      <c r="P225" s="78" t="inlineStr">
        <is>
          <t>17/04/2024</t>
        </is>
      </c>
      <c r="Q225" s="78" t="inlineStr">
        <is>
          <t>TURNOVER SCHEDULE r149, MS YETUNDE ABISOYE r45</t>
        </is>
      </c>
      <c r="R225" s="78" t="n"/>
    </row>
    <row r="226" ht="25" customHeight="1">
      <c r="A226" s="75" t="inlineStr">
        <is>
          <t>SL0203</t>
        </is>
      </c>
      <c r="B226" s="76" t="n">
        <v>45399</v>
      </c>
      <c r="C226" s="75" t="inlineStr">
        <is>
          <t>2024-04</t>
        </is>
      </c>
      <c r="D226" s="75" t="n">
        <v>2024</v>
      </c>
      <c r="E226" s="75" t="inlineStr">
        <is>
          <t>Land</t>
        </is>
      </c>
      <c r="F226" s="75" t="inlineStr">
        <is>
          <t>Plot / unit price</t>
        </is>
      </c>
      <c r="G226" s="75" t="inlineStr">
        <is>
          <t>Green City Phase 2 (Ketu-Epe)</t>
        </is>
      </c>
      <c r="H226" s="75" t="inlineStr">
        <is>
          <t>BP-C0060</t>
        </is>
      </c>
      <c r="I226" s="75" t="inlineStr">
        <is>
          <t>Ms Mitchell Jennifer</t>
        </is>
      </c>
      <c r="J226" s="77" t="n">
        <v>188600</v>
      </c>
      <c r="K226" s="75" t="inlineStr">
        <is>
          <t>Single register</t>
        </is>
      </c>
      <c r="L226" s="75" t="inlineStr">
        <is>
          <t>Primary: monthly turnover register</t>
        </is>
      </c>
      <c r="M226" s="75" t="inlineStr">
        <is>
          <t>BAAY PROJECTS FINANCIALS 2024.xlsx</t>
        </is>
      </c>
      <c r="N226" s="75" t="inlineStr">
        <is>
          <t>APRIL TURNOVER</t>
        </is>
      </c>
      <c r="O226" s="75" t="n">
        <v>26</v>
      </c>
      <c r="P226" s="75" t="inlineStr">
        <is>
          <t>17/04/2024</t>
        </is>
      </c>
      <c r="Q226" s="75" t="inlineStr">
        <is>
          <t>TURNOVER SCHEDULE r58</t>
        </is>
      </c>
      <c r="R226" s="75" t="n"/>
    </row>
    <row r="227" ht="25" customHeight="1">
      <c r="A227" s="78" t="inlineStr">
        <is>
          <t>SL0204</t>
        </is>
      </c>
      <c r="B227" s="79" t="n">
        <v>45400</v>
      </c>
      <c r="C227" s="78" t="inlineStr">
        <is>
          <t>2024-04</t>
        </is>
      </c>
      <c r="D227" s="78" t="n">
        <v>2024</v>
      </c>
      <c r="E227" s="78" t="inlineStr">
        <is>
          <t>Land</t>
        </is>
      </c>
      <c r="F227" s="78" t="inlineStr">
        <is>
          <t>Plot / unit price</t>
        </is>
      </c>
      <c r="G227" s="78" t="inlineStr">
        <is>
          <t>Green City Phase 1 (Lantaba, Ketu-Epe)</t>
        </is>
      </c>
      <c r="H227" s="78" t="inlineStr">
        <is>
          <t>BP-C0053</t>
        </is>
      </c>
      <c r="I227" s="78" t="inlineStr">
        <is>
          <t>Mr Adegbembo Stephen Oluwagbemiga</t>
        </is>
      </c>
      <c r="J227" s="80" t="n">
        <v>500000</v>
      </c>
      <c r="K227" s="78" t="inlineStr">
        <is>
          <t>Single register</t>
        </is>
      </c>
      <c r="L227" s="78" t="inlineStr">
        <is>
          <t>Primary: monthly turnover register</t>
        </is>
      </c>
      <c r="M227" s="78" t="inlineStr">
        <is>
          <t>BAAY PROJECTS FINANCIALS 2024.xlsx</t>
        </is>
      </c>
      <c r="N227" s="78" t="inlineStr">
        <is>
          <t>APRIL TURNOVER</t>
        </is>
      </c>
      <c r="O227" s="78" t="n">
        <v>29</v>
      </c>
      <c r="P227" s="78" t="inlineStr">
        <is>
          <t>18/04/2024</t>
        </is>
      </c>
      <c r="Q227" s="78" t="inlineStr">
        <is>
          <t>TURNOVER SCHEDULE r86</t>
        </is>
      </c>
      <c r="R227" s="78" t="n"/>
    </row>
    <row r="228" ht="25" customHeight="1">
      <c r="A228" s="75" t="inlineStr">
        <is>
          <t>SL0205</t>
        </is>
      </c>
      <c r="B228" s="76" t="n">
        <v>45400</v>
      </c>
      <c r="C228" s="75" t="inlineStr">
        <is>
          <t>2024-04</t>
        </is>
      </c>
      <c r="D228" s="75" t="n">
        <v>2024</v>
      </c>
      <c r="E228" s="75" t="inlineStr">
        <is>
          <t>Land</t>
        </is>
      </c>
      <c r="F228" s="75" t="inlineStr">
        <is>
          <t>Plot / unit price</t>
        </is>
      </c>
      <c r="G228" s="75" t="inlineStr">
        <is>
          <t>Green City Phase 2 (Ketu-Epe)</t>
        </is>
      </c>
      <c r="H228" s="75" t="inlineStr">
        <is>
          <t>BP-C0078</t>
        </is>
      </c>
      <c r="I228" s="75" t="inlineStr">
        <is>
          <t>Ms Bingham Kendra</t>
        </is>
      </c>
      <c r="J228" s="77" t="n">
        <v>500000</v>
      </c>
      <c r="K228" s="75" t="inlineStr">
        <is>
          <t>Single register</t>
        </is>
      </c>
      <c r="L228" s="75" t="inlineStr">
        <is>
          <t>Primary: monthly turnover register</t>
        </is>
      </c>
      <c r="M228" s="75" t="inlineStr">
        <is>
          <t>BAAY PROJECTS FINANCIALS 2024.xlsx</t>
        </is>
      </c>
      <c r="N228" s="75" t="inlineStr">
        <is>
          <t>APRIL TURNOVER</t>
        </is>
      </c>
      <c r="O228" s="75" t="n">
        <v>27</v>
      </c>
      <c r="P228" s="75" t="inlineStr">
        <is>
          <t>18/04/2024</t>
        </is>
      </c>
      <c r="Q228" s="75" t="inlineStr">
        <is>
          <t>TURNOVER SCHEDULE r247, MRS ABIMBOLA r54</t>
        </is>
      </c>
      <c r="R228" s="75" t="n"/>
    </row>
    <row r="229" ht="25" customHeight="1">
      <c r="A229" s="78" t="inlineStr">
        <is>
          <t>SL0206</t>
        </is>
      </c>
      <c r="B229" s="79" t="n">
        <v>45400</v>
      </c>
      <c r="C229" s="78" t="inlineStr">
        <is>
          <t>2024-04</t>
        </is>
      </c>
      <c r="D229" s="78" t="n">
        <v>2024</v>
      </c>
      <c r="E229" s="78" t="inlineStr">
        <is>
          <t>Land</t>
        </is>
      </c>
      <c r="F229" s="78" t="inlineStr">
        <is>
          <t>Plot / unit price</t>
        </is>
      </c>
      <c r="G229" s="78" t="inlineStr">
        <is>
          <t>Green City Phase 1 (Lantaba, Ketu-Epe)</t>
        </is>
      </c>
      <c r="H229" s="78" t="inlineStr">
        <is>
          <t>BP-C0078</t>
        </is>
      </c>
      <c r="I229" s="78" t="inlineStr">
        <is>
          <t>Ms Bingham Kendra</t>
        </is>
      </c>
      <c r="J229" s="80" t="n">
        <v>3600000</v>
      </c>
      <c r="K229" s="78" t="inlineStr">
        <is>
          <t>Single register</t>
        </is>
      </c>
      <c r="L229" s="78" t="inlineStr">
        <is>
          <t>Primary: monthly turnover register</t>
        </is>
      </c>
      <c r="M229" s="78" t="inlineStr">
        <is>
          <t>BAAY PROJECTS FINANCIALS 2024.xlsx</t>
        </is>
      </c>
      <c r="N229" s="78" t="inlineStr">
        <is>
          <t>APRIL TURNOVER</t>
        </is>
      </c>
      <c r="O229" s="78" t="n">
        <v>28</v>
      </c>
      <c r="P229" s="78" t="inlineStr">
        <is>
          <t>18/04/2024</t>
        </is>
      </c>
      <c r="Q229" s="78" t="inlineStr">
        <is>
          <t>TURNOVER SCHEDULE r242, MRS ABIMBOLA r53</t>
        </is>
      </c>
      <c r="R229" s="78" t="n"/>
    </row>
    <row r="230" ht="25" customHeight="1">
      <c r="A230" s="75" t="inlineStr">
        <is>
          <t>SL0207</t>
        </is>
      </c>
      <c r="B230" s="76" t="n">
        <v>45404</v>
      </c>
      <c r="C230" s="75" t="inlineStr">
        <is>
          <t>2024-04</t>
        </is>
      </c>
      <c r="D230" s="75" t="n">
        <v>2024</v>
      </c>
      <c r="E230" s="75" t="inlineStr">
        <is>
          <t>Land</t>
        </is>
      </c>
      <c r="F230" s="75" t="inlineStr">
        <is>
          <t>Plot / unit price</t>
        </is>
      </c>
      <c r="G230" s="75" t="inlineStr">
        <is>
          <t>Green City Phase 1 (Lantaba, Ketu-Epe)</t>
        </is>
      </c>
      <c r="H230" s="75" t="inlineStr">
        <is>
          <t>BP-C0033</t>
        </is>
      </c>
      <c r="I230" s="75" t="inlineStr">
        <is>
          <t>Mr Olumoko Oladapo</t>
        </is>
      </c>
      <c r="J230" s="77" t="n">
        <v>2800000</v>
      </c>
      <c r="K230" s="75" t="inlineStr">
        <is>
          <t>Single register</t>
        </is>
      </c>
      <c r="L230" s="75" t="inlineStr">
        <is>
          <t>Primary: monthly turnover register</t>
        </is>
      </c>
      <c r="M230" s="75" t="inlineStr">
        <is>
          <t>BAAY PROJECTS FINANCIALS 2024.xlsx</t>
        </is>
      </c>
      <c r="N230" s="75" t="inlineStr">
        <is>
          <t>APRIL TURNOVER</t>
        </is>
      </c>
      <c r="O230" s="75" t="n">
        <v>30</v>
      </c>
      <c r="P230" s="75" t="inlineStr">
        <is>
          <t>22/04/2024</t>
        </is>
      </c>
      <c r="Q230" s="75" t="inlineStr">
        <is>
          <t>TURNOVER SCHEDULE r160, MS BOLANLE r52</t>
        </is>
      </c>
      <c r="R230" s="75" t="n"/>
    </row>
    <row r="231" ht="25" customHeight="1">
      <c r="A231" s="78" t="inlineStr">
        <is>
          <t>SL0208</t>
        </is>
      </c>
      <c r="B231" s="79" t="n">
        <v>45404</v>
      </c>
      <c r="C231" s="78" t="inlineStr">
        <is>
          <t>2024-04</t>
        </is>
      </c>
      <c r="D231" s="78" t="n">
        <v>2024</v>
      </c>
      <c r="E231" s="78" t="inlineStr">
        <is>
          <t>Land</t>
        </is>
      </c>
      <c r="F231" s="78" t="inlineStr">
        <is>
          <t>Plot / unit price</t>
        </is>
      </c>
      <c r="G231" s="78" t="inlineStr">
        <is>
          <t>Green City Phase 1 (Lantaba, Ketu-Epe)</t>
        </is>
      </c>
      <c r="H231" s="78" t="inlineStr">
        <is>
          <t>BP-C0010</t>
        </is>
      </c>
      <c r="I231" s="78" t="inlineStr">
        <is>
          <t>Mrs Yohanna Paulina</t>
        </is>
      </c>
      <c r="J231" s="80" t="n">
        <v>3000000</v>
      </c>
      <c r="K231" s="78" t="inlineStr">
        <is>
          <t>Single register</t>
        </is>
      </c>
      <c r="L231" s="78" t="inlineStr">
        <is>
          <t>Primary: monthly turnover register</t>
        </is>
      </c>
      <c r="M231" s="78" t="inlineStr">
        <is>
          <t>BAAY PROJECTS FINANCIALS 2024.xlsx</t>
        </is>
      </c>
      <c r="N231" s="78" t="inlineStr">
        <is>
          <t>APRIL TURNOVER</t>
        </is>
      </c>
      <c r="O231" s="78" t="n">
        <v>31</v>
      </c>
      <c r="P231" s="78" t="inlineStr">
        <is>
          <t>22/04/2024</t>
        </is>
      </c>
      <c r="Q231" s="78" t="inlineStr">
        <is>
          <t>TURNOVER SCHEDULE r292, MR CHARLES r12</t>
        </is>
      </c>
      <c r="R231" s="78" t="n"/>
    </row>
    <row r="232" ht="25" customHeight="1">
      <c r="A232" s="75" t="inlineStr">
        <is>
          <t>SL0209</t>
        </is>
      </c>
      <c r="B232" s="76" t="n">
        <v>45405</v>
      </c>
      <c r="C232" s="75" t="inlineStr">
        <is>
          <t>2024-04</t>
        </is>
      </c>
      <c r="D232" s="75" t="n">
        <v>2024</v>
      </c>
      <c r="E232" s="75" t="inlineStr">
        <is>
          <t>Land</t>
        </is>
      </c>
      <c r="F232" s="75" t="inlineStr">
        <is>
          <t>Plot / unit price</t>
        </is>
      </c>
      <c r="G232" s="75" t="inlineStr">
        <is>
          <t>Green City Phase 1 (Lantaba, Ketu-Epe)</t>
        </is>
      </c>
      <c r="H232" s="75" t="inlineStr">
        <is>
          <t>BP-C0046</t>
        </is>
      </c>
      <c r="I232" s="75" t="inlineStr">
        <is>
          <t>Mr Adesida Raphael Abiodun</t>
        </is>
      </c>
      <c r="J232" s="77" t="n">
        <v>100000</v>
      </c>
      <c r="K232" s="75" t="inlineStr">
        <is>
          <t>Single register</t>
        </is>
      </c>
      <c r="L232" s="75" t="inlineStr">
        <is>
          <t>Primary: monthly turnover register</t>
        </is>
      </c>
      <c r="M232" s="75" t="inlineStr">
        <is>
          <t>BAAY PROJECTS FINANCIALS 2024.xlsx</t>
        </is>
      </c>
      <c r="N232" s="75" t="inlineStr">
        <is>
          <t>APRIL TURNOVER</t>
        </is>
      </c>
      <c r="O232" s="75" t="n">
        <v>32</v>
      </c>
      <c r="P232" s="75" t="inlineStr">
        <is>
          <t>23/04/2024</t>
        </is>
      </c>
      <c r="Q232" s="75" t="inlineStr">
        <is>
          <t>TURNOVER SCHEDULE r176, MD r33</t>
        </is>
      </c>
      <c r="R232" s="75" t="n"/>
    </row>
    <row r="233" ht="25" customHeight="1">
      <c r="A233" s="78" t="inlineStr">
        <is>
          <t>SL0210</t>
        </is>
      </c>
      <c r="B233" s="79" t="n">
        <v>45406</v>
      </c>
      <c r="C233" s="78" t="inlineStr">
        <is>
          <t>2024-04</t>
        </is>
      </c>
      <c r="D233" s="78" t="n">
        <v>2024</v>
      </c>
      <c r="E233" s="78" t="inlineStr">
        <is>
          <t>Land</t>
        </is>
      </c>
      <c r="F233" s="78" t="inlineStr">
        <is>
          <t>Plot / unit price</t>
        </is>
      </c>
      <c r="G233" s="78" t="inlineStr">
        <is>
          <t>Green City Phase 1 (Lantaba, Ketu-Epe)</t>
        </is>
      </c>
      <c r="H233" s="78" t="inlineStr">
        <is>
          <t>BP-C0046</t>
        </is>
      </c>
      <c r="I233" s="78" t="inlineStr">
        <is>
          <t>Mr Adesida Raphael Abiodun</t>
        </is>
      </c>
      <c r="J233" s="80" t="n">
        <v>100000</v>
      </c>
      <c r="K233" s="78" t="inlineStr">
        <is>
          <t>Single register</t>
        </is>
      </c>
      <c r="L233" s="78" t="inlineStr">
        <is>
          <t>Primary: monthly turnover register</t>
        </is>
      </c>
      <c r="M233" s="78" t="inlineStr">
        <is>
          <t>BAAY PROJECTS FINANCIALS 2024.xlsx</t>
        </is>
      </c>
      <c r="N233" s="78" t="inlineStr">
        <is>
          <t>APRIL TURNOVER</t>
        </is>
      </c>
      <c r="O233" s="78" t="n">
        <v>33</v>
      </c>
      <c r="P233" s="78" t="inlineStr">
        <is>
          <t>24/04/2024</t>
        </is>
      </c>
      <c r="Q233" s="78" t="inlineStr">
        <is>
          <t>TURNOVER SCHEDULE r177, MD r34</t>
        </is>
      </c>
      <c r="R233" s="78" t="n"/>
    </row>
    <row r="234" ht="25" customHeight="1">
      <c r="A234" s="75" t="inlineStr">
        <is>
          <t>SL0211</t>
        </is>
      </c>
      <c r="B234" s="76" t="n">
        <v>45408</v>
      </c>
      <c r="C234" s="75" t="inlineStr">
        <is>
          <t>2024-04</t>
        </is>
      </c>
      <c r="D234" s="75" t="n">
        <v>2024</v>
      </c>
      <c r="E234" s="75" t="inlineStr">
        <is>
          <t>Land</t>
        </is>
      </c>
      <c r="F234" s="75" t="inlineStr">
        <is>
          <t>Plot / unit price</t>
        </is>
      </c>
      <c r="G234" s="75" t="inlineStr">
        <is>
          <t>Green City Phase 2 (Ketu-Epe)</t>
        </is>
      </c>
      <c r="H234" s="75" t="inlineStr">
        <is>
          <t>BP-C0082</t>
        </is>
      </c>
      <c r="I234" s="75" t="inlineStr">
        <is>
          <t>Mrs Olarewaju Remilekun Mary</t>
        </is>
      </c>
      <c r="J234" s="77" t="n">
        <v>1000000</v>
      </c>
      <c r="K234" s="75" t="inlineStr">
        <is>
          <t>Single register</t>
        </is>
      </c>
      <c r="L234" s="75" t="inlineStr">
        <is>
          <t>Primary: monthly turnover register</t>
        </is>
      </c>
      <c r="M234" s="75" t="inlineStr">
        <is>
          <t>BAAY PROJECTS FINANCIALS 2024.xlsx</t>
        </is>
      </c>
      <c r="N234" s="75" t="inlineStr">
        <is>
          <t>APRIL TURNOVER</t>
        </is>
      </c>
      <c r="O234" s="75" t="n">
        <v>34</v>
      </c>
      <c r="P234" s="75" t="inlineStr">
        <is>
          <t>26/04/2024</t>
        </is>
      </c>
      <c r="Q234" s="75" t="inlineStr">
        <is>
          <t>TURNOVER SCHEDULE r321, MR JUWON r18</t>
        </is>
      </c>
      <c r="R234" s="75" t="n"/>
    </row>
    <row r="235" ht="25" customHeight="1">
      <c r="A235" s="78" t="inlineStr">
        <is>
          <t>SL0212</t>
        </is>
      </c>
      <c r="B235" s="79" t="n">
        <v>45408</v>
      </c>
      <c r="C235" s="78" t="inlineStr">
        <is>
          <t>2024-04</t>
        </is>
      </c>
      <c r="D235" s="78" t="n">
        <v>2024</v>
      </c>
      <c r="E235" s="78" t="inlineStr">
        <is>
          <t>Land</t>
        </is>
      </c>
      <c r="F235" s="78" t="inlineStr">
        <is>
          <t>Plot / unit price</t>
        </is>
      </c>
      <c r="G235" s="78" t="inlineStr">
        <is>
          <t>Green City Phase 2 (Ketu-Epe)</t>
        </is>
      </c>
      <c r="H235" s="78" t="inlineStr">
        <is>
          <t>BP-C0068</t>
        </is>
      </c>
      <c r="I235" s="78" t="inlineStr">
        <is>
          <t>Ms Aisosa Sharon Ebhotah</t>
        </is>
      </c>
      <c r="J235" s="80" t="n">
        <v>500000</v>
      </c>
      <c r="K235" s="78" t="inlineStr">
        <is>
          <t>Single register</t>
        </is>
      </c>
      <c r="L235" s="78" t="inlineStr">
        <is>
          <t>Primary: monthly turnover register</t>
        </is>
      </c>
      <c r="M235" s="78" t="inlineStr">
        <is>
          <t>BAAY PROJECTS FINANCIALS 2024.xlsx</t>
        </is>
      </c>
      <c r="N235" s="78" t="inlineStr">
        <is>
          <t>APRIL TURNOVER</t>
        </is>
      </c>
      <c r="O235" s="78" t="n">
        <v>35</v>
      </c>
      <c r="P235" s="78" t="inlineStr">
        <is>
          <t>26/04/2024</t>
        </is>
      </c>
      <c r="Q235" s="78" t="inlineStr">
        <is>
          <t>TURNOVER SCHEDULE r260</t>
        </is>
      </c>
      <c r="R235" s="78" t="n"/>
    </row>
    <row r="236" ht="25" customHeight="1">
      <c r="A236" s="75" t="inlineStr">
        <is>
          <t>SL0213</t>
        </is>
      </c>
      <c r="B236" s="76" t="n">
        <v>45409</v>
      </c>
      <c r="C236" s="75" t="inlineStr">
        <is>
          <t>2024-04</t>
        </is>
      </c>
      <c r="D236" s="75" t="n">
        <v>2024</v>
      </c>
      <c r="E236" s="75" t="inlineStr">
        <is>
          <t>Land</t>
        </is>
      </c>
      <c r="F236" s="75" t="inlineStr">
        <is>
          <t>Plot / unit price</t>
        </is>
      </c>
      <c r="G236" s="75" t="inlineStr">
        <is>
          <t>Green City Phase 2 (Ketu-Epe)</t>
        </is>
      </c>
      <c r="H236" s="75" t="inlineStr">
        <is>
          <t>BP-C0090</t>
        </is>
      </c>
      <c r="I236" s="75" t="inlineStr">
        <is>
          <t>Mr Ajiva Lubem Barnabas</t>
        </is>
      </c>
      <c r="J236" s="77" t="n">
        <v>500000</v>
      </c>
      <c r="K236" s="75" t="inlineStr">
        <is>
          <t>Single register</t>
        </is>
      </c>
      <c r="L236" s="75" t="inlineStr">
        <is>
          <t>Primary: monthly turnover register</t>
        </is>
      </c>
      <c r="M236" s="75" t="inlineStr">
        <is>
          <t>BAAY PROJECTS FINANCIALS 2024.xlsx</t>
        </is>
      </c>
      <c r="N236" s="75" t="inlineStr">
        <is>
          <t>APRIL TURNOVER</t>
        </is>
      </c>
      <c r="O236" s="75" t="n">
        <v>37</v>
      </c>
      <c r="P236" s="75" t="inlineStr">
        <is>
          <t>27/04/2024</t>
        </is>
      </c>
      <c r="Q236" s="75" t="inlineStr">
        <is>
          <t>TURNOVER SCHEDULE r359, FASUYI OLAYINKA r11</t>
        </is>
      </c>
      <c r="R236" s="75" t="n"/>
    </row>
    <row r="237" ht="25" customHeight="1">
      <c r="A237" s="78" t="inlineStr">
        <is>
          <t>SL0214</t>
        </is>
      </c>
      <c r="B237" s="79" t="n">
        <v>45409</v>
      </c>
      <c r="C237" s="78" t="inlineStr">
        <is>
          <t>2024-04</t>
        </is>
      </c>
      <c r="D237" s="78" t="n">
        <v>2024</v>
      </c>
      <c r="E237" s="78" t="inlineStr">
        <is>
          <t>Land</t>
        </is>
      </c>
      <c r="F237" s="78" t="inlineStr">
        <is>
          <t>Plot / unit price</t>
        </is>
      </c>
      <c r="G237" s="78" t="inlineStr">
        <is>
          <t>Green City Phase 2 (Ketu-Epe)</t>
        </is>
      </c>
      <c r="H237" s="78" t="inlineStr">
        <is>
          <t>BP-C0077</t>
        </is>
      </c>
      <c r="I237" s="78" t="inlineStr">
        <is>
          <t>Mr Uebari Sorbari</t>
        </is>
      </c>
      <c r="J237" s="80" t="n">
        <v>200000</v>
      </c>
      <c r="K237" s="78" t="inlineStr">
        <is>
          <t>Single register</t>
        </is>
      </c>
      <c r="L237" s="78" t="inlineStr">
        <is>
          <t>Primary: monthly turnover register</t>
        </is>
      </c>
      <c r="M237" s="78" t="inlineStr">
        <is>
          <t>BAAY PROJECTS FINANCIALS 2024.xlsx</t>
        </is>
      </c>
      <c r="N237" s="78" t="inlineStr">
        <is>
          <t>APRIL TURNOVER</t>
        </is>
      </c>
      <c r="O237" s="78" t="n">
        <v>36</v>
      </c>
      <c r="P237" s="78" t="inlineStr">
        <is>
          <t>27/04/2024</t>
        </is>
      </c>
      <c r="Q237" s="78" t="inlineStr">
        <is>
          <t>TURNOVER SCHEDULE r305</t>
        </is>
      </c>
      <c r="R237" s="78" t="n"/>
    </row>
    <row r="238" ht="25" customHeight="1">
      <c r="A238" s="75" t="inlineStr">
        <is>
          <t>SL0215</t>
        </is>
      </c>
      <c r="B238" s="76" t="n">
        <v>45411</v>
      </c>
      <c r="C238" s="75" t="inlineStr">
        <is>
          <t>2024-04</t>
        </is>
      </c>
      <c r="D238" s="75" t="n">
        <v>2024</v>
      </c>
      <c r="E238" s="75" t="inlineStr">
        <is>
          <t>Land</t>
        </is>
      </c>
      <c r="F238" s="75" t="inlineStr">
        <is>
          <t>Plot / unit price</t>
        </is>
      </c>
      <c r="G238" s="75" t="inlineStr">
        <is>
          <t>Green City Phase 1 (Lantaba, Ketu-Epe)</t>
        </is>
      </c>
      <c r="H238" s="75" t="inlineStr">
        <is>
          <t>BP-C0027</t>
        </is>
      </c>
      <c r="I238" s="75" t="inlineStr">
        <is>
          <t>Mr Edun Ayobami Simeon</t>
        </is>
      </c>
      <c r="J238" s="77" t="n">
        <v>810000</v>
      </c>
      <c r="K238" s="75" t="inlineStr">
        <is>
          <t>Single register</t>
        </is>
      </c>
      <c r="L238" s="75" t="inlineStr">
        <is>
          <t>Primary: monthly turnover register</t>
        </is>
      </c>
      <c r="M238" s="75" t="inlineStr">
        <is>
          <t>BAAY PROJECTS FINANCIALS 2024.xlsx</t>
        </is>
      </c>
      <c r="N238" s="75" t="inlineStr">
        <is>
          <t>APRIL TURNOVER</t>
        </is>
      </c>
      <c r="O238" s="75" t="n">
        <v>38</v>
      </c>
      <c r="P238" s="75" t="inlineStr">
        <is>
          <t>29/04/2024</t>
        </is>
      </c>
      <c r="Q238" s="75" t="inlineStr">
        <is>
          <t>TURNOVER SCHEDULE r132, MRS ABIMBOLA r82</t>
        </is>
      </c>
      <c r="R238" s="75" t="n"/>
    </row>
    <row r="239" ht="25" customHeight="1">
      <c r="A239" s="78" t="inlineStr">
        <is>
          <t>SL0216</t>
        </is>
      </c>
      <c r="B239" s="79" t="n">
        <v>45412</v>
      </c>
      <c r="C239" s="78" t="inlineStr">
        <is>
          <t>2024-04</t>
        </is>
      </c>
      <c r="D239" s="78" t="n">
        <v>2024</v>
      </c>
      <c r="E239" s="78" t="inlineStr">
        <is>
          <t>Land</t>
        </is>
      </c>
      <c r="F239" s="78" t="inlineStr">
        <is>
          <t>Plot / unit price</t>
        </is>
      </c>
      <c r="G239" s="78" t="inlineStr">
        <is>
          <t>Green City Phase 2 (Ketu-Epe)</t>
        </is>
      </c>
      <c r="H239" s="78" t="inlineStr">
        <is>
          <t>BP-C0030</t>
        </is>
      </c>
      <c r="I239" s="78" t="inlineStr">
        <is>
          <t>Mr Adese Akorede</t>
        </is>
      </c>
      <c r="J239" s="80" t="n">
        <v>200000</v>
      </c>
      <c r="K239" s="78" t="inlineStr">
        <is>
          <t>Single register</t>
        </is>
      </c>
      <c r="L239" s="78" t="inlineStr">
        <is>
          <t>Primary: monthly turnover register</t>
        </is>
      </c>
      <c r="M239" s="78" t="inlineStr">
        <is>
          <t>BAAY PROJECTS FINANCIALS 2024.xlsx</t>
        </is>
      </c>
      <c r="N239" s="78" t="inlineStr">
        <is>
          <t>APRIL TURNOVER</t>
        </is>
      </c>
      <c r="O239" s="78" t="n">
        <v>42</v>
      </c>
      <c r="P239" s="78" t="inlineStr">
        <is>
          <t>30/04/2024</t>
        </is>
      </c>
      <c r="Q239" s="78" t="inlineStr">
        <is>
          <t>TURNOVER SCHEDULE r287</t>
        </is>
      </c>
      <c r="R239" s="78" t="n"/>
    </row>
    <row r="240" ht="25" customHeight="1">
      <c r="A240" s="75" t="inlineStr">
        <is>
          <t>SL0217</t>
        </is>
      </c>
      <c r="B240" s="76" t="n">
        <v>45412</v>
      </c>
      <c r="C240" s="75" t="inlineStr">
        <is>
          <t>2024-04</t>
        </is>
      </c>
      <c r="D240" s="75" t="n">
        <v>2024</v>
      </c>
      <c r="E240" s="75" t="inlineStr">
        <is>
          <t>Land</t>
        </is>
      </c>
      <c r="F240" s="75" t="inlineStr">
        <is>
          <t>Plot / unit price</t>
        </is>
      </c>
      <c r="G240" s="75" t="inlineStr">
        <is>
          <t>Green City Phase 1 (Lantaba, Ketu-Epe)</t>
        </is>
      </c>
      <c r="H240" s="75" t="inlineStr">
        <is>
          <t>BP-C0050</t>
        </is>
      </c>
      <c r="I240" s="75" t="inlineStr">
        <is>
          <t>Mr Atuanya Patrick Jideovo</t>
        </is>
      </c>
      <c r="J240" s="77" t="n">
        <v>270000</v>
      </c>
      <c r="K240" s="75" t="inlineStr">
        <is>
          <t>Single register</t>
        </is>
      </c>
      <c r="L240" s="75" t="inlineStr">
        <is>
          <t>Primary: monthly turnover register</t>
        </is>
      </c>
      <c r="M240" s="75" t="inlineStr">
        <is>
          <t>BAAY PROJECTS FINANCIALS 2024.xlsx</t>
        </is>
      </c>
      <c r="N240" s="75" t="inlineStr">
        <is>
          <t>APRIL TURNOVER</t>
        </is>
      </c>
      <c r="O240" s="75" t="n">
        <v>40</v>
      </c>
      <c r="P240" s="75" t="inlineStr">
        <is>
          <t>30/04/2024</t>
        </is>
      </c>
      <c r="Q240" s="75" t="inlineStr">
        <is>
          <t>TURNOVER SCHEDULE r150, MS YETUNDE ABISOYE r53</t>
        </is>
      </c>
      <c r="R240" s="75" t="n"/>
    </row>
    <row r="241" ht="25" customHeight="1">
      <c r="A241" s="78" t="inlineStr">
        <is>
          <t>SL0218</t>
        </is>
      </c>
      <c r="B241" s="79" t="n">
        <v>45412</v>
      </c>
      <c r="C241" s="78" t="inlineStr">
        <is>
          <t>2024-04</t>
        </is>
      </c>
      <c r="D241" s="78" t="n">
        <v>2024</v>
      </c>
      <c r="E241" s="78" t="inlineStr">
        <is>
          <t>Land</t>
        </is>
      </c>
      <c r="F241" s="78" t="inlineStr">
        <is>
          <t>Plot / unit price</t>
        </is>
      </c>
      <c r="G241" s="78" t="inlineStr">
        <is>
          <t>Green City Phase 1 (Lantaba, Ketu-Epe)</t>
        </is>
      </c>
      <c r="H241" s="78" t="inlineStr">
        <is>
          <t>BP-C0045</t>
        </is>
      </c>
      <c r="I241" s="78" t="inlineStr">
        <is>
          <t>Mr Bolarinwa Iyanuoluwa Simon &amp; Dr Bolarinwa Abisola Christianah</t>
        </is>
      </c>
      <c r="J241" s="80" t="n">
        <v>500000</v>
      </c>
      <c r="K241" s="78" t="inlineStr">
        <is>
          <t>Single register</t>
        </is>
      </c>
      <c r="L241" s="78" t="inlineStr">
        <is>
          <t>Primary: monthly turnover register</t>
        </is>
      </c>
      <c r="M241" s="78" t="inlineStr">
        <is>
          <t>BAAY PROJECTS FINANCIALS 2024.xlsx</t>
        </is>
      </c>
      <c r="N241" s="78" t="inlineStr">
        <is>
          <t>APRIL TURNOVER</t>
        </is>
      </c>
      <c r="O241" s="78" t="n">
        <v>41</v>
      </c>
      <c r="P241" s="78" t="inlineStr">
        <is>
          <t>30/04/2024</t>
        </is>
      </c>
      <c r="Q241" s="78" t="inlineStr">
        <is>
          <t>TURNOVER SCHEDULE r366, MD r22</t>
        </is>
      </c>
      <c r="R241" s="78" t="n"/>
    </row>
    <row r="242" ht="25" customHeight="1">
      <c r="A242" s="75" t="inlineStr">
        <is>
          <t>SL0219</t>
        </is>
      </c>
      <c r="B242" s="76" t="n">
        <v>45412</v>
      </c>
      <c r="C242" s="75" t="inlineStr">
        <is>
          <t>2024-04</t>
        </is>
      </c>
      <c r="D242" s="75" t="n">
        <v>2024</v>
      </c>
      <c r="E242" s="75" t="inlineStr">
        <is>
          <t>Land</t>
        </is>
      </c>
      <c r="F242" s="75" t="inlineStr">
        <is>
          <t>Plot / unit price</t>
        </is>
      </c>
      <c r="G242" s="75" t="inlineStr">
        <is>
          <t>Green City Phase 2 (Ketu-Epe)</t>
        </is>
      </c>
      <c r="H242" s="75" t="inlineStr">
        <is>
          <t>BP-C0051</t>
        </is>
      </c>
      <c r="I242" s="75" t="inlineStr">
        <is>
          <t>Mr Ogunleye Olumide Victor</t>
        </is>
      </c>
      <c r="J242" s="77" t="n">
        <v>450000</v>
      </c>
      <c r="K242" s="75" t="inlineStr">
        <is>
          <t>Single register</t>
        </is>
      </c>
      <c r="L242" s="75" t="inlineStr">
        <is>
          <t>Primary: monthly turnover register</t>
        </is>
      </c>
      <c r="M242" s="75" t="inlineStr">
        <is>
          <t>BAAY PROJECTS FINANCIALS 2024.xlsx</t>
        </is>
      </c>
      <c r="N242" s="75" t="inlineStr">
        <is>
          <t>APRIL TURNOVER</t>
        </is>
      </c>
      <c r="O242" s="75" t="n">
        <v>39</v>
      </c>
      <c r="P242" s="75" t="inlineStr">
        <is>
          <t>30/04/2024</t>
        </is>
      </c>
      <c r="Q242" s="75" t="inlineStr">
        <is>
          <t>TURNOVER SCHEDULE r47</t>
        </is>
      </c>
      <c r="R242" s="75" t="n"/>
    </row>
    <row r="243" ht="25" customHeight="1">
      <c r="A243" s="78" t="inlineStr">
        <is>
          <t>SL0220</t>
        </is>
      </c>
      <c r="B243" s="79" t="n">
        <v>45412</v>
      </c>
      <c r="C243" s="78" t="inlineStr">
        <is>
          <t>2024-04</t>
        </is>
      </c>
      <c r="D243" s="78" t="n">
        <v>2024</v>
      </c>
      <c r="E243" s="78" t="inlineStr">
        <is>
          <t>Land</t>
        </is>
      </c>
      <c r="F243" s="78" t="inlineStr">
        <is>
          <t>Plot / unit price</t>
        </is>
      </c>
      <c r="G243" s="78" t="inlineStr">
        <is>
          <t>Green City Phase 1 (Lantaba, Ketu-Epe)</t>
        </is>
      </c>
      <c r="H243" s="78" t="inlineStr">
        <is>
          <t>BP-C0029</t>
        </is>
      </c>
      <c r="I243" s="78" t="inlineStr">
        <is>
          <t>Mr Ohanehi Anthony Patrick</t>
        </is>
      </c>
      <c r="J243" s="80" t="n">
        <v>1000000</v>
      </c>
      <c r="K243" s="78" t="inlineStr">
        <is>
          <t>Single register</t>
        </is>
      </c>
      <c r="L243" s="78" t="inlineStr">
        <is>
          <t>Primary: monthly turnover register</t>
        </is>
      </c>
      <c r="M243" s="78" t="inlineStr">
        <is>
          <t>BAAY PROJECTS FINANCIALS 2024.xlsx</t>
        </is>
      </c>
      <c r="N243" s="78" t="inlineStr">
        <is>
          <t>APRIL TURNOVER</t>
        </is>
      </c>
      <c r="O243" s="78" t="n">
        <v>44</v>
      </c>
      <c r="P243" s="78" t="inlineStr">
        <is>
          <t>30/04/2024</t>
        </is>
      </c>
      <c r="Q243" s="78" t="n"/>
      <c r="R243" s="78" t="n"/>
    </row>
    <row r="244" ht="25" customHeight="1">
      <c r="A244" s="75" t="inlineStr">
        <is>
          <t>SL0221</t>
        </is>
      </c>
      <c r="B244" s="76" t="n">
        <v>45412</v>
      </c>
      <c r="C244" s="75" t="inlineStr">
        <is>
          <t>2024-04</t>
        </is>
      </c>
      <c r="D244" s="75" t="n">
        <v>2024</v>
      </c>
      <c r="E244" s="75" t="inlineStr">
        <is>
          <t>Land</t>
        </is>
      </c>
      <c r="F244" s="75" t="inlineStr">
        <is>
          <t>Plot / unit price</t>
        </is>
      </c>
      <c r="G244" s="75" t="inlineStr">
        <is>
          <t>Green City Phase 2 (Ketu-Epe)</t>
        </is>
      </c>
      <c r="H244" s="75" t="inlineStr">
        <is>
          <t>BP-C0075</t>
        </is>
      </c>
      <c r="I244" s="75" t="inlineStr">
        <is>
          <t>Ms Ogidan Funmilayo</t>
        </is>
      </c>
      <c r="J244" s="77" t="n">
        <v>300000</v>
      </c>
      <c r="K244" s="75" t="inlineStr">
        <is>
          <t>Single register</t>
        </is>
      </c>
      <c r="L244" s="75" t="inlineStr">
        <is>
          <t>Primary: monthly turnover register</t>
        </is>
      </c>
      <c r="M244" s="75" t="inlineStr">
        <is>
          <t>BAAY PROJECTS FINANCIALS 2024.xlsx</t>
        </is>
      </c>
      <c r="N244" s="75" t="inlineStr">
        <is>
          <t>APRIL TURNOVER</t>
        </is>
      </c>
      <c r="O244" s="75" t="n">
        <v>43</v>
      </c>
      <c r="P244" s="75" t="inlineStr">
        <is>
          <t>30/04/2024</t>
        </is>
      </c>
      <c r="Q244" s="75" t="inlineStr">
        <is>
          <t>TURNOVER SCHEDULE r271, OGIDAN r10</t>
        </is>
      </c>
      <c r="R244" s="75" t="n"/>
    </row>
    <row r="245" ht="25" customHeight="1">
      <c r="A245" s="78" t="inlineStr">
        <is>
          <t>SL0222</t>
        </is>
      </c>
      <c r="B245" s="79" t="n">
        <v>45413</v>
      </c>
      <c r="C245" s="78" t="inlineStr">
        <is>
          <t>2024-05</t>
        </is>
      </c>
      <c r="D245" s="78" t="n">
        <v>2024</v>
      </c>
      <c r="E245" s="78" t="inlineStr">
        <is>
          <t>Land</t>
        </is>
      </c>
      <c r="F245" s="78" t="inlineStr">
        <is>
          <t>Plot / unit price</t>
        </is>
      </c>
      <c r="G245" s="78" t="inlineStr">
        <is>
          <t>Green City Phase 1 (Lantaba, Ketu-Epe)</t>
        </is>
      </c>
      <c r="H245" s="78" t="inlineStr">
        <is>
          <t>BP-C0029</t>
        </is>
      </c>
      <c r="I245" s="78" t="inlineStr">
        <is>
          <t>Mr Ohanehi Anthony Chukwunonso</t>
        </is>
      </c>
      <c r="J245" s="80" t="n">
        <v>973000</v>
      </c>
      <c r="K245" s="78" t="inlineStr">
        <is>
          <t>Single register</t>
        </is>
      </c>
      <c r="L245" s="78" t="inlineStr">
        <is>
          <t>Primary: monthly turnover register</t>
        </is>
      </c>
      <c r="M245" s="78" t="inlineStr">
        <is>
          <t>BAAY PROJECTS FINANCIALS 2024.xlsx</t>
        </is>
      </c>
      <c r="N245" s="78" t="inlineStr">
        <is>
          <t>MAY TURNOVER</t>
        </is>
      </c>
      <c r="O245" s="78" t="n">
        <v>7</v>
      </c>
      <c r="P245" s="78" t="inlineStr">
        <is>
          <t>2024-01-05</t>
        </is>
      </c>
      <c r="Q245" s="78" t="inlineStr">
        <is>
          <t>TURNOVER SCHEDULE r339, IDAH MARYDAVID r4</t>
        </is>
      </c>
      <c r="R245" s="78" t="n"/>
    </row>
    <row r="246" ht="25" customHeight="1">
      <c r="A246" s="75" t="inlineStr">
        <is>
          <t>SL0223</t>
        </is>
      </c>
      <c r="B246" s="76" t="n">
        <v>45413</v>
      </c>
      <c r="C246" s="75" t="inlineStr">
        <is>
          <t>2024-05</t>
        </is>
      </c>
      <c r="D246" s="75" t="n">
        <v>2024</v>
      </c>
      <c r="E246" s="75" t="inlineStr">
        <is>
          <t>Land</t>
        </is>
      </c>
      <c r="F246" s="75" t="inlineStr">
        <is>
          <t>Plot / unit price</t>
        </is>
      </c>
      <c r="G246" s="75" t="inlineStr">
        <is>
          <t>Green City Phase 1 (Lantaba, Ketu-Epe)</t>
        </is>
      </c>
      <c r="H246" s="75" t="inlineStr">
        <is>
          <t>BP-C0044</t>
        </is>
      </c>
      <c r="I246" s="75" t="inlineStr">
        <is>
          <t>Mr Oluwase Babajide Victor</t>
        </is>
      </c>
      <c r="J246" s="77" t="n">
        <v>1000000</v>
      </c>
      <c r="K246" s="75" t="inlineStr">
        <is>
          <t>Single register</t>
        </is>
      </c>
      <c r="L246" s="75" t="inlineStr">
        <is>
          <t>Primary: monthly turnover register</t>
        </is>
      </c>
      <c r="M246" s="75" t="inlineStr">
        <is>
          <t>BAAY PROJECTS FINANCIALS 2024.xlsx</t>
        </is>
      </c>
      <c r="N246" s="75" t="inlineStr">
        <is>
          <t>MAY TURNOVER</t>
        </is>
      </c>
      <c r="O246" s="75" t="n">
        <v>6</v>
      </c>
      <c r="P246" s="75" t="inlineStr">
        <is>
          <t>2024-01-05</t>
        </is>
      </c>
      <c r="Q246" s="75" t="inlineStr">
        <is>
          <t>TURNOVER SCHEDULE r192, MD r29</t>
        </is>
      </c>
      <c r="R246" s="75" t="n"/>
    </row>
    <row r="247" ht="25" customHeight="1">
      <c r="A247" s="78" t="inlineStr">
        <is>
          <t>SL0224</t>
        </is>
      </c>
      <c r="B247" s="79" t="n">
        <v>45414</v>
      </c>
      <c r="C247" s="78" t="inlineStr">
        <is>
          <t>2024-05</t>
        </is>
      </c>
      <c r="D247" s="78" t="n">
        <v>2024</v>
      </c>
      <c r="E247" s="78" t="inlineStr">
        <is>
          <t>Land</t>
        </is>
      </c>
      <c r="F247" s="78" t="inlineStr">
        <is>
          <t>Plot / unit price</t>
        </is>
      </c>
      <c r="G247" s="78" t="inlineStr">
        <is>
          <t>Green City Phase 2 (Ketu-Epe)</t>
        </is>
      </c>
      <c r="H247" s="78" t="inlineStr">
        <is>
          <t>BP-C0012</t>
        </is>
      </c>
      <c r="I247" s="78" t="inlineStr">
        <is>
          <t>Mr Apiafi Imiebam</t>
        </is>
      </c>
      <c r="J247" s="80" t="n">
        <v>700000</v>
      </c>
      <c r="K247" s="78" t="inlineStr">
        <is>
          <t>Single register</t>
        </is>
      </c>
      <c r="L247" s="78" t="inlineStr">
        <is>
          <t>Primary: monthly turnover register</t>
        </is>
      </c>
      <c r="M247" s="78" t="inlineStr">
        <is>
          <t>BAAY PROJECTS FINANCIALS 2024.xlsx</t>
        </is>
      </c>
      <c r="N247" s="78" t="inlineStr">
        <is>
          <t>MAY TURNOVER</t>
        </is>
      </c>
      <c r="O247" s="78" t="n">
        <v>8</v>
      </c>
      <c r="P247" s="78" t="inlineStr">
        <is>
          <t>2024-02-05</t>
        </is>
      </c>
      <c r="Q247" s="78" t="inlineStr">
        <is>
          <t>TURNOVER SCHEDULE r309, MS BLESSING r35</t>
        </is>
      </c>
      <c r="R247" s="78" t="n"/>
    </row>
    <row r="248" ht="25" customHeight="1">
      <c r="A248" s="75" t="inlineStr">
        <is>
          <t>SL0225</t>
        </is>
      </c>
      <c r="B248" s="76" t="n">
        <v>45415</v>
      </c>
      <c r="C248" s="75" t="inlineStr">
        <is>
          <t>2024-05</t>
        </is>
      </c>
      <c r="D248" s="75" t="n">
        <v>2024</v>
      </c>
      <c r="E248" s="75" t="inlineStr">
        <is>
          <t>Land</t>
        </is>
      </c>
      <c r="F248" s="75" t="inlineStr">
        <is>
          <t>Plot / unit price</t>
        </is>
      </c>
      <c r="G248" s="75" t="inlineStr">
        <is>
          <t>Green City Phase 1 (Lantaba, Ketu-Epe)</t>
        </is>
      </c>
      <c r="H248" s="75" t="inlineStr">
        <is>
          <t>BP-C0029</t>
        </is>
      </c>
      <c r="I248" s="75" t="inlineStr">
        <is>
          <t>Mr Ohanehi Anthony Chukwunonso</t>
        </is>
      </c>
      <c r="J248" s="77" t="n">
        <v>1334750</v>
      </c>
      <c r="K248" s="75" t="inlineStr">
        <is>
          <t>Single register</t>
        </is>
      </c>
      <c r="L248" s="75" t="inlineStr">
        <is>
          <t>Primary: monthly turnover register</t>
        </is>
      </c>
      <c r="M248" s="75" t="inlineStr">
        <is>
          <t>BAAY PROJECTS FINANCIALS 2024.xlsx</t>
        </is>
      </c>
      <c r="N248" s="75" t="inlineStr">
        <is>
          <t>MAY TURNOVER</t>
        </is>
      </c>
      <c r="O248" s="75" t="n">
        <v>9</v>
      </c>
      <c r="P248" s="75" t="inlineStr">
        <is>
          <t>2024-03-05</t>
        </is>
      </c>
      <c r="Q248" s="75" t="inlineStr">
        <is>
          <t>TURNOVER SCHEDULE r340, IDAH MARYDAVID r5</t>
        </is>
      </c>
      <c r="R248" s="75" t="n"/>
    </row>
    <row r="249" ht="25" customHeight="1">
      <c r="A249" s="78" t="inlineStr">
        <is>
          <t>SL0226</t>
        </is>
      </c>
      <c r="B249" s="79" t="n">
        <v>45415</v>
      </c>
      <c r="C249" s="78" t="inlineStr">
        <is>
          <t>2024-05</t>
        </is>
      </c>
      <c r="D249" s="78" t="n">
        <v>2024</v>
      </c>
      <c r="E249" s="78" t="inlineStr">
        <is>
          <t>Land</t>
        </is>
      </c>
      <c r="F249" s="78" t="inlineStr">
        <is>
          <t>Plot / unit price</t>
        </is>
      </c>
      <c r="G249" s="78" t="inlineStr">
        <is>
          <t>Green City Phase 2 (Ketu-Epe)</t>
        </is>
      </c>
      <c r="H249" s="78" t="inlineStr">
        <is>
          <t>BP-C0087</t>
        </is>
      </c>
      <c r="I249" s="78" t="inlineStr">
        <is>
          <t>Mr Okeme Danjuma</t>
        </is>
      </c>
      <c r="J249" s="80" t="n">
        <v>1600000</v>
      </c>
      <c r="K249" s="78" t="inlineStr">
        <is>
          <t>Single register</t>
        </is>
      </c>
      <c r="L249" s="78" t="inlineStr">
        <is>
          <t>Primary: monthly turnover register</t>
        </is>
      </c>
      <c r="M249" s="78" t="inlineStr">
        <is>
          <t>BAAY PROJECTS FINANCIALS 2024.xlsx</t>
        </is>
      </c>
      <c r="N249" s="78" t="inlineStr">
        <is>
          <t>MAY TURNOVER</t>
        </is>
      </c>
      <c r="O249" s="78" t="n">
        <v>10</v>
      </c>
      <c r="P249" s="78" t="inlineStr">
        <is>
          <t>2024-03-05</t>
        </is>
      </c>
      <c r="Q249" s="78" t="inlineStr">
        <is>
          <t>TURNOVER SCHEDULE r345, FESTUS r10</t>
        </is>
      </c>
      <c r="R249" s="78" t="n"/>
    </row>
    <row r="250" ht="25" customHeight="1">
      <c r="A250" s="75" t="inlineStr">
        <is>
          <t>SL0227</t>
        </is>
      </c>
      <c r="B250" s="76" t="n">
        <v>45418</v>
      </c>
      <c r="C250" s="75" t="inlineStr">
        <is>
          <t>2024-05</t>
        </is>
      </c>
      <c r="D250" s="75" t="n">
        <v>2024</v>
      </c>
      <c r="E250" s="75" t="inlineStr">
        <is>
          <t>Land</t>
        </is>
      </c>
      <c r="F250" s="75" t="inlineStr">
        <is>
          <t>Plot / unit price</t>
        </is>
      </c>
      <c r="G250" s="75" t="inlineStr">
        <is>
          <t>Green City Phase 2 (Ketu-Epe)</t>
        </is>
      </c>
      <c r="H250" s="75" t="inlineStr">
        <is>
          <t>BP-C0029</t>
        </is>
      </c>
      <c r="I250" s="75" t="inlineStr">
        <is>
          <t>Mr Ohanehi Anthony Chukwunonso</t>
        </is>
      </c>
      <c r="J250" s="77" t="n">
        <v>148000</v>
      </c>
      <c r="K250" s="75" t="inlineStr">
        <is>
          <t>Single register</t>
        </is>
      </c>
      <c r="L250" s="75" t="inlineStr">
        <is>
          <t>Primary: monthly turnover register</t>
        </is>
      </c>
      <c r="M250" s="75" t="inlineStr">
        <is>
          <t>BAAY PROJECTS FINANCIALS 2024.xlsx</t>
        </is>
      </c>
      <c r="N250" s="75" t="inlineStr">
        <is>
          <t>MAY TURNOVER</t>
        </is>
      </c>
      <c r="O250" s="75" t="n">
        <v>11</v>
      </c>
      <c r="P250" s="75" t="inlineStr">
        <is>
          <t>2024-06-05</t>
        </is>
      </c>
      <c r="Q250" s="75" t="inlineStr">
        <is>
          <t>TURNOVER SCHEDULE r341, IDAH MARYDAVID r6</t>
        </is>
      </c>
      <c r="R250" s="75" t="n"/>
    </row>
    <row r="251" ht="25" customHeight="1">
      <c r="A251" s="78" t="inlineStr">
        <is>
          <t>SL0228</t>
        </is>
      </c>
      <c r="B251" s="79" t="n">
        <v>45420</v>
      </c>
      <c r="C251" s="78" t="inlineStr">
        <is>
          <t>2024-05</t>
        </is>
      </c>
      <c r="D251" s="78" t="n">
        <v>2024</v>
      </c>
      <c r="E251" s="78" t="inlineStr">
        <is>
          <t>Land</t>
        </is>
      </c>
      <c r="F251" s="78" t="inlineStr">
        <is>
          <t>Plot / unit price</t>
        </is>
      </c>
      <c r="G251" s="78" t="inlineStr">
        <is>
          <t>Green City Phase 2 (Ketu-Epe)</t>
        </is>
      </c>
      <c r="H251" s="78" t="inlineStr">
        <is>
          <t>BP-C0090</t>
        </is>
      </c>
      <c r="I251" s="78" t="inlineStr">
        <is>
          <t>Mr Ajiva Lubem Barnabas</t>
        </is>
      </c>
      <c r="J251" s="80" t="n">
        <v>50000</v>
      </c>
      <c r="K251" s="78" t="inlineStr">
        <is>
          <t>Single register</t>
        </is>
      </c>
      <c r="L251" s="78" t="inlineStr">
        <is>
          <t>Primary: monthly turnover register</t>
        </is>
      </c>
      <c r="M251" s="78" t="inlineStr">
        <is>
          <t>BAAY PROJECTS FINANCIALS 2024.xlsx</t>
        </is>
      </c>
      <c r="N251" s="78" t="inlineStr">
        <is>
          <t>MAY TURNOVER</t>
        </is>
      </c>
      <c r="O251" s="78" t="n">
        <v>12</v>
      </c>
      <c r="P251" s="78" t="inlineStr">
        <is>
          <t>2024-08-05</t>
        </is>
      </c>
      <c r="Q251" s="78" t="inlineStr">
        <is>
          <t>TURNOVER SCHEDULE r360, FASUYI OLAYINKA r17</t>
        </is>
      </c>
      <c r="R251" s="78" t="n"/>
    </row>
    <row r="252" ht="25" customHeight="1">
      <c r="A252" s="75" t="inlineStr">
        <is>
          <t>SL0229</t>
        </is>
      </c>
      <c r="B252" s="76" t="n">
        <v>45421</v>
      </c>
      <c r="C252" s="75" t="inlineStr">
        <is>
          <t>2024-05</t>
        </is>
      </c>
      <c r="D252" s="75" t="n">
        <v>2024</v>
      </c>
      <c r="E252" s="75" t="inlineStr">
        <is>
          <t>Land</t>
        </is>
      </c>
      <c r="F252" s="75" t="inlineStr">
        <is>
          <t>Plot / unit price</t>
        </is>
      </c>
      <c r="G252" s="75" t="inlineStr">
        <is>
          <t>Green City Phase 1 (Lantaba, Ketu-Epe)</t>
        </is>
      </c>
      <c r="H252" s="75" t="inlineStr">
        <is>
          <t>BP-C0027</t>
        </is>
      </c>
      <c r="I252" s="75" t="inlineStr">
        <is>
          <t>Mr Edun Ayobami</t>
        </is>
      </c>
      <c r="J252" s="77" t="n">
        <v>720000</v>
      </c>
      <c r="K252" s="75" t="inlineStr">
        <is>
          <t>Single register</t>
        </is>
      </c>
      <c r="L252" s="75" t="inlineStr">
        <is>
          <t>Primary: monthly turnover register</t>
        </is>
      </c>
      <c r="M252" s="75" t="inlineStr">
        <is>
          <t>BAAY PROJECTS FINANCIALS 2024.xlsx</t>
        </is>
      </c>
      <c r="N252" s="75" t="inlineStr">
        <is>
          <t>MAY TURNOVER</t>
        </is>
      </c>
      <c r="O252" s="75" t="n">
        <v>14</v>
      </c>
      <c r="P252" s="75" t="inlineStr">
        <is>
          <t>2024-09-05</t>
        </is>
      </c>
      <c r="Q252" s="75" t="inlineStr">
        <is>
          <t>TURNOVER SCHEDULE r133, MRS ABIMBOLA r83</t>
        </is>
      </c>
      <c r="R252" s="75" t="n"/>
    </row>
    <row r="253" ht="25" customHeight="1">
      <c r="A253" s="78" t="inlineStr">
        <is>
          <t>SL0230</t>
        </is>
      </c>
      <c r="B253" s="79" t="n">
        <v>45421</v>
      </c>
      <c r="C253" s="78" t="inlineStr">
        <is>
          <t>2024-05</t>
        </is>
      </c>
      <c r="D253" s="78" t="n">
        <v>2024</v>
      </c>
      <c r="E253" s="78" t="inlineStr">
        <is>
          <t>Land</t>
        </is>
      </c>
      <c r="F253" s="78" t="inlineStr">
        <is>
          <t>Plot / unit price</t>
        </is>
      </c>
      <c r="G253" s="78" t="inlineStr">
        <is>
          <t>Green City Phase 1 (Lantaba, Ketu-Epe)</t>
        </is>
      </c>
      <c r="H253" s="78" t="inlineStr">
        <is>
          <t>BP-C0006</t>
        </is>
      </c>
      <c r="I253" s="78" t="inlineStr">
        <is>
          <t>Mr Olasupo Oladimeji</t>
        </is>
      </c>
      <c r="J253" s="80" t="n">
        <v>1000000</v>
      </c>
      <c r="K253" s="78" t="inlineStr">
        <is>
          <t>Single register</t>
        </is>
      </c>
      <c r="L253" s="78" t="inlineStr">
        <is>
          <t>Primary: monthly turnover register</t>
        </is>
      </c>
      <c r="M253" s="78" t="inlineStr">
        <is>
          <t>BAAY PROJECTS FINANCIALS 2024.xlsx</t>
        </is>
      </c>
      <c r="N253" s="78" t="inlineStr">
        <is>
          <t>MAY TURNOVER</t>
        </is>
      </c>
      <c r="O253" s="78" t="n">
        <v>13</v>
      </c>
      <c r="P253" s="78" t="inlineStr">
        <is>
          <t>2024-09-05</t>
        </is>
      </c>
      <c r="Q253" s="78" t="n"/>
      <c r="R253" s="78" t="n"/>
    </row>
    <row r="254" ht="25" customHeight="1">
      <c r="A254" s="75" t="inlineStr">
        <is>
          <t>SL0231</t>
        </is>
      </c>
      <c r="B254" s="76" t="n">
        <v>45422</v>
      </c>
      <c r="C254" s="75" t="inlineStr">
        <is>
          <t>2024-05</t>
        </is>
      </c>
      <c r="D254" s="75" t="n">
        <v>2024</v>
      </c>
      <c r="E254" s="75" t="inlineStr">
        <is>
          <t>Land</t>
        </is>
      </c>
      <c r="F254" s="75" t="inlineStr">
        <is>
          <t>Plot / unit price</t>
        </is>
      </c>
      <c r="G254" s="75" t="inlineStr">
        <is>
          <t>Green City Phase 2 (Ketu-Epe)</t>
        </is>
      </c>
      <c r="H254" s="75" t="inlineStr">
        <is>
          <t>BP-C0090</t>
        </is>
      </c>
      <c r="I254" s="75" t="inlineStr">
        <is>
          <t>Mr Ajiva Lubem Barnabas</t>
        </is>
      </c>
      <c r="J254" s="77" t="n">
        <v>50000</v>
      </c>
      <c r="K254" s="75" t="inlineStr">
        <is>
          <t>Single register</t>
        </is>
      </c>
      <c r="L254" s="75" t="inlineStr">
        <is>
          <t>Primary: monthly turnover register</t>
        </is>
      </c>
      <c r="M254" s="75" t="inlineStr">
        <is>
          <t>BAAY PROJECTS FINANCIALS 2024.xlsx</t>
        </is>
      </c>
      <c r="N254" s="75" t="inlineStr">
        <is>
          <t>MAY TURNOVER</t>
        </is>
      </c>
      <c r="O254" s="75" t="n">
        <v>15</v>
      </c>
      <c r="P254" s="75" t="inlineStr">
        <is>
          <t>2024-10-05</t>
        </is>
      </c>
      <c r="Q254" s="75" t="inlineStr">
        <is>
          <t>TURNOVER SCHEDULE r361, FASUYI OLAYINKA r18</t>
        </is>
      </c>
      <c r="R254" s="75" t="n"/>
    </row>
    <row r="255" ht="25" customHeight="1">
      <c r="A255" s="78" t="inlineStr">
        <is>
          <t>SL0232</t>
        </is>
      </c>
      <c r="B255" s="79" t="n">
        <v>45424</v>
      </c>
      <c r="C255" s="78" t="inlineStr">
        <is>
          <t>2024-05</t>
        </is>
      </c>
      <c r="D255" s="78" t="n">
        <v>2024</v>
      </c>
      <c r="E255" s="78" t="inlineStr">
        <is>
          <t>Land</t>
        </is>
      </c>
      <c r="F255" s="78" t="inlineStr">
        <is>
          <t>Plot / unit price</t>
        </is>
      </c>
      <c r="G255" s="78" t="inlineStr">
        <is>
          <t>Green City Phase 2 (Ketu-Epe)</t>
        </is>
      </c>
      <c r="H255" s="78" t="inlineStr">
        <is>
          <t>BP-C0066</t>
        </is>
      </c>
      <c r="I255" s="78" t="inlineStr">
        <is>
          <t>Miss Omosanya Dotun Akeju</t>
        </is>
      </c>
      <c r="J255" s="80" t="n">
        <v>1200000</v>
      </c>
      <c r="K255" s="78" t="inlineStr">
        <is>
          <t>Single register</t>
        </is>
      </c>
      <c r="L255" s="78" t="inlineStr">
        <is>
          <t>Primary: monthly turnover register</t>
        </is>
      </c>
      <c r="M255" s="78" t="inlineStr">
        <is>
          <t>BAAY PROJECTS FINANCIALS 2024.xlsx</t>
        </is>
      </c>
      <c r="N255" s="78" t="inlineStr">
        <is>
          <t>MAY TURNOVER</t>
        </is>
      </c>
      <c r="O255" s="78" t="n">
        <v>17</v>
      </c>
      <c r="P255" s="78" t="inlineStr">
        <is>
          <t>2024-12-05</t>
        </is>
      </c>
      <c r="Q255" s="78" t="inlineStr">
        <is>
          <t>TURNOVER SCHEDULE r350, MS BOLANLE r60, MS BLESSING OJI r16</t>
        </is>
      </c>
      <c r="R255" s="78" t="n"/>
    </row>
    <row r="256" ht="25" customHeight="1">
      <c r="A256" s="75" t="inlineStr">
        <is>
          <t>SL0233</t>
        </is>
      </c>
      <c r="B256" s="76" t="n">
        <v>45424</v>
      </c>
      <c r="C256" s="75" t="inlineStr">
        <is>
          <t>2024-05</t>
        </is>
      </c>
      <c r="D256" s="75" t="n">
        <v>2024</v>
      </c>
      <c r="E256" s="75" t="inlineStr">
        <is>
          <t>Land</t>
        </is>
      </c>
      <c r="F256" s="75" t="inlineStr">
        <is>
          <t>Plot / unit price</t>
        </is>
      </c>
      <c r="G256" s="75" t="inlineStr">
        <is>
          <t>Green City Phase 2 (Ketu-Epe)</t>
        </is>
      </c>
      <c r="H256" s="75" t="inlineStr">
        <is>
          <t>BP-C0091</t>
        </is>
      </c>
      <c r="I256" s="75" t="inlineStr">
        <is>
          <t>Mr Ojo Olugbenga Daniel &amp; Mrs Ojo Omolola Oyewunmi</t>
        </is>
      </c>
      <c r="J256" s="77" t="n">
        <v>1500000</v>
      </c>
      <c r="K256" s="75" t="inlineStr">
        <is>
          <t>Single register</t>
        </is>
      </c>
      <c r="L256" s="75" t="inlineStr">
        <is>
          <t>Primary: monthly turnover register</t>
        </is>
      </c>
      <c r="M256" s="75" t="inlineStr">
        <is>
          <t>BAAY PROJECTS FINANCIALS 2024.xlsx</t>
        </is>
      </c>
      <c r="N256" s="75" t="inlineStr">
        <is>
          <t>MAY TURNOVER</t>
        </is>
      </c>
      <c r="O256" s="75" t="n">
        <v>16</v>
      </c>
      <c r="P256" s="75" t="inlineStr">
        <is>
          <t>2024-12-05</t>
        </is>
      </c>
      <c r="Q256" s="75" t="inlineStr">
        <is>
          <t>TURNOVER SCHEDULE r354, MRS ABIMBOLA r77</t>
        </is>
      </c>
      <c r="R256" s="75" t="n"/>
    </row>
    <row r="257" ht="25" customHeight="1">
      <c r="A257" s="78" t="inlineStr">
        <is>
          <t>SL0234</t>
        </is>
      </c>
      <c r="B257" s="79" t="n">
        <v>45425</v>
      </c>
      <c r="C257" s="78" t="inlineStr">
        <is>
          <t>2024-05</t>
        </is>
      </c>
      <c r="D257" s="78" t="n">
        <v>2024</v>
      </c>
      <c r="E257" s="78" t="inlineStr">
        <is>
          <t>Land</t>
        </is>
      </c>
      <c r="F257" s="78" t="inlineStr">
        <is>
          <t>Plot / unit price</t>
        </is>
      </c>
      <c r="G257" s="78" t="inlineStr">
        <is>
          <t>Green City Phase 2 (Ketu-Epe)</t>
        </is>
      </c>
      <c r="H257" s="78" t="inlineStr">
        <is>
          <t>BP-C0090</t>
        </is>
      </c>
      <c r="I257" s="78" t="inlineStr">
        <is>
          <t>Mr Ajiva Lubem Barnabas</t>
        </is>
      </c>
      <c r="J257" s="80" t="n">
        <v>50000</v>
      </c>
      <c r="K257" s="78" t="inlineStr">
        <is>
          <t>Single register</t>
        </is>
      </c>
      <c r="L257" s="78" t="inlineStr">
        <is>
          <t>Primary: monthly turnover register</t>
        </is>
      </c>
      <c r="M257" s="78" t="inlineStr">
        <is>
          <t>BAAY PROJECTS FINANCIALS 2024.xlsx</t>
        </is>
      </c>
      <c r="N257" s="78" t="inlineStr">
        <is>
          <t>MAY TURNOVER</t>
        </is>
      </c>
      <c r="O257" s="78" t="n">
        <v>18</v>
      </c>
      <c r="P257" s="78" t="inlineStr">
        <is>
          <t>13/05/2024</t>
        </is>
      </c>
      <c r="Q257" s="78" t="inlineStr">
        <is>
          <t>TURNOVER SCHEDULE r362</t>
        </is>
      </c>
      <c r="R257" s="78" t="n"/>
    </row>
    <row r="258" ht="25" customHeight="1">
      <c r="A258" s="75" t="inlineStr">
        <is>
          <t>SL0235</t>
        </is>
      </c>
      <c r="B258" s="76" t="n">
        <v>45425</v>
      </c>
      <c r="C258" s="75" t="inlineStr">
        <is>
          <t>2024-05</t>
        </is>
      </c>
      <c r="D258" s="75" t="n">
        <v>2024</v>
      </c>
      <c r="E258" s="75" t="inlineStr">
        <is>
          <t>Land</t>
        </is>
      </c>
      <c r="F258" s="75" t="inlineStr">
        <is>
          <t>Plot / unit price</t>
        </is>
      </c>
      <c r="G258" s="75" t="inlineStr">
        <is>
          <t>Green City Phase 1 (Lantaba, Ketu-Epe)</t>
        </is>
      </c>
      <c r="H258" s="75" t="inlineStr">
        <is>
          <t>BP-C0010</t>
        </is>
      </c>
      <c r="I258" s="75" t="inlineStr">
        <is>
          <t>Mrs Yohanna Paulina</t>
        </is>
      </c>
      <c r="J258" s="77" t="n">
        <v>2300000</v>
      </c>
      <c r="K258" s="75" t="inlineStr">
        <is>
          <t>Single register</t>
        </is>
      </c>
      <c r="L258" s="75" t="inlineStr">
        <is>
          <t>Primary: monthly turnover register</t>
        </is>
      </c>
      <c r="M258" s="75" t="inlineStr">
        <is>
          <t>BAAY PROJECTS FINANCIALS 2024.xlsx</t>
        </is>
      </c>
      <c r="N258" s="75" t="inlineStr">
        <is>
          <t>MAY TURNOVER</t>
        </is>
      </c>
      <c r="O258" s="75" t="n">
        <v>19</v>
      </c>
      <c r="P258" s="75" t="inlineStr">
        <is>
          <t>13/05/2024</t>
        </is>
      </c>
      <c r="Q258" s="75" t="inlineStr">
        <is>
          <t>TURNOVER SCHEDULE r294</t>
        </is>
      </c>
      <c r="R258" s="75" t="n"/>
    </row>
    <row r="259" ht="25" customHeight="1">
      <c r="A259" s="78" t="inlineStr">
        <is>
          <t>SL0236</t>
        </is>
      </c>
      <c r="B259" s="79" t="n">
        <v>45427</v>
      </c>
      <c r="C259" s="78" t="inlineStr">
        <is>
          <t>2024-05</t>
        </is>
      </c>
      <c r="D259" s="78" t="n">
        <v>2024</v>
      </c>
      <c r="E259" s="78" t="inlineStr">
        <is>
          <t>Land</t>
        </is>
      </c>
      <c r="F259" s="78" t="inlineStr">
        <is>
          <t>Plot / unit price</t>
        </is>
      </c>
      <c r="G259" s="78" t="inlineStr">
        <is>
          <t>Green City Phase 2 (Ketu-Epe)</t>
        </is>
      </c>
      <c r="H259" s="78" t="inlineStr">
        <is>
          <t>BP-C0080</t>
        </is>
      </c>
      <c r="I259" s="78" t="inlineStr">
        <is>
          <t>Dr Ayansola Jeremiah Funso</t>
        </is>
      </c>
      <c r="J259" s="80" t="n">
        <v>500000</v>
      </c>
      <c r="K259" s="78" t="inlineStr">
        <is>
          <t>Single register</t>
        </is>
      </c>
      <c r="L259" s="78" t="inlineStr">
        <is>
          <t>Primary: monthly turnover register</t>
        </is>
      </c>
      <c r="M259" s="78" t="inlineStr">
        <is>
          <t>BAAY PROJECTS FINANCIALS 2024.xlsx</t>
        </is>
      </c>
      <c r="N259" s="78" t="inlineStr">
        <is>
          <t>MAY TURNOVER</t>
        </is>
      </c>
      <c r="O259" s="78" t="n">
        <v>21</v>
      </c>
      <c r="P259" s="78" t="inlineStr">
        <is>
          <t>15/05/2024</t>
        </is>
      </c>
      <c r="Q259" s="78" t="inlineStr">
        <is>
          <t>TURNOVER SCHEDULE r300, MR JUWON r24</t>
        </is>
      </c>
      <c r="R259" s="78" t="n"/>
    </row>
    <row r="260" ht="25" customHeight="1">
      <c r="A260" s="75" t="inlineStr">
        <is>
          <t>SL0237</t>
        </is>
      </c>
      <c r="B260" s="76" t="n">
        <v>45427</v>
      </c>
      <c r="C260" s="75" t="inlineStr">
        <is>
          <t>2024-05</t>
        </is>
      </c>
      <c r="D260" s="75" t="n">
        <v>2024</v>
      </c>
      <c r="E260" s="75" t="inlineStr">
        <is>
          <t>Land</t>
        </is>
      </c>
      <c r="F260" s="75" t="inlineStr">
        <is>
          <t>Plot / unit price</t>
        </is>
      </c>
      <c r="G260" s="75" t="inlineStr">
        <is>
          <t>Green City Phase 2 (Ketu-Epe)</t>
        </is>
      </c>
      <c r="H260" s="75" t="inlineStr">
        <is>
          <t>BP-C0079</t>
        </is>
      </c>
      <c r="I260" s="75" t="inlineStr">
        <is>
          <t>Miss Ukachi Florence Oluchi</t>
        </is>
      </c>
      <c r="J260" s="77" t="n">
        <v>1000000</v>
      </c>
      <c r="K260" s="75" t="inlineStr">
        <is>
          <t>Single register</t>
        </is>
      </c>
      <c r="L260" s="75" t="inlineStr">
        <is>
          <t>Primary: monthly turnover register</t>
        </is>
      </c>
      <c r="M260" s="75" t="inlineStr">
        <is>
          <t>BAAY PROJECTS FINANCIALS 2024.xlsx</t>
        </is>
      </c>
      <c r="N260" s="75" t="inlineStr">
        <is>
          <t>MAY TURNOVER</t>
        </is>
      </c>
      <c r="O260" s="75" t="n">
        <v>22</v>
      </c>
      <c r="P260" s="75" t="inlineStr">
        <is>
          <t>15/05/2024</t>
        </is>
      </c>
      <c r="Q260" s="75" t="inlineStr">
        <is>
          <t>TURNOVER SCHEDULE r252, MS FEYI r6</t>
        </is>
      </c>
      <c r="R260" s="75" t="n"/>
    </row>
    <row r="261" ht="25" customHeight="1">
      <c r="A261" s="78" t="inlineStr">
        <is>
          <t>SL0238</t>
        </is>
      </c>
      <c r="B261" s="79" t="n">
        <v>45427</v>
      </c>
      <c r="C261" s="78" t="inlineStr">
        <is>
          <t>2024-05</t>
        </is>
      </c>
      <c r="D261" s="78" t="n">
        <v>2024</v>
      </c>
      <c r="E261" s="78" t="inlineStr">
        <is>
          <t>Land</t>
        </is>
      </c>
      <c r="F261" s="78" t="inlineStr">
        <is>
          <t>Plot / unit price</t>
        </is>
      </c>
      <c r="G261" s="78" t="inlineStr">
        <is>
          <t>Green City Phase 2 (Ketu-Epe)</t>
        </is>
      </c>
      <c r="H261" s="78" t="inlineStr">
        <is>
          <t>BP-C0051</t>
        </is>
      </c>
      <c r="I261" s="78" t="inlineStr">
        <is>
          <t>Mr Ogunleye Olumide</t>
        </is>
      </c>
      <c r="J261" s="80" t="n">
        <v>400000</v>
      </c>
      <c r="K261" s="78" t="inlineStr">
        <is>
          <t>Single register</t>
        </is>
      </c>
      <c r="L261" s="78" t="inlineStr">
        <is>
          <t>Primary: monthly turnover register</t>
        </is>
      </c>
      <c r="M261" s="78" t="inlineStr">
        <is>
          <t>BAAY PROJECTS FINANCIALS 2024.xlsx</t>
        </is>
      </c>
      <c r="N261" s="78" t="inlineStr">
        <is>
          <t>MAY TURNOVER</t>
        </is>
      </c>
      <c r="O261" s="78" t="n">
        <v>20</v>
      </c>
      <c r="P261" s="78" t="inlineStr">
        <is>
          <t>15/05/2024</t>
        </is>
      </c>
      <c r="Q261" s="78" t="inlineStr">
        <is>
          <t>TURNOVER SCHEDULE r48</t>
        </is>
      </c>
      <c r="R261" s="78" t="n"/>
    </row>
    <row r="262" ht="25" customHeight="1">
      <c r="A262" s="75" t="inlineStr">
        <is>
          <t>SL0239</t>
        </is>
      </c>
      <c r="B262" s="76" t="n">
        <v>45428</v>
      </c>
      <c r="C262" s="75" t="inlineStr">
        <is>
          <t>2024-05</t>
        </is>
      </c>
      <c r="D262" s="75" t="n">
        <v>2024</v>
      </c>
      <c r="E262" s="75" t="inlineStr">
        <is>
          <t>Land</t>
        </is>
      </c>
      <c r="F262" s="75" t="inlineStr">
        <is>
          <t>Plot / unit price</t>
        </is>
      </c>
      <c r="G262" s="75" t="inlineStr">
        <is>
          <t>Green City Phase 1 (Lantaba, Ketu-Epe)</t>
        </is>
      </c>
      <c r="H262" s="75" t="inlineStr">
        <is>
          <t>BP-C0006</t>
        </is>
      </c>
      <c r="I262" s="75" t="inlineStr">
        <is>
          <t>Mr Olasupo Oladimeji</t>
        </is>
      </c>
      <c r="J262" s="77" t="n">
        <v>1000000</v>
      </c>
      <c r="K262" s="75" t="inlineStr">
        <is>
          <t>Single register</t>
        </is>
      </c>
      <c r="L262" s="75" t="inlineStr">
        <is>
          <t>Primary: monthly turnover register</t>
        </is>
      </c>
      <c r="M262" s="75" t="inlineStr">
        <is>
          <t>BAAY PROJECTS FINANCIALS 2024.xlsx</t>
        </is>
      </c>
      <c r="N262" s="75" t="inlineStr">
        <is>
          <t>MAY TURNOVER</t>
        </is>
      </c>
      <c r="O262" s="75" t="n">
        <v>23</v>
      </c>
      <c r="P262" s="75" t="inlineStr">
        <is>
          <t>16/05/2024</t>
        </is>
      </c>
      <c r="Q262" s="75" t="inlineStr">
        <is>
          <t>MRS ABIMBOLA r78</t>
        </is>
      </c>
      <c r="R262" s="75" t="n"/>
    </row>
    <row r="263" ht="25" customHeight="1">
      <c r="A263" s="78" t="inlineStr">
        <is>
          <t>SL0240</t>
        </is>
      </c>
      <c r="B263" s="79" t="n">
        <v>45429</v>
      </c>
      <c r="C263" s="78" t="inlineStr">
        <is>
          <t>2024-05</t>
        </is>
      </c>
      <c r="D263" s="78" t="n">
        <v>2024</v>
      </c>
      <c r="E263" s="78" t="inlineStr">
        <is>
          <t>Land</t>
        </is>
      </c>
      <c r="F263" s="78" t="inlineStr">
        <is>
          <t>Plot / unit price</t>
        </is>
      </c>
      <c r="G263" s="78" t="inlineStr">
        <is>
          <t>Green City Phase 1 (Lantaba, Ketu-Epe)</t>
        </is>
      </c>
      <c r="H263" s="78" t="inlineStr">
        <is>
          <t>BP-C0053</t>
        </is>
      </c>
      <c r="I263" s="78" t="inlineStr">
        <is>
          <t>Mr Adegbembo Stephen</t>
        </is>
      </c>
      <c r="J263" s="80" t="n">
        <v>1000000</v>
      </c>
      <c r="K263" s="78" t="inlineStr">
        <is>
          <t>Single register</t>
        </is>
      </c>
      <c r="L263" s="78" t="inlineStr">
        <is>
          <t>Primary: monthly turnover register</t>
        </is>
      </c>
      <c r="M263" s="78" t="inlineStr">
        <is>
          <t>BAAY PROJECTS FINANCIALS 2024.xlsx</t>
        </is>
      </c>
      <c r="N263" s="78" t="inlineStr">
        <is>
          <t>MAY TURNOVER</t>
        </is>
      </c>
      <c r="O263" s="78" t="n">
        <v>25</v>
      </c>
      <c r="P263" s="78" t="inlineStr">
        <is>
          <t>17/05/2024</t>
        </is>
      </c>
      <c r="Q263" s="78" t="n"/>
      <c r="R263" s="78" t="n"/>
    </row>
    <row r="264" ht="25" customHeight="1">
      <c r="A264" s="75" t="inlineStr">
        <is>
          <t>SL0241</t>
        </is>
      </c>
      <c r="B264" s="76" t="n">
        <v>45429</v>
      </c>
      <c r="C264" s="75" t="inlineStr">
        <is>
          <t>2024-05</t>
        </is>
      </c>
      <c r="D264" s="75" t="n">
        <v>2024</v>
      </c>
      <c r="E264" s="75" t="inlineStr">
        <is>
          <t>Land</t>
        </is>
      </c>
      <c r="F264" s="75" t="inlineStr">
        <is>
          <t>Plot / unit price</t>
        </is>
      </c>
      <c r="G264" s="75" t="inlineStr">
        <is>
          <t>Green City Phase 2 (Ketu-Epe)</t>
        </is>
      </c>
      <c r="H264" s="75" t="inlineStr">
        <is>
          <t>BP-C0012</t>
        </is>
      </c>
      <c r="I264" s="75" t="inlineStr">
        <is>
          <t>Mr Apiafi Imiebam</t>
        </is>
      </c>
      <c r="J264" s="77" t="n">
        <v>1000000</v>
      </c>
      <c r="K264" s="75" t="inlineStr">
        <is>
          <t>Single register</t>
        </is>
      </c>
      <c r="L264" s="75" t="inlineStr">
        <is>
          <t>Primary: monthly turnover register</t>
        </is>
      </c>
      <c r="M264" s="75" t="inlineStr">
        <is>
          <t>BAAY PROJECTS FINANCIALS 2024.xlsx</t>
        </is>
      </c>
      <c r="N264" s="75" t="inlineStr">
        <is>
          <t>MAY TURNOVER</t>
        </is>
      </c>
      <c r="O264" s="75" t="n">
        <v>27</v>
      </c>
      <c r="P264" s="75" t="inlineStr">
        <is>
          <t>17/05/2024</t>
        </is>
      </c>
      <c r="Q264" s="75" t="inlineStr">
        <is>
          <t>MS BLESSING r44</t>
        </is>
      </c>
      <c r="R264" s="75" t="n"/>
    </row>
    <row r="265" ht="25" customHeight="1">
      <c r="A265" s="78" t="inlineStr">
        <is>
          <t>SL0242</t>
        </is>
      </c>
      <c r="B265" s="79" t="n">
        <v>45429</v>
      </c>
      <c r="C265" s="78" t="inlineStr">
        <is>
          <t>2024-05</t>
        </is>
      </c>
      <c r="D265" s="78" t="n">
        <v>2024</v>
      </c>
      <c r="E265" s="78" t="inlineStr">
        <is>
          <t>Land</t>
        </is>
      </c>
      <c r="F265" s="78" t="inlineStr">
        <is>
          <t>Plot / unit price</t>
        </is>
      </c>
      <c r="G265" s="78" t="inlineStr">
        <is>
          <t>Green City Phase 1 (Lantaba, Ketu-Epe)</t>
        </is>
      </c>
      <c r="H265" s="78" t="inlineStr">
        <is>
          <t>BP-C0006</t>
        </is>
      </c>
      <c r="I265" s="78" t="inlineStr">
        <is>
          <t>Mr Olasupo Oladimeji</t>
        </is>
      </c>
      <c r="J265" s="80" t="n">
        <v>97550</v>
      </c>
      <c r="K265" s="78" t="inlineStr">
        <is>
          <t>Single register</t>
        </is>
      </c>
      <c r="L265" s="78" t="inlineStr">
        <is>
          <t>Primary: monthly turnover register</t>
        </is>
      </c>
      <c r="M265" s="78" t="inlineStr">
        <is>
          <t>BAAY PROJECTS FINANCIALS 2024.xlsx</t>
        </is>
      </c>
      <c r="N265" s="78" t="inlineStr">
        <is>
          <t>MAY TURNOVER</t>
        </is>
      </c>
      <c r="O265" s="78" t="n">
        <v>24</v>
      </c>
      <c r="P265" s="78" t="inlineStr">
        <is>
          <t>17/05/2024</t>
        </is>
      </c>
      <c r="Q265" s="78" t="inlineStr">
        <is>
          <t>MRS ABIMBOLA r79</t>
        </is>
      </c>
      <c r="R265" s="78" t="n"/>
    </row>
    <row r="266" ht="25" customHeight="1">
      <c r="A266" s="75" t="inlineStr">
        <is>
          <t>SL0243</t>
        </is>
      </c>
      <c r="B266" s="76" t="n">
        <v>45429</v>
      </c>
      <c r="C266" s="75" t="inlineStr">
        <is>
          <t>2024-05</t>
        </is>
      </c>
      <c r="D266" s="75" t="n">
        <v>2024</v>
      </c>
      <c r="E266" s="75" t="inlineStr">
        <is>
          <t>Land</t>
        </is>
      </c>
      <c r="F266" s="75" t="inlineStr">
        <is>
          <t>Plot / unit price</t>
        </is>
      </c>
      <c r="G266" s="75" t="inlineStr">
        <is>
          <t>Green City Phase 2 (Ketu-Epe)</t>
        </is>
      </c>
      <c r="H266" s="75" t="inlineStr">
        <is>
          <t>BP-C0092</t>
        </is>
      </c>
      <c r="I266" s="75" t="inlineStr">
        <is>
          <t>Mr Oriakhi Osemudiamen Peter</t>
        </is>
      </c>
      <c r="J266" s="77" t="n">
        <v>1500000</v>
      </c>
      <c r="K266" s="75" t="inlineStr">
        <is>
          <t>Single register</t>
        </is>
      </c>
      <c r="L266" s="75" t="inlineStr">
        <is>
          <t>Primary: monthly turnover register</t>
        </is>
      </c>
      <c r="M266" s="75" t="inlineStr">
        <is>
          <t>BAAY PROJECTS FINANCIALS 2024.xlsx</t>
        </is>
      </c>
      <c r="N266" s="75" t="inlineStr">
        <is>
          <t>MAY TURNOVER</t>
        </is>
      </c>
      <c r="O266" s="75" t="n">
        <v>26</v>
      </c>
      <c r="P266" s="75" t="inlineStr">
        <is>
          <t>17/05/2024</t>
        </is>
      </c>
      <c r="Q266" s="75" t="inlineStr">
        <is>
          <t>TURNOVER SCHEDULE r357, MS BLESSING r43</t>
        </is>
      </c>
      <c r="R266" s="75" t="n"/>
    </row>
    <row r="267" ht="25" customHeight="1">
      <c r="A267" s="78" t="inlineStr">
        <is>
          <t>SL0244</t>
        </is>
      </c>
      <c r="B267" s="79" t="n">
        <v>45429</v>
      </c>
      <c r="C267" s="78" t="inlineStr">
        <is>
          <t>2024-05</t>
        </is>
      </c>
      <c r="D267" s="78" t="n">
        <v>2024</v>
      </c>
      <c r="E267" s="78" t="inlineStr">
        <is>
          <t>Land</t>
        </is>
      </c>
      <c r="F267" s="78" t="inlineStr">
        <is>
          <t>Plot / unit price</t>
        </is>
      </c>
      <c r="G267" s="78" t="inlineStr">
        <is>
          <t>Green City Phase 2 (Ketu-Epe)</t>
        </is>
      </c>
      <c r="H267" s="78" t="inlineStr">
        <is>
          <t>BP-C0081</t>
        </is>
      </c>
      <c r="I267" s="78" t="inlineStr">
        <is>
          <t>Mr Ukachi Godfrey</t>
        </is>
      </c>
      <c r="J267" s="80" t="n">
        <v>500000</v>
      </c>
      <c r="K267" s="78" t="inlineStr">
        <is>
          <t>Single register</t>
        </is>
      </c>
      <c r="L267" s="78" t="inlineStr">
        <is>
          <t>Primary: monthly turnover register</t>
        </is>
      </c>
      <c r="M267" s="78" t="inlineStr">
        <is>
          <t>BAAY PROJECTS FINANCIALS 2024.xlsx</t>
        </is>
      </c>
      <c r="N267" s="78" t="inlineStr">
        <is>
          <t>MAY TURNOVER</t>
        </is>
      </c>
      <c r="O267" s="78" t="n">
        <v>28</v>
      </c>
      <c r="P267" s="78" t="inlineStr">
        <is>
          <t>17/05/2024</t>
        </is>
      </c>
      <c r="Q267" s="78" t="inlineStr">
        <is>
          <t>TURNOVER SCHEDULE r276, MS FEYI r7</t>
        </is>
      </c>
      <c r="R267" s="78" t="n"/>
    </row>
    <row r="268" ht="25" customHeight="1">
      <c r="A268" s="75" t="inlineStr">
        <is>
          <t>SL0245</t>
        </is>
      </c>
      <c r="B268" s="76" t="n">
        <v>45431</v>
      </c>
      <c r="C268" s="75" t="inlineStr">
        <is>
          <t>2024-05</t>
        </is>
      </c>
      <c r="D268" s="75" t="n">
        <v>2024</v>
      </c>
      <c r="E268" s="75" t="inlineStr">
        <is>
          <t>Land</t>
        </is>
      </c>
      <c r="F268" s="75" t="inlineStr">
        <is>
          <t>Plot / unit price</t>
        </is>
      </c>
      <c r="G268" s="75" t="inlineStr">
        <is>
          <t>Green City Phase 1 (Lantaba, Ketu-Epe)</t>
        </is>
      </c>
      <c r="H268" s="75" t="inlineStr">
        <is>
          <t>BP-C0086</t>
        </is>
      </c>
      <c r="I268" s="75" t="inlineStr">
        <is>
          <t>Miss Nwobodo Miriam</t>
        </is>
      </c>
      <c r="J268" s="77" t="n">
        <v>500000</v>
      </c>
      <c r="K268" s="75" t="inlineStr">
        <is>
          <t>Single register</t>
        </is>
      </c>
      <c r="L268" s="75" t="inlineStr">
        <is>
          <t>Primary: monthly turnover register</t>
        </is>
      </c>
      <c r="M268" s="75" t="inlineStr">
        <is>
          <t>BAAY PROJECTS FINANCIALS 2024.xlsx</t>
        </is>
      </c>
      <c r="N268" s="75" t="inlineStr">
        <is>
          <t>MAY TURNOVER</t>
        </is>
      </c>
      <c r="O268" s="75" t="n">
        <v>29</v>
      </c>
      <c r="P268" s="75" t="inlineStr">
        <is>
          <t>19/05/2024</t>
        </is>
      </c>
      <c r="Q268" s="75" t="inlineStr">
        <is>
          <t>TURNOVER SCHEDULE r316, MD r23</t>
        </is>
      </c>
      <c r="R268" s="75" t="n"/>
    </row>
    <row r="269" ht="25" customHeight="1">
      <c r="A269" s="78" t="inlineStr">
        <is>
          <t>SL0246</t>
        </is>
      </c>
      <c r="B269" s="79" t="n">
        <v>45431</v>
      </c>
      <c r="C269" s="78" t="inlineStr">
        <is>
          <t>2024-05</t>
        </is>
      </c>
      <c r="D269" s="78" t="n">
        <v>2024</v>
      </c>
      <c r="E269" s="78" t="inlineStr">
        <is>
          <t>Land</t>
        </is>
      </c>
      <c r="F269" s="78" t="inlineStr">
        <is>
          <t>Plot / unit price</t>
        </is>
      </c>
      <c r="G269" s="78" t="inlineStr">
        <is>
          <t>Green City Phase 2 (Ketu-Epe)</t>
        </is>
      </c>
      <c r="H269" s="78" t="inlineStr">
        <is>
          <t>BP-C0051</t>
        </is>
      </c>
      <c r="I269" s="78" t="inlineStr">
        <is>
          <t>Mr Ogunleye Olumide</t>
        </is>
      </c>
      <c r="J269" s="80" t="n">
        <v>135000</v>
      </c>
      <c r="K269" s="78" t="inlineStr">
        <is>
          <t>Single register</t>
        </is>
      </c>
      <c r="L269" s="78" t="inlineStr">
        <is>
          <t>Primary: monthly turnover register</t>
        </is>
      </c>
      <c r="M269" s="78" t="inlineStr">
        <is>
          <t>BAAY PROJECTS FINANCIALS 2024.xlsx</t>
        </is>
      </c>
      <c r="N269" s="78" t="inlineStr">
        <is>
          <t>MAY TURNOVER</t>
        </is>
      </c>
      <c r="O269" s="78" t="n">
        <v>30</v>
      </c>
      <c r="P269" s="78" t="inlineStr">
        <is>
          <t>19/05/2024</t>
        </is>
      </c>
      <c r="Q269" s="78" t="n"/>
      <c r="R269" s="78" t="n"/>
    </row>
    <row r="270" ht="25" customHeight="1">
      <c r="A270" s="75" t="inlineStr">
        <is>
          <t>SL0247</t>
        </is>
      </c>
      <c r="B270" s="76" t="n">
        <v>45433</v>
      </c>
      <c r="C270" s="75" t="inlineStr">
        <is>
          <t>2024-05</t>
        </is>
      </c>
      <c r="D270" s="75" t="n">
        <v>2024</v>
      </c>
      <c r="E270" s="75" t="inlineStr">
        <is>
          <t>Land</t>
        </is>
      </c>
      <c r="F270" s="75" t="inlineStr">
        <is>
          <t>Plot / unit price</t>
        </is>
      </c>
      <c r="G270" s="75" t="inlineStr">
        <is>
          <t>Green City Phase 2 (Ketu-Epe)</t>
        </is>
      </c>
      <c r="H270" s="75" t="inlineStr">
        <is>
          <t>BP-C0093</t>
        </is>
      </c>
      <c r="I270" s="75" t="inlineStr">
        <is>
          <t>Mr Okuneye Oluwakayode Oluwaseyi</t>
        </is>
      </c>
      <c r="J270" s="77" t="n">
        <v>500000</v>
      </c>
      <c r="K270" s="75" t="inlineStr">
        <is>
          <t>Single register</t>
        </is>
      </c>
      <c r="L270" s="75" t="inlineStr">
        <is>
          <t>Primary: monthly turnover register</t>
        </is>
      </c>
      <c r="M270" s="75" t="inlineStr">
        <is>
          <t>BAAY PROJECTS FINANCIALS 2024.xlsx</t>
        </is>
      </c>
      <c r="N270" s="75" t="inlineStr">
        <is>
          <t>MAY TURNOVER</t>
        </is>
      </c>
      <c r="O270" s="75" t="n">
        <v>31</v>
      </c>
      <c r="P270" s="75" t="inlineStr">
        <is>
          <t>21/05/2024</t>
        </is>
      </c>
      <c r="Q270" s="75" t="inlineStr">
        <is>
          <t>MS BOLANLE r61</t>
        </is>
      </c>
      <c r="R270" s="75" t="n"/>
    </row>
    <row r="271" ht="25" customHeight="1">
      <c r="A271" s="78" t="inlineStr">
        <is>
          <t>SL0248</t>
        </is>
      </c>
      <c r="B271" s="79" t="n">
        <v>45434</v>
      </c>
      <c r="C271" s="78" t="inlineStr">
        <is>
          <t>2024-05</t>
        </is>
      </c>
      <c r="D271" s="78" t="n">
        <v>2024</v>
      </c>
      <c r="E271" s="78" t="inlineStr">
        <is>
          <t>Land</t>
        </is>
      </c>
      <c r="F271" s="78" t="inlineStr">
        <is>
          <t>Plot / unit price</t>
        </is>
      </c>
      <c r="G271" s="78" t="inlineStr">
        <is>
          <t>Green City Phase 2 (Ketu-Epe)</t>
        </is>
      </c>
      <c r="H271" s="78" t="inlineStr">
        <is>
          <t>BP-C0060</t>
        </is>
      </c>
      <c r="I271" s="78" t="inlineStr">
        <is>
          <t>Miss Mitchell Jennifer</t>
        </is>
      </c>
      <c r="J271" s="80" t="n">
        <v>192000</v>
      </c>
      <c r="K271" s="78" t="inlineStr">
        <is>
          <t>Single register</t>
        </is>
      </c>
      <c r="L271" s="78" t="inlineStr">
        <is>
          <t>Primary: monthly turnover register</t>
        </is>
      </c>
      <c r="M271" s="78" t="inlineStr">
        <is>
          <t>BAAY PROJECTS FINANCIALS 2024.xlsx</t>
        </is>
      </c>
      <c r="N271" s="78" t="inlineStr">
        <is>
          <t>MAY TURNOVER</t>
        </is>
      </c>
      <c r="O271" s="78" t="n">
        <v>34</v>
      </c>
      <c r="P271" s="78" t="inlineStr">
        <is>
          <t>22/05/2024</t>
        </is>
      </c>
      <c r="Q271" s="78" t="n"/>
      <c r="R271" s="78" t="n"/>
    </row>
    <row r="272" ht="25" customHeight="1">
      <c r="A272" s="75" t="inlineStr">
        <is>
          <t>SL0249</t>
        </is>
      </c>
      <c r="B272" s="76" t="n">
        <v>45434</v>
      </c>
      <c r="C272" s="75" t="inlineStr">
        <is>
          <t>2024-05</t>
        </is>
      </c>
      <c r="D272" s="75" t="n">
        <v>2024</v>
      </c>
      <c r="E272" s="75" t="inlineStr">
        <is>
          <t>Land</t>
        </is>
      </c>
      <c r="F272" s="75" t="inlineStr">
        <is>
          <t>Plot / unit price</t>
        </is>
      </c>
      <c r="G272" s="75" t="inlineStr">
        <is>
          <t>Green City Phase 2 (Ketu-Epe)</t>
        </is>
      </c>
      <c r="H272" s="75" t="inlineStr">
        <is>
          <t>BP-C0084</t>
        </is>
      </c>
      <c r="I272" s="75" t="inlineStr">
        <is>
          <t>Mr Adegbayemu Ariyo Dennis</t>
        </is>
      </c>
      <c r="J272" s="77" t="n">
        <v>2885000</v>
      </c>
      <c r="K272" s="75" t="inlineStr">
        <is>
          <t>Single register</t>
        </is>
      </c>
      <c r="L272" s="75" t="inlineStr">
        <is>
          <t>Primary: monthly turnover register</t>
        </is>
      </c>
      <c r="M272" s="75" t="inlineStr">
        <is>
          <t>BAAY PROJECTS FINANCIALS 2024.xlsx</t>
        </is>
      </c>
      <c r="N272" s="75" t="inlineStr">
        <is>
          <t>MAY TURNOVER</t>
        </is>
      </c>
      <c r="O272" s="75" t="n">
        <v>32</v>
      </c>
      <c r="P272" s="75" t="inlineStr">
        <is>
          <t>22/05/2024</t>
        </is>
      </c>
      <c r="Q272" s="75" t="inlineStr">
        <is>
          <t>TURNOVER SCHEDULE r331, FASUYI OLAYINKA r22, BARRISTER AYO r6</t>
        </is>
      </c>
      <c r="R272" s="75" t="n"/>
    </row>
    <row r="273" ht="25" customHeight="1">
      <c r="A273" s="78" t="inlineStr">
        <is>
          <t>SL0250</t>
        </is>
      </c>
      <c r="B273" s="79" t="n">
        <v>45434</v>
      </c>
      <c r="C273" s="78" t="inlineStr">
        <is>
          <t>2024-05</t>
        </is>
      </c>
      <c r="D273" s="78" t="n">
        <v>2024</v>
      </c>
      <c r="E273" s="78" t="inlineStr">
        <is>
          <t>Land</t>
        </is>
      </c>
      <c r="F273" s="78" t="inlineStr">
        <is>
          <t>Plot / unit price</t>
        </is>
      </c>
      <c r="G273" s="78" t="inlineStr">
        <is>
          <t>Green City Phase 2 (Ketu-Epe)</t>
        </is>
      </c>
      <c r="H273" s="78" t="inlineStr">
        <is>
          <t>BP-C0094</t>
        </is>
      </c>
      <c r="I273" s="78" t="inlineStr">
        <is>
          <t>Mr Ajayi Oluwadunsin Babatunde</t>
        </is>
      </c>
      <c r="J273" s="80" t="n">
        <v>1000000</v>
      </c>
      <c r="K273" s="78" t="inlineStr">
        <is>
          <t>Single register</t>
        </is>
      </c>
      <c r="L273" s="78" t="inlineStr">
        <is>
          <t>Primary: monthly turnover register</t>
        </is>
      </c>
      <c r="M273" s="78" t="inlineStr">
        <is>
          <t>BAAY PROJECTS FINANCIALS 2024.xlsx</t>
        </is>
      </c>
      <c r="N273" s="78" t="inlineStr">
        <is>
          <t>MAY TURNOVER</t>
        </is>
      </c>
      <c r="O273" s="78" t="n">
        <v>33</v>
      </c>
      <c r="P273" s="78" t="inlineStr">
        <is>
          <t>22/05/2024</t>
        </is>
      </c>
      <c r="Q273" s="78" t="n"/>
      <c r="R273" s="78" t="n"/>
    </row>
    <row r="274" ht="25" customHeight="1">
      <c r="A274" s="75" t="inlineStr">
        <is>
          <t>SL0251</t>
        </is>
      </c>
      <c r="B274" s="76" t="n">
        <v>45436</v>
      </c>
      <c r="C274" s="75" t="inlineStr">
        <is>
          <t>2024-05</t>
        </is>
      </c>
      <c r="D274" s="75" t="n">
        <v>2024</v>
      </c>
      <c r="E274" s="75" t="inlineStr">
        <is>
          <t>Land</t>
        </is>
      </c>
      <c r="F274" s="75" t="inlineStr">
        <is>
          <t>Plot / unit price</t>
        </is>
      </c>
      <c r="G274" s="75" t="inlineStr">
        <is>
          <t>Green City Phase 2 (Ketu-Epe)</t>
        </is>
      </c>
      <c r="H274" s="75" t="inlineStr">
        <is>
          <t>BP-C0090</t>
        </is>
      </c>
      <c r="I274" s="75" t="inlineStr">
        <is>
          <t>Mr Ajiva Lubem Barnabas</t>
        </is>
      </c>
      <c r="J274" s="77" t="n">
        <v>500000</v>
      </c>
      <c r="K274" s="75" t="inlineStr">
        <is>
          <t>Single register</t>
        </is>
      </c>
      <c r="L274" s="75" t="inlineStr">
        <is>
          <t>Primary: monthly turnover register</t>
        </is>
      </c>
      <c r="M274" s="75" t="inlineStr">
        <is>
          <t>BAAY PROJECTS FINANCIALS 2024.xlsx</t>
        </is>
      </c>
      <c r="N274" s="75" t="inlineStr">
        <is>
          <t>MAY TURNOVER</t>
        </is>
      </c>
      <c r="O274" s="75" t="n">
        <v>35</v>
      </c>
      <c r="P274" s="75" t="inlineStr">
        <is>
          <t>24/05/2024</t>
        </is>
      </c>
      <c r="Q274" s="75" t="inlineStr">
        <is>
          <t>TURNOVER SCHEDULE r363, FASUYI OLAYINKA r23</t>
        </is>
      </c>
      <c r="R274" s="75" t="n"/>
    </row>
    <row r="275" ht="25" customHeight="1">
      <c r="A275" s="78" t="inlineStr">
        <is>
          <t>SL0252</t>
        </is>
      </c>
      <c r="B275" s="79" t="n">
        <v>45437</v>
      </c>
      <c r="C275" s="78" t="inlineStr">
        <is>
          <t>2024-06</t>
        </is>
      </c>
      <c r="D275" s="78" t="n">
        <v>2024</v>
      </c>
      <c r="E275" s="78" t="inlineStr">
        <is>
          <t>Land</t>
        </is>
      </c>
      <c r="F275" s="78" t="inlineStr">
        <is>
          <t>Plot / unit price</t>
        </is>
      </c>
      <c r="G275" s="78" t="inlineStr">
        <is>
          <t>Green City Phase 1 (Lantaba, Ketu-Epe)</t>
        </is>
      </c>
      <c r="H275" s="78" t="inlineStr">
        <is>
          <t>BP-C0027</t>
        </is>
      </c>
      <c r="I275" s="78" t="inlineStr">
        <is>
          <t>Mr Edun Ayobami</t>
        </is>
      </c>
      <c r="J275" s="80" t="n">
        <v>1208000</v>
      </c>
      <c r="K275" s="78" t="inlineStr">
        <is>
          <t>Allen Branch</t>
        </is>
      </c>
      <c r="L275" s="78" t="inlineStr">
        <is>
          <t>Primary: monthly turnover register</t>
        </is>
      </c>
      <c r="M275" s="78" t="inlineStr">
        <is>
          <t>BAAY PROJECTS FINANCIALS 2024.xlsx</t>
        </is>
      </c>
      <c r="N275" s="78" t="inlineStr">
        <is>
          <t>JUNE TURNOVER</t>
        </is>
      </c>
      <c r="O275" s="78" t="n">
        <v>37</v>
      </c>
      <c r="P275" s="78" t="inlineStr">
        <is>
          <t>25/05/2024</t>
        </is>
      </c>
      <c r="Q275" s="78" t="inlineStr">
        <is>
          <t>MRS ABIMBOLA r95</t>
        </is>
      </c>
      <c r="R275" s="78" t="inlineStr">
        <is>
          <t>Date in source (25/05/2024) outside the sheet month; reported under 2024-06 per source sheet</t>
        </is>
      </c>
    </row>
    <row r="276" ht="25" customHeight="1">
      <c r="A276" s="75" t="inlineStr">
        <is>
          <t>SL0253</t>
        </is>
      </c>
      <c r="B276" s="76" t="n">
        <v>45438</v>
      </c>
      <c r="C276" s="75" t="inlineStr">
        <is>
          <t>2024-05</t>
        </is>
      </c>
      <c r="D276" s="75" t="n">
        <v>2024</v>
      </c>
      <c r="E276" s="75" t="inlineStr">
        <is>
          <t>Land</t>
        </is>
      </c>
      <c r="F276" s="75" t="inlineStr">
        <is>
          <t>Plot / unit price</t>
        </is>
      </c>
      <c r="G276" s="75" t="inlineStr">
        <is>
          <t>Green City Phase 1 (Lantaba, Ketu-Epe)</t>
        </is>
      </c>
      <c r="H276" s="75" t="inlineStr">
        <is>
          <t>BP-C0006</t>
        </is>
      </c>
      <c r="I276" s="75" t="inlineStr">
        <is>
          <t>Mr Olasupo Oladimeji</t>
        </is>
      </c>
      <c r="J276" s="77" t="n">
        <v>285000</v>
      </c>
      <c r="K276" s="75" t="inlineStr">
        <is>
          <t>Single register</t>
        </is>
      </c>
      <c r="L276" s="75" t="inlineStr">
        <is>
          <t>Primary: monthly turnover register</t>
        </is>
      </c>
      <c r="M276" s="75" t="inlineStr">
        <is>
          <t>BAAY PROJECTS FINANCIALS 2024.xlsx</t>
        </is>
      </c>
      <c r="N276" s="75" t="inlineStr">
        <is>
          <t>MAY TURNOVER</t>
        </is>
      </c>
      <c r="O276" s="75" t="n">
        <v>36</v>
      </c>
      <c r="P276" s="75" t="inlineStr">
        <is>
          <t>26/05/2024</t>
        </is>
      </c>
      <c r="Q276" s="75" t="n"/>
      <c r="R276" s="75" t="n"/>
    </row>
    <row r="277" ht="25" customHeight="1">
      <c r="A277" s="78" t="inlineStr">
        <is>
          <t>SL0254</t>
        </is>
      </c>
      <c r="B277" s="79" t="n">
        <v>45439</v>
      </c>
      <c r="C277" s="78" t="inlineStr">
        <is>
          <t>2024-05</t>
        </is>
      </c>
      <c r="D277" s="78" t="n">
        <v>2024</v>
      </c>
      <c r="E277" s="78" t="inlineStr">
        <is>
          <t>Land</t>
        </is>
      </c>
      <c r="F277" s="78" t="inlineStr">
        <is>
          <t>Plot / unit price</t>
        </is>
      </c>
      <c r="G277" s="78" t="inlineStr">
        <is>
          <t>Green City Phase 2 (Ketu-Epe)</t>
        </is>
      </c>
      <c r="H277" s="78" t="inlineStr">
        <is>
          <t>BP-C0030</t>
        </is>
      </c>
      <c r="I277" s="78" t="inlineStr">
        <is>
          <t>Mr Adese Akorede John</t>
        </is>
      </c>
      <c r="J277" s="80" t="n">
        <v>200000</v>
      </c>
      <c r="K277" s="78" t="inlineStr">
        <is>
          <t>Single register</t>
        </is>
      </c>
      <c r="L277" s="78" t="inlineStr">
        <is>
          <t>Primary: monthly turnover register</t>
        </is>
      </c>
      <c r="M277" s="78" t="inlineStr">
        <is>
          <t>BAAY PROJECTS FINANCIALS 2024.xlsx</t>
        </is>
      </c>
      <c r="N277" s="78" t="inlineStr">
        <is>
          <t>MAY TURNOVER</t>
        </is>
      </c>
      <c r="O277" s="78" t="n">
        <v>37</v>
      </c>
      <c r="P277" s="78" t="inlineStr">
        <is>
          <t>27/05/2024</t>
        </is>
      </c>
      <c r="Q277" s="78" t="n"/>
      <c r="R277" s="78" t="n"/>
    </row>
    <row r="278" ht="25" customHeight="1">
      <c r="A278" s="75" t="inlineStr">
        <is>
          <t>SL0255</t>
        </is>
      </c>
      <c r="B278" s="76" t="n">
        <v>45439</v>
      </c>
      <c r="C278" s="75" t="inlineStr">
        <is>
          <t>2024-05</t>
        </is>
      </c>
      <c r="D278" s="75" t="n">
        <v>2024</v>
      </c>
      <c r="E278" s="75" t="inlineStr">
        <is>
          <t>Land</t>
        </is>
      </c>
      <c r="F278" s="75" t="inlineStr">
        <is>
          <t>Plot / unit price</t>
        </is>
      </c>
      <c r="G278" s="75" t="inlineStr">
        <is>
          <t>Green City Phase 2 (Ketu-Epe)</t>
        </is>
      </c>
      <c r="H278" s="75" t="inlineStr">
        <is>
          <t>BP-C0030</t>
        </is>
      </c>
      <c r="I278" s="75" t="inlineStr">
        <is>
          <t>Mr Adese Akorede John</t>
        </is>
      </c>
      <c r="J278" s="77" t="n">
        <v>50000</v>
      </c>
      <c r="K278" s="75" t="inlineStr">
        <is>
          <t>Single register</t>
        </is>
      </c>
      <c r="L278" s="75" t="inlineStr">
        <is>
          <t>Primary: monthly turnover register</t>
        </is>
      </c>
      <c r="M278" s="75" t="inlineStr">
        <is>
          <t>BAAY PROJECTS FINANCIALS 2024.xlsx</t>
        </is>
      </c>
      <c r="N278" s="75" t="inlineStr">
        <is>
          <t>MAY TURNOVER</t>
        </is>
      </c>
      <c r="O278" s="75" t="n">
        <v>38</v>
      </c>
      <c r="P278" s="75" t="inlineStr">
        <is>
          <t>27/05/2024</t>
        </is>
      </c>
      <c r="Q278" s="75" t="n"/>
      <c r="R278" s="75" t="n"/>
    </row>
    <row r="279" ht="25" customHeight="1">
      <c r="A279" s="78" t="inlineStr">
        <is>
          <t>SL0256</t>
        </is>
      </c>
      <c r="B279" s="79" t="n">
        <v>45440</v>
      </c>
      <c r="C279" s="78" t="inlineStr">
        <is>
          <t>2024-05</t>
        </is>
      </c>
      <c r="D279" s="78" t="n">
        <v>2024</v>
      </c>
      <c r="E279" s="78" t="inlineStr">
        <is>
          <t>Land</t>
        </is>
      </c>
      <c r="F279" s="78" t="inlineStr">
        <is>
          <t>Plot / unit price</t>
        </is>
      </c>
      <c r="G279" s="78" t="inlineStr">
        <is>
          <t>Green City Phase 2 (Ketu-Epe)</t>
        </is>
      </c>
      <c r="H279" s="78" t="inlineStr">
        <is>
          <t>BP-C0095</t>
        </is>
      </c>
      <c r="I279" s="78" t="inlineStr">
        <is>
          <t>Miss Ebhotan Sharon Aisosa</t>
        </is>
      </c>
      <c r="J279" s="80" t="n">
        <v>295000</v>
      </c>
      <c r="K279" s="78" t="inlineStr">
        <is>
          <t>Single register</t>
        </is>
      </c>
      <c r="L279" s="78" t="inlineStr">
        <is>
          <t>Primary: monthly turnover register</t>
        </is>
      </c>
      <c r="M279" s="78" t="inlineStr">
        <is>
          <t>BAAY PROJECTS FINANCIALS 2024.xlsx</t>
        </is>
      </c>
      <c r="N279" s="78" t="inlineStr">
        <is>
          <t>MAY TURNOVER</t>
        </is>
      </c>
      <c r="O279" s="78" t="n">
        <v>41</v>
      </c>
      <c r="P279" s="78" t="inlineStr">
        <is>
          <t>28/05/2024</t>
        </is>
      </c>
      <c r="Q279" s="78" t="n"/>
      <c r="R279" s="78" t="n"/>
    </row>
    <row r="280" ht="25" customHeight="1">
      <c r="A280" s="75" t="inlineStr">
        <is>
          <t>SL0257</t>
        </is>
      </c>
      <c r="B280" s="76" t="n">
        <v>45440</v>
      </c>
      <c r="C280" s="75" t="inlineStr">
        <is>
          <t>2024-05</t>
        </is>
      </c>
      <c r="D280" s="75" t="n">
        <v>2024</v>
      </c>
      <c r="E280" s="75" t="inlineStr">
        <is>
          <t>Land</t>
        </is>
      </c>
      <c r="F280" s="75" t="inlineStr">
        <is>
          <t>Plot / unit price</t>
        </is>
      </c>
      <c r="G280" s="75" t="inlineStr">
        <is>
          <t>Green City Phase 1 (Lantaba, Ketu-Epe)</t>
        </is>
      </c>
      <c r="H280" s="75" t="inlineStr">
        <is>
          <t>BP-C0046</t>
        </is>
      </c>
      <c r="I280" s="75" t="inlineStr">
        <is>
          <t>Mr Adesida Raphael Abiodun</t>
        </is>
      </c>
      <c r="J280" s="77" t="n">
        <v>100000</v>
      </c>
      <c r="K280" s="75" t="inlineStr">
        <is>
          <t>Single register</t>
        </is>
      </c>
      <c r="L280" s="75" t="inlineStr">
        <is>
          <t>Primary: monthly turnover register</t>
        </is>
      </c>
      <c r="M280" s="75" t="inlineStr">
        <is>
          <t>BAAY PROJECTS FINANCIALS 2024.xlsx</t>
        </is>
      </c>
      <c r="N280" s="75" t="inlineStr">
        <is>
          <t>MAY TURNOVER</t>
        </is>
      </c>
      <c r="O280" s="75" t="n">
        <v>40</v>
      </c>
      <c r="P280" s="75" t="inlineStr">
        <is>
          <t>28/05/2024</t>
        </is>
      </c>
      <c r="Q280" s="75" t="inlineStr">
        <is>
          <t>TURNOVER SCHEDULE r178, MD r35</t>
        </is>
      </c>
      <c r="R280" s="75" t="n"/>
    </row>
    <row r="281" ht="25" customHeight="1">
      <c r="A281" s="78" t="inlineStr">
        <is>
          <t>SL0258</t>
        </is>
      </c>
      <c r="B281" s="79" t="n">
        <v>45440</v>
      </c>
      <c r="C281" s="78" t="inlineStr">
        <is>
          <t>2024-05</t>
        </is>
      </c>
      <c r="D281" s="78" t="n">
        <v>2024</v>
      </c>
      <c r="E281" s="78" t="inlineStr">
        <is>
          <t>Land</t>
        </is>
      </c>
      <c r="F281" s="78" t="inlineStr">
        <is>
          <t>Plot / unit price</t>
        </is>
      </c>
      <c r="G281" s="78" t="inlineStr">
        <is>
          <t>Green City Phase 1 (Lantaba, Ketu-Epe)</t>
        </is>
      </c>
      <c r="H281" s="78" t="inlineStr">
        <is>
          <t>BP-C0045</t>
        </is>
      </c>
      <c r="I281" s="78" t="inlineStr">
        <is>
          <t>Mr Bolarinwa Iyanuoluwa Simon &amp; Dr Bolarinwa Abisola Christianah</t>
        </is>
      </c>
      <c r="J281" s="80" t="n">
        <v>500000</v>
      </c>
      <c r="K281" s="78" t="inlineStr">
        <is>
          <t>Single register</t>
        </is>
      </c>
      <c r="L281" s="78" t="inlineStr">
        <is>
          <t>Primary: monthly turnover register</t>
        </is>
      </c>
      <c r="M281" s="78" t="inlineStr">
        <is>
          <t>BAAY PROJECTS FINANCIALS 2024.xlsx</t>
        </is>
      </c>
      <c r="N281" s="78" t="inlineStr">
        <is>
          <t>MAY TURNOVER</t>
        </is>
      </c>
      <c r="O281" s="78" t="n">
        <v>39</v>
      </c>
      <c r="P281" s="78" t="inlineStr">
        <is>
          <t>28/05/2024</t>
        </is>
      </c>
      <c r="Q281" s="78" t="inlineStr">
        <is>
          <t>TURNOVER SCHEDULE r367, MD r24</t>
        </is>
      </c>
      <c r="R281" s="78" t="n"/>
    </row>
    <row r="282" ht="25" customHeight="1">
      <c r="A282" s="75" t="inlineStr">
        <is>
          <t>SL0259</t>
        </is>
      </c>
      <c r="B282" s="76" t="n">
        <v>45441</v>
      </c>
      <c r="C282" s="75" t="inlineStr">
        <is>
          <t>2024-05</t>
        </is>
      </c>
      <c r="D282" s="75" t="n">
        <v>2024</v>
      </c>
      <c r="E282" s="75" t="inlineStr">
        <is>
          <t>Land</t>
        </is>
      </c>
      <c r="F282" s="75" t="inlineStr">
        <is>
          <t>Plot / unit price</t>
        </is>
      </c>
      <c r="G282" s="75" t="inlineStr">
        <is>
          <t>Green City Phase 1 (Lantaba, Ketu-Epe)</t>
        </is>
      </c>
      <c r="H282" s="75" t="inlineStr">
        <is>
          <t>BP-C0046</t>
        </is>
      </c>
      <c r="I282" s="75" t="inlineStr">
        <is>
          <t>Mr Adesida Raphael Abiodun</t>
        </is>
      </c>
      <c r="J282" s="77" t="n">
        <v>100000</v>
      </c>
      <c r="K282" s="75" t="inlineStr">
        <is>
          <t>Single register</t>
        </is>
      </c>
      <c r="L282" s="75" t="inlineStr">
        <is>
          <t>Primary: monthly turnover register</t>
        </is>
      </c>
      <c r="M282" s="75" t="inlineStr">
        <is>
          <t>BAAY PROJECTS FINANCIALS 2024.xlsx</t>
        </is>
      </c>
      <c r="N282" s="75" t="inlineStr">
        <is>
          <t>MAY TURNOVER</t>
        </is>
      </c>
      <c r="O282" s="75" t="n">
        <v>43</v>
      </c>
      <c r="P282" s="75" t="inlineStr">
        <is>
          <t>29/05/2024</t>
        </is>
      </c>
      <c r="Q282" s="75" t="inlineStr">
        <is>
          <t>TURNOVER SCHEDULE r179, MD r36</t>
        </is>
      </c>
      <c r="R282" s="75" t="n"/>
    </row>
    <row r="283" ht="25" customHeight="1">
      <c r="A283" s="78" t="inlineStr">
        <is>
          <t>SL0260</t>
        </is>
      </c>
      <c r="B283" s="79" t="n">
        <v>45441</v>
      </c>
      <c r="C283" s="78" t="inlineStr">
        <is>
          <t>2024-05</t>
        </is>
      </c>
      <c r="D283" s="78" t="n">
        <v>2024</v>
      </c>
      <c r="E283" s="78" t="inlineStr">
        <is>
          <t>Land</t>
        </is>
      </c>
      <c r="F283" s="78" t="inlineStr">
        <is>
          <t>Plot / unit price</t>
        </is>
      </c>
      <c r="G283" s="78" t="inlineStr">
        <is>
          <t>Green City Phase 1 (Lantaba, Ketu-Epe)</t>
        </is>
      </c>
      <c r="H283" s="78" t="inlineStr">
        <is>
          <t>BP-C0050</t>
        </is>
      </c>
      <c r="I283" s="78" t="inlineStr">
        <is>
          <t>Mr Atuanya Patrick Jideovo</t>
        </is>
      </c>
      <c r="J283" s="80" t="n">
        <v>150000</v>
      </c>
      <c r="K283" s="78" t="inlineStr">
        <is>
          <t>Single register</t>
        </is>
      </c>
      <c r="L283" s="78" t="inlineStr">
        <is>
          <t>Primary: monthly turnover register</t>
        </is>
      </c>
      <c r="M283" s="78" t="inlineStr">
        <is>
          <t>BAAY PROJECTS FINANCIALS 2024.xlsx</t>
        </is>
      </c>
      <c r="N283" s="78" t="inlineStr">
        <is>
          <t>MAY TURNOVER</t>
        </is>
      </c>
      <c r="O283" s="78" t="n">
        <v>42</v>
      </c>
      <c r="P283" s="78" t="inlineStr">
        <is>
          <t>29/05/2024</t>
        </is>
      </c>
      <c r="Q283" s="78" t="inlineStr">
        <is>
          <t>TURNOVER SCHEDULE r151, MS YETUNDE ABISOYE r61</t>
        </is>
      </c>
      <c r="R283" s="78" t="n"/>
    </row>
    <row r="284" ht="25" customHeight="1">
      <c r="A284" s="75" t="inlineStr">
        <is>
          <t>SL0261</t>
        </is>
      </c>
      <c r="B284" s="76" t="n">
        <v>45442</v>
      </c>
      <c r="C284" s="75" t="inlineStr">
        <is>
          <t>2024-05</t>
        </is>
      </c>
      <c r="D284" s="75" t="n">
        <v>2024</v>
      </c>
      <c r="E284" s="75" t="inlineStr">
        <is>
          <t>Land</t>
        </is>
      </c>
      <c r="F284" s="75" t="inlineStr">
        <is>
          <t>Plot / unit price</t>
        </is>
      </c>
      <c r="G284" s="75" t="inlineStr">
        <is>
          <t>Green City Phase 1 (Lantaba, Ketu-Epe)</t>
        </is>
      </c>
      <c r="H284" s="75" t="inlineStr">
        <is>
          <t>BP-C0044</t>
        </is>
      </c>
      <c r="I284" s="75" t="inlineStr">
        <is>
          <t>Mr Oluwase Babajide Victor</t>
        </is>
      </c>
      <c r="J284" s="77" t="n">
        <v>890000</v>
      </c>
      <c r="K284" s="75" t="inlineStr">
        <is>
          <t>Single register</t>
        </is>
      </c>
      <c r="L284" s="75" t="inlineStr">
        <is>
          <t>Primary: monthly turnover register</t>
        </is>
      </c>
      <c r="M284" s="75" t="inlineStr">
        <is>
          <t>BAAY PROJECTS FINANCIALS 2024.xlsx</t>
        </is>
      </c>
      <c r="N284" s="75" t="inlineStr">
        <is>
          <t>MAY TURNOVER</t>
        </is>
      </c>
      <c r="O284" s="75" t="n">
        <v>44</v>
      </c>
      <c r="P284" s="75" t="inlineStr">
        <is>
          <t>30/05/2024</t>
        </is>
      </c>
      <c r="Q284" s="75" t="inlineStr">
        <is>
          <t>MD r30</t>
        </is>
      </c>
      <c r="R284" s="75" t="n"/>
    </row>
    <row r="285" ht="25" customHeight="1">
      <c r="A285" s="78" t="inlineStr">
        <is>
          <t>SL0262</t>
        </is>
      </c>
      <c r="B285" s="79" t="n">
        <v>45443</v>
      </c>
      <c r="C285" s="78" t="inlineStr">
        <is>
          <t>2024-05</t>
        </is>
      </c>
      <c r="D285" s="78" t="n">
        <v>2024</v>
      </c>
      <c r="E285" s="78" t="inlineStr">
        <is>
          <t>Land</t>
        </is>
      </c>
      <c r="F285" s="78" t="inlineStr">
        <is>
          <t>Plot / unit price</t>
        </is>
      </c>
      <c r="G285" s="78" t="inlineStr">
        <is>
          <t>Green City Phase 1 (Lantaba, Ketu-Epe)</t>
        </is>
      </c>
      <c r="H285" s="78" t="inlineStr">
        <is>
          <t>BP-C0054</t>
        </is>
      </c>
      <c r="I285" s="78" t="inlineStr">
        <is>
          <t>Mr Ademola Adeniyi</t>
        </is>
      </c>
      <c r="J285" s="80" t="n">
        <v>135000</v>
      </c>
      <c r="K285" s="78" t="inlineStr">
        <is>
          <t>Single register</t>
        </is>
      </c>
      <c r="L285" s="78" t="inlineStr">
        <is>
          <t>Primary: monthly turnover register</t>
        </is>
      </c>
      <c r="M285" s="78" t="inlineStr">
        <is>
          <t>BAAY PROJECTS FINANCIALS 2024.xlsx</t>
        </is>
      </c>
      <c r="N285" s="78" t="inlineStr">
        <is>
          <t>MAY TURNOVER</t>
        </is>
      </c>
      <c r="O285" s="78" t="n">
        <v>45</v>
      </c>
      <c r="P285" s="78" t="inlineStr">
        <is>
          <t>31/05/2024</t>
        </is>
      </c>
      <c r="Q285" s="78" t="n"/>
      <c r="R285" s="78" t="n"/>
    </row>
    <row r="286" ht="25" customHeight="1">
      <c r="A286" s="75" t="inlineStr">
        <is>
          <t>SL0263</t>
        </is>
      </c>
      <c r="B286" s="76" t="n">
        <v>45443</v>
      </c>
      <c r="C286" s="75" t="inlineStr">
        <is>
          <t>2024-05</t>
        </is>
      </c>
      <c r="D286" s="75" t="n">
        <v>2024</v>
      </c>
      <c r="E286" s="75" t="inlineStr">
        <is>
          <t>Land</t>
        </is>
      </c>
      <c r="F286" s="75" t="inlineStr">
        <is>
          <t>Plot / unit price</t>
        </is>
      </c>
      <c r="G286" s="75" t="inlineStr">
        <is>
          <t>Green City Phase 2 (Ketu-Epe)</t>
        </is>
      </c>
      <c r="H286" s="75" t="inlineStr">
        <is>
          <t>BP-C0087</t>
        </is>
      </c>
      <c r="I286" s="75" t="inlineStr">
        <is>
          <t>Mr Okeme Danjuma</t>
        </is>
      </c>
      <c r="J286" s="77" t="n">
        <v>1600000</v>
      </c>
      <c r="K286" s="75" t="inlineStr">
        <is>
          <t>Single register</t>
        </is>
      </c>
      <c r="L286" s="75" t="inlineStr">
        <is>
          <t>Primary: monthly turnover register</t>
        </is>
      </c>
      <c r="M286" s="75" t="inlineStr">
        <is>
          <t>BAAY PROJECTS FINANCIALS 2024.xlsx</t>
        </is>
      </c>
      <c r="N286" s="75" t="inlineStr">
        <is>
          <t>MAY TURNOVER</t>
        </is>
      </c>
      <c r="O286" s="75" t="n">
        <v>47</v>
      </c>
      <c r="P286" s="75" t="inlineStr">
        <is>
          <t>31/05/2024</t>
        </is>
      </c>
      <c r="Q286" s="75" t="inlineStr">
        <is>
          <t>TURNOVER SCHEDULE r346, FESTUS r11</t>
        </is>
      </c>
      <c r="R286" s="75" t="n"/>
    </row>
    <row r="287" ht="25" customHeight="1">
      <c r="A287" s="78" t="inlineStr">
        <is>
          <t>SL0264</t>
        </is>
      </c>
      <c r="B287" s="79" t="n">
        <v>45443</v>
      </c>
      <c r="C287" s="78" t="inlineStr">
        <is>
          <t>2024-05</t>
        </is>
      </c>
      <c r="D287" s="78" t="n">
        <v>2024</v>
      </c>
      <c r="E287" s="78" t="inlineStr">
        <is>
          <t>Land</t>
        </is>
      </c>
      <c r="F287" s="78" t="inlineStr">
        <is>
          <t>Plot / unit price</t>
        </is>
      </c>
      <c r="G287" s="78" t="inlineStr">
        <is>
          <t>Green City Phase 2 (Ketu-Epe)</t>
        </is>
      </c>
      <c r="H287" s="78" t="inlineStr">
        <is>
          <t>BP-C0082</t>
        </is>
      </c>
      <c r="I287" s="78" t="inlineStr">
        <is>
          <t>Mrs Olarewaju Remilekun</t>
        </is>
      </c>
      <c r="J287" s="80" t="n">
        <v>1500000</v>
      </c>
      <c r="K287" s="78" t="inlineStr">
        <is>
          <t>Single register</t>
        </is>
      </c>
      <c r="L287" s="78" t="inlineStr">
        <is>
          <t>Primary: monthly turnover register</t>
        </is>
      </c>
      <c r="M287" s="78" t="inlineStr">
        <is>
          <t>BAAY PROJECTS FINANCIALS 2024.xlsx</t>
        </is>
      </c>
      <c r="N287" s="78" t="inlineStr">
        <is>
          <t>MAY TURNOVER</t>
        </is>
      </c>
      <c r="O287" s="78" t="n">
        <v>46</v>
      </c>
      <c r="P287" s="78" t="inlineStr">
        <is>
          <t>31/05/2024</t>
        </is>
      </c>
      <c r="Q287" s="78" t="inlineStr">
        <is>
          <t>TURNOVER SCHEDULE r322, MR JUWON r25</t>
        </is>
      </c>
      <c r="R287" s="78" t="n"/>
    </row>
    <row r="288" ht="25" customHeight="1">
      <c r="A288" s="75" t="inlineStr">
        <is>
          <t>SL0265</t>
        </is>
      </c>
      <c r="B288" s="76" t="n">
        <v>45447</v>
      </c>
      <c r="C288" s="75" t="inlineStr">
        <is>
          <t>2024-06</t>
        </is>
      </c>
      <c r="D288" s="75" t="n">
        <v>2024</v>
      </c>
      <c r="E288" s="75" t="inlineStr">
        <is>
          <t>Land</t>
        </is>
      </c>
      <c r="F288" s="75" t="inlineStr">
        <is>
          <t>Plot / unit price</t>
        </is>
      </c>
      <c r="G288" s="75" t="inlineStr">
        <is>
          <t>Green City Phase 2 (Ketu-Epe)</t>
        </is>
      </c>
      <c r="H288" s="75" t="inlineStr">
        <is>
          <t>BP-C0066</t>
        </is>
      </c>
      <c r="I288" s="75" t="inlineStr">
        <is>
          <t>Miss Omosanya Dotun Akeju</t>
        </is>
      </c>
      <c r="J288" s="77" t="n">
        <v>1000000</v>
      </c>
      <c r="K288" s="75" t="inlineStr">
        <is>
          <t>Allen Branch</t>
        </is>
      </c>
      <c r="L288" s="75" t="inlineStr">
        <is>
          <t>Primary: monthly turnover register</t>
        </is>
      </c>
      <c r="M288" s="75" t="inlineStr">
        <is>
          <t>BAAY PROJECTS FINANCIALS 2024.xlsx</t>
        </is>
      </c>
      <c r="N288" s="75" t="inlineStr">
        <is>
          <t>JUNE TURNOVER</t>
        </is>
      </c>
      <c r="O288" s="75" t="n">
        <v>10</v>
      </c>
      <c r="P288" s="75" t="inlineStr">
        <is>
          <t>2024-04-06</t>
        </is>
      </c>
      <c r="Q288" s="75" t="inlineStr">
        <is>
          <t>TURNOVER SCHEDULE r351, MS BOLANLE r68, MS BLESSING OJI r23</t>
        </is>
      </c>
      <c r="R288" s="75" t="n"/>
    </row>
    <row r="289" ht="25" customHeight="1">
      <c r="A289" s="78" t="inlineStr">
        <is>
          <t>SL0266</t>
        </is>
      </c>
      <c r="B289" s="79" t="n">
        <v>45447</v>
      </c>
      <c r="C289" s="78" t="inlineStr">
        <is>
          <t>2024-06</t>
        </is>
      </c>
      <c r="D289" s="78" t="n">
        <v>2024</v>
      </c>
      <c r="E289" s="78" t="inlineStr">
        <is>
          <t>Land</t>
        </is>
      </c>
      <c r="F289" s="78" t="inlineStr">
        <is>
          <t>Plot / unit price</t>
        </is>
      </c>
      <c r="G289" s="78" t="inlineStr">
        <is>
          <t>Green City Phase 1 (Lantaba, Ketu-Epe)</t>
        </is>
      </c>
      <c r="H289" s="78" t="inlineStr">
        <is>
          <t>BP-C0050</t>
        </is>
      </c>
      <c r="I289" s="78" t="inlineStr">
        <is>
          <t>Mr Atuanya Patrick</t>
        </is>
      </c>
      <c r="J289" s="80" t="n">
        <v>60000</v>
      </c>
      <c r="K289" s="78" t="inlineStr">
        <is>
          <t>Allen Branch</t>
        </is>
      </c>
      <c r="L289" s="78" t="inlineStr">
        <is>
          <t>Primary: monthly turnover register</t>
        </is>
      </c>
      <c r="M289" s="78" t="inlineStr">
        <is>
          <t>BAAY PROJECTS FINANCIALS 2024.xlsx</t>
        </is>
      </c>
      <c r="N289" s="78" t="inlineStr">
        <is>
          <t>JUNE TURNOVER</t>
        </is>
      </c>
      <c r="O289" s="78" t="n">
        <v>8</v>
      </c>
      <c r="P289" s="78" t="inlineStr">
        <is>
          <t>2024-04-06</t>
        </is>
      </c>
      <c r="Q289" s="78" t="inlineStr">
        <is>
          <t>TURNOVER SCHEDULE r152, MS YETUNDE ABISOYE r62</t>
        </is>
      </c>
      <c r="R289" s="78" t="n"/>
    </row>
    <row r="290" ht="25" customHeight="1">
      <c r="A290" s="75" t="inlineStr">
        <is>
          <t>SL0267</t>
        </is>
      </c>
      <c r="B290" s="76" t="n">
        <v>45447</v>
      </c>
      <c r="C290" s="75" t="inlineStr">
        <is>
          <t>2024-06</t>
        </is>
      </c>
      <c r="D290" s="75" t="n">
        <v>2024</v>
      </c>
      <c r="E290" s="75" t="inlineStr">
        <is>
          <t>Land</t>
        </is>
      </c>
      <c r="F290" s="75" t="inlineStr">
        <is>
          <t>Plot / unit price</t>
        </is>
      </c>
      <c r="G290" s="75" t="inlineStr">
        <is>
          <t>Green City Phase 2 (Ketu-Epe)</t>
        </is>
      </c>
      <c r="H290" s="75" t="inlineStr">
        <is>
          <t>BP-C0091</t>
        </is>
      </c>
      <c r="I290" s="75" t="inlineStr">
        <is>
          <t>Mr Ojo Olugbenga Daniel &amp; Mrs Ojo Omolola Oyewunmi</t>
        </is>
      </c>
      <c r="J290" s="77" t="n">
        <v>900000</v>
      </c>
      <c r="K290" s="75" t="inlineStr">
        <is>
          <t>Allen Branch</t>
        </is>
      </c>
      <c r="L290" s="75" t="inlineStr">
        <is>
          <t>Primary: monthly turnover register</t>
        </is>
      </c>
      <c r="M290" s="75" t="inlineStr">
        <is>
          <t>BAAY PROJECTS FINANCIALS 2024.xlsx</t>
        </is>
      </c>
      <c r="N290" s="75" t="inlineStr">
        <is>
          <t>JUNE TURNOVER</t>
        </is>
      </c>
      <c r="O290" s="75" t="n">
        <v>7</v>
      </c>
      <c r="P290" s="75" t="inlineStr">
        <is>
          <t>2024-04-06</t>
        </is>
      </c>
      <c r="Q290" s="75" t="inlineStr">
        <is>
          <t>MRS ABIMBOLA r92</t>
        </is>
      </c>
      <c r="R290" s="75" t="n"/>
    </row>
    <row r="291" ht="25" customHeight="1">
      <c r="A291" s="78" t="inlineStr">
        <is>
          <t>SL0268</t>
        </is>
      </c>
      <c r="B291" s="79" t="n">
        <v>45449</v>
      </c>
      <c r="C291" s="78" t="inlineStr">
        <is>
          <t>2024-06</t>
        </is>
      </c>
      <c r="D291" s="78" t="n">
        <v>2024</v>
      </c>
      <c r="E291" s="78" t="inlineStr">
        <is>
          <t>Land</t>
        </is>
      </c>
      <c r="F291" s="78" t="inlineStr">
        <is>
          <t>Plot / unit price</t>
        </is>
      </c>
      <c r="G291" s="78" t="inlineStr">
        <is>
          <t>Green City Phase 2 (Ketu-Epe)</t>
        </is>
      </c>
      <c r="H291" s="78" t="inlineStr">
        <is>
          <t>BP-C0075</t>
        </is>
      </c>
      <c r="I291" s="78" t="inlineStr">
        <is>
          <t>Miss Ogidan Funmilayo Jumoke</t>
        </is>
      </c>
      <c r="J291" s="80" t="n">
        <v>500000</v>
      </c>
      <c r="K291" s="78" t="inlineStr">
        <is>
          <t>Allen Branch</t>
        </is>
      </c>
      <c r="L291" s="78" t="inlineStr">
        <is>
          <t>Primary: monthly turnover register</t>
        </is>
      </c>
      <c r="M291" s="78" t="inlineStr">
        <is>
          <t>BAAY PROJECTS FINANCIALS 2024.xlsx</t>
        </is>
      </c>
      <c r="N291" s="78" t="inlineStr">
        <is>
          <t>JUNE TURNOVER</t>
        </is>
      </c>
      <c r="O291" s="78" t="n">
        <v>11</v>
      </c>
      <c r="P291" s="78" t="inlineStr">
        <is>
          <t>2024-06-06</t>
        </is>
      </c>
      <c r="Q291" s="78" t="inlineStr">
        <is>
          <t>TURNOVER SCHEDULE r272, OGIDAN r16</t>
        </is>
      </c>
      <c r="R291" s="78" t="n"/>
    </row>
    <row r="292" ht="25" customHeight="1">
      <c r="A292" s="75" t="inlineStr">
        <is>
          <t>SL0269</t>
        </is>
      </c>
      <c r="B292" s="76" t="n">
        <v>45449</v>
      </c>
      <c r="C292" s="75" t="inlineStr">
        <is>
          <t>2024-06</t>
        </is>
      </c>
      <c r="D292" s="75" t="n">
        <v>2024</v>
      </c>
      <c r="E292" s="75" t="inlineStr">
        <is>
          <t>Land</t>
        </is>
      </c>
      <c r="F292" s="75" t="inlineStr">
        <is>
          <t>Ancillary charge</t>
        </is>
      </c>
      <c r="G292" s="75" t="inlineStr">
        <is>
          <t>Land: corner piece premium</t>
        </is>
      </c>
      <c r="H292" s="75" t="inlineStr">
        <is>
          <t>BP-C0075</t>
        </is>
      </c>
      <c r="I292" s="75" t="inlineStr">
        <is>
          <t>Miss Ogidan Funmilayo Jumoke</t>
        </is>
      </c>
      <c r="J292" s="77" t="n">
        <v>135000</v>
      </c>
      <c r="K292" s="75" t="inlineStr">
        <is>
          <t>Allen Branch</t>
        </is>
      </c>
      <c r="L292" s="75" t="inlineStr">
        <is>
          <t>Primary: monthly turnover register</t>
        </is>
      </c>
      <c r="M292" s="75" t="inlineStr">
        <is>
          <t>BAAY PROJECTS FINANCIALS 2024.xlsx</t>
        </is>
      </c>
      <c r="N292" s="75" t="inlineStr">
        <is>
          <t>JUNE TURNOVER</t>
        </is>
      </c>
      <c r="O292" s="75" t="n">
        <v>12</v>
      </c>
      <c r="P292" s="75" t="inlineStr">
        <is>
          <t>2024-06-06</t>
        </is>
      </c>
      <c r="Q292" s="75" t="n"/>
      <c r="R292" s="75" t="n"/>
    </row>
    <row r="293" ht="25" customHeight="1">
      <c r="A293" s="78" t="inlineStr">
        <is>
          <t>SL0270</t>
        </is>
      </c>
      <c r="B293" s="79" t="n">
        <v>45449</v>
      </c>
      <c r="C293" s="78" t="inlineStr">
        <is>
          <t>2024-06</t>
        </is>
      </c>
      <c r="D293" s="78" t="n">
        <v>2024</v>
      </c>
      <c r="E293" s="78" t="inlineStr">
        <is>
          <t>Land</t>
        </is>
      </c>
      <c r="F293" s="78" t="inlineStr">
        <is>
          <t>Ancillary charge</t>
        </is>
      </c>
      <c r="G293" s="78" t="inlineStr">
        <is>
          <t>Land: development fee</t>
        </is>
      </c>
      <c r="H293" s="78" t="inlineStr">
        <is>
          <t>BP-C0030</t>
        </is>
      </c>
      <c r="I293" s="78" t="inlineStr">
        <is>
          <t>Mr Adese Akorede  John</t>
        </is>
      </c>
      <c r="J293" s="80" t="n">
        <v>50000</v>
      </c>
      <c r="K293" s="78" t="inlineStr">
        <is>
          <t>Allen Branch</t>
        </is>
      </c>
      <c r="L293" s="78" t="inlineStr">
        <is>
          <t>Primary: monthly turnover register</t>
        </is>
      </c>
      <c r="M293" s="78" t="inlineStr">
        <is>
          <t>BAAY PROJECTS FINANCIALS 2024.xlsx</t>
        </is>
      </c>
      <c r="N293" s="78" t="inlineStr">
        <is>
          <t>JUNE TURNOVER</t>
        </is>
      </c>
      <c r="O293" s="78" t="n">
        <v>13</v>
      </c>
      <c r="P293" s="78" t="inlineStr">
        <is>
          <t>2024-06-06</t>
        </is>
      </c>
      <c r="Q293" s="78" t="n"/>
      <c r="R293" s="78" t="n"/>
    </row>
    <row r="294" ht="25" customHeight="1">
      <c r="A294" s="75" t="inlineStr">
        <is>
          <t>SL0271</t>
        </is>
      </c>
      <c r="B294" s="76" t="n">
        <v>45449</v>
      </c>
      <c r="C294" s="75" t="inlineStr">
        <is>
          <t>2024-06</t>
        </is>
      </c>
      <c r="D294" s="75" t="n">
        <v>2024</v>
      </c>
      <c r="E294" s="75" t="inlineStr">
        <is>
          <t>Land</t>
        </is>
      </c>
      <c r="F294" s="75" t="inlineStr">
        <is>
          <t>Plot / unit price</t>
        </is>
      </c>
      <c r="G294" s="75" t="inlineStr">
        <is>
          <t>Green City Phase 2 (Ketu-Epe)</t>
        </is>
      </c>
      <c r="H294" s="75" t="inlineStr">
        <is>
          <t>BP-C0030</t>
        </is>
      </c>
      <c r="I294" s="75" t="inlineStr">
        <is>
          <t>Mr Adese Akorede  John</t>
        </is>
      </c>
      <c r="J294" s="77" t="n">
        <v>200000</v>
      </c>
      <c r="K294" s="75" t="inlineStr">
        <is>
          <t>Allen Branch</t>
        </is>
      </c>
      <c r="L294" s="75" t="inlineStr">
        <is>
          <t>Primary: monthly turnover register</t>
        </is>
      </c>
      <c r="M294" s="75" t="inlineStr">
        <is>
          <t>BAAY PROJECTS FINANCIALS 2024.xlsx</t>
        </is>
      </c>
      <c r="N294" s="75" t="inlineStr">
        <is>
          <t>JUNE TURNOVER</t>
        </is>
      </c>
      <c r="O294" s="75" t="n">
        <v>14</v>
      </c>
      <c r="P294" s="75" t="inlineStr">
        <is>
          <t>2024-06-06</t>
        </is>
      </c>
      <c r="Q294" s="75" t="inlineStr">
        <is>
          <t>TURNOVER SCHEDULE r288, MD r25</t>
        </is>
      </c>
      <c r="R294" s="75" t="n"/>
    </row>
    <row r="295" ht="25" customHeight="1">
      <c r="A295" s="78" t="inlineStr">
        <is>
          <t>SL0272</t>
        </is>
      </c>
      <c r="B295" s="79" t="n">
        <v>45452</v>
      </c>
      <c r="C295" s="78" t="inlineStr">
        <is>
          <t>2024-06</t>
        </is>
      </c>
      <c r="D295" s="78" t="n">
        <v>2024</v>
      </c>
      <c r="E295" s="78" t="inlineStr">
        <is>
          <t>Land</t>
        </is>
      </c>
      <c r="F295" s="78" t="inlineStr">
        <is>
          <t>Plot / unit price</t>
        </is>
      </c>
      <c r="G295" s="78" t="inlineStr">
        <is>
          <t>Green City Phase 2 (Ketu-Epe)</t>
        </is>
      </c>
      <c r="H295" s="78" t="inlineStr">
        <is>
          <t>BP-C0096</t>
        </is>
      </c>
      <c r="I295" s="78" t="inlineStr">
        <is>
          <t>Mrs Lawani Opemipo Oluwatobi Lasode</t>
        </is>
      </c>
      <c r="J295" s="80" t="n">
        <v>500000</v>
      </c>
      <c r="K295" s="78" t="inlineStr">
        <is>
          <t>Allen Branch</t>
        </is>
      </c>
      <c r="L295" s="78" t="inlineStr">
        <is>
          <t>Primary: monthly turnover register</t>
        </is>
      </c>
      <c r="M295" s="78" t="inlineStr">
        <is>
          <t>BAAY PROJECTS FINANCIALS 2024.xlsx</t>
        </is>
      </c>
      <c r="N295" s="78" t="inlineStr">
        <is>
          <t>JUNE TURNOVER</t>
        </is>
      </c>
      <c r="O295" s="78" t="n">
        <v>15</v>
      </c>
      <c r="P295" s="78" t="inlineStr">
        <is>
          <t>2024-09-06</t>
        </is>
      </c>
      <c r="Q295" s="78" t="inlineStr">
        <is>
          <t>MS FISAYO r2</t>
        </is>
      </c>
      <c r="R295" s="78" t="n"/>
    </row>
    <row r="296" ht="25" customHeight="1">
      <c r="A296" s="75" t="inlineStr">
        <is>
          <t>SL0273</t>
        </is>
      </c>
      <c r="B296" s="76" t="n">
        <v>45453</v>
      </c>
      <c r="C296" s="75" t="inlineStr">
        <is>
          <t>2024-06</t>
        </is>
      </c>
      <c r="D296" s="75" t="n">
        <v>2024</v>
      </c>
      <c r="E296" s="75" t="inlineStr">
        <is>
          <t>Land</t>
        </is>
      </c>
      <c r="F296" s="75" t="inlineStr">
        <is>
          <t>Plot / unit price</t>
        </is>
      </c>
      <c r="G296" s="75" t="inlineStr">
        <is>
          <t>Green City Phase 2 (Ketu-Epe)</t>
        </is>
      </c>
      <c r="H296" s="75" t="inlineStr">
        <is>
          <t>BP-C0036</t>
        </is>
      </c>
      <c r="I296" s="75" t="inlineStr">
        <is>
          <t>Mr Ohumende paul Osaze</t>
        </is>
      </c>
      <c r="J296" s="77" t="n">
        <v>2100000</v>
      </c>
      <c r="K296" s="75" t="inlineStr">
        <is>
          <t>Allen Branch</t>
        </is>
      </c>
      <c r="L296" s="75" t="inlineStr">
        <is>
          <t>Primary: monthly turnover register</t>
        </is>
      </c>
      <c r="M296" s="75" t="inlineStr">
        <is>
          <t>BAAY PROJECTS FINANCIALS 2024.xlsx</t>
        </is>
      </c>
      <c r="N296" s="75" t="inlineStr">
        <is>
          <t>JUNE TURNOVER</t>
        </is>
      </c>
      <c r="O296" s="75" t="n">
        <v>16</v>
      </c>
      <c r="P296" s="75" t="inlineStr">
        <is>
          <t>2024-10-06</t>
        </is>
      </c>
      <c r="Q296" s="75" t="inlineStr">
        <is>
          <t>MD r26</t>
        </is>
      </c>
      <c r="R296" s="75" t="n"/>
    </row>
    <row r="297" ht="25" customHeight="1">
      <c r="A297" s="78" t="inlineStr">
        <is>
          <t>SL0274</t>
        </is>
      </c>
      <c r="B297" s="79" t="n">
        <v>45454</v>
      </c>
      <c r="C297" s="78" t="inlineStr">
        <is>
          <t>2024-06</t>
        </is>
      </c>
      <c r="D297" s="78" t="n">
        <v>2024</v>
      </c>
      <c r="E297" s="78" t="inlineStr">
        <is>
          <t>Land</t>
        </is>
      </c>
      <c r="F297" s="78" t="inlineStr">
        <is>
          <t>Plot / unit price</t>
        </is>
      </c>
      <c r="G297" s="78" t="inlineStr">
        <is>
          <t>Green City Phase 2 (Ketu-Epe)</t>
        </is>
      </c>
      <c r="H297" s="78" t="inlineStr">
        <is>
          <t>BP-C0097</t>
        </is>
      </c>
      <c r="I297" s="78" t="inlineStr">
        <is>
          <t>Engr. Fagbulu Taiwo Olubunmi</t>
        </is>
      </c>
      <c r="J297" s="80" t="n">
        <v>2100000</v>
      </c>
      <c r="K297" s="78" t="inlineStr">
        <is>
          <t>Magodo Branch</t>
        </is>
      </c>
      <c r="L297" s="78" t="inlineStr">
        <is>
          <t>Primary: monthly turnover register</t>
        </is>
      </c>
      <c r="M297" s="78" t="inlineStr">
        <is>
          <t>BAAY PROJECTS FINANCIALS 2024.xlsx</t>
        </is>
      </c>
      <c r="N297" s="78" t="inlineStr">
        <is>
          <t>JUNE TURNOVER</t>
        </is>
      </c>
      <c r="O297" s="78" t="n">
        <v>7</v>
      </c>
      <c r="P297" s="78" t="inlineStr">
        <is>
          <t>2024-11-06</t>
        </is>
      </c>
      <c r="Q297" s="78" t="inlineStr">
        <is>
          <t>MR HENRY r2</t>
        </is>
      </c>
      <c r="R297" s="78" t="n"/>
    </row>
    <row r="298" ht="25" customHeight="1">
      <c r="A298" s="75" t="inlineStr">
        <is>
          <t>SL0275</t>
        </is>
      </c>
      <c r="B298" s="76" t="n">
        <v>45454</v>
      </c>
      <c r="C298" s="75" t="inlineStr">
        <is>
          <t>2024-06</t>
        </is>
      </c>
      <c r="D298" s="75" t="n">
        <v>2024</v>
      </c>
      <c r="E298" s="75" t="inlineStr">
        <is>
          <t>Land</t>
        </is>
      </c>
      <c r="F298" s="75" t="inlineStr">
        <is>
          <t>Ancillary charge</t>
        </is>
      </c>
      <c r="G298" s="75" t="inlineStr">
        <is>
          <t>Land: corner piece premium</t>
        </is>
      </c>
      <c r="H298" s="75" t="inlineStr">
        <is>
          <t>BP-C0078</t>
        </is>
      </c>
      <c r="I298" s="75" t="inlineStr">
        <is>
          <t>Miss Bingham Kendra</t>
        </is>
      </c>
      <c r="J298" s="77" t="n">
        <v>250000</v>
      </c>
      <c r="K298" s="75" t="inlineStr">
        <is>
          <t>Allen Branch</t>
        </is>
      </c>
      <c r="L298" s="75" t="inlineStr">
        <is>
          <t>Primary: monthly turnover register</t>
        </is>
      </c>
      <c r="M298" s="75" t="inlineStr">
        <is>
          <t>BAAY PROJECTS FINANCIALS 2024.xlsx</t>
        </is>
      </c>
      <c r="N298" s="75" t="inlineStr">
        <is>
          <t>JUNE TURNOVER</t>
        </is>
      </c>
      <c r="O298" s="75" t="n">
        <v>19</v>
      </c>
      <c r="P298" s="75" t="inlineStr">
        <is>
          <t>2024-11-06</t>
        </is>
      </c>
      <c r="Q298" s="75" t="n"/>
      <c r="R298" s="75" t="n"/>
    </row>
    <row r="299" ht="25" customHeight="1">
      <c r="A299" s="78" t="inlineStr">
        <is>
          <t>SL0276</t>
        </is>
      </c>
      <c r="B299" s="79" t="n">
        <v>45454</v>
      </c>
      <c r="C299" s="78" t="inlineStr">
        <is>
          <t>2024-06</t>
        </is>
      </c>
      <c r="D299" s="78" t="n">
        <v>2024</v>
      </c>
      <c r="E299" s="78" t="inlineStr">
        <is>
          <t>Land</t>
        </is>
      </c>
      <c r="F299" s="78" t="inlineStr">
        <is>
          <t>Ancillary charge</t>
        </is>
      </c>
      <c r="G299" s="78" t="inlineStr">
        <is>
          <t>Land: corner piece premium</t>
        </is>
      </c>
      <c r="H299" s="78" t="inlineStr">
        <is>
          <t>BP-C0056</t>
        </is>
      </c>
      <c r="I299" s="78" t="inlineStr">
        <is>
          <t>Mr Adeuti Olanrewaju Babatunde</t>
        </is>
      </c>
      <c r="J299" s="80" t="n">
        <v>135000</v>
      </c>
      <c r="K299" s="78" t="inlineStr">
        <is>
          <t>Allen Branch</t>
        </is>
      </c>
      <c r="L299" s="78" t="inlineStr">
        <is>
          <t>Primary: monthly turnover register</t>
        </is>
      </c>
      <c r="M299" s="78" t="inlineStr">
        <is>
          <t>BAAY PROJECTS FINANCIALS 2024.xlsx</t>
        </is>
      </c>
      <c r="N299" s="78" t="inlineStr">
        <is>
          <t>JUNE TURNOVER</t>
        </is>
      </c>
      <c r="O299" s="78" t="n">
        <v>17</v>
      </c>
      <c r="P299" s="78" t="inlineStr">
        <is>
          <t>2024-11-06</t>
        </is>
      </c>
      <c r="Q299" s="78" t="n"/>
      <c r="R299" s="78" t="n"/>
    </row>
    <row r="300" ht="25" customHeight="1">
      <c r="A300" s="75" t="inlineStr">
        <is>
          <t>SL0277</t>
        </is>
      </c>
      <c r="B300" s="76" t="n">
        <v>45454</v>
      </c>
      <c r="C300" s="75" t="inlineStr">
        <is>
          <t>2024-06</t>
        </is>
      </c>
      <c r="D300" s="75" t="n">
        <v>2024</v>
      </c>
      <c r="E300" s="75" t="inlineStr">
        <is>
          <t>Land</t>
        </is>
      </c>
      <c r="F300" s="75" t="inlineStr">
        <is>
          <t>Ancillary charge</t>
        </is>
      </c>
      <c r="G300" s="75" t="inlineStr">
        <is>
          <t>Land: corner piece premium</t>
        </is>
      </c>
      <c r="H300" s="75" t="inlineStr">
        <is>
          <t>BP-C0098</t>
        </is>
      </c>
      <c r="I300" s="75" t="inlineStr">
        <is>
          <t>Mr Alli Ifesinachi Innocent</t>
        </is>
      </c>
      <c r="J300" s="77" t="n">
        <v>135000</v>
      </c>
      <c r="K300" s="75" t="inlineStr">
        <is>
          <t>Allen Branch</t>
        </is>
      </c>
      <c r="L300" s="75" t="inlineStr">
        <is>
          <t>Primary: monthly turnover register</t>
        </is>
      </c>
      <c r="M300" s="75" t="inlineStr">
        <is>
          <t>BAAY PROJECTS FINANCIALS 2024.xlsx</t>
        </is>
      </c>
      <c r="N300" s="75" t="inlineStr">
        <is>
          <t>JUNE TURNOVER</t>
        </is>
      </c>
      <c r="O300" s="75" t="n">
        <v>20</v>
      </c>
      <c r="P300" s="75" t="inlineStr">
        <is>
          <t>2024-11-06</t>
        </is>
      </c>
      <c r="Q300" s="75" t="n"/>
      <c r="R300" s="75" t="n"/>
    </row>
    <row r="301" ht="25" customHeight="1">
      <c r="A301" s="78" t="inlineStr">
        <is>
          <t>SL0278</t>
        </is>
      </c>
      <c r="B301" s="79" t="n">
        <v>45454</v>
      </c>
      <c r="C301" s="78" t="inlineStr">
        <is>
          <t>2024-06</t>
        </is>
      </c>
      <c r="D301" s="78" t="n">
        <v>2024</v>
      </c>
      <c r="E301" s="78" t="inlineStr">
        <is>
          <t>Land</t>
        </is>
      </c>
      <c r="F301" s="78" t="inlineStr">
        <is>
          <t>Plot / unit price</t>
        </is>
      </c>
      <c r="G301" s="78" t="inlineStr">
        <is>
          <t>Green City Phase 2 (Ketu-Epe)</t>
        </is>
      </c>
      <c r="H301" s="78" t="inlineStr">
        <is>
          <t>BP-C0093</t>
        </is>
      </c>
      <c r="I301" s="78" t="inlineStr">
        <is>
          <t>Mr Okuneye Oluwakayode Oluwaseyi</t>
        </is>
      </c>
      <c r="J301" s="80" t="n">
        <v>1100000</v>
      </c>
      <c r="K301" s="78" t="inlineStr">
        <is>
          <t>Allen Branch</t>
        </is>
      </c>
      <c r="L301" s="78" t="inlineStr">
        <is>
          <t>Primary: monthly turnover register</t>
        </is>
      </c>
      <c r="M301" s="78" t="inlineStr">
        <is>
          <t>BAAY PROJECTS FINANCIALS 2024.xlsx</t>
        </is>
      </c>
      <c r="N301" s="78" t="inlineStr">
        <is>
          <t>JUNE TURNOVER</t>
        </is>
      </c>
      <c r="O301" s="78" t="n">
        <v>18</v>
      </c>
      <c r="P301" s="78" t="inlineStr">
        <is>
          <t>2024-11-06</t>
        </is>
      </c>
      <c r="Q301" s="78" t="inlineStr">
        <is>
          <t>MS BOLANLE r69</t>
        </is>
      </c>
      <c r="R301" s="78" t="n"/>
    </row>
    <row r="302" ht="25" customHeight="1">
      <c r="A302" s="75" t="inlineStr">
        <is>
          <t>SL0279</t>
        </is>
      </c>
      <c r="B302" s="76" t="n">
        <v>45454</v>
      </c>
      <c r="C302" s="75" t="inlineStr">
        <is>
          <t>2024-06</t>
        </is>
      </c>
      <c r="D302" s="75" t="n">
        <v>2024</v>
      </c>
      <c r="E302" s="75" t="inlineStr">
        <is>
          <t>Land</t>
        </is>
      </c>
      <c r="F302" s="75" t="inlineStr">
        <is>
          <t>Plot / unit price</t>
        </is>
      </c>
      <c r="G302" s="75" t="inlineStr">
        <is>
          <t>Green City Phase 1 (Lantaba, Ketu-Epe)</t>
        </is>
      </c>
      <c r="H302" s="75" t="inlineStr">
        <is>
          <t>BP-C0099</t>
        </is>
      </c>
      <c r="I302" s="75" t="inlineStr">
        <is>
          <t>Mr Olatunde  Adesua Samuel</t>
        </is>
      </c>
      <c r="J302" s="77" t="n">
        <v>500000</v>
      </c>
      <c r="K302" s="75" t="inlineStr">
        <is>
          <t>Allen Branch</t>
        </is>
      </c>
      <c r="L302" s="75" t="inlineStr">
        <is>
          <t>Primary: monthly turnover register</t>
        </is>
      </c>
      <c r="M302" s="75" t="inlineStr">
        <is>
          <t>BAAY PROJECTS FINANCIALS 2024.xlsx</t>
        </is>
      </c>
      <c r="N302" s="75" t="inlineStr">
        <is>
          <t>JUNE TURNOVER</t>
        </is>
      </c>
      <c r="O302" s="75" t="n">
        <v>21</v>
      </c>
      <c r="P302" s="75" t="inlineStr">
        <is>
          <t>2024-11-06</t>
        </is>
      </c>
      <c r="Q302" s="75" t="inlineStr">
        <is>
          <t>MS ADENIKE r2</t>
        </is>
      </c>
      <c r="R302" s="75" t="n"/>
    </row>
    <row r="303" ht="25" customHeight="1">
      <c r="A303" s="78" t="inlineStr">
        <is>
          <t>SL0280</t>
        </is>
      </c>
      <c r="B303" s="79" t="n">
        <v>45456</v>
      </c>
      <c r="C303" s="78" t="inlineStr">
        <is>
          <t>2024-06</t>
        </is>
      </c>
      <c r="D303" s="78" t="n">
        <v>2024</v>
      </c>
      <c r="E303" s="78" t="inlineStr">
        <is>
          <t>Land</t>
        </is>
      </c>
      <c r="F303" s="78" t="inlineStr">
        <is>
          <t>Plot / unit price</t>
        </is>
      </c>
      <c r="G303" s="78" t="inlineStr">
        <is>
          <t>Green City Phase 1 (Lantaba, Ketu-Epe)</t>
        </is>
      </c>
      <c r="H303" s="78" t="inlineStr">
        <is>
          <t>BP-C0046</t>
        </is>
      </c>
      <c r="I303" s="78" t="inlineStr">
        <is>
          <t>Mr Adesida Raphael abiodun</t>
        </is>
      </c>
      <c r="J303" s="80" t="n">
        <v>100000</v>
      </c>
      <c r="K303" s="78" t="inlineStr">
        <is>
          <t>Allen Branch</t>
        </is>
      </c>
      <c r="L303" s="78" t="inlineStr">
        <is>
          <t>Primary: monthly turnover register</t>
        </is>
      </c>
      <c r="M303" s="78" t="inlineStr">
        <is>
          <t>BAAY PROJECTS FINANCIALS 2024.xlsx</t>
        </is>
      </c>
      <c r="N303" s="78" t="inlineStr">
        <is>
          <t>JUNE TURNOVER</t>
        </is>
      </c>
      <c r="O303" s="78" t="n">
        <v>23</v>
      </c>
      <c r="P303" s="78" t="inlineStr">
        <is>
          <t>13/06/2024</t>
        </is>
      </c>
      <c r="Q303" s="78" t="n"/>
      <c r="R303" s="78" t="n"/>
    </row>
    <row r="304" ht="25" customHeight="1">
      <c r="A304" s="75" t="inlineStr">
        <is>
          <t>SL0281</t>
        </is>
      </c>
      <c r="B304" s="76" t="n">
        <v>45457</v>
      </c>
      <c r="C304" s="75" t="inlineStr">
        <is>
          <t>2024-06</t>
        </is>
      </c>
      <c r="D304" s="75" t="n">
        <v>2024</v>
      </c>
      <c r="E304" s="75" t="inlineStr">
        <is>
          <t>Land</t>
        </is>
      </c>
      <c r="F304" s="75" t="inlineStr">
        <is>
          <t>Plot / unit price</t>
        </is>
      </c>
      <c r="G304" s="75" t="inlineStr">
        <is>
          <t>Green City Phase 1 (Lantaba, Ketu-Epe)</t>
        </is>
      </c>
      <c r="H304" s="75" t="inlineStr">
        <is>
          <t>BP-C0099</t>
        </is>
      </c>
      <c r="I304" s="75" t="inlineStr">
        <is>
          <t>Mr Olatunde  Adesua Samuel</t>
        </is>
      </c>
      <c r="J304" s="77" t="n">
        <v>500000</v>
      </c>
      <c r="K304" s="75" t="inlineStr">
        <is>
          <t>Allen Branch</t>
        </is>
      </c>
      <c r="L304" s="75" t="inlineStr">
        <is>
          <t>Primary: monthly turnover register</t>
        </is>
      </c>
      <c r="M304" s="75" t="inlineStr">
        <is>
          <t>BAAY PROJECTS FINANCIALS 2024.xlsx</t>
        </is>
      </c>
      <c r="N304" s="75" t="inlineStr">
        <is>
          <t>JUNE TURNOVER</t>
        </is>
      </c>
      <c r="O304" s="75" t="n">
        <v>24</v>
      </c>
      <c r="P304" s="75" t="inlineStr">
        <is>
          <t>14/06/2024</t>
        </is>
      </c>
      <c r="Q304" s="75" t="inlineStr">
        <is>
          <t>MS ADENIKE r3</t>
        </is>
      </c>
      <c r="R304" s="75" t="n"/>
    </row>
    <row r="305" ht="25" customHeight="1">
      <c r="A305" s="78" t="inlineStr">
        <is>
          <t>SL0282</t>
        </is>
      </c>
      <c r="B305" s="79" t="n">
        <v>45457</v>
      </c>
      <c r="C305" s="78" t="inlineStr">
        <is>
          <t>2024-06</t>
        </is>
      </c>
      <c r="D305" s="78" t="n">
        <v>2024</v>
      </c>
      <c r="E305" s="78" t="inlineStr">
        <is>
          <t>Land</t>
        </is>
      </c>
      <c r="F305" s="78" t="inlineStr">
        <is>
          <t>Ancillary charge</t>
        </is>
      </c>
      <c r="G305" s="78" t="inlineStr">
        <is>
          <t>Land: corner piece premium</t>
        </is>
      </c>
      <c r="H305" s="78" t="inlineStr">
        <is>
          <t>BP-C0058</t>
        </is>
      </c>
      <c r="I305" s="78" t="inlineStr">
        <is>
          <t>Mr Oniyide Olaoluwa Blessing</t>
        </is>
      </c>
      <c r="J305" s="80" t="n">
        <v>135000</v>
      </c>
      <c r="K305" s="78" t="inlineStr">
        <is>
          <t>Allen Branch</t>
        </is>
      </c>
      <c r="L305" s="78" t="inlineStr">
        <is>
          <t>Primary: monthly turnover register</t>
        </is>
      </c>
      <c r="M305" s="78" t="inlineStr">
        <is>
          <t>BAAY PROJECTS FINANCIALS 2024.xlsx</t>
        </is>
      </c>
      <c r="N305" s="78" t="inlineStr">
        <is>
          <t>JUNE TURNOVER</t>
        </is>
      </c>
      <c r="O305" s="78" t="n">
        <v>25</v>
      </c>
      <c r="P305" s="78" t="inlineStr">
        <is>
          <t>14/06/2024</t>
        </is>
      </c>
      <c r="Q305" s="78" t="n"/>
      <c r="R305" s="78" t="n"/>
    </row>
    <row r="306" ht="25" customHeight="1">
      <c r="A306" s="75" t="inlineStr">
        <is>
          <t>SL0283</t>
        </is>
      </c>
      <c r="B306" s="76" t="n">
        <v>45458</v>
      </c>
      <c r="C306" s="75" t="inlineStr">
        <is>
          <t>2024-06</t>
        </is>
      </c>
      <c r="D306" s="75" t="n">
        <v>2024</v>
      </c>
      <c r="E306" s="75" t="inlineStr">
        <is>
          <t>Land</t>
        </is>
      </c>
      <c r="F306" s="75" t="inlineStr">
        <is>
          <t>Plot / unit price</t>
        </is>
      </c>
      <c r="G306" s="75" t="inlineStr">
        <is>
          <t>Green City Phase 2 (Ketu-Epe)</t>
        </is>
      </c>
      <c r="H306" s="75" t="inlineStr">
        <is>
          <t>BP-C0100</t>
        </is>
      </c>
      <c r="I306" s="75" t="inlineStr">
        <is>
          <t>Mr Braimoh Ayomide Favour</t>
        </is>
      </c>
      <c r="J306" s="77" t="n">
        <v>250000</v>
      </c>
      <c r="K306" s="75" t="inlineStr">
        <is>
          <t>Magodo Branch</t>
        </is>
      </c>
      <c r="L306" s="75" t="inlineStr">
        <is>
          <t>Primary: monthly turnover register</t>
        </is>
      </c>
      <c r="M306" s="75" t="inlineStr">
        <is>
          <t>BAAY PROJECTS FINANCIALS 2024.xlsx</t>
        </is>
      </c>
      <c r="N306" s="75" t="inlineStr">
        <is>
          <t>JUNE TURNOVER</t>
        </is>
      </c>
      <c r="O306" s="75" t="n">
        <v>9</v>
      </c>
      <c r="P306" s="75" t="inlineStr">
        <is>
          <t>15/06/2024</t>
        </is>
      </c>
      <c r="Q306" s="75" t="inlineStr">
        <is>
          <t>MS MAYOWA BRAIMOH r2</t>
        </is>
      </c>
      <c r="R306" s="75" t="n"/>
    </row>
    <row r="307" ht="25" customHeight="1">
      <c r="A307" s="78" t="inlineStr">
        <is>
          <t>SL0284</t>
        </is>
      </c>
      <c r="B307" s="79" t="n">
        <v>45458</v>
      </c>
      <c r="C307" s="78" t="inlineStr">
        <is>
          <t>2024-06</t>
        </is>
      </c>
      <c r="D307" s="78" t="n">
        <v>2024</v>
      </c>
      <c r="E307" s="78" t="inlineStr">
        <is>
          <t>Land</t>
        </is>
      </c>
      <c r="F307" s="78" t="inlineStr">
        <is>
          <t>Plot / unit price</t>
        </is>
      </c>
      <c r="G307" s="78" t="inlineStr">
        <is>
          <t>Green City Phase 2 (Ketu-Epe)</t>
        </is>
      </c>
      <c r="H307" s="78" t="inlineStr">
        <is>
          <t>BP-C0079</t>
        </is>
      </c>
      <c r="I307" s="78" t="inlineStr">
        <is>
          <t>Ukachi Florence Oluchi</t>
        </is>
      </c>
      <c r="J307" s="80" t="n">
        <v>500000</v>
      </c>
      <c r="K307" s="78" t="inlineStr">
        <is>
          <t>Magodo Branch</t>
        </is>
      </c>
      <c r="L307" s="78" t="inlineStr">
        <is>
          <t>Primary: monthly turnover register</t>
        </is>
      </c>
      <c r="M307" s="78" t="inlineStr">
        <is>
          <t>BAAY PROJECTS FINANCIALS 2024.xlsx</t>
        </is>
      </c>
      <c r="N307" s="78" t="inlineStr">
        <is>
          <t>JUNE TURNOVER</t>
        </is>
      </c>
      <c r="O307" s="78" t="n">
        <v>8</v>
      </c>
      <c r="P307" s="78" t="inlineStr">
        <is>
          <t>15/06/2024</t>
        </is>
      </c>
      <c r="Q307" s="78" t="inlineStr">
        <is>
          <t>MS FEYI r8</t>
        </is>
      </c>
      <c r="R307" s="78" t="n"/>
    </row>
    <row r="308" ht="25" customHeight="1">
      <c r="A308" s="75" t="inlineStr">
        <is>
          <t>SL0285</t>
        </is>
      </c>
      <c r="B308" s="76" t="n">
        <v>45460</v>
      </c>
      <c r="C308" s="75" t="inlineStr">
        <is>
          <t>2024-06</t>
        </is>
      </c>
      <c r="D308" s="75" t="n">
        <v>2024</v>
      </c>
      <c r="E308" s="75" t="inlineStr">
        <is>
          <t>Land</t>
        </is>
      </c>
      <c r="F308" s="75" t="inlineStr">
        <is>
          <t>Plot / unit price</t>
        </is>
      </c>
      <c r="G308" s="75" t="inlineStr">
        <is>
          <t>Green City Phase 2 (Ketu-Epe)</t>
        </is>
      </c>
      <c r="H308" s="75" t="inlineStr">
        <is>
          <t>BP-C0066</t>
        </is>
      </c>
      <c r="I308" s="75" t="inlineStr">
        <is>
          <t>Miss Omosanya Dotun Akeju</t>
        </is>
      </c>
      <c r="J308" s="77" t="n">
        <v>1000000</v>
      </c>
      <c r="K308" s="75" t="inlineStr">
        <is>
          <t>Allen Branch</t>
        </is>
      </c>
      <c r="L308" s="75" t="inlineStr">
        <is>
          <t>Primary: monthly turnover register</t>
        </is>
      </c>
      <c r="M308" s="75" t="inlineStr">
        <is>
          <t>BAAY PROJECTS FINANCIALS 2024.xlsx</t>
        </is>
      </c>
      <c r="N308" s="75" t="inlineStr">
        <is>
          <t>JUNE TURNOVER</t>
        </is>
      </c>
      <c r="O308" s="75" t="n">
        <v>27</v>
      </c>
      <c r="P308" s="75" t="inlineStr">
        <is>
          <t>17/06/2024</t>
        </is>
      </c>
      <c r="Q308" s="75" t="inlineStr">
        <is>
          <t>MS BOLANLE r70, MS BLESSING OJI r24</t>
        </is>
      </c>
      <c r="R308" s="75" t="n"/>
    </row>
    <row r="309" ht="25" customHeight="1">
      <c r="A309" s="78" t="inlineStr">
        <is>
          <t>SL0286</t>
        </is>
      </c>
      <c r="B309" s="79" t="n">
        <v>45460</v>
      </c>
      <c r="C309" s="78" t="inlineStr">
        <is>
          <t>2024-06</t>
        </is>
      </c>
      <c r="D309" s="78" t="n">
        <v>2024</v>
      </c>
      <c r="E309" s="78" t="inlineStr">
        <is>
          <t>Land</t>
        </is>
      </c>
      <c r="F309" s="78" t="inlineStr">
        <is>
          <t>Ancillary charge</t>
        </is>
      </c>
      <c r="G309" s="78" t="inlineStr">
        <is>
          <t>Land: corner piece premium</t>
        </is>
      </c>
      <c r="H309" s="78" t="inlineStr">
        <is>
          <t>BP-C0076</t>
        </is>
      </c>
      <c r="I309" s="78" t="inlineStr">
        <is>
          <t>Mr Ojo Ayomide Babatunde</t>
        </is>
      </c>
      <c r="J309" s="80" t="n">
        <v>135000</v>
      </c>
      <c r="K309" s="78" t="inlineStr">
        <is>
          <t>Allen Branch</t>
        </is>
      </c>
      <c r="L309" s="78" t="inlineStr">
        <is>
          <t>Primary: monthly turnover register</t>
        </is>
      </c>
      <c r="M309" s="78" t="inlineStr">
        <is>
          <t>BAAY PROJECTS FINANCIALS 2024.xlsx</t>
        </is>
      </c>
      <c r="N309" s="78" t="inlineStr">
        <is>
          <t>JUNE TURNOVER</t>
        </is>
      </c>
      <c r="O309" s="78" t="n">
        <v>26</v>
      </c>
      <c r="P309" s="78" t="inlineStr">
        <is>
          <t>17/06/2024</t>
        </is>
      </c>
      <c r="Q309" s="78" t="n"/>
      <c r="R309" s="78" t="n"/>
    </row>
    <row r="310" ht="25" customHeight="1">
      <c r="A310" s="75" t="inlineStr">
        <is>
          <t>SL0287</t>
        </is>
      </c>
      <c r="B310" s="76" t="n">
        <v>45460</v>
      </c>
      <c r="C310" s="75" t="inlineStr">
        <is>
          <t>2024-06</t>
        </is>
      </c>
      <c r="D310" s="75" t="n">
        <v>2024</v>
      </c>
      <c r="E310" s="75" t="inlineStr">
        <is>
          <t>Land</t>
        </is>
      </c>
      <c r="F310" s="75" t="inlineStr">
        <is>
          <t>Ancillary charge</t>
        </is>
      </c>
      <c r="G310" s="75" t="inlineStr">
        <is>
          <t>Land: corner piece premium</t>
        </is>
      </c>
      <c r="H310" s="75" t="inlineStr">
        <is>
          <t>BP-C0092</t>
        </is>
      </c>
      <c r="I310" s="75" t="inlineStr">
        <is>
          <t>Mr Oriakhi Osemudiamen Peter</t>
        </is>
      </c>
      <c r="J310" s="77" t="n">
        <v>135000</v>
      </c>
      <c r="K310" s="75" t="inlineStr">
        <is>
          <t>Magodo Branch</t>
        </is>
      </c>
      <c r="L310" s="75" t="inlineStr">
        <is>
          <t>Primary: monthly turnover register</t>
        </is>
      </c>
      <c r="M310" s="75" t="inlineStr">
        <is>
          <t>BAAY PROJECTS FINANCIALS 2024.xlsx</t>
        </is>
      </c>
      <c r="N310" s="75" t="inlineStr">
        <is>
          <t>JUNE TURNOVER</t>
        </is>
      </c>
      <c r="O310" s="75" t="n">
        <v>10</v>
      </c>
      <c r="P310" s="75" t="inlineStr">
        <is>
          <t>17/06/2024</t>
        </is>
      </c>
      <c r="Q310" s="75" t="n"/>
      <c r="R310" s="75" t="n"/>
    </row>
    <row r="311" ht="25" customHeight="1">
      <c r="A311" s="78" t="inlineStr">
        <is>
          <t>SL0288</t>
        </is>
      </c>
      <c r="B311" s="79" t="n">
        <v>45461</v>
      </c>
      <c r="C311" s="78" t="inlineStr">
        <is>
          <t>2024-06</t>
        </is>
      </c>
      <c r="D311" s="78" t="n">
        <v>2024</v>
      </c>
      <c r="E311" s="78" t="inlineStr">
        <is>
          <t>Land</t>
        </is>
      </c>
      <c r="F311" s="78" t="inlineStr">
        <is>
          <t>Plot / unit price</t>
        </is>
      </c>
      <c r="G311" s="78" t="inlineStr">
        <is>
          <t>Green City Phase 2 (Ketu-Epe)</t>
        </is>
      </c>
      <c r="H311" s="78" t="inlineStr">
        <is>
          <t>BP-C0081</t>
        </is>
      </c>
      <c r="I311" s="78" t="inlineStr">
        <is>
          <t>Mr Ukachi Godfrey Ndukaku</t>
        </is>
      </c>
      <c r="J311" s="80" t="n">
        <v>300000</v>
      </c>
      <c r="K311" s="78" t="inlineStr">
        <is>
          <t>Magodo Branch</t>
        </is>
      </c>
      <c r="L311" s="78" t="inlineStr">
        <is>
          <t>Primary: monthly turnover register</t>
        </is>
      </c>
      <c r="M311" s="78" t="inlineStr">
        <is>
          <t>BAAY PROJECTS FINANCIALS 2024.xlsx</t>
        </is>
      </c>
      <c r="N311" s="78" t="inlineStr">
        <is>
          <t>JUNE TURNOVER</t>
        </is>
      </c>
      <c r="O311" s="78" t="n">
        <v>11</v>
      </c>
      <c r="P311" s="78" t="inlineStr">
        <is>
          <t>18/06/2024</t>
        </is>
      </c>
      <c r="Q311" s="78" t="inlineStr">
        <is>
          <t>MS FEYI r9</t>
        </is>
      </c>
      <c r="R311" s="78" t="n"/>
    </row>
    <row r="312" ht="25" customHeight="1">
      <c r="A312" s="75" t="inlineStr">
        <is>
          <t>SL0289</t>
        </is>
      </c>
      <c r="B312" s="76" t="n">
        <v>45463</v>
      </c>
      <c r="C312" s="75" t="inlineStr">
        <is>
          <t>2024-06</t>
        </is>
      </c>
      <c r="D312" s="75" t="n">
        <v>2024</v>
      </c>
      <c r="E312" s="75" t="inlineStr">
        <is>
          <t>Land</t>
        </is>
      </c>
      <c r="F312" s="75" t="inlineStr">
        <is>
          <t>Ancillary charge</t>
        </is>
      </c>
      <c r="G312" s="75" t="inlineStr">
        <is>
          <t>Land: corner piece premium</t>
        </is>
      </c>
      <c r="H312" s="75" t="inlineStr">
        <is>
          <t>BP-C0097</t>
        </is>
      </c>
      <c r="I312" s="75" t="inlineStr">
        <is>
          <t>Engr. Fagbulu Taiwo Olubunmi</t>
        </is>
      </c>
      <c r="J312" s="77" t="n">
        <v>135000</v>
      </c>
      <c r="K312" s="75" t="inlineStr">
        <is>
          <t>Magodo Branch</t>
        </is>
      </c>
      <c r="L312" s="75" t="inlineStr">
        <is>
          <t>Primary: monthly turnover register</t>
        </is>
      </c>
      <c r="M312" s="75" t="inlineStr">
        <is>
          <t>BAAY PROJECTS FINANCIALS 2024.xlsx</t>
        </is>
      </c>
      <c r="N312" s="75" t="inlineStr">
        <is>
          <t>JUNE TURNOVER</t>
        </is>
      </c>
      <c r="O312" s="75" t="n">
        <v>12</v>
      </c>
      <c r="P312" s="75" t="inlineStr">
        <is>
          <t>20/06/2024</t>
        </is>
      </c>
      <c r="Q312" s="75" t="n"/>
      <c r="R312" s="75" t="n"/>
    </row>
    <row r="313" ht="25" customHeight="1">
      <c r="A313" s="78" t="inlineStr">
        <is>
          <t>SL0290</t>
        </is>
      </c>
      <c r="B313" s="79" t="n">
        <v>45463</v>
      </c>
      <c r="C313" s="78" t="inlineStr">
        <is>
          <t>2024-06</t>
        </is>
      </c>
      <c r="D313" s="78" t="n">
        <v>2024</v>
      </c>
      <c r="E313" s="78" t="inlineStr">
        <is>
          <t>Land</t>
        </is>
      </c>
      <c r="F313" s="78" t="inlineStr">
        <is>
          <t>Ancillary charge</t>
        </is>
      </c>
      <c r="G313" s="78" t="inlineStr">
        <is>
          <t>Land: corner piece premium</t>
        </is>
      </c>
      <c r="H313" s="78" t="inlineStr">
        <is>
          <t>BP-C0101</t>
        </is>
      </c>
      <c r="I313" s="78" t="inlineStr">
        <is>
          <t>Miss Ojochegbe Success Danjuma</t>
        </is>
      </c>
      <c r="J313" s="80" t="n">
        <v>135000</v>
      </c>
      <c r="K313" s="78" t="inlineStr">
        <is>
          <t>Allen Branch</t>
        </is>
      </c>
      <c r="L313" s="78" t="inlineStr">
        <is>
          <t>Primary: monthly turnover register</t>
        </is>
      </c>
      <c r="M313" s="78" t="inlineStr">
        <is>
          <t>BAAY PROJECTS FINANCIALS 2024.xlsx</t>
        </is>
      </c>
      <c r="N313" s="78" t="inlineStr">
        <is>
          <t>JUNE TURNOVER</t>
        </is>
      </c>
      <c r="O313" s="78" t="n">
        <v>28</v>
      </c>
      <c r="P313" s="78" t="inlineStr">
        <is>
          <t>20/06/2024</t>
        </is>
      </c>
      <c r="Q313" s="78" t="n"/>
      <c r="R313" s="78" t="n"/>
    </row>
    <row r="314" ht="25" customHeight="1">
      <c r="A314" s="75" t="inlineStr">
        <is>
          <t>SL0291</t>
        </is>
      </c>
      <c r="B314" s="76" t="n">
        <v>45464</v>
      </c>
      <c r="C314" s="75" t="inlineStr">
        <is>
          <t>2024-06</t>
        </is>
      </c>
      <c r="D314" s="75" t="n">
        <v>2024</v>
      </c>
      <c r="E314" s="75" t="inlineStr">
        <is>
          <t>Land</t>
        </is>
      </c>
      <c r="F314" s="75" t="inlineStr">
        <is>
          <t>Plot / unit price</t>
        </is>
      </c>
      <c r="G314" s="75" t="inlineStr">
        <is>
          <t>Green City Phase 2 (Ketu-Epe)</t>
        </is>
      </c>
      <c r="H314" s="75" t="inlineStr">
        <is>
          <t>BP-C0102</t>
        </is>
      </c>
      <c r="I314" s="75" t="inlineStr">
        <is>
          <t>Miss Odeyemi Testimony Patricia</t>
        </is>
      </c>
      <c r="J314" s="77" t="n">
        <v>1000000</v>
      </c>
      <c r="K314" s="75" t="inlineStr">
        <is>
          <t>Allen Branch</t>
        </is>
      </c>
      <c r="L314" s="75" t="inlineStr">
        <is>
          <t>Primary: monthly turnover register</t>
        </is>
      </c>
      <c r="M314" s="75" t="inlineStr">
        <is>
          <t>BAAY PROJECTS FINANCIALS 2024.xlsx</t>
        </is>
      </c>
      <c r="N314" s="75" t="inlineStr">
        <is>
          <t>JUNE TURNOVER</t>
        </is>
      </c>
      <c r="O314" s="75" t="n">
        <v>30</v>
      </c>
      <c r="P314" s="75" t="inlineStr">
        <is>
          <t>21/06/2024</t>
        </is>
      </c>
      <c r="Q314" s="75" t="inlineStr">
        <is>
          <t>MRS ABIMBOLA r94</t>
        </is>
      </c>
      <c r="R314" s="75" t="n"/>
    </row>
    <row r="315" ht="25" customHeight="1">
      <c r="A315" s="78" t="inlineStr">
        <is>
          <t>SL0292</t>
        </is>
      </c>
      <c r="B315" s="79" t="n">
        <v>45464</v>
      </c>
      <c r="C315" s="78" t="inlineStr">
        <is>
          <t>2024-06</t>
        </is>
      </c>
      <c r="D315" s="78" t="n">
        <v>2024</v>
      </c>
      <c r="E315" s="78" t="inlineStr">
        <is>
          <t>Land</t>
        </is>
      </c>
      <c r="F315" s="78" t="inlineStr">
        <is>
          <t>Ancillary charge</t>
        </is>
      </c>
      <c r="G315" s="78" t="inlineStr">
        <is>
          <t>Land: corner piece premium</t>
        </is>
      </c>
      <c r="H315" s="78" t="inlineStr">
        <is>
          <t>BP-C0009</t>
        </is>
      </c>
      <c r="I315" s="78" t="inlineStr">
        <is>
          <t>Miss Oji Blessing Mary</t>
        </is>
      </c>
      <c r="J315" s="80" t="n">
        <v>135000</v>
      </c>
      <c r="K315" s="78" t="inlineStr">
        <is>
          <t>Allen Branch</t>
        </is>
      </c>
      <c r="L315" s="78" t="inlineStr">
        <is>
          <t>Primary: monthly turnover register</t>
        </is>
      </c>
      <c r="M315" s="78" t="inlineStr">
        <is>
          <t>BAAY PROJECTS FINANCIALS 2024.xlsx</t>
        </is>
      </c>
      <c r="N315" s="78" t="inlineStr">
        <is>
          <t>JUNE TURNOVER</t>
        </is>
      </c>
      <c r="O315" s="78" t="n">
        <v>31</v>
      </c>
      <c r="P315" s="78" t="inlineStr">
        <is>
          <t>21/06/2024</t>
        </is>
      </c>
      <c r="Q315" s="78" t="n"/>
      <c r="R315" s="78" t="n"/>
    </row>
    <row r="316" ht="25" customHeight="1">
      <c r="A316" s="75" t="inlineStr">
        <is>
          <t>SL0293</t>
        </is>
      </c>
      <c r="B316" s="76" t="n">
        <v>45464</v>
      </c>
      <c r="C316" s="75" t="inlineStr">
        <is>
          <t>2024-06</t>
        </is>
      </c>
      <c r="D316" s="75" t="n">
        <v>2024</v>
      </c>
      <c r="E316" s="75" t="inlineStr">
        <is>
          <t>Land</t>
        </is>
      </c>
      <c r="F316" s="75" t="inlineStr">
        <is>
          <t>Ancillary charge</t>
        </is>
      </c>
      <c r="G316" s="75" t="inlineStr">
        <is>
          <t>Land: corner piece premium</t>
        </is>
      </c>
      <c r="H316" s="75" t="inlineStr">
        <is>
          <t>BP-C0066</t>
        </is>
      </c>
      <c r="I316" s="75" t="inlineStr">
        <is>
          <t>Miss Omosanya Dotun Akeju</t>
        </is>
      </c>
      <c r="J316" s="77" t="n">
        <v>135000</v>
      </c>
      <c r="K316" s="75" t="inlineStr">
        <is>
          <t>Allen Branch</t>
        </is>
      </c>
      <c r="L316" s="75" t="inlineStr">
        <is>
          <t>Primary: monthly turnover register</t>
        </is>
      </c>
      <c r="M316" s="75" t="inlineStr">
        <is>
          <t>BAAY PROJECTS FINANCIALS 2024.xlsx</t>
        </is>
      </c>
      <c r="N316" s="75" t="inlineStr">
        <is>
          <t>JUNE TURNOVER</t>
        </is>
      </c>
      <c r="O316" s="75" t="n">
        <v>32</v>
      </c>
      <c r="P316" s="75" t="inlineStr">
        <is>
          <t>21/06/2024</t>
        </is>
      </c>
      <c r="Q316" s="75" t="n"/>
      <c r="R316" s="75" t="n"/>
    </row>
    <row r="317" ht="25" customHeight="1">
      <c r="A317" s="78" t="inlineStr">
        <is>
          <t>SL0294</t>
        </is>
      </c>
      <c r="B317" s="79" t="n">
        <v>45464</v>
      </c>
      <c r="C317" s="78" t="inlineStr">
        <is>
          <t>2024-06</t>
        </is>
      </c>
      <c r="D317" s="78" t="n">
        <v>2024</v>
      </c>
      <c r="E317" s="78" t="inlineStr">
        <is>
          <t>Land</t>
        </is>
      </c>
      <c r="F317" s="78" t="inlineStr">
        <is>
          <t>Plot / unit price</t>
        </is>
      </c>
      <c r="G317" s="78" t="inlineStr">
        <is>
          <t>Green City Phase 2 (Ketu-Epe)</t>
        </is>
      </c>
      <c r="H317" s="78" t="inlineStr">
        <is>
          <t>BP-C0054</t>
        </is>
      </c>
      <c r="I317" s="78" t="inlineStr">
        <is>
          <t>Mr Adeniyi Ademola</t>
        </is>
      </c>
      <c r="J317" s="80" t="n">
        <v>2000000</v>
      </c>
      <c r="K317" s="78" t="inlineStr">
        <is>
          <t>Allen Branch</t>
        </is>
      </c>
      <c r="L317" s="78" t="inlineStr">
        <is>
          <t>Primary: monthly turnover register</t>
        </is>
      </c>
      <c r="M317" s="78" t="inlineStr">
        <is>
          <t>BAAY PROJECTS FINANCIALS 2024.xlsx</t>
        </is>
      </c>
      <c r="N317" s="78" t="inlineStr">
        <is>
          <t>JUNE TURNOVER</t>
        </is>
      </c>
      <c r="O317" s="78" t="n">
        <v>29</v>
      </c>
      <c r="P317" s="78" t="inlineStr">
        <is>
          <t>21/06/2024</t>
        </is>
      </c>
      <c r="Q317" s="78" t="inlineStr">
        <is>
          <t>MRS ABIMBOLA r93</t>
        </is>
      </c>
      <c r="R317" s="78" t="n"/>
    </row>
    <row r="318" ht="25" customHeight="1">
      <c r="A318" s="75" t="inlineStr">
        <is>
          <t>SL0295</t>
        </is>
      </c>
      <c r="B318" s="76" t="n">
        <v>45464</v>
      </c>
      <c r="C318" s="75" t="inlineStr">
        <is>
          <t>2024-06</t>
        </is>
      </c>
      <c r="D318" s="75" t="n">
        <v>2024</v>
      </c>
      <c r="E318" s="75" t="inlineStr">
        <is>
          <t>Land</t>
        </is>
      </c>
      <c r="F318" s="75" t="inlineStr">
        <is>
          <t>Ancillary charge</t>
        </is>
      </c>
      <c r="G318" s="75" t="inlineStr">
        <is>
          <t>Land: corner piece premium</t>
        </is>
      </c>
      <c r="H318" s="75" t="inlineStr">
        <is>
          <t>BP-C0089</t>
        </is>
      </c>
      <c r="I318" s="75" t="inlineStr">
        <is>
          <t>Mr Lawson Oladele Valentino</t>
        </is>
      </c>
      <c r="J318" s="77" t="n">
        <v>135000</v>
      </c>
      <c r="K318" s="75" t="inlineStr">
        <is>
          <t>Magodo Branch</t>
        </is>
      </c>
      <c r="L318" s="75" t="inlineStr">
        <is>
          <t>Primary: monthly turnover register</t>
        </is>
      </c>
      <c r="M318" s="75" t="inlineStr">
        <is>
          <t>BAAY PROJECTS FINANCIALS 2024.xlsx</t>
        </is>
      </c>
      <c r="N318" s="75" t="inlineStr">
        <is>
          <t>JUNE TURNOVER</t>
        </is>
      </c>
      <c r="O318" s="75" t="n">
        <v>13</v>
      </c>
      <c r="P318" s="75" t="inlineStr">
        <is>
          <t>21/06/2024</t>
        </is>
      </c>
      <c r="Q318" s="75" t="n"/>
      <c r="R318" s="75" t="n"/>
    </row>
    <row r="319" ht="25" customHeight="1">
      <c r="A319" s="78" t="inlineStr">
        <is>
          <t>SL0296</t>
        </is>
      </c>
      <c r="B319" s="79" t="n">
        <v>45464</v>
      </c>
      <c r="C319" s="78" t="inlineStr">
        <is>
          <t>2024-06</t>
        </is>
      </c>
      <c r="D319" s="78" t="n">
        <v>2024</v>
      </c>
      <c r="E319" s="78" t="inlineStr">
        <is>
          <t>Land</t>
        </is>
      </c>
      <c r="F319" s="78" t="inlineStr">
        <is>
          <t>Ancillary charge</t>
        </is>
      </c>
      <c r="G319" s="78" t="inlineStr">
        <is>
          <t>Land: corner piece premium</t>
        </is>
      </c>
      <c r="H319" s="78" t="inlineStr">
        <is>
          <t>BP-C0072</t>
        </is>
      </c>
      <c r="I319" s="78" t="inlineStr">
        <is>
          <t>Oyebola Ajibola</t>
        </is>
      </c>
      <c r="J319" s="80" t="n">
        <v>135000</v>
      </c>
      <c r="K319" s="78" t="inlineStr">
        <is>
          <t>Magodo Branch</t>
        </is>
      </c>
      <c r="L319" s="78" t="inlineStr">
        <is>
          <t>Primary: monthly turnover register</t>
        </is>
      </c>
      <c r="M319" s="78" t="inlineStr">
        <is>
          <t>BAAY PROJECTS FINANCIALS 2024.xlsx</t>
        </is>
      </c>
      <c r="N319" s="78" t="inlineStr">
        <is>
          <t>JUNE TURNOVER</t>
        </is>
      </c>
      <c r="O319" s="78" t="n">
        <v>14</v>
      </c>
      <c r="P319" s="78" t="inlineStr">
        <is>
          <t>21/06/2024</t>
        </is>
      </c>
      <c r="Q319" s="78" t="n"/>
      <c r="R319" s="78" t="n"/>
    </row>
    <row r="320" ht="25" customHeight="1">
      <c r="A320" s="75" t="inlineStr">
        <is>
          <t>SL0297</t>
        </is>
      </c>
      <c r="B320" s="76" t="n">
        <v>45465</v>
      </c>
      <c r="C320" s="75" t="inlineStr">
        <is>
          <t>2024-06</t>
        </is>
      </c>
      <c r="D320" s="75" t="n">
        <v>2024</v>
      </c>
      <c r="E320" s="75" t="inlineStr">
        <is>
          <t>Land</t>
        </is>
      </c>
      <c r="F320" s="75" t="inlineStr">
        <is>
          <t>Plot / unit price</t>
        </is>
      </c>
      <c r="G320" s="75" t="inlineStr">
        <is>
          <t>Green City Phase 2 (Ketu-Epe)</t>
        </is>
      </c>
      <c r="H320" s="75" t="inlineStr">
        <is>
          <t>BP-C0103</t>
        </is>
      </c>
      <c r="I320" s="75" t="inlineStr">
        <is>
          <t>Faith Ojotule Danjuma</t>
        </is>
      </c>
      <c r="J320" s="77" t="n">
        <v>500000</v>
      </c>
      <c r="K320" s="75" t="inlineStr">
        <is>
          <t>Allen Branch</t>
        </is>
      </c>
      <c r="L320" s="75" t="inlineStr">
        <is>
          <t>Primary: monthly turnover register</t>
        </is>
      </c>
      <c r="M320" s="75" t="inlineStr">
        <is>
          <t>BAAY PROJECTS FINANCIALS 2024.xlsx</t>
        </is>
      </c>
      <c r="N320" s="75" t="inlineStr">
        <is>
          <t>JUNE TURNOVER</t>
        </is>
      </c>
      <c r="O320" s="75" t="n">
        <v>34</v>
      </c>
      <c r="P320" s="75" t="inlineStr">
        <is>
          <t>22/06/2024</t>
        </is>
      </c>
      <c r="Q320" s="75" t="inlineStr">
        <is>
          <t>FESTUS r17</t>
        </is>
      </c>
      <c r="R320" s="75" t="n"/>
    </row>
    <row r="321" ht="25" customHeight="1">
      <c r="A321" s="78" t="inlineStr">
        <is>
          <t>SL0298</t>
        </is>
      </c>
      <c r="B321" s="79" t="n">
        <v>45465</v>
      </c>
      <c r="C321" s="78" t="inlineStr">
        <is>
          <t>2024-06</t>
        </is>
      </c>
      <c r="D321" s="78" t="n">
        <v>2024</v>
      </c>
      <c r="E321" s="78" t="inlineStr">
        <is>
          <t>Land</t>
        </is>
      </c>
      <c r="F321" s="78" t="inlineStr">
        <is>
          <t>Plot / unit price</t>
        </is>
      </c>
      <c r="G321" s="78" t="inlineStr">
        <is>
          <t>Green City Phase 1 (Lantaba, Ketu-Epe)</t>
        </is>
      </c>
      <c r="H321" s="78" t="inlineStr">
        <is>
          <t>BP-C0086</t>
        </is>
      </c>
      <c r="I321" s="78" t="inlineStr">
        <is>
          <t>Miss Nwobodo Miriam Chioma</t>
        </is>
      </c>
      <c r="J321" s="80" t="n">
        <v>500000</v>
      </c>
      <c r="K321" s="78" t="inlineStr">
        <is>
          <t>Allen Branch</t>
        </is>
      </c>
      <c r="L321" s="78" t="inlineStr">
        <is>
          <t>Primary: monthly turnover register</t>
        </is>
      </c>
      <c r="M321" s="78" t="inlineStr">
        <is>
          <t>BAAY PROJECTS FINANCIALS 2024.xlsx</t>
        </is>
      </c>
      <c r="N321" s="78" t="inlineStr">
        <is>
          <t>JUNE TURNOVER</t>
        </is>
      </c>
      <c r="O321" s="78" t="n">
        <v>33</v>
      </c>
      <c r="P321" s="78" t="inlineStr">
        <is>
          <t>22/06/2024</t>
        </is>
      </c>
      <c r="Q321" s="78" t="inlineStr">
        <is>
          <t>MD r38</t>
        </is>
      </c>
      <c r="R321" s="78" t="n"/>
    </row>
    <row r="322" ht="25" customHeight="1">
      <c r="A322" s="75" t="inlineStr">
        <is>
          <t>SL0299</t>
        </is>
      </c>
      <c r="B322" s="76" t="n">
        <v>45468</v>
      </c>
      <c r="C322" s="75" t="inlineStr">
        <is>
          <t>2024-06</t>
        </is>
      </c>
      <c r="D322" s="75" t="n">
        <v>2024</v>
      </c>
      <c r="E322" s="75" t="inlineStr">
        <is>
          <t>Land</t>
        </is>
      </c>
      <c r="F322" s="75" t="inlineStr">
        <is>
          <t>Plot / unit price</t>
        </is>
      </c>
      <c r="G322" s="75" t="inlineStr">
        <is>
          <t>Green City Phase 2 (Ketu-Epe)</t>
        </is>
      </c>
      <c r="H322" s="75" t="inlineStr">
        <is>
          <t>BP-C0104</t>
        </is>
      </c>
      <c r="I322" s="75" t="inlineStr">
        <is>
          <t>Mr Abiodun Olasunkanmi Enoch</t>
        </is>
      </c>
      <c r="J322" s="77" t="n">
        <v>1000000</v>
      </c>
      <c r="K322" s="75" t="inlineStr">
        <is>
          <t>Allen Branch</t>
        </is>
      </c>
      <c r="L322" s="75" t="inlineStr">
        <is>
          <t>Primary: monthly turnover register</t>
        </is>
      </c>
      <c r="M322" s="75" t="inlineStr">
        <is>
          <t>BAAY PROJECTS FINANCIALS 2024.xlsx</t>
        </is>
      </c>
      <c r="N322" s="75" t="inlineStr">
        <is>
          <t>JUNE TURNOVER</t>
        </is>
      </c>
      <c r="O322" s="75" t="n">
        <v>38</v>
      </c>
      <c r="P322" s="75" t="inlineStr">
        <is>
          <t>25/06/2024</t>
        </is>
      </c>
      <c r="Q322" s="75" t="inlineStr">
        <is>
          <t>MRS ABIMBOLA r96</t>
        </is>
      </c>
      <c r="R322" s="75" t="n"/>
    </row>
    <row r="323" ht="25" customHeight="1">
      <c r="A323" s="78" t="inlineStr">
        <is>
          <t>SL0300</t>
        </is>
      </c>
      <c r="B323" s="79" t="n">
        <v>45468</v>
      </c>
      <c r="C323" s="78" t="inlineStr">
        <is>
          <t>2024-06</t>
        </is>
      </c>
      <c r="D323" s="78" t="n">
        <v>2024</v>
      </c>
      <c r="E323" s="78" t="inlineStr">
        <is>
          <t>Land</t>
        </is>
      </c>
      <c r="F323" s="78" t="inlineStr">
        <is>
          <t>Plot / unit price</t>
        </is>
      </c>
      <c r="G323" s="78" t="inlineStr">
        <is>
          <t>Green City Phase 1 (Lantaba, Ketu-Epe)</t>
        </is>
      </c>
      <c r="H323" s="78" t="inlineStr">
        <is>
          <t>BP-C0050</t>
        </is>
      </c>
      <c r="I323" s="78" t="inlineStr">
        <is>
          <t>Mr Atuanya Patrick</t>
        </is>
      </c>
      <c r="J323" s="80" t="n">
        <v>480000</v>
      </c>
      <c r="K323" s="78" t="inlineStr">
        <is>
          <t>Allen Branch</t>
        </is>
      </c>
      <c r="L323" s="78" t="inlineStr">
        <is>
          <t>Primary: monthly turnover register</t>
        </is>
      </c>
      <c r="M323" s="78" t="inlineStr">
        <is>
          <t>BAAY PROJECTS FINANCIALS 2024.xlsx</t>
        </is>
      </c>
      <c r="N323" s="78" t="inlineStr">
        <is>
          <t>JUNE TURNOVER</t>
        </is>
      </c>
      <c r="O323" s="78" t="n">
        <v>36</v>
      </c>
      <c r="P323" s="78" t="inlineStr">
        <is>
          <t>25/06/2024</t>
        </is>
      </c>
      <c r="Q323" s="78" t="inlineStr">
        <is>
          <t>MS YETUNDE ABISOYE r63</t>
        </is>
      </c>
      <c r="R323" s="78" t="n"/>
    </row>
    <row r="324" ht="25" customHeight="1">
      <c r="A324" s="75" t="inlineStr">
        <is>
          <t>SL0301</t>
        </is>
      </c>
      <c r="B324" s="76" t="n">
        <v>45470</v>
      </c>
      <c r="C324" s="75" t="inlineStr">
        <is>
          <t>2024-06</t>
        </is>
      </c>
      <c r="D324" s="75" t="n">
        <v>2024</v>
      </c>
      <c r="E324" s="75" t="inlineStr">
        <is>
          <t>Land</t>
        </is>
      </c>
      <c r="F324" s="75" t="inlineStr">
        <is>
          <t>Plot / unit price</t>
        </is>
      </c>
      <c r="G324" s="75" t="inlineStr">
        <is>
          <t>Land (estate not stated in source)</t>
        </is>
      </c>
      <c r="H324" s="75" t="inlineStr">
        <is>
          <t>BP-C0100</t>
        </is>
      </c>
      <c r="I324" s="75" t="inlineStr">
        <is>
          <t>Mr Braimoh Ayomide Favour</t>
        </is>
      </c>
      <c r="J324" s="77" t="n">
        <v>250000</v>
      </c>
      <c r="K324" s="75" t="inlineStr">
        <is>
          <t>Magodo Branch</t>
        </is>
      </c>
      <c r="L324" s="75" t="inlineStr">
        <is>
          <t>Primary: monthly turnover register</t>
        </is>
      </c>
      <c r="M324" s="75" t="inlineStr">
        <is>
          <t>BAAY PROJECTS FINANCIALS 2024.xlsx</t>
        </is>
      </c>
      <c r="N324" s="75" t="inlineStr">
        <is>
          <t>JUNE TURNOVER</t>
        </is>
      </c>
      <c r="O324" s="75" t="n">
        <v>15</v>
      </c>
      <c r="P324" s="75" t="inlineStr">
        <is>
          <t>27/06/2024</t>
        </is>
      </c>
      <c r="Q324" s="75" t="inlineStr">
        <is>
          <t>MS MAYOWA BRAIMOH r3</t>
        </is>
      </c>
      <c r="R324" s="75" t="n"/>
    </row>
    <row r="325" ht="25" customHeight="1">
      <c r="A325" s="78" t="inlineStr">
        <is>
          <t>SL0302</t>
        </is>
      </c>
      <c r="B325" s="79" t="n">
        <v>45471</v>
      </c>
      <c r="C325" s="78" t="inlineStr">
        <is>
          <t>2024-06</t>
        </is>
      </c>
      <c r="D325" s="78" t="n">
        <v>2024</v>
      </c>
      <c r="E325" s="78" t="inlineStr">
        <is>
          <t>Land</t>
        </is>
      </c>
      <c r="F325" s="78" t="inlineStr">
        <is>
          <t>Plot / unit price</t>
        </is>
      </c>
      <c r="G325" s="78" t="inlineStr">
        <is>
          <t>Green City Phase 2 (Ketu-Epe)</t>
        </is>
      </c>
      <c r="H325" s="78" t="inlineStr">
        <is>
          <t>BP-C0068</t>
        </is>
      </c>
      <c r="I325" s="78" t="inlineStr">
        <is>
          <t>Miss Ebhotah Sharon Aisosa</t>
        </is>
      </c>
      <c r="J325" s="80" t="n">
        <v>295000</v>
      </c>
      <c r="K325" s="78" t="inlineStr">
        <is>
          <t>Magodo Branch</t>
        </is>
      </c>
      <c r="L325" s="78" t="inlineStr">
        <is>
          <t>Primary: monthly turnover register</t>
        </is>
      </c>
      <c r="M325" s="78" t="inlineStr">
        <is>
          <t>BAAY PROJECTS FINANCIALS 2024.xlsx</t>
        </is>
      </c>
      <c r="N325" s="78" t="inlineStr">
        <is>
          <t>JUNE TURNOVER</t>
        </is>
      </c>
      <c r="O325" s="78" t="n">
        <v>16</v>
      </c>
      <c r="P325" s="78" t="inlineStr">
        <is>
          <t>28/06/2024</t>
        </is>
      </c>
      <c r="Q325" s="78" t="inlineStr">
        <is>
          <t>TURNOVER SCHEDULE r262</t>
        </is>
      </c>
      <c r="R325" s="78" t="n"/>
    </row>
    <row r="326" ht="25" customHeight="1">
      <c r="A326" s="75" t="inlineStr">
        <is>
          <t>SL0303</t>
        </is>
      </c>
      <c r="B326" s="76" t="n">
        <v>45471</v>
      </c>
      <c r="C326" s="75" t="inlineStr">
        <is>
          <t>2024-06</t>
        </is>
      </c>
      <c r="D326" s="75" t="n">
        <v>2024</v>
      </c>
      <c r="E326" s="75" t="inlineStr">
        <is>
          <t>Land</t>
        </is>
      </c>
      <c r="F326" s="75" t="inlineStr">
        <is>
          <t>Ancillary charge</t>
        </is>
      </c>
      <c r="G326" s="75" t="inlineStr">
        <is>
          <t>Land: corner piece premium</t>
        </is>
      </c>
      <c r="H326" s="75" t="inlineStr">
        <is>
          <t>BP-C0074</t>
        </is>
      </c>
      <c r="I326" s="75" t="inlineStr">
        <is>
          <t>Mrs Oloniluyi Victoria Iyabode Adetutu</t>
        </is>
      </c>
      <c r="J326" s="77" t="n">
        <v>135000</v>
      </c>
      <c r="K326" s="75" t="inlineStr">
        <is>
          <t>Allen Branch</t>
        </is>
      </c>
      <c r="L326" s="75" t="inlineStr">
        <is>
          <t>Primary: monthly turnover register</t>
        </is>
      </c>
      <c r="M326" s="75" t="inlineStr">
        <is>
          <t>BAAY PROJECTS FINANCIALS 2024.xlsx</t>
        </is>
      </c>
      <c r="N326" s="75" t="inlineStr">
        <is>
          <t>JUNE TURNOVER</t>
        </is>
      </c>
      <c r="O326" s="75" t="n">
        <v>41</v>
      </c>
      <c r="P326" s="75" t="inlineStr">
        <is>
          <t>28/06/2024</t>
        </is>
      </c>
      <c r="Q326" s="75" t="n"/>
      <c r="R326" s="75" t="n"/>
    </row>
    <row r="327" ht="25" customHeight="1">
      <c r="A327" s="78" t="inlineStr">
        <is>
          <t>SL0304</t>
        </is>
      </c>
      <c r="B327" s="79" t="n">
        <v>45473</v>
      </c>
      <c r="C327" s="78" t="inlineStr">
        <is>
          <t>2024-06</t>
        </is>
      </c>
      <c r="D327" s="78" t="n">
        <v>2024</v>
      </c>
      <c r="E327" s="78" t="inlineStr">
        <is>
          <t>Land</t>
        </is>
      </c>
      <c r="F327" s="78" t="inlineStr">
        <is>
          <t>Ancillary charge</t>
        </is>
      </c>
      <c r="G327" s="78" t="inlineStr">
        <is>
          <t>Land: corner piece premium</t>
        </is>
      </c>
      <c r="H327" s="78" t="inlineStr">
        <is>
          <t>BP-C0105</t>
        </is>
      </c>
      <c r="I327" s="78" t="inlineStr">
        <is>
          <t>Mr Omodara Addewale</t>
        </is>
      </c>
      <c r="J327" s="80" t="n">
        <v>135000</v>
      </c>
      <c r="K327" s="78" t="inlineStr">
        <is>
          <t>Magodo Branch</t>
        </is>
      </c>
      <c r="L327" s="78" t="inlineStr">
        <is>
          <t>Primary: monthly turnover register</t>
        </is>
      </c>
      <c r="M327" s="78" t="inlineStr">
        <is>
          <t>BAAY PROJECTS FINANCIALS 2024.xlsx</t>
        </is>
      </c>
      <c r="N327" s="78" t="inlineStr">
        <is>
          <t>JUNE TURNOVER</t>
        </is>
      </c>
      <c r="O327" s="78" t="n">
        <v>17</v>
      </c>
      <c r="P327" s="78" t="inlineStr">
        <is>
          <t>30/06/2024</t>
        </is>
      </c>
      <c r="Q327" s="78" t="n"/>
      <c r="R327" s="78" t="n"/>
    </row>
    <row r="328" ht="25" customHeight="1">
      <c r="A328" s="75" t="inlineStr">
        <is>
          <t>SL0305</t>
        </is>
      </c>
      <c r="B328" s="76" t="n">
        <v>45474</v>
      </c>
      <c r="C328" s="75" t="inlineStr">
        <is>
          <t>2024-07</t>
        </is>
      </c>
      <c r="D328" s="75" t="n">
        <v>2024</v>
      </c>
      <c r="E328" s="75" t="inlineStr">
        <is>
          <t>Land</t>
        </is>
      </c>
      <c r="F328" s="75" t="inlineStr">
        <is>
          <t>Plot / unit price</t>
        </is>
      </c>
      <c r="G328" s="75" t="inlineStr">
        <is>
          <t>Green City Phase 2 (Idobi, Ketu-Epe)</t>
        </is>
      </c>
      <c r="H328" s="75" t="inlineStr">
        <is>
          <t>BP-C0103</t>
        </is>
      </c>
      <c r="I328" s="75" t="inlineStr">
        <is>
          <t>Miss Ojotule Faith Danjuma</t>
        </is>
      </c>
      <c r="J328" s="77" t="n">
        <v>500000</v>
      </c>
      <c r="K328" s="75" t="inlineStr">
        <is>
          <t>Allen Branch</t>
        </is>
      </c>
      <c r="L328" s="75" t="inlineStr">
        <is>
          <t>Primary: monthly turnover register</t>
        </is>
      </c>
      <c r="M328" s="75" t="inlineStr">
        <is>
          <t>BAAY PROJECTS FINANCIALS 2024.xlsx</t>
        </is>
      </c>
      <c r="N328" s="75" t="inlineStr">
        <is>
          <t>JULY TURNOVER</t>
        </is>
      </c>
      <c r="O328" s="75" t="n">
        <v>7</v>
      </c>
      <c r="P328" s="75" t="inlineStr">
        <is>
          <t>2024-01-07</t>
        </is>
      </c>
      <c r="Q328" s="75" t="inlineStr">
        <is>
          <t>FESTUS r23</t>
        </is>
      </c>
      <c r="R328" s="75" t="n"/>
    </row>
    <row r="329" ht="25" customHeight="1">
      <c r="A329" s="78" t="inlineStr">
        <is>
          <t>SL0306</t>
        </is>
      </c>
      <c r="B329" s="79" t="n">
        <v>45475</v>
      </c>
      <c r="C329" s="78" t="inlineStr">
        <is>
          <t>2024-07</t>
        </is>
      </c>
      <c r="D329" s="78" t="n">
        <v>2024</v>
      </c>
      <c r="E329" s="78" t="inlineStr">
        <is>
          <t>Land</t>
        </is>
      </c>
      <c r="F329" s="78" t="inlineStr">
        <is>
          <t>Plot / unit price</t>
        </is>
      </c>
      <c r="G329" s="78" t="inlineStr">
        <is>
          <t>Green City Phase 1 (Lantaba, Ketu-Epe)</t>
        </is>
      </c>
      <c r="H329" s="78" t="inlineStr">
        <is>
          <t>BP-C0086</t>
        </is>
      </c>
      <c r="I329" s="78" t="inlineStr">
        <is>
          <t>Miss Nwobodo Miriam Chioma</t>
        </is>
      </c>
      <c r="J329" s="80" t="n">
        <v>500000</v>
      </c>
      <c r="K329" s="78" t="inlineStr">
        <is>
          <t>Allen Branch</t>
        </is>
      </c>
      <c r="L329" s="78" t="inlineStr">
        <is>
          <t>Primary: monthly turnover register</t>
        </is>
      </c>
      <c r="M329" s="78" t="inlineStr">
        <is>
          <t>BAAY PROJECTS FINANCIALS 2024.xlsx</t>
        </is>
      </c>
      <c r="N329" s="78" t="inlineStr">
        <is>
          <t>JULY TURNOVER</t>
        </is>
      </c>
      <c r="O329" s="78" t="n">
        <v>8</v>
      </c>
      <c r="P329" s="78" t="inlineStr">
        <is>
          <t>2024-02-07</t>
        </is>
      </c>
      <c r="Q329" s="78" t="inlineStr">
        <is>
          <t>MD r42</t>
        </is>
      </c>
      <c r="R329" s="78" t="n"/>
    </row>
    <row r="330" ht="25" customHeight="1">
      <c r="A330" s="75" t="inlineStr">
        <is>
          <t>SL0307</t>
        </is>
      </c>
      <c r="B330" s="76" t="n">
        <v>45475</v>
      </c>
      <c r="C330" s="75" t="inlineStr">
        <is>
          <t>2024-07</t>
        </is>
      </c>
      <c r="D330" s="75" t="n">
        <v>2024</v>
      </c>
      <c r="E330" s="75" t="inlineStr">
        <is>
          <t>Land</t>
        </is>
      </c>
      <c r="F330" s="75" t="inlineStr">
        <is>
          <t>Plot / unit price</t>
        </is>
      </c>
      <c r="G330" s="75" t="inlineStr">
        <is>
          <t>Green City Phase 1 (Lantaba, Ketu-Epe)</t>
        </is>
      </c>
      <c r="H330" s="75" t="inlineStr">
        <is>
          <t>BP-C0027</t>
        </is>
      </c>
      <c r="I330" s="75" t="inlineStr">
        <is>
          <t>Mr Edun Ayobami Simeon</t>
        </is>
      </c>
      <c r="J330" s="77" t="n">
        <v>62000</v>
      </c>
      <c r="K330" s="75" t="inlineStr">
        <is>
          <t>Allen Branch</t>
        </is>
      </c>
      <c r="L330" s="75" t="inlineStr">
        <is>
          <t>Primary: monthly turnover register</t>
        </is>
      </c>
      <c r="M330" s="75" t="inlineStr">
        <is>
          <t>BAAY PROJECTS FINANCIALS 2024.xlsx</t>
        </is>
      </c>
      <c r="N330" s="75" t="inlineStr">
        <is>
          <t>JULY TURNOVER</t>
        </is>
      </c>
      <c r="O330" s="75" t="n">
        <v>9</v>
      </c>
      <c r="P330" s="75" t="inlineStr">
        <is>
          <t>2024-02-07</t>
        </is>
      </c>
      <c r="Q330" s="75" t="n"/>
      <c r="R330" s="75" t="n"/>
    </row>
    <row r="331" ht="25" customHeight="1">
      <c r="A331" s="78" t="inlineStr">
        <is>
          <t>SL0308</t>
        </is>
      </c>
      <c r="B331" s="79" t="n">
        <v>45475</v>
      </c>
      <c r="C331" s="78" t="inlineStr">
        <is>
          <t>2024-07</t>
        </is>
      </c>
      <c r="D331" s="78" t="n">
        <v>2024</v>
      </c>
      <c r="E331" s="78" t="inlineStr">
        <is>
          <t>Land</t>
        </is>
      </c>
      <c r="F331" s="78" t="inlineStr">
        <is>
          <t>Ancillary charge</t>
        </is>
      </c>
      <c r="G331" s="78" t="inlineStr">
        <is>
          <t>Land: corner piece premium</t>
        </is>
      </c>
      <c r="H331" s="78" t="inlineStr">
        <is>
          <t>BP-C0027</t>
        </is>
      </c>
      <c r="I331" s="78" t="inlineStr">
        <is>
          <t>Mr Edun Ayobami Simeon</t>
        </is>
      </c>
      <c r="J331" s="80" t="n">
        <v>135000</v>
      </c>
      <c r="K331" s="78" t="inlineStr">
        <is>
          <t>Allen Branch</t>
        </is>
      </c>
      <c r="L331" s="78" t="inlineStr">
        <is>
          <t>Primary: monthly turnover register</t>
        </is>
      </c>
      <c r="M331" s="78" t="inlineStr">
        <is>
          <t>BAAY PROJECTS FINANCIALS 2024.xlsx</t>
        </is>
      </c>
      <c r="N331" s="78" t="inlineStr">
        <is>
          <t>JULY TURNOVER</t>
        </is>
      </c>
      <c r="O331" s="78" t="n">
        <v>10</v>
      </c>
      <c r="P331" s="78" t="inlineStr">
        <is>
          <t>2024-02-07</t>
        </is>
      </c>
      <c r="Q331" s="78" t="n"/>
      <c r="R331" s="78" t="n"/>
    </row>
    <row r="332" ht="25" customHeight="1">
      <c r="A332" s="75" t="inlineStr">
        <is>
          <t>SL0309</t>
        </is>
      </c>
      <c r="B332" s="76" t="n">
        <v>45476</v>
      </c>
      <c r="C332" s="75" t="inlineStr">
        <is>
          <t>2024-07</t>
        </is>
      </c>
      <c r="D332" s="75" t="n">
        <v>2024</v>
      </c>
      <c r="E332" s="75" t="inlineStr">
        <is>
          <t>Land</t>
        </is>
      </c>
      <c r="F332" s="75" t="inlineStr">
        <is>
          <t>Plot / unit price</t>
        </is>
      </c>
      <c r="G332" s="75" t="inlineStr">
        <is>
          <t>Green City Phase 2 (Idobi, Ketu-Epe)</t>
        </is>
      </c>
      <c r="H332" s="75" t="inlineStr">
        <is>
          <t>BP-C0091</t>
        </is>
      </c>
      <c r="I332" s="75" t="inlineStr">
        <is>
          <t>Mr Ojo Olugbenga Daniel &amp; Mrs Ojo Omolola Oyewunmi</t>
        </is>
      </c>
      <c r="J332" s="77" t="n">
        <v>900000</v>
      </c>
      <c r="K332" s="75" t="inlineStr">
        <is>
          <t>Allen Branch</t>
        </is>
      </c>
      <c r="L332" s="75" t="inlineStr">
        <is>
          <t>Primary: monthly turnover register</t>
        </is>
      </c>
      <c r="M332" s="75" t="inlineStr">
        <is>
          <t>BAAY PROJECTS FINANCIALS 2024.xlsx</t>
        </is>
      </c>
      <c r="N332" s="75" t="inlineStr">
        <is>
          <t>JULY TURNOVER</t>
        </is>
      </c>
      <c r="O332" s="75" t="n">
        <v>11</v>
      </c>
      <c r="P332" s="75" t="inlineStr">
        <is>
          <t>2024-03-07</t>
        </is>
      </c>
      <c r="Q332" s="75" t="inlineStr">
        <is>
          <t>MRS ABIMBOLA r109</t>
        </is>
      </c>
      <c r="R332" s="75" t="n"/>
    </row>
    <row r="333" ht="25" customHeight="1">
      <c r="A333" s="78" t="inlineStr">
        <is>
          <t>SL0310</t>
        </is>
      </c>
      <c r="B333" s="79" t="n">
        <v>45476</v>
      </c>
      <c r="C333" s="78" t="inlineStr">
        <is>
          <t>2024-07</t>
        </is>
      </c>
      <c r="D333" s="78" t="n">
        <v>2024</v>
      </c>
      <c r="E333" s="78" t="inlineStr">
        <is>
          <t>Land</t>
        </is>
      </c>
      <c r="F333" s="78" t="inlineStr">
        <is>
          <t>Ancillary charge</t>
        </is>
      </c>
      <c r="G333" s="78" t="inlineStr">
        <is>
          <t>Land: corner piece premium</t>
        </is>
      </c>
      <c r="H333" s="78" t="inlineStr">
        <is>
          <t>BP-C0015</t>
        </is>
      </c>
      <c r="I333" s="78" t="inlineStr">
        <is>
          <t>Mr Ositade Damilare</t>
        </is>
      </c>
      <c r="J333" s="80" t="n">
        <v>135000</v>
      </c>
      <c r="K333" s="78" t="inlineStr">
        <is>
          <t>Allen Branch</t>
        </is>
      </c>
      <c r="L333" s="78" t="inlineStr">
        <is>
          <t>Primary: monthly turnover register</t>
        </is>
      </c>
      <c r="M333" s="78" t="inlineStr">
        <is>
          <t>BAAY PROJECTS FINANCIALS 2024.xlsx</t>
        </is>
      </c>
      <c r="N333" s="78" t="inlineStr">
        <is>
          <t>JULY TURNOVER</t>
        </is>
      </c>
      <c r="O333" s="78" t="n">
        <v>12</v>
      </c>
      <c r="P333" s="78" t="inlineStr">
        <is>
          <t>2024-03-07</t>
        </is>
      </c>
      <c r="Q333" s="78" t="n"/>
      <c r="R333" s="78" t="n"/>
    </row>
    <row r="334" ht="25" customHeight="1">
      <c r="A334" s="75" t="inlineStr">
        <is>
          <t>SL0311</t>
        </is>
      </c>
      <c r="B334" s="76" t="n">
        <v>45477</v>
      </c>
      <c r="C334" s="75" t="inlineStr">
        <is>
          <t>2024-07</t>
        </is>
      </c>
      <c r="D334" s="75" t="n">
        <v>2024</v>
      </c>
      <c r="E334" s="75" t="inlineStr">
        <is>
          <t>Land</t>
        </is>
      </c>
      <c r="F334" s="75" t="inlineStr">
        <is>
          <t>Ancillary charge</t>
        </is>
      </c>
      <c r="G334" s="75" t="inlineStr">
        <is>
          <t>Land: corner piece premium</t>
        </is>
      </c>
      <c r="H334" s="75" t="inlineStr">
        <is>
          <t>BP-C0106</t>
        </is>
      </c>
      <c r="I334" s="75" t="inlineStr">
        <is>
          <t>Mr Adebowale Pelumi Joseph</t>
        </is>
      </c>
      <c r="J334" s="77" t="n">
        <v>135000</v>
      </c>
      <c r="K334" s="75" t="inlineStr">
        <is>
          <t>Allen Branch</t>
        </is>
      </c>
      <c r="L334" s="75" t="inlineStr">
        <is>
          <t>Primary: monthly turnover register</t>
        </is>
      </c>
      <c r="M334" s="75" t="inlineStr">
        <is>
          <t>BAAY PROJECTS FINANCIALS 2024.xlsx</t>
        </is>
      </c>
      <c r="N334" s="75" t="inlineStr">
        <is>
          <t>JULY TURNOVER</t>
        </is>
      </c>
      <c r="O334" s="75" t="n">
        <v>15</v>
      </c>
      <c r="P334" s="75" t="inlineStr">
        <is>
          <t>2024-04-07</t>
        </is>
      </c>
      <c r="Q334" s="75" t="n"/>
      <c r="R334" s="75" t="n"/>
    </row>
    <row r="335" ht="25" customHeight="1">
      <c r="A335" s="78" t="inlineStr">
        <is>
          <t>SL0312</t>
        </is>
      </c>
      <c r="B335" s="79" t="n">
        <v>45477</v>
      </c>
      <c r="C335" s="78" t="inlineStr">
        <is>
          <t>2024-07</t>
        </is>
      </c>
      <c r="D335" s="78" t="n">
        <v>2024</v>
      </c>
      <c r="E335" s="78" t="inlineStr">
        <is>
          <t>Land</t>
        </is>
      </c>
      <c r="F335" s="78" t="inlineStr">
        <is>
          <t>Ancillary charge</t>
        </is>
      </c>
      <c r="G335" s="78" t="inlineStr">
        <is>
          <t>Land: corner piece premium</t>
        </is>
      </c>
      <c r="H335" s="78" t="inlineStr">
        <is>
          <t>BP-C0050</t>
        </is>
      </c>
      <c r="I335" s="78" t="inlineStr">
        <is>
          <t>Mr Atuanya Patrick Jideovo</t>
        </is>
      </c>
      <c r="J335" s="80" t="n">
        <v>135000</v>
      </c>
      <c r="K335" s="78" t="inlineStr">
        <is>
          <t>Allen Branch</t>
        </is>
      </c>
      <c r="L335" s="78" t="inlineStr">
        <is>
          <t>Primary: monthly turnover register</t>
        </is>
      </c>
      <c r="M335" s="78" t="inlineStr">
        <is>
          <t>BAAY PROJECTS FINANCIALS 2024.xlsx</t>
        </is>
      </c>
      <c r="N335" s="78" t="inlineStr">
        <is>
          <t>JULY TURNOVER</t>
        </is>
      </c>
      <c r="O335" s="78" t="n">
        <v>13</v>
      </c>
      <c r="P335" s="78" t="inlineStr">
        <is>
          <t>2024-04-07</t>
        </is>
      </c>
      <c r="Q335" s="78" t="n"/>
      <c r="R335" s="78" t="n"/>
    </row>
    <row r="336" ht="25" customHeight="1">
      <c r="A336" s="75" t="inlineStr">
        <is>
          <t>SL0313</t>
        </is>
      </c>
      <c r="B336" s="76" t="n">
        <v>45477</v>
      </c>
      <c r="C336" s="75" t="inlineStr">
        <is>
          <t>2024-07</t>
        </is>
      </c>
      <c r="D336" s="75" t="n">
        <v>2024</v>
      </c>
      <c r="E336" s="75" t="inlineStr">
        <is>
          <t>Land</t>
        </is>
      </c>
      <c r="F336" s="75" t="inlineStr">
        <is>
          <t>Ancillary charge</t>
        </is>
      </c>
      <c r="G336" s="75" t="inlineStr">
        <is>
          <t>Land: corner piece premium</t>
        </is>
      </c>
      <c r="H336" s="75" t="inlineStr">
        <is>
          <t>BP-C0036</t>
        </is>
      </c>
      <c r="I336" s="75" t="inlineStr">
        <is>
          <t>Mr Ohumende Paul Osaze</t>
        </is>
      </c>
      <c r="J336" s="77" t="n">
        <v>270000</v>
      </c>
      <c r="K336" s="75" t="inlineStr">
        <is>
          <t>Allen Branch</t>
        </is>
      </c>
      <c r="L336" s="75" t="inlineStr">
        <is>
          <t>Primary: monthly turnover register</t>
        </is>
      </c>
      <c r="M336" s="75" t="inlineStr">
        <is>
          <t>BAAY PROJECTS FINANCIALS 2024.xlsx</t>
        </is>
      </c>
      <c r="N336" s="75" t="inlineStr">
        <is>
          <t>JULY TURNOVER</t>
        </is>
      </c>
      <c r="O336" s="75" t="n">
        <v>14</v>
      </c>
      <c r="P336" s="75" t="inlineStr">
        <is>
          <t>2024-04-07</t>
        </is>
      </c>
      <c r="Q336" s="75" t="n"/>
      <c r="R336" s="75" t="n"/>
    </row>
    <row r="337" ht="25" customHeight="1">
      <c r="A337" s="78" t="inlineStr">
        <is>
          <t>SL0314</t>
        </is>
      </c>
      <c r="B337" s="79" t="n">
        <v>45478</v>
      </c>
      <c r="C337" s="78" t="inlineStr">
        <is>
          <t>2024-07</t>
        </is>
      </c>
      <c r="D337" s="78" t="n">
        <v>2024</v>
      </c>
      <c r="E337" s="78" t="inlineStr">
        <is>
          <t>Land</t>
        </is>
      </c>
      <c r="F337" s="78" t="inlineStr">
        <is>
          <t>Plot / unit price</t>
        </is>
      </c>
      <c r="G337" s="78" t="inlineStr">
        <is>
          <t>Green City Phase 2 (Idobi, Ketu-Epe)</t>
        </is>
      </c>
      <c r="H337" s="78" t="inlineStr">
        <is>
          <t>BP-C0030</t>
        </is>
      </c>
      <c r="I337" s="78" t="inlineStr">
        <is>
          <t>Mr Adese Akorede John</t>
        </is>
      </c>
      <c r="J337" s="80" t="n">
        <v>200000</v>
      </c>
      <c r="K337" s="78" t="inlineStr">
        <is>
          <t>Allen Branch</t>
        </is>
      </c>
      <c r="L337" s="78" t="inlineStr">
        <is>
          <t>Primary: monthly turnover register</t>
        </is>
      </c>
      <c r="M337" s="78" t="inlineStr">
        <is>
          <t>BAAY PROJECTS FINANCIALS 2024.xlsx</t>
        </is>
      </c>
      <c r="N337" s="78" t="inlineStr">
        <is>
          <t>JULY TURNOVER</t>
        </is>
      </c>
      <c r="O337" s="78" t="n">
        <v>16</v>
      </c>
      <c r="P337" s="78" t="inlineStr">
        <is>
          <t>2024-05-07</t>
        </is>
      </c>
      <c r="Q337" s="78" t="inlineStr">
        <is>
          <t>MD r43</t>
        </is>
      </c>
      <c r="R337" s="78" t="n"/>
    </row>
    <row r="338" ht="25" customHeight="1">
      <c r="A338" s="75" t="inlineStr">
        <is>
          <t>SL0315</t>
        </is>
      </c>
      <c r="B338" s="76" t="n">
        <v>45478</v>
      </c>
      <c r="C338" s="75" t="inlineStr">
        <is>
          <t>2024-07</t>
        </is>
      </c>
      <c r="D338" s="75" t="n">
        <v>2024</v>
      </c>
      <c r="E338" s="75" t="inlineStr">
        <is>
          <t>Land</t>
        </is>
      </c>
      <c r="F338" s="75" t="inlineStr">
        <is>
          <t>Ancillary charge</t>
        </is>
      </c>
      <c r="G338" s="75" t="inlineStr">
        <is>
          <t>Land: development fee</t>
        </is>
      </c>
      <c r="H338" s="75" t="inlineStr">
        <is>
          <t>BP-C0030</t>
        </is>
      </c>
      <c r="I338" s="75" t="inlineStr">
        <is>
          <t>Mr Adese Akorede John</t>
        </is>
      </c>
      <c r="J338" s="77" t="n">
        <v>50000</v>
      </c>
      <c r="K338" s="75" t="inlineStr">
        <is>
          <t>Allen Branch</t>
        </is>
      </c>
      <c r="L338" s="75" t="inlineStr">
        <is>
          <t>Primary: monthly turnover register</t>
        </is>
      </c>
      <c r="M338" s="75" t="inlineStr">
        <is>
          <t>BAAY PROJECTS FINANCIALS 2024.xlsx</t>
        </is>
      </c>
      <c r="N338" s="75" t="inlineStr">
        <is>
          <t>JULY TURNOVER</t>
        </is>
      </c>
      <c r="O338" s="75" t="n">
        <v>17</v>
      </c>
      <c r="P338" s="75" t="inlineStr">
        <is>
          <t>2024-05-07</t>
        </is>
      </c>
      <c r="Q338" s="75" t="n"/>
      <c r="R338" s="75" t="n"/>
    </row>
    <row r="339" ht="25" customHeight="1">
      <c r="A339" s="78" t="inlineStr">
        <is>
          <t>SL0316</t>
        </is>
      </c>
      <c r="B339" s="79" t="n">
        <v>45482</v>
      </c>
      <c r="C339" s="78" t="inlineStr">
        <is>
          <t>2024-07</t>
        </is>
      </c>
      <c r="D339" s="78" t="n">
        <v>2024</v>
      </c>
      <c r="E339" s="78" t="inlineStr">
        <is>
          <t>Land</t>
        </is>
      </c>
      <c r="F339" s="78" t="inlineStr">
        <is>
          <t>Plot / unit price</t>
        </is>
      </c>
      <c r="G339" s="78" t="inlineStr">
        <is>
          <t>Green City Phase 2 (Idobi, Ketu-Epe)</t>
        </is>
      </c>
      <c r="H339" s="78" t="inlineStr">
        <is>
          <t>BP-C0092</t>
        </is>
      </c>
      <c r="I339" s="78" t="inlineStr">
        <is>
          <t>Mr Oriakhi Osemudiamen Peter</t>
        </is>
      </c>
      <c r="J339" s="80" t="n">
        <v>1000000</v>
      </c>
      <c r="K339" s="78" t="inlineStr">
        <is>
          <t>Magodo Branch</t>
        </is>
      </c>
      <c r="L339" s="78" t="inlineStr">
        <is>
          <t>Primary: monthly turnover register</t>
        </is>
      </c>
      <c r="M339" s="78" t="inlineStr">
        <is>
          <t>BAAY PROJECTS FINANCIALS 2024.xlsx</t>
        </is>
      </c>
      <c r="N339" s="78" t="inlineStr">
        <is>
          <t>JULY TURNOVER</t>
        </is>
      </c>
      <c r="O339" s="78" t="n">
        <v>7</v>
      </c>
      <c r="P339" s="78" t="inlineStr">
        <is>
          <t>2024-09-07</t>
        </is>
      </c>
      <c r="Q339" s="78" t="inlineStr">
        <is>
          <t>MS BLESSING r72</t>
        </is>
      </c>
      <c r="R339" s="78" t="n"/>
    </row>
    <row r="340" ht="25" customHeight="1">
      <c r="A340" s="75" t="inlineStr">
        <is>
          <t>SL0317</t>
        </is>
      </c>
      <c r="B340" s="76" t="n">
        <v>45482</v>
      </c>
      <c r="C340" s="75" t="inlineStr">
        <is>
          <t>2024-07</t>
        </is>
      </c>
      <c r="D340" s="75" t="n">
        <v>2024</v>
      </c>
      <c r="E340" s="75" t="inlineStr">
        <is>
          <t>Land</t>
        </is>
      </c>
      <c r="F340" s="75" t="inlineStr">
        <is>
          <t>Plot / unit price</t>
        </is>
      </c>
      <c r="G340" s="75" t="inlineStr">
        <is>
          <t>Heritage Garden</t>
        </is>
      </c>
      <c r="H340" s="75" t="inlineStr">
        <is>
          <t>BP-C0108</t>
        </is>
      </c>
      <c r="I340" s="75" t="inlineStr">
        <is>
          <t>Mr Salawudeen Baqi Boladele</t>
        </is>
      </c>
      <c r="J340" s="77" t="n">
        <v>200000</v>
      </c>
      <c r="K340" s="75" t="inlineStr">
        <is>
          <t>Allen Branch</t>
        </is>
      </c>
      <c r="L340" s="75" t="inlineStr">
        <is>
          <t>Primary: monthly turnover register</t>
        </is>
      </c>
      <c r="M340" s="75" t="inlineStr">
        <is>
          <t>BAAY PROJECTS FINANCIALS 2024.xlsx</t>
        </is>
      </c>
      <c r="N340" s="75" t="inlineStr">
        <is>
          <t>JULY TURNOVER</t>
        </is>
      </c>
      <c r="O340" s="75" t="n">
        <v>18</v>
      </c>
      <c r="P340" s="75" t="inlineStr">
        <is>
          <t>2024-09-07</t>
        </is>
      </c>
      <c r="Q340" s="75" t="n"/>
      <c r="R340" s="75" t="n"/>
    </row>
    <row r="341" ht="25" customHeight="1">
      <c r="A341" s="78" t="inlineStr">
        <is>
          <t>SL0318</t>
        </is>
      </c>
      <c r="B341" s="79" t="n">
        <v>45483</v>
      </c>
      <c r="C341" s="78" t="inlineStr">
        <is>
          <t>2024-07</t>
        </is>
      </c>
      <c r="D341" s="78" t="n">
        <v>2024</v>
      </c>
      <c r="E341" s="78" t="inlineStr">
        <is>
          <t>Land</t>
        </is>
      </c>
      <c r="F341" s="78" t="inlineStr">
        <is>
          <t>Ancillary charge</t>
        </is>
      </c>
      <c r="G341" s="78" t="inlineStr">
        <is>
          <t>Land: corner piece premium</t>
        </is>
      </c>
      <c r="H341" s="78" t="inlineStr">
        <is>
          <t>BP-C0061</t>
        </is>
      </c>
      <c r="I341" s="78" t="inlineStr">
        <is>
          <t>Mr Ogunkoya Emmanuel Olatunji</t>
        </is>
      </c>
      <c r="J341" s="80" t="n">
        <v>130000</v>
      </c>
      <c r="K341" s="78" t="inlineStr">
        <is>
          <t>Allen Branch</t>
        </is>
      </c>
      <c r="L341" s="78" t="inlineStr">
        <is>
          <t>Primary: monthly turnover register</t>
        </is>
      </c>
      <c r="M341" s="78" t="inlineStr">
        <is>
          <t>BAAY PROJECTS FINANCIALS 2024.xlsx</t>
        </is>
      </c>
      <c r="N341" s="78" t="inlineStr">
        <is>
          <t>JULY TURNOVER</t>
        </is>
      </c>
      <c r="O341" s="78" t="n">
        <v>19</v>
      </c>
      <c r="P341" s="78" t="inlineStr">
        <is>
          <t>2024-10-07</t>
        </is>
      </c>
      <c r="Q341" s="78" t="n"/>
      <c r="R341" s="78" t="n"/>
    </row>
    <row r="342" ht="25" customHeight="1">
      <c r="A342" s="75" t="inlineStr">
        <is>
          <t>SL0319</t>
        </is>
      </c>
      <c r="B342" s="76" t="n">
        <v>45484</v>
      </c>
      <c r="C342" s="75" t="inlineStr">
        <is>
          <t>2024-07</t>
        </is>
      </c>
      <c r="D342" s="75" t="n">
        <v>2024</v>
      </c>
      <c r="E342" s="75" t="inlineStr">
        <is>
          <t>Land</t>
        </is>
      </c>
      <c r="F342" s="75" t="inlineStr">
        <is>
          <t>Plot / unit price</t>
        </is>
      </c>
      <c r="G342" s="75" t="inlineStr">
        <is>
          <t>Green City Phase 2 (Idobi, Ketu-Epe)</t>
        </is>
      </c>
      <c r="H342" s="75" t="inlineStr">
        <is>
          <t>BP-C0097</t>
        </is>
      </c>
      <c r="I342" s="75" t="inlineStr">
        <is>
          <t>Engr Fagbulu Taiwo Olubunmi</t>
        </is>
      </c>
      <c r="J342" s="77" t="n">
        <v>400000</v>
      </c>
      <c r="K342" s="75" t="inlineStr">
        <is>
          <t>Magodo Branch</t>
        </is>
      </c>
      <c r="L342" s="75" t="inlineStr">
        <is>
          <t>Primary: monthly turnover register</t>
        </is>
      </c>
      <c r="M342" s="75" t="inlineStr">
        <is>
          <t>BAAY PROJECTS FINANCIALS 2024.xlsx</t>
        </is>
      </c>
      <c r="N342" s="75" t="inlineStr">
        <is>
          <t>JULY TURNOVER</t>
        </is>
      </c>
      <c r="O342" s="75" t="n">
        <v>8</v>
      </c>
      <c r="P342" s="75" t="inlineStr">
        <is>
          <t>2024-11-07</t>
        </is>
      </c>
      <c r="Q342" s="75" t="inlineStr">
        <is>
          <t>MR HENRY r10</t>
        </is>
      </c>
      <c r="R342" s="75" t="n"/>
    </row>
    <row r="343" ht="25" customHeight="1">
      <c r="A343" s="78" t="inlineStr">
        <is>
          <t>SL0320</t>
        </is>
      </c>
      <c r="B343" s="79" t="n">
        <v>45484</v>
      </c>
      <c r="C343" s="78" t="inlineStr">
        <is>
          <t>2024-07</t>
        </is>
      </c>
      <c r="D343" s="78" t="n">
        <v>2024</v>
      </c>
      <c r="E343" s="78" t="inlineStr">
        <is>
          <t>Land</t>
        </is>
      </c>
      <c r="F343" s="78" t="inlineStr">
        <is>
          <t>Plot / unit price</t>
        </is>
      </c>
      <c r="G343" s="78" t="inlineStr">
        <is>
          <t>Green City Phase 2 (Idobi, Ketu-Epe)</t>
        </is>
      </c>
      <c r="H343" s="78" t="inlineStr">
        <is>
          <t>BP-C0090</t>
        </is>
      </c>
      <c r="I343" s="78" t="inlineStr">
        <is>
          <t>Mr Ajiva Lubem Barnabas</t>
        </is>
      </c>
      <c r="J343" s="80" t="n">
        <v>50000</v>
      </c>
      <c r="K343" s="78" t="inlineStr">
        <is>
          <t>Allen Branch</t>
        </is>
      </c>
      <c r="L343" s="78" t="inlineStr">
        <is>
          <t>Primary: monthly turnover register</t>
        </is>
      </c>
      <c r="M343" s="78" t="inlineStr">
        <is>
          <t>BAAY PROJECTS FINANCIALS 2024.xlsx</t>
        </is>
      </c>
      <c r="N343" s="78" t="inlineStr">
        <is>
          <t>JULY TURNOVER</t>
        </is>
      </c>
      <c r="O343" s="78" t="n">
        <v>21</v>
      </c>
      <c r="P343" s="78" t="inlineStr">
        <is>
          <t>2024-11-07</t>
        </is>
      </c>
      <c r="Q343" s="78" t="inlineStr">
        <is>
          <t>FASUYI OLAYINKA r30</t>
        </is>
      </c>
      <c r="R343" s="78" t="n"/>
    </row>
    <row r="344" ht="25" customHeight="1">
      <c r="A344" s="75" t="inlineStr">
        <is>
          <t>SL0321</t>
        </is>
      </c>
      <c r="B344" s="76" t="n">
        <v>45484</v>
      </c>
      <c r="C344" s="75" t="inlineStr">
        <is>
          <t>2024-07</t>
        </is>
      </c>
      <c r="D344" s="75" t="n">
        <v>2024</v>
      </c>
      <c r="E344" s="75" t="inlineStr">
        <is>
          <t>Land</t>
        </is>
      </c>
      <c r="F344" s="75" t="inlineStr">
        <is>
          <t>Plot / unit price</t>
        </is>
      </c>
      <c r="G344" s="75" t="inlineStr">
        <is>
          <t>Green City Phase 2 (Idobi, Ketu-Epe)</t>
        </is>
      </c>
      <c r="H344" s="75" t="inlineStr">
        <is>
          <t>BP-C0096</t>
        </is>
      </c>
      <c r="I344" s="75" t="inlineStr">
        <is>
          <t>Mrs Lawani Opemipo</t>
        </is>
      </c>
      <c r="J344" s="77" t="n">
        <v>555000</v>
      </c>
      <c r="K344" s="75" t="inlineStr">
        <is>
          <t>Allen Branch</t>
        </is>
      </c>
      <c r="L344" s="75" t="inlineStr">
        <is>
          <t>Primary: monthly turnover register</t>
        </is>
      </c>
      <c r="M344" s="75" t="inlineStr">
        <is>
          <t>BAAY PROJECTS FINANCIALS 2024.xlsx</t>
        </is>
      </c>
      <c r="N344" s="75" t="inlineStr">
        <is>
          <t>JULY TURNOVER</t>
        </is>
      </c>
      <c r="O344" s="75" t="n">
        <v>20</v>
      </c>
      <c r="P344" s="75" t="inlineStr">
        <is>
          <t>2024-11-07</t>
        </is>
      </c>
      <c r="Q344" s="75" t="inlineStr">
        <is>
          <t>MS FISAYO r11</t>
        </is>
      </c>
      <c r="R344" s="75" t="n"/>
    </row>
    <row r="345" ht="25" customHeight="1">
      <c r="A345" s="78" t="inlineStr">
        <is>
          <t>SL0322</t>
        </is>
      </c>
      <c r="B345" s="79" t="n">
        <v>45486</v>
      </c>
      <c r="C345" s="78" t="inlineStr">
        <is>
          <t>2024-07</t>
        </is>
      </c>
      <c r="D345" s="78" t="n">
        <v>2024</v>
      </c>
      <c r="E345" s="78" t="inlineStr">
        <is>
          <t>Land</t>
        </is>
      </c>
      <c r="F345" s="78" t="inlineStr">
        <is>
          <t>Plot / unit price</t>
        </is>
      </c>
      <c r="G345" s="78" t="inlineStr">
        <is>
          <t>Green City Phase 2 (Idobi, Ketu-Epe)</t>
        </is>
      </c>
      <c r="H345" s="78" t="inlineStr">
        <is>
          <t>BP-C0093</t>
        </is>
      </c>
      <c r="I345" s="78" t="inlineStr">
        <is>
          <t>Mr Okuneye Oluwakayode Oluwaseyi</t>
        </is>
      </c>
      <c r="J345" s="80" t="n">
        <v>560000</v>
      </c>
      <c r="K345" s="78" t="inlineStr">
        <is>
          <t>Allen Branch</t>
        </is>
      </c>
      <c r="L345" s="78" t="inlineStr">
        <is>
          <t>Primary: monthly turnover register</t>
        </is>
      </c>
      <c r="M345" s="78" t="inlineStr">
        <is>
          <t>BAAY PROJECTS FINANCIALS 2024.xlsx</t>
        </is>
      </c>
      <c r="N345" s="78" t="inlineStr">
        <is>
          <t>JULY TURNOVER</t>
        </is>
      </c>
      <c r="O345" s="78" t="n">
        <v>22</v>
      </c>
      <c r="P345" s="78" t="inlineStr">
        <is>
          <t>13/07/2024</t>
        </is>
      </c>
      <c r="Q345" s="78" t="inlineStr">
        <is>
          <t>MS BOLANLE r78</t>
        </is>
      </c>
      <c r="R345" s="78" t="n"/>
    </row>
    <row r="346" ht="25" customHeight="1">
      <c r="A346" s="75" t="inlineStr">
        <is>
          <t>SL0323</t>
        </is>
      </c>
      <c r="B346" s="76" t="n">
        <v>45486</v>
      </c>
      <c r="C346" s="75" t="inlineStr">
        <is>
          <t>2024-07</t>
        </is>
      </c>
      <c r="D346" s="75" t="n">
        <v>2024</v>
      </c>
      <c r="E346" s="75" t="inlineStr">
        <is>
          <t>Land</t>
        </is>
      </c>
      <c r="F346" s="75" t="inlineStr">
        <is>
          <t>Ancillary charge</t>
        </is>
      </c>
      <c r="G346" s="75" t="inlineStr">
        <is>
          <t>Land: corner piece premium</t>
        </is>
      </c>
      <c r="H346" s="75" t="inlineStr">
        <is>
          <t>BP-C0093</t>
        </is>
      </c>
      <c r="I346" s="75" t="inlineStr">
        <is>
          <t>Mr Okuneye Oluwakayode Oluwaseyi</t>
        </is>
      </c>
      <c r="J346" s="77" t="n">
        <v>135000</v>
      </c>
      <c r="K346" s="75" t="inlineStr">
        <is>
          <t>Allen Branch</t>
        </is>
      </c>
      <c r="L346" s="75" t="inlineStr">
        <is>
          <t>Primary: monthly turnover register</t>
        </is>
      </c>
      <c r="M346" s="75" t="inlineStr">
        <is>
          <t>BAAY PROJECTS FINANCIALS 2024.xlsx</t>
        </is>
      </c>
      <c r="N346" s="75" t="inlineStr">
        <is>
          <t>JULY TURNOVER</t>
        </is>
      </c>
      <c r="O346" s="75" t="n">
        <v>23</v>
      </c>
      <c r="P346" s="75" t="inlineStr">
        <is>
          <t>13/07/2024</t>
        </is>
      </c>
      <c r="Q346" s="75" t="n"/>
      <c r="R346" s="75" t="n"/>
    </row>
    <row r="347" ht="25" customHeight="1">
      <c r="A347" s="78" t="inlineStr">
        <is>
          <t>SL0324</t>
        </is>
      </c>
      <c r="B347" s="79" t="n">
        <v>45488</v>
      </c>
      <c r="C347" s="78" t="inlineStr">
        <is>
          <t>2024-07</t>
        </is>
      </c>
      <c r="D347" s="78" t="n">
        <v>2024</v>
      </c>
      <c r="E347" s="78" t="inlineStr">
        <is>
          <t>Land</t>
        </is>
      </c>
      <c r="F347" s="78" t="inlineStr">
        <is>
          <t>Plot / unit price</t>
        </is>
      </c>
      <c r="G347" s="78" t="inlineStr">
        <is>
          <t>Green City Phase 2 (Idobi, Ketu-Epe)</t>
        </is>
      </c>
      <c r="H347" s="78" t="inlineStr">
        <is>
          <t>BP-C0097</t>
        </is>
      </c>
      <c r="I347" s="78" t="inlineStr">
        <is>
          <t>Engr Fagbulu Taiwo Olubunmi</t>
        </is>
      </c>
      <c r="J347" s="80" t="n">
        <v>300000</v>
      </c>
      <c r="K347" s="78" t="inlineStr">
        <is>
          <t>Magodo Branch</t>
        </is>
      </c>
      <c r="L347" s="78" t="inlineStr">
        <is>
          <t>Primary: monthly turnover register</t>
        </is>
      </c>
      <c r="M347" s="78" t="inlineStr">
        <is>
          <t>BAAY PROJECTS FINANCIALS 2024.xlsx</t>
        </is>
      </c>
      <c r="N347" s="78" t="inlineStr">
        <is>
          <t>JULY TURNOVER</t>
        </is>
      </c>
      <c r="O347" s="78" t="n">
        <v>9</v>
      </c>
      <c r="P347" s="78" t="inlineStr">
        <is>
          <t>15/07/2024</t>
        </is>
      </c>
      <c r="Q347" s="78" t="inlineStr">
        <is>
          <t>MR HENRY r11</t>
        </is>
      </c>
      <c r="R347" s="78" t="n"/>
    </row>
    <row r="348" ht="25" customHeight="1">
      <c r="A348" s="75" t="inlineStr">
        <is>
          <t>SL0325</t>
        </is>
      </c>
      <c r="B348" s="76" t="n">
        <v>45488</v>
      </c>
      <c r="C348" s="75" t="inlineStr">
        <is>
          <t>2024-07</t>
        </is>
      </c>
      <c r="D348" s="75" t="n">
        <v>2024</v>
      </c>
      <c r="E348" s="75" t="inlineStr">
        <is>
          <t>Land</t>
        </is>
      </c>
      <c r="F348" s="75" t="inlineStr">
        <is>
          <t>Plot / unit price</t>
        </is>
      </c>
      <c r="G348" s="75" t="inlineStr">
        <is>
          <t>Green City Phase 1 (Lantaba, Ketu-Epe)</t>
        </is>
      </c>
      <c r="H348" s="75" t="inlineStr">
        <is>
          <t>BP-C0099</t>
        </is>
      </c>
      <c r="I348" s="75" t="inlineStr">
        <is>
          <t>Mr Olatunde Adesua Samuel</t>
        </is>
      </c>
      <c r="J348" s="77" t="n">
        <v>1200000</v>
      </c>
      <c r="K348" s="75" t="inlineStr">
        <is>
          <t>Magodo Branch</t>
        </is>
      </c>
      <c r="L348" s="75" t="inlineStr">
        <is>
          <t>Primary: monthly turnover register</t>
        </is>
      </c>
      <c r="M348" s="75" t="inlineStr">
        <is>
          <t>BAAY PROJECTS FINANCIALS 2024.xlsx</t>
        </is>
      </c>
      <c r="N348" s="75" t="inlineStr">
        <is>
          <t>JULY TURNOVER</t>
        </is>
      </c>
      <c r="O348" s="75" t="n">
        <v>10</v>
      </c>
      <c r="P348" s="75" t="inlineStr">
        <is>
          <t>15/07/2024</t>
        </is>
      </c>
      <c r="Q348" s="75" t="inlineStr">
        <is>
          <t>MS ADENIKE r4</t>
        </is>
      </c>
      <c r="R348" s="75" t="n"/>
    </row>
    <row r="349" ht="25" customHeight="1">
      <c r="A349" s="78" t="inlineStr">
        <is>
          <t>SL0326</t>
        </is>
      </c>
      <c r="B349" s="79" t="n">
        <v>45491</v>
      </c>
      <c r="C349" s="78" t="inlineStr">
        <is>
          <t>2024-07</t>
        </is>
      </c>
      <c r="D349" s="78" t="n">
        <v>2024</v>
      </c>
      <c r="E349" s="78" t="inlineStr">
        <is>
          <t>Land</t>
        </is>
      </c>
      <c r="F349" s="78" t="inlineStr">
        <is>
          <t>Ancillary charge</t>
        </is>
      </c>
      <c r="G349" s="78" t="inlineStr">
        <is>
          <t>Land: documentation fee</t>
        </is>
      </c>
      <c r="H349" s="78" t="inlineStr">
        <is>
          <t>BP-C0011</t>
        </is>
      </c>
      <c r="I349" s="78" t="inlineStr">
        <is>
          <t>Mr Olaiya Temitope Sunday</t>
        </is>
      </c>
      <c r="J349" s="80" t="n">
        <v>475000</v>
      </c>
      <c r="K349" s="78" t="inlineStr">
        <is>
          <t>Allen Branch</t>
        </is>
      </c>
      <c r="L349" s="78" t="inlineStr">
        <is>
          <t>Primary: monthly turnover register</t>
        </is>
      </c>
      <c r="M349" s="78" t="inlineStr">
        <is>
          <t>BAAY PROJECTS FINANCIALS 2024.xlsx</t>
        </is>
      </c>
      <c r="N349" s="78" t="inlineStr">
        <is>
          <t>JULY TURNOVER</t>
        </is>
      </c>
      <c r="O349" s="78" t="n">
        <v>26</v>
      </c>
      <c r="P349" s="78" t="inlineStr">
        <is>
          <t>18/07/2024</t>
        </is>
      </c>
      <c r="Q349" s="78" t="n"/>
      <c r="R349" s="78" t="n"/>
    </row>
    <row r="350" ht="25" customHeight="1">
      <c r="A350" s="75" t="inlineStr">
        <is>
          <t>SL0327</t>
        </is>
      </c>
      <c r="B350" s="76" t="n">
        <v>45491</v>
      </c>
      <c r="C350" s="75" t="inlineStr">
        <is>
          <t>2024-07</t>
        </is>
      </c>
      <c r="D350" s="75" t="n">
        <v>2024</v>
      </c>
      <c r="E350" s="75" t="inlineStr">
        <is>
          <t>Land</t>
        </is>
      </c>
      <c r="F350" s="75" t="inlineStr">
        <is>
          <t>Plot / unit price</t>
        </is>
      </c>
      <c r="G350" s="75" t="inlineStr">
        <is>
          <t>Heritage Garden</t>
        </is>
      </c>
      <c r="H350" s="75" t="inlineStr">
        <is>
          <t>BP-C0108</t>
        </is>
      </c>
      <c r="I350" s="75" t="inlineStr">
        <is>
          <t>Mr Salawudeen Baqi Boladele</t>
        </is>
      </c>
      <c r="J350" s="77" t="n">
        <v>150000</v>
      </c>
      <c r="K350" s="75" t="inlineStr">
        <is>
          <t>Allen Branch</t>
        </is>
      </c>
      <c r="L350" s="75" t="inlineStr">
        <is>
          <t>Primary: monthly turnover register</t>
        </is>
      </c>
      <c r="M350" s="75" t="inlineStr">
        <is>
          <t>BAAY PROJECTS FINANCIALS 2024.xlsx</t>
        </is>
      </c>
      <c r="N350" s="75" t="inlineStr">
        <is>
          <t>JULY TURNOVER</t>
        </is>
      </c>
      <c r="O350" s="75" t="n">
        <v>25</v>
      </c>
      <c r="P350" s="75" t="inlineStr">
        <is>
          <t>18/07/2024</t>
        </is>
      </c>
      <c r="Q350" s="75" t="n"/>
      <c r="R350" s="75" t="n"/>
    </row>
    <row r="351" ht="25" customHeight="1">
      <c r="A351" s="78" t="inlineStr">
        <is>
          <t>SL0328</t>
        </is>
      </c>
      <c r="B351" s="79" t="n">
        <v>45491</v>
      </c>
      <c r="C351" s="78" t="inlineStr">
        <is>
          <t>2024-07</t>
        </is>
      </c>
      <c r="D351" s="78" t="n">
        <v>2024</v>
      </c>
      <c r="E351" s="78" t="inlineStr">
        <is>
          <t>Land</t>
        </is>
      </c>
      <c r="F351" s="78" t="inlineStr">
        <is>
          <t>Ancillary charge</t>
        </is>
      </c>
      <c r="G351" s="78" t="inlineStr">
        <is>
          <t>Land: documentation fee</t>
        </is>
      </c>
      <c r="H351" s="78" t="inlineStr">
        <is>
          <t>BP-C0078</t>
        </is>
      </c>
      <c r="I351" s="78" t="inlineStr">
        <is>
          <t>Ms Bingham Kendra</t>
        </is>
      </c>
      <c r="J351" s="80" t="n">
        <v>950000</v>
      </c>
      <c r="K351" s="78" t="inlineStr">
        <is>
          <t>Allen Branch</t>
        </is>
      </c>
      <c r="L351" s="78" t="inlineStr">
        <is>
          <t>Primary: monthly turnover register</t>
        </is>
      </c>
      <c r="M351" s="78" t="inlineStr">
        <is>
          <t>BAAY PROJECTS FINANCIALS 2024.xlsx</t>
        </is>
      </c>
      <c r="N351" s="78" t="inlineStr">
        <is>
          <t>JULY TURNOVER</t>
        </is>
      </c>
      <c r="O351" s="78" t="n">
        <v>27</v>
      </c>
      <c r="P351" s="78" t="inlineStr">
        <is>
          <t>18/07/2024</t>
        </is>
      </c>
      <c r="Q351" s="78" t="n"/>
      <c r="R351" s="78" t="n"/>
    </row>
    <row r="352" ht="25" customHeight="1">
      <c r="A352" s="75" t="inlineStr">
        <is>
          <t>SL0329</t>
        </is>
      </c>
      <c r="B352" s="76" t="n">
        <v>45492</v>
      </c>
      <c r="C352" s="75" t="inlineStr">
        <is>
          <t>2024-07</t>
        </is>
      </c>
      <c r="D352" s="75" t="n">
        <v>2024</v>
      </c>
      <c r="E352" s="75" t="inlineStr">
        <is>
          <t>Land</t>
        </is>
      </c>
      <c r="F352" s="75" t="inlineStr">
        <is>
          <t>Plot / unit price</t>
        </is>
      </c>
      <c r="G352" s="75" t="inlineStr">
        <is>
          <t>Green City Phase 3 (Omu-Epe)</t>
        </is>
      </c>
      <c r="H352" s="75" t="inlineStr">
        <is>
          <t>BP-C0109</t>
        </is>
      </c>
      <c r="I352" s="75" t="inlineStr">
        <is>
          <t>Dr Okeyedun Taiwo Akinbami</t>
        </is>
      </c>
      <c r="J352" s="77" t="n">
        <v>300000</v>
      </c>
      <c r="K352" s="75" t="inlineStr">
        <is>
          <t>Allen Branch</t>
        </is>
      </c>
      <c r="L352" s="75" t="inlineStr">
        <is>
          <t>Primary: monthly turnover register</t>
        </is>
      </c>
      <c r="M352" s="75" t="inlineStr">
        <is>
          <t>BAAY PROJECTS FINANCIALS 2024.xlsx</t>
        </is>
      </c>
      <c r="N352" s="75" t="inlineStr">
        <is>
          <t>JULY TURNOVER</t>
        </is>
      </c>
      <c r="O352" s="75" t="n">
        <v>28</v>
      </c>
      <c r="P352" s="75" t="inlineStr">
        <is>
          <t>19/07/2024</t>
        </is>
      </c>
      <c r="Q352" s="75" t="inlineStr">
        <is>
          <t>MD r45</t>
        </is>
      </c>
      <c r="R352" s="75" t="n"/>
    </row>
    <row r="353" ht="25" customHeight="1">
      <c r="A353" s="78" t="inlineStr">
        <is>
          <t>SL0330</t>
        </is>
      </c>
      <c r="B353" s="79" t="n">
        <v>45496</v>
      </c>
      <c r="C353" s="78" t="inlineStr">
        <is>
          <t>2024-07</t>
        </is>
      </c>
      <c r="D353" s="78" t="n">
        <v>2024</v>
      </c>
      <c r="E353" s="78" t="inlineStr">
        <is>
          <t>Land</t>
        </is>
      </c>
      <c r="F353" s="78" t="inlineStr">
        <is>
          <t>Plot / unit price</t>
        </is>
      </c>
      <c r="G353" s="78" t="inlineStr">
        <is>
          <t>Green City Phase 3 (Omu-Epe)</t>
        </is>
      </c>
      <c r="H353" s="78" t="inlineStr">
        <is>
          <t>BP-C0110</t>
        </is>
      </c>
      <c r="I353" s="78" t="inlineStr">
        <is>
          <t>Mr Adeyemi Kayode</t>
        </is>
      </c>
      <c r="J353" s="80" t="n">
        <v>500000</v>
      </c>
      <c r="K353" s="78" t="inlineStr">
        <is>
          <t>Allen Branch</t>
        </is>
      </c>
      <c r="L353" s="78" t="inlineStr">
        <is>
          <t>Primary: monthly turnover register</t>
        </is>
      </c>
      <c r="M353" s="78" t="inlineStr">
        <is>
          <t>BAAY PROJECTS FINANCIALS 2024.xlsx</t>
        </is>
      </c>
      <c r="N353" s="78" t="inlineStr">
        <is>
          <t>JULY TURNOVER</t>
        </is>
      </c>
      <c r="O353" s="78" t="n">
        <v>29</v>
      </c>
      <c r="P353" s="78" t="inlineStr">
        <is>
          <t>23/07/2024</t>
        </is>
      </c>
      <c r="Q353" s="78" t="inlineStr">
        <is>
          <t>MS BOLANLE r79</t>
        </is>
      </c>
      <c r="R353" s="78" t="n"/>
    </row>
    <row r="354" ht="25" customHeight="1">
      <c r="A354" s="75" t="inlineStr">
        <is>
          <t>SL0331</t>
        </is>
      </c>
      <c r="B354" s="76" t="n">
        <v>45497</v>
      </c>
      <c r="C354" s="75" t="inlineStr">
        <is>
          <t>2024-07</t>
        </is>
      </c>
      <c r="D354" s="75" t="n">
        <v>2024</v>
      </c>
      <c r="E354" s="75" t="inlineStr">
        <is>
          <t>Land</t>
        </is>
      </c>
      <c r="F354" s="75" t="inlineStr">
        <is>
          <t>Plot / unit price</t>
        </is>
      </c>
      <c r="G354" s="75" t="inlineStr">
        <is>
          <t>Green City Phase 2 (Idobi, Ketu-Epe)</t>
        </is>
      </c>
      <c r="H354" s="75" t="inlineStr">
        <is>
          <t>BP-C0054</t>
        </is>
      </c>
      <c r="I354" s="75" t="inlineStr">
        <is>
          <t>Mr Adeniyi Ademola</t>
        </is>
      </c>
      <c r="J354" s="77" t="n">
        <v>2400000</v>
      </c>
      <c r="K354" s="75" t="inlineStr">
        <is>
          <t>Allen Branch</t>
        </is>
      </c>
      <c r="L354" s="75" t="inlineStr">
        <is>
          <t>Primary: monthly turnover register</t>
        </is>
      </c>
      <c r="M354" s="75" t="inlineStr">
        <is>
          <t>BAAY PROJECTS FINANCIALS 2024.xlsx</t>
        </is>
      </c>
      <c r="N354" s="75" t="inlineStr">
        <is>
          <t>JULY TURNOVER</t>
        </is>
      </c>
      <c r="O354" s="75" t="n">
        <v>30</v>
      </c>
      <c r="P354" s="75" t="inlineStr">
        <is>
          <t>24/07/2024</t>
        </is>
      </c>
      <c r="Q354" s="75" t="inlineStr">
        <is>
          <t>MRS ABIMBOLA r110</t>
        </is>
      </c>
      <c r="R354" s="75" t="n"/>
    </row>
    <row r="355" ht="25" customHeight="1">
      <c r="A355" s="78" t="inlineStr">
        <is>
          <t>SL0332</t>
        </is>
      </c>
      <c r="B355" s="79" t="n">
        <v>45498</v>
      </c>
      <c r="C355" s="78" t="inlineStr">
        <is>
          <t>2024-07</t>
        </is>
      </c>
      <c r="D355" s="78" t="n">
        <v>2024</v>
      </c>
      <c r="E355" s="78" t="inlineStr">
        <is>
          <t>Land</t>
        </is>
      </c>
      <c r="F355" s="78" t="inlineStr">
        <is>
          <t>Ancillary charge</t>
        </is>
      </c>
      <c r="G355" s="78" t="inlineStr">
        <is>
          <t>Land: corner piece premium</t>
        </is>
      </c>
      <c r="H355" s="78" t="inlineStr">
        <is>
          <t>BP-C0070</t>
        </is>
      </c>
      <c r="I355" s="78" t="inlineStr">
        <is>
          <t>Mr Daniel Ayodeji Adeogun</t>
        </is>
      </c>
      <c r="J355" s="80" t="n">
        <v>135000</v>
      </c>
      <c r="K355" s="78" t="inlineStr">
        <is>
          <t>Magodo Branch</t>
        </is>
      </c>
      <c r="L355" s="78" t="inlineStr">
        <is>
          <t>Primary: monthly turnover register</t>
        </is>
      </c>
      <c r="M355" s="78" t="inlineStr">
        <is>
          <t>BAAY PROJECTS FINANCIALS 2024.xlsx</t>
        </is>
      </c>
      <c r="N355" s="78" t="inlineStr">
        <is>
          <t>JULY TURNOVER</t>
        </is>
      </c>
      <c r="O355" s="78" t="n">
        <v>12</v>
      </c>
      <c r="P355" s="78" t="inlineStr">
        <is>
          <t>25/07/2024</t>
        </is>
      </c>
      <c r="Q355" s="78" t="n"/>
      <c r="R355" s="78" t="n"/>
    </row>
    <row r="356" ht="25" customHeight="1">
      <c r="A356" s="75" t="inlineStr">
        <is>
          <t>SL0333</t>
        </is>
      </c>
      <c r="B356" s="76" t="n">
        <v>45500</v>
      </c>
      <c r="C356" s="75" t="inlineStr">
        <is>
          <t>2024-07</t>
        </is>
      </c>
      <c r="D356" s="75" t="n">
        <v>2024</v>
      </c>
      <c r="E356" s="75" t="inlineStr">
        <is>
          <t>Land</t>
        </is>
      </c>
      <c r="F356" s="75" t="inlineStr">
        <is>
          <t>Plot / unit price</t>
        </is>
      </c>
      <c r="G356" s="75" t="inlineStr">
        <is>
          <t>Green City Phase 2 (Idobi, Ketu-Epe)</t>
        </is>
      </c>
      <c r="H356" s="75" t="inlineStr">
        <is>
          <t>BP-C0068</t>
        </is>
      </c>
      <c r="I356" s="75" t="inlineStr">
        <is>
          <t>Miss Ebhotah Sharon Aisosa</t>
        </is>
      </c>
      <c r="J356" s="77" t="n">
        <v>300000</v>
      </c>
      <c r="K356" s="75" t="inlineStr">
        <is>
          <t>Magodo Branch</t>
        </is>
      </c>
      <c r="L356" s="75" t="inlineStr">
        <is>
          <t>Primary: monthly turnover register</t>
        </is>
      </c>
      <c r="M356" s="75" t="inlineStr">
        <is>
          <t>BAAY PROJECTS FINANCIALS 2024.xlsx</t>
        </is>
      </c>
      <c r="N356" s="75" t="inlineStr">
        <is>
          <t>JULY TURNOVER</t>
        </is>
      </c>
      <c r="O356" s="75" t="n">
        <v>13</v>
      </c>
      <c r="P356" s="75" t="inlineStr">
        <is>
          <t>27/07/2024</t>
        </is>
      </c>
      <c r="Q356" s="75" t="n"/>
      <c r="R356" s="75" t="n"/>
    </row>
    <row r="357" ht="25" customHeight="1">
      <c r="A357" s="78" t="inlineStr">
        <is>
          <t>SL0334</t>
        </is>
      </c>
      <c r="B357" s="79" t="n">
        <v>45500</v>
      </c>
      <c r="C357" s="78" t="inlineStr">
        <is>
          <t>2024-07</t>
        </is>
      </c>
      <c r="D357" s="78" t="n">
        <v>2024</v>
      </c>
      <c r="E357" s="78" t="inlineStr">
        <is>
          <t>Land</t>
        </is>
      </c>
      <c r="F357" s="78" t="inlineStr">
        <is>
          <t>Plot / unit price</t>
        </is>
      </c>
      <c r="G357" s="78" t="inlineStr">
        <is>
          <t>Green City Phase 2 (Idobi, Ketu-Epe)</t>
        </is>
      </c>
      <c r="H357" s="78" t="inlineStr">
        <is>
          <t>BP-C0100</t>
        </is>
      </c>
      <c r="I357" s="78" t="inlineStr">
        <is>
          <t>Mr Braimoh Ayomide</t>
        </is>
      </c>
      <c r="J357" s="80" t="n">
        <v>1235000</v>
      </c>
      <c r="K357" s="78" t="inlineStr">
        <is>
          <t>Magodo Branch</t>
        </is>
      </c>
      <c r="L357" s="78" t="inlineStr">
        <is>
          <t>Primary: monthly turnover register</t>
        </is>
      </c>
      <c r="M357" s="78" t="inlineStr">
        <is>
          <t>BAAY PROJECTS FINANCIALS 2024.xlsx</t>
        </is>
      </c>
      <c r="N357" s="78" t="inlineStr">
        <is>
          <t>JULY TURNOVER</t>
        </is>
      </c>
      <c r="O357" s="78" t="n">
        <v>14</v>
      </c>
      <c r="P357" s="78" t="inlineStr">
        <is>
          <t>27/07/2024</t>
        </is>
      </c>
      <c r="Q357" s="78" t="inlineStr">
        <is>
          <t>MS MAYOWA BRAIMOH r10</t>
        </is>
      </c>
      <c r="R357" s="78" t="n"/>
    </row>
    <row r="358" ht="25" customHeight="1">
      <c r="A358" s="75" t="inlineStr">
        <is>
          <t>SL0335</t>
        </is>
      </c>
      <c r="B358" s="76" t="n">
        <v>45502</v>
      </c>
      <c r="C358" s="75" t="inlineStr">
        <is>
          <t>2024-07</t>
        </is>
      </c>
      <c r="D358" s="75" t="n">
        <v>2024</v>
      </c>
      <c r="E358" s="75" t="inlineStr">
        <is>
          <t>Land</t>
        </is>
      </c>
      <c r="F358" s="75" t="inlineStr">
        <is>
          <t>Ancillary charge</t>
        </is>
      </c>
      <c r="G358" s="75" t="inlineStr">
        <is>
          <t>Land: corner piece premium</t>
        </is>
      </c>
      <c r="H358" s="75" t="inlineStr">
        <is>
          <t>BP-C0080</t>
        </is>
      </c>
      <c r="I358" s="75" t="inlineStr">
        <is>
          <t>Dr Ayansola Jeremiah Funso</t>
        </is>
      </c>
      <c r="J358" s="77" t="n">
        <v>135000</v>
      </c>
      <c r="K358" s="75" t="inlineStr">
        <is>
          <t>Magodo Branch</t>
        </is>
      </c>
      <c r="L358" s="75" t="inlineStr">
        <is>
          <t>Primary: monthly turnover register</t>
        </is>
      </c>
      <c r="M358" s="75" t="inlineStr">
        <is>
          <t>BAAY PROJECTS FINANCIALS 2024.xlsx</t>
        </is>
      </c>
      <c r="N358" s="75" t="inlineStr">
        <is>
          <t>JULY TURNOVER</t>
        </is>
      </c>
      <c r="O358" s="75" t="n">
        <v>15</v>
      </c>
      <c r="P358" s="75" t="inlineStr">
        <is>
          <t>29/07/2024</t>
        </is>
      </c>
      <c r="Q358" s="75" t="n"/>
      <c r="R358" s="75" t="n"/>
    </row>
    <row r="359" ht="25" customHeight="1">
      <c r="A359" s="78" t="inlineStr">
        <is>
          <t>SL0336</t>
        </is>
      </c>
      <c r="B359" s="79" t="n">
        <v>45502</v>
      </c>
      <c r="C359" s="78" t="inlineStr">
        <is>
          <t>2024-07</t>
        </is>
      </c>
      <c r="D359" s="78" t="n">
        <v>2024</v>
      </c>
      <c r="E359" s="78" t="inlineStr">
        <is>
          <t>Land</t>
        </is>
      </c>
      <c r="F359" s="78" t="inlineStr">
        <is>
          <t>Plot / unit price</t>
        </is>
      </c>
      <c r="G359" s="78" t="inlineStr">
        <is>
          <t>Green City Phase 2 (Idobi, Ketu-Epe)</t>
        </is>
      </c>
      <c r="H359" s="78" t="inlineStr">
        <is>
          <t>BP-C0090</t>
        </is>
      </c>
      <c r="I359" s="78" t="inlineStr">
        <is>
          <t>Mr Ajiva Lubem Barnabas</t>
        </is>
      </c>
      <c r="J359" s="80" t="n">
        <v>300000</v>
      </c>
      <c r="K359" s="78" t="inlineStr">
        <is>
          <t>Allen Branch</t>
        </is>
      </c>
      <c r="L359" s="78" t="inlineStr">
        <is>
          <t>Primary: monthly turnover register</t>
        </is>
      </c>
      <c r="M359" s="78" t="inlineStr">
        <is>
          <t>BAAY PROJECTS FINANCIALS 2024.xlsx</t>
        </is>
      </c>
      <c r="N359" s="78" t="inlineStr">
        <is>
          <t>JULY TURNOVER</t>
        </is>
      </c>
      <c r="O359" s="78" t="n">
        <v>33</v>
      </c>
      <c r="P359" s="78" t="inlineStr">
        <is>
          <t>29/07/2024</t>
        </is>
      </c>
      <c r="Q359" s="78" t="inlineStr">
        <is>
          <t>FASUYI OLAYINKA r31</t>
        </is>
      </c>
      <c r="R359" s="78" t="n"/>
    </row>
    <row r="360" ht="25" customHeight="1">
      <c r="A360" s="75" t="inlineStr">
        <is>
          <t>SL0337</t>
        </is>
      </c>
      <c r="B360" s="76" t="n">
        <v>45504</v>
      </c>
      <c r="C360" s="75" t="inlineStr">
        <is>
          <t>2024-07</t>
        </is>
      </c>
      <c r="D360" s="75" t="n">
        <v>2024</v>
      </c>
      <c r="E360" s="75" t="inlineStr">
        <is>
          <t>Land</t>
        </is>
      </c>
      <c r="F360" s="75" t="inlineStr">
        <is>
          <t>Plot / unit price</t>
        </is>
      </c>
      <c r="G360" s="75" t="inlineStr">
        <is>
          <t>Green City Phase 3 (Omu-Epe)</t>
        </is>
      </c>
      <c r="H360" s="75" t="inlineStr">
        <is>
          <t>BP-C0110</t>
        </is>
      </c>
      <c r="I360" s="75" t="inlineStr">
        <is>
          <t>Mr Adeyemi Kayode</t>
        </is>
      </c>
      <c r="J360" s="77" t="n">
        <v>2500000</v>
      </c>
      <c r="K360" s="75" t="inlineStr">
        <is>
          <t>Allen Branch</t>
        </is>
      </c>
      <c r="L360" s="75" t="inlineStr">
        <is>
          <t>Primary: monthly turnover register</t>
        </is>
      </c>
      <c r="M360" s="75" t="inlineStr">
        <is>
          <t>BAAY PROJECTS FINANCIALS 2024.xlsx</t>
        </is>
      </c>
      <c r="N360" s="75" t="inlineStr">
        <is>
          <t>JULY TURNOVER</t>
        </is>
      </c>
      <c r="O360" s="75" t="n">
        <v>35</v>
      </c>
      <c r="P360" s="75" t="inlineStr">
        <is>
          <t>31/07/2024</t>
        </is>
      </c>
      <c r="Q360" s="75" t="n"/>
      <c r="R360" s="75" t="n"/>
    </row>
    <row r="361" ht="25" customHeight="1">
      <c r="A361" s="78" t="inlineStr">
        <is>
          <t>SL0338</t>
        </is>
      </c>
      <c r="B361" s="79" t="n">
        <v>45504</v>
      </c>
      <c r="C361" s="78" t="inlineStr">
        <is>
          <t>2024-07</t>
        </is>
      </c>
      <c r="D361" s="78" t="n">
        <v>2024</v>
      </c>
      <c r="E361" s="78" t="inlineStr">
        <is>
          <t>Land</t>
        </is>
      </c>
      <c r="F361" s="78" t="inlineStr">
        <is>
          <t>Plot / unit price</t>
        </is>
      </c>
      <c r="G361" s="78" t="inlineStr">
        <is>
          <t>Green City Phase 1 (Lantaba, Ketu-Epe)</t>
        </is>
      </c>
      <c r="H361" s="78" t="inlineStr">
        <is>
          <t>BP-C0051</t>
        </is>
      </c>
      <c r="I361" s="78" t="inlineStr">
        <is>
          <t>Mr Ogunleye Olumide</t>
        </is>
      </c>
      <c r="J361" s="80" t="n">
        <v>100000</v>
      </c>
      <c r="K361" s="78" t="inlineStr">
        <is>
          <t>Allen Branch</t>
        </is>
      </c>
      <c r="L361" s="78" t="inlineStr">
        <is>
          <t>Primary: monthly turnover register</t>
        </is>
      </c>
      <c r="M361" s="78" t="inlineStr">
        <is>
          <t>BAAY PROJECTS FINANCIALS 2024.xlsx</t>
        </is>
      </c>
      <c r="N361" s="78" t="inlineStr">
        <is>
          <t>JULY TURNOVER</t>
        </is>
      </c>
      <c r="O361" s="78" t="n">
        <v>36</v>
      </c>
      <c r="P361" s="78" t="inlineStr">
        <is>
          <t>31/07/2024</t>
        </is>
      </c>
      <c r="Q361" s="78" t="n"/>
      <c r="R361" s="78" t="n"/>
    </row>
    <row r="362" ht="25" customHeight="1">
      <c r="A362" s="75" t="inlineStr">
        <is>
          <t>SL0339</t>
        </is>
      </c>
      <c r="B362" s="76" t="n">
        <v>45504</v>
      </c>
      <c r="C362" s="75" t="inlineStr">
        <is>
          <t>2024-07</t>
        </is>
      </c>
      <c r="D362" s="75" t="n">
        <v>2024</v>
      </c>
      <c r="E362" s="75" t="inlineStr">
        <is>
          <t>Land</t>
        </is>
      </c>
      <c r="F362" s="75" t="inlineStr">
        <is>
          <t>Plot / unit price</t>
        </is>
      </c>
      <c r="G362" s="75" t="inlineStr">
        <is>
          <t>Green City Phase 2 (Idobi, Ketu-Epe)</t>
        </is>
      </c>
      <c r="H362" s="75" t="inlineStr">
        <is>
          <t>BP-C0091</t>
        </is>
      </c>
      <c r="I362" s="75" t="inlineStr">
        <is>
          <t>Mr Ojo Olugbenga Daniel &amp; Mrs Ojo Omolola Oyewunmi</t>
        </is>
      </c>
      <c r="J362" s="77" t="n">
        <v>900000</v>
      </c>
      <c r="K362" s="75" t="inlineStr">
        <is>
          <t>Allen Branch</t>
        </is>
      </c>
      <c r="L362" s="75" t="inlineStr">
        <is>
          <t>Primary: monthly turnover register</t>
        </is>
      </c>
      <c r="M362" s="75" t="inlineStr">
        <is>
          <t>BAAY PROJECTS FINANCIALS 2024.xlsx</t>
        </is>
      </c>
      <c r="N362" s="75" t="inlineStr">
        <is>
          <t>JULY TURNOVER</t>
        </is>
      </c>
      <c r="O362" s="75" t="n">
        <v>34</v>
      </c>
      <c r="P362" s="75" t="inlineStr">
        <is>
          <t>31/07/2024</t>
        </is>
      </c>
      <c r="Q362" s="75" t="inlineStr">
        <is>
          <t>MRS ABIMBOLA r111</t>
        </is>
      </c>
      <c r="R362" s="75" t="n"/>
    </row>
    <row r="363" ht="25" customHeight="1">
      <c r="A363" s="78" t="inlineStr">
        <is>
          <t>SL0340</t>
        </is>
      </c>
      <c r="B363" s="79" t="n">
        <v>45505</v>
      </c>
      <c r="C363" s="78" t="inlineStr">
        <is>
          <t>2024-08</t>
        </is>
      </c>
      <c r="D363" s="78" t="n">
        <v>2024</v>
      </c>
      <c r="E363" s="78" t="inlineStr">
        <is>
          <t>Land</t>
        </is>
      </c>
      <c r="F363" s="78" t="inlineStr">
        <is>
          <t>Plot / unit price</t>
        </is>
      </c>
      <c r="G363" s="78" t="inlineStr">
        <is>
          <t>Green City Phase 2 (Idobi, Ketu-Epe)</t>
        </is>
      </c>
      <c r="H363" s="78" t="inlineStr">
        <is>
          <t>BP-C0090</t>
        </is>
      </c>
      <c r="I363" s="78" t="inlineStr">
        <is>
          <t>Mr Ajiva Lubem Barnabas</t>
        </is>
      </c>
      <c r="J363" s="80" t="n">
        <v>200000</v>
      </c>
      <c r="K363" s="78" t="inlineStr">
        <is>
          <t>Allen Branch</t>
        </is>
      </c>
      <c r="L363" s="78" t="inlineStr">
        <is>
          <t>Primary: monthly turnover register</t>
        </is>
      </c>
      <c r="M363" s="78" t="inlineStr">
        <is>
          <t>BAAY PROJECTS FINANCIALS 2024.xlsx</t>
        </is>
      </c>
      <c r="N363" s="78" t="inlineStr">
        <is>
          <t>AUGUST TURNOVER</t>
        </is>
      </c>
      <c r="O363" s="78" t="n">
        <v>7</v>
      </c>
      <c r="P363" s="78" t="inlineStr">
        <is>
          <t>2024-01-08</t>
        </is>
      </c>
      <c r="Q363" s="78" t="n"/>
      <c r="R363" s="78" t="n"/>
    </row>
    <row r="364" ht="25" customHeight="1">
      <c r="A364" s="75" t="inlineStr">
        <is>
          <t>SL0341</t>
        </is>
      </c>
      <c r="B364" s="76" t="n">
        <v>45506</v>
      </c>
      <c r="C364" s="75" t="inlineStr">
        <is>
          <t>2024-08</t>
        </is>
      </c>
      <c r="D364" s="75" t="n">
        <v>2024</v>
      </c>
      <c r="E364" s="75" t="inlineStr">
        <is>
          <t>Land</t>
        </is>
      </c>
      <c r="F364" s="75" t="inlineStr">
        <is>
          <t>Plot / unit price</t>
        </is>
      </c>
      <c r="G364" s="75" t="inlineStr">
        <is>
          <t>Green City Phase 3 (Omu-Epe)</t>
        </is>
      </c>
      <c r="H364" s="75" t="inlineStr">
        <is>
          <t>BP-C0026</t>
        </is>
      </c>
      <c r="I364" s="75" t="inlineStr">
        <is>
          <t>Mr &amp; Mrs Adebayo Dada</t>
        </is>
      </c>
      <c r="J364" s="77" t="n">
        <v>500000</v>
      </c>
      <c r="K364" s="75" t="inlineStr">
        <is>
          <t>Allen Branch</t>
        </is>
      </c>
      <c r="L364" s="75" t="inlineStr">
        <is>
          <t>Primary: monthly turnover register</t>
        </is>
      </c>
      <c r="M364" s="75" t="inlineStr">
        <is>
          <t>BAAY PROJECTS FINANCIALS 2024.xlsx</t>
        </is>
      </c>
      <c r="N364" s="75" t="inlineStr">
        <is>
          <t>AUGUST TURNOVER</t>
        </is>
      </c>
      <c r="O364" s="75" t="n">
        <v>8</v>
      </c>
      <c r="P364" s="75" t="inlineStr">
        <is>
          <t>2024-02-08</t>
        </is>
      </c>
      <c r="Q364" s="75" t="inlineStr">
        <is>
          <t>MRS ABIMBOLA r117</t>
        </is>
      </c>
      <c r="R364" s="75" t="n"/>
    </row>
    <row r="365" ht="25" customHeight="1">
      <c r="A365" s="78" t="inlineStr">
        <is>
          <t>SL0342</t>
        </is>
      </c>
      <c r="B365" s="79" t="n">
        <v>45506</v>
      </c>
      <c r="C365" s="78" t="inlineStr">
        <is>
          <t>2024-08</t>
        </is>
      </c>
      <c r="D365" s="78" t="n">
        <v>2024</v>
      </c>
      <c r="E365" s="78" t="inlineStr">
        <is>
          <t>Land</t>
        </is>
      </c>
      <c r="F365" s="78" t="inlineStr">
        <is>
          <t>Plot / unit price</t>
        </is>
      </c>
      <c r="G365" s="78" t="inlineStr">
        <is>
          <t>Green City Phase 3 (Omu-Epe)</t>
        </is>
      </c>
      <c r="H365" s="78" t="inlineStr">
        <is>
          <t>BP-C0111</t>
        </is>
      </c>
      <c r="I365" s="78" t="inlineStr">
        <is>
          <t>Mr Adenuga Lukman Ebenezer</t>
        </is>
      </c>
      <c r="J365" s="80" t="n">
        <v>500000</v>
      </c>
      <c r="K365" s="78" t="inlineStr">
        <is>
          <t>Magodo Branch</t>
        </is>
      </c>
      <c r="L365" s="78" t="inlineStr">
        <is>
          <t>Primary: monthly turnover register</t>
        </is>
      </c>
      <c r="M365" s="78" t="inlineStr">
        <is>
          <t>BAAY PROJECTS FINANCIALS 2024.xlsx</t>
        </is>
      </c>
      <c r="N365" s="78" t="inlineStr">
        <is>
          <t>AUGUST TURNOVER</t>
        </is>
      </c>
      <c r="O365" s="78" t="n">
        <v>7</v>
      </c>
      <c r="P365" s="78" t="inlineStr">
        <is>
          <t>2024-02-08</t>
        </is>
      </c>
      <c r="Q365" s="78" t="inlineStr">
        <is>
          <t>MS ADENIKE r5</t>
        </is>
      </c>
      <c r="R365" s="78" t="n"/>
    </row>
    <row r="366" ht="25" customHeight="1">
      <c r="A366" s="75" t="inlineStr">
        <is>
          <t>SL0343</t>
        </is>
      </c>
      <c r="B366" s="76" t="n">
        <v>45508</v>
      </c>
      <c r="C366" s="75" t="inlineStr">
        <is>
          <t>2024-08</t>
        </is>
      </c>
      <c r="D366" s="75" t="n">
        <v>2024</v>
      </c>
      <c r="E366" s="75" t="inlineStr">
        <is>
          <t>Land</t>
        </is>
      </c>
      <c r="F366" s="75" t="inlineStr">
        <is>
          <t>Plot / unit price</t>
        </is>
      </c>
      <c r="G366" s="75" t="inlineStr">
        <is>
          <t>Green City Phase 3 (Omu-Epe)</t>
        </is>
      </c>
      <c r="H366" s="75" t="inlineStr">
        <is>
          <t>BP-C0037</t>
        </is>
      </c>
      <c r="I366" s="75" t="inlineStr">
        <is>
          <t>Miss Okezie Mandy Ifeoma</t>
        </is>
      </c>
      <c r="J366" s="77" t="n">
        <v>1000000</v>
      </c>
      <c r="K366" s="75" t="inlineStr">
        <is>
          <t>Magodo Branch</t>
        </is>
      </c>
      <c r="L366" s="75" t="inlineStr">
        <is>
          <t>Primary: monthly turnover register</t>
        </is>
      </c>
      <c r="M366" s="75" t="inlineStr">
        <is>
          <t>BAAY PROJECTS FINANCIALS 2024.xlsx</t>
        </is>
      </c>
      <c r="N366" s="75" t="inlineStr">
        <is>
          <t>AUGUST TURNOVER</t>
        </is>
      </c>
      <c r="O366" s="75" t="n">
        <v>9</v>
      </c>
      <c r="P366" s="75" t="inlineStr">
        <is>
          <t>2024-04-08</t>
        </is>
      </c>
      <c r="Q366" s="75" t="inlineStr">
        <is>
          <t>MS CELINA r23</t>
        </is>
      </c>
      <c r="R366" s="75" t="n"/>
    </row>
    <row r="367" ht="25" customHeight="1">
      <c r="A367" s="78" t="inlineStr">
        <is>
          <t>SL0344</t>
        </is>
      </c>
      <c r="B367" s="79" t="n">
        <v>45508</v>
      </c>
      <c r="C367" s="78" t="inlineStr">
        <is>
          <t>2024-08</t>
        </is>
      </c>
      <c r="D367" s="78" t="n">
        <v>2024</v>
      </c>
      <c r="E367" s="78" t="inlineStr">
        <is>
          <t>Land</t>
        </is>
      </c>
      <c r="F367" s="78" t="inlineStr">
        <is>
          <t>Plot / unit price</t>
        </is>
      </c>
      <c r="G367" s="78" t="inlineStr">
        <is>
          <t>Green City Phase 3 (Omu-Epe)</t>
        </is>
      </c>
      <c r="H367" s="78" t="inlineStr">
        <is>
          <t>BP-C0111</t>
        </is>
      </c>
      <c r="I367" s="78" t="inlineStr">
        <is>
          <t>Mr Adenuga Lukman Ebenezer</t>
        </is>
      </c>
      <c r="J367" s="80" t="n">
        <v>1360000</v>
      </c>
      <c r="K367" s="78" t="inlineStr">
        <is>
          <t>Magodo Branch</t>
        </is>
      </c>
      <c r="L367" s="78" t="inlineStr">
        <is>
          <t>Primary: monthly turnover register</t>
        </is>
      </c>
      <c r="M367" s="78" t="inlineStr">
        <is>
          <t>BAAY PROJECTS FINANCIALS 2024.xlsx</t>
        </is>
      </c>
      <c r="N367" s="78" t="inlineStr">
        <is>
          <t>AUGUST TURNOVER</t>
        </is>
      </c>
      <c r="O367" s="78" t="n">
        <v>8</v>
      </c>
      <c r="P367" s="78" t="inlineStr">
        <is>
          <t>2024-04-08</t>
        </is>
      </c>
      <c r="Q367" s="78" t="inlineStr">
        <is>
          <t>MS ADENIKE r6</t>
        </is>
      </c>
      <c r="R367" s="78" t="n"/>
    </row>
    <row r="368" ht="25" customHeight="1">
      <c r="A368" s="75" t="inlineStr">
        <is>
          <t>SL0345</t>
        </is>
      </c>
      <c r="B368" s="76" t="n">
        <v>45509</v>
      </c>
      <c r="C368" s="75" t="inlineStr">
        <is>
          <t>2024-08</t>
        </is>
      </c>
      <c r="D368" s="75" t="n">
        <v>2024</v>
      </c>
      <c r="E368" s="75" t="inlineStr">
        <is>
          <t>Land</t>
        </is>
      </c>
      <c r="F368" s="75" t="inlineStr">
        <is>
          <t>Plot / unit price</t>
        </is>
      </c>
      <c r="G368" s="75" t="inlineStr">
        <is>
          <t>Green City Phase 1 (Lantaba, Ketu-Epe)</t>
        </is>
      </c>
      <c r="H368" s="75" t="inlineStr">
        <is>
          <t>BP-C0086</t>
        </is>
      </c>
      <c r="I368" s="75" t="inlineStr">
        <is>
          <t>Miss Nwobodo Miriam</t>
        </is>
      </c>
      <c r="J368" s="77" t="n">
        <v>400000</v>
      </c>
      <c r="K368" s="75" t="inlineStr">
        <is>
          <t>Allen Branch</t>
        </is>
      </c>
      <c r="L368" s="75" t="inlineStr">
        <is>
          <t>Primary: monthly turnover register</t>
        </is>
      </c>
      <c r="M368" s="75" t="inlineStr">
        <is>
          <t>BAAY PROJECTS FINANCIALS 2024.xlsx</t>
        </is>
      </c>
      <c r="N368" s="75" t="inlineStr">
        <is>
          <t>AUGUST TURNOVER</t>
        </is>
      </c>
      <c r="O368" s="75" t="n">
        <v>14</v>
      </c>
      <c r="P368" s="75" t="inlineStr">
        <is>
          <t>2024-05-08</t>
        </is>
      </c>
      <c r="Q368" s="75" t="inlineStr">
        <is>
          <t>MD r50</t>
        </is>
      </c>
      <c r="R368" s="75" t="n"/>
    </row>
    <row r="369" ht="25" customHeight="1">
      <c r="A369" s="78" t="inlineStr">
        <is>
          <t>SL0346</t>
        </is>
      </c>
      <c r="B369" s="79" t="n">
        <v>45509</v>
      </c>
      <c r="C369" s="78" t="inlineStr">
        <is>
          <t>2024-08</t>
        </is>
      </c>
      <c r="D369" s="78" t="n">
        <v>2024</v>
      </c>
      <c r="E369" s="78" t="inlineStr">
        <is>
          <t>Land</t>
        </is>
      </c>
      <c r="F369" s="78" t="inlineStr">
        <is>
          <t>Plot / unit price</t>
        </is>
      </c>
      <c r="G369" s="78" t="inlineStr">
        <is>
          <t>Green City Phase 3 (Omu-Epe)</t>
        </is>
      </c>
      <c r="H369" s="78" t="inlineStr">
        <is>
          <t>BP-C0037</t>
        </is>
      </c>
      <c r="I369" s="78" t="inlineStr">
        <is>
          <t>Miss Okezie Mandy Ifeoma</t>
        </is>
      </c>
      <c r="J369" s="80" t="n">
        <v>860000</v>
      </c>
      <c r="K369" s="78" t="inlineStr">
        <is>
          <t>Magodo Branch</t>
        </is>
      </c>
      <c r="L369" s="78" t="inlineStr">
        <is>
          <t>Primary: monthly turnover register</t>
        </is>
      </c>
      <c r="M369" s="78" t="inlineStr">
        <is>
          <t>BAAY PROJECTS FINANCIALS 2024.xlsx</t>
        </is>
      </c>
      <c r="N369" s="78" t="inlineStr">
        <is>
          <t>AUGUST TURNOVER</t>
        </is>
      </c>
      <c r="O369" s="78" t="n">
        <v>10</v>
      </c>
      <c r="P369" s="78" t="inlineStr">
        <is>
          <t>2024-05-08</t>
        </is>
      </c>
      <c r="Q369" s="78" t="inlineStr">
        <is>
          <t>MS CELINA r24</t>
        </is>
      </c>
      <c r="R369" s="78" t="n"/>
    </row>
    <row r="370" ht="25" customHeight="1">
      <c r="A370" s="75" t="inlineStr">
        <is>
          <t>SL0347</t>
        </is>
      </c>
      <c r="B370" s="76" t="n">
        <v>45509</v>
      </c>
      <c r="C370" s="75" t="inlineStr">
        <is>
          <t>2024-08</t>
        </is>
      </c>
      <c r="D370" s="75" t="n">
        <v>2024</v>
      </c>
      <c r="E370" s="75" t="inlineStr">
        <is>
          <t>Land</t>
        </is>
      </c>
      <c r="F370" s="75" t="inlineStr">
        <is>
          <t>Plot / unit price</t>
        </is>
      </c>
      <c r="G370" s="75" t="inlineStr">
        <is>
          <t>Green City Phase 3 (Omu-Epe)</t>
        </is>
      </c>
      <c r="H370" s="75" t="inlineStr">
        <is>
          <t>BP-C0066</t>
        </is>
      </c>
      <c r="I370" s="75" t="inlineStr">
        <is>
          <t>Miss Omosanya Dotun Akeju</t>
        </is>
      </c>
      <c r="J370" s="77" t="n">
        <v>500000</v>
      </c>
      <c r="K370" s="75" t="inlineStr">
        <is>
          <t>Allen Branch</t>
        </is>
      </c>
      <c r="L370" s="75" t="inlineStr">
        <is>
          <t>Primary: monthly turnover register</t>
        </is>
      </c>
      <c r="M370" s="75" t="inlineStr">
        <is>
          <t>BAAY PROJECTS FINANCIALS 2024.xlsx</t>
        </is>
      </c>
      <c r="N370" s="75" t="inlineStr">
        <is>
          <t>AUGUST TURNOVER</t>
        </is>
      </c>
      <c r="O370" s="75" t="n">
        <v>15</v>
      </c>
      <c r="P370" s="75" t="inlineStr">
        <is>
          <t>2024-05-08</t>
        </is>
      </c>
      <c r="Q370" s="75" t="inlineStr">
        <is>
          <t>MS BOLANLE r89, MS BLESSING OJI r33</t>
        </is>
      </c>
      <c r="R370" s="75" t="n"/>
    </row>
    <row r="371" ht="25" customHeight="1">
      <c r="A371" s="78" t="inlineStr">
        <is>
          <t>SL0348</t>
        </is>
      </c>
      <c r="B371" s="79" t="n">
        <v>45509</v>
      </c>
      <c r="C371" s="78" t="inlineStr">
        <is>
          <t>2024-08</t>
        </is>
      </c>
      <c r="D371" s="78" t="n">
        <v>2024</v>
      </c>
      <c r="E371" s="78" t="inlineStr">
        <is>
          <t>Land</t>
        </is>
      </c>
      <c r="F371" s="78" t="inlineStr">
        <is>
          <t>Plot / unit price</t>
        </is>
      </c>
      <c r="G371" s="78" t="inlineStr">
        <is>
          <t>Green City Phase 2 (Idobi, Ketu-Epe)</t>
        </is>
      </c>
      <c r="H371" s="78" t="inlineStr">
        <is>
          <t>BP-C0030</t>
        </is>
      </c>
      <c r="I371" s="78" t="inlineStr">
        <is>
          <t>Mr Adese Akorede John</t>
        </is>
      </c>
      <c r="J371" s="80" t="n">
        <v>200000</v>
      </c>
      <c r="K371" s="78" t="inlineStr">
        <is>
          <t>Allen Branch</t>
        </is>
      </c>
      <c r="L371" s="78" t="inlineStr">
        <is>
          <t>Primary: monthly turnover register</t>
        </is>
      </c>
      <c r="M371" s="78" t="inlineStr">
        <is>
          <t>BAAY PROJECTS FINANCIALS 2024.xlsx</t>
        </is>
      </c>
      <c r="N371" s="78" t="inlineStr">
        <is>
          <t>AUGUST TURNOVER</t>
        </is>
      </c>
      <c r="O371" s="78" t="n">
        <v>9</v>
      </c>
      <c r="P371" s="78" t="inlineStr">
        <is>
          <t>2024-05-08</t>
        </is>
      </c>
      <c r="Q371" s="78" t="inlineStr">
        <is>
          <t>MD r51</t>
        </is>
      </c>
      <c r="R371" s="78" t="n"/>
    </row>
    <row r="372" ht="25" customHeight="1">
      <c r="A372" s="75" t="inlineStr">
        <is>
          <t>SL0349</t>
        </is>
      </c>
      <c r="B372" s="76" t="n">
        <v>45509</v>
      </c>
      <c r="C372" s="75" t="inlineStr">
        <is>
          <t>2024-08</t>
        </is>
      </c>
      <c r="D372" s="75" t="n">
        <v>2024</v>
      </c>
      <c r="E372" s="75" t="inlineStr">
        <is>
          <t>Land</t>
        </is>
      </c>
      <c r="F372" s="75" t="inlineStr">
        <is>
          <t>Ancillary charge</t>
        </is>
      </c>
      <c r="G372" s="75" t="inlineStr">
        <is>
          <t>Land: development fee</t>
        </is>
      </c>
      <c r="H372" s="75" t="inlineStr">
        <is>
          <t>BP-C0030</t>
        </is>
      </c>
      <c r="I372" s="75" t="inlineStr">
        <is>
          <t>Mr Adese Akorede John</t>
        </is>
      </c>
      <c r="J372" s="77" t="n">
        <v>50000</v>
      </c>
      <c r="K372" s="75" t="inlineStr">
        <is>
          <t>Allen Branch</t>
        </is>
      </c>
      <c r="L372" s="75" t="inlineStr">
        <is>
          <t>Primary: monthly turnover register</t>
        </is>
      </c>
      <c r="M372" s="75" t="inlineStr">
        <is>
          <t>BAAY PROJECTS FINANCIALS 2024.xlsx</t>
        </is>
      </c>
      <c r="N372" s="75" t="inlineStr">
        <is>
          <t>AUGUST TURNOVER</t>
        </is>
      </c>
      <c r="O372" s="75" t="n">
        <v>10</v>
      </c>
      <c r="P372" s="75" t="inlineStr">
        <is>
          <t>2024-05-08</t>
        </is>
      </c>
      <c r="Q372" s="75" t="n"/>
      <c r="R372" s="75" t="n"/>
    </row>
    <row r="373" ht="25" customHeight="1">
      <c r="A373" s="78" t="inlineStr">
        <is>
          <t>SL0350</t>
        </is>
      </c>
      <c r="B373" s="79" t="n">
        <v>45509</v>
      </c>
      <c r="C373" s="78" t="inlineStr">
        <is>
          <t>2024-08</t>
        </is>
      </c>
      <c r="D373" s="78" t="n">
        <v>2024</v>
      </c>
      <c r="E373" s="78" t="inlineStr">
        <is>
          <t>Land</t>
        </is>
      </c>
      <c r="F373" s="78" t="inlineStr">
        <is>
          <t>Plot / unit price</t>
        </is>
      </c>
      <c r="G373" s="78" t="inlineStr">
        <is>
          <t>Green City Phase 3 (Omu-Epe)</t>
        </is>
      </c>
      <c r="H373" s="78" t="inlineStr">
        <is>
          <t>BP-C0110</t>
        </is>
      </c>
      <c r="I373" s="78" t="inlineStr">
        <is>
          <t>Mr Adeyemi Kayode</t>
        </is>
      </c>
      <c r="J373" s="80" t="n">
        <v>500000</v>
      </c>
      <c r="K373" s="78" t="inlineStr">
        <is>
          <t>Allen Branch</t>
        </is>
      </c>
      <c r="L373" s="78" t="inlineStr">
        <is>
          <t>Primary: monthly turnover register</t>
        </is>
      </c>
      <c r="M373" s="78" t="inlineStr">
        <is>
          <t>BAAY PROJECTS FINANCIALS 2024.xlsx</t>
        </is>
      </c>
      <c r="N373" s="78" t="inlineStr">
        <is>
          <t>AUGUST TURNOVER</t>
        </is>
      </c>
      <c r="O373" s="78" t="n">
        <v>13</v>
      </c>
      <c r="P373" s="78" t="inlineStr">
        <is>
          <t>2024-05-08</t>
        </is>
      </c>
      <c r="Q373" s="78" t="inlineStr">
        <is>
          <t>MS BOLANLE r87</t>
        </is>
      </c>
      <c r="R373" s="78" t="n"/>
    </row>
    <row r="374" ht="25" customHeight="1">
      <c r="A374" s="75" t="inlineStr">
        <is>
          <t>SL0351</t>
        </is>
      </c>
      <c r="B374" s="76" t="n">
        <v>45509</v>
      </c>
      <c r="C374" s="75" t="inlineStr">
        <is>
          <t>2024-08</t>
        </is>
      </c>
      <c r="D374" s="75" t="n">
        <v>2024</v>
      </c>
      <c r="E374" s="75" t="inlineStr">
        <is>
          <t>Land</t>
        </is>
      </c>
      <c r="F374" s="75" t="inlineStr">
        <is>
          <t>Plot / unit price</t>
        </is>
      </c>
      <c r="G374" s="75" t="inlineStr">
        <is>
          <t>Green City Phase 2 (Idobi, Ketu-Epe)</t>
        </is>
      </c>
      <c r="H374" s="75" t="inlineStr">
        <is>
          <t>BP-C0090</t>
        </is>
      </c>
      <c r="I374" s="75" t="inlineStr">
        <is>
          <t>Mr Ajiva Lubem Barnabas</t>
        </is>
      </c>
      <c r="J374" s="77" t="n">
        <v>460000</v>
      </c>
      <c r="K374" s="75" t="inlineStr">
        <is>
          <t>Allen Branch</t>
        </is>
      </c>
      <c r="L374" s="75" t="inlineStr">
        <is>
          <t>Primary: monthly turnover register</t>
        </is>
      </c>
      <c r="M374" s="75" t="inlineStr">
        <is>
          <t>BAAY PROJECTS FINANCIALS 2024.xlsx</t>
        </is>
      </c>
      <c r="N374" s="75" t="inlineStr">
        <is>
          <t>AUGUST TURNOVER</t>
        </is>
      </c>
      <c r="O374" s="75" t="n">
        <v>11</v>
      </c>
      <c r="P374" s="75" t="inlineStr">
        <is>
          <t>2024-05-08</t>
        </is>
      </c>
      <c r="Q374" s="75" t="inlineStr">
        <is>
          <t>FASUYI OLAYINKA r39</t>
        </is>
      </c>
      <c r="R374" s="75" t="n"/>
    </row>
    <row r="375" ht="25" customHeight="1">
      <c r="A375" s="78" t="inlineStr">
        <is>
          <t>SL0352</t>
        </is>
      </c>
      <c r="B375" s="79" t="n">
        <v>45512</v>
      </c>
      <c r="C375" s="78" t="inlineStr">
        <is>
          <t>2024-08</t>
        </is>
      </c>
      <c r="D375" s="78" t="n">
        <v>2024</v>
      </c>
      <c r="E375" s="78" t="inlineStr">
        <is>
          <t>Housing</t>
        </is>
      </c>
      <c r="F375" s="78" t="inlineStr">
        <is>
          <t>Plot / unit price</t>
        </is>
      </c>
      <c r="G375" s="78" t="inlineStr">
        <is>
          <t>Housing unit (project not stated in source)</t>
        </is>
      </c>
      <c r="H375" s="78" t="inlineStr">
        <is>
          <t>BP-C0112</t>
        </is>
      </c>
      <c r="I375" s="78" t="inlineStr">
        <is>
          <t>Mr Lawson Albert Olumide</t>
        </is>
      </c>
      <c r="J375" s="80" t="n">
        <v>20000000</v>
      </c>
      <c r="K375" s="78" t="inlineStr">
        <is>
          <t>Magodo Branch</t>
        </is>
      </c>
      <c r="L375" s="78" t="inlineStr">
        <is>
          <t>Primary: monthly turnover register</t>
        </is>
      </c>
      <c r="M375" s="78" t="inlineStr">
        <is>
          <t>BAAY PROJECTS FINANCIALS 2024.xlsx</t>
        </is>
      </c>
      <c r="N375" s="78" t="inlineStr">
        <is>
          <t>AUGUST TURNOVER</t>
        </is>
      </c>
      <c r="O375" s="78" t="n">
        <v>11</v>
      </c>
      <c r="P375" s="78" t="inlineStr">
        <is>
          <t>2024-08-08</t>
        </is>
      </c>
      <c r="Q375" s="78" t="inlineStr">
        <is>
          <t>MR AYOMIDE r23</t>
        </is>
      </c>
      <c r="R375" s="78" t="n"/>
    </row>
    <row r="376" ht="25" customHeight="1">
      <c r="A376" s="75" t="inlineStr">
        <is>
          <t>SL0353</t>
        </is>
      </c>
      <c r="B376" s="76" t="n">
        <v>45512</v>
      </c>
      <c r="C376" s="75" t="inlineStr">
        <is>
          <t>2024-08</t>
        </is>
      </c>
      <c r="D376" s="75" t="n">
        <v>2024</v>
      </c>
      <c r="E376" s="75" t="inlineStr">
        <is>
          <t>Land</t>
        </is>
      </c>
      <c r="F376" s="75" t="inlineStr">
        <is>
          <t>Plot / unit price</t>
        </is>
      </c>
      <c r="G376" s="75" t="inlineStr">
        <is>
          <t>Green City Phase 2 (Idobi, Ketu-Epe)</t>
        </is>
      </c>
      <c r="H376" s="75" t="inlineStr">
        <is>
          <t>BP-C0092</t>
        </is>
      </c>
      <c r="I376" s="75" t="inlineStr">
        <is>
          <t>Mr Oriakhi Osemudiamen Peter</t>
        </is>
      </c>
      <c r="J376" s="77" t="n">
        <v>1000000</v>
      </c>
      <c r="K376" s="75" t="inlineStr">
        <is>
          <t>Magodo Branch</t>
        </is>
      </c>
      <c r="L376" s="75" t="inlineStr">
        <is>
          <t>Primary: monthly turnover register</t>
        </is>
      </c>
      <c r="M376" s="75" t="inlineStr">
        <is>
          <t>BAAY PROJECTS FINANCIALS 2024.xlsx</t>
        </is>
      </c>
      <c r="N376" s="75" t="inlineStr">
        <is>
          <t>AUGUST TURNOVER</t>
        </is>
      </c>
      <c r="O376" s="75" t="n">
        <v>12</v>
      </c>
      <c r="P376" s="75" t="inlineStr">
        <is>
          <t>2024-08-08</t>
        </is>
      </c>
      <c r="Q376" s="75" t="inlineStr">
        <is>
          <t>MS BLESSING r86</t>
        </is>
      </c>
      <c r="R376" s="75" t="n"/>
    </row>
    <row r="377" ht="25" customHeight="1">
      <c r="A377" s="78" t="inlineStr">
        <is>
          <t>SL0354</t>
        </is>
      </c>
      <c r="B377" s="79" t="n">
        <v>45513</v>
      </c>
      <c r="C377" s="78" t="inlineStr">
        <is>
          <t>2024-08</t>
        </is>
      </c>
      <c r="D377" s="78" t="n">
        <v>2024</v>
      </c>
      <c r="E377" s="78" t="inlineStr">
        <is>
          <t>Land</t>
        </is>
      </c>
      <c r="F377" s="78" t="inlineStr">
        <is>
          <t>Plot / unit price</t>
        </is>
      </c>
      <c r="G377" s="78" t="inlineStr">
        <is>
          <t>Green City Phase 3 (Omu-Epe)</t>
        </is>
      </c>
      <c r="H377" s="78" t="inlineStr">
        <is>
          <t>BP-C0110</t>
        </is>
      </c>
      <c r="I377" s="78" t="inlineStr">
        <is>
          <t>Mr Adeyemi Kayode</t>
        </is>
      </c>
      <c r="J377" s="80" t="n">
        <v>800000</v>
      </c>
      <c r="K377" s="78" t="inlineStr">
        <is>
          <t>Allen Branch</t>
        </is>
      </c>
      <c r="L377" s="78" t="inlineStr">
        <is>
          <t>Primary: monthly turnover register</t>
        </is>
      </c>
      <c r="M377" s="78" t="inlineStr">
        <is>
          <t>BAAY PROJECTS FINANCIALS 2024.xlsx</t>
        </is>
      </c>
      <c r="N377" s="78" t="inlineStr">
        <is>
          <t>AUGUST TURNOVER</t>
        </is>
      </c>
      <c r="O377" s="78" t="n">
        <v>17</v>
      </c>
      <c r="P377" s="78" t="inlineStr">
        <is>
          <t>2024-09-08</t>
        </is>
      </c>
      <c r="Q377" s="78" t="inlineStr">
        <is>
          <t>MS BOLANLE r88</t>
        </is>
      </c>
      <c r="R377" s="78" t="n"/>
    </row>
    <row r="378" ht="25" customHeight="1">
      <c r="A378" s="75" t="inlineStr">
        <is>
          <t>SL0355</t>
        </is>
      </c>
      <c r="B378" s="76" t="n">
        <v>45513</v>
      </c>
      <c r="C378" s="75" t="inlineStr">
        <is>
          <t>2024-08</t>
        </is>
      </c>
      <c r="D378" s="75" t="n">
        <v>2024</v>
      </c>
      <c r="E378" s="75" t="inlineStr">
        <is>
          <t>Housing</t>
        </is>
      </c>
      <c r="F378" s="75" t="inlineStr">
        <is>
          <t>Plot / unit price</t>
        </is>
      </c>
      <c r="G378" s="75" t="inlineStr">
        <is>
          <t>Housing unit (project not stated in source)</t>
        </is>
      </c>
      <c r="H378" s="75" t="inlineStr">
        <is>
          <t>BP-C0112</t>
        </is>
      </c>
      <c r="I378" s="75" t="inlineStr">
        <is>
          <t>Mr Lawson Albert Olumide</t>
        </is>
      </c>
      <c r="J378" s="77" t="n">
        <v>30000000</v>
      </c>
      <c r="K378" s="75" t="inlineStr">
        <is>
          <t>Magodo Branch</t>
        </is>
      </c>
      <c r="L378" s="75" t="inlineStr">
        <is>
          <t>Primary: monthly turnover register</t>
        </is>
      </c>
      <c r="M378" s="75" t="inlineStr">
        <is>
          <t>BAAY PROJECTS FINANCIALS 2024.xlsx</t>
        </is>
      </c>
      <c r="N378" s="75" t="inlineStr">
        <is>
          <t>AUGUST TURNOVER</t>
        </is>
      </c>
      <c r="O378" s="75" t="n">
        <v>13</v>
      </c>
      <c r="P378" s="75" t="inlineStr">
        <is>
          <t>2024-09-08</t>
        </is>
      </c>
      <c r="Q378" s="75" t="inlineStr">
        <is>
          <t>MR AYOMIDE r24</t>
        </is>
      </c>
      <c r="R378" s="75" t="n"/>
    </row>
    <row r="379" ht="25" customHeight="1">
      <c r="A379" s="78" t="inlineStr">
        <is>
          <t>SL0356</t>
        </is>
      </c>
      <c r="B379" s="79" t="n">
        <v>45513</v>
      </c>
      <c r="C379" s="78" t="inlineStr">
        <is>
          <t>2024-08</t>
        </is>
      </c>
      <c r="D379" s="78" t="n">
        <v>2024</v>
      </c>
      <c r="E379" s="78" t="inlineStr">
        <is>
          <t>Land</t>
        </is>
      </c>
      <c r="F379" s="78" t="inlineStr">
        <is>
          <t>Plot / unit price</t>
        </is>
      </c>
      <c r="G379" s="78" t="inlineStr">
        <is>
          <t>Green City Phase 1 (Lantaba, Ketu-Epe)</t>
        </is>
      </c>
      <c r="H379" s="78" t="inlineStr">
        <is>
          <t>BP-C0099</t>
        </is>
      </c>
      <c r="I379" s="78" t="inlineStr">
        <is>
          <t>Mr Olatunde Adesua Samuel</t>
        </is>
      </c>
      <c r="J379" s="80" t="n">
        <v>1200000</v>
      </c>
      <c r="K379" s="78" t="inlineStr">
        <is>
          <t>Magodo Branch</t>
        </is>
      </c>
      <c r="L379" s="78" t="inlineStr">
        <is>
          <t>Primary: monthly turnover register</t>
        </is>
      </c>
      <c r="M379" s="78" t="inlineStr">
        <is>
          <t>BAAY PROJECTS FINANCIALS 2024.xlsx</t>
        </is>
      </c>
      <c r="N379" s="78" t="inlineStr">
        <is>
          <t>AUGUST TURNOVER</t>
        </is>
      </c>
      <c r="O379" s="78" t="n">
        <v>14</v>
      </c>
      <c r="P379" s="78" t="inlineStr">
        <is>
          <t>2024-09-08</t>
        </is>
      </c>
      <c r="Q379" s="78" t="inlineStr">
        <is>
          <t>MS ADENIKE r7</t>
        </is>
      </c>
      <c r="R379" s="78" t="n"/>
    </row>
    <row r="380" ht="25" customHeight="1">
      <c r="A380" s="75" t="inlineStr">
        <is>
          <t>SL0357</t>
        </is>
      </c>
      <c r="B380" s="76" t="n">
        <v>45516</v>
      </c>
      <c r="C380" s="75" t="inlineStr">
        <is>
          <t>2024-08</t>
        </is>
      </c>
      <c r="D380" s="75" t="n">
        <v>2024</v>
      </c>
      <c r="E380" s="75" t="inlineStr">
        <is>
          <t>Land</t>
        </is>
      </c>
      <c r="F380" s="75" t="inlineStr">
        <is>
          <t>Plot / unit price</t>
        </is>
      </c>
      <c r="G380" s="75" t="inlineStr">
        <is>
          <t>Green City Phase 3 (Omu-Epe)</t>
        </is>
      </c>
      <c r="H380" s="75" t="inlineStr">
        <is>
          <t>BP-C0019</t>
        </is>
      </c>
      <c r="I380" s="75" t="inlineStr">
        <is>
          <t>Mr Ogbu Pius Ejaka</t>
        </is>
      </c>
      <c r="J380" s="77" t="n">
        <v>3150000</v>
      </c>
      <c r="K380" s="75" t="inlineStr">
        <is>
          <t>Magodo Branch</t>
        </is>
      </c>
      <c r="L380" s="75" t="inlineStr">
        <is>
          <t>Primary: monthly turnover register</t>
        </is>
      </c>
      <c r="M380" s="75" t="inlineStr">
        <is>
          <t>BAAY PROJECTS FINANCIALS 2024.xlsx</t>
        </is>
      </c>
      <c r="N380" s="75" t="inlineStr">
        <is>
          <t>AUGUST TURNOVER</t>
        </is>
      </c>
      <c r="O380" s="75" t="n">
        <v>15</v>
      </c>
      <c r="P380" s="75" t="inlineStr">
        <is>
          <t>2024-12-08</t>
        </is>
      </c>
      <c r="Q380" s="75" t="n"/>
      <c r="R380" s="75" t="n"/>
    </row>
    <row r="381" ht="25" customHeight="1">
      <c r="A381" s="78" t="inlineStr">
        <is>
          <t>SL0358</t>
        </is>
      </c>
      <c r="B381" s="79" t="n">
        <v>45516</v>
      </c>
      <c r="C381" s="78" t="inlineStr">
        <is>
          <t>2024-08</t>
        </is>
      </c>
      <c r="D381" s="78" t="n">
        <v>2024</v>
      </c>
      <c r="E381" s="78" t="inlineStr">
        <is>
          <t>Land</t>
        </is>
      </c>
      <c r="F381" s="78" t="inlineStr">
        <is>
          <t>Plot / unit price</t>
        </is>
      </c>
      <c r="G381" s="78" t="inlineStr">
        <is>
          <t>Green City Phase 3 (Omu-Epe)</t>
        </is>
      </c>
      <c r="H381" s="78" t="inlineStr">
        <is>
          <t>BP-C0113</t>
        </is>
      </c>
      <c r="I381" s="78" t="inlineStr">
        <is>
          <t>Mr Udoezi Paul</t>
        </is>
      </c>
      <c r="J381" s="80" t="n">
        <v>100000</v>
      </c>
      <c r="K381" s="78" t="inlineStr">
        <is>
          <t>Magodo Branch</t>
        </is>
      </c>
      <c r="L381" s="78" t="inlineStr">
        <is>
          <t>Primary: monthly turnover register</t>
        </is>
      </c>
      <c r="M381" s="78" t="inlineStr">
        <is>
          <t>BAAY PROJECTS FINANCIALS 2024.xlsx</t>
        </is>
      </c>
      <c r="N381" s="78" t="inlineStr">
        <is>
          <t>AUGUST TURNOVER</t>
        </is>
      </c>
      <c r="O381" s="78" t="n">
        <v>16</v>
      </c>
      <c r="P381" s="78" t="inlineStr">
        <is>
          <t>2024-12-08</t>
        </is>
      </c>
      <c r="Q381" s="78" t="inlineStr">
        <is>
          <t>MS BLESSING r87</t>
        </is>
      </c>
      <c r="R381" s="78" t="n"/>
    </row>
    <row r="382" ht="25" customHeight="1">
      <c r="A382" s="75" t="inlineStr">
        <is>
          <t>SL0359</t>
        </is>
      </c>
      <c r="B382" s="76" t="n">
        <v>45516</v>
      </c>
      <c r="C382" s="75" t="inlineStr">
        <is>
          <t>2024-08</t>
        </is>
      </c>
      <c r="D382" s="75" t="n">
        <v>2024</v>
      </c>
      <c r="E382" s="75" t="inlineStr">
        <is>
          <t>Land</t>
        </is>
      </c>
      <c r="F382" s="75" t="inlineStr">
        <is>
          <t>Plot / unit price</t>
        </is>
      </c>
      <c r="G382" s="75" t="inlineStr">
        <is>
          <t>Green City Phase 2 (Idobi, Ketu-Epe)</t>
        </is>
      </c>
      <c r="H382" s="75" t="inlineStr">
        <is>
          <t>BP-C0096</t>
        </is>
      </c>
      <c r="I382" s="75" t="inlineStr">
        <is>
          <t>Mrs Lawani Opemipo Olasode</t>
        </is>
      </c>
      <c r="J382" s="77" t="n">
        <v>550000</v>
      </c>
      <c r="K382" s="75" t="inlineStr">
        <is>
          <t>Allen Branch</t>
        </is>
      </c>
      <c r="L382" s="75" t="inlineStr">
        <is>
          <t>Primary: monthly turnover register</t>
        </is>
      </c>
      <c r="M382" s="75" t="inlineStr">
        <is>
          <t>BAAY PROJECTS FINANCIALS 2024.xlsx</t>
        </is>
      </c>
      <c r="N382" s="75" t="inlineStr">
        <is>
          <t>AUGUST TURNOVER</t>
        </is>
      </c>
      <c r="O382" s="75" t="n">
        <v>18</v>
      </c>
      <c r="P382" s="75" t="inlineStr">
        <is>
          <t>2024-12-08</t>
        </is>
      </c>
      <c r="Q382" s="75" t="inlineStr">
        <is>
          <t>MS FISAYO r20</t>
        </is>
      </c>
      <c r="R382" s="75" t="n"/>
    </row>
    <row r="383" ht="25" customHeight="1">
      <c r="A383" s="78" t="inlineStr">
        <is>
          <t>SL0360</t>
        </is>
      </c>
      <c r="B383" s="79" t="n">
        <v>45518</v>
      </c>
      <c r="C383" s="78" t="inlineStr">
        <is>
          <t>2024-08</t>
        </is>
      </c>
      <c r="D383" s="78" t="n">
        <v>2024</v>
      </c>
      <c r="E383" s="78" t="inlineStr">
        <is>
          <t>Land</t>
        </is>
      </c>
      <c r="F383" s="78" t="inlineStr">
        <is>
          <t>Plot / unit price</t>
        </is>
      </c>
      <c r="G383" s="78" t="inlineStr">
        <is>
          <t>Green City Phase 3 (Omu-Epe)</t>
        </is>
      </c>
      <c r="H383" s="78" t="inlineStr">
        <is>
          <t>BP-C0019</t>
        </is>
      </c>
      <c r="I383" s="78" t="inlineStr">
        <is>
          <t>Mr Ogbu Pius Ejaka</t>
        </is>
      </c>
      <c r="J383" s="80" t="n">
        <v>1500000</v>
      </c>
      <c r="K383" s="78" t="inlineStr">
        <is>
          <t>Magodo Branch</t>
        </is>
      </c>
      <c r="L383" s="78" t="inlineStr">
        <is>
          <t>Primary: monthly turnover register</t>
        </is>
      </c>
      <c r="M383" s="78" t="inlineStr">
        <is>
          <t>BAAY PROJECTS FINANCIALS 2024.xlsx</t>
        </is>
      </c>
      <c r="N383" s="78" t="inlineStr">
        <is>
          <t>AUGUST TURNOVER</t>
        </is>
      </c>
      <c r="O383" s="78" t="n">
        <v>17</v>
      </c>
      <c r="P383" s="78" t="inlineStr">
        <is>
          <t>14/08/2024</t>
        </is>
      </c>
      <c r="Q383" s="78" t="n"/>
      <c r="R383" s="78" t="n"/>
    </row>
    <row r="384" ht="25" customHeight="1">
      <c r="A384" s="75" t="inlineStr">
        <is>
          <t>SL0361</t>
        </is>
      </c>
      <c r="B384" s="76" t="n">
        <v>45519</v>
      </c>
      <c r="C384" s="75" t="inlineStr">
        <is>
          <t>2024-08</t>
        </is>
      </c>
      <c r="D384" s="75" t="n">
        <v>2024</v>
      </c>
      <c r="E384" s="75" t="inlineStr">
        <is>
          <t>Land</t>
        </is>
      </c>
      <c r="F384" s="75" t="inlineStr">
        <is>
          <t>Ancillary charge</t>
        </is>
      </c>
      <c r="G384" s="75" t="inlineStr">
        <is>
          <t>Land: corner piece premium</t>
        </is>
      </c>
      <c r="H384" s="75" t="inlineStr">
        <is>
          <t>BP-C0025</t>
        </is>
      </c>
      <c r="I384" s="75" t="inlineStr">
        <is>
          <t>Mrs Obadara Dorcas Adebisi</t>
        </is>
      </c>
      <c r="J384" s="77" t="n">
        <v>135000</v>
      </c>
      <c r="K384" s="75" t="inlineStr">
        <is>
          <t>Magodo Branch</t>
        </is>
      </c>
      <c r="L384" s="75" t="inlineStr">
        <is>
          <t>Primary: monthly turnover register</t>
        </is>
      </c>
      <c r="M384" s="75" t="inlineStr">
        <is>
          <t>BAAY PROJECTS FINANCIALS 2024.xlsx</t>
        </is>
      </c>
      <c r="N384" s="75" t="inlineStr">
        <is>
          <t>AUGUST TURNOVER</t>
        </is>
      </c>
      <c r="O384" s="75" t="n">
        <v>18</v>
      </c>
      <c r="P384" s="75" t="inlineStr">
        <is>
          <t>15/08/2024</t>
        </is>
      </c>
      <c r="Q384" s="75" t="n"/>
      <c r="R384" s="75" t="n"/>
    </row>
    <row r="385" ht="25" customHeight="1">
      <c r="A385" s="78" t="inlineStr">
        <is>
          <t>SL0362</t>
        </is>
      </c>
      <c r="B385" s="79" t="n">
        <v>45520</v>
      </c>
      <c r="C385" s="78" t="inlineStr">
        <is>
          <t>2024-08</t>
        </is>
      </c>
      <c r="D385" s="78" t="n">
        <v>2024</v>
      </c>
      <c r="E385" s="78" t="inlineStr">
        <is>
          <t>Land</t>
        </is>
      </c>
      <c r="F385" s="78" t="inlineStr">
        <is>
          <t>Plot / unit price</t>
        </is>
      </c>
      <c r="G385" s="78" t="inlineStr">
        <is>
          <t>Green City Phase 3 (Omu-Epe)</t>
        </is>
      </c>
      <c r="H385" s="78" t="inlineStr">
        <is>
          <t>BP-C0114</t>
        </is>
      </c>
      <c r="I385" s="78" t="inlineStr">
        <is>
          <t>Miss Ohaego Ijeoma Goodness</t>
        </is>
      </c>
      <c r="J385" s="80" t="n">
        <v>1000000</v>
      </c>
      <c r="K385" s="78" t="inlineStr">
        <is>
          <t>Allen Branch</t>
        </is>
      </c>
      <c r="L385" s="78" t="inlineStr">
        <is>
          <t>Primary: monthly turnover register</t>
        </is>
      </c>
      <c r="M385" s="78" t="inlineStr">
        <is>
          <t>BAAY PROJECTS FINANCIALS 2024.xlsx</t>
        </is>
      </c>
      <c r="N385" s="78" t="inlineStr">
        <is>
          <t>AUGUST TURNOVER</t>
        </is>
      </c>
      <c r="O385" s="78" t="n">
        <v>20</v>
      </c>
      <c r="P385" s="78" t="inlineStr">
        <is>
          <t>16/08/2024</t>
        </is>
      </c>
      <c r="Q385" s="78" t="inlineStr">
        <is>
          <t>MS BOLANLE r90, MS BLESSING OJI r34</t>
        </is>
      </c>
      <c r="R385" s="78" t="n"/>
    </row>
    <row r="386" ht="25" customHeight="1">
      <c r="A386" s="75" t="inlineStr">
        <is>
          <t>SL0363</t>
        </is>
      </c>
      <c r="B386" s="76" t="n">
        <v>45521</v>
      </c>
      <c r="C386" s="75" t="inlineStr">
        <is>
          <t>2024-08</t>
        </is>
      </c>
      <c r="D386" s="75" t="n">
        <v>2024</v>
      </c>
      <c r="E386" s="75" t="inlineStr">
        <is>
          <t>Land</t>
        </is>
      </c>
      <c r="F386" s="75" t="inlineStr">
        <is>
          <t>Plot / unit price</t>
        </is>
      </c>
      <c r="G386" s="75" t="inlineStr">
        <is>
          <t>Green City Phase 3 (Omu-Epe)</t>
        </is>
      </c>
      <c r="H386" s="75" t="inlineStr">
        <is>
          <t>BP-C0115</t>
        </is>
      </c>
      <c r="I386" s="75" t="inlineStr">
        <is>
          <t>Mrs King Lavonda</t>
        </is>
      </c>
      <c r="J386" s="77" t="n">
        <v>500000</v>
      </c>
      <c r="K386" s="75" t="inlineStr">
        <is>
          <t>Allen Branch</t>
        </is>
      </c>
      <c r="L386" s="75" t="inlineStr">
        <is>
          <t>Primary: monthly turnover register</t>
        </is>
      </c>
      <c r="M386" s="75" t="inlineStr">
        <is>
          <t>BAAY PROJECTS FINANCIALS 2024.xlsx</t>
        </is>
      </c>
      <c r="N386" s="75" t="inlineStr">
        <is>
          <t>AUGUST TURNOVER</t>
        </is>
      </c>
      <c r="O386" s="75" t="n">
        <v>21</v>
      </c>
      <c r="P386" s="75" t="inlineStr">
        <is>
          <t>17/08/2024</t>
        </is>
      </c>
      <c r="Q386" s="75" t="inlineStr">
        <is>
          <t>MRS ABIMBOLA r119</t>
        </is>
      </c>
      <c r="R386" s="75" t="n"/>
    </row>
    <row r="387" ht="25" customHeight="1">
      <c r="A387" s="78" t="inlineStr">
        <is>
          <t>SL0364</t>
        </is>
      </c>
      <c r="B387" s="79" t="n">
        <v>45522</v>
      </c>
      <c r="C387" s="78" t="inlineStr">
        <is>
          <t>2024-08</t>
        </is>
      </c>
      <c r="D387" s="78" t="n">
        <v>2024</v>
      </c>
      <c r="E387" s="78" t="inlineStr">
        <is>
          <t>Land</t>
        </is>
      </c>
      <c r="F387" s="78" t="inlineStr">
        <is>
          <t>Plot / unit price</t>
        </is>
      </c>
      <c r="G387" s="78" t="inlineStr">
        <is>
          <t>Green City Phase 3 (Omu-Epe)</t>
        </is>
      </c>
      <c r="H387" s="78" t="inlineStr">
        <is>
          <t>BP-C0116</t>
        </is>
      </c>
      <c r="I387" s="78" t="inlineStr">
        <is>
          <t>Miss Okorie Rachael Mmesomachi</t>
        </is>
      </c>
      <c r="J387" s="80" t="n">
        <v>256000</v>
      </c>
      <c r="K387" s="78" t="inlineStr">
        <is>
          <t>Allen Branch</t>
        </is>
      </c>
      <c r="L387" s="78" t="inlineStr">
        <is>
          <t>Primary: monthly turnover register</t>
        </is>
      </c>
      <c r="M387" s="78" t="inlineStr">
        <is>
          <t>BAAY PROJECTS FINANCIALS 2024.xlsx</t>
        </is>
      </c>
      <c r="N387" s="78" t="inlineStr">
        <is>
          <t>AUGUST TURNOVER</t>
        </is>
      </c>
      <c r="O387" s="78" t="n">
        <v>22</v>
      </c>
      <c r="P387" s="78" t="inlineStr">
        <is>
          <t>18/08/2024</t>
        </is>
      </c>
      <c r="Q387" s="78" t="n"/>
      <c r="R387" s="78" t="n"/>
    </row>
    <row r="388" ht="25" customHeight="1">
      <c r="A388" s="75" t="inlineStr">
        <is>
          <t>SL0365</t>
        </is>
      </c>
      <c r="B388" s="76" t="n">
        <v>45523</v>
      </c>
      <c r="C388" s="75" t="inlineStr">
        <is>
          <t>2024-08</t>
        </is>
      </c>
      <c r="D388" s="75" t="n">
        <v>2024</v>
      </c>
      <c r="E388" s="75" t="inlineStr">
        <is>
          <t>Land</t>
        </is>
      </c>
      <c r="F388" s="75" t="inlineStr">
        <is>
          <t>Plot / unit price</t>
        </is>
      </c>
      <c r="G388" s="75" t="inlineStr">
        <is>
          <t>Green City Phase 3 (Omu-Epe)</t>
        </is>
      </c>
      <c r="H388" s="75" t="inlineStr">
        <is>
          <t>BP-C0113</t>
        </is>
      </c>
      <c r="I388" s="75" t="inlineStr">
        <is>
          <t>Mr Udoezi Paul</t>
        </is>
      </c>
      <c r="J388" s="77" t="n">
        <v>400000</v>
      </c>
      <c r="K388" s="75" t="inlineStr">
        <is>
          <t>Magodo Branch</t>
        </is>
      </c>
      <c r="L388" s="75" t="inlineStr">
        <is>
          <t>Primary: monthly turnover register</t>
        </is>
      </c>
      <c r="M388" s="75" t="inlineStr">
        <is>
          <t>BAAY PROJECTS FINANCIALS 2024.xlsx</t>
        </is>
      </c>
      <c r="N388" s="75" t="inlineStr">
        <is>
          <t>AUGUST TURNOVER</t>
        </is>
      </c>
      <c r="O388" s="75" t="n">
        <v>19</v>
      </c>
      <c r="P388" s="75" t="inlineStr">
        <is>
          <t>19/08/2024</t>
        </is>
      </c>
      <c r="Q388" s="75" t="inlineStr">
        <is>
          <t>MS BLESSING r88</t>
        </is>
      </c>
      <c r="R388" s="75" t="n"/>
    </row>
    <row r="389" ht="25" customHeight="1">
      <c r="A389" s="78" t="inlineStr">
        <is>
          <t>SL0366</t>
        </is>
      </c>
      <c r="B389" s="79" t="n">
        <v>45524</v>
      </c>
      <c r="C389" s="78" t="inlineStr">
        <is>
          <t>2024-08</t>
        </is>
      </c>
      <c r="D389" s="78" t="n">
        <v>2024</v>
      </c>
      <c r="E389" s="78" t="inlineStr">
        <is>
          <t>Land</t>
        </is>
      </c>
      <c r="F389" s="78" t="inlineStr">
        <is>
          <t>Plot / unit price</t>
        </is>
      </c>
      <c r="G389" s="78" t="inlineStr">
        <is>
          <t>Green City Phase 3 (Omu-Epe)</t>
        </is>
      </c>
      <c r="H389" s="78" t="inlineStr">
        <is>
          <t>BP-C0116</t>
        </is>
      </c>
      <c r="I389" s="78" t="inlineStr">
        <is>
          <t>Miss Okorie Rachael Mmesomachi</t>
        </is>
      </c>
      <c r="J389" s="80" t="n">
        <v>244000</v>
      </c>
      <c r="K389" s="78" t="inlineStr">
        <is>
          <t>Allen Branch</t>
        </is>
      </c>
      <c r="L389" s="78" t="inlineStr">
        <is>
          <t>Primary: monthly turnover register</t>
        </is>
      </c>
      <c r="M389" s="78" t="inlineStr">
        <is>
          <t>BAAY PROJECTS FINANCIALS 2024.xlsx</t>
        </is>
      </c>
      <c r="N389" s="78" t="inlineStr">
        <is>
          <t>AUGUST TURNOVER</t>
        </is>
      </c>
      <c r="O389" s="78" t="n">
        <v>23</v>
      </c>
      <c r="P389" s="78" t="inlineStr">
        <is>
          <t>20/08/2024</t>
        </is>
      </c>
      <c r="Q389" s="78" t="n"/>
      <c r="R389" s="78" t="n"/>
    </row>
    <row r="390" ht="25" customHeight="1">
      <c r="A390" s="75" t="inlineStr">
        <is>
          <t>SL0367</t>
        </is>
      </c>
      <c r="B390" s="76" t="n">
        <v>45525</v>
      </c>
      <c r="C390" s="75" t="inlineStr">
        <is>
          <t>2024-08</t>
        </is>
      </c>
      <c r="D390" s="75" t="n">
        <v>2024</v>
      </c>
      <c r="E390" s="75" t="inlineStr">
        <is>
          <t>Land</t>
        </is>
      </c>
      <c r="F390" s="75" t="inlineStr">
        <is>
          <t>Plot / unit price</t>
        </is>
      </c>
      <c r="G390" s="75" t="inlineStr">
        <is>
          <t>Green City Phase 3 (Omu-Epe)</t>
        </is>
      </c>
      <c r="H390" s="75" t="inlineStr">
        <is>
          <t>BP-C0019</t>
        </is>
      </c>
      <c r="I390" s="75" t="inlineStr">
        <is>
          <t>Mr Ogbu Pius Ejaka</t>
        </is>
      </c>
      <c r="J390" s="77" t="n">
        <v>1500000</v>
      </c>
      <c r="K390" s="75" t="inlineStr">
        <is>
          <t>Magodo Branch</t>
        </is>
      </c>
      <c r="L390" s="75" t="inlineStr">
        <is>
          <t>Primary: monthly turnover register</t>
        </is>
      </c>
      <c r="M390" s="75" t="inlineStr">
        <is>
          <t>BAAY PROJECTS FINANCIALS 2024.xlsx</t>
        </is>
      </c>
      <c r="N390" s="75" t="inlineStr">
        <is>
          <t>AUGUST TURNOVER</t>
        </is>
      </c>
      <c r="O390" s="75" t="n">
        <v>20</v>
      </c>
      <c r="P390" s="75" t="inlineStr">
        <is>
          <t>21/08/2024</t>
        </is>
      </c>
      <c r="Q390" s="75" t="inlineStr">
        <is>
          <t>MS BLESSING r91, MS MAYOWA BRAIMOH r20</t>
        </is>
      </c>
      <c r="R390" s="75" t="n"/>
    </row>
    <row r="391" ht="25" customHeight="1">
      <c r="A391" s="78" t="inlineStr">
        <is>
          <t>SL0368</t>
        </is>
      </c>
      <c r="B391" s="79" t="n">
        <v>45526</v>
      </c>
      <c r="C391" s="78" t="inlineStr">
        <is>
          <t>2024-08</t>
        </is>
      </c>
      <c r="D391" s="78" t="n">
        <v>2024</v>
      </c>
      <c r="E391" s="78" t="inlineStr">
        <is>
          <t>Land</t>
        </is>
      </c>
      <c r="F391" s="78" t="inlineStr">
        <is>
          <t>Plot / unit price</t>
        </is>
      </c>
      <c r="G391" s="78" t="inlineStr">
        <is>
          <t>Green City Phase 2 (Idobi, Ketu-Epe)</t>
        </is>
      </c>
      <c r="H391" s="78" t="inlineStr">
        <is>
          <t>BP-C0103</t>
        </is>
      </c>
      <c r="I391" s="78" t="inlineStr">
        <is>
          <t>Miss Danjuma Ojotule Faith</t>
        </is>
      </c>
      <c r="J391" s="80" t="n">
        <v>2000000</v>
      </c>
      <c r="K391" s="78" t="inlineStr">
        <is>
          <t>Allen Branch</t>
        </is>
      </c>
      <c r="L391" s="78" t="inlineStr">
        <is>
          <t>Primary: monthly turnover register</t>
        </is>
      </c>
      <c r="M391" s="78" t="inlineStr">
        <is>
          <t>BAAY PROJECTS FINANCIALS 2024.xlsx</t>
        </is>
      </c>
      <c r="N391" s="78" t="inlineStr">
        <is>
          <t>AUGUST TURNOVER</t>
        </is>
      </c>
      <c r="O391" s="78" t="n">
        <v>24</v>
      </c>
      <c r="P391" s="78" t="inlineStr">
        <is>
          <t>22/08/2024</t>
        </is>
      </c>
      <c r="Q391" s="78" t="n"/>
      <c r="R391" s="78" t="n"/>
    </row>
    <row r="392" ht="25" customHeight="1">
      <c r="A392" s="75" t="inlineStr">
        <is>
          <t>SL0369</t>
        </is>
      </c>
      <c r="B392" s="76" t="n">
        <v>45527</v>
      </c>
      <c r="C392" s="75" t="inlineStr">
        <is>
          <t>2024-08</t>
        </is>
      </c>
      <c r="D392" s="75" t="n">
        <v>2024</v>
      </c>
      <c r="E392" s="75" t="inlineStr">
        <is>
          <t>Land</t>
        </is>
      </c>
      <c r="F392" s="75" t="inlineStr">
        <is>
          <t>Plot / unit price</t>
        </is>
      </c>
      <c r="G392" s="75" t="inlineStr">
        <is>
          <t>Green City Phase 1 (Lantaba, Ketu-Epe)</t>
        </is>
      </c>
      <c r="H392" s="75" t="inlineStr">
        <is>
          <t>BP-C0046</t>
        </is>
      </c>
      <c r="I392" s="75" t="inlineStr">
        <is>
          <t>Mr Adesida Raphael</t>
        </is>
      </c>
      <c r="J392" s="77" t="n">
        <v>80000</v>
      </c>
      <c r="K392" s="75" t="inlineStr">
        <is>
          <t>Allen Branch</t>
        </is>
      </c>
      <c r="L392" s="75" t="inlineStr">
        <is>
          <t>Primary: monthly turnover register</t>
        </is>
      </c>
      <c r="M392" s="75" t="inlineStr">
        <is>
          <t>BAAY PROJECTS FINANCIALS 2024.xlsx</t>
        </is>
      </c>
      <c r="N392" s="75" t="inlineStr">
        <is>
          <t>AUGUST TURNOVER</t>
        </is>
      </c>
      <c r="O392" s="75" t="n">
        <v>25</v>
      </c>
      <c r="P392" s="75" t="inlineStr">
        <is>
          <t>23/08/2024</t>
        </is>
      </c>
      <c r="Q392" s="75" t="n"/>
      <c r="R392" s="75" t="n"/>
    </row>
    <row r="393" ht="25" customHeight="1">
      <c r="A393" s="78" t="inlineStr">
        <is>
          <t>SL0370</t>
        </is>
      </c>
      <c r="B393" s="79" t="n">
        <v>45527</v>
      </c>
      <c r="C393" s="78" t="inlineStr">
        <is>
          <t>2024-08</t>
        </is>
      </c>
      <c r="D393" s="78" t="n">
        <v>2024</v>
      </c>
      <c r="E393" s="78" t="inlineStr">
        <is>
          <t>Land</t>
        </is>
      </c>
      <c r="F393" s="78" t="inlineStr">
        <is>
          <t>Plot / unit price</t>
        </is>
      </c>
      <c r="G393" s="78" t="inlineStr">
        <is>
          <t>Green City Phase 3 (Omu-Epe)</t>
        </is>
      </c>
      <c r="H393" s="78" t="inlineStr">
        <is>
          <t>BP-C0117</t>
        </is>
      </c>
      <c r="I393" s="78" t="inlineStr">
        <is>
          <t>Mr Ikechukwu Jeremiah Kingsley</t>
        </is>
      </c>
      <c r="J393" s="80" t="n">
        <v>2000000</v>
      </c>
      <c r="K393" s="78" t="inlineStr">
        <is>
          <t>Magodo Branch</t>
        </is>
      </c>
      <c r="L393" s="78" t="inlineStr">
        <is>
          <t>Primary: monthly turnover register</t>
        </is>
      </c>
      <c r="M393" s="78" t="inlineStr">
        <is>
          <t>BAAY PROJECTS FINANCIALS 2024.xlsx</t>
        </is>
      </c>
      <c r="N393" s="78" t="inlineStr">
        <is>
          <t>AUGUST TURNOVER</t>
        </is>
      </c>
      <c r="O393" s="78" t="n">
        <v>21</v>
      </c>
      <c r="P393" s="78" t="inlineStr">
        <is>
          <t>23/08/2024</t>
        </is>
      </c>
      <c r="Q393" s="78" t="n"/>
      <c r="R393" s="78" t="n"/>
    </row>
    <row r="394" ht="25" customHeight="1">
      <c r="A394" s="75" t="inlineStr">
        <is>
          <t>SL0371</t>
        </is>
      </c>
      <c r="B394" s="76" t="n">
        <v>45528</v>
      </c>
      <c r="C394" s="75" t="inlineStr">
        <is>
          <t>2024-08</t>
        </is>
      </c>
      <c r="D394" s="75" t="n">
        <v>2024</v>
      </c>
      <c r="E394" s="75" t="inlineStr">
        <is>
          <t>Housing</t>
        </is>
      </c>
      <c r="F394" s="75" t="inlineStr">
        <is>
          <t>Plot / unit price</t>
        </is>
      </c>
      <c r="G394" s="75" t="inlineStr">
        <is>
          <t>Housing unit (project not stated in source)</t>
        </is>
      </c>
      <c r="H394" s="75" t="inlineStr">
        <is>
          <t>BP-C0112</t>
        </is>
      </c>
      <c r="I394" s="75" t="inlineStr">
        <is>
          <t>Mr Lawson Albert Olumide</t>
        </is>
      </c>
      <c r="J394" s="77" t="n">
        <v>5000000</v>
      </c>
      <c r="K394" s="75" t="inlineStr">
        <is>
          <t>Magodo Branch</t>
        </is>
      </c>
      <c r="L394" s="75" t="inlineStr">
        <is>
          <t>Primary: monthly turnover register</t>
        </is>
      </c>
      <c r="M394" s="75" t="inlineStr">
        <is>
          <t>BAAY PROJECTS FINANCIALS 2024.xlsx</t>
        </is>
      </c>
      <c r="N394" s="75" t="inlineStr">
        <is>
          <t>AUGUST TURNOVER</t>
        </is>
      </c>
      <c r="O394" s="75" t="n">
        <v>22</v>
      </c>
      <c r="P394" s="75" t="inlineStr">
        <is>
          <t>24/08/2024</t>
        </is>
      </c>
      <c r="Q394" s="75" t="n"/>
      <c r="R394" s="75" t="n"/>
    </row>
    <row r="395" ht="25" customHeight="1">
      <c r="A395" s="78" t="inlineStr">
        <is>
          <t>SL0372</t>
        </is>
      </c>
      <c r="B395" s="79" t="n">
        <v>45529</v>
      </c>
      <c r="C395" s="78" t="inlineStr">
        <is>
          <t>2024-08</t>
        </is>
      </c>
      <c r="D395" s="78" t="n">
        <v>2024</v>
      </c>
      <c r="E395" s="78" t="inlineStr">
        <is>
          <t>Land</t>
        </is>
      </c>
      <c r="F395" s="78" t="inlineStr">
        <is>
          <t>Plot / unit price</t>
        </is>
      </c>
      <c r="G395" s="78" t="inlineStr">
        <is>
          <t>Green City Phase 2 (Idobi, Ketu-Epe)</t>
        </is>
      </c>
      <c r="H395" s="78" t="inlineStr">
        <is>
          <t>BP-C0100</t>
        </is>
      </c>
      <c r="I395" s="78" t="inlineStr">
        <is>
          <t>Mr Braimoh Ayomide Favour</t>
        </is>
      </c>
      <c r="J395" s="80" t="n">
        <v>1235000</v>
      </c>
      <c r="K395" s="78" t="inlineStr">
        <is>
          <t>Magodo Branch</t>
        </is>
      </c>
      <c r="L395" s="78" t="inlineStr">
        <is>
          <t>Primary: monthly turnover register</t>
        </is>
      </c>
      <c r="M395" s="78" t="inlineStr">
        <is>
          <t>BAAY PROJECTS FINANCIALS 2024.xlsx</t>
        </is>
      </c>
      <c r="N395" s="78" t="inlineStr">
        <is>
          <t>AUGUST TURNOVER</t>
        </is>
      </c>
      <c r="O395" s="78" t="n">
        <v>23</v>
      </c>
      <c r="P395" s="78" t="inlineStr">
        <is>
          <t>25/08/2024</t>
        </is>
      </c>
      <c r="Q395" s="78" t="inlineStr">
        <is>
          <t>MS MAYOWA BRAIMOH r21</t>
        </is>
      </c>
      <c r="R395" s="78" t="n"/>
    </row>
    <row r="396" ht="25" customHeight="1">
      <c r="A396" s="75" t="inlineStr">
        <is>
          <t>SL0373</t>
        </is>
      </c>
      <c r="B396" s="76" t="n">
        <v>45531</v>
      </c>
      <c r="C396" s="75" t="inlineStr">
        <is>
          <t>2024-08</t>
        </is>
      </c>
      <c r="D396" s="75" t="n">
        <v>2024</v>
      </c>
      <c r="E396" s="75" t="inlineStr">
        <is>
          <t>Land</t>
        </is>
      </c>
      <c r="F396" s="75" t="inlineStr">
        <is>
          <t>Plot / unit price</t>
        </is>
      </c>
      <c r="G396" s="75" t="inlineStr">
        <is>
          <t>Green City Phase 1 (Lantaba, Ketu-Epe)</t>
        </is>
      </c>
      <c r="H396" s="75" t="inlineStr">
        <is>
          <t>BP-C0046</t>
        </is>
      </c>
      <c r="I396" s="75" t="inlineStr">
        <is>
          <t>Mr Adesida Raphael</t>
        </is>
      </c>
      <c r="J396" s="77" t="n">
        <v>100000</v>
      </c>
      <c r="K396" s="75" t="inlineStr">
        <is>
          <t>Allen Branch</t>
        </is>
      </c>
      <c r="L396" s="75" t="inlineStr">
        <is>
          <t>Primary: monthly turnover register</t>
        </is>
      </c>
      <c r="M396" s="75" t="inlineStr">
        <is>
          <t>BAAY PROJECTS FINANCIALS 2024.xlsx</t>
        </is>
      </c>
      <c r="N396" s="75" t="inlineStr">
        <is>
          <t>AUGUST TURNOVER</t>
        </is>
      </c>
      <c r="O396" s="75" t="n">
        <v>26</v>
      </c>
      <c r="P396" s="75" t="inlineStr">
        <is>
          <t>27/08/2024</t>
        </is>
      </c>
      <c r="Q396" s="75" t="n"/>
      <c r="R396" s="75" t="n"/>
    </row>
    <row r="397" ht="25" customHeight="1">
      <c r="A397" s="78" t="inlineStr">
        <is>
          <t>SL0374</t>
        </is>
      </c>
      <c r="B397" s="79" t="n">
        <v>45532</v>
      </c>
      <c r="C397" s="78" t="inlineStr">
        <is>
          <t>2024-08</t>
        </is>
      </c>
      <c r="D397" s="78" t="n">
        <v>2024</v>
      </c>
      <c r="E397" s="78" t="inlineStr">
        <is>
          <t>Land</t>
        </is>
      </c>
      <c r="F397" s="78" t="inlineStr">
        <is>
          <t>Plot / unit price</t>
        </is>
      </c>
      <c r="G397" s="78" t="inlineStr">
        <is>
          <t>Green City Phase 2 (Idobi, Ketu-Epe)</t>
        </is>
      </c>
      <c r="H397" s="78" t="inlineStr">
        <is>
          <t>BP-C0068</t>
        </is>
      </c>
      <c r="I397" s="78" t="inlineStr">
        <is>
          <t>Miss Ebhotah Sharon Aisosa</t>
        </is>
      </c>
      <c r="J397" s="80" t="n">
        <v>300000</v>
      </c>
      <c r="K397" s="78" t="inlineStr">
        <is>
          <t>Magodo Branch</t>
        </is>
      </c>
      <c r="L397" s="78" t="inlineStr">
        <is>
          <t>Primary: monthly turnover register</t>
        </is>
      </c>
      <c r="M397" s="78" t="inlineStr">
        <is>
          <t>BAAY PROJECTS FINANCIALS 2024.xlsx</t>
        </is>
      </c>
      <c r="N397" s="78" t="inlineStr">
        <is>
          <t>AUGUST TURNOVER</t>
        </is>
      </c>
      <c r="O397" s="78" t="n">
        <v>24</v>
      </c>
      <c r="P397" s="78" t="inlineStr">
        <is>
          <t>28/08/2024</t>
        </is>
      </c>
      <c r="Q397" s="78" t="inlineStr">
        <is>
          <t>MS BLESSING r105</t>
        </is>
      </c>
      <c r="R397" s="78" t="n"/>
    </row>
    <row r="398" ht="25" customHeight="1">
      <c r="A398" s="75" t="inlineStr">
        <is>
          <t>SL0375</t>
        </is>
      </c>
      <c r="B398" s="76" t="n">
        <v>45532</v>
      </c>
      <c r="C398" s="75" t="inlineStr">
        <is>
          <t>2024-08</t>
        </is>
      </c>
      <c r="D398" s="75" t="n">
        <v>2024</v>
      </c>
      <c r="E398" s="75" t="inlineStr">
        <is>
          <t>Land</t>
        </is>
      </c>
      <c r="F398" s="75" t="inlineStr">
        <is>
          <t>Plot / unit price</t>
        </is>
      </c>
      <c r="G398" s="75" t="inlineStr">
        <is>
          <t>Green City Phase 3 (Omu-Epe)</t>
        </is>
      </c>
      <c r="H398" s="75" t="inlineStr">
        <is>
          <t>BP-C0116</t>
        </is>
      </c>
      <c r="I398" s="75" t="inlineStr">
        <is>
          <t>Miss Okorie Rachael Mmesomachi</t>
        </is>
      </c>
      <c r="J398" s="77" t="n">
        <v>2000000</v>
      </c>
      <c r="K398" s="75" t="inlineStr">
        <is>
          <t>Allen Branch</t>
        </is>
      </c>
      <c r="L398" s="75" t="inlineStr">
        <is>
          <t>Primary: monthly turnover register</t>
        </is>
      </c>
      <c r="M398" s="75" t="inlineStr">
        <is>
          <t>BAAY PROJECTS FINANCIALS 2024.xlsx</t>
        </is>
      </c>
      <c r="N398" s="75" t="inlineStr">
        <is>
          <t>AUGUST TURNOVER</t>
        </is>
      </c>
      <c r="O398" s="75" t="n">
        <v>27</v>
      </c>
      <c r="P398" s="75" t="inlineStr">
        <is>
          <t>28/08/2024</t>
        </is>
      </c>
      <c r="Q398" s="75" t="n"/>
      <c r="R398" s="75" t="n"/>
    </row>
    <row r="399" ht="25" customHeight="1">
      <c r="A399" s="78" t="inlineStr">
        <is>
          <t>SL0376</t>
        </is>
      </c>
      <c r="B399" s="79" t="n">
        <v>45532</v>
      </c>
      <c r="C399" s="78" t="inlineStr">
        <is>
          <t>2024-08</t>
        </is>
      </c>
      <c r="D399" s="78" t="n">
        <v>2024</v>
      </c>
      <c r="E399" s="78" t="inlineStr">
        <is>
          <t>Land</t>
        </is>
      </c>
      <c r="F399" s="78" t="inlineStr">
        <is>
          <t>Plot / unit price</t>
        </is>
      </c>
      <c r="G399" s="78" t="inlineStr">
        <is>
          <t>Green City Phase 3 (Omu-Epe)</t>
        </is>
      </c>
      <c r="H399" s="78" t="inlineStr">
        <is>
          <t>BP-C0119</t>
        </is>
      </c>
      <c r="I399" s="78" t="inlineStr">
        <is>
          <t>Mr Adedapo Adekunle Solomon</t>
        </is>
      </c>
      <c r="J399" s="80" t="n">
        <v>500000</v>
      </c>
      <c r="K399" s="78" t="inlineStr">
        <is>
          <t>Magodo Branch</t>
        </is>
      </c>
      <c r="L399" s="78" t="inlineStr">
        <is>
          <t>Primary: monthly turnover register</t>
        </is>
      </c>
      <c r="M399" s="78" t="inlineStr">
        <is>
          <t>BAAY PROJECTS FINANCIALS 2024.xlsx</t>
        </is>
      </c>
      <c r="N399" s="78" t="inlineStr">
        <is>
          <t>AUGUST TURNOVER</t>
        </is>
      </c>
      <c r="O399" s="78" t="n">
        <v>25</v>
      </c>
      <c r="P399" s="78" t="inlineStr">
        <is>
          <t>28/08/2024</t>
        </is>
      </c>
      <c r="Q399" s="78" t="inlineStr">
        <is>
          <t>MS TAIWO r32, MS TOBI AJAYI r11</t>
        </is>
      </c>
      <c r="R399" s="78" t="n"/>
    </row>
    <row r="400" ht="25" customHeight="1">
      <c r="A400" s="75" t="inlineStr">
        <is>
          <t>SL0377</t>
        </is>
      </c>
      <c r="B400" s="76" t="n">
        <v>45533</v>
      </c>
      <c r="C400" s="75" t="inlineStr">
        <is>
          <t>2024-08</t>
        </is>
      </c>
      <c r="D400" s="75" t="n">
        <v>2024</v>
      </c>
      <c r="E400" s="75" t="inlineStr">
        <is>
          <t>Land</t>
        </is>
      </c>
      <c r="F400" s="75" t="inlineStr">
        <is>
          <t>Plot / unit price</t>
        </is>
      </c>
      <c r="G400" s="75" t="inlineStr">
        <is>
          <t>Green City Phase 3 (Omu-Epe)</t>
        </is>
      </c>
      <c r="H400" s="75" t="inlineStr">
        <is>
          <t>BP-C0110</t>
        </is>
      </c>
      <c r="I400" s="75" t="inlineStr">
        <is>
          <t>Mr Adeyemi Kayode</t>
        </is>
      </c>
      <c r="J400" s="77" t="n">
        <v>1000000</v>
      </c>
      <c r="K400" s="75" t="inlineStr">
        <is>
          <t>Allen Branch</t>
        </is>
      </c>
      <c r="L400" s="75" t="inlineStr">
        <is>
          <t>Primary: monthly turnover register</t>
        </is>
      </c>
      <c r="M400" s="75" t="inlineStr">
        <is>
          <t>BAAY PROJECTS FINANCIALS 2024.xlsx</t>
        </is>
      </c>
      <c r="N400" s="75" t="inlineStr">
        <is>
          <t>AUGUST TURNOVER</t>
        </is>
      </c>
      <c r="O400" s="75" t="n">
        <v>28</v>
      </c>
      <c r="P400" s="75" t="inlineStr">
        <is>
          <t>29/08/2024</t>
        </is>
      </c>
      <c r="Q400" s="75" t="inlineStr">
        <is>
          <t>MS BOLANLE r91</t>
        </is>
      </c>
      <c r="R400" s="75" t="n"/>
    </row>
    <row r="401" ht="25" customHeight="1">
      <c r="A401" s="78" t="inlineStr">
        <is>
          <t>SL0378</t>
        </is>
      </c>
      <c r="B401" s="79" t="n">
        <v>45534</v>
      </c>
      <c r="C401" s="78" t="inlineStr">
        <is>
          <t>2024-08</t>
        </is>
      </c>
      <c r="D401" s="78" t="n">
        <v>2024</v>
      </c>
      <c r="E401" s="78" t="inlineStr">
        <is>
          <t>Land</t>
        </is>
      </c>
      <c r="F401" s="78" t="inlineStr">
        <is>
          <t>Plot / unit price</t>
        </is>
      </c>
      <c r="G401" s="78" t="inlineStr">
        <is>
          <t>Green City Phase 3 (Omu-Epe)</t>
        </is>
      </c>
      <c r="H401" s="78" t="inlineStr">
        <is>
          <t>BP-C0119</t>
        </is>
      </c>
      <c r="I401" s="78" t="inlineStr">
        <is>
          <t>Mr Adedapo Adekunle Solomon</t>
        </is>
      </c>
      <c r="J401" s="80" t="n">
        <v>1000000</v>
      </c>
      <c r="K401" s="78" t="inlineStr">
        <is>
          <t>Magodo Branch</t>
        </is>
      </c>
      <c r="L401" s="78" t="inlineStr">
        <is>
          <t>Primary: monthly turnover register</t>
        </is>
      </c>
      <c r="M401" s="78" t="inlineStr">
        <is>
          <t>BAAY PROJECTS FINANCIALS 2024.xlsx</t>
        </is>
      </c>
      <c r="N401" s="78" t="inlineStr">
        <is>
          <t>AUGUST TURNOVER</t>
        </is>
      </c>
      <c r="O401" s="78" t="n">
        <v>27</v>
      </c>
      <c r="P401" s="78" t="inlineStr">
        <is>
          <t>30/08/2024</t>
        </is>
      </c>
      <c r="Q401" s="78" t="inlineStr">
        <is>
          <t>MS TAIWO r34, MS TOBI AJAYI r13</t>
        </is>
      </c>
      <c r="R401" s="78" t="n"/>
    </row>
    <row r="402" ht="25" customHeight="1">
      <c r="A402" s="75" t="inlineStr">
        <is>
          <t>SL0379</t>
        </is>
      </c>
      <c r="B402" s="76" t="n">
        <v>45534</v>
      </c>
      <c r="C402" s="75" t="inlineStr">
        <is>
          <t>2024-08</t>
        </is>
      </c>
      <c r="D402" s="75" t="n">
        <v>2024</v>
      </c>
      <c r="E402" s="75" t="inlineStr">
        <is>
          <t>Land</t>
        </is>
      </c>
      <c r="F402" s="75" t="inlineStr">
        <is>
          <t>Plot / unit price</t>
        </is>
      </c>
      <c r="G402" s="75" t="inlineStr">
        <is>
          <t>Green City Phase 1 (Lantaba, Ketu-Epe)</t>
        </is>
      </c>
      <c r="H402" s="75" t="inlineStr">
        <is>
          <t>BP-C0046</t>
        </is>
      </c>
      <c r="I402" s="75" t="inlineStr">
        <is>
          <t>Mr Adesida Raphael</t>
        </is>
      </c>
      <c r="J402" s="77" t="n">
        <v>61000</v>
      </c>
      <c r="K402" s="75" t="inlineStr">
        <is>
          <t>Allen Branch</t>
        </is>
      </c>
      <c r="L402" s="75" t="inlineStr">
        <is>
          <t>Primary: monthly turnover register</t>
        </is>
      </c>
      <c r="M402" s="75" t="inlineStr">
        <is>
          <t>BAAY PROJECTS FINANCIALS 2024.xlsx</t>
        </is>
      </c>
      <c r="N402" s="75" t="inlineStr">
        <is>
          <t>AUGUST TURNOVER</t>
        </is>
      </c>
      <c r="O402" s="75" t="n">
        <v>29</v>
      </c>
      <c r="P402" s="75" t="inlineStr">
        <is>
          <t>30/08/2024</t>
        </is>
      </c>
      <c r="Q402" s="75" t="n"/>
      <c r="R402" s="75" t="n"/>
    </row>
    <row r="403" ht="25" customHeight="1">
      <c r="A403" s="78" t="inlineStr">
        <is>
          <t>SL0380</t>
        </is>
      </c>
      <c r="B403" s="79" t="n">
        <v>45534</v>
      </c>
      <c r="C403" s="78" t="inlineStr">
        <is>
          <t>2024-08</t>
        </is>
      </c>
      <c r="D403" s="78" t="n">
        <v>2024</v>
      </c>
      <c r="E403" s="78" t="inlineStr">
        <is>
          <t>Land</t>
        </is>
      </c>
      <c r="F403" s="78" t="inlineStr">
        <is>
          <t>Plot / unit price</t>
        </is>
      </c>
      <c r="G403" s="78" t="inlineStr">
        <is>
          <t>Green City Phase 2 (Idobi, Ketu-Epe)</t>
        </is>
      </c>
      <c r="H403" s="78" t="inlineStr">
        <is>
          <t>BP-C0029</t>
        </is>
      </c>
      <c r="I403" s="78" t="inlineStr">
        <is>
          <t>Mr Ohanehi Anthony Chukwunonso</t>
        </is>
      </c>
      <c r="J403" s="80" t="n">
        <v>1000000</v>
      </c>
      <c r="K403" s="78" t="inlineStr">
        <is>
          <t>Allen Branch</t>
        </is>
      </c>
      <c r="L403" s="78" t="inlineStr">
        <is>
          <t>Primary: monthly turnover register</t>
        </is>
      </c>
      <c r="M403" s="78" t="inlineStr">
        <is>
          <t>BAAY PROJECTS FINANCIALS 2024.xlsx</t>
        </is>
      </c>
      <c r="N403" s="78" t="inlineStr">
        <is>
          <t>AUGUST TURNOVER</t>
        </is>
      </c>
      <c r="O403" s="78" t="n">
        <v>30</v>
      </c>
      <c r="P403" s="78" t="inlineStr">
        <is>
          <t>30/08/2024</t>
        </is>
      </c>
      <c r="Q403" s="78" t="inlineStr">
        <is>
          <t>IDAH MARYDAVID r16</t>
        </is>
      </c>
      <c r="R403" s="78" t="n"/>
    </row>
    <row r="404" ht="25" customHeight="1">
      <c r="A404" s="75" t="inlineStr">
        <is>
          <t>SL0381</t>
        </is>
      </c>
      <c r="B404" s="76" t="n">
        <v>45535</v>
      </c>
      <c r="C404" s="75" t="inlineStr">
        <is>
          <t>2024-08</t>
        </is>
      </c>
      <c r="D404" s="75" t="n">
        <v>2024</v>
      </c>
      <c r="E404" s="75" t="inlineStr">
        <is>
          <t>Land</t>
        </is>
      </c>
      <c r="F404" s="75" t="inlineStr">
        <is>
          <t>Plot / unit price</t>
        </is>
      </c>
      <c r="G404" s="75" t="inlineStr">
        <is>
          <t>Green City Phase 3 (Omu-Epe)</t>
        </is>
      </c>
      <c r="H404" s="75" t="inlineStr">
        <is>
          <t>BP-C0119</t>
        </is>
      </c>
      <c r="I404" s="75" t="inlineStr">
        <is>
          <t>Mr Adedapo Adekunle Solomon</t>
        </is>
      </c>
      <c r="J404" s="77" t="n">
        <v>1000000</v>
      </c>
      <c r="K404" s="75" t="inlineStr">
        <is>
          <t>Magodo Branch</t>
        </is>
      </c>
      <c r="L404" s="75" t="inlineStr">
        <is>
          <t>Primary: monthly turnover register</t>
        </is>
      </c>
      <c r="M404" s="75" t="inlineStr">
        <is>
          <t>BAAY PROJECTS FINANCIALS 2024.xlsx</t>
        </is>
      </c>
      <c r="N404" s="75" t="inlineStr">
        <is>
          <t>AUGUST TURNOVER</t>
        </is>
      </c>
      <c r="O404" s="75" t="n">
        <v>28</v>
      </c>
      <c r="P404" s="75" t="inlineStr">
        <is>
          <t>31/08/2024</t>
        </is>
      </c>
      <c r="Q404" s="75" t="inlineStr">
        <is>
          <t>MS TAIWO r35, MS TOBI AJAYI r14</t>
        </is>
      </c>
      <c r="R404" s="75" t="n"/>
    </row>
    <row r="405" ht="25" customHeight="1">
      <c r="A405" s="78" t="inlineStr">
        <is>
          <t>SL0382</t>
        </is>
      </c>
      <c r="B405" s="79" t="n">
        <v>45535</v>
      </c>
      <c r="C405" s="78" t="inlineStr">
        <is>
          <t>2024-08</t>
        </is>
      </c>
      <c r="D405" s="78" t="n">
        <v>2024</v>
      </c>
      <c r="E405" s="78" t="inlineStr">
        <is>
          <t>Land</t>
        </is>
      </c>
      <c r="F405" s="78" t="inlineStr">
        <is>
          <t>Ancillary charge</t>
        </is>
      </c>
      <c r="G405" s="78" t="inlineStr">
        <is>
          <t>Land: corner piece premium</t>
        </is>
      </c>
      <c r="H405" s="78" t="inlineStr">
        <is>
          <t>BP-C0091</t>
        </is>
      </c>
      <c r="I405" s="78" t="inlineStr">
        <is>
          <t>Mr Ojo Olugbenga Daniel &amp; Mrs Ojo Omolola Oyewunmi</t>
        </is>
      </c>
      <c r="J405" s="80" t="n">
        <v>135000</v>
      </c>
      <c r="K405" s="78" t="inlineStr">
        <is>
          <t>Allen Branch</t>
        </is>
      </c>
      <c r="L405" s="78" t="inlineStr">
        <is>
          <t>Primary: monthly turnover register</t>
        </is>
      </c>
      <c r="M405" s="78" t="inlineStr">
        <is>
          <t>BAAY PROJECTS FINANCIALS 2024.xlsx</t>
        </is>
      </c>
      <c r="N405" s="78" t="inlineStr">
        <is>
          <t>AUGUST TURNOVER</t>
        </is>
      </c>
      <c r="O405" s="78" t="n">
        <v>31</v>
      </c>
      <c r="P405" s="78" t="inlineStr">
        <is>
          <t>31/08/2024</t>
        </is>
      </c>
      <c r="Q405" s="78" t="n"/>
      <c r="R405" s="78" t="n"/>
    </row>
    <row r="406" ht="25" customHeight="1">
      <c r="A406" s="75" t="inlineStr">
        <is>
          <t>SL0383</t>
        </is>
      </c>
      <c r="B406" s="76" t="n">
        <v>45536</v>
      </c>
      <c r="C406" s="75" t="inlineStr">
        <is>
          <t>2024-09</t>
        </is>
      </c>
      <c r="D406" s="75" t="n">
        <v>2024</v>
      </c>
      <c r="E406" s="75" t="inlineStr">
        <is>
          <t>Land</t>
        </is>
      </c>
      <c r="F406" s="75" t="inlineStr">
        <is>
          <t>Plot / unit price</t>
        </is>
      </c>
      <c r="G406" s="75" t="inlineStr">
        <is>
          <t>Green City Phase 3 (Omu-Epe)</t>
        </is>
      </c>
      <c r="H406" s="75" t="inlineStr">
        <is>
          <t>BP-C0119</t>
        </is>
      </c>
      <c r="I406" s="75" t="inlineStr">
        <is>
          <t>Mr Adedapo Adekunle Solomon</t>
        </is>
      </c>
      <c r="J406" s="77" t="n">
        <v>1000000</v>
      </c>
      <c r="K406" s="75" t="inlineStr">
        <is>
          <t>Magodo Branch</t>
        </is>
      </c>
      <c r="L406" s="75" t="inlineStr">
        <is>
          <t>Primary: monthly turnover register</t>
        </is>
      </c>
      <c r="M406" s="75" t="inlineStr">
        <is>
          <t>BAAY PROJECTS FINANCIALS 2024.xlsx</t>
        </is>
      </c>
      <c r="N406" s="75" t="inlineStr">
        <is>
          <t>SEPTEMBER TURNOVER</t>
        </is>
      </c>
      <c r="O406" s="75" t="n">
        <v>7</v>
      </c>
      <c r="P406" s="75" t="inlineStr">
        <is>
          <t>2024-01-09</t>
        </is>
      </c>
      <c r="Q406" s="75" t="inlineStr">
        <is>
          <t>MS TAIWO r42, MS TOBI AJAYI r21</t>
        </is>
      </c>
      <c r="R406" s="75" t="n"/>
    </row>
    <row r="407" ht="25" customHeight="1">
      <c r="A407" s="78" t="inlineStr">
        <is>
          <t>SL0384</t>
        </is>
      </c>
      <c r="B407" s="79" t="n">
        <v>45537</v>
      </c>
      <c r="C407" s="78" t="inlineStr">
        <is>
          <t>2024-09</t>
        </is>
      </c>
      <c r="D407" s="78" t="n">
        <v>2024</v>
      </c>
      <c r="E407" s="78" t="inlineStr">
        <is>
          <t>Land</t>
        </is>
      </c>
      <c r="F407" s="78" t="inlineStr">
        <is>
          <t>Plot / unit price</t>
        </is>
      </c>
      <c r="G407" s="78" t="inlineStr">
        <is>
          <t>Green City Phase 3 (Omu-Epe)</t>
        </is>
      </c>
      <c r="H407" s="78" t="inlineStr">
        <is>
          <t>BP-C0026</t>
        </is>
      </c>
      <c r="I407" s="78" t="inlineStr">
        <is>
          <t>Mr &amp; Mrs Adebayo Dada</t>
        </is>
      </c>
      <c r="J407" s="80" t="n">
        <v>500000</v>
      </c>
      <c r="K407" s="78" t="inlineStr">
        <is>
          <t>Allen Branch</t>
        </is>
      </c>
      <c r="L407" s="78" t="inlineStr">
        <is>
          <t>Primary: monthly turnover register</t>
        </is>
      </c>
      <c r="M407" s="78" t="inlineStr">
        <is>
          <t>BAAY PROJECTS FINANCIALS 2024.xlsx</t>
        </is>
      </c>
      <c r="N407" s="78" t="inlineStr">
        <is>
          <t>SEPTEMBER TURNOVER</t>
        </is>
      </c>
      <c r="O407" s="78" t="n">
        <v>7</v>
      </c>
      <c r="P407" s="78" t="inlineStr">
        <is>
          <t>2024-02-09</t>
        </is>
      </c>
      <c r="Q407" s="78" t="inlineStr">
        <is>
          <t>MRS ABIMBOLA r144</t>
        </is>
      </c>
      <c r="R407" s="78" t="n"/>
    </row>
    <row r="408" ht="25" customHeight="1">
      <c r="A408" s="75" t="inlineStr">
        <is>
          <t>SL0385</t>
        </is>
      </c>
      <c r="B408" s="76" t="n">
        <v>45538</v>
      </c>
      <c r="C408" s="75" t="inlineStr">
        <is>
          <t>2024-09</t>
        </is>
      </c>
      <c r="D408" s="75" t="n">
        <v>2024</v>
      </c>
      <c r="E408" s="75" t="inlineStr">
        <is>
          <t>Land</t>
        </is>
      </c>
      <c r="F408" s="75" t="inlineStr">
        <is>
          <t>Plot / unit price</t>
        </is>
      </c>
      <c r="G408" s="75" t="inlineStr">
        <is>
          <t>Green City Phase 3 (Omu-Epe)</t>
        </is>
      </c>
      <c r="H408" s="75" t="inlineStr">
        <is>
          <t>BP-C0120</t>
        </is>
      </c>
      <c r="I408" s="75" t="inlineStr">
        <is>
          <t>Mr Olusegun Dare Michael</t>
        </is>
      </c>
      <c r="J408" s="77" t="n">
        <v>1000000</v>
      </c>
      <c r="K408" s="75" t="inlineStr">
        <is>
          <t>Allen Branch</t>
        </is>
      </c>
      <c r="L408" s="75" t="inlineStr">
        <is>
          <t>Primary: monthly turnover register</t>
        </is>
      </c>
      <c r="M408" s="75" t="inlineStr">
        <is>
          <t>BAAY PROJECTS FINANCIALS 2024.xlsx</t>
        </is>
      </c>
      <c r="N408" s="75" t="inlineStr">
        <is>
          <t>SEPTEMBER TURNOVER</t>
        </is>
      </c>
      <c r="O408" s="75" t="n">
        <v>8</v>
      </c>
      <c r="P408" s="75" t="inlineStr">
        <is>
          <t>2024-03-09</t>
        </is>
      </c>
      <c r="Q408" s="75" t="inlineStr">
        <is>
          <t>MS BOLANLE r97</t>
        </is>
      </c>
      <c r="R408" s="75" t="n"/>
    </row>
    <row r="409" ht="25" customHeight="1">
      <c r="A409" s="78" t="inlineStr">
        <is>
          <t>SL0386</t>
        </is>
      </c>
      <c r="B409" s="79" t="n">
        <v>45539</v>
      </c>
      <c r="C409" s="78" t="inlineStr">
        <is>
          <t>2024-09</t>
        </is>
      </c>
      <c r="D409" s="78" t="n">
        <v>2024</v>
      </c>
      <c r="E409" s="78" t="inlineStr">
        <is>
          <t>Land</t>
        </is>
      </c>
      <c r="F409" s="78" t="inlineStr">
        <is>
          <t>Plot / unit price</t>
        </is>
      </c>
      <c r="G409" s="78" t="inlineStr">
        <is>
          <t>Green City Phase 2 (Idobi, Ketu-Epe)</t>
        </is>
      </c>
      <c r="H409" s="78" t="inlineStr">
        <is>
          <t>BP-C0054</t>
        </is>
      </c>
      <c r="I409" s="78" t="inlineStr">
        <is>
          <t>Mr Adeniyi Ademola</t>
        </is>
      </c>
      <c r="J409" s="80" t="n">
        <v>2000000</v>
      </c>
      <c r="K409" s="78" t="inlineStr">
        <is>
          <t>Allen Branch</t>
        </is>
      </c>
      <c r="L409" s="78" t="inlineStr">
        <is>
          <t>Primary: monthly turnover register</t>
        </is>
      </c>
      <c r="M409" s="78" t="inlineStr">
        <is>
          <t>BAAY PROJECTS FINANCIALS 2024.xlsx</t>
        </is>
      </c>
      <c r="N409" s="78" t="inlineStr">
        <is>
          <t>SEPTEMBER TURNOVER</t>
        </is>
      </c>
      <c r="O409" s="78" t="n">
        <v>9</v>
      </c>
      <c r="P409" s="78" t="inlineStr">
        <is>
          <t>2024-04-09</t>
        </is>
      </c>
      <c r="Q409" s="78" t="inlineStr">
        <is>
          <t>MRS ABIMBOLA r145</t>
        </is>
      </c>
      <c r="R409" s="78" t="n"/>
    </row>
    <row r="410" ht="25" customHeight="1">
      <c r="A410" s="75" t="inlineStr">
        <is>
          <t>SL0387</t>
        </is>
      </c>
      <c r="B410" s="76" t="n">
        <v>45540</v>
      </c>
      <c r="C410" s="75" t="inlineStr">
        <is>
          <t>2024-09</t>
        </is>
      </c>
      <c r="D410" s="75" t="n">
        <v>2024</v>
      </c>
      <c r="E410" s="75" t="inlineStr">
        <is>
          <t>Land</t>
        </is>
      </c>
      <c r="F410" s="75" t="inlineStr">
        <is>
          <t>Plot / unit price</t>
        </is>
      </c>
      <c r="G410" s="75" t="inlineStr">
        <is>
          <t>Green City Phase 3 (Omu-Epe)</t>
        </is>
      </c>
      <c r="H410" s="75" t="inlineStr">
        <is>
          <t>BP-C0119</t>
        </is>
      </c>
      <c r="I410" s="75" t="inlineStr">
        <is>
          <t>Mr Adedapo Adekunle Solomon</t>
        </is>
      </c>
      <c r="J410" s="77" t="n">
        <v>1000000</v>
      </c>
      <c r="K410" s="75" t="inlineStr">
        <is>
          <t>Magodo Branch</t>
        </is>
      </c>
      <c r="L410" s="75" t="inlineStr">
        <is>
          <t>Primary: monthly turnover register</t>
        </is>
      </c>
      <c r="M410" s="75" t="inlineStr">
        <is>
          <t>BAAY PROJECTS FINANCIALS 2024.xlsx</t>
        </is>
      </c>
      <c r="N410" s="75" t="inlineStr">
        <is>
          <t>SEPTEMBER TURNOVER</t>
        </is>
      </c>
      <c r="O410" s="75" t="n">
        <v>8</v>
      </c>
      <c r="P410" s="75" t="inlineStr">
        <is>
          <t>2024-05-09</t>
        </is>
      </c>
      <c r="Q410" s="75" t="inlineStr">
        <is>
          <t>MS TAIWO r43, MS TOBI AJAYI r22</t>
        </is>
      </c>
      <c r="R410" s="75" t="n"/>
    </row>
    <row r="411" ht="25" customHeight="1">
      <c r="A411" s="78" t="inlineStr">
        <is>
          <t>SL0388</t>
        </is>
      </c>
      <c r="B411" s="79" t="n">
        <v>45540</v>
      </c>
      <c r="C411" s="78" t="inlineStr">
        <is>
          <t>2024-09</t>
        </is>
      </c>
      <c r="D411" s="78" t="n">
        <v>2024</v>
      </c>
      <c r="E411" s="78" t="inlineStr">
        <is>
          <t>Land</t>
        </is>
      </c>
      <c r="F411" s="78" t="inlineStr">
        <is>
          <t>Ancillary charge</t>
        </is>
      </c>
      <c r="G411" s="78" t="inlineStr">
        <is>
          <t>Land: corner piece premium</t>
        </is>
      </c>
      <c r="H411" s="78" t="inlineStr">
        <is>
          <t>BP-C0053</t>
        </is>
      </c>
      <c r="I411" s="78" t="inlineStr">
        <is>
          <t>Mr Adegbembo Stephen</t>
        </is>
      </c>
      <c r="J411" s="80" t="n">
        <v>135000</v>
      </c>
      <c r="K411" s="78" t="inlineStr">
        <is>
          <t>Allen Branch</t>
        </is>
      </c>
      <c r="L411" s="78" t="inlineStr">
        <is>
          <t>Primary: monthly turnover register</t>
        </is>
      </c>
      <c r="M411" s="78" t="inlineStr">
        <is>
          <t>BAAY PROJECTS FINANCIALS 2024.xlsx</t>
        </is>
      </c>
      <c r="N411" s="78" t="inlineStr">
        <is>
          <t>SEPTEMBER TURNOVER</t>
        </is>
      </c>
      <c r="O411" s="78" t="n">
        <v>10</v>
      </c>
      <c r="P411" s="78" t="inlineStr">
        <is>
          <t>2024-05-09</t>
        </is>
      </c>
      <c r="Q411" s="78" t="n"/>
      <c r="R411" s="78" t="n"/>
    </row>
    <row r="412" ht="25" customHeight="1">
      <c r="A412" s="75" t="inlineStr">
        <is>
          <t>SL0389</t>
        </is>
      </c>
      <c r="B412" s="76" t="n">
        <v>45540</v>
      </c>
      <c r="C412" s="75" t="inlineStr">
        <is>
          <t>2024-09</t>
        </is>
      </c>
      <c r="D412" s="75" t="n">
        <v>2024</v>
      </c>
      <c r="E412" s="75" t="inlineStr">
        <is>
          <t>Land</t>
        </is>
      </c>
      <c r="F412" s="75" t="inlineStr">
        <is>
          <t>Plot / unit price</t>
        </is>
      </c>
      <c r="G412" s="75" t="inlineStr">
        <is>
          <t>Green City Phase 2 (Idobi, Ketu-Epe)</t>
        </is>
      </c>
      <c r="H412" s="75" t="inlineStr">
        <is>
          <t>BP-C0030</t>
        </is>
      </c>
      <c r="I412" s="75" t="inlineStr">
        <is>
          <t>Mr Akorede Adese</t>
        </is>
      </c>
      <c r="J412" s="77" t="n">
        <v>200000</v>
      </c>
      <c r="K412" s="75" t="inlineStr">
        <is>
          <t>Allen Branch</t>
        </is>
      </c>
      <c r="L412" s="75" t="inlineStr">
        <is>
          <t>Primary: monthly turnover register</t>
        </is>
      </c>
      <c r="M412" s="75" t="inlineStr">
        <is>
          <t>BAAY PROJECTS FINANCIALS 2024.xlsx</t>
        </is>
      </c>
      <c r="N412" s="75" t="inlineStr">
        <is>
          <t>SEPTEMBER TURNOVER</t>
        </is>
      </c>
      <c r="O412" s="75" t="n">
        <v>11</v>
      </c>
      <c r="P412" s="75" t="inlineStr">
        <is>
          <t>2024-05-09</t>
        </is>
      </c>
      <c r="Q412" s="75" t="inlineStr">
        <is>
          <t>MD r56</t>
        </is>
      </c>
      <c r="R412" s="75" t="n"/>
    </row>
    <row r="413" ht="25" customHeight="1">
      <c r="A413" s="78" t="inlineStr">
        <is>
          <t>SL0390</t>
        </is>
      </c>
      <c r="B413" s="79" t="n">
        <v>45540</v>
      </c>
      <c r="C413" s="78" t="inlineStr">
        <is>
          <t>2024-09</t>
        </is>
      </c>
      <c r="D413" s="78" t="n">
        <v>2024</v>
      </c>
      <c r="E413" s="78" t="inlineStr">
        <is>
          <t>Land</t>
        </is>
      </c>
      <c r="F413" s="78" t="inlineStr">
        <is>
          <t>Ancillary charge</t>
        </is>
      </c>
      <c r="G413" s="78" t="inlineStr">
        <is>
          <t>Land: development fee</t>
        </is>
      </c>
      <c r="H413" s="78" t="inlineStr">
        <is>
          <t>BP-C0030</t>
        </is>
      </c>
      <c r="I413" s="78" t="inlineStr">
        <is>
          <t>Mr Akorede Adese</t>
        </is>
      </c>
      <c r="J413" s="80" t="n">
        <v>50000</v>
      </c>
      <c r="K413" s="78" t="inlineStr">
        <is>
          <t>Allen Branch</t>
        </is>
      </c>
      <c r="L413" s="78" t="inlineStr">
        <is>
          <t>Primary: monthly turnover register</t>
        </is>
      </c>
      <c r="M413" s="78" t="inlineStr">
        <is>
          <t>BAAY PROJECTS FINANCIALS 2024.xlsx</t>
        </is>
      </c>
      <c r="N413" s="78" t="inlineStr">
        <is>
          <t>SEPTEMBER TURNOVER</t>
        </is>
      </c>
      <c r="O413" s="78" t="n">
        <v>12</v>
      </c>
      <c r="P413" s="78" t="inlineStr">
        <is>
          <t>2024-05-09</t>
        </is>
      </c>
      <c r="Q413" s="78" t="n"/>
      <c r="R413" s="78" t="n"/>
    </row>
    <row r="414" ht="25" customHeight="1">
      <c r="A414" s="75" t="inlineStr">
        <is>
          <t>SL0391</t>
        </is>
      </c>
      <c r="B414" s="76" t="n">
        <v>45540</v>
      </c>
      <c r="C414" s="75" t="inlineStr">
        <is>
          <t>2024-09</t>
        </is>
      </c>
      <c r="D414" s="75" t="n">
        <v>2024</v>
      </c>
      <c r="E414" s="75" t="inlineStr">
        <is>
          <t>Land</t>
        </is>
      </c>
      <c r="F414" s="75" t="inlineStr">
        <is>
          <t>Plot / unit price</t>
        </is>
      </c>
      <c r="G414" s="75" t="inlineStr">
        <is>
          <t>Green City Phase 1 (Lantaba, Ketu-Epe)</t>
        </is>
      </c>
      <c r="H414" s="75" t="inlineStr">
        <is>
          <t>BP-C0099</t>
        </is>
      </c>
      <c r="I414" s="75" t="inlineStr">
        <is>
          <t>Mr Olatunde Adesua Samuel</t>
        </is>
      </c>
      <c r="J414" s="77" t="n">
        <v>1220000</v>
      </c>
      <c r="K414" s="75" t="inlineStr">
        <is>
          <t>Magodo Branch</t>
        </is>
      </c>
      <c r="L414" s="75" t="inlineStr">
        <is>
          <t>Primary: monthly turnover register</t>
        </is>
      </c>
      <c r="M414" s="75" t="inlineStr">
        <is>
          <t>BAAY PROJECTS FINANCIALS 2024.xlsx</t>
        </is>
      </c>
      <c r="N414" s="75" t="inlineStr">
        <is>
          <t>SEPTEMBER TURNOVER</t>
        </is>
      </c>
      <c r="O414" s="75" t="n">
        <v>9</v>
      </c>
      <c r="P414" s="75" t="inlineStr">
        <is>
          <t>2024-05-09</t>
        </is>
      </c>
      <c r="Q414" s="75" t="inlineStr">
        <is>
          <t>MS ADENIKE r16</t>
        </is>
      </c>
      <c r="R414" s="75" t="n"/>
    </row>
    <row r="415" ht="25" customHeight="1">
      <c r="A415" s="78" t="inlineStr">
        <is>
          <t>SL0392</t>
        </is>
      </c>
      <c r="B415" s="79" t="n">
        <v>45541</v>
      </c>
      <c r="C415" s="78" t="inlineStr">
        <is>
          <t>2024-09</t>
        </is>
      </c>
      <c r="D415" s="78" t="n">
        <v>2024</v>
      </c>
      <c r="E415" s="78" t="inlineStr">
        <is>
          <t>Land</t>
        </is>
      </c>
      <c r="F415" s="78" t="inlineStr">
        <is>
          <t>Plot / unit price</t>
        </is>
      </c>
      <c r="G415" s="78" t="inlineStr">
        <is>
          <t>Green City Phase 3 (Omu-Epe)</t>
        </is>
      </c>
      <c r="H415" s="78" t="inlineStr">
        <is>
          <t>BP-C0110</t>
        </is>
      </c>
      <c r="I415" s="78" t="inlineStr">
        <is>
          <t>Mr Adeyemi Kayode</t>
        </is>
      </c>
      <c r="J415" s="80" t="n">
        <v>1000000</v>
      </c>
      <c r="K415" s="78" t="inlineStr">
        <is>
          <t>Allen Branch</t>
        </is>
      </c>
      <c r="L415" s="78" t="inlineStr">
        <is>
          <t>Primary: monthly turnover register</t>
        </is>
      </c>
      <c r="M415" s="78" t="inlineStr">
        <is>
          <t>BAAY PROJECTS FINANCIALS 2024.xlsx</t>
        </is>
      </c>
      <c r="N415" s="78" t="inlineStr">
        <is>
          <t>SEPTEMBER TURNOVER</t>
        </is>
      </c>
      <c r="O415" s="78" t="n">
        <v>13</v>
      </c>
      <c r="P415" s="78" t="inlineStr">
        <is>
          <t>2024-06-09</t>
        </is>
      </c>
      <c r="Q415" s="78" t="inlineStr">
        <is>
          <t>MS BOLANLE r98</t>
        </is>
      </c>
      <c r="R415" s="78" t="n"/>
    </row>
    <row r="416" ht="25" customHeight="1">
      <c r="A416" s="75" t="inlineStr">
        <is>
          <t>SL0393</t>
        </is>
      </c>
      <c r="B416" s="76" t="n">
        <v>45543</v>
      </c>
      <c r="C416" s="75" t="inlineStr">
        <is>
          <t>2024-09</t>
        </is>
      </c>
      <c r="D416" s="75" t="n">
        <v>2024</v>
      </c>
      <c r="E416" s="75" t="inlineStr">
        <is>
          <t>Land</t>
        </is>
      </c>
      <c r="F416" s="75" t="inlineStr">
        <is>
          <t>Plot / unit price</t>
        </is>
      </c>
      <c r="G416" s="75" t="inlineStr">
        <is>
          <t>Green City Phase 3 (Omu-Epe)</t>
        </is>
      </c>
      <c r="H416" s="75" t="inlineStr">
        <is>
          <t>BP-C0121</t>
        </is>
      </c>
      <c r="I416" s="75" t="inlineStr">
        <is>
          <t>Mr Nweze Valentine Oluebube</t>
        </is>
      </c>
      <c r="J416" s="77" t="n">
        <v>1000000</v>
      </c>
      <c r="K416" s="75" t="inlineStr">
        <is>
          <t>Allen Branch</t>
        </is>
      </c>
      <c r="L416" s="75" t="inlineStr">
        <is>
          <t>Primary: monthly turnover register</t>
        </is>
      </c>
      <c r="M416" s="75" t="inlineStr">
        <is>
          <t>BAAY PROJECTS FINANCIALS 2024.xlsx</t>
        </is>
      </c>
      <c r="N416" s="75" t="inlineStr">
        <is>
          <t>SEPTEMBER TURNOVER</t>
        </is>
      </c>
      <c r="O416" s="75" t="n">
        <v>15</v>
      </c>
      <c r="P416" s="75" t="inlineStr">
        <is>
          <t>2024-08-09</t>
        </is>
      </c>
      <c r="Q416" s="75" t="inlineStr">
        <is>
          <t>MS BOLANLE r99</t>
        </is>
      </c>
      <c r="R416" s="75" t="n"/>
    </row>
    <row r="417" ht="25" customHeight="1">
      <c r="A417" s="78" t="inlineStr">
        <is>
          <t>SL0394</t>
        </is>
      </c>
      <c r="B417" s="79" t="n">
        <v>45544</v>
      </c>
      <c r="C417" s="78" t="inlineStr">
        <is>
          <t>2024-09</t>
        </is>
      </c>
      <c r="D417" s="78" t="n">
        <v>2024</v>
      </c>
      <c r="E417" s="78" t="inlineStr">
        <is>
          <t>Land</t>
        </is>
      </c>
      <c r="F417" s="78" t="inlineStr">
        <is>
          <t>Plot / unit price</t>
        </is>
      </c>
      <c r="G417" s="78" t="inlineStr">
        <is>
          <t>Green City Phase 3 (Omu-Epe)</t>
        </is>
      </c>
      <c r="H417" s="78" t="inlineStr">
        <is>
          <t>BP-C0121</t>
        </is>
      </c>
      <c r="I417" s="78" t="inlineStr">
        <is>
          <t>Mr Nweze Valentine Oluebube</t>
        </is>
      </c>
      <c r="J417" s="80" t="n">
        <v>1000000</v>
      </c>
      <c r="K417" s="78" t="inlineStr">
        <is>
          <t>Allen Branch</t>
        </is>
      </c>
      <c r="L417" s="78" t="inlineStr">
        <is>
          <t>Primary: monthly turnover register</t>
        </is>
      </c>
      <c r="M417" s="78" t="inlineStr">
        <is>
          <t>BAAY PROJECTS FINANCIALS 2024.xlsx</t>
        </is>
      </c>
      <c r="N417" s="78" t="inlineStr">
        <is>
          <t>SEPTEMBER TURNOVER</t>
        </is>
      </c>
      <c r="O417" s="78" t="n">
        <v>18</v>
      </c>
      <c r="P417" s="78" t="inlineStr">
        <is>
          <t>2024-09-09</t>
        </is>
      </c>
      <c r="Q417" s="78" t="inlineStr">
        <is>
          <t>MS BOLANLE r101</t>
        </is>
      </c>
      <c r="R417" s="78" t="n"/>
    </row>
    <row r="418" ht="25" customHeight="1">
      <c r="A418" s="75" t="inlineStr">
        <is>
          <t>SL0395</t>
        </is>
      </c>
      <c r="B418" s="76" t="n">
        <v>45544</v>
      </c>
      <c r="C418" s="75" t="inlineStr">
        <is>
          <t>2024-09</t>
        </is>
      </c>
      <c r="D418" s="75" t="n">
        <v>2024</v>
      </c>
      <c r="E418" s="75" t="inlineStr">
        <is>
          <t>Land</t>
        </is>
      </c>
      <c r="F418" s="75" t="inlineStr">
        <is>
          <t>Plot / unit price</t>
        </is>
      </c>
      <c r="G418" s="75" t="inlineStr">
        <is>
          <t>Green City Phase 3 (Omu-Epe)</t>
        </is>
      </c>
      <c r="H418" s="75" t="inlineStr">
        <is>
          <t>BP-C0120</t>
        </is>
      </c>
      <c r="I418" s="75" t="inlineStr">
        <is>
          <t>Mr Olusegun Dare Michael</t>
        </is>
      </c>
      <c r="J418" s="77" t="n">
        <v>3500000</v>
      </c>
      <c r="K418" s="75" t="inlineStr">
        <is>
          <t>Allen Branch</t>
        </is>
      </c>
      <c r="L418" s="75" t="inlineStr">
        <is>
          <t>Primary: monthly turnover register</t>
        </is>
      </c>
      <c r="M418" s="75" t="inlineStr">
        <is>
          <t>BAAY PROJECTS FINANCIALS 2024.xlsx</t>
        </is>
      </c>
      <c r="N418" s="75" t="inlineStr">
        <is>
          <t>SEPTEMBER TURNOVER</t>
        </is>
      </c>
      <c r="O418" s="75" t="n">
        <v>16</v>
      </c>
      <c r="P418" s="75" t="inlineStr">
        <is>
          <t>2024-09-09</t>
        </is>
      </c>
      <c r="Q418" s="75" t="inlineStr">
        <is>
          <t>MS BOLANLE r100</t>
        </is>
      </c>
      <c r="R418" s="75" t="n"/>
    </row>
    <row r="419" ht="25" customHeight="1">
      <c r="A419" s="78" t="inlineStr">
        <is>
          <t>SL0396</t>
        </is>
      </c>
      <c r="B419" s="79" t="n">
        <v>45544</v>
      </c>
      <c r="C419" s="78" t="inlineStr">
        <is>
          <t>2024-09</t>
        </is>
      </c>
      <c r="D419" s="78" t="n">
        <v>2024</v>
      </c>
      <c r="E419" s="78" t="inlineStr">
        <is>
          <t>Land</t>
        </is>
      </c>
      <c r="F419" s="78" t="inlineStr">
        <is>
          <t>Plot / unit price</t>
        </is>
      </c>
      <c r="G419" s="78" t="inlineStr">
        <is>
          <t>Green City Phase 2 (Idobi, Ketu-Epe)</t>
        </is>
      </c>
      <c r="H419" s="78" t="inlineStr">
        <is>
          <t>BP-C0096</t>
        </is>
      </c>
      <c r="I419" s="78" t="inlineStr">
        <is>
          <t>Mrs Lawani Opemipo Lasode</t>
        </is>
      </c>
      <c r="J419" s="80" t="n">
        <v>550000</v>
      </c>
      <c r="K419" s="78" t="inlineStr">
        <is>
          <t>Allen Branch</t>
        </is>
      </c>
      <c r="L419" s="78" t="inlineStr">
        <is>
          <t>Primary: monthly turnover register</t>
        </is>
      </c>
      <c r="M419" s="78" t="inlineStr">
        <is>
          <t>BAAY PROJECTS FINANCIALS 2024.xlsx</t>
        </is>
      </c>
      <c r="N419" s="78" t="inlineStr">
        <is>
          <t>SEPTEMBER TURNOVER</t>
        </is>
      </c>
      <c r="O419" s="78" t="n">
        <v>17</v>
      </c>
      <c r="P419" s="78" t="inlineStr">
        <is>
          <t>2024-09-09</t>
        </is>
      </c>
      <c r="Q419" s="78" t="n"/>
      <c r="R419" s="78" t="n"/>
    </row>
    <row r="420" ht="25" customHeight="1">
      <c r="A420" s="75" t="inlineStr">
        <is>
          <t>SL0397</t>
        </is>
      </c>
      <c r="B420" s="76" t="n">
        <v>45545</v>
      </c>
      <c r="C420" s="75" t="inlineStr">
        <is>
          <t>2024-09</t>
        </is>
      </c>
      <c r="D420" s="75" t="n">
        <v>2024</v>
      </c>
      <c r="E420" s="75" t="inlineStr">
        <is>
          <t>Land</t>
        </is>
      </c>
      <c r="F420" s="75" t="inlineStr">
        <is>
          <t>Plot / unit price</t>
        </is>
      </c>
      <c r="G420" s="75" t="inlineStr">
        <is>
          <t>Green City Phase 3 (Omu-Epe)</t>
        </is>
      </c>
      <c r="H420" s="75" t="inlineStr">
        <is>
          <t>BP-C0116</t>
        </is>
      </c>
      <c r="I420" s="75" t="inlineStr">
        <is>
          <t>Miss Okorie Rachael Mmesomachi</t>
        </is>
      </c>
      <c r="J420" s="77" t="n">
        <v>1300000</v>
      </c>
      <c r="K420" s="75" t="inlineStr">
        <is>
          <t>Allen Branch</t>
        </is>
      </c>
      <c r="L420" s="75" t="inlineStr">
        <is>
          <t>Primary: monthly turnover register</t>
        </is>
      </c>
      <c r="M420" s="75" t="inlineStr">
        <is>
          <t>BAAY PROJECTS FINANCIALS 2024.xlsx</t>
        </is>
      </c>
      <c r="N420" s="75" t="inlineStr">
        <is>
          <t>SEPTEMBER TURNOVER</t>
        </is>
      </c>
      <c r="O420" s="75" t="n">
        <v>19</v>
      </c>
      <c r="P420" s="75" t="inlineStr">
        <is>
          <t>2024-10-09</t>
        </is>
      </c>
      <c r="Q420" s="75" t="n"/>
      <c r="R420" s="75" t="n"/>
    </row>
    <row r="421" ht="25" customHeight="1">
      <c r="A421" s="78" t="inlineStr">
        <is>
          <t>SL0398</t>
        </is>
      </c>
      <c r="B421" s="79" t="n">
        <v>45548</v>
      </c>
      <c r="C421" s="78" t="inlineStr">
        <is>
          <t>2024-09</t>
        </is>
      </c>
      <c r="D421" s="78" t="n">
        <v>2024</v>
      </c>
      <c r="E421" s="78" t="inlineStr">
        <is>
          <t>Land</t>
        </is>
      </c>
      <c r="F421" s="78" t="inlineStr">
        <is>
          <t>Plot / unit price</t>
        </is>
      </c>
      <c r="G421" s="78" t="inlineStr">
        <is>
          <t>Green City Phase 3 (Omu-Epe)</t>
        </is>
      </c>
      <c r="H421" s="78" t="inlineStr">
        <is>
          <t>BP-C0123</t>
        </is>
      </c>
      <c r="I421" s="78" t="inlineStr">
        <is>
          <t>Mr Olaogun Samuel Oriyomi</t>
        </is>
      </c>
      <c r="J421" s="80" t="n">
        <v>2600000</v>
      </c>
      <c r="K421" s="78" t="inlineStr">
        <is>
          <t>Allen Branch</t>
        </is>
      </c>
      <c r="L421" s="78" t="inlineStr">
        <is>
          <t>Primary: monthly turnover register</t>
        </is>
      </c>
      <c r="M421" s="78" t="inlineStr">
        <is>
          <t>BAAY PROJECTS FINANCIALS 2024.xlsx</t>
        </is>
      </c>
      <c r="N421" s="78" t="inlineStr">
        <is>
          <t>SEPTEMBER TURNOVER</t>
        </is>
      </c>
      <c r="O421" s="78" t="n">
        <v>20</v>
      </c>
      <c r="P421" s="78" t="inlineStr">
        <is>
          <t>13/09/2024</t>
        </is>
      </c>
      <c r="Q421" s="78" t="inlineStr">
        <is>
          <t>MR RAPHAEL ADESIDA r2</t>
        </is>
      </c>
      <c r="R421" s="78" t="n"/>
    </row>
    <row r="422" ht="25" customHeight="1">
      <c r="A422" s="75" t="inlineStr">
        <is>
          <t>SL0399</t>
        </is>
      </c>
      <c r="B422" s="76" t="n">
        <v>45548</v>
      </c>
      <c r="C422" s="75" t="inlineStr">
        <is>
          <t>2024-09</t>
        </is>
      </c>
      <c r="D422" s="75" t="n">
        <v>2024</v>
      </c>
      <c r="E422" s="75" t="inlineStr">
        <is>
          <t>Land</t>
        </is>
      </c>
      <c r="F422" s="75" t="inlineStr">
        <is>
          <t>Ancillary charge</t>
        </is>
      </c>
      <c r="G422" s="75" t="inlineStr">
        <is>
          <t>Land: corner piece premium</t>
        </is>
      </c>
      <c r="H422" s="75" t="inlineStr">
        <is>
          <t>BP-C0099</t>
        </is>
      </c>
      <c r="I422" s="75" t="inlineStr">
        <is>
          <t>Mr Olatunde Adesua Samuel</t>
        </is>
      </c>
      <c r="J422" s="77" t="n">
        <v>135000</v>
      </c>
      <c r="K422" s="75" t="inlineStr">
        <is>
          <t>Magodo Branch</t>
        </is>
      </c>
      <c r="L422" s="75" t="inlineStr">
        <is>
          <t>Primary: monthly turnover register</t>
        </is>
      </c>
      <c r="M422" s="75" t="inlineStr">
        <is>
          <t>BAAY PROJECTS FINANCIALS 2024.xlsx</t>
        </is>
      </c>
      <c r="N422" s="75" t="inlineStr">
        <is>
          <t>SEPTEMBER TURNOVER</t>
        </is>
      </c>
      <c r="O422" s="75" t="n">
        <v>11</v>
      </c>
      <c r="P422" s="75" t="inlineStr">
        <is>
          <t>13/09/2024</t>
        </is>
      </c>
      <c r="Q422" s="75" t="n"/>
      <c r="R422" s="75" t="n"/>
    </row>
    <row r="423" ht="25" customHeight="1">
      <c r="A423" s="78" t="inlineStr">
        <is>
          <t>SL0400</t>
        </is>
      </c>
      <c r="B423" s="79" t="n">
        <v>45551</v>
      </c>
      <c r="C423" s="78" t="inlineStr">
        <is>
          <t>2024-09</t>
        </is>
      </c>
      <c r="D423" s="78" t="n">
        <v>2024</v>
      </c>
      <c r="E423" s="78" t="inlineStr">
        <is>
          <t>Land</t>
        </is>
      </c>
      <c r="F423" s="78" t="inlineStr">
        <is>
          <t>Ancillary charge</t>
        </is>
      </c>
      <c r="G423" s="78" t="inlineStr">
        <is>
          <t>Land: corner piece premium</t>
        </is>
      </c>
      <c r="H423" s="78" t="inlineStr">
        <is>
          <t>BP-C0100</t>
        </is>
      </c>
      <c r="I423" s="78" t="inlineStr">
        <is>
          <t>Mr Braimoh Ayomide Favour</t>
        </is>
      </c>
      <c r="J423" s="80" t="n">
        <v>135000</v>
      </c>
      <c r="K423" s="78" t="inlineStr">
        <is>
          <t>Allen Branch</t>
        </is>
      </c>
      <c r="L423" s="78" t="inlineStr">
        <is>
          <t>Primary: monthly turnover register</t>
        </is>
      </c>
      <c r="M423" s="78" t="inlineStr">
        <is>
          <t>BAAY PROJECTS FINANCIALS 2024.xlsx</t>
        </is>
      </c>
      <c r="N423" s="78" t="inlineStr">
        <is>
          <t>SEPTEMBER TURNOVER</t>
        </is>
      </c>
      <c r="O423" s="78" t="n">
        <v>21</v>
      </c>
      <c r="P423" s="78" t="inlineStr">
        <is>
          <t>16/09/2024</t>
        </is>
      </c>
      <c r="Q423" s="78" t="n"/>
      <c r="R423" s="78" t="n"/>
    </row>
    <row r="424" ht="25" customHeight="1">
      <c r="A424" s="75" t="inlineStr">
        <is>
          <t>SL0401</t>
        </is>
      </c>
      <c r="B424" s="76" t="n">
        <v>45551</v>
      </c>
      <c r="C424" s="75" t="inlineStr">
        <is>
          <t>2024-09</t>
        </is>
      </c>
      <c r="D424" s="75" t="n">
        <v>2024</v>
      </c>
      <c r="E424" s="75" t="inlineStr">
        <is>
          <t>Land</t>
        </is>
      </c>
      <c r="F424" s="75" t="inlineStr">
        <is>
          <t>Plot / unit price</t>
        </is>
      </c>
      <c r="G424" s="75" t="inlineStr">
        <is>
          <t>Green City Phase 3 (Omu-Epe)</t>
        </is>
      </c>
      <c r="H424" s="75" t="inlineStr">
        <is>
          <t>BP-C0115</t>
        </is>
      </c>
      <c r="I424" s="75" t="inlineStr">
        <is>
          <t>Mrs King Lavonda</t>
        </is>
      </c>
      <c r="J424" s="77" t="n">
        <v>1100000</v>
      </c>
      <c r="K424" s="75" t="inlineStr">
        <is>
          <t>Allen Branch</t>
        </is>
      </c>
      <c r="L424" s="75" t="inlineStr">
        <is>
          <t>Primary: monthly turnover register</t>
        </is>
      </c>
      <c r="M424" s="75" t="inlineStr">
        <is>
          <t>BAAY PROJECTS FINANCIALS 2024.xlsx</t>
        </is>
      </c>
      <c r="N424" s="75" t="inlineStr">
        <is>
          <t>SEPTEMBER TURNOVER</t>
        </is>
      </c>
      <c r="O424" s="75" t="n">
        <v>22</v>
      </c>
      <c r="P424" s="75" t="inlineStr">
        <is>
          <t>16/09/2024</t>
        </is>
      </c>
      <c r="Q424" s="75" t="inlineStr">
        <is>
          <t>MRS ABIMBOLA r135</t>
        </is>
      </c>
      <c r="R424" s="75" t="n"/>
    </row>
    <row r="425" ht="25" customHeight="1">
      <c r="A425" s="78" t="inlineStr">
        <is>
          <t>SL0402</t>
        </is>
      </c>
      <c r="B425" s="79" t="n">
        <v>45552</v>
      </c>
      <c r="C425" s="78" t="inlineStr">
        <is>
          <t>2024-09</t>
        </is>
      </c>
      <c r="D425" s="78" t="n">
        <v>2024</v>
      </c>
      <c r="E425" s="78" t="inlineStr">
        <is>
          <t>Land</t>
        </is>
      </c>
      <c r="F425" s="78" t="inlineStr">
        <is>
          <t>Plot / unit price</t>
        </is>
      </c>
      <c r="G425" s="78" t="inlineStr">
        <is>
          <t>Green City Phase 3 (Omu-Epe)</t>
        </is>
      </c>
      <c r="H425" s="78" t="inlineStr">
        <is>
          <t>BP-C0124</t>
        </is>
      </c>
      <c r="I425" s="78" t="inlineStr">
        <is>
          <t>Miss Thomas Oluwabukola Comfort</t>
        </is>
      </c>
      <c r="J425" s="80" t="n">
        <v>200000</v>
      </c>
      <c r="K425" s="78" t="inlineStr">
        <is>
          <t>Allen Branch</t>
        </is>
      </c>
      <c r="L425" s="78" t="inlineStr">
        <is>
          <t>Primary: monthly turnover register</t>
        </is>
      </c>
      <c r="M425" s="78" t="inlineStr">
        <is>
          <t>BAAY PROJECTS FINANCIALS 2024.xlsx</t>
        </is>
      </c>
      <c r="N425" s="78" t="inlineStr">
        <is>
          <t>SEPTEMBER TURNOVER</t>
        </is>
      </c>
      <c r="O425" s="78" t="n">
        <v>23</v>
      </c>
      <c r="P425" s="78" t="inlineStr">
        <is>
          <t>17/09/2024</t>
        </is>
      </c>
      <c r="Q425" s="78" t="inlineStr">
        <is>
          <t>MR PELUMI r18</t>
        </is>
      </c>
      <c r="R425" s="78" t="n"/>
    </row>
    <row r="426" ht="25" customHeight="1">
      <c r="A426" s="75" t="inlineStr">
        <is>
          <t>SL0403</t>
        </is>
      </c>
      <c r="B426" s="76" t="n">
        <v>45552</v>
      </c>
      <c r="C426" s="75" t="inlineStr">
        <is>
          <t>2024-09</t>
        </is>
      </c>
      <c r="D426" s="75" t="n">
        <v>2024</v>
      </c>
      <c r="E426" s="75" t="inlineStr">
        <is>
          <t>Land</t>
        </is>
      </c>
      <c r="F426" s="75" t="inlineStr">
        <is>
          <t>Plot / unit price</t>
        </is>
      </c>
      <c r="G426" s="75" t="inlineStr">
        <is>
          <t>Green City Phase 2 (Idobi, Ketu-Epe)</t>
        </is>
      </c>
      <c r="H426" s="75" t="inlineStr">
        <is>
          <t>BP-C0125</t>
        </is>
      </c>
      <c r="I426" s="75" t="inlineStr">
        <is>
          <t>Mrs Adelaja-Idowu Mosebolatan Tomilayo</t>
        </is>
      </c>
      <c r="J426" s="77" t="n">
        <v>12800000</v>
      </c>
      <c r="K426" s="75" t="inlineStr">
        <is>
          <t>Allen Branch</t>
        </is>
      </c>
      <c r="L426" s="75" t="inlineStr">
        <is>
          <t>Primary: monthly turnover register</t>
        </is>
      </c>
      <c r="M426" s="75" t="inlineStr">
        <is>
          <t>BAAY PROJECTS FINANCIALS 2024.xlsx</t>
        </is>
      </c>
      <c r="N426" s="75" t="inlineStr">
        <is>
          <t>SEPTEMBER TURNOVER</t>
        </is>
      </c>
      <c r="O426" s="75" t="n">
        <v>24</v>
      </c>
      <c r="P426" s="75" t="inlineStr">
        <is>
          <t>17/09/2024</t>
        </is>
      </c>
      <c r="Q426" s="75" t="n"/>
      <c r="R426" s="75" t="n"/>
    </row>
    <row r="427" ht="25" customHeight="1">
      <c r="A427" s="78" t="inlineStr">
        <is>
          <t>SL0404</t>
        </is>
      </c>
      <c r="B427" s="79" t="n">
        <v>45553</v>
      </c>
      <c r="C427" s="78" t="inlineStr">
        <is>
          <t>2024-09</t>
        </is>
      </c>
      <c r="D427" s="78" t="n">
        <v>2024</v>
      </c>
      <c r="E427" s="78" t="inlineStr">
        <is>
          <t>Land</t>
        </is>
      </c>
      <c r="F427" s="78" t="inlineStr">
        <is>
          <t>Ancillary charge</t>
        </is>
      </c>
      <c r="G427" s="78" t="inlineStr">
        <is>
          <t>Land: corner piece premium</t>
        </is>
      </c>
      <c r="H427" s="78" t="inlineStr">
        <is>
          <t>BP-C0096</t>
        </is>
      </c>
      <c r="I427" s="78" t="inlineStr">
        <is>
          <t>Mrs Lawani Opemipo Lasode</t>
        </is>
      </c>
      <c r="J427" s="80" t="n">
        <v>135000</v>
      </c>
      <c r="K427" s="78" t="inlineStr">
        <is>
          <t>Allen Branch</t>
        </is>
      </c>
      <c r="L427" s="78" t="inlineStr">
        <is>
          <t>Primary: monthly turnover register</t>
        </is>
      </c>
      <c r="M427" s="78" t="inlineStr">
        <is>
          <t>BAAY PROJECTS FINANCIALS 2024.xlsx</t>
        </is>
      </c>
      <c r="N427" s="78" t="inlineStr">
        <is>
          <t>SEPTEMBER TURNOVER</t>
        </is>
      </c>
      <c r="O427" s="78" t="n">
        <v>25</v>
      </c>
      <c r="P427" s="78" t="inlineStr">
        <is>
          <t>18/09/2024</t>
        </is>
      </c>
      <c r="Q427" s="78" t="n"/>
      <c r="R427" s="78" t="n"/>
    </row>
    <row r="428" ht="25" customHeight="1">
      <c r="A428" s="75" t="inlineStr">
        <is>
          <t>SL0405</t>
        </is>
      </c>
      <c r="B428" s="76" t="n">
        <v>45554</v>
      </c>
      <c r="C428" s="75" t="inlineStr">
        <is>
          <t>2024-09</t>
        </is>
      </c>
      <c r="D428" s="75" t="n">
        <v>2024</v>
      </c>
      <c r="E428" s="75" t="inlineStr">
        <is>
          <t>Land</t>
        </is>
      </c>
      <c r="F428" s="75" t="inlineStr">
        <is>
          <t>Ancillary charge</t>
        </is>
      </c>
      <c r="G428" s="75" t="inlineStr">
        <is>
          <t>Land: corner piece premium</t>
        </is>
      </c>
      <c r="H428" s="75" t="inlineStr">
        <is>
          <t>BP-C0079</t>
        </is>
      </c>
      <c r="I428" s="75" t="inlineStr">
        <is>
          <t>Miss Ukachi Oluchi Florence</t>
        </is>
      </c>
      <c r="J428" s="77" t="n">
        <v>135000</v>
      </c>
      <c r="K428" s="75" t="inlineStr">
        <is>
          <t>Magodo Branch</t>
        </is>
      </c>
      <c r="L428" s="75" t="inlineStr">
        <is>
          <t>Primary: monthly turnover register</t>
        </is>
      </c>
      <c r="M428" s="75" t="inlineStr">
        <is>
          <t>BAAY PROJECTS FINANCIALS 2024.xlsx</t>
        </is>
      </c>
      <c r="N428" s="75" t="inlineStr">
        <is>
          <t>SEPTEMBER TURNOVER</t>
        </is>
      </c>
      <c r="O428" s="75" t="n">
        <v>13</v>
      </c>
      <c r="P428" s="75" t="inlineStr">
        <is>
          <t>19/09/2024</t>
        </is>
      </c>
      <c r="Q428" s="75" t="n"/>
      <c r="R428" s="75" t="n"/>
    </row>
    <row r="429" ht="25" customHeight="1">
      <c r="A429" s="78" t="inlineStr">
        <is>
          <t>SL0406</t>
        </is>
      </c>
      <c r="B429" s="79" t="n">
        <v>45554</v>
      </c>
      <c r="C429" s="78" t="inlineStr">
        <is>
          <t>2024-09</t>
        </is>
      </c>
      <c r="D429" s="78" t="n">
        <v>2024</v>
      </c>
      <c r="E429" s="78" t="inlineStr">
        <is>
          <t>Land</t>
        </is>
      </c>
      <c r="F429" s="78" t="inlineStr">
        <is>
          <t>Ancillary charge</t>
        </is>
      </c>
      <c r="G429" s="78" t="inlineStr">
        <is>
          <t>Land: corner piece premium</t>
        </is>
      </c>
      <c r="H429" s="78" t="inlineStr">
        <is>
          <t>BP-C0088</t>
        </is>
      </c>
      <c r="I429" s="78" t="inlineStr">
        <is>
          <t>Mr Komolafe Leonard Oluwashola</t>
        </is>
      </c>
      <c r="J429" s="80" t="n">
        <v>135000</v>
      </c>
      <c r="K429" s="78" t="inlineStr">
        <is>
          <t>Allen Branch</t>
        </is>
      </c>
      <c r="L429" s="78" t="inlineStr">
        <is>
          <t>Primary: monthly turnover register</t>
        </is>
      </c>
      <c r="M429" s="78" t="inlineStr">
        <is>
          <t>BAAY PROJECTS FINANCIALS 2024.xlsx</t>
        </is>
      </c>
      <c r="N429" s="78" t="inlineStr">
        <is>
          <t>SEPTEMBER TURNOVER</t>
        </is>
      </c>
      <c r="O429" s="78" t="n">
        <v>26</v>
      </c>
      <c r="P429" s="78" t="inlineStr">
        <is>
          <t>19/09/2024</t>
        </is>
      </c>
      <c r="Q429" s="78" t="n"/>
      <c r="R429" s="78" t="n"/>
    </row>
    <row r="430" ht="25" customHeight="1">
      <c r="A430" s="75" t="inlineStr">
        <is>
          <t>SL0407</t>
        </is>
      </c>
      <c r="B430" s="76" t="n">
        <v>45554</v>
      </c>
      <c r="C430" s="75" t="inlineStr">
        <is>
          <t>2024-09</t>
        </is>
      </c>
      <c r="D430" s="75" t="n">
        <v>2024</v>
      </c>
      <c r="E430" s="75" t="inlineStr">
        <is>
          <t>Land</t>
        </is>
      </c>
      <c r="F430" s="75" t="inlineStr">
        <is>
          <t>Ancillary charge</t>
        </is>
      </c>
      <c r="G430" s="75" t="inlineStr">
        <is>
          <t>Land: corner piece premium</t>
        </is>
      </c>
      <c r="H430" s="75" t="inlineStr">
        <is>
          <t>BP-C0081</t>
        </is>
      </c>
      <c r="I430" s="75" t="inlineStr">
        <is>
          <t>Mr Ukachi Godfrey Ndukaku</t>
        </is>
      </c>
      <c r="J430" s="77" t="n">
        <v>135000</v>
      </c>
      <c r="K430" s="75" t="inlineStr">
        <is>
          <t>Magodo Branch</t>
        </is>
      </c>
      <c r="L430" s="75" t="inlineStr">
        <is>
          <t>Primary: monthly turnover register</t>
        </is>
      </c>
      <c r="M430" s="75" t="inlineStr">
        <is>
          <t>BAAY PROJECTS FINANCIALS 2024.xlsx</t>
        </is>
      </c>
      <c r="N430" s="75" t="inlineStr">
        <is>
          <t>SEPTEMBER TURNOVER</t>
        </is>
      </c>
      <c r="O430" s="75" t="n">
        <v>12</v>
      </c>
      <c r="P430" s="75" t="inlineStr">
        <is>
          <t>19/09/2024</t>
        </is>
      </c>
      <c r="Q430" s="75" t="n"/>
      <c r="R430" s="75" t="n"/>
    </row>
    <row r="431" ht="25" customHeight="1">
      <c r="A431" s="78" t="inlineStr">
        <is>
          <t>SL0408</t>
        </is>
      </c>
      <c r="B431" s="79" t="n">
        <v>45555</v>
      </c>
      <c r="C431" s="78" t="inlineStr">
        <is>
          <t>2024-09</t>
        </is>
      </c>
      <c r="D431" s="78" t="n">
        <v>2024</v>
      </c>
      <c r="E431" s="78" t="inlineStr">
        <is>
          <t>Land</t>
        </is>
      </c>
      <c r="F431" s="78" t="inlineStr">
        <is>
          <t>Plot / unit price</t>
        </is>
      </c>
      <c r="G431" s="78" t="inlineStr">
        <is>
          <t>Green City Phase 3 (Omu-Epe)</t>
        </is>
      </c>
      <c r="H431" s="78" t="inlineStr">
        <is>
          <t>BP-C0121</t>
        </is>
      </c>
      <c r="I431" s="78" t="inlineStr">
        <is>
          <t>Mr Nweze Valentine Oluebube</t>
        </is>
      </c>
      <c r="J431" s="80" t="n">
        <v>3000000</v>
      </c>
      <c r="K431" s="78" t="inlineStr">
        <is>
          <t>Allen Branch</t>
        </is>
      </c>
      <c r="L431" s="78" t="inlineStr">
        <is>
          <t>Primary: monthly turnover register</t>
        </is>
      </c>
      <c r="M431" s="78" t="inlineStr">
        <is>
          <t>BAAY PROJECTS FINANCIALS 2024.xlsx</t>
        </is>
      </c>
      <c r="N431" s="78" t="inlineStr">
        <is>
          <t>SEPTEMBER TURNOVER</t>
        </is>
      </c>
      <c r="O431" s="78" t="n">
        <v>27</v>
      </c>
      <c r="P431" s="78" t="inlineStr">
        <is>
          <t>20/09/2024</t>
        </is>
      </c>
      <c r="Q431" s="78" t="inlineStr">
        <is>
          <t>MS BOLANLE r102</t>
        </is>
      </c>
      <c r="R431" s="78" t="n"/>
    </row>
    <row r="432" ht="25" customHeight="1">
      <c r="A432" s="75" t="inlineStr">
        <is>
          <t>SL0409</t>
        </is>
      </c>
      <c r="B432" s="76" t="n">
        <v>45560</v>
      </c>
      <c r="C432" s="75" t="inlineStr">
        <is>
          <t>2024-09</t>
        </is>
      </c>
      <c r="D432" s="75" t="n">
        <v>2024</v>
      </c>
      <c r="E432" s="75" t="inlineStr">
        <is>
          <t>Land</t>
        </is>
      </c>
      <c r="F432" s="75" t="inlineStr">
        <is>
          <t>Plot / unit price</t>
        </is>
      </c>
      <c r="G432" s="75" t="inlineStr">
        <is>
          <t>Green City Phase 3 (Omu-Epe)</t>
        </is>
      </c>
      <c r="H432" s="75" t="inlineStr">
        <is>
          <t>BP-C0118</t>
        </is>
      </c>
      <c r="I432" s="75" t="inlineStr">
        <is>
          <t>Pastor Kingsley Ikechukwu &amp; Deaconess Rose Uju Ikechukwu</t>
        </is>
      </c>
      <c r="J432" s="77" t="n">
        <v>1000000</v>
      </c>
      <c r="K432" s="75" t="inlineStr">
        <is>
          <t>Magodo Branch</t>
        </is>
      </c>
      <c r="L432" s="75" t="inlineStr">
        <is>
          <t>Primary: monthly turnover register</t>
        </is>
      </c>
      <c r="M432" s="75" t="inlineStr">
        <is>
          <t>BAAY PROJECTS FINANCIALS 2024.xlsx</t>
        </is>
      </c>
      <c r="N432" s="75" t="inlineStr">
        <is>
          <t>SEPTEMBER TURNOVER</t>
        </is>
      </c>
      <c r="O432" s="75" t="n">
        <v>14</v>
      </c>
      <c r="P432" s="75" t="inlineStr">
        <is>
          <t>25/09/2024</t>
        </is>
      </c>
      <c r="Q432" s="75" t="inlineStr">
        <is>
          <t>MS ADENIKE r17</t>
        </is>
      </c>
      <c r="R432" s="75" t="n"/>
    </row>
    <row r="433" ht="25" customHeight="1">
      <c r="A433" s="78" t="inlineStr">
        <is>
          <t>SL0410</t>
        </is>
      </c>
      <c r="B433" s="79" t="n">
        <v>45561</v>
      </c>
      <c r="C433" s="78" t="inlineStr">
        <is>
          <t>2024-09</t>
        </is>
      </c>
      <c r="D433" s="78" t="n">
        <v>2024</v>
      </c>
      <c r="E433" s="78" t="inlineStr">
        <is>
          <t>Land</t>
        </is>
      </c>
      <c r="F433" s="78" t="inlineStr">
        <is>
          <t>Plot / unit price</t>
        </is>
      </c>
      <c r="G433" s="78" t="inlineStr">
        <is>
          <t>Green City Phase 2 (Idobi, Ketu-Epe)</t>
        </is>
      </c>
      <c r="H433" s="78" t="inlineStr">
        <is>
          <t>BP-C0126</t>
        </is>
      </c>
      <c r="I433" s="78" t="inlineStr">
        <is>
          <t>Miss Ogundipe Motunrayo Fransisca</t>
        </is>
      </c>
      <c r="J433" s="80" t="n">
        <v>1000000</v>
      </c>
      <c r="K433" s="78" t="inlineStr">
        <is>
          <t>Allen Branch</t>
        </is>
      </c>
      <c r="L433" s="78" t="inlineStr">
        <is>
          <t>Primary: monthly turnover register</t>
        </is>
      </c>
      <c r="M433" s="78" t="inlineStr">
        <is>
          <t>BAAY PROJECTS FINANCIALS 2024.xlsx</t>
        </is>
      </c>
      <c r="N433" s="78" t="inlineStr">
        <is>
          <t>SEPTEMBER TURNOVER</t>
        </is>
      </c>
      <c r="O433" s="78" t="n">
        <v>28</v>
      </c>
      <c r="P433" s="78" t="inlineStr">
        <is>
          <t>26/09/2024</t>
        </is>
      </c>
      <c r="Q433" s="78" t="inlineStr">
        <is>
          <t>MD r57</t>
        </is>
      </c>
      <c r="R433" s="78" t="n"/>
    </row>
    <row r="434" ht="25" customHeight="1">
      <c r="A434" s="75" t="inlineStr">
        <is>
          <t>SL0411</t>
        </is>
      </c>
      <c r="B434" s="76" t="n">
        <v>45561</v>
      </c>
      <c r="C434" s="75" t="inlineStr">
        <is>
          <t>2024-09</t>
        </is>
      </c>
      <c r="D434" s="75" t="n">
        <v>2024</v>
      </c>
      <c r="E434" s="75" t="inlineStr">
        <is>
          <t>Land</t>
        </is>
      </c>
      <c r="F434" s="75" t="inlineStr">
        <is>
          <t>Plot / unit price</t>
        </is>
      </c>
      <c r="G434" s="75" t="inlineStr">
        <is>
          <t>Green City Phase 2 (Idobi, Ketu-Epe)</t>
        </is>
      </c>
      <c r="H434" s="75" t="inlineStr">
        <is>
          <t>BP-C0100</t>
        </is>
      </c>
      <c r="I434" s="75" t="inlineStr">
        <is>
          <t>Mr Braimoh Ayomide Favour</t>
        </is>
      </c>
      <c r="J434" s="77" t="n">
        <v>617500</v>
      </c>
      <c r="K434" s="75" t="inlineStr">
        <is>
          <t>Allen Branch</t>
        </is>
      </c>
      <c r="L434" s="75" t="inlineStr">
        <is>
          <t>Primary: monthly turnover register</t>
        </is>
      </c>
      <c r="M434" s="75" t="inlineStr">
        <is>
          <t>BAAY PROJECTS FINANCIALS 2024.xlsx</t>
        </is>
      </c>
      <c r="N434" s="75" t="inlineStr">
        <is>
          <t>SEPTEMBER TURNOVER</t>
        </is>
      </c>
      <c r="O434" s="75" t="n">
        <v>29</v>
      </c>
      <c r="P434" s="75" t="inlineStr">
        <is>
          <t>26/09/2024</t>
        </is>
      </c>
      <c r="Q434" s="75" t="inlineStr">
        <is>
          <t>MS MAYOWA BRAIMOH r29</t>
        </is>
      </c>
      <c r="R434" s="75" t="n"/>
    </row>
    <row r="435" ht="25" customHeight="1">
      <c r="A435" s="78" t="inlineStr">
        <is>
          <t>SL0412</t>
        </is>
      </c>
      <c r="B435" s="79" t="n">
        <v>45561</v>
      </c>
      <c r="C435" s="78" t="inlineStr">
        <is>
          <t>2024-09</t>
        </is>
      </c>
      <c r="D435" s="78" t="n">
        <v>2024</v>
      </c>
      <c r="E435" s="78" t="inlineStr">
        <is>
          <t>Land</t>
        </is>
      </c>
      <c r="F435" s="78" t="inlineStr">
        <is>
          <t>Plot / unit price</t>
        </is>
      </c>
      <c r="G435" s="78" t="inlineStr">
        <is>
          <t>Green City Phase 3 (Omu-Epe)</t>
        </is>
      </c>
      <c r="H435" s="78" t="inlineStr">
        <is>
          <t>BP-C0118</t>
        </is>
      </c>
      <c r="I435" s="78" t="inlineStr">
        <is>
          <t>Pastor Kingsley Ikechukwu &amp; Deaconess Rose Uju Ikechukwu</t>
        </is>
      </c>
      <c r="J435" s="80" t="n">
        <v>800000</v>
      </c>
      <c r="K435" s="78" t="inlineStr">
        <is>
          <t>Magodo Branch</t>
        </is>
      </c>
      <c r="L435" s="78" t="inlineStr">
        <is>
          <t>Primary: monthly turnover register</t>
        </is>
      </c>
      <c r="M435" s="78" t="inlineStr">
        <is>
          <t>BAAY PROJECTS FINANCIALS 2024.xlsx</t>
        </is>
      </c>
      <c r="N435" s="78" t="inlineStr">
        <is>
          <t>SEPTEMBER TURNOVER</t>
        </is>
      </c>
      <c r="O435" s="78" t="n">
        <v>15</v>
      </c>
      <c r="P435" s="78" t="inlineStr">
        <is>
          <t>26/09/2024</t>
        </is>
      </c>
      <c r="Q435" s="78" t="inlineStr">
        <is>
          <t>MS ADENIKE r18</t>
        </is>
      </c>
      <c r="R435" s="78" t="n"/>
    </row>
    <row r="436" ht="25" customHeight="1">
      <c r="A436" s="75" t="inlineStr">
        <is>
          <t>SL0413</t>
        </is>
      </c>
      <c r="B436" s="76" t="n">
        <v>45562</v>
      </c>
      <c r="C436" s="75" t="inlineStr">
        <is>
          <t>2024-09</t>
        </is>
      </c>
      <c r="D436" s="75" t="n">
        <v>2024</v>
      </c>
      <c r="E436" s="75" t="inlineStr">
        <is>
          <t>Land</t>
        </is>
      </c>
      <c r="F436" s="75" t="inlineStr">
        <is>
          <t>Plot / unit price</t>
        </is>
      </c>
      <c r="G436" s="75" t="inlineStr">
        <is>
          <t>Green City Phase 2 (Idobi, Ketu-Epe)</t>
        </is>
      </c>
      <c r="H436" s="75" t="inlineStr">
        <is>
          <t>BP-C0068</t>
        </is>
      </c>
      <c r="I436" s="75" t="inlineStr">
        <is>
          <t>Miss Ebhotah sharon Aisosa</t>
        </is>
      </c>
      <c r="J436" s="77" t="n">
        <v>500000</v>
      </c>
      <c r="K436" s="75" t="inlineStr">
        <is>
          <t>Magodo Branch</t>
        </is>
      </c>
      <c r="L436" s="75" t="inlineStr">
        <is>
          <t>Primary: monthly turnover register</t>
        </is>
      </c>
      <c r="M436" s="75" t="inlineStr">
        <is>
          <t>BAAY PROJECTS FINANCIALS 2024.xlsx</t>
        </is>
      </c>
      <c r="N436" s="75" t="inlineStr">
        <is>
          <t>SEPTEMBER TURNOVER</t>
        </is>
      </c>
      <c r="O436" s="75" t="n">
        <v>16</v>
      </c>
      <c r="P436" s="75" t="inlineStr">
        <is>
          <t>27/09/2024</t>
        </is>
      </c>
      <c r="Q436" s="75" t="inlineStr">
        <is>
          <t>MS BLESSING r106</t>
        </is>
      </c>
      <c r="R436" s="75" t="n"/>
    </row>
    <row r="437" ht="25" customHeight="1">
      <c r="A437" s="78" t="inlineStr">
        <is>
          <t>SL0414</t>
        </is>
      </c>
      <c r="B437" s="79" t="n">
        <v>45562</v>
      </c>
      <c r="C437" s="78" t="inlineStr">
        <is>
          <t>2024-09</t>
        </is>
      </c>
      <c r="D437" s="78" t="n">
        <v>2024</v>
      </c>
      <c r="E437" s="78" t="inlineStr">
        <is>
          <t>Land</t>
        </is>
      </c>
      <c r="F437" s="78" t="inlineStr">
        <is>
          <t>Plot / unit price</t>
        </is>
      </c>
      <c r="G437" s="78" t="inlineStr">
        <is>
          <t>Green City Phase 3 (Omu-Epe)</t>
        </is>
      </c>
      <c r="H437" s="78" t="inlineStr">
        <is>
          <t>BP-C0127</t>
        </is>
      </c>
      <c r="I437" s="78" t="inlineStr">
        <is>
          <t>Mr Adigun Muyiwa &amp; Mrs Adigun Folashade Oluwaseun</t>
        </is>
      </c>
      <c r="J437" s="80" t="n">
        <v>500000</v>
      </c>
      <c r="K437" s="78" t="inlineStr">
        <is>
          <t>Allen Branch</t>
        </is>
      </c>
      <c r="L437" s="78" t="inlineStr">
        <is>
          <t>Primary: monthly turnover register</t>
        </is>
      </c>
      <c r="M437" s="78" t="inlineStr">
        <is>
          <t>BAAY PROJECTS FINANCIALS 2024.xlsx</t>
        </is>
      </c>
      <c r="N437" s="78" t="inlineStr">
        <is>
          <t>SEPTEMBER TURNOVER</t>
        </is>
      </c>
      <c r="O437" s="78" t="n">
        <v>33</v>
      </c>
      <c r="P437" s="78" t="inlineStr">
        <is>
          <t>27/09/2024</t>
        </is>
      </c>
      <c r="Q437" s="78" t="inlineStr">
        <is>
          <t>MR AYENI MAYOWA r2</t>
        </is>
      </c>
      <c r="R437" s="78" t="n"/>
    </row>
    <row r="438" ht="25" customHeight="1">
      <c r="A438" s="75" t="inlineStr">
        <is>
          <t>SL0415</t>
        </is>
      </c>
      <c r="B438" s="76" t="n">
        <v>45562</v>
      </c>
      <c r="C438" s="75" t="inlineStr">
        <is>
          <t>2024-09</t>
        </is>
      </c>
      <c r="D438" s="75" t="n">
        <v>2024</v>
      </c>
      <c r="E438" s="75" t="inlineStr">
        <is>
          <t>Land</t>
        </is>
      </c>
      <c r="F438" s="75" t="inlineStr">
        <is>
          <t>Plot / unit price</t>
        </is>
      </c>
      <c r="G438" s="75" t="inlineStr">
        <is>
          <t>Green City Phase 2 (Idobi, Ketu-Epe)</t>
        </is>
      </c>
      <c r="H438" s="75" t="inlineStr">
        <is>
          <t>BP-C0128</t>
        </is>
      </c>
      <c r="I438" s="75" t="inlineStr">
        <is>
          <t>Mr Afolabi Samuel safe &amp; Mrs Afolabi Temitope Iyanuoluwa</t>
        </is>
      </c>
      <c r="J438" s="77" t="n">
        <v>5850000</v>
      </c>
      <c r="K438" s="75" t="inlineStr">
        <is>
          <t>Allen Branch</t>
        </is>
      </c>
      <c r="L438" s="75" t="inlineStr">
        <is>
          <t>Primary: monthly turnover register</t>
        </is>
      </c>
      <c r="M438" s="75" t="inlineStr">
        <is>
          <t>BAAY PROJECTS FINANCIALS 2024.xlsx</t>
        </is>
      </c>
      <c r="N438" s="75" t="inlineStr">
        <is>
          <t>SEPTEMBER TURNOVER</t>
        </is>
      </c>
      <c r="O438" s="75" t="n">
        <v>31</v>
      </c>
      <c r="P438" s="75" t="inlineStr">
        <is>
          <t>27/09/2024</t>
        </is>
      </c>
      <c r="Q438" s="75" t="inlineStr">
        <is>
          <t>MRS ABIMBOLA r147, OLAIYA r26</t>
        </is>
      </c>
      <c r="R438" s="75" t="n"/>
    </row>
    <row r="439" ht="25" customHeight="1">
      <c r="A439" s="78" t="inlineStr">
        <is>
          <t>SL0416</t>
        </is>
      </c>
      <c r="B439" s="79" t="n">
        <v>45562</v>
      </c>
      <c r="C439" s="78" t="inlineStr">
        <is>
          <t>2024-09</t>
        </is>
      </c>
      <c r="D439" s="78" t="n">
        <v>2024</v>
      </c>
      <c r="E439" s="78" t="inlineStr">
        <is>
          <t>Land</t>
        </is>
      </c>
      <c r="F439" s="78" t="inlineStr">
        <is>
          <t>Plot / unit price</t>
        </is>
      </c>
      <c r="G439" s="78" t="inlineStr">
        <is>
          <t>Heritage Garden</t>
        </is>
      </c>
      <c r="H439" s="78" t="inlineStr">
        <is>
          <t>BP-C0129</t>
        </is>
      </c>
      <c r="I439" s="78" t="inlineStr">
        <is>
          <t>Mr Tedunjaye Michael Ilerioluwa</t>
        </is>
      </c>
      <c r="J439" s="80" t="n">
        <v>250000</v>
      </c>
      <c r="K439" s="78" t="inlineStr">
        <is>
          <t>Allen Branch</t>
        </is>
      </c>
      <c r="L439" s="78" t="inlineStr">
        <is>
          <t>Primary: monthly turnover register</t>
        </is>
      </c>
      <c r="M439" s="78" t="inlineStr">
        <is>
          <t>BAAY PROJECTS FINANCIALS 2024.xlsx</t>
        </is>
      </c>
      <c r="N439" s="78" t="inlineStr">
        <is>
          <t>SEPTEMBER TURNOVER</t>
        </is>
      </c>
      <c r="O439" s="78" t="n">
        <v>32</v>
      </c>
      <c r="P439" s="78" t="inlineStr">
        <is>
          <t>27/09/2024</t>
        </is>
      </c>
      <c r="Q439" s="78" t="inlineStr">
        <is>
          <t>MS TOBI AJAYI r23</t>
        </is>
      </c>
      <c r="R439" s="78" t="n"/>
    </row>
    <row r="440" ht="25" customHeight="1">
      <c r="A440" s="75" t="inlineStr">
        <is>
          <t>SL0417</t>
        </is>
      </c>
      <c r="B440" s="76" t="n">
        <v>45562</v>
      </c>
      <c r="C440" s="75" t="inlineStr">
        <is>
          <t>2024-09</t>
        </is>
      </c>
      <c r="D440" s="75" t="n">
        <v>2024</v>
      </c>
      <c r="E440" s="75" t="inlineStr">
        <is>
          <t>Land</t>
        </is>
      </c>
      <c r="F440" s="75" t="inlineStr">
        <is>
          <t>Plot / unit price</t>
        </is>
      </c>
      <c r="G440" s="75" t="inlineStr">
        <is>
          <t>Heritage Garden</t>
        </is>
      </c>
      <c r="H440" s="75" t="inlineStr">
        <is>
          <t>BP-C0130</t>
        </is>
      </c>
      <c r="I440" s="75" t="inlineStr">
        <is>
          <t>Mrs Akindele Felicia Oluwatoyin</t>
        </is>
      </c>
      <c r="J440" s="77" t="n">
        <v>150000</v>
      </c>
      <c r="K440" s="75" t="inlineStr">
        <is>
          <t>Allen Branch</t>
        </is>
      </c>
      <c r="L440" s="75" t="inlineStr">
        <is>
          <t>Primary: monthly turnover register</t>
        </is>
      </c>
      <c r="M440" s="75" t="inlineStr">
        <is>
          <t>BAAY PROJECTS FINANCIALS 2024.xlsx</t>
        </is>
      </c>
      <c r="N440" s="75" t="inlineStr">
        <is>
          <t>SEPTEMBER TURNOVER</t>
        </is>
      </c>
      <c r="O440" s="75" t="n">
        <v>30</v>
      </c>
      <c r="P440" s="75" t="inlineStr">
        <is>
          <t>27/09/2024</t>
        </is>
      </c>
      <c r="Q440" s="75" t="inlineStr">
        <is>
          <t>MS FISAYO r38</t>
        </is>
      </c>
      <c r="R440" s="75" t="n"/>
    </row>
    <row r="441" ht="25" customHeight="1">
      <c r="A441" s="78" t="inlineStr">
        <is>
          <t>SL0418</t>
        </is>
      </c>
      <c r="B441" s="79" t="n">
        <v>45562</v>
      </c>
      <c r="C441" s="78" t="inlineStr">
        <is>
          <t>2024-09</t>
        </is>
      </c>
      <c r="D441" s="78" t="n">
        <v>2024</v>
      </c>
      <c r="E441" s="78" t="inlineStr">
        <is>
          <t>Land</t>
        </is>
      </c>
      <c r="F441" s="78" t="inlineStr">
        <is>
          <t>Plot / unit price</t>
        </is>
      </c>
      <c r="G441" s="78" t="inlineStr">
        <is>
          <t>Green City Phase 3 (Omu-Epe)</t>
        </is>
      </c>
      <c r="H441" s="78" t="inlineStr">
        <is>
          <t>BP-C0131</t>
        </is>
      </c>
      <c r="I441" s="78" t="inlineStr">
        <is>
          <t>Scrapays Technologies Ltd</t>
        </is>
      </c>
      <c r="J441" s="80" t="n">
        <v>30000000</v>
      </c>
      <c r="K441" s="78" t="inlineStr">
        <is>
          <t>Allen Branch</t>
        </is>
      </c>
      <c r="L441" s="78" t="inlineStr">
        <is>
          <t>Primary: monthly turnover register</t>
        </is>
      </c>
      <c r="M441" s="78" t="inlineStr">
        <is>
          <t>BAAY PROJECTS FINANCIALS 2024.xlsx</t>
        </is>
      </c>
      <c r="N441" s="78" t="inlineStr">
        <is>
          <t>SEPTEMBER TURNOVER</t>
        </is>
      </c>
      <c r="O441" s="78" t="n">
        <v>34</v>
      </c>
      <c r="P441" s="78" t="inlineStr">
        <is>
          <t>27/09/2024</t>
        </is>
      </c>
      <c r="Q441" s="78" t="inlineStr">
        <is>
          <t>MD r58</t>
        </is>
      </c>
      <c r="R441" s="78" t="n"/>
    </row>
    <row r="442" ht="25" customHeight="1">
      <c r="A442" s="75" t="inlineStr">
        <is>
          <t>SL0419</t>
        </is>
      </c>
      <c r="B442" s="76" t="n">
        <v>45563</v>
      </c>
      <c r="C442" s="75" t="inlineStr">
        <is>
          <t>2024-08</t>
        </is>
      </c>
      <c r="D442" s="75" t="n">
        <v>2024</v>
      </c>
      <c r="E442" s="75" t="inlineStr">
        <is>
          <t>Land</t>
        </is>
      </c>
      <c r="F442" s="75" t="inlineStr">
        <is>
          <t>Plot / unit price</t>
        </is>
      </c>
      <c r="G442" s="75" t="inlineStr">
        <is>
          <t>Green City Phase 3 (Omu-Epe)</t>
        </is>
      </c>
      <c r="H442" s="75" t="inlineStr">
        <is>
          <t>BP-C0119</t>
        </is>
      </c>
      <c r="I442" s="75" t="inlineStr">
        <is>
          <t>Mr Adedapo Adekunle Solomon</t>
        </is>
      </c>
      <c r="J442" s="77" t="n">
        <v>500000</v>
      </c>
      <c r="K442" s="75" t="inlineStr">
        <is>
          <t>Magodo Branch</t>
        </is>
      </c>
      <c r="L442" s="75" t="inlineStr">
        <is>
          <t>Primary: monthly turnover register</t>
        </is>
      </c>
      <c r="M442" s="75" t="inlineStr">
        <is>
          <t>BAAY PROJECTS FINANCIALS 2024.xlsx</t>
        </is>
      </c>
      <c r="N442" s="75" t="inlineStr">
        <is>
          <t>AUGUST TURNOVER</t>
        </is>
      </c>
      <c r="O442" s="75" t="n">
        <v>26</v>
      </c>
      <c r="P442" s="75" t="inlineStr">
        <is>
          <t>28/09/2024</t>
        </is>
      </c>
      <c r="Q442" s="75" t="inlineStr">
        <is>
          <t>MS TAIWO r33, MS TOBI AJAYI r12</t>
        </is>
      </c>
      <c r="R442" s="75" t="inlineStr">
        <is>
          <t>Date in source (28/09/2024) outside the sheet month; reported under 2024-08 per source sheet</t>
        </is>
      </c>
    </row>
    <row r="443" ht="25" customHeight="1">
      <c r="A443" s="78" t="inlineStr">
        <is>
          <t>SL0420</t>
        </is>
      </c>
      <c r="B443" s="79" t="n">
        <v>45564</v>
      </c>
      <c r="C443" s="78" t="inlineStr">
        <is>
          <t>2024-09</t>
        </is>
      </c>
      <c r="D443" s="78" t="n">
        <v>2024</v>
      </c>
      <c r="E443" s="78" t="inlineStr">
        <is>
          <t>Land</t>
        </is>
      </c>
      <c r="F443" s="78" t="inlineStr">
        <is>
          <t>Plot / unit price</t>
        </is>
      </c>
      <c r="G443" s="78" t="inlineStr">
        <is>
          <t>Green City Phase 1 (Lantaba, Ketu-Epe)</t>
        </is>
      </c>
      <c r="H443" s="78" t="inlineStr">
        <is>
          <t>BP-C0086</t>
        </is>
      </c>
      <c r="I443" s="78" t="inlineStr">
        <is>
          <t>Miss Nwobodo Miriam Chioma</t>
        </is>
      </c>
      <c r="J443" s="80" t="n">
        <v>400000</v>
      </c>
      <c r="K443" s="78" t="inlineStr">
        <is>
          <t>Allen Branch</t>
        </is>
      </c>
      <c r="L443" s="78" t="inlineStr">
        <is>
          <t>Primary: monthly turnover register</t>
        </is>
      </c>
      <c r="M443" s="78" t="inlineStr">
        <is>
          <t>BAAY PROJECTS FINANCIALS 2024.xlsx</t>
        </is>
      </c>
      <c r="N443" s="78" t="inlineStr">
        <is>
          <t>SEPTEMBER TURNOVER</t>
        </is>
      </c>
      <c r="O443" s="78" t="n">
        <v>36</v>
      </c>
      <c r="P443" s="78" t="inlineStr">
        <is>
          <t>29/09/2024</t>
        </is>
      </c>
      <c r="Q443" s="78" t="inlineStr">
        <is>
          <t>MD r59</t>
        </is>
      </c>
      <c r="R443" s="78" t="n"/>
    </row>
    <row r="444" ht="25" customHeight="1">
      <c r="A444" s="75" t="inlineStr">
        <is>
          <t>SL0421</t>
        </is>
      </c>
      <c r="B444" s="76" t="n">
        <v>45565</v>
      </c>
      <c r="C444" s="75" t="inlineStr">
        <is>
          <t>2024-09</t>
        </is>
      </c>
      <c r="D444" s="75" t="n">
        <v>2024</v>
      </c>
      <c r="E444" s="75" t="inlineStr">
        <is>
          <t>Land</t>
        </is>
      </c>
      <c r="F444" s="75" t="inlineStr">
        <is>
          <t>Plot / unit price</t>
        </is>
      </c>
      <c r="G444" s="75" t="inlineStr">
        <is>
          <t>Green City Phase 3 (Omu-Epe)</t>
        </is>
      </c>
      <c r="H444" s="75" t="inlineStr">
        <is>
          <t>BP-C0132</t>
        </is>
      </c>
      <c r="I444" s="75" t="inlineStr">
        <is>
          <t>Mr Ajayi Adekunle Temitope</t>
        </is>
      </c>
      <c r="J444" s="77" t="n">
        <v>1000000</v>
      </c>
      <c r="K444" s="75" t="inlineStr">
        <is>
          <t>Magodo Branch</t>
        </is>
      </c>
      <c r="L444" s="75" t="inlineStr">
        <is>
          <t>Primary: monthly turnover register</t>
        </is>
      </c>
      <c r="M444" s="75" t="inlineStr">
        <is>
          <t>BAAY PROJECTS FINANCIALS 2024.xlsx</t>
        </is>
      </c>
      <c r="N444" s="75" t="inlineStr">
        <is>
          <t>SEPTEMBER TURNOVER</t>
        </is>
      </c>
      <c r="O444" s="75" t="n">
        <v>17</v>
      </c>
      <c r="P444" s="75" t="inlineStr">
        <is>
          <t>30/09/2024</t>
        </is>
      </c>
      <c r="Q444" s="75" t="inlineStr">
        <is>
          <t>MS OPEYEMI ADEGOKE r2</t>
        </is>
      </c>
      <c r="R444" s="75" t="n"/>
    </row>
    <row r="445" ht="25" customHeight="1">
      <c r="A445" s="78" t="inlineStr">
        <is>
          <t>SL0422</t>
        </is>
      </c>
      <c r="B445" s="79" t="n">
        <v>45565</v>
      </c>
      <c r="C445" s="78" t="inlineStr">
        <is>
          <t>2024-09</t>
        </is>
      </c>
      <c r="D445" s="78" t="n">
        <v>2024</v>
      </c>
      <c r="E445" s="78" t="inlineStr">
        <is>
          <t>Land</t>
        </is>
      </c>
      <c r="F445" s="78" t="inlineStr">
        <is>
          <t>Plot / unit price</t>
        </is>
      </c>
      <c r="G445" s="78" t="inlineStr">
        <is>
          <t>Green City Phase 3 (Omu-Epe)</t>
        </is>
      </c>
      <c r="H445" s="78" t="inlineStr">
        <is>
          <t>BP-C0133</t>
        </is>
      </c>
      <c r="I445" s="78" t="inlineStr">
        <is>
          <t>Mr Olagbende Oluwashina Oluwaseun</t>
        </is>
      </c>
      <c r="J445" s="80" t="n">
        <v>500000</v>
      </c>
      <c r="K445" s="78" t="inlineStr">
        <is>
          <t>Magodo Branch</t>
        </is>
      </c>
      <c r="L445" s="78" t="inlineStr">
        <is>
          <t>Primary: monthly turnover register</t>
        </is>
      </c>
      <c r="M445" s="78" t="inlineStr">
        <is>
          <t>BAAY PROJECTS FINANCIALS 2024.xlsx</t>
        </is>
      </c>
      <c r="N445" s="78" t="inlineStr">
        <is>
          <t>SEPTEMBER TURNOVER</t>
        </is>
      </c>
      <c r="O445" s="78" t="n">
        <v>18</v>
      </c>
      <c r="P445" s="78" t="inlineStr">
        <is>
          <t>30/09/2024</t>
        </is>
      </c>
      <c r="Q445" s="78" t="inlineStr">
        <is>
          <t>MS AWONORIN MAYOWA r2</t>
        </is>
      </c>
      <c r="R445" s="78" t="n"/>
    </row>
    <row r="446" ht="25" customHeight="1">
      <c r="A446" s="75" t="inlineStr">
        <is>
          <t>SL0423</t>
        </is>
      </c>
      <c r="B446" s="76" t="n">
        <v>45567</v>
      </c>
      <c r="C446" s="75" t="inlineStr">
        <is>
          <t>2024-10</t>
        </is>
      </c>
      <c r="D446" s="75" t="n">
        <v>2024</v>
      </c>
      <c r="E446" s="75" t="inlineStr">
        <is>
          <t>Land</t>
        </is>
      </c>
      <c r="F446" s="75" t="inlineStr">
        <is>
          <t>Plot / unit price</t>
        </is>
      </c>
      <c r="G446" s="75" t="inlineStr">
        <is>
          <t>Green City Phase 3 (Omu-Epe)</t>
        </is>
      </c>
      <c r="H446" s="75" t="inlineStr">
        <is>
          <t>BP-C0068</t>
        </is>
      </c>
      <c r="I446" s="75" t="inlineStr">
        <is>
          <t>Miss Ebhotah Sharon Aisosa</t>
        </is>
      </c>
      <c r="J446" s="77" t="n">
        <v>1000000</v>
      </c>
      <c r="K446" s="75" t="inlineStr">
        <is>
          <t>Magodo Branch</t>
        </is>
      </c>
      <c r="L446" s="75" t="inlineStr">
        <is>
          <t>Primary: monthly turnover register</t>
        </is>
      </c>
      <c r="M446" s="75" t="inlineStr">
        <is>
          <t>BAAY PROJECTS FINANCIALS 2024.xlsx</t>
        </is>
      </c>
      <c r="N446" s="75" t="inlineStr">
        <is>
          <t>OCTOBER TURNOVER</t>
        </is>
      </c>
      <c r="O446" s="75" t="n">
        <v>7</v>
      </c>
      <c r="P446" s="75" t="inlineStr">
        <is>
          <t>2024-02-10</t>
        </is>
      </c>
      <c r="Q446" s="75" t="inlineStr">
        <is>
          <t>MS BLESSING r113</t>
        </is>
      </c>
      <c r="R446" s="75" t="n"/>
    </row>
    <row r="447" ht="25" customHeight="1">
      <c r="A447" s="78" t="inlineStr">
        <is>
          <t>SL0424</t>
        </is>
      </c>
      <c r="B447" s="79" t="n">
        <v>45567</v>
      </c>
      <c r="C447" s="78" t="inlineStr">
        <is>
          <t>2024-10</t>
        </is>
      </c>
      <c r="D447" s="78" t="n">
        <v>2024</v>
      </c>
      <c r="E447" s="78" t="inlineStr">
        <is>
          <t>Land</t>
        </is>
      </c>
      <c r="F447" s="78" t="inlineStr">
        <is>
          <t>Plot / unit price</t>
        </is>
      </c>
      <c r="G447" s="78" t="inlineStr">
        <is>
          <t>Green City Phase 3 (Omu-Epe)</t>
        </is>
      </c>
      <c r="H447" s="78" t="inlineStr">
        <is>
          <t>BP-C0026</t>
        </is>
      </c>
      <c r="I447" s="78" t="inlineStr">
        <is>
          <t>Mr &amp; Mrs Dada Adebayo</t>
        </is>
      </c>
      <c r="J447" s="80" t="n">
        <v>500000</v>
      </c>
      <c r="K447" s="78" t="inlineStr">
        <is>
          <t>Allen Branch</t>
        </is>
      </c>
      <c r="L447" s="78" t="inlineStr">
        <is>
          <t>Primary: monthly turnover register</t>
        </is>
      </c>
      <c r="M447" s="78" t="inlineStr">
        <is>
          <t>BAAY PROJECTS FINANCIALS 2024.xlsx</t>
        </is>
      </c>
      <c r="N447" s="78" t="inlineStr">
        <is>
          <t>OCTOBER TURNOVER</t>
        </is>
      </c>
      <c r="O447" s="78" t="n">
        <v>7</v>
      </c>
      <c r="P447" s="78" t="inlineStr">
        <is>
          <t>2024-02-10</t>
        </is>
      </c>
      <c r="Q447" s="78" t="inlineStr">
        <is>
          <t>MRS ABIMBOLA r154</t>
        </is>
      </c>
      <c r="R447" s="78" t="n"/>
    </row>
    <row r="448" ht="25" customHeight="1">
      <c r="A448" s="75" t="inlineStr">
        <is>
          <t>SL0425</t>
        </is>
      </c>
      <c r="B448" s="76" t="n">
        <v>45568</v>
      </c>
      <c r="C448" s="75" t="inlineStr">
        <is>
          <t>2024-10</t>
        </is>
      </c>
      <c r="D448" s="75" t="n">
        <v>2024</v>
      </c>
      <c r="E448" s="75" t="inlineStr">
        <is>
          <t>Land</t>
        </is>
      </c>
      <c r="F448" s="75" t="inlineStr">
        <is>
          <t>Plot / unit price</t>
        </is>
      </c>
      <c r="G448" s="75" t="inlineStr">
        <is>
          <t>Green City Phase 3 (Omu-Epe)</t>
        </is>
      </c>
      <c r="H448" s="75" t="inlineStr">
        <is>
          <t>BP-C0066</t>
        </is>
      </c>
      <c r="I448" s="75" t="inlineStr">
        <is>
          <t>Miss Omosanya Dotun Akeju</t>
        </is>
      </c>
      <c r="J448" s="77" t="n">
        <v>1900000</v>
      </c>
      <c r="K448" s="75" t="inlineStr">
        <is>
          <t>Allen Branch</t>
        </is>
      </c>
      <c r="L448" s="75" t="inlineStr">
        <is>
          <t>Primary: monthly turnover register</t>
        </is>
      </c>
      <c r="M448" s="75" t="inlineStr">
        <is>
          <t>BAAY PROJECTS FINANCIALS 2024.xlsx</t>
        </is>
      </c>
      <c r="N448" s="75" t="inlineStr">
        <is>
          <t>OCTOBER TURNOVER</t>
        </is>
      </c>
      <c r="O448" s="75" t="n">
        <v>8</v>
      </c>
      <c r="P448" s="75" t="inlineStr">
        <is>
          <t>2024-03-10</t>
        </is>
      </c>
      <c r="Q448" s="75" t="inlineStr">
        <is>
          <t>MS BOLANLE r110, MS BLESSING OJI r50</t>
        </is>
      </c>
      <c r="R448" s="75" t="n"/>
    </row>
    <row r="449" ht="25" customHeight="1">
      <c r="A449" s="78" t="inlineStr">
        <is>
          <t>SL0426</t>
        </is>
      </c>
      <c r="B449" s="79" t="n">
        <v>45568</v>
      </c>
      <c r="C449" s="78" t="inlineStr">
        <is>
          <t>2024-10</t>
        </is>
      </c>
      <c r="D449" s="78" t="n">
        <v>2024</v>
      </c>
      <c r="E449" s="78" t="inlineStr">
        <is>
          <t>Land</t>
        </is>
      </c>
      <c r="F449" s="78" t="inlineStr">
        <is>
          <t>Plot / unit price</t>
        </is>
      </c>
      <c r="G449" s="78" t="inlineStr">
        <is>
          <t>Green City Ibadan (Akinyele-Moniya)</t>
        </is>
      </c>
      <c r="H449" s="78" t="inlineStr">
        <is>
          <t>BP-C0030</t>
        </is>
      </c>
      <c r="I449" s="78" t="inlineStr">
        <is>
          <t>Mr Adese Akorede John</t>
        </is>
      </c>
      <c r="J449" s="80" t="n">
        <v>500000</v>
      </c>
      <c r="K449" s="78" t="inlineStr">
        <is>
          <t>Magodo Branch</t>
        </is>
      </c>
      <c r="L449" s="78" t="inlineStr">
        <is>
          <t>Primary: monthly turnover register</t>
        </is>
      </c>
      <c r="M449" s="78" t="inlineStr">
        <is>
          <t>BAAY PROJECTS FINANCIALS 2024.xlsx</t>
        </is>
      </c>
      <c r="N449" s="78" t="inlineStr">
        <is>
          <t>OCTOBER TURNOVER</t>
        </is>
      </c>
      <c r="O449" s="78" t="n">
        <v>9</v>
      </c>
      <c r="P449" s="78" t="inlineStr">
        <is>
          <t>2024-03-10</t>
        </is>
      </c>
      <c r="Q449" s="78" t="inlineStr">
        <is>
          <t>MD r67</t>
        </is>
      </c>
      <c r="R449" s="78" t="n"/>
    </row>
    <row r="450" ht="25" customHeight="1">
      <c r="A450" s="75" t="inlineStr">
        <is>
          <t>SL0427</t>
        </is>
      </c>
      <c r="B450" s="76" t="n">
        <v>45568</v>
      </c>
      <c r="C450" s="75" t="inlineStr">
        <is>
          <t>2024-10</t>
        </is>
      </c>
      <c r="D450" s="75" t="n">
        <v>2024</v>
      </c>
      <c r="E450" s="75" t="inlineStr">
        <is>
          <t>Land</t>
        </is>
      </c>
      <c r="F450" s="75" t="inlineStr">
        <is>
          <t>Plot / unit price</t>
        </is>
      </c>
      <c r="G450" s="75" t="inlineStr">
        <is>
          <t>Green City Phase 3 (Omu-Epe)</t>
        </is>
      </c>
      <c r="H450" s="75" t="inlineStr">
        <is>
          <t>BP-C0110</t>
        </is>
      </c>
      <c r="I450" s="75" t="inlineStr">
        <is>
          <t>Mr Adeyemi Kayode</t>
        </is>
      </c>
      <c r="J450" s="77" t="n">
        <v>1300000</v>
      </c>
      <c r="K450" s="75" t="inlineStr">
        <is>
          <t>Allen Branch</t>
        </is>
      </c>
      <c r="L450" s="75" t="inlineStr">
        <is>
          <t>Primary: monthly turnover register</t>
        </is>
      </c>
      <c r="M450" s="75" t="inlineStr">
        <is>
          <t>BAAY PROJECTS FINANCIALS 2024.xlsx</t>
        </is>
      </c>
      <c r="N450" s="75" t="inlineStr">
        <is>
          <t>OCTOBER TURNOVER</t>
        </is>
      </c>
      <c r="O450" s="75" t="n">
        <v>9</v>
      </c>
      <c r="P450" s="75" t="inlineStr">
        <is>
          <t>2024-03-10</t>
        </is>
      </c>
      <c r="Q450" s="75" t="inlineStr">
        <is>
          <t>MS BOLANLE r109</t>
        </is>
      </c>
      <c r="R450" s="75" t="n"/>
    </row>
    <row r="451" ht="25" customHeight="1">
      <c r="A451" s="78" t="inlineStr">
        <is>
          <t>SL0428</t>
        </is>
      </c>
      <c r="B451" s="79" t="n">
        <v>45569</v>
      </c>
      <c r="C451" s="78" t="inlineStr">
        <is>
          <t>2024-10</t>
        </is>
      </c>
      <c r="D451" s="78" t="n">
        <v>2024</v>
      </c>
      <c r="E451" s="78" t="inlineStr">
        <is>
          <t>Land</t>
        </is>
      </c>
      <c r="F451" s="78" t="inlineStr">
        <is>
          <t>Plot / unit price</t>
        </is>
      </c>
      <c r="G451" s="78" t="inlineStr">
        <is>
          <t>Green City Phase 2 (Ketu-Epe)</t>
        </is>
      </c>
      <c r="H451" s="78" t="inlineStr">
        <is>
          <t>BP-C0030</t>
        </is>
      </c>
      <c r="I451" s="78" t="inlineStr">
        <is>
          <t>Mr Adese Akorede John</t>
        </is>
      </c>
      <c r="J451" s="80" t="n">
        <v>200000</v>
      </c>
      <c r="K451" s="78" t="inlineStr">
        <is>
          <t>Magodo Branch</t>
        </is>
      </c>
      <c r="L451" s="78" t="inlineStr">
        <is>
          <t>Primary: monthly turnover register</t>
        </is>
      </c>
      <c r="M451" s="78" t="inlineStr">
        <is>
          <t>BAAY PROJECTS FINANCIALS 2024.xlsx</t>
        </is>
      </c>
      <c r="N451" s="78" t="inlineStr">
        <is>
          <t>OCTOBER TURNOVER</t>
        </is>
      </c>
      <c r="O451" s="78" t="n">
        <v>10</v>
      </c>
      <c r="P451" s="78" t="inlineStr">
        <is>
          <t>2024-04-10</t>
        </is>
      </c>
      <c r="Q451" s="78" t="inlineStr">
        <is>
          <t>MD r66</t>
        </is>
      </c>
      <c r="R451" s="78" t="n"/>
    </row>
    <row r="452" ht="25" customHeight="1">
      <c r="A452" s="75" t="inlineStr">
        <is>
          <t>SL0429</t>
        </is>
      </c>
      <c r="B452" s="76" t="n">
        <v>45569</v>
      </c>
      <c r="C452" s="75" t="inlineStr">
        <is>
          <t>2024-10</t>
        </is>
      </c>
      <c r="D452" s="75" t="n">
        <v>2024</v>
      </c>
      <c r="E452" s="75" t="inlineStr">
        <is>
          <t>Land</t>
        </is>
      </c>
      <c r="F452" s="75" t="inlineStr">
        <is>
          <t>Ancillary charge</t>
        </is>
      </c>
      <c r="G452" s="75" t="inlineStr">
        <is>
          <t>Land: development fee</t>
        </is>
      </c>
      <c r="H452" s="75" t="inlineStr">
        <is>
          <t>BP-C0030</t>
        </is>
      </c>
      <c r="I452" s="75" t="inlineStr">
        <is>
          <t>Mr Adese Akorede John</t>
        </is>
      </c>
      <c r="J452" s="77" t="n">
        <v>50000</v>
      </c>
      <c r="K452" s="75" t="inlineStr">
        <is>
          <t>Magodo Branch</t>
        </is>
      </c>
      <c r="L452" s="75" t="inlineStr">
        <is>
          <t>Primary: monthly turnover register</t>
        </is>
      </c>
      <c r="M452" s="75" t="inlineStr">
        <is>
          <t>BAAY PROJECTS FINANCIALS 2024.xlsx</t>
        </is>
      </c>
      <c r="N452" s="75" t="inlineStr">
        <is>
          <t>OCTOBER TURNOVER</t>
        </is>
      </c>
      <c r="O452" s="75" t="n">
        <v>11</v>
      </c>
      <c r="P452" s="75" t="inlineStr">
        <is>
          <t>2024-04-10</t>
        </is>
      </c>
      <c r="Q452" s="75" t="n"/>
      <c r="R452" s="75" t="n"/>
    </row>
    <row r="453" ht="25" customHeight="1">
      <c r="A453" s="78" t="inlineStr">
        <is>
          <t>SL0430</t>
        </is>
      </c>
      <c r="B453" s="79" t="n">
        <v>45569</v>
      </c>
      <c r="C453" s="78" t="inlineStr">
        <is>
          <t>2024-10</t>
        </is>
      </c>
      <c r="D453" s="78" t="n">
        <v>2024</v>
      </c>
      <c r="E453" s="78" t="inlineStr">
        <is>
          <t>Land</t>
        </is>
      </c>
      <c r="F453" s="78" t="inlineStr">
        <is>
          <t>Plot / unit price</t>
        </is>
      </c>
      <c r="G453" s="78" t="inlineStr">
        <is>
          <t>Heritage Garden</t>
        </is>
      </c>
      <c r="H453" s="78" t="inlineStr">
        <is>
          <t>BP-C0134</t>
        </is>
      </c>
      <c r="I453" s="78" t="inlineStr">
        <is>
          <t>Mr Salawudeen Bakkey</t>
        </is>
      </c>
      <c r="J453" s="80" t="n">
        <v>145000</v>
      </c>
      <c r="K453" s="78" t="inlineStr">
        <is>
          <t>Allen Branch</t>
        </is>
      </c>
      <c r="L453" s="78" t="inlineStr">
        <is>
          <t>Primary: monthly turnover register</t>
        </is>
      </c>
      <c r="M453" s="78" t="inlineStr">
        <is>
          <t>BAAY PROJECTS FINANCIALS 2024.xlsx</t>
        </is>
      </c>
      <c r="N453" s="78" t="inlineStr">
        <is>
          <t>OCTOBER TURNOVER</t>
        </is>
      </c>
      <c r="O453" s="78" t="n">
        <v>10</v>
      </c>
      <c r="P453" s="78" t="inlineStr">
        <is>
          <t>2024-04-10</t>
        </is>
      </c>
      <c r="Q453" s="78" t="n"/>
      <c r="R453" s="78" t="n"/>
    </row>
    <row r="454" ht="25" customHeight="1">
      <c r="A454" s="75" t="inlineStr">
        <is>
          <t>SL0431</t>
        </is>
      </c>
      <c r="B454" s="76" t="n">
        <v>45573</v>
      </c>
      <c r="C454" s="75" t="inlineStr">
        <is>
          <t>2024-10</t>
        </is>
      </c>
      <c r="D454" s="75" t="n">
        <v>2024</v>
      </c>
      <c r="E454" s="75" t="inlineStr">
        <is>
          <t>Land</t>
        </is>
      </c>
      <c r="F454" s="75" t="inlineStr">
        <is>
          <t>Plot / unit price</t>
        </is>
      </c>
      <c r="G454" s="75" t="inlineStr">
        <is>
          <t>Green City Phase 3 (Omu-Epe)</t>
        </is>
      </c>
      <c r="H454" s="75" t="inlineStr">
        <is>
          <t>BP-C0135</t>
        </is>
      </c>
      <c r="I454" s="75" t="inlineStr">
        <is>
          <t>Mr Okanrende Kazeem Olamilekan</t>
        </is>
      </c>
      <c r="J454" s="77" t="n">
        <v>5000000</v>
      </c>
      <c r="K454" s="75" t="inlineStr">
        <is>
          <t>Allen Branch</t>
        </is>
      </c>
      <c r="L454" s="75" t="inlineStr">
        <is>
          <t>Primary: monthly turnover register</t>
        </is>
      </c>
      <c r="M454" s="75" t="inlineStr">
        <is>
          <t>BAAY PROJECTS FINANCIALS 2024.xlsx</t>
        </is>
      </c>
      <c r="N454" s="75" t="inlineStr">
        <is>
          <t>OCTOBER TURNOVER</t>
        </is>
      </c>
      <c r="O454" s="75" t="n">
        <v>11</v>
      </c>
      <c r="P454" s="75" t="inlineStr">
        <is>
          <t>2024-08-10</t>
        </is>
      </c>
      <c r="Q454" s="75" t="inlineStr">
        <is>
          <t>MS YETUNDE ABISOYE r70</t>
        </is>
      </c>
      <c r="R454" s="75" t="n"/>
    </row>
    <row r="455" ht="25" customHeight="1">
      <c r="A455" s="78" t="inlineStr">
        <is>
          <t>SL0432</t>
        </is>
      </c>
      <c r="B455" s="79" t="n">
        <v>45574</v>
      </c>
      <c r="C455" s="78" t="inlineStr">
        <is>
          <t>2024-10</t>
        </is>
      </c>
      <c r="D455" s="78" t="n">
        <v>2024</v>
      </c>
      <c r="E455" s="78" t="inlineStr">
        <is>
          <t>Land</t>
        </is>
      </c>
      <c r="F455" s="78" t="inlineStr">
        <is>
          <t>Ancillary charge</t>
        </is>
      </c>
      <c r="G455" s="78" t="inlineStr">
        <is>
          <t>Land: corner piece premium</t>
        </is>
      </c>
      <c r="H455" s="78" t="inlineStr">
        <is>
          <t>BP-C0046</t>
        </is>
      </c>
      <c r="I455" s="78" t="inlineStr">
        <is>
          <t>Mr Adesida Raphael</t>
        </is>
      </c>
      <c r="J455" s="80" t="n">
        <v>100000</v>
      </c>
      <c r="K455" s="78" t="inlineStr">
        <is>
          <t>Allen Branch</t>
        </is>
      </c>
      <c r="L455" s="78" t="inlineStr">
        <is>
          <t>Primary: monthly turnover register</t>
        </is>
      </c>
      <c r="M455" s="78" t="inlineStr">
        <is>
          <t>BAAY PROJECTS FINANCIALS 2024.xlsx</t>
        </is>
      </c>
      <c r="N455" s="78" t="inlineStr">
        <is>
          <t>OCTOBER TURNOVER</t>
        </is>
      </c>
      <c r="O455" s="78" t="n">
        <v>12</v>
      </c>
      <c r="P455" s="78" t="inlineStr">
        <is>
          <t>2024-09-10</t>
        </is>
      </c>
      <c r="Q455" s="78" t="n"/>
      <c r="R455" s="78" t="n"/>
    </row>
    <row r="456" ht="25" customHeight="1">
      <c r="A456" s="75" t="inlineStr">
        <is>
          <t>SL0433</t>
        </is>
      </c>
      <c r="B456" s="76" t="n">
        <v>45576</v>
      </c>
      <c r="C456" s="75" t="inlineStr">
        <is>
          <t>2024-10</t>
        </is>
      </c>
      <c r="D456" s="75" t="n">
        <v>2024</v>
      </c>
      <c r="E456" s="75" t="inlineStr">
        <is>
          <t>Land</t>
        </is>
      </c>
      <c r="F456" s="75" t="inlineStr">
        <is>
          <t>Plot / unit price</t>
        </is>
      </c>
      <c r="G456" s="75" t="inlineStr">
        <is>
          <t>Green City Phase 3 (Omu-Epe)</t>
        </is>
      </c>
      <c r="H456" s="75" t="inlineStr">
        <is>
          <t>BP-C0136</t>
        </is>
      </c>
      <c r="I456" s="75" t="inlineStr">
        <is>
          <t>Mr Isibor Godwin</t>
        </is>
      </c>
      <c r="J456" s="77" t="n">
        <v>500000</v>
      </c>
      <c r="K456" s="75" t="inlineStr">
        <is>
          <t>Allen Branch</t>
        </is>
      </c>
      <c r="L456" s="75" t="inlineStr">
        <is>
          <t>Primary: monthly turnover register</t>
        </is>
      </c>
      <c r="M456" s="75" t="inlineStr">
        <is>
          <t>BAAY PROJECTS FINANCIALS 2024.xlsx</t>
        </is>
      </c>
      <c r="N456" s="75" t="inlineStr">
        <is>
          <t>OCTOBER TURNOVER</t>
        </is>
      </c>
      <c r="O456" s="75" t="n">
        <v>13</v>
      </c>
      <c r="P456" s="75" t="inlineStr">
        <is>
          <t>2024-11-10</t>
        </is>
      </c>
      <c r="Q456" s="75" t="inlineStr">
        <is>
          <t>MS TOBI AJAYI r29</t>
        </is>
      </c>
      <c r="R456" s="75" t="n"/>
    </row>
    <row r="457" ht="25" customHeight="1">
      <c r="A457" s="78" t="inlineStr">
        <is>
          <t>SL0434</t>
        </is>
      </c>
      <c r="B457" s="79" t="n">
        <v>45577</v>
      </c>
      <c r="C457" s="78" t="inlineStr">
        <is>
          <t>2024-10</t>
        </is>
      </c>
      <c r="D457" s="78" t="n">
        <v>2024</v>
      </c>
      <c r="E457" s="78" t="inlineStr">
        <is>
          <t>Land</t>
        </is>
      </c>
      <c r="F457" s="78" t="inlineStr">
        <is>
          <t>Ancillary charge</t>
        </is>
      </c>
      <c r="G457" s="78" t="inlineStr">
        <is>
          <t>Land: corner piece premium</t>
        </is>
      </c>
      <c r="H457" s="78" t="inlineStr">
        <is>
          <t>BP-C0090</t>
        </is>
      </c>
      <c r="I457" s="78" t="inlineStr">
        <is>
          <t>Mr Ajiva Lubem Barnabas</t>
        </is>
      </c>
      <c r="J457" s="80" t="n">
        <v>130000</v>
      </c>
      <c r="K457" s="78" t="inlineStr">
        <is>
          <t>Allen Branch</t>
        </is>
      </c>
      <c r="L457" s="78" t="inlineStr">
        <is>
          <t>Primary: monthly turnover register</t>
        </is>
      </c>
      <c r="M457" s="78" t="inlineStr">
        <is>
          <t>BAAY PROJECTS FINANCIALS 2024.xlsx</t>
        </is>
      </c>
      <c r="N457" s="78" t="inlineStr">
        <is>
          <t>OCTOBER TURNOVER</t>
        </is>
      </c>
      <c r="O457" s="78" t="n">
        <v>14</v>
      </c>
      <c r="P457" s="78" t="inlineStr">
        <is>
          <t>2024-12-10</t>
        </is>
      </c>
      <c r="Q457" s="78" t="n"/>
      <c r="R457" s="78" t="n"/>
    </row>
    <row r="458" ht="25" customHeight="1">
      <c r="A458" s="75" t="inlineStr">
        <is>
          <t>SL0435</t>
        </is>
      </c>
      <c r="B458" s="76" t="n">
        <v>45579</v>
      </c>
      <c r="C458" s="75" t="inlineStr">
        <is>
          <t>2024-10</t>
        </is>
      </c>
      <c r="D458" s="75" t="n">
        <v>2024</v>
      </c>
      <c r="E458" s="75" t="inlineStr">
        <is>
          <t>Land</t>
        </is>
      </c>
      <c r="F458" s="75" t="inlineStr">
        <is>
          <t>Ancillary charge</t>
        </is>
      </c>
      <c r="G458" s="75" t="inlineStr">
        <is>
          <t>Land: corner piece premium</t>
        </is>
      </c>
      <c r="H458" s="75" t="inlineStr">
        <is>
          <t>BP-C0090</t>
        </is>
      </c>
      <c r="I458" s="75" t="inlineStr">
        <is>
          <t>Mr Ajiva Lubem Barnabas</t>
        </is>
      </c>
      <c r="J458" s="77" t="n">
        <v>5000</v>
      </c>
      <c r="K458" s="75" t="inlineStr">
        <is>
          <t>Allen Branch</t>
        </is>
      </c>
      <c r="L458" s="75" t="inlineStr">
        <is>
          <t>Primary: monthly turnover register</t>
        </is>
      </c>
      <c r="M458" s="75" t="inlineStr">
        <is>
          <t>BAAY PROJECTS FINANCIALS 2024.xlsx</t>
        </is>
      </c>
      <c r="N458" s="75" t="inlineStr">
        <is>
          <t>OCTOBER TURNOVER</t>
        </is>
      </c>
      <c r="O458" s="75" t="n">
        <v>15</v>
      </c>
      <c r="P458" s="75" t="inlineStr">
        <is>
          <t>14/10/2024</t>
        </is>
      </c>
      <c r="Q458" s="75" t="n"/>
      <c r="R458" s="75" t="n"/>
    </row>
    <row r="459" ht="25" customHeight="1">
      <c r="A459" s="78" t="inlineStr">
        <is>
          <t>SL0436</t>
        </is>
      </c>
      <c r="B459" s="79" t="n">
        <v>45582</v>
      </c>
      <c r="C459" s="78" t="inlineStr">
        <is>
          <t>2024-10</t>
        </is>
      </c>
      <c r="D459" s="78" t="n">
        <v>2024</v>
      </c>
      <c r="E459" s="78" t="inlineStr">
        <is>
          <t>Land</t>
        </is>
      </c>
      <c r="F459" s="78" t="inlineStr">
        <is>
          <t>Plot / unit price</t>
        </is>
      </c>
      <c r="G459" s="78" t="inlineStr">
        <is>
          <t>Green City Phase 3 (Omu-Epe)</t>
        </is>
      </c>
      <c r="H459" s="78" t="inlineStr">
        <is>
          <t>BP-C0115</t>
        </is>
      </c>
      <c r="I459" s="78" t="inlineStr">
        <is>
          <t>Mrs King Lavonda</t>
        </is>
      </c>
      <c r="J459" s="80" t="n">
        <v>1100000</v>
      </c>
      <c r="K459" s="78" t="inlineStr">
        <is>
          <t>Allen Branch</t>
        </is>
      </c>
      <c r="L459" s="78" t="inlineStr">
        <is>
          <t>Primary: monthly turnover register</t>
        </is>
      </c>
      <c r="M459" s="78" t="inlineStr">
        <is>
          <t>BAAY PROJECTS FINANCIALS 2024.xlsx</t>
        </is>
      </c>
      <c r="N459" s="78" t="inlineStr">
        <is>
          <t>OCTOBER TURNOVER</t>
        </is>
      </c>
      <c r="O459" s="78" t="n">
        <v>16</v>
      </c>
      <c r="P459" s="78" t="inlineStr">
        <is>
          <t>17/10/2024</t>
        </is>
      </c>
      <c r="Q459" s="78" t="inlineStr">
        <is>
          <t>MRS ABIMBOLA r136</t>
        </is>
      </c>
      <c r="R459" s="78" t="n"/>
    </row>
    <row r="460" ht="25" customHeight="1">
      <c r="A460" s="75" t="inlineStr">
        <is>
          <t>SL0437</t>
        </is>
      </c>
      <c r="B460" s="76" t="n">
        <v>45583</v>
      </c>
      <c r="C460" s="75" t="inlineStr">
        <is>
          <t>2024-10</t>
        </is>
      </c>
      <c r="D460" s="75" t="n">
        <v>2024</v>
      </c>
      <c r="E460" s="75" t="inlineStr">
        <is>
          <t>Land</t>
        </is>
      </c>
      <c r="F460" s="75" t="inlineStr">
        <is>
          <t>Plot / unit price</t>
        </is>
      </c>
      <c r="G460" s="75" t="inlineStr">
        <is>
          <t>Heritage Garden</t>
        </is>
      </c>
      <c r="H460" s="75" t="inlineStr">
        <is>
          <t>BP-C0137</t>
        </is>
      </c>
      <c r="I460" s="75" t="inlineStr">
        <is>
          <t>Mr Boyejo abiodun</t>
        </is>
      </c>
      <c r="J460" s="77" t="n">
        <v>250000</v>
      </c>
      <c r="K460" s="75" t="inlineStr">
        <is>
          <t>Allen Branch</t>
        </is>
      </c>
      <c r="L460" s="75" t="inlineStr">
        <is>
          <t>Primary: monthly turnover register</t>
        </is>
      </c>
      <c r="M460" s="75" t="inlineStr">
        <is>
          <t>BAAY PROJECTS FINANCIALS 2024.xlsx</t>
        </is>
      </c>
      <c r="N460" s="75" t="inlineStr">
        <is>
          <t>OCTOBER TURNOVER</t>
        </is>
      </c>
      <c r="O460" s="75" t="n">
        <v>20</v>
      </c>
      <c r="P460" s="75" t="inlineStr">
        <is>
          <t>18/10/2024</t>
        </is>
      </c>
      <c r="Q460" s="75" t="inlineStr">
        <is>
          <t>MS BOLANLE r111</t>
        </is>
      </c>
      <c r="R460" s="75" t="n"/>
    </row>
    <row r="461" ht="25" customHeight="1">
      <c r="A461" s="78" t="inlineStr">
        <is>
          <t>SL0438</t>
        </is>
      </c>
      <c r="B461" s="79" t="n">
        <v>45583</v>
      </c>
      <c r="C461" s="78" t="inlineStr">
        <is>
          <t>2024-10</t>
        </is>
      </c>
      <c r="D461" s="78" t="n">
        <v>2024</v>
      </c>
      <c r="E461" s="78" t="inlineStr">
        <is>
          <t>Land</t>
        </is>
      </c>
      <c r="F461" s="78" t="inlineStr">
        <is>
          <t>Plot / unit price</t>
        </is>
      </c>
      <c r="G461" s="78" t="inlineStr">
        <is>
          <t>Green City Ibadan (Akinyele-Moniya)</t>
        </is>
      </c>
      <c r="H461" s="78" t="inlineStr">
        <is>
          <t>BP-C0138</t>
        </is>
      </c>
      <c r="I461" s="78" t="inlineStr">
        <is>
          <t>Mr Olowodagba Olatunde Selim</t>
        </is>
      </c>
      <c r="J461" s="80" t="n">
        <v>2600000</v>
      </c>
      <c r="K461" s="78" t="inlineStr">
        <is>
          <t>Allen Branch</t>
        </is>
      </c>
      <c r="L461" s="78" t="inlineStr">
        <is>
          <t>Primary: monthly turnover register</t>
        </is>
      </c>
      <c r="M461" s="78" t="inlineStr">
        <is>
          <t>BAAY PROJECTS FINANCIALS 2024.xlsx</t>
        </is>
      </c>
      <c r="N461" s="78" t="inlineStr">
        <is>
          <t>OCTOBER TURNOVER</t>
        </is>
      </c>
      <c r="O461" s="78" t="n">
        <v>19</v>
      </c>
      <c r="P461" s="78" t="inlineStr">
        <is>
          <t>18/10/2024</t>
        </is>
      </c>
      <c r="Q461" s="78" t="inlineStr">
        <is>
          <t>OGIDAN r34, MS TOBI AJAYI r30</t>
        </is>
      </c>
      <c r="R461" s="78" t="n"/>
    </row>
    <row r="462" ht="25" customHeight="1">
      <c r="A462" s="75" t="inlineStr">
        <is>
          <t>SL0439</t>
        </is>
      </c>
      <c r="B462" s="76" t="n">
        <v>45583</v>
      </c>
      <c r="C462" s="75" t="inlineStr">
        <is>
          <t>2024-10</t>
        </is>
      </c>
      <c r="D462" s="75" t="n">
        <v>2024</v>
      </c>
      <c r="E462" s="75" t="inlineStr">
        <is>
          <t>Land</t>
        </is>
      </c>
      <c r="F462" s="75" t="inlineStr">
        <is>
          <t>Plot / unit price</t>
        </is>
      </c>
      <c r="G462" s="75" t="inlineStr">
        <is>
          <t>Green City Phase 3 (Omu-Epe)</t>
        </is>
      </c>
      <c r="H462" s="75" t="inlineStr">
        <is>
          <t>BP-C0131</t>
        </is>
      </c>
      <c r="I462" s="75" t="inlineStr">
        <is>
          <t>Scrapays Technologies</t>
        </is>
      </c>
      <c r="J462" s="77" t="n">
        <v>3000000</v>
      </c>
      <c r="K462" s="75" t="inlineStr">
        <is>
          <t>Allen Branch</t>
        </is>
      </c>
      <c r="L462" s="75" t="inlineStr">
        <is>
          <t>Primary: monthly turnover register</t>
        </is>
      </c>
      <c r="M462" s="75" t="inlineStr">
        <is>
          <t>BAAY PROJECTS FINANCIALS 2024.xlsx</t>
        </is>
      </c>
      <c r="N462" s="75" t="inlineStr">
        <is>
          <t>OCTOBER TURNOVER</t>
        </is>
      </c>
      <c r="O462" s="75" t="n">
        <v>17</v>
      </c>
      <c r="P462" s="75" t="inlineStr">
        <is>
          <t>18/10/2024</t>
        </is>
      </c>
      <c r="Q462" s="75" t="inlineStr">
        <is>
          <t>MD r68</t>
        </is>
      </c>
      <c r="R462" s="75" t="n"/>
    </row>
    <row r="463" ht="25" customHeight="1">
      <c r="A463" s="78" t="inlineStr">
        <is>
          <t>SL0440</t>
        </is>
      </c>
      <c r="B463" s="79" t="n">
        <v>45584</v>
      </c>
      <c r="C463" s="78" t="inlineStr">
        <is>
          <t>2024-10</t>
        </is>
      </c>
      <c r="D463" s="78" t="n">
        <v>2024</v>
      </c>
      <c r="E463" s="78" t="inlineStr">
        <is>
          <t>Land</t>
        </is>
      </c>
      <c r="F463" s="78" t="inlineStr">
        <is>
          <t>Plot / unit price</t>
        </is>
      </c>
      <c r="G463" s="78" t="inlineStr">
        <is>
          <t>Heritage Garden</t>
        </is>
      </c>
      <c r="H463" s="78" t="inlineStr">
        <is>
          <t>BP-C0129</t>
        </is>
      </c>
      <c r="I463" s="78" t="inlineStr">
        <is>
          <t>Mr Tedunjaye Michael Ilerioluwa</t>
        </is>
      </c>
      <c r="J463" s="80" t="n">
        <v>100000</v>
      </c>
      <c r="K463" s="78" t="inlineStr">
        <is>
          <t>Allen Branch</t>
        </is>
      </c>
      <c r="L463" s="78" t="inlineStr">
        <is>
          <t>Primary: monthly turnover register</t>
        </is>
      </c>
      <c r="M463" s="78" t="inlineStr">
        <is>
          <t>BAAY PROJECTS FINANCIALS 2024.xlsx</t>
        </is>
      </c>
      <c r="N463" s="78" t="inlineStr">
        <is>
          <t>OCTOBER TURNOVER</t>
        </is>
      </c>
      <c r="O463" s="78" t="n">
        <v>21</v>
      </c>
      <c r="P463" s="78" t="inlineStr">
        <is>
          <t>19/10/2024</t>
        </is>
      </c>
      <c r="Q463" s="78" t="n"/>
      <c r="R463" s="78" t="n"/>
    </row>
    <row r="464" ht="25" customHeight="1">
      <c r="A464" s="75" t="inlineStr">
        <is>
          <t>SL0441</t>
        </is>
      </c>
      <c r="B464" s="76" t="n">
        <v>45586</v>
      </c>
      <c r="C464" s="75" t="inlineStr">
        <is>
          <t>2024-10</t>
        </is>
      </c>
      <c r="D464" s="75" t="n">
        <v>2024</v>
      </c>
      <c r="E464" s="75" t="inlineStr">
        <is>
          <t>Land</t>
        </is>
      </c>
      <c r="F464" s="75" t="inlineStr">
        <is>
          <t>Plot / unit price</t>
        </is>
      </c>
      <c r="G464" s="75" t="inlineStr">
        <is>
          <t>Green City Phase 3 (Omu-Epe)</t>
        </is>
      </c>
      <c r="H464" s="75" t="inlineStr">
        <is>
          <t>BP-C0139</t>
        </is>
      </c>
      <c r="I464" s="75" t="inlineStr">
        <is>
          <t>Mr Felix Oluwatobi Adejumo</t>
        </is>
      </c>
      <c r="J464" s="77" t="n">
        <v>200000</v>
      </c>
      <c r="K464" s="75" t="inlineStr">
        <is>
          <t>Magodo Branch</t>
        </is>
      </c>
      <c r="L464" s="75" t="inlineStr">
        <is>
          <t>Primary: monthly turnover register</t>
        </is>
      </c>
      <c r="M464" s="75" t="inlineStr">
        <is>
          <t>BAAY PROJECTS FINANCIALS 2024.xlsx</t>
        </is>
      </c>
      <c r="N464" s="75" t="inlineStr">
        <is>
          <t>OCTOBER TURNOVER</t>
        </is>
      </c>
      <c r="O464" s="75" t="n">
        <v>12</v>
      </c>
      <c r="P464" s="75" t="inlineStr">
        <is>
          <t>21/10/2024</t>
        </is>
      </c>
      <c r="Q464" s="75" t="n"/>
      <c r="R464" s="75" t="n"/>
    </row>
    <row r="465" ht="25" customHeight="1">
      <c r="A465" s="78" t="inlineStr">
        <is>
          <t>SL0442</t>
        </is>
      </c>
      <c r="B465" s="79" t="n">
        <v>45586</v>
      </c>
      <c r="C465" s="78" t="inlineStr">
        <is>
          <t>2024-10</t>
        </is>
      </c>
      <c r="D465" s="78" t="n">
        <v>2024</v>
      </c>
      <c r="E465" s="78" t="inlineStr">
        <is>
          <t>Land</t>
        </is>
      </c>
      <c r="F465" s="78" t="inlineStr">
        <is>
          <t>Plot / unit price</t>
        </is>
      </c>
      <c r="G465" s="78" t="inlineStr">
        <is>
          <t>Green City Ibadan (Akinyele-Moniya)</t>
        </is>
      </c>
      <c r="H465" s="78" t="inlineStr">
        <is>
          <t>BP-C0138</t>
        </is>
      </c>
      <c r="I465" s="78" t="inlineStr">
        <is>
          <t>Mr Olowodagba Olatunde Selim</t>
        </is>
      </c>
      <c r="J465" s="80" t="n">
        <v>200000</v>
      </c>
      <c r="K465" s="78" t="inlineStr">
        <is>
          <t>Allen Branch</t>
        </is>
      </c>
      <c r="L465" s="78" t="inlineStr">
        <is>
          <t>Primary: monthly turnover register</t>
        </is>
      </c>
      <c r="M465" s="78" t="inlineStr">
        <is>
          <t>BAAY PROJECTS FINANCIALS 2024.xlsx</t>
        </is>
      </c>
      <c r="N465" s="78" t="inlineStr">
        <is>
          <t>OCTOBER TURNOVER</t>
        </is>
      </c>
      <c r="O465" s="78" t="n">
        <v>22</v>
      </c>
      <c r="P465" s="78" t="inlineStr">
        <is>
          <t>21/10/2024</t>
        </is>
      </c>
      <c r="Q465" s="78" t="inlineStr">
        <is>
          <t>OGIDAN r35, MS TOBI AJAYI r31</t>
        </is>
      </c>
      <c r="R465" s="78" t="n"/>
    </row>
    <row r="466" ht="25" customHeight="1">
      <c r="A466" s="75" t="inlineStr">
        <is>
          <t>SL0443</t>
        </is>
      </c>
      <c r="B466" s="76" t="n">
        <v>45587</v>
      </c>
      <c r="C466" s="75" t="inlineStr">
        <is>
          <t>2024-10</t>
        </is>
      </c>
      <c r="D466" s="75" t="n">
        <v>2024</v>
      </c>
      <c r="E466" s="75" t="inlineStr">
        <is>
          <t>Land</t>
        </is>
      </c>
      <c r="F466" s="75" t="inlineStr">
        <is>
          <t>Plot / unit price</t>
        </is>
      </c>
      <c r="G466" s="75" t="inlineStr">
        <is>
          <t>Green City Phase 1 (Lantaba, Ketu-Epe)</t>
        </is>
      </c>
      <c r="H466" s="75" t="inlineStr">
        <is>
          <t>BP-C0086</t>
        </is>
      </c>
      <c r="I466" s="75" t="inlineStr">
        <is>
          <t>Miss Nwobodo Miriam Chioma</t>
        </is>
      </c>
      <c r="J466" s="77" t="n">
        <v>400000</v>
      </c>
      <c r="K466" s="75" t="inlineStr">
        <is>
          <t>Allen Branch</t>
        </is>
      </c>
      <c r="L466" s="75" t="inlineStr">
        <is>
          <t>Primary: monthly turnover register</t>
        </is>
      </c>
      <c r="M466" s="75" t="inlineStr">
        <is>
          <t>BAAY PROJECTS FINANCIALS 2024.xlsx</t>
        </is>
      </c>
      <c r="N466" s="75" t="inlineStr">
        <is>
          <t>OCTOBER TURNOVER</t>
        </is>
      </c>
      <c r="O466" s="75" t="n">
        <v>24</v>
      </c>
      <c r="P466" s="75" t="inlineStr">
        <is>
          <t>22/10/2024</t>
        </is>
      </c>
      <c r="Q466" s="75" t="n"/>
      <c r="R466" s="75" t="n"/>
    </row>
    <row r="467" ht="25" customHeight="1">
      <c r="A467" s="78" t="inlineStr">
        <is>
          <t>SL0444</t>
        </is>
      </c>
      <c r="B467" s="79" t="n">
        <v>45587</v>
      </c>
      <c r="C467" s="78" t="inlineStr">
        <is>
          <t>2024-10</t>
        </is>
      </c>
      <c r="D467" s="78" t="n">
        <v>2024</v>
      </c>
      <c r="E467" s="78" t="inlineStr">
        <is>
          <t>Land</t>
        </is>
      </c>
      <c r="F467" s="78" t="inlineStr">
        <is>
          <t>Plot / unit price</t>
        </is>
      </c>
      <c r="G467" s="78" t="inlineStr">
        <is>
          <t>Green City Phase 2 (Ketu-Epe)</t>
        </is>
      </c>
      <c r="H467" s="78" t="inlineStr">
        <is>
          <t>BP-C0126</t>
        </is>
      </c>
      <c r="I467" s="78" t="inlineStr">
        <is>
          <t>Miss Ogundipe Motunrayo Fransisca</t>
        </is>
      </c>
      <c r="J467" s="80" t="n">
        <v>1335000</v>
      </c>
      <c r="K467" s="78" t="inlineStr">
        <is>
          <t>Allen Branch</t>
        </is>
      </c>
      <c r="L467" s="78" t="inlineStr">
        <is>
          <t>Primary: monthly turnover register</t>
        </is>
      </c>
      <c r="M467" s="78" t="inlineStr">
        <is>
          <t>BAAY PROJECTS FINANCIALS 2024.xlsx</t>
        </is>
      </c>
      <c r="N467" s="78" t="inlineStr">
        <is>
          <t>OCTOBER TURNOVER</t>
        </is>
      </c>
      <c r="O467" s="78" t="n">
        <v>23</v>
      </c>
      <c r="P467" s="78" t="inlineStr">
        <is>
          <t>22/10/2024</t>
        </is>
      </c>
      <c r="Q467" s="78" t="n"/>
      <c r="R467" s="78" t="n"/>
    </row>
    <row r="468" ht="25" customHeight="1">
      <c r="A468" s="75" t="inlineStr">
        <is>
          <t>SL0445</t>
        </is>
      </c>
      <c r="B468" s="76" t="n">
        <v>45587</v>
      </c>
      <c r="C468" s="75" t="inlineStr">
        <is>
          <t>2024-10</t>
        </is>
      </c>
      <c r="D468" s="75" t="n">
        <v>2024</v>
      </c>
      <c r="E468" s="75" t="inlineStr">
        <is>
          <t>Land</t>
        </is>
      </c>
      <c r="F468" s="75" t="inlineStr">
        <is>
          <t>Plot / unit price</t>
        </is>
      </c>
      <c r="G468" s="75" t="inlineStr">
        <is>
          <t>Green City Phase 3 (Omu-Epe)</t>
        </is>
      </c>
      <c r="H468" s="75" t="inlineStr">
        <is>
          <t>BP-C0132</t>
        </is>
      </c>
      <c r="I468" s="75" t="inlineStr">
        <is>
          <t>Mr Adekunle Ajayi Temitope</t>
        </is>
      </c>
      <c r="J468" s="77" t="n">
        <v>1335000</v>
      </c>
      <c r="K468" s="75" t="inlineStr">
        <is>
          <t>Magodo Branch</t>
        </is>
      </c>
      <c r="L468" s="75" t="inlineStr">
        <is>
          <t>Primary: monthly turnover register</t>
        </is>
      </c>
      <c r="M468" s="75" t="inlineStr">
        <is>
          <t>BAAY PROJECTS FINANCIALS 2024.xlsx</t>
        </is>
      </c>
      <c r="N468" s="75" t="inlineStr">
        <is>
          <t>OCTOBER TURNOVER</t>
        </is>
      </c>
      <c r="O468" s="75" t="n">
        <v>13</v>
      </c>
      <c r="P468" s="75" t="inlineStr">
        <is>
          <t>22/10/2024</t>
        </is>
      </c>
      <c r="Q468" s="75" t="inlineStr">
        <is>
          <t>MS OPEYEMI ADEGOKE r3</t>
        </is>
      </c>
      <c r="R468" s="75" t="n"/>
    </row>
    <row r="469" ht="25" customHeight="1">
      <c r="A469" s="78" t="inlineStr">
        <is>
          <t>SL0446</t>
        </is>
      </c>
      <c r="B469" s="79" t="n">
        <v>45588</v>
      </c>
      <c r="C469" s="78" t="inlineStr">
        <is>
          <t>2024-10</t>
        </is>
      </c>
      <c r="D469" s="78" t="n">
        <v>2024</v>
      </c>
      <c r="E469" s="78" t="inlineStr">
        <is>
          <t>Land</t>
        </is>
      </c>
      <c r="F469" s="78" t="inlineStr">
        <is>
          <t>Plot / unit price</t>
        </is>
      </c>
      <c r="G469" s="78" t="inlineStr">
        <is>
          <t>Green City Phase 3 (Omu-Epe)</t>
        </is>
      </c>
      <c r="H469" s="78" t="inlineStr">
        <is>
          <t>BP-C0140</t>
        </is>
      </c>
      <c r="I469" s="78" t="inlineStr">
        <is>
          <t>Mr Balogun Akeem Tokunbo</t>
        </is>
      </c>
      <c r="J469" s="80" t="n">
        <v>4000000</v>
      </c>
      <c r="K469" s="78" t="inlineStr">
        <is>
          <t>Magodo Branch</t>
        </is>
      </c>
      <c r="L469" s="78" t="inlineStr">
        <is>
          <t>Primary: monthly turnover register</t>
        </is>
      </c>
      <c r="M469" s="78" t="inlineStr">
        <is>
          <t>BAAY PROJECTS FINANCIALS 2024.xlsx</t>
        </is>
      </c>
      <c r="N469" s="78" t="inlineStr">
        <is>
          <t>OCTOBER TURNOVER</t>
        </is>
      </c>
      <c r="O469" s="78" t="n">
        <v>14</v>
      </c>
      <c r="P469" s="78" t="inlineStr">
        <is>
          <t>23/10/2024</t>
        </is>
      </c>
      <c r="Q469" s="78" t="inlineStr">
        <is>
          <t>MAMA ADEBIMPE r2</t>
        </is>
      </c>
      <c r="R469" s="78" t="n"/>
    </row>
    <row r="470" ht="25" customHeight="1">
      <c r="A470" s="75" t="inlineStr">
        <is>
          <t>SL0447</t>
        </is>
      </c>
      <c r="B470" s="76" t="n">
        <v>45588</v>
      </c>
      <c r="C470" s="75" t="inlineStr">
        <is>
          <t>2024-10</t>
        </is>
      </c>
      <c r="D470" s="75" t="n">
        <v>2024</v>
      </c>
      <c r="E470" s="75" t="inlineStr">
        <is>
          <t>Land</t>
        </is>
      </c>
      <c r="F470" s="75" t="inlineStr">
        <is>
          <t>Plot / unit price</t>
        </is>
      </c>
      <c r="G470" s="75" t="inlineStr">
        <is>
          <t>Green City Phase 3 (Omu-Epe)</t>
        </is>
      </c>
      <c r="H470" s="75" t="inlineStr">
        <is>
          <t>BP-C0115</t>
        </is>
      </c>
      <c r="I470" s="75" t="inlineStr">
        <is>
          <t>Mrs King Lavonda</t>
        </is>
      </c>
      <c r="J470" s="77" t="n">
        <v>1100000</v>
      </c>
      <c r="K470" s="75" t="inlineStr">
        <is>
          <t>Allen Branch</t>
        </is>
      </c>
      <c r="L470" s="75" t="inlineStr">
        <is>
          <t>Primary: monthly turnover register</t>
        </is>
      </c>
      <c r="M470" s="75" t="inlineStr">
        <is>
          <t>BAAY PROJECTS FINANCIALS 2024.xlsx</t>
        </is>
      </c>
      <c r="N470" s="75" t="inlineStr">
        <is>
          <t>OCTOBER TURNOVER</t>
        </is>
      </c>
      <c r="O470" s="75" t="n">
        <v>25</v>
      </c>
      <c r="P470" s="75" t="inlineStr">
        <is>
          <t>23/10/2024</t>
        </is>
      </c>
      <c r="Q470" s="75" t="inlineStr">
        <is>
          <t>MRS ABIMBOLA r137</t>
        </is>
      </c>
      <c r="R470" s="75" t="n"/>
    </row>
    <row r="471" ht="25" customHeight="1">
      <c r="A471" s="78" t="inlineStr">
        <is>
          <t>SL0448</t>
        </is>
      </c>
      <c r="B471" s="79" t="n">
        <v>45590</v>
      </c>
      <c r="C471" s="78" t="inlineStr">
        <is>
          <t>2024-10</t>
        </is>
      </c>
      <c r="D471" s="78" t="n">
        <v>2024</v>
      </c>
      <c r="E471" s="78" t="inlineStr">
        <is>
          <t>Land</t>
        </is>
      </c>
      <c r="F471" s="78" t="inlineStr">
        <is>
          <t>Plot / unit price</t>
        </is>
      </c>
      <c r="G471" s="78" t="inlineStr">
        <is>
          <t>Heritage Garden</t>
        </is>
      </c>
      <c r="H471" s="78" t="inlineStr">
        <is>
          <t>BP-C0130</t>
        </is>
      </c>
      <c r="I471" s="78" t="inlineStr">
        <is>
          <t>Miss Akindele Felicia Oluwatoyin</t>
        </is>
      </c>
      <c r="J471" s="80" t="n">
        <v>100000</v>
      </c>
      <c r="K471" s="78" t="inlineStr">
        <is>
          <t>Allen Branch</t>
        </is>
      </c>
      <c r="L471" s="78" t="inlineStr">
        <is>
          <t>Primary: monthly turnover register</t>
        </is>
      </c>
      <c r="M471" s="78" t="inlineStr">
        <is>
          <t>BAAY PROJECTS FINANCIALS 2024.xlsx</t>
        </is>
      </c>
      <c r="N471" s="78" t="inlineStr">
        <is>
          <t>OCTOBER TURNOVER</t>
        </is>
      </c>
      <c r="O471" s="78" t="n">
        <v>27</v>
      </c>
      <c r="P471" s="78" t="inlineStr">
        <is>
          <t>25/10/2024</t>
        </is>
      </c>
      <c r="Q471" s="78" t="inlineStr">
        <is>
          <t>MS FISAYO r46</t>
        </is>
      </c>
      <c r="R471" s="78" t="n"/>
    </row>
    <row r="472" ht="25" customHeight="1">
      <c r="A472" s="75" t="inlineStr">
        <is>
          <t>SL0449</t>
        </is>
      </c>
      <c r="B472" s="76" t="n">
        <v>45590</v>
      </c>
      <c r="C472" s="75" t="inlineStr">
        <is>
          <t>2024-10</t>
        </is>
      </c>
      <c r="D472" s="75" t="n">
        <v>2024</v>
      </c>
      <c r="E472" s="75" t="inlineStr">
        <is>
          <t>Land</t>
        </is>
      </c>
      <c r="F472" s="75" t="inlineStr">
        <is>
          <t>Plot / unit price</t>
        </is>
      </c>
      <c r="G472" s="75" t="inlineStr">
        <is>
          <t>Green City Phase 1 (Lantaba, Ketu-Epe)</t>
        </is>
      </c>
      <c r="H472" s="75" t="inlineStr">
        <is>
          <t>BP-C0086</t>
        </is>
      </c>
      <c r="I472" s="75" t="inlineStr">
        <is>
          <t>Miss Nwobodo Miriam Chioma</t>
        </is>
      </c>
      <c r="J472" s="77" t="n">
        <v>100000</v>
      </c>
      <c r="K472" s="75" t="inlineStr">
        <is>
          <t>Allen Branch</t>
        </is>
      </c>
      <c r="L472" s="75" t="inlineStr">
        <is>
          <t>Primary: monthly turnover register</t>
        </is>
      </c>
      <c r="M472" s="75" t="inlineStr">
        <is>
          <t>BAAY PROJECTS FINANCIALS 2024.xlsx</t>
        </is>
      </c>
      <c r="N472" s="75" t="inlineStr">
        <is>
          <t>OCTOBER TURNOVER</t>
        </is>
      </c>
      <c r="O472" s="75" t="n">
        <v>26</v>
      </c>
      <c r="P472" s="75" t="inlineStr">
        <is>
          <t>25/10/2024</t>
        </is>
      </c>
      <c r="Q472" s="75" t="inlineStr">
        <is>
          <t>MD r71</t>
        </is>
      </c>
      <c r="R472" s="75" t="n"/>
    </row>
    <row r="473" ht="25" customHeight="1">
      <c r="A473" s="78" t="inlineStr">
        <is>
          <t>SL0450</t>
        </is>
      </c>
      <c r="B473" s="79" t="n">
        <v>45590</v>
      </c>
      <c r="C473" s="78" t="inlineStr">
        <is>
          <t>2024-10</t>
        </is>
      </c>
      <c r="D473" s="78" t="n">
        <v>2024</v>
      </c>
      <c r="E473" s="78" t="inlineStr">
        <is>
          <t>Housing</t>
        </is>
      </c>
      <c r="F473" s="78" t="inlineStr">
        <is>
          <t>Plot / unit price</t>
        </is>
      </c>
      <c r="G473" s="78" t="inlineStr">
        <is>
          <t>Pacific Apartment</t>
        </is>
      </c>
      <c r="H473" s="78" t="inlineStr">
        <is>
          <t>BP-C0140</t>
        </is>
      </c>
      <c r="I473" s="78" t="inlineStr">
        <is>
          <t>Mr Balogun Akeem Tokunbo</t>
        </is>
      </c>
      <c r="J473" s="80" t="n">
        <v>10000000</v>
      </c>
      <c r="K473" s="78" t="inlineStr">
        <is>
          <t>Magodo Branch</t>
        </is>
      </c>
      <c r="L473" s="78" t="inlineStr">
        <is>
          <t>Primary: monthly turnover register</t>
        </is>
      </c>
      <c r="M473" s="78" t="inlineStr">
        <is>
          <t>BAAY PROJECTS FINANCIALS 2024.xlsx</t>
        </is>
      </c>
      <c r="N473" s="78" t="inlineStr">
        <is>
          <t>OCTOBER TURNOVER</t>
        </is>
      </c>
      <c r="O473" s="78" t="n">
        <v>15</v>
      </c>
      <c r="P473" s="78" t="inlineStr">
        <is>
          <t>25/10/2024</t>
        </is>
      </c>
      <c r="Q473" s="78" t="inlineStr">
        <is>
          <t>MAMA ADEBIMPE r3</t>
        </is>
      </c>
      <c r="R473" s="78" t="n"/>
    </row>
    <row r="474" ht="25" customHeight="1">
      <c r="A474" s="75" t="inlineStr">
        <is>
          <t>SL0451</t>
        </is>
      </c>
      <c r="B474" s="76" t="n">
        <v>45590</v>
      </c>
      <c r="C474" s="75" t="inlineStr">
        <is>
          <t>2024-10</t>
        </is>
      </c>
      <c r="D474" s="75" t="n">
        <v>2024</v>
      </c>
      <c r="E474" s="75" t="inlineStr">
        <is>
          <t>Land</t>
        </is>
      </c>
      <c r="F474" s="75" t="inlineStr">
        <is>
          <t>Plot / unit price</t>
        </is>
      </c>
      <c r="G474" s="75" t="inlineStr">
        <is>
          <t>Green City Phase 3 (Omu-Epe)</t>
        </is>
      </c>
      <c r="H474" s="75" t="inlineStr">
        <is>
          <t>BP-C0133</t>
        </is>
      </c>
      <c r="I474" s="75" t="inlineStr">
        <is>
          <t>Mr Olagbende Oluwashina</t>
        </is>
      </c>
      <c r="J474" s="77" t="n">
        <v>600000</v>
      </c>
      <c r="K474" s="75" t="inlineStr">
        <is>
          <t>Magodo Branch</t>
        </is>
      </c>
      <c r="L474" s="75" t="inlineStr">
        <is>
          <t>Primary: monthly turnover register</t>
        </is>
      </c>
      <c r="M474" s="75" t="inlineStr">
        <is>
          <t>BAAY PROJECTS FINANCIALS 2024.xlsx</t>
        </is>
      </c>
      <c r="N474" s="75" t="inlineStr">
        <is>
          <t>OCTOBER TURNOVER</t>
        </is>
      </c>
      <c r="O474" s="75" t="n">
        <v>17</v>
      </c>
      <c r="P474" s="75" t="inlineStr">
        <is>
          <t>25/10/2024</t>
        </is>
      </c>
      <c r="Q474" s="75" t="inlineStr">
        <is>
          <t>MS AWONORIN MAYOWA r9</t>
        </is>
      </c>
      <c r="R474" s="75" t="n"/>
    </row>
    <row r="475" ht="25" customHeight="1">
      <c r="A475" s="78" t="inlineStr">
        <is>
          <t>SL0452</t>
        </is>
      </c>
      <c r="B475" s="79" t="n">
        <v>45591</v>
      </c>
      <c r="C475" s="78" t="inlineStr">
        <is>
          <t>2024-10</t>
        </is>
      </c>
      <c r="D475" s="78" t="n">
        <v>2024</v>
      </c>
      <c r="E475" s="78" t="inlineStr">
        <is>
          <t>Land</t>
        </is>
      </c>
      <c r="F475" s="78" t="inlineStr">
        <is>
          <t>Plot / unit price</t>
        </is>
      </c>
      <c r="G475" s="78" t="inlineStr">
        <is>
          <t>Green City Phase 2 (Ketu-Epe)</t>
        </is>
      </c>
      <c r="H475" s="78" t="inlineStr">
        <is>
          <t>BP-C0097</t>
        </is>
      </c>
      <c r="I475" s="78" t="inlineStr">
        <is>
          <t>Engr Fagbulu Taiwo</t>
        </is>
      </c>
      <c r="J475" s="80" t="n">
        <v>700000</v>
      </c>
      <c r="K475" s="78" t="inlineStr">
        <is>
          <t>Magodo Branch</t>
        </is>
      </c>
      <c r="L475" s="78" t="inlineStr">
        <is>
          <t>Primary: monthly turnover register</t>
        </is>
      </c>
      <c r="M475" s="78" t="inlineStr">
        <is>
          <t>BAAY PROJECTS FINANCIALS 2024.xlsx</t>
        </is>
      </c>
      <c r="N475" s="78" t="inlineStr">
        <is>
          <t>OCTOBER TURNOVER</t>
        </is>
      </c>
      <c r="O475" s="78" t="n">
        <v>21</v>
      </c>
      <c r="P475" s="78" t="inlineStr">
        <is>
          <t>26/10/2024</t>
        </is>
      </c>
      <c r="Q475" s="78" t="n"/>
      <c r="R475" s="78" t="n"/>
    </row>
    <row r="476" ht="25" customHeight="1">
      <c r="A476" s="75" t="inlineStr">
        <is>
          <t>SL0453</t>
        </is>
      </c>
      <c r="B476" s="76" t="n">
        <v>45591</v>
      </c>
      <c r="C476" s="75" t="inlineStr">
        <is>
          <t>2024-10</t>
        </is>
      </c>
      <c r="D476" s="75" t="n">
        <v>2024</v>
      </c>
      <c r="E476" s="75" t="inlineStr">
        <is>
          <t>Land</t>
        </is>
      </c>
      <c r="F476" s="75" t="inlineStr">
        <is>
          <t>Plot / unit price</t>
        </is>
      </c>
      <c r="G476" s="75" t="inlineStr">
        <is>
          <t>Green City Phase 3 (Omu-Epe)</t>
        </is>
      </c>
      <c r="H476" s="75" t="inlineStr">
        <is>
          <t>BP-C0132</t>
        </is>
      </c>
      <c r="I476" s="75" t="inlineStr">
        <is>
          <t>Mr Adekunle Ajayi Temitope</t>
        </is>
      </c>
      <c r="J476" s="77" t="n">
        <v>1000000</v>
      </c>
      <c r="K476" s="75" t="inlineStr">
        <is>
          <t>Magodo Branch</t>
        </is>
      </c>
      <c r="L476" s="75" t="inlineStr">
        <is>
          <t>Primary: monthly turnover register</t>
        </is>
      </c>
      <c r="M476" s="75" t="inlineStr">
        <is>
          <t>BAAY PROJECTS FINANCIALS 2024.xlsx</t>
        </is>
      </c>
      <c r="N476" s="75" t="inlineStr">
        <is>
          <t>OCTOBER TURNOVER</t>
        </is>
      </c>
      <c r="O476" s="75" t="n">
        <v>20</v>
      </c>
      <c r="P476" s="75" t="inlineStr">
        <is>
          <t>26/10/2024</t>
        </is>
      </c>
      <c r="Q476" s="75" t="inlineStr">
        <is>
          <t>MS OPEYEMI ADEGOKE r4</t>
        </is>
      </c>
      <c r="R476" s="75" t="n"/>
    </row>
    <row r="477" ht="25" customHeight="1">
      <c r="A477" s="78" t="inlineStr">
        <is>
          <t>SL0454</t>
        </is>
      </c>
      <c r="B477" s="79" t="n">
        <v>45591</v>
      </c>
      <c r="C477" s="78" t="inlineStr">
        <is>
          <t>2024-10</t>
        </is>
      </c>
      <c r="D477" s="78" t="n">
        <v>2024</v>
      </c>
      <c r="E477" s="78" t="inlineStr">
        <is>
          <t>Land</t>
        </is>
      </c>
      <c r="F477" s="78" t="inlineStr">
        <is>
          <t>Plot / unit price</t>
        </is>
      </c>
      <c r="G477" s="78" t="inlineStr">
        <is>
          <t>Green City Phase 2 (Ketu-Epe)</t>
        </is>
      </c>
      <c r="H477" s="78" t="inlineStr">
        <is>
          <t>BP-C0100</t>
        </is>
      </c>
      <c r="I477" s="78" t="inlineStr">
        <is>
          <t>Mr Braimoh Ayomide</t>
        </is>
      </c>
      <c r="J477" s="80" t="n">
        <v>617500</v>
      </c>
      <c r="K477" s="78" t="inlineStr">
        <is>
          <t>Magodo Branch</t>
        </is>
      </c>
      <c r="L477" s="78" t="inlineStr">
        <is>
          <t>Primary: monthly turnover register</t>
        </is>
      </c>
      <c r="M477" s="78" t="inlineStr">
        <is>
          <t>BAAY PROJECTS FINANCIALS 2024.xlsx</t>
        </is>
      </c>
      <c r="N477" s="78" t="inlineStr">
        <is>
          <t>OCTOBER TURNOVER</t>
        </is>
      </c>
      <c r="O477" s="78" t="n">
        <v>18</v>
      </c>
      <c r="P477" s="78" t="inlineStr">
        <is>
          <t>26/10/2024</t>
        </is>
      </c>
      <c r="Q477" s="78" t="n"/>
      <c r="R477" s="78" t="n"/>
    </row>
    <row r="478" ht="25" customHeight="1">
      <c r="A478" s="75" t="inlineStr">
        <is>
          <t>SL0455</t>
        </is>
      </c>
      <c r="B478" s="76" t="n">
        <v>45593</v>
      </c>
      <c r="C478" s="75" t="inlineStr">
        <is>
          <t>2024-10</t>
        </is>
      </c>
      <c r="D478" s="75" t="n">
        <v>2024</v>
      </c>
      <c r="E478" s="75" t="inlineStr">
        <is>
          <t>Land</t>
        </is>
      </c>
      <c r="F478" s="75" t="inlineStr">
        <is>
          <t>Plot / unit price</t>
        </is>
      </c>
      <c r="G478" s="75" t="inlineStr">
        <is>
          <t>Green City Phase 2 (Ketu-Epe)</t>
        </is>
      </c>
      <c r="H478" s="75" t="inlineStr">
        <is>
          <t>BP-C0068</t>
        </is>
      </c>
      <c r="I478" s="75" t="inlineStr">
        <is>
          <t>Miss Ebhotah Sharon Aisosa</t>
        </is>
      </c>
      <c r="J478" s="77" t="n">
        <v>500000</v>
      </c>
      <c r="K478" s="75" t="inlineStr">
        <is>
          <t>Magodo Branch</t>
        </is>
      </c>
      <c r="L478" s="75" t="inlineStr">
        <is>
          <t>Primary: monthly turnover register</t>
        </is>
      </c>
      <c r="M478" s="75" t="inlineStr">
        <is>
          <t>BAAY PROJECTS FINANCIALS 2024.xlsx</t>
        </is>
      </c>
      <c r="N478" s="75" t="inlineStr">
        <is>
          <t>OCTOBER TURNOVER</t>
        </is>
      </c>
      <c r="O478" s="75" t="n">
        <v>22</v>
      </c>
      <c r="P478" s="75" t="inlineStr">
        <is>
          <t>28/10/2024</t>
        </is>
      </c>
      <c r="Q478" s="75" t="inlineStr">
        <is>
          <t>MS BLESSING r114</t>
        </is>
      </c>
      <c r="R478" s="75" t="n"/>
    </row>
    <row r="479" ht="25" customHeight="1">
      <c r="A479" s="78" t="inlineStr">
        <is>
          <t>SL0456</t>
        </is>
      </c>
      <c r="B479" s="79" t="n">
        <v>45593</v>
      </c>
      <c r="C479" s="78" t="inlineStr">
        <is>
          <t>2024-10</t>
        </is>
      </c>
      <c r="D479" s="78" t="n">
        <v>2024</v>
      </c>
      <c r="E479" s="78" t="inlineStr">
        <is>
          <t>Land</t>
        </is>
      </c>
      <c r="F479" s="78" t="inlineStr">
        <is>
          <t>Plot / unit price</t>
        </is>
      </c>
      <c r="G479" s="78" t="inlineStr">
        <is>
          <t>Green City Phase 3 (Omu-Epe)</t>
        </is>
      </c>
      <c r="H479" s="78" t="inlineStr">
        <is>
          <t>BP-C0127</t>
        </is>
      </c>
      <c r="I479" s="78" t="inlineStr">
        <is>
          <t>Mr Adigun Muyiwa &amp; Mrs Adigun Folashade</t>
        </is>
      </c>
      <c r="J479" s="80" t="n">
        <v>700000</v>
      </c>
      <c r="K479" s="78" t="inlineStr">
        <is>
          <t>Allen Branch</t>
        </is>
      </c>
      <c r="L479" s="78" t="inlineStr">
        <is>
          <t>Primary: monthly turnover register</t>
        </is>
      </c>
      <c r="M479" s="78" t="inlineStr">
        <is>
          <t>BAAY PROJECTS FINANCIALS 2024.xlsx</t>
        </is>
      </c>
      <c r="N479" s="78" t="inlineStr">
        <is>
          <t>OCTOBER TURNOVER</t>
        </is>
      </c>
      <c r="O479" s="78" t="n">
        <v>28</v>
      </c>
      <c r="P479" s="78" t="inlineStr">
        <is>
          <t>28/10/2024</t>
        </is>
      </c>
      <c r="Q479" s="78" t="inlineStr">
        <is>
          <t>MR AYENI MAYOWA r9</t>
        </is>
      </c>
      <c r="R479" s="78" t="n"/>
    </row>
    <row r="480" ht="25" customHeight="1">
      <c r="A480" s="75" t="inlineStr">
        <is>
          <t>SL0457</t>
        </is>
      </c>
      <c r="B480" s="76" t="n">
        <v>45593</v>
      </c>
      <c r="C480" s="75" t="inlineStr">
        <is>
          <t>2024-10</t>
        </is>
      </c>
      <c r="D480" s="75" t="n">
        <v>2024</v>
      </c>
      <c r="E480" s="75" t="inlineStr">
        <is>
          <t>Housing</t>
        </is>
      </c>
      <c r="F480" s="75" t="inlineStr">
        <is>
          <t>Plot / unit price</t>
        </is>
      </c>
      <c r="G480" s="75" t="inlineStr">
        <is>
          <t>Pacific Apartment</t>
        </is>
      </c>
      <c r="H480" s="75" t="inlineStr">
        <is>
          <t>BP-C0140</t>
        </is>
      </c>
      <c r="I480" s="75" t="inlineStr">
        <is>
          <t>Mr Balogun Akeem Tokunbo</t>
        </is>
      </c>
      <c r="J480" s="77" t="n">
        <v>10000000</v>
      </c>
      <c r="K480" s="75" t="inlineStr">
        <is>
          <t>Magodo Branch</t>
        </is>
      </c>
      <c r="L480" s="75" t="inlineStr">
        <is>
          <t>Primary: monthly turnover register</t>
        </is>
      </c>
      <c r="M480" s="75" t="inlineStr">
        <is>
          <t>BAAY PROJECTS FINANCIALS 2024.xlsx</t>
        </is>
      </c>
      <c r="N480" s="75" t="inlineStr">
        <is>
          <t>OCTOBER TURNOVER</t>
        </is>
      </c>
      <c r="O480" s="75" t="n">
        <v>23</v>
      </c>
      <c r="P480" s="75" t="inlineStr">
        <is>
          <t>28/10/2024</t>
        </is>
      </c>
      <c r="Q480" s="75" t="inlineStr">
        <is>
          <t>MAMA ADEBIMPE r4</t>
        </is>
      </c>
      <c r="R480" s="75" t="n"/>
    </row>
    <row r="481" ht="25" customHeight="1">
      <c r="A481" s="78" t="inlineStr">
        <is>
          <t>SL0458</t>
        </is>
      </c>
      <c r="B481" s="79" t="n">
        <v>45594</v>
      </c>
      <c r="C481" s="78" t="inlineStr">
        <is>
          <t>2024-10</t>
        </is>
      </c>
      <c r="D481" s="78" t="n">
        <v>2024</v>
      </c>
      <c r="E481" s="78" t="inlineStr">
        <is>
          <t>Land</t>
        </is>
      </c>
      <c r="F481" s="78" t="inlineStr">
        <is>
          <t>Plot / unit price</t>
        </is>
      </c>
      <c r="G481" s="78" t="inlineStr">
        <is>
          <t>Green City Phase 3 (Omu-Epe)</t>
        </is>
      </c>
      <c r="H481" s="78" t="inlineStr">
        <is>
          <t>BP-C0133</t>
        </is>
      </c>
      <c r="I481" s="78" t="inlineStr">
        <is>
          <t>Mr Olagbende Oluwashina</t>
        </is>
      </c>
      <c r="J481" s="80" t="n">
        <v>400000</v>
      </c>
      <c r="K481" s="78" t="inlineStr">
        <is>
          <t>Magodo Branch</t>
        </is>
      </c>
      <c r="L481" s="78" t="inlineStr">
        <is>
          <t>Primary: monthly turnover register</t>
        </is>
      </c>
      <c r="M481" s="78" t="inlineStr">
        <is>
          <t>BAAY PROJECTS FINANCIALS 2024.xlsx</t>
        </is>
      </c>
      <c r="N481" s="78" t="inlineStr">
        <is>
          <t>OCTOBER TURNOVER</t>
        </is>
      </c>
      <c r="O481" s="78" t="n">
        <v>24</v>
      </c>
      <c r="P481" s="78" t="inlineStr">
        <is>
          <t>29/10/2024</t>
        </is>
      </c>
      <c r="Q481" s="78" t="inlineStr">
        <is>
          <t>MS AWONORIN MAYOWA r10</t>
        </is>
      </c>
      <c r="R481" s="78" t="n"/>
    </row>
    <row r="482" ht="25" customHeight="1">
      <c r="A482" s="75" t="inlineStr">
        <is>
          <t>SL0459</t>
        </is>
      </c>
      <c r="B482" s="76" t="n">
        <v>45595</v>
      </c>
      <c r="C482" s="75" t="inlineStr">
        <is>
          <t>2024-10</t>
        </is>
      </c>
      <c r="D482" s="75" t="n">
        <v>2024</v>
      </c>
      <c r="E482" s="75" t="inlineStr">
        <is>
          <t>Land</t>
        </is>
      </c>
      <c r="F482" s="75" t="inlineStr">
        <is>
          <t>Plot / unit price</t>
        </is>
      </c>
      <c r="G482" s="75" t="inlineStr">
        <is>
          <t>Green City Phase 2 (Ketu-Epe)</t>
        </is>
      </c>
      <c r="H482" s="75" t="inlineStr">
        <is>
          <t>BP-C0097</t>
        </is>
      </c>
      <c r="I482" s="75" t="inlineStr">
        <is>
          <t>Engr Fagbulu Taiwo</t>
        </is>
      </c>
      <c r="J482" s="77" t="n">
        <v>700000</v>
      </c>
      <c r="K482" s="75" t="inlineStr">
        <is>
          <t>Magodo Branch</t>
        </is>
      </c>
      <c r="L482" s="75" t="inlineStr">
        <is>
          <t>Primary: monthly turnover register</t>
        </is>
      </c>
      <c r="M482" s="75" t="inlineStr">
        <is>
          <t>BAAY PROJECTS FINANCIALS 2024.xlsx</t>
        </is>
      </c>
      <c r="N482" s="75" t="inlineStr">
        <is>
          <t>OCTOBER TURNOVER</t>
        </is>
      </c>
      <c r="O482" s="75" t="n">
        <v>25</v>
      </c>
      <c r="P482" s="75" t="inlineStr">
        <is>
          <t>30/10/2024</t>
        </is>
      </c>
      <c r="Q482" s="75" t="inlineStr">
        <is>
          <t>MR HENRY r19</t>
        </is>
      </c>
      <c r="R482" s="75" t="n"/>
    </row>
    <row r="483" ht="25" customHeight="1">
      <c r="A483" s="78" t="inlineStr">
        <is>
          <t>SL0460</t>
        </is>
      </c>
      <c r="B483" s="79" t="n">
        <v>45595</v>
      </c>
      <c r="C483" s="78" t="inlineStr">
        <is>
          <t>2024-10</t>
        </is>
      </c>
      <c r="D483" s="78" t="n">
        <v>2024</v>
      </c>
      <c r="E483" s="78" t="inlineStr">
        <is>
          <t>Land</t>
        </is>
      </c>
      <c r="F483" s="78" t="inlineStr">
        <is>
          <t>Plot / unit price</t>
        </is>
      </c>
      <c r="G483" s="78" t="inlineStr">
        <is>
          <t>Green City Phase 2 (Ketu-Epe)</t>
        </is>
      </c>
      <c r="H483" s="78" t="inlineStr">
        <is>
          <t>BP-C0141</t>
        </is>
      </c>
      <c r="I483" s="78" t="inlineStr">
        <is>
          <t>Mr Aremu Kayode Sarafa</t>
        </is>
      </c>
      <c r="J483" s="80" t="n">
        <v>2000000</v>
      </c>
      <c r="K483" s="78" t="inlineStr">
        <is>
          <t>Allen Branch</t>
        </is>
      </c>
      <c r="L483" s="78" t="inlineStr">
        <is>
          <t>Primary: monthly turnover register</t>
        </is>
      </c>
      <c r="M483" s="78" t="inlineStr">
        <is>
          <t>BAAY PROJECTS FINANCIALS 2024.xlsx</t>
        </is>
      </c>
      <c r="N483" s="78" t="inlineStr">
        <is>
          <t>OCTOBER TURNOVER</t>
        </is>
      </c>
      <c r="O483" s="78" t="n">
        <v>29</v>
      </c>
      <c r="P483" s="78" t="inlineStr">
        <is>
          <t>30/10/2024</t>
        </is>
      </c>
      <c r="Q483" s="78" t="inlineStr">
        <is>
          <t>OGIDAN r36</t>
        </is>
      </c>
      <c r="R483" s="78" t="n"/>
    </row>
    <row r="484" ht="25" customHeight="1">
      <c r="A484" s="75" t="inlineStr">
        <is>
          <t>SL0461</t>
        </is>
      </c>
      <c r="B484" s="76" t="n">
        <v>45595</v>
      </c>
      <c r="C484" s="75" t="inlineStr">
        <is>
          <t>2024-10</t>
        </is>
      </c>
      <c r="D484" s="75" t="n">
        <v>2024</v>
      </c>
      <c r="E484" s="75" t="inlineStr">
        <is>
          <t>Housing</t>
        </is>
      </c>
      <c r="F484" s="75" t="inlineStr">
        <is>
          <t>Plot / unit price</t>
        </is>
      </c>
      <c r="G484" s="75" t="inlineStr">
        <is>
          <t>Pacific Apartment</t>
        </is>
      </c>
      <c r="H484" s="75" t="inlineStr">
        <is>
          <t>BP-C0140</t>
        </is>
      </c>
      <c r="I484" s="75" t="inlineStr">
        <is>
          <t>Mr Balogun Akeem Tokunbo</t>
        </is>
      </c>
      <c r="J484" s="77" t="n">
        <v>20000000</v>
      </c>
      <c r="K484" s="75" t="inlineStr">
        <is>
          <t>Magodo Branch</t>
        </is>
      </c>
      <c r="L484" s="75" t="inlineStr">
        <is>
          <t>Primary: monthly turnover register</t>
        </is>
      </c>
      <c r="M484" s="75" t="inlineStr">
        <is>
          <t>BAAY PROJECTS FINANCIALS 2024.xlsx</t>
        </is>
      </c>
      <c r="N484" s="75" t="inlineStr">
        <is>
          <t>OCTOBER TURNOVER</t>
        </is>
      </c>
      <c r="O484" s="75" t="n">
        <v>26</v>
      </c>
      <c r="P484" s="75" t="inlineStr">
        <is>
          <t>30/10/2024</t>
        </is>
      </c>
      <c r="Q484" s="75" t="n"/>
      <c r="R484" s="75" t="n"/>
    </row>
    <row r="485" ht="25" customHeight="1">
      <c r="A485" s="78" t="inlineStr">
        <is>
          <t>SL0462</t>
        </is>
      </c>
      <c r="B485" s="79" t="n">
        <v>45595</v>
      </c>
      <c r="C485" s="78" t="inlineStr">
        <is>
          <t>2024-10</t>
        </is>
      </c>
      <c r="D485" s="78" t="n">
        <v>2024</v>
      </c>
      <c r="E485" s="78" t="inlineStr">
        <is>
          <t>Land</t>
        </is>
      </c>
      <c r="F485" s="78" t="inlineStr">
        <is>
          <t>Plot / unit price</t>
        </is>
      </c>
      <c r="G485" s="78" t="inlineStr">
        <is>
          <t>Green City Phase 3 (Omu-Epe)</t>
        </is>
      </c>
      <c r="H485" s="78" t="inlineStr">
        <is>
          <t>BP-C0133</t>
        </is>
      </c>
      <c r="I485" s="78" t="inlineStr">
        <is>
          <t>Mr Olagbende Oluwashina</t>
        </is>
      </c>
      <c r="J485" s="80" t="n">
        <v>100000</v>
      </c>
      <c r="K485" s="78" t="inlineStr">
        <is>
          <t>Magodo Branch</t>
        </is>
      </c>
      <c r="L485" s="78" t="inlineStr">
        <is>
          <t>Primary: monthly turnover register</t>
        </is>
      </c>
      <c r="M485" s="78" t="inlineStr">
        <is>
          <t>BAAY PROJECTS FINANCIALS 2024.xlsx</t>
        </is>
      </c>
      <c r="N485" s="78" t="inlineStr">
        <is>
          <t>OCTOBER TURNOVER</t>
        </is>
      </c>
      <c r="O485" s="78" t="n">
        <v>28</v>
      </c>
      <c r="P485" s="78" t="inlineStr">
        <is>
          <t>30/10/2024</t>
        </is>
      </c>
      <c r="Q485" s="78" t="inlineStr">
        <is>
          <t>MS AWONORIN MAYOWA r11</t>
        </is>
      </c>
      <c r="R485" s="78" t="n"/>
    </row>
    <row r="486" ht="25" customHeight="1">
      <c r="A486" s="75" t="inlineStr">
        <is>
          <t>SL0463</t>
        </is>
      </c>
      <c r="B486" s="76" t="n">
        <v>45595</v>
      </c>
      <c r="C486" s="75" t="inlineStr">
        <is>
          <t>2024-10</t>
        </is>
      </c>
      <c r="D486" s="75" t="n">
        <v>2024</v>
      </c>
      <c r="E486" s="75" t="inlineStr">
        <is>
          <t>Housing</t>
        </is>
      </c>
      <c r="F486" s="75" t="inlineStr">
        <is>
          <t>Plot / unit price</t>
        </is>
      </c>
      <c r="G486" s="75" t="inlineStr">
        <is>
          <t>Pacific Apartment</t>
        </is>
      </c>
      <c r="H486" s="75" t="inlineStr">
        <is>
          <t>BP-C0142</t>
        </is>
      </c>
      <c r="I486" s="75" t="inlineStr">
        <is>
          <t>Mr Simien Samuel &amp; Mrs Simien Oyindamola Adekunle</t>
        </is>
      </c>
      <c r="J486" s="77" t="n">
        <v>10000000</v>
      </c>
      <c r="K486" s="75" t="inlineStr">
        <is>
          <t>Magodo Branch</t>
        </is>
      </c>
      <c r="L486" s="75" t="inlineStr">
        <is>
          <t>Primary: monthly turnover register</t>
        </is>
      </c>
      <c r="M486" s="75" t="inlineStr">
        <is>
          <t>BAAY PROJECTS FINANCIALS 2024.xlsx</t>
        </is>
      </c>
      <c r="N486" s="75" t="inlineStr">
        <is>
          <t>OCTOBER TURNOVER</t>
        </is>
      </c>
      <c r="O486" s="75" t="n">
        <v>27</v>
      </c>
      <c r="P486" s="75" t="inlineStr">
        <is>
          <t>30/10/2024</t>
        </is>
      </c>
      <c r="Q486" s="75" t="inlineStr">
        <is>
          <t>MAMA ADEBIMPE r36</t>
        </is>
      </c>
      <c r="R486" s="75" t="n"/>
    </row>
    <row r="487" ht="25" customHeight="1">
      <c r="A487" s="78" t="inlineStr">
        <is>
          <t>SL0464</t>
        </is>
      </c>
      <c r="B487" s="79" t="n">
        <v>45596</v>
      </c>
      <c r="C487" s="78" t="inlineStr">
        <is>
          <t>2024-10</t>
        </is>
      </c>
      <c r="D487" s="78" t="n">
        <v>2024</v>
      </c>
      <c r="E487" s="78" t="inlineStr">
        <is>
          <t>Land</t>
        </is>
      </c>
      <c r="F487" s="78" t="inlineStr">
        <is>
          <t>Plot / unit price</t>
        </is>
      </c>
      <c r="G487" s="78" t="inlineStr">
        <is>
          <t>Green City Phase 2 (Ketu-Epe)</t>
        </is>
      </c>
      <c r="H487" s="78" t="inlineStr">
        <is>
          <t>BP-C0097</t>
        </is>
      </c>
      <c r="I487" s="78" t="inlineStr">
        <is>
          <t>Engr Fagbulu Taiwo</t>
        </is>
      </c>
      <c r="J487" s="80" t="n">
        <v>175000</v>
      </c>
      <c r="K487" s="78" t="inlineStr">
        <is>
          <t>Magodo Branch</t>
        </is>
      </c>
      <c r="L487" s="78" t="inlineStr">
        <is>
          <t>Primary: monthly turnover register</t>
        </is>
      </c>
      <c r="M487" s="78" t="inlineStr">
        <is>
          <t>BAAY PROJECTS FINANCIALS 2024.xlsx</t>
        </is>
      </c>
      <c r="N487" s="78" t="inlineStr">
        <is>
          <t>OCTOBER TURNOVER</t>
        </is>
      </c>
      <c r="O487" s="78" t="n">
        <v>29</v>
      </c>
      <c r="P487" s="78" t="inlineStr">
        <is>
          <t>31/10/2024</t>
        </is>
      </c>
      <c r="Q487" s="78" t="inlineStr">
        <is>
          <t>MR HENRY r20</t>
        </is>
      </c>
      <c r="R487" s="78" t="n"/>
    </row>
    <row r="488" ht="25" customHeight="1">
      <c r="A488" s="75" t="inlineStr">
        <is>
          <t>SL0465</t>
        </is>
      </c>
      <c r="B488" s="76" t="n">
        <v>45596</v>
      </c>
      <c r="C488" s="75" t="inlineStr">
        <is>
          <t>2024-10</t>
        </is>
      </c>
      <c r="D488" s="75" t="n">
        <v>2024</v>
      </c>
      <c r="E488" s="75" t="inlineStr">
        <is>
          <t>Land</t>
        </is>
      </c>
      <c r="F488" s="75" t="inlineStr">
        <is>
          <t>Plot / unit price</t>
        </is>
      </c>
      <c r="G488" s="75" t="inlineStr">
        <is>
          <t>Green City Phase 3 (Omu-Epe)</t>
        </is>
      </c>
      <c r="H488" s="75" t="inlineStr">
        <is>
          <t>BP-C0066</t>
        </is>
      </c>
      <c r="I488" s="75" t="inlineStr">
        <is>
          <t>Miss Omosanya Dotun Akeju</t>
        </is>
      </c>
      <c r="J488" s="77" t="n">
        <v>1400000</v>
      </c>
      <c r="K488" s="75" t="inlineStr">
        <is>
          <t>Allen Branch</t>
        </is>
      </c>
      <c r="L488" s="75" t="inlineStr">
        <is>
          <t>Primary: monthly turnover register</t>
        </is>
      </c>
      <c r="M488" s="75" t="inlineStr">
        <is>
          <t>BAAY PROJECTS FINANCIALS 2024.xlsx</t>
        </is>
      </c>
      <c r="N488" s="75" t="inlineStr">
        <is>
          <t>OCTOBER TURNOVER</t>
        </is>
      </c>
      <c r="O488" s="75" t="n">
        <v>30</v>
      </c>
      <c r="P488" s="75" t="inlineStr">
        <is>
          <t>31/10/2024</t>
        </is>
      </c>
      <c r="Q488" s="75" t="inlineStr">
        <is>
          <t>MS BOLANLE r112, MS BLESSING OJI r52</t>
        </is>
      </c>
      <c r="R488" s="75" t="n"/>
    </row>
    <row r="489" ht="25" customHeight="1">
      <c r="A489" s="78" t="inlineStr">
        <is>
          <t>SL0466</t>
        </is>
      </c>
      <c r="B489" s="79" t="n">
        <v>45596</v>
      </c>
      <c r="C489" s="78" t="inlineStr">
        <is>
          <t>2024-10</t>
        </is>
      </c>
      <c r="D489" s="78" t="n">
        <v>2024</v>
      </c>
      <c r="E489" s="78" t="inlineStr">
        <is>
          <t>Land</t>
        </is>
      </c>
      <c r="F489" s="78" t="inlineStr">
        <is>
          <t>Plot / unit price</t>
        </is>
      </c>
      <c r="G489" s="78" t="inlineStr">
        <is>
          <t>Green City Phase 3 (Omu-Epe)</t>
        </is>
      </c>
      <c r="H489" s="78" t="inlineStr">
        <is>
          <t>BP-C0132</t>
        </is>
      </c>
      <c r="I489" s="78" t="inlineStr">
        <is>
          <t>Mr Adekunle Ajayi Temitope</t>
        </is>
      </c>
      <c r="J489" s="80" t="n">
        <v>1665000</v>
      </c>
      <c r="K489" s="78" t="inlineStr">
        <is>
          <t>Magodo Branch</t>
        </is>
      </c>
      <c r="L489" s="78" t="inlineStr">
        <is>
          <t>Primary: monthly turnover register</t>
        </is>
      </c>
      <c r="M489" s="78" t="inlineStr">
        <is>
          <t>BAAY PROJECTS FINANCIALS 2024.xlsx</t>
        </is>
      </c>
      <c r="N489" s="78" t="inlineStr">
        <is>
          <t>OCTOBER TURNOVER</t>
        </is>
      </c>
      <c r="O489" s="78" t="n">
        <v>30</v>
      </c>
      <c r="P489" s="78" t="inlineStr">
        <is>
          <t>31/10/2024</t>
        </is>
      </c>
      <c r="Q489" s="78" t="inlineStr">
        <is>
          <t>MS OPEYEMI ADEGOKE r5</t>
        </is>
      </c>
      <c r="R489" s="78" t="n"/>
    </row>
    <row r="490" ht="25" customHeight="1">
      <c r="A490" s="75" t="inlineStr">
        <is>
          <t>SL0467</t>
        </is>
      </c>
      <c r="B490" s="76" t="n">
        <v>45597</v>
      </c>
      <c r="C490" s="75" t="inlineStr">
        <is>
          <t>2024-11</t>
        </is>
      </c>
      <c r="D490" s="75" t="n">
        <v>2024</v>
      </c>
      <c r="E490" s="75" t="inlineStr">
        <is>
          <t>Land</t>
        </is>
      </c>
      <c r="F490" s="75" t="inlineStr">
        <is>
          <t>Plot / unit price</t>
        </is>
      </c>
      <c r="G490" s="75" t="inlineStr">
        <is>
          <t>Green City Phase 3 (Omu-Epe)</t>
        </is>
      </c>
      <c r="H490" s="75" t="inlineStr">
        <is>
          <t>BP-C0026</t>
        </is>
      </c>
      <c r="I490" s="75" t="inlineStr">
        <is>
          <t>Mr &amp; Mrs Adebayo Dada</t>
        </is>
      </c>
      <c r="J490" s="77" t="n">
        <v>500000</v>
      </c>
      <c r="K490" s="75" t="inlineStr">
        <is>
          <t>Allen Branch</t>
        </is>
      </c>
      <c r="L490" s="75" t="inlineStr">
        <is>
          <t>Primary: monthly turnover register</t>
        </is>
      </c>
      <c r="M490" s="75" t="inlineStr">
        <is>
          <t>BAAY PROJECTS FINANCIALS 2024.xlsx</t>
        </is>
      </c>
      <c r="N490" s="75" t="inlineStr">
        <is>
          <t>NOVEMBER TURNOVER</t>
        </is>
      </c>
      <c r="O490" s="75" t="n">
        <v>8</v>
      </c>
      <c r="P490" s="75" t="inlineStr">
        <is>
          <t>2024-01-11</t>
        </is>
      </c>
      <c r="Q490" s="75" t="inlineStr">
        <is>
          <t>MRS ABIMBOLA r162</t>
        </is>
      </c>
      <c r="R490" s="75" t="n"/>
    </row>
    <row r="491" ht="25" customHeight="1">
      <c r="A491" s="78" t="inlineStr">
        <is>
          <t>SL0468</t>
        </is>
      </c>
      <c r="B491" s="79" t="n">
        <v>45598</v>
      </c>
      <c r="C491" s="78" t="inlineStr">
        <is>
          <t>2024-11</t>
        </is>
      </c>
      <c r="D491" s="78" t="n">
        <v>2024</v>
      </c>
      <c r="E491" s="78" t="inlineStr">
        <is>
          <t>Land</t>
        </is>
      </c>
      <c r="F491" s="78" t="inlineStr">
        <is>
          <t>Plot / unit price</t>
        </is>
      </c>
      <c r="G491" s="78" t="inlineStr">
        <is>
          <t>Green City Phase 3 (Omu-Epe)</t>
        </is>
      </c>
      <c r="H491" s="78" t="inlineStr">
        <is>
          <t>BP-C0068</t>
        </is>
      </c>
      <c r="I491" s="78" t="inlineStr">
        <is>
          <t>Miss Ebhotah Sharon Aisosa</t>
        </is>
      </c>
      <c r="J491" s="80" t="n">
        <v>335000</v>
      </c>
      <c r="K491" s="78" t="inlineStr">
        <is>
          <t>Magodo Branch</t>
        </is>
      </c>
      <c r="L491" s="78" t="inlineStr">
        <is>
          <t>Primary: monthly turnover register</t>
        </is>
      </c>
      <c r="M491" s="78" t="inlineStr">
        <is>
          <t>BAAY PROJECTS FINANCIALS 2024.xlsx</t>
        </is>
      </c>
      <c r="N491" s="78" t="inlineStr">
        <is>
          <t>NOVEMBER TURNOVER</t>
        </is>
      </c>
      <c r="O491" s="78" t="n">
        <v>8</v>
      </c>
      <c r="P491" s="78" t="inlineStr">
        <is>
          <t>2024-02-11</t>
        </is>
      </c>
      <c r="Q491" s="78" t="inlineStr">
        <is>
          <t>MS BLESSING r121</t>
        </is>
      </c>
      <c r="R491" s="78" t="n"/>
    </row>
    <row r="492" ht="25" customHeight="1">
      <c r="A492" s="75" t="inlineStr">
        <is>
          <t>SL0469</t>
        </is>
      </c>
      <c r="B492" s="76" t="n">
        <v>45598</v>
      </c>
      <c r="C492" s="75" t="inlineStr">
        <is>
          <t>2024-11</t>
        </is>
      </c>
      <c r="D492" s="75" t="n">
        <v>2024</v>
      </c>
      <c r="E492" s="75" t="inlineStr">
        <is>
          <t>Land</t>
        </is>
      </c>
      <c r="F492" s="75" t="inlineStr">
        <is>
          <t>Plot / unit price</t>
        </is>
      </c>
      <c r="G492" s="75" t="inlineStr">
        <is>
          <t>Green City Phase 3 (Omu-Epe)</t>
        </is>
      </c>
      <c r="H492" s="75" t="inlineStr">
        <is>
          <t>BP-C0144</t>
        </is>
      </c>
      <c r="I492" s="75" t="inlineStr">
        <is>
          <t>Miss Thomas Bukola Comfort</t>
        </is>
      </c>
      <c r="J492" s="77" t="n">
        <v>300000</v>
      </c>
      <c r="K492" s="75" t="inlineStr">
        <is>
          <t>Allen Branch</t>
        </is>
      </c>
      <c r="L492" s="75" t="inlineStr">
        <is>
          <t>Primary: monthly turnover register</t>
        </is>
      </c>
      <c r="M492" s="75" t="inlineStr">
        <is>
          <t>BAAY PROJECTS FINANCIALS 2024.xlsx</t>
        </is>
      </c>
      <c r="N492" s="75" t="inlineStr">
        <is>
          <t>NOVEMBER TURNOVER</t>
        </is>
      </c>
      <c r="O492" s="75" t="n">
        <v>9</v>
      </c>
      <c r="P492" s="75" t="inlineStr">
        <is>
          <t>2024-02-11</t>
        </is>
      </c>
      <c r="Q492" s="75" t="n"/>
      <c r="R492" s="75" t="n"/>
    </row>
    <row r="493" ht="25" customHeight="1">
      <c r="A493" s="78" t="inlineStr">
        <is>
          <t>SL0470</t>
        </is>
      </c>
      <c r="B493" s="79" t="n">
        <v>45598</v>
      </c>
      <c r="C493" s="78" t="inlineStr">
        <is>
          <t>2024-11</t>
        </is>
      </c>
      <c r="D493" s="78" t="n">
        <v>2024</v>
      </c>
      <c r="E493" s="78" t="inlineStr">
        <is>
          <t>Land</t>
        </is>
      </c>
      <c r="F493" s="78" t="inlineStr">
        <is>
          <t>Ancillary charge</t>
        </is>
      </c>
      <c r="G493" s="78" t="inlineStr">
        <is>
          <t>Land: development fee</t>
        </is>
      </c>
      <c r="H493" s="78" t="inlineStr">
        <is>
          <t>BP-C0030</t>
        </is>
      </c>
      <c r="I493" s="78" t="inlineStr">
        <is>
          <t>Mr Adese Akorede John</t>
        </is>
      </c>
      <c r="J493" s="80" t="n">
        <v>50000</v>
      </c>
      <c r="K493" s="78" t="inlineStr">
        <is>
          <t>Allen Branch</t>
        </is>
      </c>
      <c r="L493" s="78" t="inlineStr">
        <is>
          <t>Primary: monthly turnover register</t>
        </is>
      </c>
      <c r="M493" s="78" t="inlineStr">
        <is>
          <t>BAAY PROJECTS FINANCIALS 2024.xlsx</t>
        </is>
      </c>
      <c r="N493" s="78" t="inlineStr">
        <is>
          <t>NOVEMBER TURNOVER</t>
        </is>
      </c>
      <c r="O493" s="78" t="n">
        <v>10</v>
      </c>
      <c r="P493" s="78" t="inlineStr">
        <is>
          <t>2024-02-11</t>
        </is>
      </c>
      <c r="Q493" s="78" t="n"/>
      <c r="R493" s="78" t="n"/>
    </row>
    <row r="494" ht="25" customHeight="1">
      <c r="A494" s="75" t="inlineStr">
        <is>
          <t>SL0471</t>
        </is>
      </c>
      <c r="B494" s="76" t="n">
        <v>45598</v>
      </c>
      <c r="C494" s="75" t="inlineStr">
        <is>
          <t>2024-11</t>
        </is>
      </c>
      <c r="D494" s="75" t="n">
        <v>2024</v>
      </c>
      <c r="E494" s="75" t="inlineStr">
        <is>
          <t>Land</t>
        </is>
      </c>
      <c r="F494" s="75" t="inlineStr">
        <is>
          <t>Plot / unit price</t>
        </is>
      </c>
      <c r="G494" s="75" t="inlineStr">
        <is>
          <t>Green City Phase 2 (Ketu-Epe)</t>
        </is>
      </c>
      <c r="H494" s="75" t="inlineStr">
        <is>
          <t>BP-C0030</t>
        </is>
      </c>
      <c r="I494" s="75" t="inlineStr">
        <is>
          <t>Mr Adese Akorede John</t>
        </is>
      </c>
      <c r="J494" s="77" t="n">
        <v>200000</v>
      </c>
      <c r="K494" s="75" t="inlineStr">
        <is>
          <t>Allen Branch</t>
        </is>
      </c>
      <c r="L494" s="75" t="inlineStr">
        <is>
          <t>Primary: monthly turnover register</t>
        </is>
      </c>
      <c r="M494" s="75" t="inlineStr">
        <is>
          <t>BAAY PROJECTS FINANCIALS 2024.xlsx</t>
        </is>
      </c>
      <c r="N494" s="75" t="inlineStr">
        <is>
          <t>NOVEMBER TURNOVER</t>
        </is>
      </c>
      <c r="O494" s="75" t="n">
        <v>11</v>
      </c>
      <c r="P494" s="75" t="inlineStr">
        <is>
          <t>2024-02-11</t>
        </is>
      </c>
      <c r="Q494" s="75" t="inlineStr">
        <is>
          <t>MD r77</t>
        </is>
      </c>
      <c r="R494" s="75" t="n"/>
    </row>
    <row r="495" ht="25" customHeight="1">
      <c r="A495" s="78" t="inlineStr">
        <is>
          <t>SL0472</t>
        </is>
      </c>
      <c r="B495" s="79" t="n">
        <v>45598</v>
      </c>
      <c r="C495" s="78" t="inlineStr">
        <is>
          <t>2024-11</t>
        </is>
      </c>
      <c r="D495" s="78" t="n">
        <v>2024</v>
      </c>
      <c r="E495" s="78" t="inlineStr">
        <is>
          <t>Land</t>
        </is>
      </c>
      <c r="F495" s="78" t="inlineStr">
        <is>
          <t>Plot / unit price</t>
        </is>
      </c>
      <c r="G495" s="78" t="inlineStr">
        <is>
          <t>Green City Ibadan (Akinyele-Moniya)</t>
        </is>
      </c>
      <c r="H495" s="78" t="inlineStr">
        <is>
          <t>BP-C0030</t>
        </is>
      </c>
      <c r="I495" s="78" t="inlineStr">
        <is>
          <t>Mr Adese Akorede John</t>
        </is>
      </c>
      <c r="J495" s="80" t="n">
        <v>500000</v>
      </c>
      <c r="K495" s="78" t="inlineStr">
        <is>
          <t>Allen Branch</t>
        </is>
      </c>
      <c r="L495" s="78" t="inlineStr">
        <is>
          <t>Primary: monthly turnover register</t>
        </is>
      </c>
      <c r="M495" s="78" t="inlineStr">
        <is>
          <t>BAAY PROJECTS FINANCIALS 2024.xlsx</t>
        </is>
      </c>
      <c r="N495" s="78" t="inlineStr">
        <is>
          <t>NOVEMBER TURNOVER</t>
        </is>
      </c>
      <c r="O495" s="78" t="n">
        <v>12</v>
      </c>
      <c r="P495" s="78" t="inlineStr">
        <is>
          <t>2024-02-11</t>
        </is>
      </c>
      <c r="Q495" s="78" t="inlineStr">
        <is>
          <t>MD r78</t>
        </is>
      </c>
      <c r="R495" s="78" t="n"/>
    </row>
    <row r="496" ht="25" customHeight="1">
      <c r="A496" s="75" t="inlineStr">
        <is>
          <t>SL0473</t>
        </is>
      </c>
      <c r="B496" s="76" t="n">
        <v>45600</v>
      </c>
      <c r="C496" s="75" t="inlineStr">
        <is>
          <t>2024-11</t>
        </is>
      </c>
      <c r="D496" s="75" t="n">
        <v>2024</v>
      </c>
      <c r="E496" s="75" t="inlineStr">
        <is>
          <t>Land</t>
        </is>
      </c>
      <c r="F496" s="75" t="inlineStr">
        <is>
          <t>Plot / unit price</t>
        </is>
      </c>
      <c r="G496" s="75" t="inlineStr">
        <is>
          <t>Green City Phase 3 (Omu-Epe)</t>
        </is>
      </c>
      <c r="H496" s="75" t="inlineStr">
        <is>
          <t>BP-C0068</t>
        </is>
      </c>
      <c r="I496" s="75" t="inlineStr">
        <is>
          <t>Miss Ebhotah Sharon Aisosa</t>
        </is>
      </c>
      <c r="J496" s="77" t="n">
        <v>1000000</v>
      </c>
      <c r="K496" s="75" t="inlineStr">
        <is>
          <t>Magodo Branch</t>
        </is>
      </c>
      <c r="L496" s="75" t="inlineStr">
        <is>
          <t>Primary: monthly turnover register</t>
        </is>
      </c>
      <c r="M496" s="75" t="inlineStr">
        <is>
          <t>BAAY PROJECTS FINANCIALS 2024.xlsx</t>
        </is>
      </c>
      <c r="N496" s="75" t="inlineStr">
        <is>
          <t>NOVEMBER TURNOVER</t>
        </is>
      </c>
      <c r="O496" s="75" t="n">
        <v>9</v>
      </c>
      <c r="P496" s="75" t="inlineStr">
        <is>
          <t>2024-04-11</t>
        </is>
      </c>
      <c r="Q496" s="75" t="inlineStr">
        <is>
          <t>MS BLESSING r122</t>
        </is>
      </c>
      <c r="R496" s="75" t="n"/>
    </row>
    <row r="497" ht="25" customHeight="1">
      <c r="A497" s="78" t="inlineStr">
        <is>
          <t>SL0474</t>
        </is>
      </c>
      <c r="B497" s="79" t="n">
        <v>45601</v>
      </c>
      <c r="C497" s="78" t="inlineStr">
        <is>
          <t>2024-11</t>
        </is>
      </c>
      <c r="D497" s="78" t="n">
        <v>2024</v>
      </c>
      <c r="E497" s="78" t="inlineStr">
        <is>
          <t>Land</t>
        </is>
      </c>
      <c r="F497" s="78" t="inlineStr">
        <is>
          <t>Ancillary charge</t>
        </is>
      </c>
      <c r="G497" s="78" t="inlineStr">
        <is>
          <t>Land: corner piece premium</t>
        </is>
      </c>
      <c r="H497" s="78" t="inlineStr">
        <is>
          <t>BP-C0066</t>
        </is>
      </c>
      <c r="I497" s="78" t="inlineStr">
        <is>
          <t>Miss Omosanya Dotun Akeju</t>
        </is>
      </c>
      <c r="J497" s="80" t="n">
        <v>130000</v>
      </c>
      <c r="K497" s="78" t="inlineStr">
        <is>
          <t>Allen Branch</t>
        </is>
      </c>
      <c r="L497" s="78" t="inlineStr">
        <is>
          <t>Primary: monthly turnover register</t>
        </is>
      </c>
      <c r="M497" s="78" t="inlineStr">
        <is>
          <t>BAAY PROJECTS FINANCIALS 2024.xlsx</t>
        </is>
      </c>
      <c r="N497" s="78" t="inlineStr">
        <is>
          <t>NOVEMBER TURNOVER</t>
        </is>
      </c>
      <c r="O497" s="78" t="n">
        <v>13</v>
      </c>
      <c r="P497" s="78" t="inlineStr">
        <is>
          <t>2024-05-11</t>
        </is>
      </c>
      <c r="Q497" s="78" t="n"/>
      <c r="R497" s="78" t="n"/>
    </row>
    <row r="498" ht="25" customHeight="1">
      <c r="A498" s="75" t="inlineStr">
        <is>
          <t>SL0475</t>
        </is>
      </c>
      <c r="B498" s="76" t="n">
        <v>45601</v>
      </c>
      <c r="C498" s="75" t="inlineStr">
        <is>
          <t>2024-11</t>
        </is>
      </c>
      <c r="D498" s="75" t="n">
        <v>2024</v>
      </c>
      <c r="E498" s="75" t="inlineStr">
        <is>
          <t>Land</t>
        </is>
      </c>
      <c r="F498" s="75" t="inlineStr">
        <is>
          <t>Plot / unit price</t>
        </is>
      </c>
      <c r="G498" s="75" t="inlineStr">
        <is>
          <t>Green City Phase 3 (Omu-Epe)</t>
        </is>
      </c>
      <c r="H498" s="75" t="inlineStr">
        <is>
          <t>BP-C0133</t>
        </is>
      </c>
      <c r="I498" s="75" t="inlineStr">
        <is>
          <t>Mr Olagbende Oluwashina</t>
        </is>
      </c>
      <c r="J498" s="77" t="n">
        <v>100000</v>
      </c>
      <c r="K498" s="75" t="inlineStr">
        <is>
          <t>Magodo Branch</t>
        </is>
      </c>
      <c r="L498" s="75" t="inlineStr">
        <is>
          <t>Primary: monthly turnover register</t>
        </is>
      </c>
      <c r="M498" s="75" t="inlineStr">
        <is>
          <t>BAAY PROJECTS FINANCIALS 2024.xlsx</t>
        </is>
      </c>
      <c r="N498" s="75" t="inlineStr">
        <is>
          <t>NOVEMBER TURNOVER</t>
        </is>
      </c>
      <c r="O498" s="75" t="n">
        <v>10</v>
      </c>
      <c r="P498" s="75" t="inlineStr">
        <is>
          <t>05/11/1014</t>
        </is>
      </c>
      <c r="Q498" s="75" t="n"/>
      <c r="R498" s="75" t="inlineStr">
        <is>
          <t>Year typed as 1014 in source (05/11/1014); corrected to 2024 from the sheet month</t>
        </is>
      </c>
    </row>
    <row r="499" ht="25" customHeight="1">
      <c r="A499" s="78" t="inlineStr">
        <is>
          <t>SL0476</t>
        </is>
      </c>
      <c r="B499" s="79" t="n">
        <v>45602</v>
      </c>
      <c r="C499" s="78" t="inlineStr">
        <is>
          <t>2024-11</t>
        </is>
      </c>
      <c r="D499" s="78" t="n">
        <v>2024</v>
      </c>
      <c r="E499" s="78" t="inlineStr">
        <is>
          <t>Land</t>
        </is>
      </c>
      <c r="F499" s="78" t="inlineStr">
        <is>
          <t>Plot / unit price</t>
        </is>
      </c>
      <c r="G499" s="78" t="inlineStr">
        <is>
          <t>Green City Phase 3 (Omu-Epe)</t>
        </is>
      </c>
      <c r="H499" s="78" t="inlineStr">
        <is>
          <t>BP-C0133</t>
        </is>
      </c>
      <c r="I499" s="78" t="inlineStr">
        <is>
          <t>Mr Olagbende Oluwashina</t>
        </is>
      </c>
      <c r="J499" s="80" t="n">
        <v>200000</v>
      </c>
      <c r="K499" s="78" t="inlineStr">
        <is>
          <t>Magodo Branch</t>
        </is>
      </c>
      <c r="L499" s="78" t="inlineStr">
        <is>
          <t>Primary: monthly turnover register</t>
        </is>
      </c>
      <c r="M499" s="78" t="inlineStr">
        <is>
          <t>BAAY PROJECTS FINANCIALS 2024.xlsx</t>
        </is>
      </c>
      <c r="N499" s="78" t="inlineStr">
        <is>
          <t>NOVEMBER TURNOVER</t>
        </is>
      </c>
      <c r="O499" s="78" t="n">
        <v>11</v>
      </c>
      <c r="P499" s="78" t="inlineStr">
        <is>
          <t>2024-06-11</t>
        </is>
      </c>
      <c r="Q499" s="78" t="inlineStr">
        <is>
          <t>MS AWONORIN MAYOWA r18</t>
        </is>
      </c>
      <c r="R499" s="78" t="n"/>
    </row>
    <row r="500" ht="25" customHeight="1">
      <c r="A500" s="75" t="inlineStr">
        <is>
          <t>SL0477</t>
        </is>
      </c>
      <c r="B500" s="76" t="n">
        <v>45602</v>
      </c>
      <c r="C500" s="75" t="inlineStr">
        <is>
          <t>2024-11</t>
        </is>
      </c>
      <c r="D500" s="75" t="n">
        <v>2024</v>
      </c>
      <c r="E500" s="75" t="inlineStr">
        <is>
          <t>Land</t>
        </is>
      </c>
      <c r="F500" s="75" t="inlineStr">
        <is>
          <t>Plot / unit price</t>
        </is>
      </c>
      <c r="G500" s="75" t="inlineStr">
        <is>
          <t>Heritage Garden</t>
        </is>
      </c>
      <c r="H500" s="75" t="inlineStr">
        <is>
          <t>BP-C0129</t>
        </is>
      </c>
      <c r="I500" s="75" t="inlineStr">
        <is>
          <t>Mr Tedunjaye Ilerioluwa Michael</t>
        </is>
      </c>
      <c r="J500" s="77" t="n">
        <v>145000</v>
      </c>
      <c r="K500" s="75" t="inlineStr">
        <is>
          <t>Allen Branch</t>
        </is>
      </c>
      <c r="L500" s="75" t="inlineStr">
        <is>
          <t>Primary: monthly turnover register</t>
        </is>
      </c>
      <c r="M500" s="75" t="inlineStr">
        <is>
          <t>BAAY PROJECTS FINANCIALS 2024.xlsx</t>
        </is>
      </c>
      <c r="N500" s="75" t="inlineStr">
        <is>
          <t>NOVEMBER TURNOVER</t>
        </is>
      </c>
      <c r="O500" s="75" t="n">
        <v>14</v>
      </c>
      <c r="P500" s="75" t="inlineStr">
        <is>
          <t>2024-06-11</t>
        </is>
      </c>
      <c r="Q500" s="75" t="n"/>
      <c r="R500" s="75" t="n"/>
    </row>
    <row r="501" ht="25" customHeight="1">
      <c r="A501" s="78" t="inlineStr">
        <is>
          <t>SL0478</t>
        </is>
      </c>
      <c r="B501" s="79" t="n">
        <v>45603</v>
      </c>
      <c r="C501" s="78" t="inlineStr">
        <is>
          <t>2024-11</t>
        </is>
      </c>
      <c r="D501" s="78" t="n">
        <v>2024</v>
      </c>
      <c r="E501" s="78" t="inlineStr">
        <is>
          <t>Land</t>
        </is>
      </c>
      <c r="F501" s="78" t="inlineStr">
        <is>
          <t>Plot / unit price</t>
        </is>
      </c>
      <c r="G501" s="78" t="inlineStr">
        <is>
          <t>Green City Phase 2 (Ketu-Epe)</t>
        </is>
      </c>
      <c r="H501" s="78" t="inlineStr">
        <is>
          <t>BP-C0126</t>
        </is>
      </c>
      <c r="I501" s="78" t="inlineStr">
        <is>
          <t>Miss Ogundipe Motunrayo Fransisca</t>
        </is>
      </c>
      <c r="J501" s="80" t="n">
        <v>3000000</v>
      </c>
      <c r="K501" s="78" t="inlineStr">
        <is>
          <t>Allen Branch</t>
        </is>
      </c>
      <c r="L501" s="78" t="inlineStr">
        <is>
          <t>Primary: monthly turnover register</t>
        </is>
      </c>
      <c r="M501" s="78" t="inlineStr">
        <is>
          <t>BAAY PROJECTS FINANCIALS 2024.xlsx</t>
        </is>
      </c>
      <c r="N501" s="78" t="inlineStr">
        <is>
          <t>NOVEMBER TURNOVER</t>
        </is>
      </c>
      <c r="O501" s="78" t="n">
        <v>16</v>
      </c>
      <c r="P501" s="78" t="inlineStr">
        <is>
          <t>2024-07-11</t>
        </is>
      </c>
      <c r="Q501" s="78" t="inlineStr">
        <is>
          <t>MD r80</t>
        </is>
      </c>
      <c r="R501" s="78" t="n"/>
    </row>
    <row r="502" ht="25" customHeight="1">
      <c r="A502" s="75" t="inlineStr">
        <is>
          <t>SL0479</t>
        </is>
      </c>
      <c r="B502" s="76" t="n">
        <v>45603</v>
      </c>
      <c r="C502" s="75" t="inlineStr">
        <is>
          <t>2024-11</t>
        </is>
      </c>
      <c r="D502" s="75" t="n">
        <v>2024</v>
      </c>
      <c r="E502" s="75" t="inlineStr">
        <is>
          <t>Land</t>
        </is>
      </c>
      <c r="F502" s="75" t="inlineStr">
        <is>
          <t>Ancillary charge</t>
        </is>
      </c>
      <c r="G502" s="75" t="inlineStr">
        <is>
          <t>Land: corner piece premium</t>
        </is>
      </c>
      <c r="H502" s="75" t="inlineStr">
        <is>
          <t>BP-C0110</t>
        </is>
      </c>
      <c r="I502" s="75" t="inlineStr">
        <is>
          <t>Mr Adeyemi Kayode</t>
        </is>
      </c>
      <c r="J502" s="77" t="n">
        <v>135000</v>
      </c>
      <c r="K502" s="75" t="inlineStr">
        <is>
          <t>Allen Branch</t>
        </is>
      </c>
      <c r="L502" s="75" t="inlineStr">
        <is>
          <t>Primary: monthly turnover register</t>
        </is>
      </c>
      <c r="M502" s="75" t="inlineStr">
        <is>
          <t>BAAY PROJECTS FINANCIALS 2024.xlsx</t>
        </is>
      </c>
      <c r="N502" s="75" t="inlineStr">
        <is>
          <t>NOVEMBER TURNOVER</t>
        </is>
      </c>
      <c r="O502" s="75" t="n">
        <v>15</v>
      </c>
      <c r="P502" s="75" t="inlineStr">
        <is>
          <t>2024-07-11</t>
        </is>
      </c>
      <c r="Q502" s="75" t="n"/>
      <c r="R502" s="75" t="n"/>
    </row>
    <row r="503" ht="25" customHeight="1">
      <c r="A503" s="78" t="inlineStr">
        <is>
          <t>SL0480</t>
        </is>
      </c>
      <c r="B503" s="79" t="n">
        <v>45604</v>
      </c>
      <c r="C503" s="78" t="inlineStr">
        <is>
          <t>2024-11</t>
        </is>
      </c>
      <c r="D503" s="78" t="n">
        <v>2024</v>
      </c>
      <c r="E503" s="78" t="inlineStr">
        <is>
          <t>Land</t>
        </is>
      </c>
      <c r="F503" s="78" t="inlineStr">
        <is>
          <t>Plot / unit price</t>
        </is>
      </c>
      <c r="G503" s="78" t="inlineStr">
        <is>
          <t>Green City Phase 3 (Omu-Epe)</t>
        </is>
      </c>
      <c r="H503" s="78" t="inlineStr">
        <is>
          <t>BP-C0135</t>
        </is>
      </c>
      <c r="I503" s="78" t="inlineStr">
        <is>
          <t>Mr Okanrende Kazeem Olamilekan</t>
        </is>
      </c>
      <c r="J503" s="80" t="n">
        <v>1000000</v>
      </c>
      <c r="K503" s="78" t="inlineStr">
        <is>
          <t>Allen Branch</t>
        </is>
      </c>
      <c r="L503" s="78" t="inlineStr">
        <is>
          <t>Primary: monthly turnover register</t>
        </is>
      </c>
      <c r="M503" s="78" t="inlineStr">
        <is>
          <t>BAAY PROJECTS FINANCIALS 2024.xlsx</t>
        </is>
      </c>
      <c r="N503" s="78" t="inlineStr">
        <is>
          <t>NOVEMBER TURNOVER</t>
        </is>
      </c>
      <c r="O503" s="78" t="n">
        <v>17</v>
      </c>
      <c r="P503" s="78" t="inlineStr">
        <is>
          <t>2024-08-11</t>
        </is>
      </c>
      <c r="Q503" s="78" t="inlineStr">
        <is>
          <t>MS YETUNDE ABISOYE r76</t>
        </is>
      </c>
      <c r="R503" s="78" t="n"/>
    </row>
    <row r="504" ht="25" customHeight="1">
      <c r="A504" s="75" t="inlineStr">
        <is>
          <t>SL0481</t>
        </is>
      </c>
      <c r="B504" s="76" t="n">
        <v>45605</v>
      </c>
      <c r="C504" s="75" t="inlineStr">
        <is>
          <t>2024-11</t>
        </is>
      </c>
      <c r="D504" s="75" t="n">
        <v>2024</v>
      </c>
      <c r="E504" s="75" t="inlineStr">
        <is>
          <t>Housing</t>
        </is>
      </c>
      <c r="F504" s="75" t="inlineStr">
        <is>
          <t>Plot / unit price</t>
        </is>
      </c>
      <c r="G504" s="75" t="inlineStr">
        <is>
          <t>Pacific Apartment</t>
        </is>
      </c>
      <c r="H504" s="75" t="inlineStr">
        <is>
          <t>BP-C0145</t>
        </is>
      </c>
      <c r="I504" s="75" t="inlineStr">
        <is>
          <t>Miss Keshinro Phebe Oluwatunmise</t>
        </is>
      </c>
      <c r="J504" s="77" t="n">
        <v>4000000</v>
      </c>
      <c r="K504" s="75" t="inlineStr">
        <is>
          <t>Magodo Branch</t>
        </is>
      </c>
      <c r="L504" s="75" t="inlineStr">
        <is>
          <t>Primary: monthly turnover register</t>
        </is>
      </c>
      <c r="M504" s="75" t="inlineStr">
        <is>
          <t>BAAY PROJECTS FINANCIALS 2024.xlsx</t>
        </is>
      </c>
      <c r="N504" s="75" t="inlineStr">
        <is>
          <t>NOVEMBER TURNOVER</t>
        </is>
      </c>
      <c r="O504" s="75" t="n">
        <v>12</v>
      </c>
      <c r="P504" s="75" t="inlineStr">
        <is>
          <t>2024-09-11</t>
        </is>
      </c>
      <c r="Q504" s="75" t="inlineStr">
        <is>
          <t>MR CHARLES r67</t>
        </is>
      </c>
      <c r="R504" s="75" t="n"/>
    </row>
    <row r="505" ht="25" customHeight="1">
      <c r="A505" s="78" t="inlineStr">
        <is>
          <t>SL0482</t>
        </is>
      </c>
      <c r="B505" s="79" t="n">
        <v>45605</v>
      </c>
      <c r="C505" s="78" t="inlineStr">
        <is>
          <t>2024-11</t>
        </is>
      </c>
      <c r="D505" s="78" t="n">
        <v>2024</v>
      </c>
      <c r="E505" s="78" t="inlineStr">
        <is>
          <t>Land</t>
        </is>
      </c>
      <c r="F505" s="78" t="inlineStr">
        <is>
          <t>Ancillary charge</t>
        </is>
      </c>
      <c r="G505" s="78" t="inlineStr">
        <is>
          <t>Land: corner piece premium</t>
        </is>
      </c>
      <c r="H505" s="78" t="inlineStr">
        <is>
          <t>BP-C0121</t>
        </is>
      </c>
      <c r="I505" s="78" t="inlineStr">
        <is>
          <t>Mr Nweze Oluebube Valentine</t>
        </is>
      </c>
      <c r="J505" s="80" t="n">
        <v>135000</v>
      </c>
      <c r="K505" s="78" t="inlineStr">
        <is>
          <t>Allen Branch</t>
        </is>
      </c>
      <c r="L505" s="78" t="inlineStr">
        <is>
          <t>Primary: monthly turnover register</t>
        </is>
      </c>
      <c r="M505" s="78" t="inlineStr">
        <is>
          <t>BAAY PROJECTS FINANCIALS 2024.xlsx</t>
        </is>
      </c>
      <c r="N505" s="78" t="inlineStr">
        <is>
          <t>NOVEMBER TURNOVER</t>
        </is>
      </c>
      <c r="O505" s="78" t="n">
        <v>18</v>
      </c>
      <c r="P505" s="78" t="inlineStr">
        <is>
          <t>2024-09-11</t>
        </is>
      </c>
      <c r="Q505" s="78" t="n"/>
      <c r="R505" s="78" t="n"/>
    </row>
    <row r="506" ht="25" customHeight="1">
      <c r="A506" s="75" t="inlineStr">
        <is>
          <t>SL0483</t>
        </is>
      </c>
      <c r="B506" s="76" t="n">
        <v>45607</v>
      </c>
      <c r="C506" s="75" t="inlineStr">
        <is>
          <t>2024-11</t>
        </is>
      </c>
      <c r="D506" s="75" t="n">
        <v>2024</v>
      </c>
      <c r="E506" s="75" t="inlineStr">
        <is>
          <t>Land</t>
        </is>
      </c>
      <c r="F506" s="75" t="inlineStr">
        <is>
          <t>Plot / unit price</t>
        </is>
      </c>
      <c r="G506" s="75" t="inlineStr">
        <is>
          <t>Green City Phase 3 (Omu-Epe)</t>
        </is>
      </c>
      <c r="H506" s="75" t="inlineStr">
        <is>
          <t>BP-C0009</t>
        </is>
      </c>
      <c r="I506" s="75" t="inlineStr">
        <is>
          <t>Miss Oji Blessing Mary</t>
        </is>
      </c>
      <c r="J506" s="77" t="n">
        <v>500000</v>
      </c>
      <c r="K506" s="75" t="inlineStr">
        <is>
          <t>Allen Branch</t>
        </is>
      </c>
      <c r="L506" s="75" t="inlineStr">
        <is>
          <t>Primary: monthly turnover register</t>
        </is>
      </c>
      <c r="M506" s="75" t="inlineStr">
        <is>
          <t>BAAY PROJECTS FINANCIALS 2024.xlsx</t>
        </is>
      </c>
      <c r="N506" s="75" t="inlineStr">
        <is>
          <t>NOVEMBER TURNOVER</t>
        </is>
      </c>
      <c r="O506" s="75" t="n">
        <v>20</v>
      </c>
      <c r="P506" s="75" t="inlineStr">
        <is>
          <t>2024-11-11</t>
        </is>
      </c>
      <c r="Q506" s="75" t="n"/>
      <c r="R506" s="75" t="n"/>
    </row>
    <row r="507" ht="25" customHeight="1">
      <c r="A507" s="78" t="inlineStr">
        <is>
          <t>SL0484</t>
        </is>
      </c>
      <c r="B507" s="79" t="n">
        <v>45607</v>
      </c>
      <c r="C507" s="78" t="inlineStr">
        <is>
          <t>2024-11</t>
        </is>
      </c>
      <c r="D507" s="78" t="n">
        <v>2024</v>
      </c>
      <c r="E507" s="78" t="inlineStr">
        <is>
          <t>Land</t>
        </is>
      </c>
      <c r="F507" s="78" t="inlineStr">
        <is>
          <t>Plot / unit price</t>
        </is>
      </c>
      <c r="G507" s="78" t="inlineStr">
        <is>
          <t>Green City Phase 1 (Lantaba, Ketu-Epe)</t>
        </is>
      </c>
      <c r="H507" s="78" t="inlineStr">
        <is>
          <t>BP-C0051</t>
        </is>
      </c>
      <c r="I507" s="78" t="inlineStr">
        <is>
          <t>Mr Ogunleye Olumide</t>
        </is>
      </c>
      <c r="J507" s="80" t="n">
        <v>500000</v>
      </c>
      <c r="K507" s="78" t="inlineStr">
        <is>
          <t>Allen Branch</t>
        </is>
      </c>
      <c r="L507" s="78" t="inlineStr">
        <is>
          <t>Primary: monthly turnover register</t>
        </is>
      </c>
      <c r="M507" s="78" t="inlineStr">
        <is>
          <t>BAAY PROJECTS FINANCIALS 2024.xlsx</t>
        </is>
      </c>
      <c r="N507" s="78" t="inlineStr">
        <is>
          <t>NOVEMBER TURNOVER</t>
        </is>
      </c>
      <c r="O507" s="78" t="n">
        <v>19</v>
      </c>
      <c r="P507" s="78" t="inlineStr">
        <is>
          <t>2024-11-11</t>
        </is>
      </c>
      <c r="Q507" s="78" t="n"/>
      <c r="R507" s="78" t="n"/>
    </row>
    <row r="508" ht="25" customHeight="1">
      <c r="A508" s="75" t="inlineStr">
        <is>
          <t>SL0485</t>
        </is>
      </c>
      <c r="B508" s="76" t="n">
        <v>45608</v>
      </c>
      <c r="C508" s="75" t="inlineStr">
        <is>
          <t>2024-11</t>
        </is>
      </c>
      <c r="D508" s="75" t="n">
        <v>2024</v>
      </c>
      <c r="E508" s="75" t="inlineStr">
        <is>
          <t>Land</t>
        </is>
      </c>
      <c r="F508" s="75" t="inlineStr">
        <is>
          <t>Ancillary charge</t>
        </is>
      </c>
      <c r="G508" s="75" t="inlineStr">
        <is>
          <t>Land: corner piece premium</t>
        </is>
      </c>
      <c r="H508" s="75" t="inlineStr">
        <is>
          <t>BP-C0115</t>
        </is>
      </c>
      <c r="I508" s="75" t="inlineStr">
        <is>
          <t>Lavonda King Family</t>
        </is>
      </c>
      <c r="J508" s="77" t="n">
        <v>135000</v>
      </c>
      <c r="K508" s="75" t="inlineStr">
        <is>
          <t>Allen Branch</t>
        </is>
      </c>
      <c r="L508" s="75" t="inlineStr">
        <is>
          <t>Primary: monthly turnover register</t>
        </is>
      </c>
      <c r="M508" s="75" t="inlineStr">
        <is>
          <t>BAAY PROJECTS FINANCIALS 2024.xlsx</t>
        </is>
      </c>
      <c r="N508" s="75" t="inlineStr">
        <is>
          <t>NOVEMBER TURNOVER</t>
        </is>
      </c>
      <c r="O508" s="75" t="n">
        <v>21</v>
      </c>
      <c r="P508" s="75" t="inlineStr">
        <is>
          <t>2024-12-11</t>
        </is>
      </c>
      <c r="Q508" s="75" t="n"/>
      <c r="R508" s="75" t="n"/>
    </row>
    <row r="509" ht="25" customHeight="1">
      <c r="A509" s="78" t="inlineStr">
        <is>
          <t>SL0486</t>
        </is>
      </c>
      <c r="B509" s="79" t="n">
        <v>45608</v>
      </c>
      <c r="C509" s="78" t="inlineStr">
        <is>
          <t>2024-11</t>
        </is>
      </c>
      <c r="D509" s="78" t="n">
        <v>2024</v>
      </c>
      <c r="E509" s="78" t="inlineStr">
        <is>
          <t>Land</t>
        </is>
      </c>
      <c r="F509" s="78" t="inlineStr">
        <is>
          <t>Ancillary charge</t>
        </is>
      </c>
      <c r="G509" s="78" t="inlineStr">
        <is>
          <t>Land: corner piece premium</t>
        </is>
      </c>
      <c r="H509" s="78" t="inlineStr">
        <is>
          <t>BP-C0132</t>
        </is>
      </c>
      <c r="I509" s="78" t="inlineStr">
        <is>
          <t>Mr Ajayi Adekunle Temitope</t>
        </is>
      </c>
      <c r="J509" s="80" t="n">
        <v>135000</v>
      </c>
      <c r="K509" s="78" t="inlineStr">
        <is>
          <t>Magodo Branch</t>
        </is>
      </c>
      <c r="L509" s="78" t="inlineStr">
        <is>
          <t>Primary: monthly turnover register</t>
        </is>
      </c>
      <c r="M509" s="78" t="inlineStr">
        <is>
          <t>BAAY PROJECTS FINANCIALS 2024.xlsx</t>
        </is>
      </c>
      <c r="N509" s="78" t="inlineStr">
        <is>
          <t>NOVEMBER TURNOVER</t>
        </is>
      </c>
      <c r="O509" s="78" t="n">
        <v>13</v>
      </c>
      <c r="P509" s="78" t="inlineStr">
        <is>
          <t>2024-12-11</t>
        </is>
      </c>
      <c r="Q509" s="78" t="n"/>
      <c r="R509" s="78" t="n"/>
    </row>
    <row r="510" ht="25" customHeight="1">
      <c r="A510" s="75" t="inlineStr">
        <is>
          <t>SL0487</t>
        </is>
      </c>
      <c r="B510" s="76" t="n">
        <v>45609</v>
      </c>
      <c r="C510" s="75" t="inlineStr">
        <is>
          <t>2024-11</t>
        </is>
      </c>
      <c r="D510" s="75" t="n">
        <v>2024</v>
      </c>
      <c r="E510" s="75" t="inlineStr">
        <is>
          <t>Land</t>
        </is>
      </c>
      <c r="F510" s="75" t="inlineStr">
        <is>
          <t>Plot / unit price</t>
        </is>
      </c>
      <c r="G510" s="75" t="inlineStr">
        <is>
          <t>Green City Phase 3 (Omu-Epe)</t>
        </is>
      </c>
      <c r="H510" s="75" t="inlineStr">
        <is>
          <t>BP-C0066</t>
        </is>
      </c>
      <c r="I510" s="75" t="inlineStr">
        <is>
          <t>Miss Omosanya Dotun Akeju</t>
        </is>
      </c>
      <c r="J510" s="77" t="n">
        <v>2000000</v>
      </c>
      <c r="K510" s="75" t="inlineStr">
        <is>
          <t>Allen Branch</t>
        </is>
      </c>
      <c r="L510" s="75" t="inlineStr">
        <is>
          <t>Primary: monthly turnover register</t>
        </is>
      </c>
      <c r="M510" s="75" t="inlineStr">
        <is>
          <t>BAAY PROJECTS FINANCIALS 2024.xlsx</t>
        </is>
      </c>
      <c r="N510" s="75" t="inlineStr">
        <is>
          <t>NOVEMBER TURNOVER</t>
        </is>
      </c>
      <c r="O510" s="75" t="n">
        <v>22</v>
      </c>
      <c r="P510" s="75" t="inlineStr">
        <is>
          <t>13/11/2024</t>
        </is>
      </c>
      <c r="Q510" s="75" t="inlineStr">
        <is>
          <t>MS BOLANLE r118</t>
        </is>
      </c>
      <c r="R510" s="75" t="n"/>
    </row>
    <row r="511" ht="25" customHeight="1">
      <c r="A511" s="78" t="inlineStr">
        <is>
          <t>SL0488</t>
        </is>
      </c>
      <c r="B511" s="79" t="n">
        <v>45609</v>
      </c>
      <c r="C511" s="78" t="inlineStr">
        <is>
          <t>2024-11</t>
        </is>
      </c>
      <c r="D511" s="78" t="n">
        <v>2024</v>
      </c>
      <c r="E511" s="78" t="inlineStr">
        <is>
          <t>Land</t>
        </is>
      </c>
      <c r="F511" s="78" t="inlineStr">
        <is>
          <t>Plot / unit price</t>
        </is>
      </c>
      <c r="G511" s="78" t="inlineStr">
        <is>
          <t>Green City Phase 3 (Omu-Epe)</t>
        </is>
      </c>
      <c r="H511" s="78" t="inlineStr">
        <is>
          <t>BP-C0133</t>
        </is>
      </c>
      <c r="I511" s="78" t="inlineStr">
        <is>
          <t>Mr Olagbende Oluwashina</t>
        </is>
      </c>
      <c r="J511" s="80" t="n">
        <v>700000</v>
      </c>
      <c r="K511" s="78" t="inlineStr">
        <is>
          <t>Magodo Branch</t>
        </is>
      </c>
      <c r="L511" s="78" t="inlineStr">
        <is>
          <t>Primary: monthly turnover register</t>
        </is>
      </c>
      <c r="M511" s="78" t="inlineStr">
        <is>
          <t>BAAY PROJECTS FINANCIALS 2024.xlsx</t>
        </is>
      </c>
      <c r="N511" s="78" t="inlineStr">
        <is>
          <t>NOVEMBER TURNOVER</t>
        </is>
      </c>
      <c r="O511" s="78" t="n">
        <v>14</v>
      </c>
      <c r="P511" s="78" t="inlineStr">
        <is>
          <t>13/11/2024</t>
        </is>
      </c>
      <c r="Q511" s="78" t="inlineStr">
        <is>
          <t>MS AWONORIN MAYOWA r19</t>
        </is>
      </c>
      <c r="R511" s="78" t="n"/>
    </row>
    <row r="512" ht="25" customHeight="1">
      <c r="A512" s="75" t="inlineStr">
        <is>
          <t>SL0489</t>
        </is>
      </c>
      <c r="B512" s="76" t="n">
        <v>45609</v>
      </c>
      <c r="C512" s="75" t="inlineStr">
        <is>
          <t>2024-11</t>
        </is>
      </c>
      <c r="D512" s="75" t="n">
        <v>2024</v>
      </c>
      <c r="E512" s="75" t="inlineStr">
        <is>
          <t>Land</t>
        </is>
      </c>
      <c r="F512" s="75" t="inlineStr">
        <is>
          <t>Ancillary charge</t>
        </is>
      </c>
      <c r="G512" s="75" t="inlineStr">
        <is>
          <t>Land: corner piece premium</t>
        </is>
      </c>
      <c r="H512" s="75" t="inlineStr">
        <is>
          <t>BP-C0133</t>
        </is>
      </c>
      <c r="I512" s="75" t="inlineStr">
        <is>
          <t>Mr Olagbende Oluwashina</t>
        </is>
      </c>
      <c r="J512" s="77" t="n">
        <v>135000</v>
      </c>
      <c r="K512" s="75" t="inlineStr">
        <is>
          <t>Magodo Branch</t>
        </is>
      </c>
      <c r="L512" s="75" t="inlineStr">
        <is>
          <t>Primary: monthly turnover register</t>
        </is>
      </c>
      <c r="M512" s="75" t="inlineStr">
        <is>
          <t>BAAY PROJECTS FINANCIALS 2024.xlsx</t>
        </is>
      </c>
      <c r="N512" s="75" t="inlineStr">
        <is>
          <t>NOVEMBER TURNOVER</t>
        </is>
      </c>
      <c r="O512" s="75" t="n">
        <v>15</v>
      </c>
      <c r="P512" s="75" t="inlineStr">
        <is>
          <t>13/11/2024</t>
        </is>
      </c>
      <c r="Q512" s="75" t="n"/>
      <c r="R512" s="75" t="n"/>
    </row>
    <row r="513" ht="25" customHeight="1">
      <c r="A513" s="78" t="inlineStr">
        <is>
          <t>SL0490</t>
        </is>
      </c>
      <c r="B513" s="79" t="n">
        <v>45610</v>
      </c>
      <c r="C513" s="78" t="inlineStr">
        <is>
          <t>2024-11</t>
        </is>
      </c>
      <c r="D513" s="78" t="n">
        <v>2024</v>
      </c>
      <c r="E513" s="78" t="inlineStr">
        <is>
          <t>Land</t>
        </is>
      </c>
      <c r="F513" s="78" t="inlineStr">
        <is>
          <t>Plot / unit price</t>
        </is>
      </c>
      <c r="G513" s="78" t="inlineStr">
        <is>
          <t>Green City Phase 3 (Omu-Epe)</t>
        </is>
      </c>
      <c r="H513" s="78" t="inlineStr">
        <is>
          <t>BP-C0019</t>
        </is>
      </c>
      <c r="I513" s="78" t="inlineStr">
        <is>
          <t>Mr Ogbu Pius Ejaka</t>
        </is>
      </c>
      <c r="J513" s="80" t="n">
        <v>800000</v>
      </c>
      <c r="K513" s="78" t="inlineStr">
        <is>
          <t>Magodo Branch</t>
        </is>
      </c>
      <c r="L513" s="78" t="inlineStr">
        <is>
          <t>Primary: monthly turnover register</t>
        </is>
      </c>
      <c r="M513" s="78" t="inlineStr">
        <is>
          <t>BAAY PROJECTS FINANCIALS 2024.xlsx</t>
        </is>
      </c>
      <c r="N513" s="78" t="inlineStr">
        <is>
          <t>NOVEMBER TURNOVER</t>
        </is>
      </c>
      <c r="O513" s="78" t="n">
        <v>17</v>
      </c>
      <c r="P513" s="78" t="inlineStr">
        <is>
          <t>14/11/2024</t>
        </is>
      </c>
      <c r="Q513" s="78" t="inlineStr">
        <is>
          <t>MS MAYOWA BRAIMOH r54</t>
        </is>
      </c>
      <c r="R513" s="78" t="n"/>
    </row>
    <row r="514" ht="25" customHeight="1">
      <c r="A514" s="75" t="inlineStr">
        <is>
          <t>SL0491</t>
        </is>
      </c>
      <c r="B514" s="76" t="n">
        <v>45610</v>
      </c>
      <c r="C514" s="75" t="inlineStr">
        <is>
          <t>2024-11</t>
        </is>
      </c>
      <c r="D514" s="75" t="n">
        <v>2024</v>
      </c>
      <c r="E514" s="75" t="inlineStr">
        <is>
          <t>Land</t>
        </is>
      </c>
      <c r="F514" s="75" t="inlineStr">
        <is>
          <t>Plot / unit price</t>
        </is>
      </c>
      <c r="G514" s="75" t="inlineStr">
        <is>
          <t>Green City Phase 3 (Omu-Epe)</t>
        </is>
      </c>
      <c r="H514" s="75" t="inlineStr">
        <is>
          <t>BP-C0146</t>
        </is>
      </c>
      <c r="I514" s="75" t="inlineStr">
        <is>
          <t>Mrs Tijani Tawa Motunrayo</t>
        </is>
      </c>
      <c r="J514" s="77" t="n">
        <v>800000</v>
      </c>
      <c r="K514" s="75" t="inlineStr">
        <is>
          <t>Magodo Branch</t>
        </is>
      </c>
      <c r="L514" s="75" t="inlineStr">
        <is>
          <t>Primary: monthly turnover register</t>
        </is>
      </c>
      <c r="M514" s="75" t="inlineStr">
        <is>
          <t>BAAY PROJECTS FINANCIALS 2024.xlsx</t>
        </is>
      </c>
      <c r="N514" s="75" t="inlineStr">
        <is>
          <t>NOVEMBER TURNOVER</t>
        </is>
      </c>
      <c r="O514" s="75" t="n">
        <v>16</v>
      </c>
      <c r="P514" s="75" t="inlineStr">
        <is>
          <t>14/11/2024</t>
        </is>
      </c>
      <c r="Q514" s="75" t="inlineStr">
        <is>
          <t>MS AWONORIN MAYOWA r20</t>
        </is>
      </c>
      <c r="R514" s="75" t="n"/>
    </row>
    <row r="515" ht="25" customHeight="1">
      <c r="A515" s="78" t="inlineStr">
        <is>
          <t>SL0492</t>
        </is>
      </c>
      <c r="B515" s="79" t="n">
        <v>45611</v>
      </c>
      <c r="C515" s="78" t="inlineStr">
        <is>
          <t>2024-11</t>
        </is>
      </c>
      <c r="D515" s="78" t="n">
        <v>2024</v>
      </c>
      <c r="E515" s="78" t="inlineStr">
        <is>
          <t>Land</t>
        </is>
      </c>
      <c r="F515" s="78" t="inlineStr">
        <is>
          <t>Plot / unit price</t>
        </is>
      </c>
      <c r="G515" s="78" t="inlineStr">
        <is>
          <t>Green City Phase 1 (Lantaba, Ketu-Epe)</t>
        </is>
      </c>
      <c r="H515" s="78" t="inlineStr">
        <is>
          <t>BP-C0086</t>
        </is>
      </c>
      <c r="I515" s="78" t="inlineStr">
        <is>
          <t>Miss Nwobodo Miriam Chioma</t>
        </is>
      </c>
      <c r="J515" s="80" t="n">
        <v>50000</v>
      </c>
      <c r="K515" s="78" t="inlineStr">
        <is>
          <t>Allen Branch</t>
        </is>
      </c>
      <c r="L515" s="78" t="inlineStr">
        <is>
          <t>Primary: monthly turnover register</t>
        </is>
      </c>
      <c r="M515" s="78" t="inlineStr">
        <is>
          <t>BAAY PROJECTS FINANCIALS 2024.xlsx</t>
        </is>
      </c>
      <c r="N515" s="78" t="inlineStr">
        <is>
          <t>NOVEMBER TURNOVER</t>
        </is>
      </c>
      <c r="O515" s="78" t="n">
        <v>25</v>
      </c>
      <c r="P515" s="78" t="inlineStr">
        <is>
          <t>15/11/2024</t>
        </is>
      </c>
      <c r="Q515" s="78" t="inlineStr">
        <is>
          <t>MD r79</t>
        </is>
      </c>
      <c r="R515" s="78" t="n"/>
    </row>
    <row r="516" ht="25" customHeight="1">
      <c r="A516" s="75" t="inlineStr">
        <is>
          <t>SL0493</t>
        </is>
      </c>
      <c r="B516" s="76" t="n">
        <v>45611</v>
      </c>
      <c r="C516" s="75" t="inlineStr">
        <is>
          <t>2024-11</t>
        </is>
      </c>
      <c r="D516" s="75" t="n">
        <v>2024</v>
      </c>
      <c r="E516" s="75" t="inlineStr">
        <is>
          <t>Land</t>
        </is>
      </c>
      <c r="F516" s="75" t="inlineStr">
        <is>
          <t>Plot / unit price</t>
        </is>
      </c>
      <c r="G516" s="75" t="inlineStr">
        <is>
          <t>Green City Phase 3 (Omu-Epe)</t>
        </is>
      </c>
      <c r="H516" s="75" t="inlineStr">
        <is>
          <t>BP-C0114</t>
        </is>
      </c>
      <c r="I516" s="75" t="inlineStr">
        <is>
          <t>Miss Ohaego Ijeoma Goodness</t>
        </is>
      </c>
      <c r="J516" s="77" t="n">
        <v>2000000</v>
      </c>
      <c r="K516" s="75" t="inlineStr">
        <is>
          <t>Allen Branch</t>
        </is>
      </c>
      <c r="L516" s="75" t="inlineStr">
        <is>
          <t>Primary: monthly turnover register</t>
        </is>
      </c>
      <c r="M516" s="75" t="inlineStr">
        <is>
          <t>BAAY PROJECTS FINANCIALS 2024.xlsx</t>
        </is>
      </c>
      <c r="N516" s="75" t="inlineStr">
        <is>
          <t>NOVEMBER TURNOVER</t>
        </is>
      </c>
      <c r="O516" s="75" t="n">
        <v>23</v>
      </c>
      <c r="P516" s="75" t="inlineStr">
        <is>
          <t>15/11/2024</t>
        </is>
      </c>
      <c r="Q516" s="75" t="n"/>
      <c r="R516" s="75" t="n"/>
    </row>
    <row r="517" ht="25" customHeight="1">
      <c r="A517" s="78" t="inlineStr">
        <is>
          <t>SL0494</t>
        </is>
      </c>
      <c r="B517" s="79" t="n">
        <v>45611</v>
      </c>
      <c r="C517" s="78" t="inlineStr">
        <is>
          <t>2024-11</t>
        </is>
      </c>
      <c r="D517" s="78" t="n">
        <v>2024</v>
      </c>
      <c r="E517" s="78" t="inlineStr">
        <is>
          <t>Land</t>
        </is>
      </c>
      <c r="F517" s="78" t="inlineStr">
        <is>
          <t>Plot / unit price</t>
        </is>
      </c>
      <c r="G517" s="78" t="inlineStr">
        <is>
          <t>Heritage Garden</t>
        </is>
      </c>
      <c r="H517" s="78" t="inlineStr">
        <is>
          <t>BP-C0137</t>
        </is>
      </c>
      <c r="I517" s="78" t="inlineStr">
        <is>
          <t>Mr Boyejo Abiodun</t>
        </is>
      </c>
      <c r="J517" s="80" t="n">
        <v>400000</v>
      </c>
      <c r="K517" s="78" t="inlineStr">
        <is>
          <t>Allen Branch</t>
        </is>
      </c>
      <c r="L517" s="78" t="inlineStr">
        <is>
          <t>Primary: monthly turnover register</t>
        </is>
      </c>
      <c r="M517" s="78" t="inlineStr">
        <is>
          <t>BAAY PROJECTS FINANCIALS 2024.xlsx</t>
        </is>
      </c>
      <c r="N517" s="78" t="inlineStr">
        <is>
          <t>NOVEMBER TURNOVER</t>
        </is>
      </c>
      <c r="O517" s="78" t="n">
        <v>24</v>
      </c>
      <c r="P517" s="78" t="inlineStr">
        <is>
          <t>15/11/2024</t>
        </is>
      </c>
      <c r="Q517" s="78" t="inlineStr">
        <is>
          <t>MS BOLANLE r119</t>
        </is>
      </c>
      <c r="R517" s="78" t="n"/>
    </row>
    <row r="518" ht="25" customHeight="1">
      <c r="A518" s="75" t="inlineStr">
        <is>
          <t>SL0495</t>
        </is>
      </c>
      <c r="B518" s="76" t="n">
        <v>45612</v>
      </c>
      <c r="C518" s="75" t="inlineStr">
        <is>
          <t>2024-11</t>
        </is>
      </c>
      <c r="D518" s="75" t="n">
        <v>2024</v>
      </c>
      <c r="E518" s="75" t="inlineStr">
        <is>
          <t>Land</t>
        </is>
      </c>
      <c r="F518" s="75" t="inlineStr">
        <is>
          <t>Ancillary charge</t>
        </is>
      </c>
      <c r="G518" s="75" t="inlineStr">
        <is>
          <t>Land: corner piece premium</t>
        </is>
      </c>
      <c r="H518" s="75" t="inlineStr">
        <is>
          <t>BP-C0111</t>
        </is>
      </c>
      <c r="I518" s="75" t="inlineStr">
        <is>
          <t>Mr Adenuga Lukman Ebenezer</t>
        </is>
      </c>
      <c r="J518" s="77" t="n">
        <v>135000</v>
      </c>
      <c r="K518" s="75" t="inlineStr">
        <is>
          <t>Magodo Branch</t>
        </is>
      </c>
      <c r="L518" s="75" t="inlineStr">
        <is>
          <t>Primary: monthly turnover register</t>
        </is>
      </c>
      <c r="M518" s="75" t="inlineStr">
        <is>
          <t>BAAY PROJECTS FINANCIALS 2024.xlsx</t>
        </is>
      </c>
      <c r="N518" s="75" t="inlineStr">
        <is>
          <t>NOVEMBER TURNOVER</t>
        </is>
      </c>
      <c r="O518" s="75" t="n">
        <v>18</v>
      </c>
      <c r="P518" s="75" t="inlineStr">
        <is>
          <t>16/11/2024</t>
        </is>
      </c>
      <c r="Q518" s="75" t="n"/>
      <c r="R518" s="75" t="n"/>
    </row>
    <row r="519" ht="25" customHeight="1">
      <c r="A519" s="78" t="inlineStr">
        <is>
          <t>SL0496</t>
        </is>
      </c>
      <c r="B519" s="79" t="n">
        <v>45614</v>
      </c>
      <c r="C519" s="78" t="inlineStr">
        <is>
          <t>2024-11</t>
        </is>
      </c>
      <c r="D519" s="78" t="n">
        <v>2024</v>
      </c>
      <c r="E519" s="78" t="inlineStr">
        <is>
          <t>Land</t>
        </is>
      </c>
      <c r="F519" s="78" t="inlineStr">
        <is>
          <t>Ancillary charge</t>
        </is>
      </c>
      <c r="G519" s="78" t="inlineStr">
        <is>
          <t>Land: corner piece premium</t>
        </is>
      </c>
      <c r="H519" s="78" t="inlineStr">
        <is>
          <t>BP-C0116</t>
        </is>
      </c>
      <c r="I519" s="78" t="inlineStr">
        <is>
          <t>Miss Okorie Rachael Mmesomachi</t>
        </is>
      </c>
      <c r="J519" s="80" t="n">
        <v>135000</v>
      </c>
      <c r="K519" s="78" t="inlineStr">
        <is>
          <t>Allen Branch</t>
        </is>
      </c>
      <c r="L519" s="78" t="inlineStr">
        <is>
          <t>Primary: monthly turnover register</t>
        </is>
      </c>
      <c r="M519" s="78" t="inlineStr">
        <is>
          <t>BAAY PROJECTS FINANCIALS 2024.xlsx</t>
        </is>
      </c>
      <c r="N519" s="78" t="inlineStr">
        <is>
          <t>NOVEMBER TURNOVER</t>
        </is>
      </c>
      <c r="O519" s="78" t="n">
        <v>26</v>
      </c>
      <c r="P519" s="78" t="inlineStr">
        <is>
          <t>18/11/2024</t>
        </is>
      </c>
      <c r="Q519" s="78" t="n"/>
      <c r="R519" s="78" t="n"/>
    </row>
    <row r="520" ht="25" customHeight="1">
      <c r="A520" s="75" t="inlineStr">
        <is>
          <t>SL0497</t>
        </is>
      </c>
      <c r="B520" s="76" t="n">
        <v>45614</v>
      </c>
      <c r="C520" s="75" t="inlineStr">
        <is>
          <t>2024-11</t>
        </is>
      </c>
      <c r="D520" s="75" t="n">
        <v>2024</v>
      </c>
      <c r="E520" s="75" t="inlineStr">
        <is>
          <t>Land</t>
        </is>
      </c>
      <c r="F520" s="75" t="inlineStr">
        <is>
          <t>Ancillary charge</t>
        </is>
      </c>
      <c r="G520" s="75" t="inlineStr">
        <is>
          <t>Land: corner piece premium</t>
        </is>
      </c>
      <c r="H520" s="75" t="inlineStr">
        <is>
          <t>BP-C0119</t>
        </is>
      </c>
      <c r="I520" s="75" t="inlineStr">
        <is>
          <t>Mr Adedapo Adekunle Solomon</t>
        </is>
      </c>
      <c r="J520" s="77" t="n">
        <v>135000</v>
      </c>
      <c r="K520" s="75" t="inlineStr">
        <is>
          <t>Magodo Branch</t>
        </is>
      </c>
      <c r="L520" s="75" t="inlineStr">
        <is>
          <t>Primary: monthly turnover register</t>
        </is>
      </c>
      <c r="M520" s="75" t="inlineStr">
        <is>
          <t>BAAY PROJECTS FINANCIALS 2024.xlsx</t>
        </is>
      </c>
      <c r="N520" s="75" t="inlineStr">
        <is>
          <t>NOVEMBER TURNOVER</t>
        </is>
      </c>
      <c r="O520" s="75" t="n">
        <v>19</v>
      </c>
      <c r="P520" s="75" t="inlineStr">
        <is>
          <t>18/11/2024</t>
        </is>
      </c>
      <c r="Q520" s="75" t="n"/>
      <c r="R520" s="75" t="n"/>
    </row>
    <row r="521" ht="25" customHeight="1">
      <c r="A521" s="78" t="inlineStr">
        <is>
          <t>SL0498</t>
        </is>
      </c>
      <c r="B521" s="79" t="n">
        <v>45615</v>
      </c>
      <c r="C521" s="78" t="inlineStr">
        <is>
          <t>2024-11</t>
        </is>
      </c>
      <c r="D521" s="78" t="n">
        <v>2024</v>
      </c>
      <c r="E521" s="78" t="inlineStr">
        <is>
          <t>Housing</t>
        </is>
      </c>
      <c r="F521" s="78" t="inlineStr">
        <is>
          <t>Plot / unit price</t>
        </is>
      </c>
      <c r="G521" s="78" t="inlineStr">
        <is>
          <t>Pacific Apartment</t>
        </is>
      </c>
      <c r="H521" s="78" t="inlineStr">
        <is>
          <t>BP-C0142</t>
        </is>
      </c>
      <c r="I521" s="78" t="inlineStr">
        <is>
          <t>Mr Simien Samuel &amp; Mrs Simien Oyindamola Adekunle</t>
        </is>
      </c>
      <c r="J521" s="80" t="n">
        <v>4750000</v>
      </c>
      <c r="K521" s="78" t="inlineStr">
        <is>
          <t>Magodo Branch</t>
        </is>
      </c>
      <c r="L521" s="78" t="inlineStr">
        <is>
          <t>Primary: monthly turnover register</t>
        </is>
      </c>
      <c r="M521" s="78" t="inlineStr">
        <is>
          <t>BAAY PROJECTS FINANCIALS 2024.xlsx</t>
        </is>
      </c>
      <c r="N521" s="78" t="inlineStr">
        <is>
          <t>NOVEMBER TURNOVER</t>
        </is>
      </c>
      <c r="O521" s="78" t="n">
        <v>20</v>
      </c>
      <c r="P521" s="78" t="inlineStr">
        <is>
          <t>19/11/2024</t>
        </is>
      </c>
      <c r="Q521" s="78" t="inlineStr">
        <is>
          <t>MAMA ADEBIMPE r52</t>
        </is>
      </c>
      <c r="R521" s="78" t="n"/>
    </row>
    <row r="522" ht="25" customHeight="1">
      <c r="A522" s="75" t="inlineStr">
        <is>
          <t>SL0499</t>
        </is>
      </c>
      <c r="B522" s="76" t="n">
        <v>45619</v>
      </c>
      <c r="C522" s="75" t="inlineStr">
        <is>
          <t>2024-11</t>
        </is>
      </c>
      <c r="D522" s="75" t="n">
        <v>2024</v>
      </c>
      <c r="E522" s="75" t="inlineStr">
        <is>
          <t>Land</t>
        </is>
      </c>
      <c r="F522" s="75" t="inlineStr">
        <is>
          <t>Plot / unit price</t>
        </is>
      </c>
      <c r="G522" s="75" t="inlineStr">
        <is>
          <t>Green City Phase 2 (Ketu-Epe)</t>
        </is>
      </c>
      <c r="H522" s="75" t="inlineStr">
        <is>
          <t>BP-C0068</t>
        </is>
      </c>
      <c r="I522" s="75" t="inlineStr">
        <is>
          <t>Miss Ebhotah Sharon Aisosa</t>
        </is>
      </c>
      <c r="J522" s="77" t="n">
        <v>310000</v>
      </c>
      <c r="K522" s="75" t="inlineStr">
        <is>
          <t>Magodo Branch</t>
        </is>
      </c>
      <c r="L522" s="75" t="inlineStr">
        <is>
          <t>Primary: monthly turnover register</t>
        </is>
      </c>
      <c r="M522" s="75" t="inlineStr">
        <is>
          <t>BAAY PROJECTS FINANCIALS 2024.xlsx</t>
        </is>
      </c>
      <c r="N522" s="75" t="inlineStr">
        <is>
          <t>NOVEMBER TURNOVER</t>
        </is>
      </c>
      <c r="O522" s="75" t="n">
        <v>21</v>
      </c>
      <c r="P522" s="75" t="inlineStr">
        <is>
          <t>23/11/2024</t>
        </is>
      </c>
      <c r="Q522" s="75" t="inlineStr">
        <is>
          <t>MS BLESSING r123</t>
        </is>
      </c>
      <c r="R522" s="75" t="n"/>
    </row>
    <row r="523" ht="25" customHeight="1">
      <c r="A523" s="78" t="inlineStr">
        <is>
          <t>SL0500</t>
        </is>
      </c>
      <c r="B523" s="79" t="n">
        <v>45619</v>
      </c>
      <c r="C523" s="78" t="inlineStr">
        <is>
          <t>2024-11</t>
        </is>
      </c>
      <c r="D523" s="78" t="n">
        <v>2024</v>
      </c>
      <c r="E523" s="78" t="inlineStr">
        <is>
          <t>Land</t>
        </is>
      </c>
      <c r="F523" s="78" t="inlineStr">
        <is>
          <t>Ancillary charge</t>
        </is>
      </c>
      <c r="G523" s="78" t="inlineStr">
        <is>
          <t>Land: corner piece premium</t>
        </is>
      </c>
      <c r="H523" s="78" t="inlineStr">
        <is>
          <t>BP-C0120</t>
        </is>
      </c>
      <c r="I523" s="78" t="inlineStr">
        <is>
          <t>Mr Olusegun Dare Michael</t>
        </is>
      </c>
      <c r="J523" s="80" t="n">
        <v>135000</v>
      </c>
      <c r="K523" s="78" t="inlineStr">
        <is>
          <t>Allen Branch</t>
        </is>
      </c>
      <c r="L523" s="78" t="inlineStr">
        <is>
          <t>Primary: monthly turnover register</t>
        </is>
      </c>
      <c r="M523" s="78" t="inlineStr">
        <is>
          <t>BAAY PROJECTS FINANCIALS 2024.xlsx</t>
        </is>
      </c>
      <c r="N523" s="78" t="inlineStr">
        <is>
          <t>NOVEMBER TURNOVER</t>
        </is>
      </c>
      <c r="O523" s="78" t="n">
        <v>27</v>
      </c>
      <c r="P523" s="78" t="inlineStr">
        <is>
          <t>23/11/2024</t>
        </is>
      </c>
      <c r="Q523" s="78" t="n"/>
      <c r="R523" s="78" t="n"/>
    </row>
    <row r="524" ht="25" customHeight="1">
      <c r="A524" s="75" t="inlineStr">
        <is>
          <t>SL0501</t>
        </is>
      </c>
      <c r="B524" s="76" t="n">
        <v>45620</v>
      </c>
      <c r="C524" s="75" t="inlineStr">
        <is>
          <t>2024-11</t>
        </is>
      </c>
      <c r="D524" s="75" t="n">
        <v>2024</v>
      </c>
      <c r="E524" s="75" t="inlineStr">
        <is>
          <t>Housing</t>
        </is>
      </c>
      <c r="F524" s="75" t="inlineStr">
        <is>
          <t>Plot / unit price</t>
        </is>
      </c>
      <c r="G524" s="75" t="inlineStr">
        <is>
          <t>Pacific Apartment</t>
        </is>
      </c>
      <c r="H524" s="75" t="inlineStr">
        <is>
          <t>BP-C0145</t>
        </is>
      </c>
      <c r="I524" s="75" t="inlineStr">
        <is>
          <t>Miss Keshinro Phebe Oluwatunmise</t>
        </is>
      </c>
      <c r="J524" s="77" t="n">
        <v>2000000</v>
      </c>
      <c r="K524" s="75" t="inlineStr">
        <is>
          <t>Magodo Branch</t>
        </is>
      </c>
      <c r="L524" s="75" t="inlineStr">
        <is>
          <t>Primary: monthly turnover register</t>
        </is>
      </c>
      <c r="M524" s="75" t="inlineStr">
        <is>
          <t>BAAY PROJECTS FINANCIALS 2024.xlsx</t>
        </is>
      </c>
      <c r="N524" s="75" t="inlineStr">
        <is>
          <t>NOVEMBER TURNOVER</t>
        </is>
      </c>
      <c r="O524" s="75" t="n">
        <v>22</v>
      </c>
      <c r="P524" s="75" t="inlineStr">
        <is>
          <t>24/11/2024</t>
        </is>
      </c>
      <c r="Q524" s="75" t="inlineStr">
        <is>
          <t>MR CHARLES r68</t>
        </is>
      </c>
      <c r="R524" s="75" t="n"/>
    </row>
    <row r="525" ht="25" customHeight="1">
      <c r="A525" s="78" t="inlineStr">
        <is>
          <t>SL0502</t>
        </is>
      </c>
      <c r="B525" s="79" t="n">
        <v>45620</v>
      </c>
      <c r="C525" s="78" t="inlineStr">
        <is>
          <t>2024-11</t>
        </is>
      </c>
      <c r="D525" s="78" t="n">
        <v>2024</v>
      </c>
      <c r="E525" s="78" t="inlineStr">
        <is>
          <t>Land</t>
        </is>
      </c>
      <c r="F525" s="78" t="inlineStr">
        <is>
          <t>Plot / unit price</t>
        </is>
      </c>
      <c r="G525" s="78" t="inlineStr">
        <is>
          <t>Green City Phase 3 (Omu-Epe)</t>
        </is>
      </c>
      <c r="H525" s="78" t="inlineStr">
        <is>
          <t>BP-C0136</t>
        </is>
      </c>
      <c r="I525" s="78" t="inlineStr">
        <is>
          <t>Mr Isibor Godwin</t>
        </is>
      </c>
      <c r="J525" s="80" t="n">
        <v>450000</v>
      </c>
      <c r="K525" s="78" t="inlineStr">
        <is>
          <t>Allen Branch</t>
        </is>
      </c>
      <c r="L525" s="78" t="inlineStr">
        <is>
          <t>Primary: monthly turnover register</t>
        </is>
      </c>
      <c r="M525" s="78" t="inlineStr">
        <is>
          <t>BAAY PROJECTS FINANCIALS 2024.xlsx</t>
        </is>
      </c>
      <c r="N525" s="78" t="inlineStr">
        <is>
          <t>NOVEMBER TURNOVER</t>
        </is>
      </c>
      <c r="O525" s="78" t="n">
        <v>28</v>
      </c>
      <c r="P525" s="78" t="inlineStr">
        <is>
          <t>24/11/2024</t>
        </is>
      </c>
      <c r="Q525" s="78" t="inlineStr">
        <is>
          <t>MS TOBI AJAYI r37</t>
        </is>
      </c>
      <c r="R525" s="78" t="n"/>
    </row>
    <row r="526" ht="25" customHeight="1">
      <c r="A526" s="75" t="inlineStr">
        <is>
          <t>SL0503</t>
        </is>
      </c>
      <c r="B526" s="76" t="n">
        <v>45622</v>
      </c>
      <c r="C526" s="75" t="inlineStr">
        <is>
          <t>2024-11</t>
        </is>
      </c>
      <c r="D526" s="75" t="n">
        <v>2024</v>
      </c>
      <c r="E526" s="75" t="inlineStr">
        <is>
          <t>Land</t>
        </is>
      </c>
      <c r="F526" s="75" t="inlineStr">
        <is>
          <t>Plot / unit price</t>
        </is>
      </c>
      <c r="G526" s="75" t="inlineStr">
        <is>
          <t>Heritage Garden</t>
        </is>
      </c>
      <c r="H526" s="75" t="inlineStr">
        <is>
          <t>BP-C0130</t>
        </is>
      </c>
      <c r="I526" s="75" t="inlineStr">
        <is>
          <t>Mrs Akindele Felicia Oluwatoyin</t>
        </is>
      </c>
      <c r="J526" s="77" t="n">
        <v>100000</v>
      </c>
      <c r="K526" s="75" t="inlineStr">
        <is>
          <t>Allen Branch</t>
        </is>
      </c>
      <c r="L526" s="75" t="inlineStr">
        <is>
          <t>Primary: monthly turnover register</t>
        </is>
      </c>
      <c r="M526" s="75" t="inlineStr">
        <is>
          <t>BAAY PROJECTS FINANCIALS 2024.xlsx</t>
        </is>
      </c>
      <c r="N526" s="75" t="inlineStr">
        <is>
          <t>NOVEMBER TURNOVER</t>
        </is>
      </c>
      <c r="O526" s="75" t="n">
        <v>29</v>
      </c>
      <c r="P526" s="75" t="inlineStr">
        <is>
          <t>26/11/2024</t>
        </is>
      </c>
      <c r="Q526" s="75" t="inlineStr">
        <is>
          <t>MS FISAYO r54</t>
        </is>
      </c>
      <c r="R526" s="75" t="n"/>
    </row>
    <row r="527" ht="25" customHeight="1">
      <c r="A527" s="78" t="inlineStr">
        <is>
          <t>SL0504</t>
        </is>
      </c>
      <c r="B527" s="79" t="n">
        <v>45622</v>
      </c>
      <c r="C527" s="78" t="inlineStr">
        <is>
          <t>2024-11</t>
        </is>
      </c>
      <c r="D527" s="78" t="n">
        <v>2024</v>
      </c>
      <c r="E527" s="78" t="inlineStr">
        <is>
          <t>Land</t>
        </is>
      </c>
      <c r="F527" s="78" t="inlineStr">
        <is>
          <t>Ancillary charge</t>
        </is>
      </c>
      <c r="G527" s="78" t="inlineStr">
        <is>
          <t>Land: corner piece premium</t>
        </is>
      </c>
      <c r="H527" s="78" t="inlineStr">
        <is>
          <t>BP-C0147</t>
        </is>
      </c>
      <c r="I527" s="78" t="inlineStr">
        <is>
          <t>Pastor Ikechukwu Jeremiah &amp; Deaconess Ikechukwu Rose Iju</t>
        </is>
      </c>
      <c r="J527" s="80" t="n">
        <v>135000</v>
      </c>
      <c r="K527" s="78" t="inlineStr">
        <is>
          <t>Magodo Branch</t>
        </is>
      </c>
      <c r="L527" s="78" t="inlineStr">
        <is>
          <t>Primary: monthly turnover register</t>
        </is>
      </c>
      <c r="M527" s="78" t="inlineStr">
        <is>
          <t>BAAY PROJECTS FINANCIALS 2024.xlsx</t>
        </is>
      </c>
      <c r="N527" s="78" t="inlineStr">
        <is>
          <t>NOVEMBER TURNOVER</t>
        </is>
      </c>
      <c r="O527" s="78" t="n">
        <v>23</v>
      </c>
      <c r="P527" s="78" t="inlineStr">
        <is>
          <t>26/11/2024</t>
        </is>
      </c>
      <c r="Q527" s="78" t="n"/>
      <c r="R527" s="78" t="n"/>
    </row>
    <row r="528" ht="25" customHeight="1">
      <c r="A528" s="75" t="inlineStr">
        <is>
          <t>SL0505</t>
        </is>
      </c>
      <c r="B528" s="76" t="n">
        <v>45623</v>
      </c>
      <c r="C528" s="75" t="inlineStr">
        <is>
          <t>2024-11</t>
        </is>
      </c>
      <c r="D528" s="75" t="n">
        <v>2024</v>
      </c>
      <c r="E528" s="75" t="inlineStr">
        <is>
          <t>Land</t>
        </is>
      </c>
      <c r="F528" s="75" t="inlineStr">
        <is>
          <t>Plot / unit price</t>
        </is>
      </c>
      <c r="G528" s="75" t="inlineStr">
        <is>
          <t>Green City Phase 3 (Omu-Epe)</t>
        </is>
      </c>
      <c r="H528" s="75" t="inlineStr">
        <is>
          <t>BP-C0114</t>
        </is>
      </c>
      <c r="I528" s="75" t="inlineStr">
        <is>
          <t>Miss Ohaego Ijeoma Goodness</t>
        </is>
      </c>
      <c r="J528" s="77" t="n">
        <v>1267000</v>
      </c>
      <c r="K528" s="75" t="inlineStr">
        <is>
          <t>Allen Branch</t>
        </is>
      </c>
      <c r="L528" s="75" t="inlineStr">
        <is>
          <t>Primary: monthly turnover register</t>
        </is>
      </c>
      <c r="M528" s="75" t="inlineStr">
        <is>
          <t>BAAY PROJECTS FINANCIALS 2024.xlsx</t>
        </is>
      </c>
      <c r="N528" s="75" t="inlineStr">
        <is>
          <t>NOVEMBER TURNOVER</t>
        </is>
      </c>
      <c r="O528" s="75" t="n">
        <v>33</v>
      </c>
      <c r="P528" s="75" t="inlineStr">
        <is>
          <t>27/11/2024</t>
        </is>
      </c>
      <c r="Q528" s="75" t="inlineStr">
        <is>
          <t>MS BOLANLE r126, MS BLESSING OJI r64</t>
        </is>
      </c>
      <c r="R528" s="75" t="n"/>
    </row>
    <row r="529" ht="25" customHeight="1">
      <c r="A529" s="78" t="inlineStr">
        <is>
          <t>SL0506</t>
        </is>
      </c>
      <c r="B529" s="79" t="n">
        <v>45623</v>
      </c>
      <c r="C529" s="78" t="inlineStr">
        <is>
          <t>2024-11</t>
        </is>
      </c>
      <c r="D529" s="78" t="n">
        <v>2024</v>
      </c>
      <c r="E529" s="78" t="inlineStr">
        <is>
          <t>Land</t>
        </is>
      </c>
      <c r="F529" s="78" t="inlineStr">
        <is>
          <t>Plot / unit price</t>
        </is>
      </c>
      <c r="G529" s="78" t="inlineStr">
        <is>
          <t>Green City Phase 2 (Ketu-Epe)</t>
        </is>
      </c>
      <c r="H529" s="78" t="inlineStr">
        <is>
          <t>BP-C0030</t>
        </is>
      </c>
      <c r="I529" s="78" t="inlineStr">
        <is>
          <t>Mr Adese Akorede John</t>
        </is>
      </c>
      <c r="J529" s="80" t="n">
        <v>200000</v>
      </c>
      <c r="K529" s="78" t="inlineStr">
        <is>
          <t>Allen Branch</t>
        </is>
      </c>
      <c r="L529" s="78" t="inlineStr">
        <is>
          <t>Primary: monthly turnover register</t>
        </is>
      </c>
      <c r="M529" s="78" t="inlineStr">
        <is>
          <t>BAAY PROJECTS FINANCIALS 2024.xlsx</t>
        </is>
      </c>
      <c r="N529" s="78" t="inlineStr">
        <is>
          <t>NOVEMBER TURNOVER</t>
        </is>
      </c>
      <c r="O529" s="78" t="n">
        <v>30</v>
      </c>
      <c r="P529" s="78" t="inlineStr">
        <is>
          <t>27/11/2024</t>
        </is>
      </c>
      <c r="Q529" s="78" t="inlineStr">
        <is>
          <t>MD r86</t>
        </is>
      </c>
      <c r="R529" s="78" t="n"/>
    </row>
    <row r="530" ht="25" customHeight="1">
      <c r="A530" s="75" t="inlineStr">
        <is>
          <t>SL0507</t>
        </is>
      </c>
      <c r="B530" s="76" t="n">
        <v>45623</v>
      </c>
      <c r="C530" s="75" t="inlineStr">
        <is>
          <t>2024-11</t>
        </is>
      </c>
      <c r="D530" s="75" t="n">
        <v>2024</v>
      </c>
      <c r="E530" s="75" t="inlineStr">
        <is>
          <t>Land</t>
        </is>
      </c>
      <c r="F530" s="75" t="inlineStr">
        <is>
          <t>Ancillary charge</t>
        </is>
      </c>
      <c r="G530" s="75" t="inlineStr">
        <is>
          <t>Land: development fee</t>
        </is>
      </c>
      <c r="H530" s="75" t="inlineStr">
        <is>
          <t>BP-C0030</t>
        </is>
      </c>
      <c r="I530" s="75" t="inlineStr">
        <is>
          <t>Mr Adese Akorede John</t>
        </is>
      </c>
      <c r="J530" s="77" t="n">
        <v>50000</v>
      </c>
      <c r="K530" s="75" t="inlineStr">
        <is>
          <t>Allen Branch</t>
        </is>
      </c>
      <c r="L530" s="75" t="inlineStr">
        <is>
          <t>Primary: monthly turnover register</t>
        </is>
      </c>
      <c r="M530" s="75" t="inlineStr">
        <is>
          <t>BAAY PROJECTS FINANCIALS 2024.xlsx</t>
        </is>
      </c>
      <c r="N530" s="75" t="inlineStr">
        <is>
          <t>NOVEMBER TURNOVER</t>
        </is>
      </c>
      <c r="O530" s="75" t="n">
        <v>31</v>
      </c>
      <c r="P530" s="75" t="inlineStr">
        <is>
          <t>27/11/2024</t>
        </is>
      </c>
      <c r="Q530" s="75" t="n"/>
      <c r="R530" s="75" t="n"/>
    </row>
    <row r="531" ht="25" customHeight="1">
      <c r="A531" s="78" t="inlineStr">
        <is>
          <t>SL0508</t>
        </is>
      </c>
      <c r="B531" s="79" t="n">
        <v>45623</v>
      </c>
      <c r="C531" s="78" t="inlineStr">
        <is>
          <t>2024-11</t>
        </is>
      </c>
      <c r="D531" s="78" t="n">
        <v>2024</v>
      </c>
      <c r="E531" s="78" t="inlineStr">
        <is>
          <t>Land</t>
        </is>
      </c>
      <c r="F531" s="78" t="inlineStr">
        <is>
          <t>Plot / unit price</t>
        </is>
      </c>
      <c r="G531" s="78" t="inlineStr">
        <is>
          <t>Green City Ibadan (Akinyele-Moniya)</t>
        </is>
      </c>
      <c r="H531" s="78" t="inlineStr">
        <is>
          <t>BP-C0030</t>
        </is>
      </c>
      <c r="I531" s="78" t="inlineStr">
        <is>
          <t>Mr Adese Akorede John</t>
        </is>
      </c>
      <c r="J531" s="80" t="n">
        <v>500000</v>
      </c>
      <c r="K531" s="78" t="inlineStr">
        <is>
          <t>Allen Branch</t>
        </is>
      </c>
      <c r="L531" s="78" t="inlineStr">
        <is>
          <t>Primary: monthly turnover register</t>
        </is>
      </c>
      <c r="M531" s="78" t="inlineStr">
        <is>
          <t>BAAY PROJECTS FINANCIALS 2024.xlsx</t>
        </is>
      </c>
      <c r="N531" s="78" t="inlineStr">
        <is>
          <t>NOVEMBER TURNOVER</t>
        </is>
      </c>
      <c r="O531" s="78" t="n">
        <v>32</v>
      </c>
      <c r="P531" s="78" t="inlineStr">
        <is>
          <t>27/11/2024</t>
        </is>
      </c>
      <c r="Q531" s="78" t="inlineStr">
        <is>
          <t>MD r87</t>
        </is>
      </c>
      <c r="R531" s="78" t="n"/>
    </row>
    <row r="532" ht="25" customHeight="1">
      <c r="A532" s="75" t="inlineStr">
        <is>
          <t>SL0509</t>
        </is>
      </c>
      <c r="B532" s="76" t="n">
        <v>45624</v>
      </c>
      <c r="C532" s="75" t="inlineStr">
        <is>
          <t>2024-11</t>
        </is>
      </c>
      <c r="D532" s="75" t="n">
        <v>2024</v>
      </c>
      <c r="E532" s="75" t="inlineStr">
        <is>
          <t>Land</t>
        </is>
      </c>
      <c r="F532" s="75" t="inlineStr">
        <is>
          <t>Plot / unit price</t>
        </is>
      </c>
      <c r="G532" s="75" t="inlineStr">
        <is>
          <t>Green City Phase 3 (Omu-Epe)</t>
        </is>
      </c>
      <c r="H532" s="75" t="inlineStr">
        <is>
          <t>BP-C0127</t>
        </is>
      </c>
      <c r="I532" s="75" t="inlineStr">
        <is>
          <t>Mr Adigun Muyiwa &amp; Mrs Adigun Folashade Oluwaseun</t>
        </is>
      </c>
      <c r="J532" s="77" t="n">
        <v>700000</v>
      </c>
      <c r="K532" s="75" t="inlineStr">
        <is>
          <t>Allen Branch</t>
        </is>
      </c>
      <c r="L532" s="75" t="inlineStr">
        <is>
          <t>Primary: monthly turnover register</t>
        </is>
      </c>
      <c r="M532" s="75" t="inlineStr">
        <is>
          <t>BAAY PROJECTS FINANCIALS 2024.xlsx</t>
        </is>
      </c>
      <c r="N532" s="75" t="inlineStr">
        <is>
          <t>NOVEMBER TURNOVER</t>
        </is>
      </c>
      <c r="O532" s="75" t="n">
        <v>34</v>
      </c>
      <c r="P532" s="75" t="inlineStr">
        <is>
          <t>28/11/2024</t>
        </is>
      </c>
      <c r="Q532" s="75" t="inlineStr">
        <is>
          <t>MR AYENI MAYOWA r15</t>
        </is>
      </c>
      <c r="R532" s="75" t="n"/>
    </row>
    <row r="533" ht="25" customHeight="1">
      <c r="A533" s="78" t="inlineStr">
        <is>
          <t>SL0510</t>
        </is>
      </c>
      <c r="B533" s="79" t="n">
        <v>45625</v>
      </c>
      <c r="C533" s="78" t="inlineStr">
        <is>
          <t>2024-11</t>
        </is>
      </c>
      <c r="D533" s="78" t="n">
        <v>2024</v>
      </c>
      <c r="E533" s="78" t="inlineStr">
        <is>
          <t>Land</t>
        </is>
      </c>
      <c r="F533" s="78" t="inlineStr">
        <is>
          <t>Ancillary charge</t>
        </is>
      </c>
      <c r="G533" s="78" t="inlineStr">
        <is>
          <t>Land: corner piece premium</t>
        </is>
      </c>
      <c r="H533" s="78" t="inlineStr">
        <is>
          <t>BP-C0068</t>
        </is>
      </c>
      <c r="I533" s="78" t="inlineStr">
        <is>
          <t>Miss Ebhotah Sharon Aisosa</t>
        </is>
      </c>
      <c r="J533" s="80" t="n">
        <v>135000</v>
      </c>
      <c r="K533" s="78" t="inlineStr">
        <is>
          <t>Magodo Branch</t>
        </is>
      </c>
      <c r="L533" s="78" t="inlineStr">
        <is>
          <t>Primary: monthly turnover register</t>
        </is>
      </c>
      <c r="M533" s="78" t="inlineStr">
        <is>
          <t>BAAY PROJECTS FINANCIALS 2024.xlsx</t>
        </is>
      </c>
      <c r="N533" s="78" t="inlineStr">
        <is>
          <t>NOVEMBER TURNOVER</t>
        </is>
      </c>
      <c r="O533" s="78" t="n">
        <v>24</v>
      </c>
      <c r="P533" s="78" t="inlineStr">
        <is>
          <t>29/11/2024</t>
        </is>
      </c>
      <c r="Q533" s="78" t="n"/>
      <c r="R533" s="78" t="n"/>
    </row>
    <row r="534" ht="25" customHeight="1">
      <c r="A534" s="75" t="inlineStr">
        <is>
          <t>SL0511</t>
        </is>
      </c>
      <c r="B534" s="76" t="n">
        <v>45625</v>
      </c>
      <c r="C534" s="75" t="inlineStr">
        <is>
          <t>2024-11</t>
        </is>
      </c>
      <c r="D534" s="75" t="n">
        <v>2024</v>
      </c>
      <c r="E534" s="75" t="inlineStr">
        <is>
          <t>Land</t>
        </is>
      </c>
      <c r="F534" s="75" t="inlineStr">
        <is>
          <t>Ancillary charge</t>
        </is>
      </c>
      <c r="G534" s="75" t="inlineStr">
        <is>
          <t>Land: corner piece premium</t>
        </is>
      </c>
      <c r="H534" s="75" t="inlineStr">
        <is>
          <t>BP-C0114</t>
        </is>
      </c>
      <c r="I534" s="75" t="inlineStr">
        <is>
          <t>Miss Ohaego Ijeoma Goodness</t>
        </is>
      </c>
      <c r="J534" s="77" t="n">
        <v>135000</v>
      </c>
      <c r="K534" s="75" t="inlineStr">
        <is>
          <t>Allen Branch</t>
        </is>
      </c>
      <c r="L534" s="75" t="inlineStr">
        <is>
          <t>Primary: monthly turnover register</t>
        </is>
      </c>
      <c r="M534" s="75" t="inlineStr">
        <is>
          <t>BAAY PROJECTS FINANCIALS 2024.xlsx</t>
        </is>
      </c>
      <c r="N534" s="75" t="inlineStr">
        <is>
          <t>NOVEMBER TURNOVER</t>
        </is>
      </c>
      <c r="O534" s="75" t="n">
        <v>37</v>
      </c>
      <c r="P534" s="75" t="inlineStr">
        <is>
          <t>29/11/2024</t>
        </is>
      </c>
      <c r="Q534" s="75" t="n"/>
      <c r="R534" s="75" t="n"/>
    </row>
    <row r="535" ht="25" customHeight="1">
      <c r="A535" s="78" t="inlineStr">
        <is>
          <t>SL0512</t>
        </is>
      </c>
      <c r="B535" s="79" t="n">
        <v>45625</v>
      </c>
      <c r="C535" s="78" t="inlineStr">
        <is>
          <t>2024-11</t>
        </is>
      </c>
      <c r="D535" s="78" t="n">
        <v>2024</v>
      </c>
      <c r="E535" s="78" t="inlineStr">
        <is>
          <t>Land</t>
        </is>
      </c>
      <c r="F535" s="78" t="inlineStr">
        <is>
          <t>Ancillary charge</t>
        </is>
      </c>
      <c r="G535" s="78" t="inlineStr">
        <is>
          <t>Land: corner piece premium</t>
        </is>
      </c>
      <c r="H535" s="78" t="inlineStr">
        <is>
          <t>BP-C0026</t>
        </is>
      </c>
      <c r="I535" s="78" t="inlineStr">
        <is>
          <t>Mr &amp; Mrs Adebayo Dada</t>
        </is>
      </c>
      <c r="J535" s="80" t="n">
        <v>135000</v>
      </c>
      <c r="K535" s="78" t="inlineStr">
        <is>
          <t>Allen Branch</t>
        </is>
      </c>
      <c r="L535" s="78" t="inlineStr">
        <is>
          <t>Primary: monthly turnover register</t>
        </is>
      </c>
      <c r="M535" s="78" t="inlineStr">
        <is>
          <t>BAAY PROJECTS FINANCIALS 2024.xlsx</t>
        </is>
      </c>
      <c r="N535" s="78" t="inlineStr">
        <is>
          <t>NOVEMBER TURNOVER</t>
        </is>
      </c>
      <c r="O535" s="78" t="n">
        <v>38</v>
      </c>
      <c r="P535" s="78" t="inlineStr">
        <is>
          <t>29/11/2024</t>
        </is>
      </c>
      <c r="Q535" s="78" t="n"/>
      <c r="R535" s="78" t="n"/>
    </row>
    <row r="536" ht="25" customHeight="1">
      <c r="A536" s="75" t="inlineStr">
        <is>
          <t>SL0513</t>
        </is>
      </c>
      <c r="B536" s="76" t="n">
        <v>45625</v>
      </c>
      <c r="C536" s="75" t="inlineStr">
        <is>
          <t>2024-11</t>
        </is>
      </c>
      <c r="D536" s="75" t="n">
        <v>2024</v>
      </c>
      <c r="E536" s="75" t="inlineStr">
        <is>
          <t>Land</t>
        </is>
      </c>
      <c r="F536" s="75" t="inlineStr">
        <is>
          <t>Plot / unit price</t>
        </is>
      </c>
      <c r="G536" s="75" t="inlineStr">
        <is>
          <t>Green City Phase 2 (Ketu-Epe)</t>
        </is>
      </c>
      <c r="H536" s="75" t="inlineStr">
        <is>
          <t>BP-C0148</t>
        </is>
      </c>
      <c r="I536" s="75" t="inlineStr">
        <is>
          <t>Mr Akinsete Michael Abayomi</t>
        </is>
      </c>
      <c r="J536" s="77" t="n">
        <v>500000</v>
      </c>
      <c r="K536" s="75" t="inlineStr">
        <is>
          <t>Allen Branch</t>
        </is>
      </c>
      <c r="L536" s="75" t="inlineStr">
        <is>
          <t>Primary: monthly turnover register</t>
        </is>
      </c>
      <c r="M536" s="75" t="inlineStr">
        <is>
          <t>BAAY PROJECTS FINANCIALS 2024.xlsx</t>
        </is>
      </c>
      <c r="N536" s="75" t="inlineStr">
        <is>
          <t>NOVEMBER TURNOVER</t>
        </is>
      </c>
      <c r="O536" s="75" t="n">
        <v>36</v>
      </c>
      <c r="P536" s="75" t="inlineStr">
        <is>
          <t>29/11/2024</t>
        </is>
      </c>
      <c r="Q536" s="75" t="inlineStr">
        <is>
          <t>MD r88</t>
        </is>
      </c>
      <c r="R536" s="75" t="n"/>
    </row>
    <row r="537" ht="25" customHeight="1">
      <c r="A537" s="78" t="inlineStr">
        <is>
          <t>SL0514</t>
        </is>
      </c>
      <c r="B537" s="79" t="n">
        <v>45625</v>
      </c>
      <c r="C537" s="78" t="inlineStr">
        <is>
          <t>2024-11</t>
        </is>
      </c>
      <c r="D537" s="78" t="n">
        <v>2024</v>
      </c>
      <c r="E537" s="78" t="inlineStr">
        <is>
          <t>Land</t>
        </is>
      </c>
      <c r="F537" s="78" t="inlineStr">
        <is>
          <t>Ancillary charge</t>
        </is>
      </c>
      <c r="G537" s="78" t="inlineStr">
        <is>
          <t>Land: corner piece premium</t>
        </is>
      </c>
      <c r="H537" s="78" t="inlineStr">
        <is>
          <t>BP-C0019</t>
        </is>
      </c>
      <c r="I537" s="78" t="inlineStr">
        <is>
          <t>Mr Ogbu Pius Ejaka</t>
        </is>
      </c>
      <c r="J537" s="80" t="n">
        <v>135000</v>
      </c>
      <c r="K537" s="78" t="inlineStr">
        <is>
          <t>Magodo Branch</t>
        </is>
      </c>
      <c r="L537" s="78" t="inlineStr">
        <is>
          <t>Primary: monthly turnover register</t>
        </is>
      </c>
      <c r="M537" s="78" t="inlineStr">
        <is>
          <t>BAAY PROJECTS FINANCIALS 2024.xlsx</t>
        </is>
      </c>
      <c r="N537" s="78" t="inlineStr">
        <is>
          <t>NOVEMBER TURNOVER</t>
        </is>
      </c>
      <c r="O537" s="78" t="n">
        <v>25</v>
      </c>
      <c r="P537" s="78" t="inlineStr">
        <is>
          <t>29/11/2024</t>
        </is>
      </c>
      <c r="Q537" s="78" t="n"/>
      <c r="R537" s="78" t="n"/>
    </row>
    <row r="538" ht="25" customHeight="1">
      <c r="A538" s="75" t="inlineStr">
        <is>
          <t>SL0515</t>
        </is>
      </c>
      <c r="B538" s="76" t="n">
        <v>45625</v>
      </c>
      <c r="C538" s="75" t="inlineStr">
        <is>
          <t>2024-11</t>
        </is>
      </c>
      <c r="D538" s="75" t="n">
        <v>2024</v>
      </c>
      <c r="E538" s="75" t="inlineStr">
        <is>
          <t>Land</t>
        </is>
      </c>
      <c r="F538" s="75" t="inlineStr">
        <is>
          <t>Plot / unit price</t>
        </is>
      </c>
      <c r="G538" s="75" t="inlineStr">
        <is>
          <t>Green City Phase 3 (Omu-Epe)</t>
        </is>
      </c>
      <c r="H538" s="75" t="inlineStr">
        <is>
          <t>BP-C0149</t>
        </is>
      </c>
      <c r="I538" s="75" t="inlineStr">
        <is>
          <t>Mr Uneze Grant Chetanna</t>
        </is>
      </c>
      <c r="J538" s="77" t="n">
        <v>500000</v>
      </c>
      <c r="K538" s="75" t="inlineStr">
        <is>
          <t>Allen Branch</t>
        </is>
      </c>
      <c r="L538" s="75" t="inlineStr">
        <is>
          <t>Primary: monthly turnover register</t>
        </is>
      </c>
      <c r="M538" s="75" t="inlineStr">
        <is>
          <t>BAAY PROJECTS FINANCIALS 2024.xlsx</t>
        </is>
      </c>
      <c r="N538" s="75" t="inlineStr">
        <is>
          <t>NOVEMBER TURNOVER</t>
        </is>
      </c>
      <c r="O538" s="75" t="n">
        <v>35</v>
      </c>
      <c r="P538" s="75" t="inlineStr">
        <is>
          <t>29/11/2024</t>
        </is>
      </c>
      <c r="Q538" s="75" t="n"/>
      <c r="R538" s="75" t="n"/>
    </row>
    <row r="539" ht="25" customHeight="1">
      <c r="A539" s="78" t="inlineStr">
        <is>
          <t>SL0516</t>
        </is>
      </c>
      <c r="B539" s="79" t="n">
        <v>45626</v>
      </c>
      <c r="C539" s="78" t="inlineStr">
        <is>
          <t>2024-11</t>
        </is>
      </c>
      <c r="D539" s="78" t="n">
        <v>2024</v>
      </c>
      <c r="E539" s="78" t="inlineStr">
        <is>
          <t>Land</t>
        </is>
      </c>
      <c r="F539" s="78" t="inlineStr">
        <is>
          <t>Plot / unit price</t>
        </is>
      </c>
      <c r="G539" s="78" t="inlineStr">
        <is>
          <t>Green City Phase 3 (Omu-Epe)</t>
        </is>
      </c>
      <c r="H539" s="78" t="inlineStr">
        <is>
          <t>BP-C0150</t>
        </is>
      </c>
      <c r="I539" s="78" t="inlineStr">
        <is>
          <t>Mr Ajiboso Damilare Moses</t>
        </is>
      </c>
      <c r="J539" s="80" t="n">
        <v>500000</v>
      </c>
      <c r="K539" s="78" t="inlineStr">
        <is>
          <t>Magodo Branch</t>
        </is>
      </c>
      <c r="L539" s="78" t="inlineStr">
        <is>
          <t>Primary: monthly turnover register</t>
        </is>
      </c>
      <c r="M539" s="78" t="inlineStr">
        <is>
          <t>BAAY PROJECTS FINANCIALS 2024.xlsx</t>
        </is>
      </c>
      <c r="N539" s="78" t="inlineStr">
        <is>
          <t>NOVEMBER TURNOVER</t>
        </is>
      </c>
      <c r="O539" s="78" t="n">
        <v>27</v>
      </c>
      <c r="P539" s="78" t="inlineStr">
        <is>
          <t>30/11/2024</t>
        </is>
      </c>
      <c r="Q539" s="78" t="inlineStr">
        <is>
          <t>MS ADENIKE r27</t>
        </is>
      </c>
      <c r="R539" s="78" t="n"/>
    </row>
    <row r="540" ht="25" customHeight="1">
      <c r="A540" s="75" t="inlineStr">
        <is>
          <t>SL0517</t>
        </is>
      </c>
      <c r="B540" s="76" t="n">
        <v>45626</v>
      </c>
      <c r="C540" s="75" t="inlineStr">
        <is>
          <t>2024-11</t>
        </is>
      </c>
      <c r="D540" s="75" t="n">
        <v>2024</v>
      </c>
      <c r="E540" s="75" t="inlineStr">
        <is>
          <t>Land</t>
        </is>
      </c>
      <c r="F540" s="75" t="inlineStr">
        <is>
          <t>Plot / unit price</t>
        </is>
      </c>
      <c r="G540" s="75" t="inlineStr">
        <is>
          <t>Green City Phase 3 (Omu-Epe)</t>
        </is>
      </c>
      <c r="H540" s="75" t="inlineStr">
        <is>
          <t>BP-C0151</t>
        </is>
      </c>
      <c r="I540" s="75" t="inlineStr">
        <is>
          <t>Mrs Shotonwa Olamide Abosede</t>
        </is>
      </c>
      <c r="J540" s="77" t="n">
        <v>500000</v>
      </c>
      <c r="K540" s="75" t="inlineStr">
        <is>
          <t>Magodo Branch</t>
        </is>
      </c>
      <c r="L540" s="75" t="inlineStr">
        <is>
          <t>Primary: monthly turnover register</t>
        </is>
      </c>
      <c r="M540" s="75" t="inlineStr">
        <is>
          <t>BAAY PROJECTS FINANCIALS 2024.xlsx</t>
        </is>
      </c>
      <c r="N540" s="75" t="inlineStr">
        <is>
          <t>NOVEMBER TURNOVER</t>
        </is>
      </c>
      <c r="O540" s="75" t="n">
        <v>26</v>
      </c>
      <c r="P540" s="75" t="inlineStr">
        <is>
          <t>30/11/2024</t>
        </is>
      </c>
      <c r="Q540" s="75" t="inlineStr">
        <is>
          <t>MS ADENIKE r26</t>
        </is>
      </c>
      <c r="R540" s="75" t="n"/>
    </row>
    <row r="541" ht="25" customHeight="1">
      <c r="A541" s="78" t="inlineStr">
        <is>
          <t>SL0518</t>
        </is>
      </c>
      <c r="B541" s="79" t="n">
        <v>45628</v>
      </c>
      <c r="C541" s="78" t="inlineStr">
        <is>
          <t>2024-12</t>
        </is>
      </c>
      <c r="D541" s="78" t="n">
        <v>2024</v>
      </c>
      <c r="E541" s="78" t="inlineStr">
        <is>
          <t>Land</t>
        </is>
      </c>
      <c r="F541" s="78" t="inlineStr">
        <is>
          <t>Plot / unit price</t>
        </is>
      </c>
      <c r="G541" s="78" t="inlineStr">
        <is>
          <t>Green City Phase 1 (Lantaba, Ketu-Epe)</t>
        </is>
      </c>
      <c r="H541" s="78" t="inlineStr">
        <is>
          <t>BP-C0051</t>
        </is>
      </c>
      <c r="I541" s="78" t="inlineStr">
        <is>
          <t>Mr Ogunleye Olumide</t>
        </is>
      </c>
      <c r="J541" s="80" t="n">
        <v>1700000</v>
      </c>
      <c r="K541" s="78" t="inlineStr">
        <is>
          <t>Allen Branch</t>
        </is>
      </c>
      <c r="L541" s="78" t="inlineStr">
        <is>
          <t>Primary: monthly turnover register</t>
        </is>
      </c>
      <c r="M541" s="78" t="inlineStr">
        <is>
          <t>BAAY PROJECTS FINANCIALS 2024.xlsx</t>
        </is>
      </c>
      <c r="N541" s="78" t="inlineStr">
        <is>
          <t>DECEMBER TURNOVER</t>
        </is>
      </c>
      <c r="O541" s="78" t="n">
        <v>7</v>
      </c>
      <c r="P541" s="78" t="inlineStr">
        <is>
          <t>2024-02-12</t>
        </is>
      </c>
      <c r="Q541" s="78" t="n"/>
      <c r="R541" s="78" t="n"/>
    </row>
    <row r="542" ht="25" customHeight="1">
      <c r="A542" s="75" t="inlineStr">
        <is>
          <t>SL0519</t>
        </is>
      </c>
      <c r="B542" s="76" t="n">
        <v>45629</v>
      </c>
      <c r="C542" s="75" t="inlineStr">
        <is>
          <t>2024-12</t>
        </is>
      </c>
      <c r="D542" s="75" t="n">
        <v>2024</v>
      </c>
      <c r="E542" s="75" t="inlineStr">
        <is>
          <t>Land</t>
        </is>
      </c>
      <c r="F542" s="75" t="inlineStr">
        <is>
          <t>Plot / unit price</t>
        </is>
      </c>
      <c r="G542" s="75" t="inlineStr">
        <is>
          <t>Green City Phase 3 (Omu-Epe)</t>
        </is>
      </c>
      <c r="H542" s="75" t="inlineStr">
        <is>
          <t>BP-C0068</t>
        </is>
      </c>
      <c r="I542" s="75" t="inlineStr">
        <is>
          <t>Miss Ebhotah Sharon Aisosa</t>
        </is>
      </c>
      <c r="J542" s="77" t="n">
        <v>1000000</v>
      </c>
      <c r="K542" s="75" t="inlineStr">
        <is>
          <t>Magodo Branch</t>
        </is>
      </c>
      <c r="L542" s="75" t="inlineStr">
        <is>
          <t>Primary: monthly turnover register</t>
        </is>
      </c>
      <c r="M542" s="75" t="inlineStr">
        <is>
          <t>BAAY PROJECTS FINANCIALS 2024.xlsx</t>
        </is>
      </c>
      <c r="N542" s="75" t="inlineStr">
        <is>
          <t>DECEMBER TURNOVER</t>
        </is>
      </c>
      <c r="O542" s="75" t="n">
        <v>7</v>
      </c>
      <c r="P542" s="75" t="inlineStr">
        <is>
          <t>2024-03-12</t>
        </is>
      </c>
      <c r="Q542" s="75" t="inlineStr">
        <is>
          <t>MS BLESSING r130</t>
        </is>
      </c>
      <c r="R542" s="75" t="n"/>
    </row>
    <row r="543" ht="25" customHeight="1">
      <c r="A543" s="78" t="inlineStr">
        <is>
          <t>SL0520</t>
        </is>
      </c>
      <c r="B543" s="79" t="n">
        <v>45629</v>
      </c>
      <c r="C543" s="78" t="inlineStr">
        <is>
          <t>2024-12</t>
        </is>
      </c>
      <c r="D543" s="78" t="n">
        <v>2024</v>
      </c>
      <c r="E543" s="78" t="inlineStr">
        <is>
          <t>Land</t>
        </is>
      </c>
      <c r="F543" s="78" t="inlineStr">
        <is>
          <t>Plot / unit price</t>
        </is>
      </c>
      <c r="G543" s="78" t="inlineStr">
        <is>
          <t>Green City Phase 3 (Omu-Epe)</t>
        </is>
      </c>
      <c r="H543" s="78" t="inlineStr">
        <is>
          <t>BP-C0019</t>
        </is>
      </c>
      <c r="I543" s="78" t="inlineStr">
        <is>
          <t>Mr Pius Ogbu Ejaka</t>
        </is>
      </c>
      <c r="J543" s="80" t="n">
        <v>3500000</v>
      </c>
      <c r="K543" s="78" t="inlineStr">
        <is>
          <t>Magodo Branch</t>
        </is>
      </c>
      <c r="L543" s="78" t="inlineStr">
        <is>
          <t>Primary: monthly turnover register</t>
        </is>
      </c>
      <c r="M543" s="78" t="inlineStr">
        <is>
          <t>BAAY PROJECTS FINANCIALS 2024.xlsx</t>
        </is>
      </c>
      <c r="N543" s="78" t="inlineStr">
        <is>
          <t>DECEMBER TURNOVER</t>
        </is>
      </c>
      <c r="O543" s="78" t="n">
        <v>8</v>
      </c>
      <c r="P543" s="78" t="inlineStr">
        <is>
          <t>2024-03-12</t>
        </is>
      </c>
      <c r="Q543" s="78" t="inlineStr">
        <is>
          <t>MS MAYOWA BRAIMOH r55</t>
        </is>
      </c>
      <c r="R543" s="78" t="n"/>
    </row>
    <row r="544" ht="25" customHeight="1">
      <c r="A544" s="75" t="inlineStr">
        <is>
          <t>SL0521</t>
        </is>
      </c>
      <c r="B544" s="76" t="n">
        <v>45630</v>
      </c>
      <c r="C544" s="75" t="inlineStr">
        <is>
          <t>2024-12</t>
        </is>
      </c>
      <c r="D544" s="75" t="n">
        <v>2024</v>
      </c>
      <c r="E544" s="75" t="inlineStr">
        <is>
          <t>Land</t>
        </is>
      </c>
      <c r="F544" s="75" t="inlineStr">
        <is>
          <t>Plot / unit price</t>
        </is>
      </c>
      <c r="G544" s="75" t="inlineStr">
        <is>
          <t>Green City Phase 3 (Omu-Epe)</t>
        </is>
      </c>
      <c r="H544" s="75" t="inlineStr">
        <is>
          <t>BP-C0068</t>
        </is>
      </c>
      <c r="I544" s="75" t="inlineStr">
        <is>
          <t>Miss Ebhotah Sharon Aisosa</t>
        </is>
      </c>
      <c r="J544" s="77" t="n">
        <v>335000</v>
      </c>
      <c r="K544" s="75" t="inlineStr">
        <is>
          <t>Magodo Branch</t>
        </is>
      </c>
      <c r="L544" s="75" t="inlineStr">
        <is>
          <t>Primary: monthly turnover register</t>
        </is>
      </c>
      <c r="M544" s="75" t="inlineStr">
        <is>
          <t>BAAY PROJECTS FINANCIALS 2024.xlsx</t>
        </is>
      </c>
      <c r="N544" s="75" t="inlineStr">
        <is>
          <t>DECEMBER TURNOVER</t>
        </is>
      </c>
      <c r="O544" s="75" t="n">
        <v>9</v>
      </c>
      <c r="P544" s="75" t="inlineStr">
        <is>
          <t>2024-04-12</t>
        </is>
      </c>
      <c r="Q544" s="75" t="inlineStr">
        <is>
          <t>MS BLESSING r131</t>
        </is>
      </c>
      <c r="R544" s="75" t="n"/>
    </row>
    <row r="545" ht="25" customHeight="1">
      <c r="A545" s="78" t="inlineStr">
        <is>
          <t>SL0522</t>
        </is>
      </c>
      <c r="B545" s="79" t="n">
        <v>45632</v>
      </c>
      <c r="C545" s="78" t="inlineStr">
        <is>
          <t>2024-12</t>
        </is>
      </c>
      <c r="D545" s="78" t="n">
        <v>2024</v>
      </c>
      <c r="E545" s="78" t="inlineStr">
        <is>
          <t>Land</t>
        </is>
      </c>
      <c r="F545" s="78" t="inlineStr">
        <is>
          <t>Plot / unit price</t>
        </is>
      </c>
      <c r="G545" s="78" t="inlineStr">
        <is>
          <t>Green City Phase 2 (Ketu-Epe)</t>
        </is>
      </c>
      <c r="H545" s="78" t="inlineStr">
        <is>
          <t>BP-C0054</t>
        </is>
      </c>
      <c r="I545" s="78" t="inlineStr">
        <is>
          <t>Mr Adeniyi Ademola</t>
        </is>
      </c>
      <c r="J545" s="80" t="n">
        <v>2000000</v>
      </c>
      <c r="K545" s="78" t="inlineStr">
        <is>
          <t>Allen Branch</t>
        </is>
      </c>
      <c r="L545" s="78" t="inlineStr">
        <is>
          <t>Primary: monthly turnover register</t>
        </is>
      </c>
      <c r="M545" s="78" t="inlineStr">
        <is>
          <t>BAAY PROJECTS FINANCIALS 2024.xlsx</t>
        </is>
      </c>
      <c r="N545" s="78" t="inlineStr">
        <is>
          <t>DECEMBER TURNOVER</t>
        </is>
      </c>
      <c r="O545" s="78" t="n">
        <v>9</v>
      </c>
      <c r="P545" s="78" t="inlineStr">
        <is>
          <t>2024-06-12</t>
        </is>
      </c>
      <c r="Q545" s="78" t="inlineStr">
        <is>
          <t>MRS ABIMBOLA r169</t>
        </is>
      </c>
      <c r="R545" s="78" t="n"/>
    </row>
    <row r="546" ht="25" customHeight="1">
      <c r="A546" s="75" t="inlineStr">
        <is>
          <t>SL0523</t>
        </is>
      </c>
      <c r="B546" s="76" t="n">
        <v>45632</v>
      </c>
      <c r="C546" s="75" t="inlineStr">
        <is>
          <t>2024-12</t>
        </is>
      </c>
      <c r="D546" s="75" t="n">
        <v>2024</v>
      </c>
      <c r="E546" s="75" t="inlineStr">
        <is>
          <t>Land</t>
        </is>
      </c>
      <c r="F546" s="75" t="inlineStr">
        <is>
          <t>Ancillary charge</t>
        </is>
      </c>
      <c r="G546" s="75" t="inlineStr">
        <is>
          <t>Land: corner piece premium</t>
        </is>
      </c>
      <c r="H546" s="75" t="inlineStr">
        <is>
          <t>BP-C0054</t>
        </is>
      </c>
      <c r="I546" s="75" t="inlineStr">
        <is>
          <t>Mr Adeniyi Ademola</t>
        </is>
      </c>
      <c r="J546" s="77" t="n">
        <v>135000</v>
      </c>
      <c r="K546" s="75" t="inlineStr">
        <is>
          <t>Allen Branch</t>
        </is>
      </c>
      <c r="L546" s="75" t="inlineStr">
        <is>
          <t>Primary: monthly turnover register</t>
        </is>
      </c>
      <c r="M546" s="75" t="inlineStr">
        <is>
          <t>BAAY PROJECTS FINANCIALS 2024.xlsx</t>
        </is>
      </c>
      <c r="N546" s="75" t="inlineStr">
        <is>
          <t>DECEMBER TURNOVER</t>
        </is>
      </c>
      <c r="O546" s="75" t="n">
        <v>10</v>
      </c>
      <c r="P546" s="75" t="inlineStr">
        <is>
          <t>2024-06-12</t>
        </is>
      </c>
      <c r="Q546" s="75" t="n"/>
      <c r="R546" s="75" t="n"/>
    </row>
    <row r="547" ht="25" customHeight="1">
      <c r="A547" s="78" t="inlineStr">
        <is>
          <t>SL0524</t>
        </is>
      </c>
      <c r="B547" s="79" t="n">
        <v>45632</v>
      </c>
      <c r="C547" s="78" t="inlineStr">
        <is>
          <t>2024-12</t>
        </is>
      </c>
      <c r="D547" s="78" t="n">
        <v>2024</v>
      </c>
      <c r="E547" s="78" t="inlineStr">
        <is>
          <t>Land</t>
        </is>
      </c>
      <c r="F547" s="78" t="inlineStr">
        <is>
          <t>Plot / unit price</t>
        </is>
      </c>
      <c r="G547" s="78" t="inlineStr">
        <is>
          <t>Green City Phase 3 (Omu-Epe)</t>
        </is>
      </c>
      <c r="H547" s="78" t="inlineStr">
        <is>
          <t>BP-C0150</t>
        </is>
      </c>
      <c r="I547" s="78" t="inlineStr">
        <is>
          <t>Mr Ajiboso Damilare Moses</t>
        </is>
      </c>
      <c r="J547" s="80" t="n">
        <v>500000</v>
      </c>
      <c r="K547" s="78" t="inlineStr">
        <is>
          <t>Magodo Branch</t>
        </is>
      </c>
      <c r="L547" s="78" t="inlineStr">
        <is>
          <t>Primary: monthly turnover register</t>
        </is>
      </c>
      <c r="M547" s="78" t="inlineStr">
        <is>
          <t>BAAY PROJECTS FINANCIALS 2024.xlsx</t>
        </is>
      </c>
      <c r="N547" s="78" t="inlineStr">
        <is>
          <t>DECEMBER TURNOVER</t>
        </is>
      </c>
      <c r="O547" s="78" t="n">
        <v>10</v>
      </c>
      <c r="P547" s="78" t="inlineStr">
        <is>
          <t>2024-06-12</t>
        </is>
      </c>
      <c r="Q547" s="78" t="inlineStr">
        <is>
          <t>MS ADENIKE r28</t>
        </is>
      </c>
      <c r="R547" s="78" t="n"/>
    </row>
    <row r="548" ht="25" customHeight="1">
      <c r="A548" s="75" t="inlineStr">
        <is>
          <t>SL0525</t>
        </is>
      </c>
      <c r="B548" s="76" t="n">
        <v>45633</v>
      </c>
      <c r="C548" s="75" t="inlineStr">
        <is>
          <t>2024-12</t>
        </is>
      </c>
      <c r="D548" s="75" t="n">
        <v>2024</v>
      </c>
      <c r="E548" s="75" t="inlineStr">
        <is>
          <t>Land</t>
        </is>
      </c>
      <c r="F548" s="75" t="inlineStr">
        <is>
          <t>Plot / unit price</t>
        </is>
      </c>
      <c r="G548" s="75" t="inlineStr">
        <is>
          <t>Heritage Garden</t>
        </is>
      </c>
      <c r="H548" s="75" t="inlineStr">
        <is>
          <t>BP-C0137</t>
        </is>
      </c>
      <c r="I548" s="75" t="inlineStr">
        <is>
          <t>Mr Boyejo Abiodun</t>
        </is>
      </c>
      <c r="J548" s="77" t="n">
        <v>450000</v>
      </c>
      <c r="K548" s="75" t="inlineStr">
        <is>
          <t>Allen Branch</t>
        </is>
      </c>
      <c r="L548" s="75" t="inlineStr">
        <is>
          <t>Primary: monthly turnover register</t>
        </is>
      </c>
      <c r="M548" s="75" t="inlineStr">
        <is>
          <t>BAAY PROJECTS FINANCIALS 2024.xlsx</t>
        </is>
      </c>
      <c r="N548" s="75" t="inlineStr">
        <is>
          <t>DECEMBER TURNOVER</t>
        </is>
      </c>
      <c r="O548" s="75" t="n">
        <v>11</v>
      </c>
      <c r="P548" s="75" t="inlineStr">
        <is>
          <t>2024-07-12</t>
        </is>
      </c>
      <c r="Q548" s="75" t="inlineStr">
        <is>
          <t>MS BOLANLE r127</t>
        </is>
      </c>
      <c r="R548" s="75" t="n"/>
    </row>
    <row r="549" ht="25" customHeight="1">
      <c r="A549" s="78" t="inlineStr">
        <is>
          <t>SL0526</t>
        </is>
      </c>
      <c r="B549" s="79" t="n">
        <v>45634</v>
      </c>
      <c r="C549" s="78" t="inlineStr">
        <is>
          <t>2024-12</t>
        </is>
      </c>
      <c r="D549" s="78" t="n">
        <v>2024</v>
      </c>
      <c r="E549" s="78" t="inlineStr">
        <is>
          <t>Land</t>
        </is>
      </c>
      <c r="F549" s="78" t="inlineStr">
        <is>
          <t>Plot / unit price</t>
        </is>
      </c>
      <c r="G549" s="78" t="inlineStr">
        <is>
          <t>Green City Phase 3 (Omu-Epe)</t>
        </is>
      </c>
      <c r="H549" s="78" t="inlineStr">
        <is>
          <t>BP-C0135</t>
        </is>
      </c>
      <c r="I549" s="78" t="inlineStr">
        <is>
          <t>Mr Okanrende Kazeem</t>
        </is>
      </c>
      <c r="J549" s="80" t="n">
        <v>1000000</v>
      </c>
      <c r="K549" s="78" t="inlineStr">
        <is>
          <t>Allen Branch</t>
        </is>
      </c>
      <c r="L549" s="78" t="inlineStr">
        <is>
          <t>Primary: monthly turnover register</t>
        </is>
      </c>
      <c r="M549" s="78" t="inlineStr">
        <is>
          <t>BAAY PROJECTS FINANCIALS 2024.xlsx</t>
        </is>
      </c>
      <c r="N549" s="78" t="inlineStr">
        <is>
          <t>DECEMBER TURNOVER</t>
        </is>
      </c>
      <c r="O549" s="78" t="n">
        <v>12</v>
      </c>
      <c r="P549" s="78" t="inlineStr">
        <is>
          <t>2024-08-12</t>
        </is>
      </c>
      <c r="Q549" s="78" t="inlineStr">
        <is>
          <t>MS YETUNDE ABISOYE r82</t>
        </is>
      </c>
      <c r="R549" s="78" t="n"/>
    </row>
    <row r="550" ht="25" customHeight="1">
      <c r="A550" s="75" t="inlineStr">
        <is>
          <t>SL0527</t>
        </is>
      </c>
      <c r="B550" s="76" t="n">
        <v>45635</v>
      </c>
      <c r="C550" s="75" t="inlineStr">
        <is>
          <t>2024-12</t>
        </is>
      </c>
      <c r="D550" s="75" t="n">
        <v>2024</v>
      </c>
      <c r="E550" s="75" t="inlineStr">
        <is>
          <t>Land</t>
        </is>
      </c>
      <c r="F550" s="75" t="inlineStr">
        <is>
          <t>Plot / unit price</t>
        </is>
      </c>
      <c r="G550" s="75" t="inlineStr">
        <is>
          <t>Green City Phase 2 (Ketu-Epe)</t>
        </is>
      </c>
      <c r="H550" s="75" t="inlineStr">
        <is>
          <t>BP-C0141</t>
        </is>
      </c>
      <c r="I550" s="75" t="inlineStr">
        <is>
          <t>Mr Aremu Kayode</t>
        </is>
      </c>
      <c r="J550" s="77" t="n">
        <v>1000000</v>
      </c>
      <c r="K550" s="75" t="inlineStr">
        <is>
          <t>Allen Branch</t>
        </is>
      </c>
      <c r="L550" s="75" t="inlineStr">
        <is>
          <t>Primary: monthly turnover register</t>
        </is>
      </c>
      <c r="M550" s="75" t="inlineStr">
        <is>
          <t>BAAY PROJECTS FINANCIALS 2024.xlsx</t>
        </is>
      </c>
      <c r="N550" s="75" t="inlineStr">
        <is>
          <t>DECEMBER TURNOVER</t>
        </is>
      </c>
      <c r="O550" s="75" t="n">
        <v>14</v>
      </c>
      <c r="P550" s="75" t="inlineStr">
        <is>
          <t>2024-09-12</t>
        </is>
      </c>
      <c r="Q550" s="75" t="inlineStr">
        <is>
          <t>OGIDAN r43</t>
        </is>
      </c>
      <c r="R550" s="75" t="n"/>
    </row>
    <row r="551" ht="25" customHeight="1">
      <c r="A551" s="78" t="inlineStr">
        <is>
          <t>SL0528</t>
        </is>
      </c>
      <c r="B551" s="79" t="n">
        <v>45635</v>
      </c>
      <c r="C551" s="78" t="inlineStr">
        <is>
          <t>2024-12</t>
        </is>
      </c>
      <c r="D551" s="78" t="n">
        <v>2024</v>
      </c>
      <c r="E551" s="78" t="inlineStr">
        <is>
          <t>Housing</t>
        </is>
      </c>
      <c r="F551" s="78" t="inlineStr">
        <is>
          <t>Plot / unit price</t>
        </is>
      </c>
      <c r="G551" s="78" t="inlineStr">
        <is>
          <t>Pacific Apartment</t>
        </is>
      </c>
      <c r="H551" s="78" t="inlineStr">
        <is>
          <t>BP-C0140</t>
        </is>
      </c>
      <c r="I551" s="78" t="inlineStr">
        <is>
          <t>Mr Balogun Akeem Tokunbo</t>
        </is>
      </c>
      <c r="J551" s="80" t="n">
        <v>10000000</v>
      </c>
      <c r="K551" s="78" t="inlineStr">
        <is>
          <t>Magodo Branch</t>
        </is>
      </c>
      <c r="L551" s="78" t="inlineStr">
        <is>
          <t>Primary: monthly turnover register</t>
        </is>
      </c>
      <c r="M551" s="78" t="inlineStr">
        <is>
          <t>BAAY PROJECTS FINANCIALS 2024.xlsx</t>
        </is>
      </c>
      <c r="N551" s="78" t="inlineStr">
        <is>
          <t>DECEMBER TURNOVER</t>
        </is>
      </c>
      <c r="O551" s="78" t="n">
        <v>11</v>
      </c>
      <c r="P551" s="78" t="inlineStr">
        <is>
          <t>2024-09-12</t>
        </is>
      </c>
      <c r="Q551" s="78" t="inlineStr">
        <is>
          <t>MAMA ADEBIMPE r5</t>
        </is>
      </c>
      <c r="R551" s="78" t="n"/>
    </row>
    <row r="552" ht="25" customHeight="1">
      <c r="A552" s="75" t="inlineStr">
        <is>
          <t>SL0529</t>
        </is>
      </c>
      <c r="B552" s="76" t="n">
        <v>45635</v>
      </c>
      <c r="C552" s="75" t="inlineStr">
        <is>
          <t>2024-12</t>
        </is>
      </c>
      <c r="D552" s="75" t="n">
        <v>2024</v>
      </c>
      <c r="E552" s="75" t="inlineStr">
        <is>
          <t>Land</t>
        </is>
      </c>
      <c r="F552" s="75" t="inlineStr">
        <is>
          <t>Plot / unit price</t>
        </is>
      </c>
      <c r="G552" s="75" t="inlineStr">
        <is>
          <t>Green City Phase 3 (Omu-Epe)</t>
        </is>
      </c>
      <c r="H552" s="75" t="inlineStr">
        <is>
          <t>BP-C0135</t>
        </is>
      </c>
      <c r="I552" s="75" t="inlineStr">
        <is>
          <t>Mr Okanrende Kazeem</t>
        </is>
      </c>
      <c r="J552" s="77" t="n">
        <v>1000000</v>
      </c>
      <c r="K552" s="75" t="inlineStr">
        <is>
          <t>Allen Branch</t>
        </is>
      </c>
      <c r="L552" s="75" t="inlineStr">
        <is>
          <t>Primary: monthly turnover register</t>
        </is>
      </c>
      <c r="M552" s="75" t="inlineStr">
        <is>
          <t>BAAY PROJECTS FINANCIALS 2024.xlsx</t>
        </is>
      </c>
      <c r="N552" s="75" t="inlineStr">
        <is>
          <t>DECEMBER TURNOVER</t>
        </is>
      </c>
      <c r="O552" s="75" t="n">
        <v>13</v>
      </c>
      <c r="P552" s="75" t="inlineStr">
        <is>
          <t>2024-09-12</t>
        </is>
      </c>
      <c r="Q552" s="75" t="inlineStr">
        <is>
          <t>MS YETUNDE ABISOYE r83</t>
        </is>
      </c>
      <c r="R552" s="75" t="n"/>
    </row>
    <row r="553" ht="25" customHeight="1">
      <c r="A553" s="78" t="inlineStr">
        <is>
          <t>SL0530</t>
        </is>
      </c>
      <c r="B553" s="79" t="n">
        <v>45637</v>
      </c>
      <c r="C553" s="78" t="inlineStr">
        <is>
          <t>2024-12</t>
        </is>
      </c>
      <c r="D553" s="78" t="n">
        <v>2024</v>
      </c>
      <c r="E553" s="78" t="inlineStr">
        <is>
          <t>Land</t>
        </is>
      </c>
      <c r="F553" s="78" t="inlineStr">
        <is>
          <t>Plot / unit price</t>
        </is>
      </c>
      <c r="G553" s="78" t="inlineStr">
        <is>
          <t>Green City Phase 3 (Omu-Epe)</t>
        </is>
      </c>
      <c r="H553" s="78" t="inlineStr">
        <is>
          <t>BP-C0140</t>
        </is>
      </c>
      <c r="I553" s="78" t="inlineStr">
        <is>
          <t>Mr Balogun Akeem Tokunbo</t>
        </is>
      </c>
      <c r="J553" s="80" t="n">
        <v>7000000</v>
      </c>
      <c r="K553" s="78" t="inlineStr">
        <is>
          <t>Magodo Branch</t>
        </is>
      </c>
      <c r="L553" s="78" t="inlineStr">
        <is>
          <t>Primary: monthly turnover register</t>
        </is>
      </c>
      <c r="M553" s="78" t="inlineStr">
        <is>
          <t>BAAY PROJECTS FINANCIALS 2024.xlsx</t>
        </is>
      </c>
      <c r="N553" s="78" t="inlineStr">
        <is>
          <t>DECEMBER TURNOVER</t>
        </is>
      </c>
      <c r="O553" s="78" t="n">
        <v>12</v>
      </c>
      <c r="P553" s="78" t="inlineStr">
        <is>
          <t>2024-11-12</t>
        </is>
      </c>
      <c r="Q553" s="78" t="inlineStr">
        <is>
          <t>MAMA ADEBIMPE r72</t>
        </is>
      </c>
      <c r="R553" s="78" t="n"/>
    </row>
    <row r="554" ht="25" customHeight="1">
      <c r="A554" s="75" t="inlineStr">
        <is>
          <t>SL0531</t>
        </is>
      </c>
      <c r="B554" s="76" t="n">
        <v>45640</v>
      </c>
      <c r="C554" s="75" t="inlineStr">
        <is>
          <t>2024-12</t>
        </is>
      </c>
      <c r="D554" s="75" t="n">
        <v>2024</v>
      </c>
      <c r="E554" s="75" t="inlineStr">
        <is>
          <t>Land</t>
        </is>
      </c>
      <c r="F554" s="75" t="inlineStr">
        <is>
          <t>Plot / unit price</t>
        </is>
      </c>
      <c r="G554" s="75" t="inlineStr">
        <is>
          <t>Green City Phase 2 (Ketu-Epe)</t>
        </is>
      </c>
      <c r="H554" s="75" t="inlineStr">
        <is>
          <t>BP-C0148</t>
        </is>
      </c>
      <c r="I554" s="75" t="inlineStr">
        <is>
          <t>Mr Akinsete Michael</t>
        </is>
      </c>
      <c r="J554" s="77" t="n">
        <v>500000</v>
      </c>
      <c r="K554" s="75" t="inlineStr">
        <is>
          <t>Allen Branch</t>
        </is>
      </c>
      <c r="L554" s="75" t="inlineStr">
        <is>
          <t>Primary: monthly turnover register</t>
        </is>
      </c>
      <c r="M554" s="75" t="inlineStr">
        <is>
          <t>BAAY PROJECTS FINANCIALS 2024.xlsx</t>
        </is>
      </c>
      <c r="N554" s="75" t="inlineStr">
        <is>
          <t>DECEMBER TURNOVER</t>
        </is>
      </c>
      <c r="O554" s="75" t="n">
        <v>15</v>
      </c>
      <c r="P554" s="75" t="inlineStr">
        <is>
          <t>14/12/2024</t>
        </is>
      </c>
      <c r="Q554" s="75" t="inlineStr">
        <is>
          <t>MD r89</t>
        </is>
      </c>
      <c r="R554" s="75" t="n"/>
    </row>
    <row r="555" ht="25" customHeight="1">
      <c r="A555" s="78" t="inlineStr">
        <is>
          <t>SL0532</t>
        </is>
      </c>
      <c r="B555" s="79" t="n">
        <v>45641</v>
      </c>
      <c r="C555" s="78" t="inlineStr">
        <is>
          <t>2024-12</t>
        </is>
      </c>
      <c r="D555" s="78" t="n">
        <v>2024</v>
      </c>
      <c r="E555" s="78" t="inlineStr">
        <is>
          <t>Land</t>
        </is>
      </c>
      <c r="F555" s="78" t="inlineStr">
        <is>
          <t>Plot / unit price</t>
        </is>
      </c>
      <c r="G555" s="78" t="inlineStr">
        <is>
          <t>Green City Ibadan (Akinyele-Moniya)</t>
        </is>
      </c>
      <c r="H555" s="78" t="inlineStr">
        <is>
          <t>BP-C0153</t>
        </is>
      </c>
      <c r="I555" s="78" t="inlineStr">
        <is>
          <t>Miss Ademakinwa Abosede Wuraola</t>
        </is>
      </c>
      <c r="J555" s="80" t="n">
        <v>500000</v>
      </c>
      <c r="K555" s="78" t="inlineStr">
        <is>
          <t>Magodo Branch</t>
        </is>
      </c>
      <c r="L555" s="78" t="inlineStr">
        <is>
          <t>Primary: monthly turnover register</t>
        </is>
      </c>
      <c r="M555" s="78" t="inlineStr">
        <is>
          <t>BAAY PROJECTS FINANCIALS 2024.xlsx</t>
        </is>
      </c>
      <c r="N555" s="78" t="inlineStr">
        <is>
          <t>DECEMBER TURNOVER</t>
        </is>
      </c>
      <c r="O555" s="78" t="n">
        <v>14</v>
      </c>
      <c r="P555" s="78" t="inlineStr">
        <is>
          <t>15/12/2024</t>
        </is>
      </c>
      <c r="Q555" s="78" t="inlineStr">
        <is>
          <t>MS TAIWO r74</t>
        </is>
      </c>
      <c r="R555" s="78" t="n"/>
    </row>
    <row r="556" ht="25" customHeight="1">
      <c r="A556" s="75" t="inlineStr">
        <is>
          <t>SL0533</t>
        </is>
      </c>
      <c r="B556" s="76" t="n">
        <v>45641</v>
      </c>
      <c r="C556" s="75" t="inlineStr">
        <is>
          <t>2024-12</t>
        </is>
      </c>
      <c r="D556" s="75" t="n">
        <v>2024</v>
      </c>
      <c r="E556" s="75" t="inlineStr">
        <is>
          <t>Land</t>
        </is>
      </c>
      <c r="F556" s="75" t="inlineStr">
        <is>
          <t>Plot / unit price</t>
        </is>
      </c>
      <c r="G556" s="75" t="inlineStr">
        <is>
          <t>Green City Ibadan (Akinyele-Moniya)</t>
        </is>
      </c>
      <c r="H556" s="75" t="inlineStr">
        <is>
          <t>BP-C0154</t>
        </is>
      </c>
      <c r="I556" s="75" t="inlineStr">
        <is>
          <t>Mr Adepoju Adewale Emmanuel</t>
        </is>
      </c>
      <c r="J556" s="77" t="n">
        <v>1000000</v>
      </c>
      <c r="K556" s="75" t="inlineStr">
        <is>
          <t>Magodo Branch</t>
        </is>
      </c>
      <c r="L556" s="75" t="inlineStr">
        <is>
          <t>Primary: monthly turnover register</t>
        </is>
      </c>
      <c r="M556" s="75" t="inlineStr">
        <is>
          <t>BAAY PROJECTS FINANCIALS 2024.xlsx</t>
        </is>
      </c>
      <c r="N556" s="75" t="inlineStr">
        <is>
          <t>DECEMBER TURNOVER</t>
        </is>
      </c>
      <c r="O556" s="75" t="n">
        <v>15</v>
      </c>
      <c r="P556" s="75" t="inlineStr">
        <is>
          <t>15/12/2024</t>
        </is>
      </c>
      <c r="Q556" s="75" t="n"/>
      <c r="R556" s="75" t="n"/>
    </row>
    <row r="557" ht="25" customHeight="1">
      <c r="A557" s="78" t="inlineStr">
        <is>
          <t>SL0534</t>
        </is>
      </c>
      <c r="B557" s="79" t="n">
        <v>45641</v>
      </c>
      <c r="C557" s="78" t="inlineStr">
        <is>
          <t>2024-12</t>
        </is>
      </c>
      <c r="D557" s="78" t="n">
        <v>2024</v>
      </c>
      <c r="E557" s="78" t="inlineStr">
        <is>
          <t>Land</t>
        </is>
      </c>
      <c r="F557" s="78" t="inlineStr">
        <is>
          <t>Plot / unit price</t>
        </is>
      </c>
      <c r="G557" s="78" t="inlineStr">
        <is>
          <t>Green City Ibadan (Akinyele-Moniya)</t>
        </is>
      </c>
      <c r="H557" s="78" t="inlineStr">
        <is>
          <t>BP-C0155</t>
        </is>
      </c>
      <c r="I557" s="78" t="inlineStr">
        <is>
          <t>Mr Adeyanju Adebayo Samson</t>
        </is>
      </c>
      <c r="J557" s="80" t="n">
        <v>500000</v>
      </c>
      <c r="K557" s="78" t="inlineStr">
        <is>
          <t>Magodo Branch</t>
        </is>
      </c>
      <c r="L557" s="78" t="inlineStr">
        <is>
          <t>Primary: monthly turnover register</t>
        </is>
      </c>
      <c r="M557" s="78" t="inlineStr">
        <is>
          <t>BAAY PROJECTS FINANCIALS 2024.xlsx</t>
        </is>
      </c>
      <c r="N557" s="78" t="inlineStr">
        <is>
          <t>DECEMBER TURNOVER</t>
        </is>
      </c>
      <c r="O557" s="78" t="n">
        <v>13</v>
      </c>
      <c r="P557" s="78" t="inlineStr">
        <is>
          <t>15/12/2024</t>
        </is>
      </c>
      <c r="Q557" s="78" t="n"/>
      <c r="R557" s="78" t="n"/>
    </row>
    <row r="558" ht="25" customHeight="1">
      <c r="A558" s="75" t="inlineStr">
        <is>
          <t>SL0535</t>
        </is>
      </c>
      <c r="B558" s="76" t="n">
        <v>45641</v>
      </c>
      <c r="C558" s="75" t="inlineStr">
        <is>
          <t>2024-12</t>
        </is>
      </c>
      <c r="D558" s="75" t="n">
        <v>2024</v>
      </c>
      <c r="E558" s="75" t="inlineStr">
        <is>
          <t>Housing</t>
        </is>
      </c>
      <c r="F558" s="75" t="inlineStr">
        <is>
          <t>Plot / unit price</t>
        </is>
      </c>
      <c r="G558" s="75" t="inlineStr">
        <is>
          <t>Pacific Apartment</t>
        </is>
      </c>
      <c r="H558" s="75" t="inlineStr">
        <is>
          <t>BP-C0156</t>
        </is>
      </c>
      <c r="I558" s="75" t="inlineStr">
        <is>
          <t>Mr Simien Sauel &amp; Mrs Simien Oyindamola Adekunle</t>
        </is>
      </c>
      <c r="J558" s="77" t="n">
        <v>4750000</v>
      </c>
      <c r="K558" s="75" t="inlineStr">
        <is>
          <t>Magodo Branch</t>
        </is>
      </c>
      <c r="L558" s="75" t="inlineStr">
        <is>
          <t>Primary: monthly turnover register</t>
        </is>
      </c>
      <c r="M558" s="75" t="inlineStr">
        <is>
          <t>BAAY PROJECTS FINANCIALS 2024.xlsx</t>
        </is>
      </c>
      <c r="N558" s="75" t="inlineStr">
        <is>
          <t>DECEMBER TURNOVER</t>
        </is>
      </c>
      <c r="O558" s="75" t="n">
        <v>17</v>
      </c>
      <c r="P558" s="75" t="inlineStr">
        <is>
          <t>15/12/2024</t>
        </is>
      </c>
      <c r="Q558" s="75" t="n"/>
      <c r="R558" s="75" t="n"/>
    </row>
    <row r="559" ht="25" customHeight="1">
      <c r="A559" s="78" t="inlineStr">
        <is>
          <t>SL0536</t>
        </is>
      </c>
      <c r="B559" s="79" t="n">
        <v>45641</v>
      </c>
      <c r="C559" s="78" t="inlineStr">
        <is>
          <t>2024-12</t>
        </is>
      </c>
      <c r="D559" s="78" t="n">
        <v>2024</v>
      </c>
      <c r="E559" s="78" t="inlineStr">
        <is>
          <t>Land</t>
        </is>
      </c>
      <c r="F559" s="78" t="inlineStr">
        <is>
          <t>Plot / unit price</t>
        </is>
      </c>
      <c r="G559" s="78" t="inlineStr">
        <is>
          <t>Green City Ibadan (Akinyele-Moniya)</t>
        </is>
      </c>
      <c r="H559" s="78" t="inlineStr">
        <is>
          <t>BP-C0157</t>
        </is>
      </c>
      <c r="I559" s="78" t="inlineStr">
        <is>
          <t>Mrs Adepoju Adebola Adeniran</t>
        </is>
      </c>
      <c r="J559" s="80" t="n">
        <v>1000000</v>
      </c>
      <c r="K559" s="78" t="inlineStr">
        <is>
          <t>Magodo Branch</t>
        </is>
      </c>
      <c r="L559" s="78" t="inlineStr">
        <is>
          <t>Primary: monthly turnover register</t>
        </is>
      </c>
      <c r="M559" s="78" t="inlineStr">
        <is>
          <t>BAAY PROJECTS FINANCIALS 2024.xlsx</t>
        </is>
      </c>
      <c r="N559" s="78" t="inlineStr">
        <is>
          <t>DECEMBER TURNOVER</t>
        </is>
      </c>
      <c r="O559" s="78" t="n">
        <v>16</v>
      </c>
      <c r="P559" s="78" t="inlineStr">
        <is>
          <t>15/12/2024</t>
        </is>
      </c>
      <c r="Q559" s="78" t="n"/>
      <c r="R559" s="78" t="n"/>
    </row>
    <row r="560" ht="25" customHeight="1">
      <c r="A560" s="75" t="inlineStr">
        <is>
          <t>SL0537</t>
        </is>
      </c>
      <c r="B560" s="76" t="n">
        <v>45642</v>
      </c>
      <c r="C560" s="75" t="inlineStr">
        <is>
          <t>2024-12</t>
        </is>
      </c>
      <c r="D560" s="75" t="n">
        <v>2024</v>
      </c>
      <c r="E560" s="75" t="inlineStr">
        <is>
          <t>Land</t>
        </is>
      </c>
      <c r="F560" s="75" t="inlineStr">
        <is>
          <t>Plot / unit price</t>
        </is>
      </c>
      <c r="G560" s="75" t="inlineStr">
        <is>
          <t>Green City Phase 3 (Omu-Epe)</t>
        </is>
      </c>
      <c r="H560" s="75" t="inlineStr">
        <is>
          <t>BP-C0066</t>
        </is>
      </c>
      <c r="I560" s="75" t="inlineStr">
        <is>
          <t>Miss Omosanya Dotun Akeju</t>
        </is>
      </c>
      <c r="J560" s="77" t="n">
        <v>2500000</v>
      </c>
      <c r="K560" s="75" t="inlineStr">
        <is>
          <t>Allen Branch</t>
        </is>
      </c>
      <c r="L560" s="75" t="inlineStr">
        <is>
          <t>Primary: monthly turnover register</t>
        </is>
      </c>
      <c r="M560" s="75" t="inlineStr">
        <is>
          <t>BAAY PROJECTS FINANCIALS 2024.xlsx</t>
        </is>
      </c>
      <c r="N560" s="75" t="inlineStr">
        <is>
          <t>DECEMBER TURNOVER</t>
        </is>
      </c>
      <c r="O560" s="75" t="n">
        <v>16</v>
      </c>
      <c r="P560" s="75" t="inlineStr">
        <is>
          <t>16/12/2024</t>
        </is>
      </c>
      <c r="Q560" s="75" t="n"/>
      <c r="R560" s="75" t="n"/>
    </row>
    <row r="561" ht="25" customHeight="1">
      <c r="A561" s="78" t="inlineStr">
        <is>
          <t>SL0538</t>
        </is>
      </c>
      <c r="B561" s="79" t="n">
        <v>45642</v>
      </c>
      <c r="C561" s="78" t="inlineStr">
        <is>
          <t>2024-12</t>
        </is>
      </c>
      <c r="D561" s="78" t="n">
        <v>2024</v>
      </c>
      <c r="E561" s="78" t="inlineStr">
        <is>
          <t>Land</t>
        </is>
      </c>
      <c r="F561" s="78" t="inlineStr">
        <is>
          <t>Plot / unit price</t>
        </is>
      </c>
      <c r="G561" s="78" t="inlineStr">
        <is>
          <t>Green City Phase 3 (Omu-Epe)</t>
        </is>
      </c>
      <c r="H561" s="78" t="inlineStr">
        <is>
          <t>BP-C0151</t>
        </is>
      </c>
      <c r="I561" s="78" t="inlineStr">
        <is>
          <t>Mrs Shotonwa Olamide Abosede</t>
        </is>
      </c>
      <c r="J561" s="80" t="n">
        <v>500000</v>
      </c>
      <c r="K561" s="78" t="inlineStr">
        <is>
          <t>Magodo Branch</t>
        </is>
      </c>
      <c r="L561" s="78" t="inlineStr">
        <is>
          <t>Primary: monthly turnover register</t>
        </is>
      </c>
      <c r="M561" s="78" t="inlineStr">
        <is>
          <t>BAAY PROJECTS FINANCIALS 2024.xlsx</t>
        </is>
      </c>
      <c r="N561" s="78" t="inlineStr">
        <is>
          <t>DECEMBER TURNOVER</t>
        </is>
      </c>
      <c r="O561" s="78" t="n">
        <v>18</v>
      </c>
      <c r="P561" s="78" t="inlineStr">
        <is>
          <t>16/12/2024</t>
        </is>
      </c>
      <c r="Q561" s="78" t="inlineStr">
        <is>
          <t>MS ADENIKE r29</t>
        </is>
      </c>
      <c r="R561" s="78" t="n"/>
    </row>
    <row r="562" ht="25" customHeight="1">
      <c r="A562" s="75" t="inlineStr">
        <is>
          <t>SL0539</t>
        </is>
      </c>
      <c r="B562" s="76" t="n">
        <v>45645</v>
      </c>
      <c r="C562" s="75" t="inlineStr">
        <is>
          <t>2024-12</t>
        </is>
      </c>
      <c r="D562" s="75" t="n">
        <v>2024</v>
      </c>
      <c r="E562" s="75" t="inlineStr">
        <is>
          <t>Land</t>
        </is>
      </c>
      <c r="F562" s="75" t="inlineStr">
        <is>
          <t>Plot / unit price</t>
        </is>
      </c>
      <c r="G562" s="75" t="inlineStr">
        <is>
          <t>Green City Ibadan (Akinyele-Moniya)</t>
        </is>
      </c>
      <c r="H562" s="75" t="inlineStr">
        <is>
          <t>BP-C0017</t>
        </is>
      </c>
      <c r="I562" s="75" t="inlineStr">
        <is>
          <t>Mr Taiwo John Adeleye</t>
        </is>
      </c>
      <c r="J562" s="77" t="n">
        <v>900000</v>
      </c>
      <c r="K562" s="75" t="inlineStr">
        <is>
          <t>Magodo Branch</t>
        </is>
      </c>
      <c r="L562" s="75" t="inlineStr">
        <is>
          <t>Primary: monthly turnover register</t>
        </is>
      </c>
      <c r="M562" s="75" t="inlineStr">
        <is>
          <t>BAAY PROJECTS FINANCIALS 2024.xlsx</t>
        </is>
      </c>
      <c r="N562" s="75" t="inlineStr">
        <is>
          <t>DECEMBER TURNOVER</t>
        </is>
      </c>
      <c r="O562" s="75" t="n">
        <v>19</v>
      </c>
      <c r="P562" s="75" t="inlineStr">
        <is>
          <t>19/12/2024</t>
        </is>
      </c>
      <c r="Q562" s="75" t="inlineStr">
        <is>
          <t>MS JOCHEBED r22</t>
        </is>
      </c>
      <c r="R562" s="75" t="n"/>
    </row>
    <row r="563" ht="25" customHeight="1">
      <c r="A563" s="78" t="inlineStr">
        <is>
          <t>SL0540</t>
        </is>
      </c>
      <c r="B563" s="79" t="n">
        <v>45646</v>
      </c>
      <c r="C563" s="78" t="inlineStr">
        <is>
          <t>2024-12</t>
        </is>
      </c>
      <c r="D563" s="78" t="n">
        <v>2024</v>
      </c>
      <c r="E563" s="78" t="inlineStr">
        <is>
          <t>Housing</t>
        </is>
      </c>
      <c r="F563" s="78" t="inlineStr">
        <is>
          <t>Plot / unit price</t>
        </is>
      </c>
      <c r="G563" s="78" t="inlineStr">
        <is>
          <t>Pacific Apartment</t>
        </is>
      </c>
      <c r="H563" s="78" t="inlineStr">
        <is>
          <t>BP-C0145</t>
        </is>
      </c>
      <c r="I563" s="78" t="inlineStr">
        <is>
          <t>Miss Keshinro Oluwatunmise Phebe</t>
        </is>
      </c>
      <c r="J563" s="80" t="n">
        <v>4000000</v>
      </c>
      <c r="K563" s="78" t="inlineStr">
        <is>
          <t>Magodo Branch</t>
        </is>
      </c>
      <c r="L563" s="78" t="inlineStr">
        <is>
          <t>Primary: monthly turnover register</t>
        </is>
      </c>
      <c r="M563" s="78" t="inlineStr">
        <is>
          <t>BAAY PROJECTS FINANCIALS 2024.xlsx</t>
        </is>
      </c>
      <c r="N563" s="78" t="inlineStr">
        <is>
          <t>DECEMBER TURNOVER</t>
        </is>
      </c>
      <c r="O563" s="78" t="n">
        <v>20</v>
      </c>
      <c r="P563" s="78" t="inlineStr">
        <is>
          <t>20/12/2024</t>
        </is>
      </c>
      <c r="Q563" s="78" t="inlineStr">
        <is>
          <t>MR CHARLES r76</t>
        </is>
      </c>
      <c r="R563" s="78" t="n"/>
    </row>
    <row r="564" ht="25" customHeight="1">
      <c r="A564" s="75" t="inlineStr">
        <is>
          <t>SL0541</t>
        </is>
      </c>
      <c r="B564" s="76" t="n">
        <v>45646</v>
      </c>
      <c r="C564" s="75" t="inlineStr">
        <is>
          <t>2024-12</t>
        </is>
      </c>
      <c r="D564" s="75" t="n">
        <v>2024</v>
      </c>
      <c r="E564" s="75" t="inlineStr">
        <is>
          <t>Land</t>
        </is>
      </c>
      <c r="F564" s="75" t="inlineStr">
        <is>
          <t>Plot / unit price</t>
        </is>
      </c>
      <c r="G564" s="75" t="inlineStr">
        <is>
          <t>Green City Phase 3 (Omu-Epe)</t>
        </is>
      </c>
      <c r="H564" s="75" t="inlineStr">
        <is>
          <t>BP-C0158</t>
        </is>
      </c>
      <c r="I564" s="75" t="inlineStr">
        <is>
          <t>Mr Shino Precious Vincent</t>
        </is>
      </c>
      <c r="J564" s="77" t="n">
        <v>300000</v>
      </c>
      <c r="K564" s="75" t="inlineStr">
        <is>
          <t>Allen Branch</t>
        </is>
      </c>
      <c r="L564" s="75" t="inlineStr">
        <is>
          <t>Primary: monthly turnover register</t>
        </is>
      </c>
      <c r="M564" s="75" t="inlineStr">
        <is>
          <t>BAAY PROJECTS FINANCIALS 2024.xlsx</t>
        </is>
      </c>
      <c r="N564" s="75" t="inlineStr">
        <is>
          <t>DECEMBER TURNOVER</t>
        </is>
      </c>
      <c r="O564" s="75" t="n">
        <v>17</v>
      </c>
      <c r="P564" s="75" t="inlineStr">
        <is>
          <t>20/12/2024</t>
        </is>
      </c>
      <c r="Q564" s="75" t="inlineStr">
        <is>
          <t>MR DANIEL r2</t>
        </is>
      </c>
      <c r="R564" s="75" t="n"/>
    </row>
    <row r="565" ht="25" customHeight="1">
      <c r="A565" s="78" t="inlineStr">
        <is>
          <t>SL0542</t>
        </is>
      </c>
      <c r="B565" s="79" t="n">
        <v>45650</v>
      </c>
      <c r="C565" s="78" t="inlineStr">
        <is>
          <t>2024-12</t>
        </is>
      </c>
      <c r="D565" s="78" t="n">
        <v>2024</v>
      </c>
      <c r="E565" s="78" t="inlineStr">
        <is>
          <t>Land</t>
        </is>
      </c>
      <c r="F565" s="78" t="inlineStr">
        <is>
          <t>Plot / unit price</t>
        </is>
      </c>
      <c r="G565" s="78" t="inlineStr">
        <is>
          <t>Heritage Garden</t>
        </is>
      </c>
      <c r="H565" s="78" t="inlineStr">
        <is>
          <t>BP-C0159</t>
        </is>
      </c>
      <c r="I565" s="78" t="inlineStr">
        <is>
          <t>Miss Etefe Ava Ogheneyorhe</t>
        </is>
      </c>
      <c r="J565" s="80" t="n">
        <v>500000</v>
      </c>
      <c r="K565" s="78" t="inlineStr">
        <is>
          <t>Allen Branch</t>
        </is>
      </c>
      <c r="L565" s="78" t="inlineStr">
        <is>
          <t>Primary: monthly turnover register</t>
        </is>
      </c>
      <c r="M565" s="78" t="inlineStr">
        <is>
          <t>BAAY PROJECTS FINANCIALS 2024.xlsx</t>
        </is>
      </c>
      <c r="N565" s="78" t="inlineStr">
        <is>
          <t>DECEMBER TURNOVER</t>
        </is>
      </c>
      <c r="O565" s="78" t="n">
        <v>20</v>
      </c>
      <c r="P565" s="78" t="inlineStr">
        <is>
          <t>24/12/2024</t>
        </is>
      </c>
      <c r="Q565" s="78" t="inlineStr">
        <is>
          <t>MS ELIZABETH r55</t>
        </is>
      </c>
      <c r="R565" s="78" t="n"/>
    </row>
    <row r="566" ht="25" customHeight="1">
      <c r="A566" s="75" t="inlineStr">
        <is>
          <t>SL0543</t>
        </is>
      </c>
      <c r="B566" s="76" t="n">
        <v>45650</v>
      </c>
      <c r="C566" s="75" t="inlineStr">
        <is>
          <t>2024-12</t>
        </is>
      </c>
      <c r="D566" s="75" t="n">
        <v>2024</v>
      </c>
      <c r="E566" s="75" t="inlineStr">
        <is>
          <t>Land</t>
        </is>
      </c>
      <c r="F566" s="75" t="inlineStr">
        <is>
          <t>Plot / unit price</t>
        </is>
      </c>
      <c r="G566" s="75" t="inlineStr">
        <is>
          <t>Green City Phase 3 (Omu-Epe)</t>
        </is>
      </c>
      <c r="H566" s="75" t="inlineStr">
        <is>
          <t>BP-C0149</t>
        </is>
      </c>
      <c r="I566" s="75" t="inlineStr">
        <is>
          <t>Mr Grant Chetanna</t>
        </is>
      </c>
      <c r="J566" s="77" t="n">
        <v>500000</v>
      </c>
      <c r="K566" s="75" t="inlineStr">
        <is>
          <t>Allen Branch</t>
        </is>
      </c>
      <c r="L566" s="75" t="inlineStr">
        <is>
          <t>Primary: monthly turnover register</t>
        </is>
      </c>
      <c r="M566" s="75" t="inlineStr">
        <is>
          <t>BAAY PROJECTS FINANCIALS 2024.xlsx</t>
        </is>
      </c>
      <c r="N566" s="75" t="inlineStr">
        <is>
          <t>DECEMBER TURNOVER</t>
        </is>
      </c>
      <c r="O566" s="75" t="n">
        <v>18</v>
      </c>
      <c r="P566" s="75" t="inlineStr">
        <is>
          <t>24/12/2024</t>
        </is>
      </c>
      <c r="Q566" s="75" t="n"/>
      <c r="R566" s="75" t="n"/>
    </row>
    <row r="567" ht="25" customHeight="1">
      <c r="A567" s="78" t="inlineStr">
        <is>
          <t>SL0544</t>
        </is>
      </c>
      <c r="B567" s="79" t="n">
        <v>45650</v>
      </c>
      <c r="C567" s="78" t="inlineStr">
        <is>
          <t>2024-12</t>
        </is>
      </c>
      <c r="D567" s="78" t="n">
        <v>2024</v>
      </c>
      <c r="E567" s="78" t="inlineStr">
        <is>
          <t>Land</t>
        </is>
      </c>
      <c r="F567" s="78" t="inlineStr">
        <is>
          <t>Plot / unit price</t>
        </is>
      </c>
      <c r="G567" s="78" t="inlineStr">
        <is>
          <t>Green City Phase 3 (Omu-Epe)</t>
        </is>
      </c>
      <c r="H567" s="78" t="inlineStr">
        <is>
          <t>BP-C0149</t>
        </is>
      </c>
      <c r="I567" s="78" t="inlineStr">
        <is>
          <t>Mr Grant Chetanna</t>
        </is>
      </c>
      <c r="J567" s="80" t="n">
        <v>500000</v>
      </c>
      <c r="K567" s="78" t="inlineStr">
        <is>
          <t>Allen Branch</t>
        </is>
      </c>
      <c r="L567" s="78" t="inlineStr">
        <is>
          <t>Primary: monthly turnover register</t>
        </is>
      </c>
      <c r="M567" s="78" t="inlineStr">
        <is>
          <t>BAAY PROJECTS FINANCIALS 2024.xlsx</t>
        </is>
      </c>
      <c r="N567" s="78" t="inlineStr">
        <is>
          <t>DECEMBER TURNOVER</t>
        </is>
      </c>
      <c r="O567" s="78" t="n">
        <v>19</v>
      </c>
      <c r="P567" s="78" t="inlineStr">
        <is>
          <t>24/12/2024</t>
        </is>
      </c>
      <c r="Q567" s="78" t="n"/>
      <c r="R567" s="78" t="n"/>
    </row>
    <row r="568" ht="25" customHeight="1">
      <c r="A568" s="75" t="inlineStr">
        <is>
          <t>SL0545</t>
        </is>
      </c>
      <c r="B568" s="76" t="n">
        <v>45651</v>
      </c>
      <c r="C568" s="75" t="inlineStr">
        <is>
          <t>2024-12</t>
        </is>
      </c>
      <c r="D568" s="75" t="n">
        <v>2024</v>
      </c>
      <c r="E568" s="75" t="inlineStr">
        <is>
          <t>Land</t>
        </is>
      </c>
      <c r="F568" s="75" t="inlineStr">
        <is>
          <t>Plot / unit price</t>
        </is>
      </c>
      <c r="G568" s="75" t="inlineStr">
        <is>
          <t>Green City Phase 2 (Ketu-Epe)</t>
        </is>
      </c>
      <c r="H568" s="75" t="inlineStr">
        <is>
          <t>BP-C0045</t>
        </is>
      </c>
      <c r="I568" s="75" t="inlineStr">
        <is>
          <t>Mr Bolarinwa Iyanuoluwa Simon &amp; Dr Bolarinwa Abisola Christianah</t>
        </is>
      </c>
      <c r="J568" s="77" t="n">
        <v>3830000</v>
      </c>
      <c r="K568" s="75" t="inlineStr">
        <is>
          <t>Allen Branch</t>
        </is>
      </c>
      <c r="L568" s="75" t="inlineStr">
        <is>
          <t>Primary: monthly turnover register</t>
        </is>
      </c>
      <c r="M568" s="75" t="inlineStr">
        <is>
          <t>BAAY PROJECTS FINANCIALS 2024.xlsx</t>
        </is>
      </c>
      <c r="N568" s="75" t="inlineStr">
        <is>
          <t>DECEMBER TURNOVER</t>
        </is>
      </c>
      <c r="O568" s="75" t="n">
        <v>22</v>
      </c>
      <c r="P568" s="75" t="inlineStr">
        <is>
          <t>25/12/2024</t>
        </is>
      </c>
      <c r="Q568" s="75" t="inlineStr">
        <is>
          <t>MD r91</t>
        </is>
      </c>
      <c r="R568" s="75" t="n"/>
    </row>
    <row r="569" ht="25" customHeight="1">
      <c r="A569" s="78" t="inlineStr">
        <is>
          <t>SL0546</t>
        </is>
      </c>
      <c r="B569" s="79" t="n">
        <v>45651</v>
      </c>
      <c r="C569" s="78" t="inlineStr">
        <is>
          <t>2024-12</t>
        </is>
      </c>
      <c r="D569" s="78" t="n">
        <v>2024</v>
      </c>
      <c r="E569" s="78" t="inlineStr">
        <is>
          <t>Land</t>
        </is>
      </c>
      <c r="F569" s="78" t="inlineStr">
        <is>
          <t>Plot / unit price</t>
        </is>
      </c>
      <c r="G569" s="78" t="inlineStr">
        <is>
          <t>Green City Phase 3 (Omu-Epe)</t>
        </is>
      </c>
      <c r="H569" s="78" t="inlineStr">
        <is>
          <t>BP-C0136</t>
        </is>
      </c>
      <c r="I569" s="78" t="inlineStr">
        <is>
          <t>Mr Isibor Godwin</t>
        </is>
      </c>
      <c r="J569" s="80" t="n">
        <v>450000</v>
      </c>
      <c r="K569" s="78" t="inlineStr">
        <is>
          <t>Allen Branch</t>
        </is>
      </c>
      <c r="L569" s="78" t="inlineStr">
        <is>
          <t>Primary: monthly turnover register</t>
        </is>
      </c>
      <c r="M569" s="78" t="inlineStr">
        <is>
          <t>BAAY PROJECTS FINANCIALS 2024.xlsx</t>
        </is>
      </c>
      <c r="N569" s="78" t="inlineStr">
        <is>
          <t>DECEMBER TURNOVER</t>
        </is>
      </c>
      <c r="O569" s="78" t="n">
        <v>21</v>
      </c>
      <c r="P569" s="78" t="inlineStr">
        <is>
          <t>25/12/2024</t>
        </is>
      </c>
      <c r="Q569" s="78" t="inlineStr">
        <is>
          <t>MS TOBI AJAYI r43</t>
        </is>
      </c>
      <c r="R569" s="78" t="n"/>
    </row>
    <row r="570" ht="25" customHeight="1">
      <c r="A570" s="75" t="inlineStr">
        <is>
          <t>SL0547</t>
        </is>
      </c>
      <c r="B570" s="76" t="n">
        <v>45653</v>
      </c>
      <c r="C570" s="75" t="inlineStr">
        <is>
          <t>2024-12</t>
        </is>
      </c>
      <c r="D570" s="75" t="n">
        <v>2024</v>
      </c>
      <c r="E570" s="75" t="inlineStr">
        <is>
          <t>Land</t>
        </is>
      </c>
      <c r="F570" s="75" t="inlineStr">
        <is>
          <t>Ancillary charge</t>
        </is>
      </c>
      <c r="G570" s="75" t="inlineStr">
        <is>
          <t>Land: development fee</t>
        </is>
      </c>
      <c r="H570" s="75" t="inlineStr">
        <is>
          <t>BP-C0030</t>
        </is>
      </c>
      <c r="I570" s="75" t="inlineStr">
        <is>
          <t>Mr Adese Akorede John</t>
        </is>
      </c>
      <c r="J570" s="77" t="n">
        <v>50000</v>
      </c>
      <c r="K570" s="75" t="inlineStr">
        <is>
          <t>Allen Branch</t>
        </is>
      </c>
      <c r="L570" s="75" t="inlineStr">
        <is>
          <t>Primary: monthly turnover register</t>
        </is>
      </c>
      <c r="M570" s="75" t="inlineStr">
        <is>
          <t>BAAY PROJECTS FINANCIALS 2024.xlsx</t>
        </is>
      </c>
      <c r="N570" s="75" t="inlineStr">
        <is>
          <t>DECEMBER TURNOVER</t>
        </is>
      </c>
      <c r="O570" s="75" t="n">
        <v>24</v>
      </c>
      <c r="P570" s="75" t="inlineStr">
        <is>
          <t>27/12/2024</t>
        </is>
      </c>
      <c r="Q570" s="75" t="n"/>
      <c r="R570" s="75" t="n"/>
    </row>
    <row r="571" ht="25" customHeight="1">
      <c r="A571" s="78" t="inlineStr">
        <is>
          <t>SL0548</t>
        </is>
      </c>
      <c r="B571" s="79" t="n">
        <v>45653</v>
      </c>
      <c r="C571" s="78" t="inlineStr">
        <is>
          <t>2024-12</t>
        </is>
      </c>
      <c r="D571" s="78" t="n">
        <v>2024</v>
      </c>
      <c r="E571" s="78" t="inlineStr">
        <is>
          <t>Land</t>
        </is>
      </c>
      <c r="F571" s="78" t="inlineStr">
        <is>
          <t>Plot / unit price</t>
        </is>
      </c>
      <c r="G571" s="78" t="inlineStr">
        <is>
          <t>Green City Ibadan (Akinyele-Moniya)</t>
        </is>
      </c>
      <c r="H571" s="78" t="inlineStr">
        <is>
          <t>BP-C0030</t>
        </is>
      </c>
      <c r="I571" s="78" t="inlineStr">
        <is>
          <t>Mr Adese Akorede John</t>
        </is>
      </c>
      <c r="J571" s="80" t="n">
        <v>500000</v>
      </c>
      <c r="K571" s="78" t="inlineStr">
        <is>
          <t>Allen Branch</t>
        </is>
      </c>
      <c r="L571" s="78" t="inlineStr">
        <is>
          <t>Primary: monthly turnover register</t>
        </is>
      </c>
      <c r="M571" s="78" t="inlineStr">
        <is>
          <t>BAAY PROJECTS FINANCIALS 2024.xlsx</t>
        </is>
      </c>
      <c r="N571" s="78" t="inlineStr">
        <is>
          <t>DECEMBER TURNOVER</t>
        </is>
      </c>
      <c r="O571" s="78" t="n">
        <v>25</v>
      </c>
      <c r="P571" s="78" t="inlineStr">
        <is>
          <t>27/12/2024</t>
        </is>
      </c>
      <c r="Q571" s="78" t="inlineStr">
        <is>
          <t>MD r98</t>
        </is>
      </c>
      <c r="R571" s="78" t="n"/>
    </row>
    <row r="572" ht="25" customHeight="1">
      <c r="A572" s="75" t="inlineStr">
        <is>
          <t>SL0549</t>
        </is>
      </c>
      <c r="B572" s="76" t="n">
        <v>45653</v>
      </c>
      <c r="C572" s="75" t="inlineStr">
        <is>
          <t>2024-12</t>
        </is>
      </c>
      <c r="D572" s="75" t="n">
        <v>2024</v>
      </c>
      <c r="E572" s="75" t="inlineStr">
        <is>
          <t>Land</t>
        </is>
      </c>
      <c r="F572" s="75" t="inlineStr">
        <is>
          <t>Plot / unit price</t>
        </is>
      </c>
      <c r="G572" s="75" t="inlineStr">
        <is>
          <t>Green City Phase 2 (Ketu-Epe)</t>
        </is>
      </c>
      <c r="H572" s="75" t="inlineStr">
        <is>
          <t>BP-C0030</t>
        </is>
      </c>
      <c r="I572" s="75" t="inlineStr">
        <is>
          <t>Mr Adese Akorede John</t>
        </is>
      </c>
      <c r="J572" s="77" t="n">
        <v>140000</v>
      </c>
      <c r="K572" s="75" t="inlineStr">
        <is>
          <t>Allen Branch</t>
        </is>
      </c>
      <c r="L572" s="75" t="inlineStr">
        <is>
          <t>Primary: monthly turnover register</t>
        </is>
      </c>
      <c r="M572" s="75" t="inlineStr">
        <is>
          <t>BAAY PROJECTS FINANCIALS 2024.xlsx</t>
        </is>
      </c>
      <c r="N572" s="75" t="inlineStr">
        <is>
          <t>DECEMBER TURNOVER</t>
        </is>
      </c>
      <c r="O572" s="75" t="n">
        <v>26</v>
      </c>
      <c r="P572" s="75" t="inlineStr">
        <is>
          <t>27/12/2024</t>
        </is>
      </c>
      <c r="Q572" s="75" t="inlineStr">
        <is>
          <t>MD r97</t>
        </is>
      </c>
      <c r="R572" s="75" t="n"/>
    </row>
    <row r="573" ht="25" customHeight="1">
      <c r="A573" s="78" t="inlineStr">
        <is>
          <t>SL0550</t>
        </is>
      </c>
      <c r="B573" s="79" t="n">
        <v>45653</v>
      </c>
      <c r="C573" s="78" t="inlineStr">
        <is>
          <t>2024-12</t>
        </is>
      </c>
      <c r="D573" s="78" t="n">
        <v>2024</v>
      </c>
      <c r="E573" s="78" t="inlineStr">
        <is>
          <t>Housing</t>
        </is>
      </c>
      <c r="F573" s="78" t="inlineStr">
        <is>
          <t>Plot / unit price</t>
        </is>
      </c>
      <c r="G573" s="78" t="inlineStr">
        <is>
          <t>Pacific Apartment</t>
        </is>
      </c>
      <c r="H573" s="78" t="inlineStr">
        <is>
          <t>BP-C0160</t>
        </is>
      </c>
      <c r="I573" s="78" t="inlineStr">
        <is>
          <t>Mr Okenla Olugboyega Gabriel</t>
        </is>
      </c>
      <c r="J573" s="80" t="n">
        <v>5000000</v>
      </c>
      <c r="K573" s="78" t="inlineStr">
        <is>
          <t>Magodo Branch</t>
        </is>
      </c>
      <c r="L573" s="78" t="inlineStr">
        <is>
          <t>Primary: monthly turnover register</t>
        </is>
      </c>
      <c r="M573" s="78" t="inlineStr">
        <is>
          <t>BAAY PROJECTS FINANCIALS 2024.xlsx</t>
        </is>
      </c>
      <c r="N573" s="78" t="inlineStr">
        <is>
          <t>DECEMBER TURNOVER</t>
        </is>
      </c>
      <c r="O573" s="78" t="n">
        <v>21</v>
      </c>
      <c r="P573" s="78" t="inlineStr">
        <is>
          <t>27/12/2024</t>
        </is>
      </c>
      <c r="Q573" s="78" t="inlineStr">
        <is>
          <t>MS MOFFAT r3, MRS ABIMBOLA r177</t>
        </is>
      </c>
      <c r="R573" s="78" t="n"/>
    </row>
    <row r="574" ht="25" customHeight="1">
      <c r="A574" s="75" t="inlineStr">
        <is>
          <t>SL0551</t>
        </is>
      </c>
      <c r="B574" s="76" t="n">
        <v>45653</v>
      </c>
      <c r="C574" s="75" t="inlineStr">
        <is>
          <t>2024-12</t>
        </is>
      </c>
      <c r="D574" s="75" t="n">
        <v>2024</v>
      </c>
      <c r="E574" s="75" t="inlineStr">
        <is>
          <t>Land</t>
        </is>
      </c>
      <c r="F574" s="75" t="inlineStr">
        <is>
          <t>Plot / unit price</t>
        </is>
      </c>
      <c r="G574" s="75" t="inlineStr">
        <is>
          <t>Green City Ibadan (Akinyele-Moniya)</t>
        </is>
      </c>
      <c r="H574" s="75" t="inlineStr">
        <is>
          <t>BP-C0017</t>
        </is>
      </c>
      <c r="I574" s="75" t="inlineStr">
        <is>
          <t>Mr Taiwo John Adeleye</t>
        </is>
      </c>
      <c r="J574" s="77" t="n">
        <v>555000</v>
      </c>
      <c r="K574" s="75" t="inlineStr">
        <is>
          <t>Magodo Branch</t>
        </is>
      </c>
      <c r="L574" s="75" t="inlineStr">
        <is>
          <t>Primary: monthly turnover register</t>
        </is>
      </c>
      <c r="M574" s="75" t="inlineStr">
        <is>
          <t>BAAY PROJECTS FINANCIALS 2024.xlsx</t>
        </is>
      </c>
      <c r="N574" s="75" t="inlineStr">
        <is>
          <t>DECEMBER TURNOVER</t>
        </is>
      </c>
      <c r="O574" s="75" t="n">
        <v>22</v>
      </c>
      <c r="P574" s="75" t="inlineStr">
        <is>
          <t>27/12/2024</t>
        </is>
      </c>
      <c r="Q574" s="75" t="inlineStr">
        <is>
          <t>MS JOCHEBED r29</t>
        </is>
      </c>
      <c r="R574" s="75" t="n"/>
    </row>
    <row r="575" ht="25" customHeight="1">
      <c r="A575" s="78" t="inlineStr">
        <is>
          <t>SL0552</t>
        </is>
      </c>
      <c r="B575" s="79" t="n">
        <v>45653</v>
      </c>
      <c r="C575" s="78" t="inlineStr">
        <is>
          <t>2024-12</t>
        </is>
      </c>
      <c r="D575" s="78" t="n">
        <v>2024</v>
      </c>
      <c r="E575" s="78" t="inlineStr">
        <is>
          <t>Land</t>
        </is>
      </c>
      <c r="F575" s="78" t="inlineStr">
        <is>
          <t>Plot / unit price</t>
        </is>
      </c>
      <c r="G575" s="78" t="inlineStr">
        <is>
          <t>Heritage Garden</t>
        </is>
      </c>
      <c r="H575" s="78" t="inlineStr">
        <is>
          <t>BP-C0130</t>
        </is>
      </c>
      <c r="I575" s="78" t="inlineStr">
        <is>
          <t>Mrs Akindele Felicia</t>
        </is>
      </c>
      <c r="J575" s="80" t="n">
        <v>100000</v>
      </c>
      <c r="K575" s="78" t="inlineStr">
        <is>
          <t>Allen Branch</t>
        </is>
      </c>
      <c r="L575" s="78" t="inlineStr">
        <is>
          <t>Primary: monthly turnover register</t>
        </is>
      </c>
      <c r="M575" s="78" t="inlineStr">
        <is>
          <t>BAAY PROJECTS FINANCIALS 2024.xlsx</t>
        </is>
      </c>
      <c r="N575" s="78" t="inlineStr">
        <is>
          <t>DECEMBER TURNOVER</t>
        </is>
      </c>
      <c r="O575" s="78" t="n">
        <v>23</v>
      </c>
      <c r="P575" s="78" t="inlineStr">
        <is>
          <t>27/12/2024</t>
        </is>
      </c>
      <c r="Q575" s="78" t="inlineStr">
        <is>
          <t>MS FISAYO r61</t>
        </is>
      </c>
      <c r="R575" s="78" t="n"/>
    </row>
    <row r="576" ht="25" customHeight="1">
      <c r="A576" s="75" t="inlineStr">
        <is>
          <t>SL0553</t>
        </is>
      </c>
      <c r="B576" s="76" t="n">
        <v>45656</v>
      </c>
      <c r="C576" s="75" t="inlineStr">
        <is>
          <t>2024-12</t>
        </is>
      </c>
      <c r="D576" s="75" t="n">
        <v>2024</v>
      </c>
      <c r="E576" s="75" t="inlineStr">
        <is>
          <t>Land</t>
        </is>
      </c>
      <c r="F576" s="75" t="inlineStr">
        <is>
          <t>Plot / unit price</t>
        </is>
      </c>
      <c r="G576" s="75" t="inlineStr">
        <is>
          <t>Green City Phase 3 Extension (Omu-Epe)</t>
        </is>
      </c>
      <c r="H576" s="75" t="inlineStr">
        <is>
          <t>BP-C0161</t>
        </is>
      </c>
      <c r="I576" s="75" t="inlineStr">
        <is>
          <t>Miss Uthman Alimot Modupe</t>
        </is>
      </c>
      <c r="J576" s="77" t="n">
        <v>300000</v>
      </c>
      <c r="K576" s="75" t="inlineStr">
        <is>
          <t>Allen Branch</t>
        </is>
      </c>
      <c r="L576" s="75" t="inlineStr">
        <is>
          <t>Primary: monthly turnover register</t>
        </is>
      </c>
      <c r="M576" s="75" t="inlineStr">
        <is>
          <t>BAAY PROJECTS FINANCIALS 2024.xlsx</t>
        </is>
      </c>
      <c r="N576" s="75" t="inlineStr">
        <is>
          <t>DECEMBER TURNOVER</t>
        </is>
      </c>
      <c r="O576" s="75" t="n">
        <v>27</v>
      </c>
      <c r="P576" s="75" t="inlineStr">
        <is>
          <t>30/12/2024</t>
        </is>
      </c>
      <c r="Q576" s="75" t="inlineStr">
        <is>
          <t>MS TOBI AJAYI r49</t>
        </is>
      </c>
      <c r="R576" s="75" t="n"/>
    </row>
    <row r="577" ht="25" customHeight="1">
      <c r="A577" s="78" t="inlineStr">
        <is>
          <t>SL0554</t>
        </is>
      </c>
      <c r="B577" s="79" t="n">
        <v>45656</v>
      </c>
      <c r="C577" s="78" t="inlineStr">
        <is>
          <t>2024-12</t>
        </is>
      </c>
      <c r="D577" s="78" t="n">
        <v>2024</v>
      </c>
      <c r="E577" s="78" t="inlineStr">
        <is>
          <t>Housing</t>
        </is>
      </c>
      <c r="F577" s="78" t="inlineStr">
        <is>
          <t>Plot / unit price</t>
        </is>
      </c>
      <c r="G577" s="78" t="inlineStr">
        <is>
          <t>Pacific Apartment</t>
        </is>
      </c>
      <c r="H577" s="78" t="inlineStr">
        <is>
          <t>BP-C0160</t>
        </is>
      </c>
      <c r="I577" s="78" t="inlineStr">
        <is>
          <t>Mr Okenla Olugboyega Gabriel</t>
        </is>
      </c>
      <c r="J577" s="80" t="n">
        <v>5000000</v>
      </c>
      <c r="K577" s="78" t="inlineStr">
        <is>
          <t>Magodo Branch</t>
        </is>
      </c>
      <c r="L577" s="78" t="inlineStr">
        <is>
          <t>Primary: monthly turnover register</t>
        </is>
      </c>
      <c r="M577" s="78" t="inlineStr">
        <is>
          <t>BAAY PROJECTS FINANCIALS 2024.xlsx</t>
        </is>
      </c>
      <c r="N577" s="78" t="inlineStr">
        <is>
          <t>DECEMBER TURNOVER</t>
        </is>
      </c>
      <c r="O577" s="78" t="n">
        <v>23</v>
      </c>
      <c r="P577" s="78" t="inlineStr">
        <is>
          <t>30/12/2024</t>
        </is>
      </c>
      <c r="Q577" s="78" t="inlineStr">
        <is>
          <t>MS MOFFAT r4, MRS ABIMBOLA r178</t>
        </is>
      </c>
      <c r="R577" s="78" t="n"/>
    </row>
    <row r="578" ht="25" customHeight="1">
      <c r="A578" s="75" t="inlineStr">
        <is>
          <t>SL0555</t>
        </is>
      </c>
      <c r="B578" s="76" t="n">
        <v>45657</v>
      </c>
      <c r="C578" s="75" t="inlineStr">
        <is>
          <t>2024-12</t>
        </is>
      </c>
      <c r="D578" s="75" t="n">
        <v>2024</v>
      </c>
      <c r="E578" s="75" t="inlineStr">
        <is>
          <t>Land</t>
        </is>
      </c>
      <c r="F578" s="75" t="inlineStr">
        <is>
          <t>Plot / unit price</t>
        </is>
      </c>
      <c r="G578" s="75" t="inlineStr">
        <is>
          <t>Heritage Garden</t>
        </is>
      </c>
      <c r="H578" s="75" t="inlineStr">
        <is>
          <t>BP-C0163</t>
        </is>
      </c>
      <c r="I578" s="75" t="inlineStr">
        <is>
          <t>Mr Ajagbe James Olatayo</t>
        </is>
      </c>
      <c r="J578" s="77" t="n">
        <v>550000</v>
      </c>
      <c r="K578" s="75" t="inlineStr">
        <is>
          <t>Allen Branch</t>
        </is>
      </c>
      <c r="L578" s="75" t="inlineStr">
        <is>
          <t>Primary: monthly turnover register</t>
        </is>
      </c>
      <c r="M578" s="75" t="inlineStr">
        <is>
          <t>BAAY PROJECTS FINANCIALS 2024.xlsx</t>
        </is>
      </c>
      <c r="N578" s="75" t="inlineStr">
        <is>
          <t>DECEMBER TURNOVER</t>
        </is>
      </c>
      <c r="O578" s="75" t="n">
        <v>28</v>
      </c>
      <c r="P578" s="75" t="inlineStr">
        <is>
          <t>31/12/2024</t>
        </is>
      </c>
      <c r="Q578" s="75" t="inlineStr">
        <is>
          <t>MR BAKI r22</t>
        </is>
      </c>
      <c r="R578" s="75" t="n"/>
    </row>
    <row r="579" ht="25" customHeight="1">
      <c r="A579" s="78" t="inlineStr">
        <is>
          <t>SL0556</t>
        </is>
      </c>
      <c r="B579" s="79" t="n">
        <v>45657</v>
      </c>
      <c r="C579" s="78" t="inlineStr">
        <is>
          <t>2024-12</t>
        </is>
      </c>
      <c r="D579" s="78" t="n">
        <v>2024</v>
      </c>
      <c r="E579" s="78" t="inlineStr">
        <is>
          <t>Land</t>
        </is>
      </c>
      <c r="F579" s="78" t="inlineStr">
        <is>
          <t>Ancillary charge</t>
        </is>
      </c>
      <c r="G579" s="78" t="inlineStr">
        <is>
          <t>Land: documentation fee</t>
        </is>
      </c>
      <c r="H579" s="78" t="inlineStr">
        <is>
          <t>BP-C0163</t>
        </is>
      </c>
      <c r="I579" s="78" t="inlineStr">
        <is>
          <t>Mr Ajagbe James Olatayo</t>
        </is>
      </c>
      <c r="J579" s="80" t="n">
        <v>50000</v>
      </c>
      <c r="K579" s="78" t="inlineStr">
        <is>
          <t>Allen Branch</t>
        </is>
      </c>
      <c r="L579" s="78" t="inlineStr">
        <is>
          <t>Primary: monthly turnover register</t>
        </is>
      </c>
      <c r="M579" s="78" t="inlineStr">
        <is>
          <t>BAAY PROJECTS FINANCIALS 2024.xlsx</t>
        </is>
      </c>
      <c r="N579" s="78" t="inlineStr">
        <is>
          <t>DECEMBER TURNOVER</t>
        </is>
      </c>
      <c r="O579" s="78" t="n">
        <v>29</v>
      </c>
      <c r="P579" s="78" t="inlineStr">
        <is>
          <t>31/12/2024</t>
        </is>
      </c>
      <c r="Q579" s="78" t="n"/>
      <c r="R579" s="78" t="n"/>
    </row>
    <row r="580" ht="25" customHeight="1">
      <c r="A580" s="75" t="inlineStr">
        <is>
          <t>SL0557</t>
        </is>
      </c>
      <c r="B580" s="76" t="n">
        <v>45658</v>
      </c>
      <c r="C580" s="75" t="inlineStr">
        <is>
          <t>2025-01</t>
        </is>
      </c>
      <c r="D580" s="75" t="n">
        <v>2025</v>
      </c>
      <c r="E580" s="75" t="inlineStr">
        <is>
          <t>Land</t>
        </is>
      </c>
      <c r="F580" s="75" t="inlineStr">
        <is>
          <t>Plot / unit price</t>
        </is>
      </c>
      <c r="G580" s="75" t="inlineStr">
        <is>
          <t>Land (estate not stated in source)</t>
        </is>
      </c>
      <c r="H580" s="75" t="inlineStr">
        <is>
          <t>BP-C0068</t>
        </is>
      </c>
      <c r="I580" s="75" t="inlineStr">
        <is>
          <t>Miss Ebhotah Sharon Aisosa</t>
        </is>
      </c>
      <c r="J580" s="77" t="n">
        <v>1000000</v>
      </c>
      <c r="K580" s="75" t="n"/>
      <c r="L580" s="75" t="inlineStr">
        <is>
          <t>Secondary: commission records; no monthly turnover register for this period</t>
        </is>
      </c>
      <c r="M580" s="75" t="inlineStr">
        <is>
          <t>BAAY PROJECTS SALES EXPENSES (COMMISSION) RECORDS (1)</t>
        </is>
      </c>
      <c r="N580" s="75" t="inlineStr">
        <is>
          <t>MS BLESSING</t>
        </is>
      </c>
      <c r="O580" s="75" t="n">
        <v>138</v>
      </c>
      <c r="P580" s="75" t="inlineStr">
        <is>
          <t>2025-01-01</t>
        </is>
      </c>
      <c r="Q580" s="75" t="n"/>
      <c r="R580" s="75" t="inlineStr">
        <is>
          <t>Commission-record amount: confirm to bank statement (records can aggregate several transfers)</t>
        </is>
      </c>
    </row>
    <row r="581" ht="25" customHeight="1">
      <c r="A581" s="78" t="inlineStr">
        <is>
          <t>SL0558</t>
        </is>
      </c>
      <c r="B581" s="79" t="n">
        <v>45659</v>
      </c>
      <c r="C581" s="78" t="inlineStr">
        <is>
          <t>2025-01</t>
        </is>
      </c>
      <c r="D581" s="78" t="n">
        <v>2025</v>
      </c>
      <c r="E581" s="78" t="inlineStr">
        <is>
          <t>Land</t>
        </is>
      </c>
      <c r="F581" s="78" t="inlineStr">
        <is>
          <t>Plot / unit price</t>
        </is>
      </c>
      <c r="G581" s="78" t="inlineStr">
        <is>
          <t>Heritage Garden</t>
        </is>
      </c>
      <c r="H581" s="78" t="inlineStr">
        <is>
          <t>BP-C0164</t>
        </is>
      </c>
      <c r="I581" s="78" t="inlineStr">
        <is>
          <t>Miss Arogundade Motunrayo Azeezat</t>
        </is>
      </c>
      <c r="J581" s="80" t="n">
        <v>1000000</v>
      </c>
      <c r="K581" s="78" t="n"/>
      <c r="L581" s="78" t="inlineStr">
        <is>
          <t>Secondary: commission records; no monthly turnover register for this period</t>
        </is>
      </c>
      <c r="M581" s="78" t="inlineStr">
        <is>
          <t>BAAY PROJECTS SALES EXPENSES (COMMISSION) RECORDS (1)</t>
        </is>
      </c>
      <c r="N581" s="78" t="inlineStr">
        <is>
          <t>MR IBUKUN</t>
        </is>
      </c>
      <c r="O581" s="78" t="n">
        <v>3</v>
      </c>
      <c r="P581" s="78" t="inlineStr">
        <is>
          <t>2025-02-01</t>
        </is>
      </c>
      <c r="Q581" s="78" t="n"/>
      <c r="R581" s="78" t="inlineStr">
        <is>
          <t>Commission-record amount: confirm to bank statement (records can aggregate several transfers)</t>
        </is>
      </c>
    </row>
    <row r="582" ht="25" customHeight="1">
      <c r="A582" s="75" t="inlineStr">
        <is>
          <t>SL0559</t>
        </is>
      </c>
      <c r="B582" s="76" t="n">
        <v>45665</v>
      </c>
      <c r="C582" s="75" t="inlineStr">
        <is>
          <t>2025-01</t>
        </is>
      </c>
      <c r="D582" s="75" t="n">
        <v>2025</v>
      </c>
      <c r="E582" s="75" t="inlineStr">
        <is>
          <t>Land</t>
        </is>
      </c>
      <c r="F582" s="75" t="inlineStr">
        <is>
          <t>Plot / unit price</t>
        </is>
      </c>
      <c r="G582" s="75" t="inlineStr">
        <is>
          <t>Land (estate not stated in source)</t>
        </is>
      </c>
      <c r="H582" s="75" t="inlineStr">
        <is>
          <t>BP-C0068</t>
        </is>
      </c>
      <c r="I582" s="75" t="inlineStr">
        <is>
          <t>Miss Ebhotah Sharon Aisosa</t>
        </is>
      </c>
      <c r="J582" s="77" t="n">
        <v>330000</v>
      </c>
      <c r="K582" s="75" t="n"/>
      <c r="L582" s="75" t="inlineStr">
        <is>
          <t>Secondary: commission records; no monthly turnover register for this period</t>
        </is>
      </c>
      <c r="M582" s="75" t="inlineStr">
        <is>
          <t>BAAY PROJECTS SALES EXPENSES (COMMISSION) RECORDS (1)</t>
        </is>
      </c>
      <c r="N582" s="75" t="inlineStr">
        <is>
          <t>MS BLESSING</t>
        </is>
      </c>
      <c r="O582" s="75" t="n">
        <v>139</v>
      </c>
      <c r="P582" s="75" t="inlineStr">
        <is>
          <t>2025-08-01</t>
        </is>
      </c>
      <c r="Q582" s="75" t="n"/>
      <c r="R582" s="75" t="inlineStr">
        <is>
          <t>Commission-record amount: confirm to bank statement (records can aggregate several transfers)</t>
        </is>
      </c>
    </row>
    <row r="583" ht="25" customHeight="1">
      <c r="A583" s="78" t="inlineStr">
        <is>
          <t>SL0560</t>
        </is>
      </c>
      <c r="B583" s="79" t="n">
        <v>45665</v>
      </c>
      <c r="C583" s="78" t="inlineStr">
        <is>
          <t>2025-01</t>
        </is>
      </c>
      <c r="D583" s="78" t="n">
        <v>2025</v>
      </c>
      <c r="E583" s="78" t="inlineStr">
        <is>
          <t>Land</t>
        </is>
      </c>
      <c r="F583" s="78" t="inlineStr">
        <is>
          <t>Plot / unit price</t>
        </is>
      </c>
      <c r="G583" s="78" t="inlineStr">
        <is>
          <t>Land (estate not stated in source)</t>
        </is>
      </c>
      <c r="H583" s="78" t="inlineStr">
        <is>
          <t>BP-C0146</t>
        </is>
      </c>
      <c r="I583" s="78" t="inlineStr">
        <is>
          <t>Miss Tijani Tawa Motunrayo</t>
        </is>
      </c>
      <c r="J583" s="80" t="n">
        <v>320000</v>
      </c>
      <c r="K583" s="78" t="n"/>
      <c r="L583" s="78" t="inlineStr">
        <is>
          <t>Secondary: commission records; no monthly turnover register for this period</t>
        </is>
      </c>
      <c r="M583" s="78" t="inlineStr">
        <is>
          <t>BAAY PROJECTS SALES EXPENSES (COMMISSION) RECORDS (1)</t>
        </is>
      </c>
      <c r="N583" s="78" t="inlineStr">
        <is>
          <t>MS AWONORIN MAYOWA</t>
        </is>
      </c>
      <c r="O583" s="78" t="n">
        <v>26</v>
      </c>
      <c r="P583" s="78" t="inlineStr">
        <is>
          <t>2025-08-01</t>
        </is>
      </c>
      <c r="Q583" s="78" t="n"/>
      <c r="R583" s="78" t="inlineStr">
        <is>
          <t>Commission-record amount: confirm to bank statement (records can aggregate several transfers)</t>
        </is>
      </c>
    </row>
    <row r="584" ht="25" customHeight="1">
      <c r="A584" s="75" t="inlineStr">
        <is>
          <t>SL0561</t>
        </is>
      </c>
      <c r="B584" s="76" t="n">
        <v>45665</v>
      </c>
      <c r="C584" s="75" t="inlineStr">
        <is>
          <t>2025-01</t>
        </is>
      </c>
      <c r="D584" s="75" t="n">
        <v>2025</v>
      </c>
      <c r="E584" s="75" t="inlineStr">
        <is>
          <t>Land</t>
        </is>
      </c>
      <c r="F584" s="75" t="inlineStr">
        <is>
          <t>Plot / unit price</t>
        </is>
      </c>
      <c r="G584" s="75" t="inlineStr">
        <is>
          <t>Land (estate not stated in source)</t>
        </is>
      </c>
      <c r="H584" s="75" t="inlineStr">
        <is>
          <t>BP-C0140</t>
        </is>
      </c>
      <c r="I584" s="75" t="inlineStr">
        <is>
          <t>Mr Balogun Akeem Tokunbo</t>
        </is>
      </c>
      <c r="J584" s="77" t="n">
        <v>3000000</v>
      </c>
      <c r="K584" s="75" t="n"/>
      <c r="L584" s="75" t="inlineStr">
        <is>
          <t>Secondary: commission records; no monthly turnover register for this period</t>
        </is>
      </c>
      <c r="M584" s="75" t="inlineStr">
        <is>
          <t>BAAY PROJECTS SALES EXPENSES (COMMISSION) RECORDS (1)</t>
        </is>
      </c>
      <c r="N584" s="75" t="inlineStr">
        <is>
          <t>MAMA ADEBIMPE</t>
        </is>
      </c>
      <c r="O584" s="75" t="n">
        <v>86</v>
      </c>
      <c r="P584" s="75" t="inlineStr">
        <is>
          <t>2025-08-01</t>
        </is>
      </c>
      <c r="Q584" s="75" t="n"/>
      <c r="R584" s="75" t="inlineStr">
        <is>
          <t>Commission-record amount: confirm to bank statement (records can aggregate several transfers)</t>
        </is>
      </c>
    </row>
    <row r="585" ht="25" customHeight="1">
      <c r="A585" s="78" t="inlineStr">
        <is>
          <t>SL0562</t>
        </is>
      </c>
      <c r="B585" s="79" t="n">
        <v>45667</v>
      </c>
      <c r="C585" s="78" t="inlineStr">
        <is>
          <t>2025-01</t>
        </is>
      </c>
      <c r="D585" s="78" t="n">
        <v>2025</v>
      </c>
      <c r="E585" s="78" t="inlineStr">
        <is>
          <t>Land</t>
        </is>
      </c>
      <c r="F585" s="78" t="inlineStr">
        <is>
          <t>Plot / unit price</t>
        </is>
      </c>
      <c r="G585" s="78" t="inlineStr">
        <is>
          <t>Land (estate not stated in source)</t>
        </is>
      </c>
      <c r="H585" s="78" t="inlineStr">
        <is>
          <t>BP-C0017</t>
        </is>
      </c>
      <c r="I585" s="78" t="inlineStr">
        <is>
          <t>Mr Taiwo John Adeleye</t>
        </is>
      </c>
      <c r="J585" s="80" t="n">
        <v>45000</v>
      </c>
      <c r="K585" s="78" t="n"/>
      <c r="L585" s="78" t="inlineStr">
        <is>
          <t>Secondary: commission records; no monthly turnover register for this period</t>
        </is>
      </c>
      <c r="M585" s="78" t="inlineStr">
        <is>
          <t>BAAY PROJECTS SALES EXPENSES (COMMISSION) RECORDS (1)</t>
        </is>
      </c>
      <c r="N585" s="78" t="inlineStr">
        <is>
          <t>MS JOCHEBED</t>
        </is>
      </c>
      <c r="O585" s="78" t="n">
        <v>30</v>
      </c>
      <c r="P585" s="78" t="inlineStr">
        <is>
          <t>2025-10-01</t>
        </is>
      </c>
      <c r="Q585" s="78" t="n"/>
      <c r="R585" s="78" t="inlineStr">
        <is>
          <t>Commission-record amount: confirm to bank statement (records can aggregate several transfers)</t>
        </is>
      </c>
    </row>
    <row r="586" ht="25" customHeight="1">
      <c r="A586" s="75" t="inlineStr">
        <is>
          <t>SL0563</t>
        </is>
      </c>
      <c r="B586" s="76" t="n">
        <v>45671</v>
      </c>
      <c r="C586" s="75" t="inlineStr">
        <is>
          <t>2025-01</t>
        </is>
      </c>
      <c r="D586" s="75" t="n">
        <v>2025</v>
      </c>
      <c r="E586" s="75" t="inlineStr">
        <is>
          <t>Land</t>
        </is>
      </c>
      <c r="F586" s="75" t="inlineStr">
        <is>
          <t>Plot / unit price</t>
        </is>
      </c>
      <c r="G586" s="75" t="inlineStr">
        <is>
          <t>Land (estate not stated in source)</t>
        </is>
      </c>
      <c r="H586" s="75" t="inlineStr">
        <is>
          <t>BP-C0130</t>
        </is>
      </c>
      <c r="I586" s="75" t="inlineStr">
        <is>
          <t>Mrs Akindele Felicia Oluwatoyin</t>
        </is>
      </c>
      <c r="J586" s="77" t="n">
        <v>50000</v>
      </c>
      <c r="K586" s="75" t="n"/>
      <c r="L586" s="75" t="inlineStr">
        <is>
          <t>Secondary: commission records; no monthly turnover register for this period</t>
        </is>
      </c>
      <c r="M586" s="75" t="inlineStr">
        <is>
          <t>BAAY PROJECTS SALES EXPENSES (COMMISSION) RECORDS (1)</t>
        </is>
      </c>
      <c r="N586" s="75" t="inlineStr">
        <is>
          <t>MS FISAYO</t>
        </is>
      </c>
      <c r="O586" s="75" t="n">
        <v>62</v>
      </c>
      <c r="P586" s="75" t="inlineStr">
        <is>
          <t>14/01/2025</t>
        </is>
      </c>
      <c r="Q586" s="75" t="n"/>
      <c r="R586" s="75" t="inlineStr">
        <is>
          <t>Commission-record amount: confirm to bank statement (records can aggregate several transfers)</t>
        </is>
      </c>
    </row>
    <row r="587" ht="25" customHeight="1">
      <c r="A587" s="78" t="inlineStr">
        <is>
          <t>SL0564</t>
        </is>
      </c>
      <c r="B587" s="79" t="n">
        <v>45677</v>
      </c>
      <c r="C587" s="78" t="inlineStr">
        <is>
          <t>2025-01</t>
        </is>
      </c>
      <c r="D587" s="78" t="n">
        <v>2025</v>
      </c>
      <c r="E587" s="78" t="inlineStr">
        <is>
          <t>Housing</t>
        </is>
      </c>
      <c r="F587" s="78" t="inlineStr">
        <is>
          <t>Plot / unit price</t>
        </is>
      </c>
      <c r="G587" s="78" t="inlineStr">
        <is>
          <t>Gorge View Court (GVC Gbagada)</t>
        </is>
      </c>
      <c r="H587" s="78" t="inlineStr">
        <is>
          <t>BP-C0165</t>
        </is>
      </c>
      <c r="I587" s="78" t="inlineStr">
        <is>
          <t>Mr Sunday Osabhue Ebosele</t>
        </is>
      </c>
      <c r="J587" s="80" t="n">
        <v>25000000</v>
      </c>
      <c r="K587" s="78" t="n"/>
      <c r="L587" s="78" t="inlineStr">
        <is>
          <t>Secondary: commission records; no monthly turnover register for this period</t>
        </is>
      </c>
      <c r="M587" s="78" t="inlineStr">
        <is>
          <t>BAAY PROJECTS SALES EXPENSES (COMMISSION) RECORDS (1)</t>
        </is>
      </c>
      <c r="N587" s="78" t="inlineStr">
        <is>
          <t>MD</t>
        </is>
      </c>
      <c r="O587" s="78" t="n">
        <v>106</v>
      </c>
      <c r="P587" s="78" t="inlineStr">
        <is>
          <t>20/01/2025</t>
        </is>
      </c>
      <c r="Q587" s="78" t="inlineStr">
        <is>
          <t>MS SHUBOMI r2</t>
        </is>
      </c>
      <c r="R587" s="78" t="inlineStr">
        <is>
          <t>Commission-record amount: confirm to bank statement (records can aggregate several transfers)</t>
        </is>
      </c>
    </row>
    <row r="588" ht="25" customHeight="1">
      <c r="A588" s="75" t="inlineStr">
        <is>
          <t>SL0565</t>
        </is>
      </c>
      <c r="B588" s="76" t="n">
        <v>45678</v>
      </c>
      <c r="C588" s="75" t="inlineStr">
        <is>
          <t>2025-01</t>
        </is>
      </c>
      <c r="D588" s="75" t="n">
        <v>2025</v>
      </c>
      <c r="E588" s="75" t="inlineStr">
        <is>
          <t>Land</t>
        </is>
      </c>
      <c r="F588" s="75" t="inlineStr">
        <is>
          <t>Plot / unit price</t>
        </is>
      </c>
      <c r="G588" s="75" t="inlineStr">
        <is>
          <t>Land (estate not stated in source)</t>
        </is>
      </c>
      <c r="H588" s="75" t="inlineStr">
        <is>
          <t>BP-C0019</t>
        </is>
      </c>
      <c r="I588" s="75" t="inlineStr">
        <is>
          <t>Mr Ogbu Pius Ejaka</t>
        </is>
      </c>
      <c r="J588" s="77" t="n">
        <v>4500000</v>
      </c>
      <c r="K588" s="75" t="n"/>
      <c r="L588" s="75" t="inlineStr">
        <is>
          <t>Secondary: commission records; no monthly turnover register for this period</t>
        </is>
      </c>
      <c r="M588" s="75" t="inlineStr">
        <is>
          <t>BAAY PROJECTS SALES EXPENSES (COMMISSION) RECORDS (1)</t>
        </is>
      </c>
      <c r="N588" s="75" t="inlineStr">
        <is>
          <t>MS MAYOWA BRAIMOH</t>
        </is>
      </c>
      <c r="O588" s="75" t="n">
        <v>61</v>
      </c>
      <c r="P588" s="75" t="inlineStr">
        <is>
          <t>21/01/2025</t>
        </is>
      </c>
      <c r="Q588" s="75" t="n"/>
      <c r="R588" s="75" t="inlineStr">
        <is>
          <t>Commission-record amount: confirm to bank statement (records can aggregate several transfers)</t>
        </is>
      </c>
    </row>
    <row r="589" ht="25" customHeight="1">
      <c r="A589" s="78" t="inlineStr">
        <is>
          <t>SL0566</t>
        </is>
      </c>
      <c r="B589" s="79" t="n">
        <v>45678</v>
      </c>
      <c r="C589" s="78" t="inlineStr">
        <is>
          <t>2025-01</t>
        </is>
      </c>
      <c r="D589" s="78" t="n">
        <v>2025</v>
      </c>
      <c r="E589" s="78" t="inlineStr">
        <is>
          <t>Housing</t>
        </is>
      </c>
      <c r="F589" s="78" t="inlineStr">
        <is>
          <t>Plot / unit price</t>
        </is>
      </c>
      <c r="G589" s="78" t="inlineStr">
        <is>
          <t>Gorge View Court (GVC Gbagada)</t>
        </is>
      </c>
      <c r="H589" s="78" t="inlineStr">
        <is>
          <t>BP-C0165</t>
        </is>
      </c>
      <c r="I589" s="78" t="inlineStr">
        <is>
          <t>Mr Sunday Osabhue Ebosele</t>
        </is>
      </c>
      <c r="J589" s="80" t="n">
        <v>25000000</v>
      </c>
      <c r="K589" s="78" t="n"/>
      <c r="L589" s="78" t="inlineStr">
        <is>
          <t>Secondary: commission records; no monthly turnover register for this period</t>
        </is>
      </c>
      <c r="M589" s="78" t="inlineStr">
        <is>
          <t>BAAY PROJECTS SALES EXPENSES (COMMISSION) RECORDS (1)</t>
        </is>
      </c>
      <c r="N589" s="78" t="inlineStr">
        <is>
          <t>MD</t>
        </is>
      </c>
      <c r="O589" s="78" t="n">
        <v>107</v>
      </c>
      <c r="P589" s="78" t="inlineStr">
        <is>
          <t>21/01/2025</t>
        </is>
      </c>
      <c r="Q589" s="78" t="inlineStr">
        <is>
          <t>MS SHUBOMI r3</t>
        </is>
      </c>
      <c r="R589" s="78" t="inlineStr">
        <is>
          <t>Commission-record amount: confirm to bank statement (records can aggregate several transfers)</t>
        </is>
      </c>
    </row>
    <row r="590" ht="25" customHeight="1">
      <c r="A590" s="75" t="inlineStr">
        <is>
          <t>SL0567</t>
        </is>
      </c>
      <c r="B590" s="76" t="n">
        <v>45679</v>
      </c>
      <c r="C590" s="75" t="inlineStr">
        <is>
          <t>2025-01</t>
        </is>
      </c>
      <c r="D590" s="75" t="n">
        <v>2025</v>
      </c>
      <c r="E590" s="75" t="inlineStr">
        <is>
          <t>Housing</t>
        </is>
      </c>
      <c r="F590" s="75" t="inlineStr">
        <is>
          <t>Plot / unit price</t>
        </is>
      </c>
      <c r="G590" s="75" t="inlineStr">
        <is>
          <t>Gorge View Court (GVC Gbagada)</t>
        </is>
      </c>
      <c r="H590" s="75" t="inlineStr">
        <is>
          <t>BP-C0165</t>
        </is>
      </c>
      <c r="I590" s="75" t="inlineStr">
        <is>
          <t>Mr Sunday Osabhue Ebosele</t>
        </is>
      </c>
      <c r="J590" s="77" t="n">
        <v>25000000</v>
      </c>
      <c r="K590" s="75" t="n"/>
      <c r="L590" s="75" t="inlineStr">
        <is>
          <t>Secondary: commission records; no monthly turnover register for this period</t>
        </is>
      </c>
      <c r="M590" s="75" t="inlineStr">
        <is>
          <t>BAAY PROJECTS SALES EXPENSES (COMMISSION) RECORDS (1)</t>
        </is>
      </c>
      <c r="N590" s="75" t="inlineStr">
        <is>
          <t>MD</t>
        </is>
      </c>
      <c r="O590" s="75" t="n">
        <v>108</v>
      </c>
      <c r="P590" s="75" t="inlineStr">
        <is>
          <t>22/01/2025</t>
        </is>
      </c>
      <c r="Q590" s="75" t="inlineStr">
        <is>
          <t>MS SHUBOMI r4</t>
        </is>
      </c>
      <c r="R590" s="75" t="inlineStr">
        <is>
          <t>Commission-record amount: confirm to bank statement (records can aggregate several transfers)</t>
        </is>
      </c>
    </row>
    <row r="591" ht="25" customHeight="1">
      <c r="A591" s="78" t="inlineStr">
        <is>
          <t>SL0568</t>
        </is>
      </c>
      <c r="B591" s="79" t="n">
        <v>45680</v>
      </c>
      <c r="C591" s="78" t="inlineStr">
        <is>
          <t>2025-01</t>
        </is>
      </c>
      <c r="D591" s="78" t="n">
        <v>2025</v>
      </c>
      <c r="E591" s="78" t="inlineStr">
        <is>
          <t>Land</t>
        </is>
      </c>
      <c r="F591" s="78" t="inlineStr">
        <is>
          <t>Plot / unit price</t>
        </is>
      </c>
      <c r="G591" s="78" t="inlineStr">
        <is>
          <t>Land (estate not stated in source)</t>
        </is>
      </c>
      <c r="H591" s="78" t="inlineStr">
        <is>
          <t>BP-C0166</t>
        </is>
      </c>
      <c r="I591" s="78" t="inlineStr">
        <is>
          <t>Mr Showande Lateef Olawale</t>
        </is>
      </c>
      <c r="J591" s="80" t="n">
        <v>800000</v>
      </c>
      <c r="K591" s="78" t="n"/>
      <c r="L591" s="78" t="inlineStr">
        <is>
          <t>Secondary: commission records; no monthly turnover register for this period</t>
        </is>
      </c>
      <c r="M591" s="78" t="inlineStr">
        <is>
          <t>BAAY PROJECTS SALES EXPENSES (COMMISSION) RECORDS (1)</t>
        </is>
      </c>
      <c r="N591" s="78" t="inlineStr">
        <is>
          <t>OGIDAN</t>
        </is>
      </c>
      <c r="O591" s="78" t="n">
        <v>50</v>
      </c>
      <c r="P591" s="78" t="inlineStr">
        <is>
          <t>23/01/2025</t>
        </is>
      </c>
      <c r="Q591" s="78" t="n"/>
      <c r="R591" s="78" t="inlineStr">
        <is>
          <t>Commission-record amount: confirm to bank statement (records can aggregate several transfers)</t>
        </is>
      </c>
    </row>
    <row r="592" ht="25" customHeight="1">
      <c r="A592" s="75" t="inlineStr">
        <is>
          <t>SL0569</t>
        </is>
      </c>
      <c r="B592" s="76" t="n">
        <v>45680</v>
      </c>
      <c r="C592" s="75" t="inlineStr">
        <is>
          <t>2025-01</t>
        </is>
      </c>
      <c r="D592" s="75" t="n">
        <v>2025</v>
      </c>
      <c r="E592" s="75" t="inlineStr">
        <is>
          <t>Housing</t>
        </is>
      </c>
      <c r="F592" s="75" t="inlineStr">
        <is>
          <t>Plot / unit price</t>
        </is>
      </c>
      <c r="G592" s="75" t="inlineStr">
        <is>
          <t>Gorge View Court (GVC Gbagada)</t>
        </is>
      </c>
      <c r="H592" s="75" t="inlineStr">
        <is>
          <t>BP-C0165</t>
        </is>
      </c>
      <c r="I592" s="75" t="inlineStr">
        <is>
          <t>Mr Sunday Osabhue Ebosele</t>
        </is>
      </c>
      <c r="J592" s="77" t="n">
        <v>25000000</v>
      </c>
      <c r="K592" s="75" t="n"/>
      <c r="L592" s="75" t="inlineStr">
        <is>
          <t>Secondary: commission records; no monthly turnover register for this period</t>
        </is>
      </c>
      <c r="M592" s="75" t="inlineStr">
        <is>
          <t>BAAY PROJECTS SALES EXPENSES (COMMISSION) RECORDS (1)</t>
        </is>
      </c>
      <c r="N592" s="75" t="inlineStr">
        <is>
          <t>MD</t>
        </is>
      </c>
      <c r="O592" s="75" t="n">
        <v>109</v>
      </c>
      <c r="P592" s="75" t="inlineStr">
        <is>
          <t>23/01/2025</t>
        </is>
      </c>
      <c r="Q592" s="75" t="inlineStr">
        <is>
          <t>MS SHUBOMI r5</t>
        </is>
      </c>
      <c r="R592" s="75" t="inlineStr">
        <is>
          <t>Commission-record amount: confirm to bank statement (records can aggregate several transfers)</t>
        </is>
      </c>
    </row>
    <row r="593" ht="25" customHeight="1">
      <c r="A593" s="78" t="inlineStr">
        <is>
          <t>SL0570</t>
        </is>
      </c>
      <c r="B593" s="79" t="n">
        <v>45681</v>
      </c>
      <c r="C593" s="78" t="inlineStr">
        <is>
          <t>2025-01</t>
        </is>
      </c>
      <c r="D593" s="78" t="n">
        <v>2025</v>
      </c>
      <c r="E593" s="78" t="inlineStr">
        <is>
          <t>Land</t>
        </is>
      </c>
      <c r="F593" s="78" t="inlineStr">
        <is>
          <t>Plot / unit price</t>
        </is>
      </c>
      <c r="G593" s="78" t="inlineStr">
        <is>
          <t>Land (estate not stated in source)</t>
        </is>
      </c>
      <c r="H593" s="78" t="inlineStr">
        <is>
          <t>BP-C0030</t>
        </is>
      </c>
      <c r="I593" s="78" t="inlineStr">
        <is>
          <t>Mr Adese Akorede John</t>
        </is>
      </c>
      <c r="J593" s="80" t="n">
        <v>500000</v>
      </c>
      <c r="K593" s="78" t="n"/>
      <c r="L593" s="78" t="inlineStr">
        <is>
          <t>Secondary: commission records; no monthly turnover register for this period</t>
        </is>
      </c>
      <c r="M593" s="78" t="inlineStr">
        <is>
          <t>BAAY PROJECTS SALES EXPENSES (COMMISSION) RECORDS (1)</t>
        </is>
      </c>
      <c r="N593" s="78" t="inlineStr">
        <is>
          <t>MD</t>
        </is>
      </c>
      <c r="O593" s="78" t="n">
        <v>111</v>
      </c>
      <c r="P593" s="78" t="inlineStr">
        <is>
          <t>24/01/2025</t>
        </is>
      </c>
      <c r="Q593" s="78" t="n"/>
      <c r="R593" s="78" t="inlineStr">
        <is>
          <t>Commission-record amount: confirm to bank statement (records can aggregate several transfers)</t>
        </is>
      </c>
    </row>
    <row r="594" ht="25" customHeight="1">
      <c r="A594" s="75" t="inlineStr">
        <is>
          <t>SL0571</t>
        </is>
      </c>
      <c r="B594" s="76" t="n">
        <v>45681</v>
      </c>
      <c r="C594" s="75" t="inlineStr">
        <is>
          <t>2025-01</t>
        </is>
      </c>
      <c r="D594" s="75" t="n">
        <v>2025</v>
      </c>
      <c r="E594" s="75" t="inlineStr">
        <is>
          <t>Housing</t>
        </is>
      </c>
      <c r="F594" s="75" t="inlineStr">
        <is>
          <t>Plot / unit price</t>
        </is>
      </c>
      <c r="G594" s="75" t="inlineStr">
        <is>
          <t>Gorge View Court (GVC Gbagada)</t>
        </is>
      </c>
      <c r="H594" s="75" t="inlineStr">
        <is>
          <t>BP-C0165</t>
        </is>
      </c>
      <c r="I594" s="75" t="inlineStr">
        <is>
          <t>Mr Sunday Osabhue Ebosele</t>
        </is>
      </c>
      <c r="J594" s="77" t="n">
        <v>25000000</v>
      </c>
      <c r="K594" s="75" t="n"/>
      <c r="L594" s="75" t="inlineStr">
        <is>
          <t>Secondary: commission records; no monthly turnover register for this period</t>
        </is>
      </c>
      <c r="M594" s="75" t="inlineStr">
        <is>
          <t>BAAY PROJECTS SALES EXPENSES (COMMISSION) RECORDS (1)</t>
        </is>
      </c>
      <c r="N594" s="75" t="inlineStr">
        <is>
          <t>MS SHUBOMI</t>
        </is>
      </c>
      <c r="O594" s="75" t="n">
        <v>6</v>
      </c>
      <c r="P594" s="75" t="inlineStr">
        <is>
          <t>24/01/2025</t>
        </is>
      </c>
      <c r="Q594" s="75" t="n"/>
      <c r="R594" s="75" t="inlineStr">
        <is>
          <t>Commission-record amount: confirm to bank statement (records can aggregate several transfers)</t>
        </is>
      </c>
    </row>
    <row r="595" ht="25" customHeight="1">
      <c r="A595" s="78" t="inlineStr">
        <is>
          <t>SL0572</t>
        </is>
      </c>
      <c r="B595" s="79" t="n">
        <v>45682</v>
      </c>
      <c r="C595" s="78" t="inlineStr">
        <is>
          <t>2025-01</t>
        </is>
      </c>
      <c r="D595" s="78" t="n">
        <v>2025</v>
      </c>
      <c r="E595" s="78" t="inlineStr">
        <is>
          <t>Land</t>
        </is>
      </c>
      <c r="F595" s="78" t="inlineStr">
        <is>
          <t>Plot / unit price</t>
        </is>
      </c>
      <c r="G595" s="78" t="inlineStr">
        <is>
          <t>Land (estate not stated in source)</t>
        </is>
      </c>
      <c r="H595" s="78" t="inlineStr">
        <is>
          <t>BP-C0136</t>
        </is>
      </c>
      <c r="I595" s="78" t="inlineStr">
        <is>
          <t>Mr Isibor Godwin</t>
        </is>
      </c>
      <c r="J595" s="80" t="n">
        <v>450000</v>
      </c>
      <c r="K595" s="78" t="n"/>
      <c r="L595" s="78" t="inlineStr">
        <is>
          <t>Secondary: commission records; no monthly turnover register for this period</t>
        </is>
      </c>
      <c r="M595" s="78" t="inlineStr">
        <is>
          <t>BAAY PROJECTS SALES EXPENSES (COMMISSION) RECORDS (1)</t>
        </is>
      </c>
      <c r="N595" s="78" t="inlineStr">
        <is>
          <t>MS TOBI AJAYI</t>
        </is>
      </c>
      <c r="O595" s="78" t="n">
        <v>51</v>
      </c>
      <c r="P595" s="78" t="inlineStr">
        <is>
          <t>25/01/2025</t>
        </is>
      </c>
      <c r="Q595" s="78" t="n"/>
      <c r="R595" s="78" t="inlineStr">
        <is>
          <t>Commission-record amount: confirm to bank statement (records can aggregate several transfers)</t>
        </is>
      </c>
    </row>
    <row r="596" ht="25" customHeight="1">
      <c r="A596" s="75" t="inlineStr">
        <is>
          <t>SL0573</t>
        </is>
      </c>
      <c r="B596" s="76" t="n">
        <v>45682</v>
      </c>
      <c r="C596" s="75" t="inlineStr">
        <is>
          <t>2025-01</t>
        </is>
      </c>
      <c r="D596" s="75" t="n">
        <v>2025</v>
      </c>
      <c r="E596" s="75" t="inlineStr">
        <is>
          <t>Housing</t>
        </is>
      </c>
      <c r="F596" s="75" t="inlineStr">
        <is>
          <t>Plot / unit price</t>
        </is>
      </c>
      <c r="G596" s="75" t="inlineStr">
        <is>
          <t>Gorge View Court (GVC Gbagada)</t>
        </is>
      </c>
      <c r="H596" s="75" t="inlineStr">
        <is>
          <t>BP-C0165</t>
        </is>
      </c>
      <c r="I596" s="75" t="inlineStr">
        <is>
          <t>Mr Sunday Osabhue Ebosele</t>
        </is>
      </c>
      <c r="J596" s="77" t="n">
        <v>25000000</v>
      </c>
      <c r="K596" s="75" t="n"/>
      <c r="L596" s="75" t="inlineStr">
        <is>
          <t>Secondary: commission records; no monthly turnover register for this period</t>
        </is>
      </c>
      <c r="M596" s="75" t="inlineStr">
        <is>
          <t>BAAY PROJECTS SALES EXPENSES (COMMISSION) RECORDS (1)</t>
        </is>
      </c>
      <c r="N596" s="75" t="inlineStr">
        <is>
          <t>MS SHUBOMI</t>
        </is>
      </c>
      <c r="O596" s="75" t="n">
        <v>7</v>
      </c>
      <c r="P596" s="75" t="inlineStr">
        <is>
          <t>25/01/2025</t>
        </is>
      </c>
      <c r="Q596" s="75" t="inlineStr">
        <is>
          <t>MD r121</t>
        </is>
      </c>
      <c r="R596" s="75" t="inlineStr">
        <is>
          <t>Commission-record amount: confirm to bank statement (records can aggregate several transfers)</t>
        </is>
      </c>
    </row>
    <row r="597" ht="25" customHeight="1">
      <c r="A597" s="78" t="inlineStr">
        <is>
          <t>SL0574</t>
        </is>
      </c>
      <c r="B597" s="79" t="n">
        <v>45683</v>
      </c>
      <c r="C597" s="78" t="inlineStr">
        <is>
          <t>2025-01</t>
        </is>
      </c>
      <c r="D597" s="78" t="n">
        <v>2025</v>
      </c>
      <c r="E597" s="78" t="inlineStr">
        <is>
          <t>Housing</t>
        </is>
      </c>
      <c r="F597" s="78" t="inlineStr">
        <is>
          <t>Plot / unit price</t>
        </is>
      </c>
      <c r="G597" s="78" t="inlineStr">
        <is>
          <t>Gorge View Court (GVC Gbagada)</t>
        </is>
      </c>
      <c r="H597" s="78" t="inlineStr">
        <is>
          <t>BP-C0165</t>
        </is>
      </c>
      <c r="I597" s="78" t="inlineStr">
        <is>
          <t>Mr Sunday Osabhue Ebosele</t>
        </is>
      </c>
      <c r="J597" s="80" t="n">
        <v>20000000</v>
      </c>
      <c r="K597" s="78" t="n"/>
      <c r="L597" s="78" t="inlineStr">
        <is>
          <t>Secondary: commission records; no monthly turnover register for this period</t>
        </is>
      </c>
      <c r="M597" s="78" t="inlineStr">
        <is>
          <t>BAAY PROJECTS SALES EXPENSES (COMMISSION) RECORDS (1)</t>
        </is>
      </c>
      <c r="N597" s="78" t="inlineStr">
        <is>
          <t>MS SHUBOMI</t>
        </is>
      </c>
      <c r="O597" s="78" t="n">
        <v>8</v>
      </c>
      <c r="P597" s="78" t="inlineStr">
        <is>
          <t>26/01/2025</t>
        </is>
      </c>
      <c r="Q597" s="78" t="n"/>
      <c r="R597" s="78" t="inlineStr">
        <is>
          <t>Commission-record amount: confirm to bank statement (records can aggregate several transfers)</t>
        </is>
      </c>
    </row>
    <row r="598" ht="25" customHeight="1">
      <c r="A598" s="75" t="inlineStr">
        <is>
          <t>SL0575</t>
        </is>
      </c>
      <c r="B598" s="76" t="n">
        <v>45685</v>
      </c>
      <c r="C598" s="75" t="inlineStr">
        <is>
          <t>2025-01</t>
        </is>
      </c>
      <c r="D598" s="75" t="n">
        <v>2025</v>
      </c>
      <c r="E598" s="75" t="inlineStr">
        <is>
          <t>Land</t>
        </is>
      </c>
      <c r="F598" s="75" t="inlineStr">
        <is>
          <t>Plot / unit price</t>
        </is>
      </c>
      <c r="G598" s="75" t="inlineStr">
        <is>
          <t>Land (estate not stated in source)</t>
        </is>
      </c>
      <c r="H598" s="75" t="inlineStr">
        <is>
          <t>BP-C0159</t>
        </is>
      </c>
      <c r="I598" s="75" t="inlineStr">
        <is>
          <t>Miss Etefe Ava Ogheneyorhe</t>
        </is>
      </c>
      <c r="J598" s="77" t="n">
        <v>200000</v>
      </c>
      <c r="K598" s="75" t="n"/>
      <c r="L598" s="75" t="inlineStr">
        <is>
          <t>Secondary: commission records; no monthly turnover register for this period</t>
        </is>
      </c>
      <c r="M598" s="75" t="inlineStr">
        <is>
          <t>BAAY PROJECTS SALES EXPENSES (COMMISSION) RECORDS (1)</t>
        </is>
      </c>
      <c r="N598" s="75" t="inlineStr">
        <is>
          <t>MS ELIZABETH</t>
        </is>
      </c>
      <c r="O598" s="75" t="n">
        <v>63</v>
      </c>
      <c r="P598" s="75" t="inlineStr">
        <is>
          <t>28/01/2025</t>
        </is>
      </c>
      <c r="Q598" s="75" t="n"/>
      <c r="R598" s="75" t="inlineStr">
        <is>
          <t>Commission-record amount: confirm to bank statement (records can aggregate several transfers)</t>
        </is>
      </c>
    </row>
    <row r="599" ht="25" customHeight="1">
      <c r="A599" s="78" t="inlineStr">
        <is>
          <t>SL0576</t>
        </is>
      </c>
      <c r="B599" s="79" t="n">
        <v>45685</v>
      </c>
      <c r="C599" s="78" t="inlineStr">
        <is>
          <t>2025-01</t>
        </is>
      </c>
      <c r="D599" s="78" t="n">
        <v>2025</v>
      </c>
      <c r="E599" s="78" t="inlineStr">
        <is>
          <t>Land</t>
        </is>
      </c>
      <c r="F599" s="78" t="inlineStr">
        <is>
          <t>Plot / unit price</t>
        </is>
      </c>
      <c r="G599" s="78" t="inlineStr">
        <is>
          <t>Land (estate not stated in source)</t>
        </is>
      </c>
      <c r="H599" s="78" t="inlineStr">
        <is>
          <t>BP-C0127</t>
        </is>
      </c>
      <c r="I599" s="78" t="inlineStr">
        <is>
          <t>Mr Adigun Muyiwa &amp; Mrs Adigun Folashade Oluwaseun</t>
        </is>
      </c>
      <c r="J599" s="80" t="n">
        <v>700000</v>
      </c>
      <c r="K599" s="78" t="n"/>
      <c r="L599" s="78" t="inlineStr">
        <is>
          <t>Secondary: commission records; no monthly turnover register for this period</t>
        </is>
      </c>
      <c r="M599" s="78" t="inlineStr">
        <is>
          <t>BAAY PROJECTS SALES EXPENSES (COMMISSION) RECORDS (1)</t>
        </is>
      </c>
      <c r="N599" s="78" t="inlineStr">
        <is>
          <t>MR AYENI MAYOWA</t>
        </is>
      </c>
      <c r="O599" s="78" t="n">
        <v>22</v>
      </c>
      <c r="P599" s="78" t="inlineStr">
        <is>
          <t>28/01/2025</t>
        </is>
      </c>
      <c r="Q599" s="78" t="n"/>
      <c r="R599" s="78" t="inlineStr">
        <is>
          <t>Commission-record amount: confirm to bank statement (records can aggregate several transfers)</t>
        </is>
      </c>
    </row>
    <row r="600" ht="25" customHeight="1">
      <c r="A600" s="75" t="inlineStr">
        <is>
          <t>SL0577</t>
        </is>
      </c>
      <c r="B600" s="76" t="n">
        <v>45686</v>
      </c>
      <c r="C600" s="75" t="inlineStr">
        <is>
          <t>2025-01</t>
        </is>
      </c>
      <c r="D600" s="75" t="n">
        <v>2025</v>
      </c>
      <c r="E600" s="75" t="inlineStr">
        <is>
          <t>Land</t>
        </is>
      </c>
      <c r="F600" s="75" t="inlineStr">
        <is>
          <t>Plot / unit price</t>
        </is>
      </c>
      <c r="G600" s="75" t="inlineStr">
        <is>
          <t>Land (estate not stated in source)</t>
        </is>
      </c>
      <c r="H600" s="75" t="inlineStr">
        <is>
          <t>BP-C0167</t>
        </is>
      </c>
      <c r="I600" s="75" t="inlineStr">
        <is>
          <t>Mr Uneze Grant Chetana</t>
        </is>
      </c>
      <c r="J600" s="77" t="n">
        <v>500000</v>
      </c>
      <c r="K600" s="75" t="n"/>
      <c r="L600" s="75" t="inlineStr">
        <is>
          <t>Secondary: commission records; no monthly turnover register for this period</t>
        </is>
      </c>
      <c r="M600" s="75" t="inlineStr">
        <is>
          <t>BAAY PROJECTS SALES EXPENSES (COMMISSION) RECORDS (1)</t>
        </is>
      </c>
      <c r="N600" s="75" t="inlineStr">
        <is>
          <t>MS SAMUELLA</t>
        </is>
      </c>
      <c r="O600" s="75" t="n">
        <v>11</v>
      </c>
      <c r="P600" s="75" t="inlineStr">
        <is>
          <t>29/01/2025</t>
        </is>
      </c>
      <c r="Q600" s="75" t="n"/>
      <c r="R600" s="75" t="inlineStr">
        <is>
          <t>Commission-record amount: confirm to bank statement (records can aggregate several transfers)</t>
        </is>
      </c>
    </row>
    <row r="601" ht="25" customHeight="1">
      <c r="A601" s="78" t="inlineStr">
        <is>
          <t>SL0578</t>
        </is>
      </c>
      <c r="B601" s="79" t="n">
        <v>45687</v>
      </c>
      <c r="C601" s="78" t="inlineStr">
        <is>
          <t>2025-01</t>
        </is>
      </c>
      <c r="D601" s="78" t="n">
        <v>2025</v>
      </c>
      <c r="E601" s="78" t="inlineStr">
        <is>
          <t>Land</t>
        </is>
      </c>
      <c r="F601" s="78" t="inlineStr">
        <is>
          <t>Plot / unit price</t>
        </is>
      </c>
      <c r="G601" s="78" t="inlineStr">
        <is>
          <t>Land (estate not stated in source)</t>
        </is>
      </c>
      <c r="H601" s="78" t="inlineStr">
        <is>
          <t>BP-C0153</t>
        </is>
      </c>
      <c r="I601" s="78" t="inlineStr">
        <is>
          <t>Miss Ademakinwa Abosede Wuraola</t>
        </is>
      </c>
      <c r="J601" s="80" t="n">
        <v>753000</v>
      </c>
      <c r="K601" s="78" t="n"/>
      <c r="L601" s="78" t="inlineStr">
        <is>
          <t>Secondary: commission records; no monthly turnover register for this period</t>
        </is>
      </c>
      <c r="M601" s="78" t="inlineStr">
        <is>
          <t>BAAY PROJECTS SALES EXPENSES (COMMISSION) RECORDS (1)</t>
        </is>
      </c>
      <c r="N601" s="78" t="inlineStr">
        <is>
          <t>MS TAIWO</t>
        </is>
      </c>
      <c r="O601" s="78" t="n">
        <v>75</v>
      </c>
      <c r="P601" s="78" t="inlineStr">
        <is>
          <t>30/01/2025</t>
        </is>
      </c>
      <c r="Q601" s="78" t="n"/>
      <c r="R601" s="78" t="inlineStr">
        <is>
          <t>Commission-record amount: confirm to bank statement (records can aggregate several transfers)</t>
        </is>
      </c>
    </row>
    <row r="602" ht="25" customHeight="1">
      <c r="A602" s="75" t="inlineStr">
        <is>
          <t>SL0579</t>
        </is>
      </c>
      <c r="B602" s="76" t="n">
        <v>45687</v>
      </c>
      <c r="C602" s="75" t="inlineStr">
        <is>
          <t>2025-01</t>
        </is>
      </c>
      <c r="D602" s="75" t="n">
        <v>2025</v>
      </c>
      <c r="E602" s="75" t="inlineStr">
        <is>
          <t>Land</t>
        </is>
      </c>
      <c r="F602" s="75" t="inlineStr">
        <is>
          <t>Plot / unit price</t>
        </is>
      </c>
      <c r="G602" s="75" t="inlineStr">
        <is>
          <t>Land (estate not stated in source)</t>
        </is>
      </c>
      <c r="H602" s="75" t="inlineStr">
        <is>
          <t>BP-C0154</t>
        </is>
      </c>
      <c r="I602" s="75" t="inlineStr">
        <is>
          <t>Mr Adepoju Adewale Emmanuel</t>
        </is>
      </c>
      <c r="J602" s="77" t="n">
        <v>1600000</v>
      </c>
      <c r="K602" s="75" t="n"/>
      <c r="L602" s="75" t="inlineStr">
        <is>
          <t>Secondary: commission records; no monthly turnover register for this period</t>
        </is>
      </c>
      <c r="M602" s="75" t="inlineStr">
        <is>
          <t>BAAY PROJECTS SALES EXPENSES (COMMISSION) RECORDS (1)</t>
        </is>
      </c>
      <c r="N602" s="75" t="inlineStr">
        <is>
          <t>MS TAIWO</t>
        </is>
      </c>
      <c r="O602" s="75" t="n">
        <v>64</v>
      </c>
      <c r="P602" s="75" t="inlineStr">
        <is>
          <t>30/01/2025</t>
        </is>
      </c>
      <c r="Q602" s="75" t="n"/>
      <c r="R602" s="75" t="inlineStr">
        <is>
          <t>Commission-record amount: confirm to bank statement (records can aggregate several transfers)</t>
        </is>
      </c>
    </row>
    <row r="603" ht="25" customHeight="1">
      <c r="A603" s="78" t="inlineStr">
        <is>
          <t>SL0580</t>
        </is>
      </c>
      <c r="B603" s="79" t="n">
        <v>45687</v>
      </c>
      <c r="C603" s="78" t="inlineStr">
        <is>
          <t>2025-01</t>
        </is>
      </c>
      <c r="D603" s="78" t="n">
        <v>2025</v>
      </c>
      <c r="E603" s="78" t="inlineStr">
        <is>
          <t>Land</t>
        </is>
      </c>
      <c r="F603" s="78" t="inlineStr">
        <is>
          <t>Plot / unit price</t>
        </is>
      </c>
      <c r="G603" s="78" t="inlineStr">
        <is>
          <t>Land (estate not stated in source)</t>
        </is>
      </c>
      <c r="H603" s="78" t="inlineStr">
        <is>
          <t>BP-C0155</t>
        </is>
      </c>
      <c r="I603" s="78" t="inlineStr">
        <is>
          <t>Mr Adeyanju Adebayo Samson</t>
        </is>
      </c>
      <c r="J603" s="80" t="n">
        <v>800000</v>
      </c>
      <c r="K603" s="78" t="n"/>
      <c r="L603" s="78" t="inlineStr">
        <is>
          <t>Secondary: commission records; no monthly turnover register for this period</t>
        </is>
      </c>
      <c r="M603" s="78" t="inlineStr">
        <is>
          <t>BAAY PROJECTS SALES EXPENSES (COMMISSION) RECORDS (1)</t>
        </is>
      </c>
      <c r="N603" s="78" t="inlineStr">
        <is>
          <t>MS TAIWO</t>
        </is>
      </c>
      <c r="O603" s="78" t="n">
        <v>66</v>
      </c>
      <c r="P603" s="78" t="inlineStr">
        <is>
          <t>30/01/2025</t>
        </is>
      </c>
      <c r="Q603" s="78" t="n"/>
      <c r="R603" s="78" t="inlineStr">
        <is>
          <t>Commission-record amount: confirm to bank statement (records can aggregate several transfers)</t>
        </is>
      </c>
    </row>
    <row r="604" ht="25" customHeight="1">
      <c r="A604" s="75" t="inlineStr">
        <is>
          <t>SL0581</t>
        </is>
      </c>
      <c r="B604" s="76" t="n">
        <v>45687</v>
      </c>
      <c r="C604" s="75" t="inlineStr">
        <is>
          <t>2025-01</t>
        </is>
      </c>
      <c r="D604" s="75" t="n">
        <v>2025</v>
      </c>
      <c r="E604" s="75" t="inlineStr">
        <is>
          <t>Land</t>
        </is>
      </c>
      <c r="F604" s="75" t="inlineStr">
        <is>
          <t>Plot / unit price</t>
        </is>
      </c>
      <c r="G604" s="75" t="inlineStr">
        <is>
          <t>Land (estate not stated in source)</t>
        </is>
      </c>
      <c r="H604" s="75" t="inlineStr">
        <is>
          <t>BP-C0148</t>
        </is>
      </c>
      <c r="I604" s="75" t="inlineStr">
        <is>
          <t>Mr Akinsete Michael</t>
        </is>
      </c>
      <c r="J604" s="77" t="n">
        <v>808400</v>
      </c>
      <c r="K604" s="75" t="n"/>
      <c r="L604" s="75" t="inlineStr">
        <is>
          <t>Secondary: commission records; no monthly turnover register for this period</t>
        </is>
      </c>
      <c r="M604" s="75" t="inlineStr">
        <is>
          <t>BAAY PROJECTS SALES EXPENSES (COMMISSION) RECORDS (1)</t>
        </is>
      </c>
      <c r="N604" s="75" t="inlineStr">
        <is>
          <t>MD</t>
        </is>
      </c>
      <c r="O604" s="75" t="n">
        <v>120</v>
      </c>
      <c r="P604" s="75" t="inlineStr">
        <is>
          <t>30/01/2025</t>
        </is>
      </c>
      <c r="Q604" s="75" t="n"/>
      <c r="R604" s="75" t="inlineStr">
        <is>
          <t>Commission-record amount: confirm to bank statement (records can aggregate several transfers)</t>
        </is>
      </c>
    </row>
    <row r="605" ht="25" customHeight="1">
      <c r="A605" s="78" t="inlineStr">
        <is>
          <t>SL0582</t>
        </is>
      </c>
      <c r="B605" s="79" t="n">
        <v>45687</v>
      </c>
      <c r="C605" s="78" t="inlineStr">
        <is>
          <t>2025-01</t>
        </is>
      </c>
      <c r="D605" s="78" t="n">
        <v>2025</v>
      </c>
      <c r="E605" s="78" t="inlineStr">
        <is>
          <t>Land</t>
        </is>
      </c>
      <c r="F605" s="78" t="inlineStr">
        <is>
          <t>Plot / unit price</t>
        </is>
      </c>
      <c r="G605" s="78" t="inlineStr">
        <is>
          <t>Land (estate not stated in source)</t>
        </is>
      </c>
      <c r="H605" s="78" t="inlineStr">
        <is>
          <t>BP-C0167</t>
        </is>
      </c>
      <c r="I605" s="78" t="inlineStr">
        <is>
          <t>Mr Uneze Grant Chetana</t>
        </is>
      </c>
      <c r="J605" s="80" t="n">
        <v>500000</v>
      </c>
      <c r="K605" s="78" t="n"/>
      <c r="L605" s="78" t="inlineStr">
        <is>
          <t>Secondary: commission records; no monthly turnover register for this period</t>
        </is>
      </c>
      <c r="M605" s="78" t="inlineStr">
        <is>
          <t>BAAY PROJECTS SALES EXPENSES (COMMISSION) RECORDS (1)</t>
        </is>
      </c>
      <c r="N605" s="78" t="inlineStr">
        <is>
          <t>MS SAMUELLA</t>
        </is>
      </c>
      <c r="O605" s="78" t="n">
        <v>12</v>
      </c>
      <c r="P605" s="78" t="inlineStr">
        <is>
          <t>30/01/2025</t>
        </is>
      </c>
      <c r="Q605" s="78" t="n"/>
      <c r="R605" s="78" t="inlineStr">
        <is>
          <t>Commission-record amount: confirm to bank statement (records can aggregate several transfers)</t>
        </is>
      </c>
    </row>
    <row r="606" ht="25" customHeight="1">
      <c r="A606" s="75" t="inlineStr">
        <is>
          <t>SL0583</t>
        </is>
      </c>
      <c r="B606" s="76" t="n">
        <v>45687</v>
      </c>
      <c r="C606" s="75" t="inlineStr">
        <is>
          <t>2025-01</t>
        </is>
      </c>
      <c r="D606" s="75" t="n">
        <v>2025</v>
      </c>
      <c r="E606" s="75" t="inlineStr">
        <is>
          <t>Land</t>
        </is>
      </c>
      <c r="F606" s="75" t="inlineStr">
        <is>
          <t>Plot / unit price</t>
        </is>
      </c>
      <c r="G606" s="75" t="inlineStr">
        <is>
          <t>Land (estate not stated in source)</t>
        </is>
      </c>
      <c r="H606" s="75" t="inlineStr">
        <is>
          <t>BP-C0157</t>
        </is>
      </c>
      <c r="I606" s="75" t="inlineStr">
        <is>
          <t>Mrs Adepoju Adebola Adeniran</t>
        </is>
      </c>
      <c r="J606" s="77" t="n">
        <v>1600000</v>
      </c>
      <c r="K606" s="75" t="n"/>
      <c r="L606" s="75" t="inlineStr">
        <is>
          <t>Secondary: commission records; no monthly turnover register for this period</t>
        </is>
      </c>
      <c r="M606" s="75" t="inlineStr">
        <is>
          <t>BAAY PROJECTS SALES EXPENSES (COMMISSION) RECORDS (1)</t>
        </is>
      </c>
      <c r="N606" s="75" t="inlineStr">
        <is>
          <t>MS TAIWO</t>
        </is>
      </c>
      <c r="O606" s="75" t="n">
        <v>65</v>
      </c>
      <c r="P606" s="75" t="inlineStr">
        <is>
          <t>30/01/2025</t>
        </is>
      </c>
      <c r="Q606" s="75" t="n"/>
      <c r="R606" s="75" t="inlineStr">
        <is>
          <t>Commission-record amount: confirm to bank statement (records can aggregate several transfers)</t>
        </is>
      </c>
    </row>
    <row r="607" ht="25" customHeight="1">
      <c r="A607" s="78" t="inlineStr">
        <is>
          <t>SL0584</t>
        </is>
      </c>
      <c r="B607" s="79" t="n">
        <v>45687</v>
      </c>
      <c r="C607" s="78" t="inlineStr">
        <is>
          <t>2025-01</t>
        </is>
      </c>
      <c r="D607" s="78" t="n">
        <v>2025</v>
      </c>
      <c r="E607" s="78" t="inlineStr">
        <is>
          <t>Land</t>
        </is>
      </c>
      <c r="F607" s="78" t="inlineStr">
        <is>
          <t>Plot / unit price</t>
        </is>
      </c>
      <c r="G607" s="78" t="inlineStr">
        <is>
          <t>Land (estate not stated in source)</t>
        </is>
      </c>
      <c r="H607" s="78" t="inlineStr">
        <is>
          <t>BP-C0130</t>
        </is>
      </c>
      <c r="I607" s="78" t="inlineStr">
        <is>
          <t>Mrs Akindele Felicia Oluwatoyin</t>
        </is>
      </c>
      <c r="J607" s="80" t="n">
        <v>50000</v>
      </c>
      <c r="K607" s="78" t="n"/>
      <c r="L607" s="78" t="inlineStr">
        <is>
          <t>Secondary: commission records; no monthly turnover register for this period</t>
        </is>
      </c>
      <c r="M607" s="78" t="inlineStr">
        <is>
          <t>BAAY PROJECTS SALES EXPENSES (COMMISSION) RECORDS (1)</t>
        </is>
      </c>
      <c r="N607" s="78" t="inlineStr">
        <is>
          <t>MS FISAYO</t>
        </is>
      </c>
      <c r="O607" s="78" t="n">
        <v>69</v>
      </c>
      <c r="P607" s="78" t="inlineStr">
        <is>
          <t>30/01/2025</t>
        </is>
      </c>
      <c r="Q607" s="78" t="n"/>
      <c r="R607" s="78" t="inlineStr">
        <is>
          <t>Commission-record amount: confirm to bank statement (records can aggregate several transfers)</t>
        </is>
      </c>
    </row>
    <row r="608" ht="25" customHeight="1">
      <c r="A608" s="75" t="inlineStr">
        <is>
          <t>SL0585</t>
        </is>
      </c>
      <c r="B608" s="76" t="n">
        <v>45687</v>
      </c>
      <c r="C608" s="75" t="inlineStr">
        <is>
          <t>2025-01</t>
        </is>
      </c>
      <c r="D608" s="75" t="n">
        <v>2025</v>
      </c>
      <c r="E608" s="75" t="inlineStr">
        <is>
          <t>Housing</t>
        </is>
      </c>
      <c r="F608" s="75" t="inlineStr">
        <is>
          <t>Plot / unit price</t>
        </is>
      </c>
      <c r="G608" s="75" t="inlineStr">
        <is>
          <t>Pacific Apartment</t>
        </is>
      </c>
      <c r="H608" s="75" t="inlineStr">
        <is>
          <t>BP-C0143</t>
        </is>
      </c>
      <c r="I608" s="75" t="inlineStr">
        <is>
          <t>Mrs Oyindamola Duntoye Adekunle</t>
        </is>
      </c>
      <c r="J608" s="77" t="n">
        <v>4750000</v>
      </c>
      <c r="K608" s="75" t="n"/>
      <c r="L608" s="75" t="inlineStr">
        <is>
          <t>Secondary: commission records; no monthly turnover register for this period</t>
        </is>
      </c>
      <c r="M608" s="75" t="inlineStr">
        <is>
          <t>BAAY PROJECTS SALES EXPENSES (COMMISSION) RECORDS (1)</t>
        </is>
      </c>
      <c r="N608" s="75" t="inlineStr">
        <is>
          <t>MAMA ADEBIMPE</t>
        </is>
      </c>
      <c r="O608" s="75" t="n">
        <v>93</v>
      </c>
      <c r="P608" s="75" t="inlineStr">
        <is>
          <t>30/01/2025</t>
        </is>
      </c>
      <c r="Q608" s="75" t="n"/>
      <c r="R608" s="75" t="inlineStr">
        <is>
          <t>Commission-record amount: confirm to bank statement (records can aggregate several transfers)</t>
        </is>
      </c>
    </row>
    <row r="609" ht="25" customHeight="1">
      <c r="A609" s="78" t="inlineStr">
        <is>
          <t>SL0586</t>
        </is>
      </c>
      <c r="B609" s="79" t="n">
        <v>45687</v>
      </c>
      <c r="C609" s="78" t="inlineStr">
        <is>
          <t>2025-01</t>
        </is>
      </c>
      <c r="D609" s="78" t="n">
        <v>2025</v>
      </c>
      <c r="E609" s="78" t="inlineStr">
        <is>
          <t>Land</t>
        </is>
      </c>
      <c r="F609" s="78" t="inlineStr">
        <is>
          <t>Plot / unit price</t>
        </is>
      </c>
      <c r="G609" s="78" t="inlineStr">
        <is>
          <t>Land (estate not stated in source)</t>
        </is>
      </c>
      <c r="H609" s="78" t="inlineStr">
        <is>
          <t>BP-C0151</t>
        </is>
      </c>
      <c r="I609" s="78" t="inlineStr">
        <is>
          <t>Mrs Shotonwa Olamide Abosede</t>
        </is>
      </c>
      <c r="J609" s="80" t="n">
        <v>1000000</v>
      </c>
      <c r="K609" s="78" t="n"/>
      <c r="L609" s="78" t="inlineStr">
        <is>
          <t>Secondary: commission records; no monthly turnover register for this period</t>
        </is>
      </c>
      <c r="M609" s="78" t="inlineStr">
        <is>
          <t>BAAY PROJECTS SALES EXPENSES (COMMISSION) RECORDS (1)</t>
        </is>
      </c>
      <c r="N609" s="78" t="inlineStr">
        <is>
          <t>MS ADENIKE</t>
        </is>
      </c>
      <c r="O609" s="78" t="n">
        <v>30</v>
      </c>
      <c r="P609" s="78" t="inlineStr">
        <is>
          <t>30/01/2025</t>
        </is>
      </c>
      <c r="Q609" s="78" t="n"/>
      <c r="R609" s="78" t="inlineStr">
        <is>
          <t>Commission-record amount: confirm to bank statement (records can aggregate several transfers)</t>
        </is>
      </c>
    </row>
    <row r="610" ht="25" customHeight="1">
      <c r="A610" s="75" t="inlineStr">
        <is>
          <t>SL0587</t>
        </is>
      </c>
      <c r="B610" s="76" t="n">
        <v>45687</v>
      </c>
      <c r="C610" s="75" t="inlineStr">
        <is>
          <t>2025-01</t>
        </is>
      </c>
      <c r="D610" s="75" t="n">
        <v>2025</v>
      </c>
      <c r="E610" s="75" t="inlineStr">
        <is>
          <t>Land</t>
        </is>
      </c>
      <c r="F610" s="75" t="inlineStr">
        <is>
          <t>Plot / unit price</t>
        </is>
      </c>
      <c r="G610" s="75" t="inlineStr">
        <is>
          <t>Land (estate not stated in source)</t>
        </is>
      </c>
      <c r="H610" s="75" t="inlineStr">
        <is>
          <t>BP-C0151</t>
        </is>
      </c>
      <c r="I610" s="75" t="inlineStr">
        <is>
          <t>Mrs Shotonwa Olamide Abosede</t>
        </is>
      </c>
      <c r="J610" s="77" t="n">
        <v>500000</v>
      </c>
      <c r="K610" s="75" t="n"/>
      <c r="L610" s="75" t="inlineStr">
        <is>
          <t>Secondary: commission records; no monthly turnover register for this period</t>
        </is>
      </c>
      <c r="M610" s="75" t="inlineStr">
        <is>
          <t>BAAY PROJECTS SALES EXPENSES (COMMISSION) RECORDS (1)</t>
        </is>
      </c>
      <c r="N610" s="75" t="inlineStr">
        <is>
          <t>MS ADENIKE</t>
        </is>
      </c>
      <c r="O610" s="75" t="n">
        <v>33</v>
      </c>
      <c r="P610" s="75" t="inlineStr">
        <is>
          <t>30/01/2025</t>
        </is>
      </c>
      <c r="Q610" s="75" t="n"/>
      <c r="R610" s="75" t="inlineStr">
        <is>
          <t>Commission-record amount: confirm to bank statement (records can aggregate several transfers)</t>
        </is>
      </c>
    </row>
    <row r="611" ht="25" customHeight="1">
      <c r="A611" s="78" t="inlineStr">
        <is>
          <t>SL0588</t>
        </is>
      </c>
      <c r="B611" s="79" t="n">
        <v>45688</v>
      </c>
      <c r="C611" s="78" t="inlineStr">
        <is>
          <t>2025-01</t>
        </is>
      </c>
      <c r="D611" s="78" t="n">
        <v>2025</v>
      </c>
      <c r="E611" s="78" t="inlineStr">
        <is>
          <t>Land</t>
        </is>
      </c>
      <c r="F611" s="78" t="inlineStr">
        <is>
          <t>Plot / unit price</t>
        </is>
      </c>
      <c r="G611" s="78" t="inlineStr">
        <is>
          <t>Land (estate not stated in source)</t>
        </is>
      </c>
      <c r="H611" s="78" t="inlineStr">
        <is>
          <t>BP-C0153</t>
        </is>
      </c>
      <c r="I611" s="78" t="inlineStr">
        <is>
          <t>Miss Ademakinwa Abosede Wuraola</t>
        </is>
      </c>
      <c r="J611" s="80" t="n">
        <v>47000</v>
      </c>
      <c r="K611" s="78" t="n"/>
      <c r="L611" s="78" t="inlineStr">
        <is>
          <t>Secondary: commission records; no monthly turnover register for this period</t>
        </is>
      </c>
      <c r="M611" s="78" t="inlineStr">
        <is>
          <t>BAAY PROJECTS SALES EXPENSES (COMMISSION) RECORDS (1)</t>
        </is>
      </c>
      <c r="N611" s="78" t="inlineStr">
        <is>
          <t>MS TAIWO</t>
        </is>
      </c>
      <c r="O611" s="78" t="n">
        <v>76</v>
      </c>
      <c r="P611" s="78" t="inlineStr">
        <is>
          <t>31/01/2025</t>
        </is>
      </c>
      <c r="Q611" s="78" t="n"/>
      <c r="R611" s="78" t="inlineStr">
        <is>
          <t>Commission-record amount: confirm to bank statement (records can aggregate several transfers)</t>
        </is>
      </c>
    </row>
    <row r="612" ht="25" customHeight="1">
      <c r="A612" s="75" t="inlineStr">
        <is>
          <t>SL0589</t>
        </is>
      </c>
      <c r="B612" s="76" t="n">
        <v>45688</v>
      </c>
      <c r="C612" s="75" t="inlineStr">
        <is>
          <t>2025-01</t>
        </is>
      </c>
      <c r="D612" s="75" t="n">
        <v>2025</v>
      </c>
      <c r="E612" s="75" t="inlineStr">
        <is>
          <t>Land</t>
        </is>
      </c>
      <c r="F612" s="75" t="inlineStr">
        <is>
          <t>Plot / unit price</t>
        </is>
      </c>
      <c r="G612" s="75" t="inlineStr">
        <is>
          <t>Land (estate not stated in source)</t>
        </is>
      </c>
      <c r="H612" s="75" t="inlineStr">
        <is>
          <t>BP-C0158</t>
        </is>
      </c>
      <c r="I612" s="75" t="inlineStr">
        <is>
          <t>Mr Shino Vincent Precious</t>
        </is>
      </c>
      <c r="J612" s="77" t="n">
        <v>500000</v>
      </c>
      <c r="K612" s="75" t="n"/>
      <c r="L612" s="75" t="inlineStr">
        <is>
          <t>Secondary: commission records; no monthly turnover register for this period</t>
        </is>
      </c>
      <c r="M612" s="75" t="inlineStr">
        <is>
          <t>BAAY PROJECTS SALES EXPENSES (COMMISSION) RECORDS (1)</t>
        </is>
      </c>
      <c r="N612" s="75" t="inlineStr">
        <is>
          <t>MR DANIEL</t>
        </is>
      </c>
      <c r="O612" s="75" t="n">
        <v>8</v>
      </c>
      <c r="P612" s="75" t="inlineStr">
        <is>
          <t>31/01/2025</t>
        </is>
      </c>
      <c r="Q612" s="75" t="n"/>
      <c r="R612" s="75" t="inlineStr">
        <is>
          <t>Commission-record amount: confirm to bank statement (records can aggregate several transfers)</t>
        </is>
      </c>
    </row>
    <row r="613" ht="25" customHeight="1">
      <c r="A613" s="78" t="inlineStr">
        <is>
          <t>SL0590</t>
        </is>
      </c>
      <c r="B613" s="79" t="n">
        <v>45691</v>
      </c>
      <c r="C613" s="78" t="inlineStr">
        <is>
          <t>2025-02</t>
        </is>
      </c>
      <c r="D613" s="78" t="n">
        <v>2025</v>
      </c>
      <c r="E613" s="78" t="inlineStr">
        <is>
          <t>Land</t>
        </is>
      </c>
      <c r="F613" s="78" t="inlineStr">
        <is>
          <t>Plot / unit price</t>
        </is>
      </c>
      <c r="G613" s="78" t="inlineStr">
        <is>
          <t>Land (estate not stated in source)</t>
        </is>
      </c>
      <c r="H613" s="78" t="inlineStr">
        <is>
          <t>BP-C0150</t>
        </is>
      </c>
      <c r="I613" s="78" t="inlineStr">
        <is>
          <t>Mr Ajiboso Damilare Moses &amp; Mrs Ajiboso Gbemisola Rachael</t>
        </is>
      </c>
      <c r="J613" s="80" t="n">
        <v>1000000</v>
      </c>
      <c r="K613" s="78" t="n"/>
      <c r="L613" s="78" t="inlineStr">
        <is>
          <t>Secondary: commission records; no monthly turnover register for this period</t>
        </is>
      </c>
      <c r="M613" s="78" t="inlineStr">
        <is>
          <t>BAAY PROJECTS SALES EXPENSES (COMMISSION) RECORDS (1)</t>
        </is>
      </c>
      <c r="N613" s="78" t="inlineStr">
        <is>
          <t>MS ADENIKE</t>
        </is>
      </c>
      <c r="O613" s="78" t="n">
        <v>31</v>
      </c>
      <c r="P613" s="78" t="inlineStr">
        <is>
          <t>2025-03-02</t>
        </is>
      </c>
      <c r="Q613" s="78" t="n"/>
      <c r="R613" s="78" t="inlineStr">
        <is>
          <t>Commission-record amount: confirm to bank statement (records can aggregate several transfers)</t>
        </is>
      </c>
    </row>
    <row r="614" ht="25" customHeight="1">
      <c r="A614" s="75" t="inlineStr">
        <is>
          <t>SL0591</t>
        </is>
      </c>
      <c r="B614" s="76" t="n">
        <v>45692</v>
      </c>
      <c r="C614" s="75" t="inlineStr">
        <is>
          <t>2025-02</t>
        </is>
      </c>
      <c r="D614" s="75" t="n">
        <v>2025</v>
      </c>
      <c r="E614" s="75" t="inlineStr">
        <is>
          <t>Land</t>
        </is>
      </c>
      <c r="F614" s="75" t="inlineStr">
        <is>
          <t>Plot / unit price</t>
        </is>
      </c>
      <c r="G614" s="75" t="inlineStr">
        <is>
          <t>Land (estate not stated in source)</t>
        </is>
      </c>
      <c r="H614" s="75" t="inlineStr">
        <is>
          <t>BP-C0168</t>
        </is>
      </c>
      <c r="I614" s="75" t="inlineStr">
        <is>
          <t>Mrs Adenuga Damilola Grace</t>
        </is>
      </c>
      <c r="J614" s="77" t="n">
        <v>1000000</v>
      </c>
      <c r="K614" s="75" t="n"/>
      <c r="L614" s="75" t="inlineStr">
        <is>
          <t>Secondary: commission records; no monthly turnover register for this period</t>
        </is>
      </c>
      <c r="M614" s="75" t="inlineStr">
        <is>
          <t>BAAY PROJECTS SALES EXPENSES (COMMISSION) RECORDS (1)</t>
        </is>
      </c>
      <c r="N614" s="75" t="inlineStr">
        <is>
          <t>MS ADENIKE</t>
        </is>
      </c>
      <c r="O614" s="75" t="n">
        <v>32</v>
      </c>
      <c r="P614" s="75" t="inlineStr">
        <is>
          <t>2025-04-02</t>
        </is>
      </c>
      <c r="Q614" s="75" t="n"/>
      <c r="R614" s="75" t="inlineStr">
        <is>
          <t>Commission-record amount: confirm to bank statement (records can aggregate several transfers)</t>
        </is>
      </c>
    </row>
    <row r="615" ht="25" customHeight="1">
      <c r="A615" s="78" t="inlineStr">
        <is>
          <t>SL0592</t>
        </is>
      </c>
      <c r="B615" s="79" t="n">
        <v>45693</v>
      </c>
      <c r="C615" s="78" t="inlineStr">
        <is>
          <t>2025-02</t>
        </is>
      </c>
      <c r="D615" s="78" t="n">
        <v>2025</v>
      </c>
      <c r="E615" s="78" t="inlineStr">
        <is>
          <t>Land</t>
        </is>
      </c>
      <c r="F615" s="78" t="inlineStr">
        <is>
          <t>Plot / unit price</t>
        </is>
      </c>
      <c r="G615" s="78" t="inlineStr">
        <is>
          <t>Land (estate not stated in source)</t>
        </is>
      </c>
      <c r="H615" s="78" t="inlineStr">
        <is>
          <t>BP-C0166</t>
        </is>
      </c>
      <c r="I615" s="78" t="inlineStr">
        <is>
          <t>Mr Showande Lateef Olawale</t>
        </is>
      </c>
      <c r="J615" s="80" t="n">
        <v>1000000</v>
      </c>
      <c r="K615" s="78" t="n"/>
      <c r="L615" s="78" t="inlineStr">
        <is>
          <t>Secondary: commission records; no monthly turnover register for this period</t>
        </is>
      </c>
      <c r="M615" s="78" t="inlineStr">
        <is>
          <t>BAAY PROJECTS SALES EXPENSES (COMMISSION) RECORDS (1)</t>
        </is>
      </c>
      <c r="N615" s="78" t="inlineStr">
        <is>
          <t>OGIDAN</t>
        </is>
      </c>
      <c r="O615" s="78" t="n">
        <v>65</v>
      </c>
      <c r="P615" s="78" t="inlineStr">
        <is>
          <t>2025-05-02</t>
        </is>
      </c>
      <c r="Q615" s="78" t="n"/>
      <c r="R615" s="78" t="inlineStr">
        <is>
          <t>Commission-record amount: confirm to bank statement (records can aggregate several transfers)</t>
        </is>
      </c>
    </row>
    <row r="616" ht="25" customHeight="1">
      <c r="A616" s="75" t="inlineStr">
        <is>
          <t>SL0593</t>
        </is>
      </c>
      <c r="B616" s="76" t="n">
        <v>45694</v>
      </c>
      <c r="C616" s="75" t="inlineStr">
        <is>
          <t>2025-02</t>
        </is>
      </c>
      <c r="D616" s="75" t="n">
        <v>2025</v>
      </c>
      <c r="E616" s="75" t="inlineStr">
        <is>
          <t>Land</t>
        </is>
      </c>
      <c r="F616" s="75" t="inlineStr">
        <is>
          <t>Plot / unit price</t>
        </is>
      </c>
      <c r="G616" s="75" t="inlineStr">
        <is>
          <t>Land (estate not stated in source)</t>
        </is>
      </c>
      <c r="H616" s="75" t="inlineStr">
        <is>
          <t>BP-C0170</t>
        </is>
      </c>
      <c r="I616" s="75" t="inlineStr">
        <is>
          <t>Mr Owomoyela Abiodun Michael</t>
        </is>
      </c>
      <c r="J616" s="77" t="n">
        <v>3000000</v>
      </c>
      <c r="K616" s="75" t="n"/>
      <c r="L616" s="75" t="inlineStr">
        <is>
          <t>Secondary: commission records; no monthly turnover register for this period</t>
        </is>
      </c>
      <c r="M616" s="75" t="inlineStr">
        <is>
          <t>BAAY PROJECTS SALES EXPENSES (COMMISSION) RECORDS (1)</t>
        </is>
      </c>
      <c r="N616" s="75" t="inlineStr">
        <is>
          <t>MS ABISOLA</t>
        </is>
      </c>
      <c r="O616" s="75" t="n">
        <v>2</v>
      </c>
      <c r="P616" s="75" t="inlineStr">
        <is>
          <t>2025-06-02</t>
        </is>
      </c>
      <c r="Q616" s="75" t="n"/>
      <c r="R616" s="75" t="inlineStr">
        <is>
          <t>Commission-record amount: confirm to bank statement (records can aggregate several transfers)</t>
        </is>
      </c>
    </row>
    <row r="617" ht="25" customHeight="1">
      <c r="A617" s="78" t="inlineStr">
        <is>
          <t>SL0594</t>
        </is>
      </c>
      <c r="B617" s="79" t="n">
        <v>45698</v>
      </c>
      <c r="C617" s="78" t="inlineStr">
        <is>
          <t>2025-02</t>
        </is>
      </c>
      <c r="D617" s="78" t="n">
        <v>2025</v>
      </c>
      <c r="E617" s="78" t="inlineStr">
        <is>
          <t>Land</t>
        </is>
      </c>
      <c r="F617" s="78" t="inlineStr">
        <is>
          <t>Plot / unit price</t>
        </is>
      </c>
      <c r="G617" s="78" t="inlineStr">
        <is>
          <t>Land (estate not stated in source)</t>
        </is>
      </c>
      <c r="H617" s="78" t="inlineStr">
        <is>
          <t>BP-C0170</t>
        </is>
      </c>
      <c r="I617" s="78" t="inlineStr">
        <is>
          <t>Mr Owomoyela Abiodun Michael</t>
        </is>
      </c>
      <c r="J617" s="80" t="n">
        <v>800000</v>
      </c>
      <c r="K617" s="78" t="n"/>
      <c r="L617" s="78" t="inlineStr">
        <is>
          <t>Secondary: commission records; no monthly turnover register for this period</t>
        </is>
      </c>
      <c r="M617" s="78" t="inlineStr">
        <is>
          <t>BAAY PROJECTS SALES EXPENSES (COMMISSION) RECORDS (1)</t>
        </is>
      </c>
      <c r="N617" s="78" t="inlineStr">
        <is>
          <t>MS ABISOLA</t>
        </is>
      </c>
      <c r="O617" s="78" t="n">
        <v>3</v>
      </c>
      <c r="P617" s="78" t="inlineStr">
        <is>
          <t>2025-10-02</t>
        </is>
      </c>
      <c r="Q617" s="78" t="n"/>
      <c r="R617" s="78" t="inlineStr">
        <is>
          <t>Commission-record amount: confirm to bank statement (records can aggregate several transfers)</t>
        </is>
      </c>
    </row>
    <row r="618" ht="25" customHeight="1">
      <c r="A618" s="75" t="inlineStr">
        <is>
          <t>SL0595</t>
        </is>
      </c>
      <c r="B618" s="76" t="n">
        <v>45698</v>
      </c>
      <c r="C618" s="75" t="inlineStr">
        <is>
          <t>2025-02</t>
        </is>
      </c>
      <c r="D618" s="75" t="n">
        <v>2025</v>
      </c>
      <c r="E618" s="75" t="inlineStr">
        <is>
          <t>Land</t>
        </is>
      </c>
      <c r="F618" s="75" t="inlineStr">
        <is>
          <t>Plot / unit price</t>
        </is>
      </c>
      <c r="G618" s="75" t="inlineStr">
        <is>
          <t>Land (estate not stated in source)</t>
        </is>
      </c>
      <c r="H618" s="75" t="inlineStr">
        <is>
          <t>BP-C0172</t>
        </is>
      </c>
      <c r="I618" s="75" t="inlineStr">
        <is>
          <t>Mr Peter Chidera Eteng</t>
        </is>
      </c>
      <c r="J618" s="77" t="n">
        <v>200000</v>
      </c>
      <c r="K618" s="75" t="n"/>
      <c r="L618" s="75" t="inlineStr">
        <is>
          <t>Secondary: commission records; no monthly turnover register for this period</t>
        </is>
      </c>
      <c r="M618" s="75" t="inlineStr">
        <is>
          <t>BAAY PROJECTS SALES EXPENSES (COMMISSION) RECORDS (1)</t>
        </is>
      </c>
      <c r="N618" s="75" t="inlineStr">
        <is>
          <t>MS JENNIFER</t>
        </is>
      </c>
      <c r="O618" s="75" t="n">
        <v>2</v>
      </c>
      <c r="P618" s="75" t="inlineStr">
        <is>
          <t>2025-10-02</t>
        </is>
      </c>
      <c r="Q618" s="75" t="n"/>
      <c r="R618" s="75" t="inlineStr">
        <is>
          <t>Commission-record amount: confirm to bank statement (records can aggregate several transfers)</t>
        </is>
      </c>
    </row>
    <row r="619" ht="25" customHeight="1">
      <c r="A619" s="78" t="inlineStr">
        <is>
          <t>SL0596</t>
        </is>
      </c>
      <c r="B619" s="79" t="n">
        <v>45699</v>
      </c>
      <c r="C619" s="78" t="inlineStr">
        <is>
          <t>2025-02</t>
        </is>
      </c>
      <c r="D619" s="78" t="n">
        <v>2025</v>
      </c>
      <c r="E619" s="78" t="inlineStr">
        <is>
          <t>Land</t>
        </is>
      </c>
      <c r="F619" s="78" t="inlineStr">
        <is>
          <t>Plot / unit price</t>
        </is>
      </c>
      <c r="G619" s="78" t="inlineStr">
        <is>
          <t>Land (estate not stated in source)</t>
        </is>
      </c>
      <c r="H619" s="78" t="inlineStr">
        <is>
          <t>BP-C0132</t>
        </is>
      </c>
      <c r="I619" s="78" t="inlineStr">
        <is>
          <t>Mr Adekunle Temitope Ajayi</t>
        </is>
      </c>
      <c r="J619" s="80" t="n">
        <v>1500000</v>
      </c>
      <c r="K619" s="78" t="n"/>
      <c r="L619" s="78" t="inlineStr">
        <is>
          <t>Secondary: commission records; no monthly turnover register for this period</t>
        </is>
      </c>
      <c r="M619" s="78" t="inlineStr">
        <is>
          <t>BAAY PROJECTS SALES EXPENSES (COMMISSION) RECORDS (1)</t>
        </is>
      </c>
      <c r="N619" s="78" t="inlineStr">
        <is>
          <t>MS OPEYEMI ADEGOKE</t>
        </is>
      </c>
      <c r="O619" s="78" t="n">
        <v>24</v>
      </c>
      <c r="P619" s="78" t="inlineStr">
        <is>
          <t>2025-11-02</t>
        </is>
      </c>
      <c r="Q619" s="78" t="n"/>
      <c r="R619" s="78" t="inlineStr">
        <is>
          <t>Commission-record amount: confirm to bank statement (records can aggregate several transfers)</t>
        </is>
      </c>
    </row>
    <row r="620" ht="25" customHeight="1">
      <c r="A620" s="75" t="inlineStr">
        <is>
          <t>SL0597</t>
        </is>
      </c>
      <c r="B620" s="76" t="n">
        <v>45699</v>
      </c>
      <c r="C620" s="75" t="inlineStr">
        <is>
          <t>2025-02</t>
        </is>
      </c>
      <c r="D620" s="75" t="n">
        <v>2025</v>
      </c>
      <c r="E620" s="75" t="inlineStr">
        <is>
          <t>Housing</t>
        </is>
      </c>
      <c r="F620" s="75" t="inlineStr">
        <is>
          <t>Plot / unit price</t>
        </is>
      </c>
      <c r="G620" s="75" t="inlineStr">
        <is>
          <t>Housing unit (project not stated in source)</t>
        </is>
      </c>
      <c r="H620" s="75" t="inlineStr">
        <is>
          <t>BP-C0133</t>
        </is>
      </c>
      <c r="I620" s="75" t="inlineStr">
        <is>
          <t>Mr Olagbende Oluwashina Oluwaseun</t>
        </is>
      </c>
      <c r="J620" s="77" t="n">
        <v>5000000</v>
      </c>
      <c r="K620" s="75" t="n"/>
      <c r="L620" s="75" t="inlineStr">
        <is>
          <t>Secondary: commission records; no monthly turnover register for this period</t>
        </is>
      </c>
      <c r="M620" s="75" t="inlineStr">
        <is>
          <t>BAAY PROJECTS SALES EXPENSES (COMMISSION) RECORDS (1)</t>
        </is>
      </c>
      <c r="N620" s="75" t="inlineStr">
        <is>
          <t>MS AWONORIN MAYOWA</t>
        </is>
      </c>
      <c r="O620" s="75" t="n">
        <v>38</v>
      </c>
      <c r="P620" s="75" t="inlineStr">
        <is>
          <t>2025-11-02</t>
        </is>
      </c>
      <c r="Q620" s="75" t="n"/>
      <c r="R620" s="75" t="inlineStr">
        <is>
          <t>Commission-record amount: confirm to bank statement (records can aggregate several transfers)</t>
        </is>
      </c>
    </row>
    <row r="621" ht="25" customHeight="1">
      <c r="A621" s="78" t="inlineStr">
        <is>
          <t>SL0598</t>
        </is>
      </c>
      <c r="B621" s="79" t="n">
        <v>45699</v>
      </c>
      <c r="C621" s="78" t="inlineStr">
        <is>
          <t>2025-02</t>
        </is>
      </c>
      <c r="D621" s="78" t="n">
        <v>2025</v>
      </c>
      <c r="E621" s="78" t="inlineStr">
        <is>
          <t>Housing</t>
        </is>
      </c>
      <c r="F621" s="78" t="inlineStr">
        <is>
          <t>Plot / unit price</t>
        </is>
      </c>
      <c r="G621" s="78" t="inlineStr">
        <is>
          <t>Gorge View Court (GVC Gbagada)</t>
        </is>
      </c>
      <c r="H621" s="78" t="inlineStr">
        <is>
          <t>BP-C0165</t>
        </is>
      </c>
      <c r="I621" s="78" t="inlineStr">
        <is>
          <t>Mr Sunday Osabhue Ebosele</t>
        </is>
      </c>
      <c r="J621" s="80" t="n">
        <v>25000000</v>
      </c>
      <c r="K621" s="78" t="n"/>
      <c r="L621" s="78" t="inlineStr">
        <is>
          <t>Secondary: commission records; no monthly turnover register for this period</t>
        </is>
      </c>
      <c r="M621" s="78" t="inlineStr">
        <is>
          <t>BAAY PROJECTS SALES EXPENSES (COMMISSION) RECORDS (1)</t>
        </is>
      </c>
      <c r="N621" s="78" t="inlineStr">
        <is>
          <t>MS SHUBOMI</t>
        </is>
      </c>
      <c r="O621" s="78" t="n">
        <v>14</v>
      </c>
      <c r="P621" s="78" t="inlineStr">
        <is>
          <t>2025-11-02</t>
        </is>
      </c>
      <c r="Q621" s="78" t="inlineStr">
        <is>
          <t>MD r122</t>
        </is>
      </c>
      <c r="R621" s="78" t="inlineStr">
        <is>
          <t>Commission-record amount: confirm to bank statement (records can aggregate several transfers)</t>
        </is>
      </c>
    </row>
    <row r="622" ht="25" customHeight="1">
      <c r="A622" s="75" t="inlineStr">
        <is>
          <t>SL0599</t>
        </is>
      </c>
      <c r="B622" s="76" t="n">
        <v>45700</v>
      </c>
      <c r="C622" s="75" t="inlineStr">
        <is>
          <t>2025-02</t>
        </is>
      </c>
      <c r="D622" s="75" t="n">
        <v>2025</v>
      </c>
      <c r="E622" s="75" t="inlineStr">
        <is>
          <t>Housing</t>
        </is>
      </c>
      <c r="F622" s="75" t="inlineStr">
        <is>
          <t>Plot / unit price</t>
        </is>
      </c>
      <c r="G622" s="75" t="inlineStr">
        <is>
          <t>Gorge View Court (GVC Gbagada)</t>
        </is>
      </c>
      <c r="H622" s="75" t="inlineStr">
        <is>
          <t>BP-C0165</t>
        </is>
      </c>
      <c r="I622" s="75" t="inlineStr">
        <is>
          <t>Mr Sunday Osabhue Ebosele</t>
        </is>
      </c>
      <c r="J622" s="77" t="n">
        <v>25000000</v>
      </c>
      <c r="K622" s="75" t="n"/>
      <c r="L622" s="75" t="inlineStr">
        <is>
          <t>Secondary: commission records; no monthly turnover register for this period</t>
        </is>
      </c>
      <c r="M622" s="75" t="inlineStr">
        <is>
          <t>BAAY PROJECTS SALES EXPENSES (COMMISSION) RECORDS (1)</t>
        </is>
      </c>
      <c r="N622" s="75" t="inlineStr">
        <is>
          <t>MS SHUBOMI</t>
        </is>
      </c>
      <c r="O622" s="75" t="n">
        <v>20</v>
      </c>
      <c r="P622" s="75" t="inlineStr">
        <is>
          <t>2025-12-02</t>
        </is>
      </c>
      <c r="Q622" s="75" t="inlineStr">
        <is>
          <t>MD r123</t>
        </is>
      </c>
      <c r="R622" s="75" t="inlineStr">
        <is>
          <t>Commission-record amount: confirm to bank statement (records can aggregate several transfers)</t>
        </is>
      </c>
    </row>
    <row r="623" ht="25" customHeight="1">
      <c r="A623" s="78" t="inlineStr">
        <is>
          <t>SL0600</t>
        </is>
      </c>
      <c r="B623" s="79" t="n">
        <v>45700</v>
      </c>
      <c r="C623" s="78" t="inlineStr">
        <is>
          <t>2025-02</t>
        </is>
      </c>
      <c r="D623" s="78" t="n">
        <v>2025</v>
      </c>
      <c r="E623" s="78" t="inlineStr">
        <is>
          <t>Land</t>
        </is>
      </c>
      <c r="F623" s="78" t="inlineStr">
        <is>
          <t>Plot / unit price</t>
        </is>
      </c>
      <c r="G623" s="78" t="inlineStr">
        <is>
          <t>Land (estate not stated in source)</t>
        </is>
      </c>
      <c r="H623" s="78" t="inlineStr">
        <is>
          <t>BP-C0146</t>
        </is>
      </c>
      <c r="I623" s="78" t="inlineStr">
        <is>
          <t>Mrs Tijani Tawa Motunrayo</t>
        </is>
      </c>
      <c r="J623" s="80" t="n">
        <v>1000000</v>
      </c>
      <c r="K623" s="78" t="n"/>
      <c r="L623" s="78" t="inlineStr">
        <is>
          <t>Secondary: commission records; no monthly turnover register for this period</t>
        </is>
      </c>
      <c r="M623" s="78" t="inlineStr">
        <is>
          <t>BAAY PROJECTS SALES EXPENSES (COMMISSION) RECORDS (1)</t>
        </is>
      </c>
      <c r="N623" s="78" t="inlineStr">
        <is>
          <t>MS AWONORIN MAYOWA</t>
        </is>
      </c>
      <c r="O623" s="78" t="n">
        <v>32</v>
      </c>
      <c r="P623" s="78" t="inlineStr">
        <is>
          <t>2025-12-02</t>
        </is>
      </c>
      <c r="Q623" s="78" t="n"/>
      <c r="R623" s="78" t="inlineStr">
        <is>
          <t>Commission-record amount: confirm to bank statement (records can aggregate several transfers)</t>
        </is>
      </c>
    </row>
    <row r="624" ht="25" customHeight="1">
      <c r="A624" s="75" t="inlineStr">
        <is>
          <t>SL0601</t>
        </is>
      </c>
      <c r="B624" s="76" t="n">
        <v>45701</v>
      </c>
      <c r="C624" s="75" t="inlineStr">
        <is>
          <t>2025-02</t>
        </is>
      </c>
      <c r="D624" s="75" t="n">
        <v>2025</v>
      </c>
      <c r="E624" s="75" t="inlineStr">
        <is>
          <t>Housing</t>
        </is>
      </c>
      <c r="F624" s="75" t="inlineStr">
        <is>
          <t>Plot / unit price</t>
        </is>
      </c>
      <c r="G624" s="75" t="inlineStr">
        <is>
          <t>Gorge View Court (GVC Gbagada)</t>
        </is>
      </c>
      <c r="H624" s="75" t="inlineStr">
        <is>
          <t>BP-C0165</t>
        </is>
      </c>
      <c r="I624" s="75" t="inlineStr">
        <is>
          <t>Mr Sunday Osabhue Ebosele</t>
        </is>
      </c>
      <c r="J624" s="77" t="n">
        <v>25000000</v>
      </c>
      <c r="K624" s="75" t="n"/>
      <c r="L624" s="75" t="inlineStr">
        <is>
          <t>Secondary: commission records; no monthly turnover register for this period</t>
        </is>
      </c>
      <c r="M624" s="75" t="inlineStr">
        <is>
          <t>BAAY PROJECTS SALES EXPENSES (COMMISSION) RECORDS (1)</t>
        </is>
      </c>
      <c r="N624" s="75" t="inlineStr">
        <is>
          <t>MS SHUBOMI</t>
        </is>
      </c>
      <c r="O624" s="75" t="n">
        <v>21</v>
      </c>
      <c r="P624" s="75" t="inlineStr">
        <is>
          <t>13/02/2025</t>
        </is>
      </c>
      <c r="Q624" s="75" t="n"/>
      <c r="R624" s="75" t="inlineStr">
        <is>
          <t>Commission-record amount: confirm to bank statement (records can aggregate several transfers)</t>
        </is>
      </c>
    </row>
    <row r="625" ht="25" customHeight="1">
      <c r="A625" s="78" t="inlineStr">
        <is>
          <t>SL0602</t>
        </is>
      </c>
      <c r="B625" s="79" t="n">
        <v>45702</v>
      </c>
      <c r="C625" s="78" t="inlineStr">
        <is>
          <t>2025-02</t>
        </is>
      </c>
      <c r="D625" s="78" t="n">
        <v>2025</v>
      </c>
      <c r="E625" s="78" t="inlineStr">
        <is>
          <t>Land</t>
        </is>
      </c>
      <c r="F625" s="78" t="inlineStr">
        <is>
          <t>Plot / unit price</t>
        </is>
      </c>
      <c r="G625" s="78" t="inlineStr">
        <is>
          <t>Land (estate not stated in source)</t>
        </is>
      </c>
      <c r="H625" s="78" t="inlineStr">
        <is>
          <t>BP-C0173</t>
        </is>
      </c>
      <c r="I625" s="78" t="inlineStr">
        <is>
          <t>Miss Julian-Nwadi Hephzibah Chisom</t>
        </is>
      </c>
      <c r="J625" s="80" t="n">
        <v>200000</v>
      </c>
      <c r="K625" s="78" t="n"/>
      <c r="L625" s="78" t="inlineStr">
        <is>
          <t>Secondary: commission records; no monthly turnover register for this period</t>
        </is>
      </c>
      <c r="M625" s="78" t="inlineStr">
        <is>
          <t>BAAY PROJECTS SALES EXPENSES (COMMISSION) RECORDS (1)</t>
        </is>
      </c>
      <c r="N625" s="78" t="inlineStr">
        <is>
          <t>MS ROSEMARY</t>
        </is>
      </c>
      <c r="O625" s="78" t="n">
        <v>2</v>
      </c>
      <c r="P625" s="78" t="inlineStr">
        <is>
          <t>14/02/2025</t>
        </is>
      </c>
      <c r="Q625" s="78" t="n"/>
      <c r="R625" s="78" t="inlineStr">
        <is>
          <t>Commission-record amount: confirm to bank statement (records can aggregate several transfers)</t>
        </is>
      </c>
    </row>
    <row r="626" ht="25" customHeight="1">
      <c r="A626" s="75" t="inlineStr">
        <is>
          <t>SL0603</t>
        </is>
      </c>
      <c r="B626" s="76" t="n">
        <v>45702</v>
      </c>
      <c r="C626" s="75" t="inlineStr">
        <is>
          <t>2025-02</t>
        </is>
      </c>
      <c r="D626" s="75" t="n">
        <v>2025</v>
      </c>
      <c r="E626" s="75" t="inlineStr">
        <is>
          <t>Housing</t>
        </is>
      </c>
      <c r="F626" s="75" t="inlineStr">
        <is>
          <t>Plot / unit price</t>
        </is>
      </c>
      <c r="G626" s="75" t="inlineStr">
        <is>
          <t>Gorge View Court (GVC Gbagada)</t>
        </is>
      </c>
      <c r="H626" s="75" t="inlineStr">
        <is>
          <t>BP-C0165</t>
        </is>
      </c>
      <c r="I626" s="75" t="inlineStr">
        <is>
          <t>Mr Sunday Osabhue Ebosele</t>
        </is>
      </c>
      <c r="J626" s="77" t="n">
        <v>5000000</v>
      </c>
      <c r="K626" s="75" t="n"/>
      <c r="L626" s="75" t="inlineStr">
        <is>
          <t>Secondary: commission records; no monthly turnover register for this period</t>
        </is>
      </c>
      <c r="M626" s="75" t="inlineStr">
        <is>
          <t>BAAY PROJECTS SALES EXPENSES (COMMISSION) RECORDS (1)</t>
        </is>
      </c>
      <c r="N626" s="75" t="inlineStr">
        <is>
          <t>MD</t>
        </is>
      </c>
      <c r="O626" s="75" t="n">
        <v>124</v>
      </c>
      <c r="P626" s="75" t="inlineStr">
        <is>
          <t>14/02/2025</t>
        </is>
      </c>
      <c r="Q626" s="75" t="n"/>
      <c r="R626" s="75" t="inlineStr">
        <is>
          <t>Commission-record amount: confirm to bank statement (records can aggregate several transfers)</t>
        </is>
      </c>
    </row>
    <row r="627" ht="25" customHeight="1">
      <c r="A627" s="78" t="inlineStr">
        <is>
          <t>SL0604</t>
        </is>
      </c>
      <c r="B627" s="79" t="n">
        <v>45702</v>
      </c>
      <c r="C627" s="78" t="inlineStr">
        <is>
          <t>2025-02</t>
        </is>
      </c>
      <c r="D627" s="78" t="n">
        <v>2025</v>
      </c>
      <c r="E627" s="78" t="inlineStr">
        <is>
          <t>Housing</t>
        </is>
      </c>
      <c r="F627" s="78" t="inlineStr">
        <is>
          <t>Plot / unit price</t>
        </is>
      </c>
      <c r="G627" s="78" t="inlineStr">
        <is>
          <t>Pacific Apartment</t>
        </is>
      </c>
      <c r="H627" s="78" t="inlineStr">
        <is>
          <t>BP-C0143</t>
        </is>
      </c>
      <c r="I627" s="78" t="inlineStr">
        <is>
          <t>Mrs Oyindamola Duntoye Adekunle</t>
        </is>
      </c>
      <c r="J627" s="80" t="n">
        <v>4750000</v>
      </c>
      <c r="K627" s="78" t="n"/>
      <c r="L627" s="78" t="inlineStr">
        <is>
          <t>Secondary: commission records; no monthly turnover register for this period</t>
        </is>
      </c>
      <c r="M627" s="78" t="inlineStr">
        <is>
          <t>BAAY PROJECTS SALES EXPENSES (COMMISSION) RECORDS (1)</t>
        </is>
      </c>
      <c r="N627" s="78" t="inlineStr">
        <is>
          <t>MAMA ADEBIMPE</t>
        </is>
      </c>
      <c r="O627" s="78" t="n">
        <v>107</v>
      </c>
      <c r="P627" s="78" t="inlineStr">
        <is>
          <t>14/02/2025</t>
        </is>
      </c>
      <c r="Q627" s="78" t="n"/>
      <c r="R627" s="78" t="inlineStr">
        <is>
          <t>Commission-record amount: confirm to bank statement (records can aggregate several transfers)</t>
        </is>
      </c>
    </row>
    <row r="628" ht="25" customHeight="1">
      <c r="A628" s="75" t="inlineStr">
        <is>
          <t>SL0605</t>
        </is>
      </c>
      <c r="B628" s="76" t="n">
        <v>45706</v>
      </c>
      <c r="C628" s="75" t="inlineStr">
        <is>
          <t>2025-02</t>
        </is>
      </c>
      <c r="D628" s="75" t="n">
        <v>2025</v>
      </c>
      <c r="E628" s="75" t="inlineStr">
        <is>
          <t>Land</t>
        </is>
      </c>
      <c r="F628" s="75" t="inlineStr">
        <is>
          <t>Plot / unit price</t>
        </is>
      </c>
      <c r="G628" s="75" t="inlineStr">
        <is>
          <t>Land (estate not stated in source)</t>
        </is>
      </c>
      <c r="H628" s="75" t="inlineStr">
        <is>
          <t>BP-C0077</t>
        </is>
      </c>
      <c r="I628" s="75" t="inlineStr">
        <is>
          <t>Mr Uebari Sorbari Godwin</t>
        </is>
      </c>
      <c r="J628" s="77" t="n">
        <v>107000</v>
      </c>
      <c r="K628" s="75" t="n"/>
      <c r="L628" s="75" t="inlineStr">
        <is>
          <t>Secondary: commission records; no monthly turnover register for this period</t>
        </is>
      </c>
      <c r="M628" s="75" t="inlineStr">
        <is>
          <t>BAAY PROJECTS SALES EXPENSES (COMMISSION) RECORDS (1)</t>
        </is>
      </c>
      <c r="N628" s="75" t="inlineStr">
        <is>
          <t>MS ELIZABETH</t>
        </is>
      </c>
      <c r="O628" s="75" t="n">
        <v>70</v>
      </c>
      <c r="P628" s="75" t="inlineStr">
        <is>
          <t>18/02/2025</t>
        </is>
      </c>
      <c r="Q628" s="75" t="n"/>
      <c r="R628" s="75" t="inlineStr">
        <is>
          <t>Commission-record amount: confirm to bank statement (records can aggregate several transfers)</t>
        </is>
      </c>
    </row>
    <row r="629" ht="25" customHeight="1">
      <c r="A629" s="78" t="inlineStr">
        <is>
          <t>SL0606</t>
        </is>
      </c>
      <c r="B629" s="79" t="n">
        <v>45712</v>
      </c>
      <c r="C629" s="78" t="inlineStr">
        <is>
          <t>2025-02</t>
        </is>
      </c>
      <c r="D629" s="78" t="n">
        <v>2025</v>
      </c>
      <c r="E629" s="78" t="inlineStr">
        <is>
          <t>Housing</t>
        </is>
      </c>
      <c r="F629" s="78" t="inlineStr">
        <is>
          <t>Plot / unit price</t>
        </is>
      </c>
      <c r="G629" s="78" t="inlineStr">
        <is>
          <t>Housing unit (project not stated in source)</t>
        </is>
      </c>
      <c r="H629" s="78" t="inlineStr">
        <is>
          <t>BP-C0133</t>
        </is>
      </c>
      <c r="I629" s="78" t="inlineStr">
        <is>
          <t>Mr Olagbende Oluwashina Oluwaseun</t>
        </is>
      </c>
      <c r="J629" s="80" t="n">
        <v>5000000</v>
      </c>
      <c r="K629" s="78" t="n"/>
      <c r="L629" s="78" t="inlineStr">
        <is>
          <t>Secondary: commission records; no monthly turnover register for this period</t>
        </is>
      </c>
      <c r="M629" s="78" t="inlineStr">
        <is>
          <t>BAAY PROJECTS SALES EXPENSES (COMMISSION) RECORDS (1)</t>
        </is>
      </c>
      <c r="N629" s="78" t="inlineStr">
        <is>
          <t>MS AWONORIN MAYOWA</t>
        </is>
      </c>
      <c r="O629" s="78" t="n">
        <v>39</v>
      </c>
      <c r="P629" s="78" t="inlineStr">
        <is>
          <t>24/02/2025</t>
        </is>
      </c>
      <c r="Q629" s="78" t="n"/>
      <c r="R629" s="78" t="inlineStr">
        <is>
          <t>Commission-record amount: confirm to bank statement (records can aggregate several transfers)</t>
        </is>
      </c>
    </row>
    <row r="630" ht="25" customHeight="1">
      <c r="A630" s="75" t="inlineStr">
        <is>
          <t>SL0607</t>
        </is>
      </c>
      <c r="B630" s="76" t="n">
        <v>45713</v>
      </c>
      <c r="C630" s="75" t="inlineStr">
        <is>
          <t>2025-02</t>
        </is>
      </c>
      <c r="D630" s="75" t="n">
        <v>2025</v>
      </c>
      <c r="E630" s="75" t="inlineStr">
        <is>
          <t>Land</t>
        </is>
      </c>
      <c r="F630" s="75" t="inlineStr">
        <is>
          <t>Plot / unit price</t>
        </is>
      </c>
      <c r="G630" s="75" t="inlineStr">
        <is>
          <t>Land (estate not stated in source)</t>
        </is>
      </c>
      <c r="H630" s="75" t="inlineStr">
        <is>
          <t>BP-C0159</t>
        </is>
      </c>
      <c r="I630" s="75" t="inlineStr">
        <is>
          <t>Miss Etefe Ava Ogheneyorhe</t>
        </is>
      </c>
      <c r="J630" s="77" t="n">
        <v>150000</v>
      </c>
      <c r="K630" s="75" t="n"/>
      <c r="L630" s="75" t="inlineStr">
        <is>
          <t>Secondary: commission records; no monthly turnover register for this period</t>
        </is>
      </c>
      <c r="M630" s="75" t="inlineStr">
        <is>
          <t>BAAY PROJECTS SALES EXPENSES (COMMISSION) RECORDS (1)</t>
        </is>
      </c>
      <c r="N630" s="75" t="inlineStr">
        <is>
          <t>MS ELIZABETH</t>
        </is>
      </c>
      <c r="O630" s="75" t="n">
        <v>71</v>
      </c>
      <c r="P630" s="75" t="inlineStr">
        <is>
          <t>25/02/2025</t>
        </is>
      </c>
      <c r="Q630" s="75" t="n"/>
      <c r="R630" s="75" t="inlineStr">
        <is>
          <t>Commission-record amount: confirm to bank statement (records can aggregate several transfers)</t>
        </is>
      </c>
    </row>
    <row r="631" ht="25" customHeight="1">
      <c r="A631" s="78" t="inlineStr">
        <is>
          <t>SL0608</t>
        </is>
      </c>
      <c r="B631" s="79" t="n">
        <v>45713</v>
      </c>
      <c r="C631" s="78" t="inlineStr">
        <is>
          <t>2025-02</t>
        </is>
      </c>
      <c r="D631" s="78" t="n">
        <v>2025</v>
      </c>
      <c r="E631" s="78" t="inlineStr">
        <is>
          <t>Land</t>
        </is>
      </c>
      <c r="F631" s="78" t="inlineStr">
        <is>
          <t>Plot / unit price</t>
        </is>
      </c>
      <c r="G631" s="78" t="inlineStr">
        <is>
          <t>Land (estate not stated in source)</t>
        </is>
      </c>
      <c r="H631" s="78" t="inlineStr">
        <is>
          <t>BP-C0141</t>
        </is>
      </c>
      <c r="I631" s="78" t="inlineStr">
        <is>
          <t>Mr Aremu Kayode Sarafa</t>
        </is>
      </c>
      <c r="J631" s="80" t="n">
        <v>200000</v>
      </c>
      <c r="K631" s="78" t="n"/>
      <c r="L631" s="78" t="inlineStr">
        <is>
          <t>Secondary: commission records; no monthly turnover register for this period</t>
        </is>
      </c>
      <c r="M631" s="78" t="inlineStr">
        <is>
          <t>BAAY PROJECTS SALES EXPENSES (COMMISSION) RECORDS (1)</t>
        </is>
      </c>
      <c r="N631" s="78" t="inlineStr">
        <is>
          <t>OGIDAN</t>
        </is>
      </c>
      <c r="O631" s="78" t="n">
        <v>77</v>
      </c>
      <c r="P631" s="78" t="inlineStr">
        <is>
          <t>25/02/2025</t>
        </is>
      </c>
      <c r="Q631" s="78" t="n"/>
      <c r="R631" s="78" t="inlineStr">
        <is>
          <t>Commission-record amount: confirm to bank statement (records can aggregate several transfers)</t>
        </is>
      </c>
    </row>
    <row r="632" ht="25" customHeight="1">
      <c r="A632" s="75" t="inlineStr">
        <is>
          <t>SL0609</t>
        </is>
      </c>
      <c r="B632" s="76" t="n">
        <v>45713</v>
      </c>
      <c r="C632" s="75" t="inlineStr">
        <is>
          <t>2025-02</t>
        </is>
      </c>
      <c r="D632" s="75" t="n">
        <v>2025</v>
      </c>
      <c r="E632" s="75" t="inlineStr">
        <is>
          <t>Land</t>
        </is>
      </c>
      <c r="F632" s="75" t="inlineStr">
        <is>
          <t>Plot / unit price</t>
        </is>
      </c>
      <c r="G632" s="75" t="inlineStr">
        <is>
          <t>Land (estate not stated in source)</t>
        </is>
      </c>
      <c r="H632" s="75" t="inlineStr">
        <is>
          <t>BP-C0174</t>
        </is>
      </c>
      <c r="I632" s="75" t="inlineStr">
        <is>
          <t>Mr Kafidipe Oladimeji Ayomikusibe</t>
        </is>
      </c>
      <c r="J632" s="77" t="n">
        <v>3150000</v>
      </c>
      <c r="K632" s="75" t="n"/>
      <c r="L632" s="75" t="inlineStr">
        <is>
          <t>Secondary: commission records; no monthly turnover register for this period</t>
        </is>
      </c>
      <c r="M632" s="75" t="inlineStr">
        <is>
          <t>BAAY PROJECTS SALES EXPENSES (COMMISSION) RECORDS (1)</t>
        </is>
      </c>
      <c r="N632" s="75" t="inlineStr">
        <is>
          <t>MS OLABISI</t>
        </is>
      </c>
      <c r="O632" s="75" t="n">
        <v>2</v>
      </c>
      <c r="P632" s="75" t="inlineStr">
        <is>
          <t>25/02/2025</t>
        </is>
      </c>
      <c r="Q632" s="75" t="n"/>
      <c r="R632" s="75" t="inlineStr">
        <is>
          <t>Commission-record amount: confirm to bank statement (records can aggregate several transfers)</t>
        </is>
      </c>
    </row>
    <row r="633" ht="25" customHeight="1">
      <c r="A633" s="78" t="inlineStr">
        <is>
          <t>SL0610</t>
        </is>
      </c>
      <c r="B633" s="79" t="n">
        <v>45714</v>
      </c>
      <c r="C633" s="78" t="inlineStr">
        <is>
          <t>2025-02</t>
        </is>
      </c>
      <c r="D633" s="78" t="n">
        <v>2025</v>
      </c>
      <c r="E633" s="78" t="inlineStr">
        <is>
          <t>Land</t>
        </is>
      </c>
      <c r="F633" s="78" t="inlineStr">
        <is>
          <t>Plot / unit price</t>
        </is>
      </c>
      <c r="G633" s="78" t="inlineStr">
        <is>
          <t>Land (estate not stated in source)</t>
        </is>
      </c>
      <c r="H633" s="78" t="inlineStr">
        <is>
          <t>BP-C0136</t>
        </is>
      </c>
      <c r="I633" s="78" t="inlineStr">
        <is>
          <t>Mr Isibor Godwin</t>
        </is>
      </c>
      <c r="J633" s="80" t="n">
        <v>450000</v>
      </c>
      <c r="K633" s="78" t="n"/>
      <c r="L633" s="78" t="inlineStr">
        <is>
          <t>Secondary: commission records; no monthly turnover register for this period</t>
        </is>
      </c>
      <c r="M633" s="78" t="inlineStr">
        <is>
          <t>BAAY PROJECTS SALES EXPENSES (COMMISSION) RECORDS (1)</t>
        </is>
      </c>
      <c r="N633" s="78" t="inlineStr">
        <is>
          <t>MS TOBI AJAYI</t>
        </is>
      </c>
      <c r="O633" s="78" t="n">
        <v>58</v>
      </c>
      <c r="P633" s="78" t="inlineStr">
        <is>
          <t>26/02/2025</t>
        </is>
      </c>
      <c r="Q633" s="78" t="n"/>
      <c r="R633" s="78" t="inlineStr">
        <is>
          <t>Commission-record amount: confirm to bank statement (records can aggregate several transfers)</t>
        </is>
      </c>
    </row>
    <row r="634" ht="25" customHeight="1">
      <c r="A634" s="75" t="inlineStr">
        <is>
          <t>SL0611</t>
        </is>
      </c>
      <c r="B634" s="76" t="n">
        <v>45714</v>
      </c>
      <c r="C634" s="75" t="inlineStr">
        <is>
          <t>2025-02</t>
        </is>
      </c>
      <c r="D634" s="75" t="n">
        <v>2025</v>
      </c>
      <c r="E634" s="75" t="inlineStr">
        <is>
          <t>Land</t>
        </is>
      </c>
      <c r="F634" s="75" t="inlineStr">
        <is>
          <t>Plot / unit price</t>
        </is>
      </c>
      <c r="G634" s="75" t="inlineStr">
        <is>
          <t>Land (estate not stated in source)</t>
        </is>
      </c>
      <c r="H634" s="75" t="inlineStr">
        <is>
          <t>BP-C0175</t>
        </is>
      </c>
      <c r="I634" s="75" t="inlineStr">
        <is>
          <t>Mr Marizu Precious Chisom</t>
        </is>
      </c>
      <c r="J634" s="77" t="n">
        <v>3800000</v>
      </c>
      <c r="K634" s="75" t="n"/>
      <c r="L634" s="75" t="inlineStr">
        <is>
          <t>Secondary: commission records; no monthly turnover register for this period</t>
        </is>
      </c>
      <c r="M634" s="75" t="inlineStr">
        <is>
          <t>BAAY PROJECTS SALES EXPENSES (COMMISSION) RECORDS (1)</t>
        </is>
      </c>
      <c r="N634" s="75" t="inlineStr">
        <is>
          <t>MR DANIEL</t>
        </is>
      </c>
      <c r="O634" s="75" t="n">
        <v>14</v>
      </c>
      <c r="P634" s="75" t="inlineStr">
        <is>
          <t>26/02/2025</t>
        </is>
      </c>
      <c r="Q634" s="75" t="n"/>
      <c r="R634" s="75" t="inlineStr">
        <is>
          <t>Commission-record amount: confirm to bank statement (records can aggregate several transfers)</t>
        </is>
      </c>
    </row>
    <row r="635" ht="25" customHeight="1">
      <c r="A635" s="78" t="inlineStr">
        <is>
          <t>SL0612</t>
        </is>
      </c>
      <c r="B635" s="79" t="n">
        <v>45714</v>
      </c>
      <c r="C635" s="78" t="inlineStr">
        <is>
          <t>2025-02</t>
        </is>
      </c>
      <c r="D635" s="78" t="n">
        <v>2025</v>
      </c>
      <c r="E635" s="78" t="inlineStr">
        <is>
          <t>Land</t>
        </is>
      </c>
      <c r="F635" s="78" t="inlineStr">
        <is>
          <t>Plot / unit price</t>
        </is>
      </c>
      <c r="G635" s="78" t="inlineStr">
        <is>
          <t>Land (estate not stated in source)</t>
        </is>
      </c>
      <c r="H635" s="78" t="inlineStr">
        <is>
          <t>BP-C0176</t>
        </is>
      </c>
      <c r="I635" s="78" t="inlineStr">
        <is>
          <t>Mrs Marizu Geraldine Ijeoma</t>
        </is>
      </c>
      <c r="J635" s="80" t="n">
        <v>3800000</v>
      </c>
      <c r="K635" s="78" t="n"/>
      <c r="L635" s="78" t="inlineStr">
        <is>
          <t>Secondary: commission records; no monthly turnover register for this period</t>
        </is>
      </c>
      <c r="M635" s="78" t="inlineStr">
        <is>
          <t>BAAY PROJECTS SALES EXPENSES (COMMISSION) RECORDS (1)</t>
        </is>
      </c>
      <c r="N635" s="78" t="inlineStr">
        <is>
          <t>MR DANIEL</t>
        </is>
      </c>
      <c r="O635" s="78" t="n">
        <v>15</v>
      </c>
      <c r="P635" s="78" t="inlineStr">
        <is>
          <t>26/02/2025</t>
        </is>
      </c>
      <c r="Q635" s="78" t="n"/>
      <c r="R635" s="78" t="inlineStr">
        <is>
          <t>Commission-record amount: confirm to bank statement (records can aggregate several transfers)</t>
        </is>
      </c>
    </row>
    <row r="636" ht="25" customHeight="1">
      <c r="A636" s="75" t="inlineStr">
        <is>
          <t>SL0613</t>
        </is>
      </c>
      <c r="B636" s="76" t="n">
        <v>45716</v>
      </c>
      <c r="C636" s="75" t="inlineStr">
        <is>
          <t>2025-02</t>
        </is>
      </c>
      <c r="D636" s="75" t="n">
        <v>2025</v>
      </c>
      <c r="E636" s="75" t="inlineStr">
        <is>
          <t>Land</t>
        </is>
      </c>
      <c r="F636" s="75" t="inlineStr">
        <is>
          <t>Plot / unit price</t>
        </is>
      </c>
      <c r="G636" s="75" t="inlineStr">
        <is>
          <t>Land (estate not stated in source)</t>
        </is>
      </c>
      <c r="H636" s="75" t="inlineStr">
        <is>
          <t>BP-C0153</t>
        </is>
      </c>
      <c r="I636" s="75" t="inlineStr">
        <is>
          <t>Miss Ademakinwa Abosede Wuraola</t>
        </is>
      </c>
      <c r="J636" s="77" t="n">
        <v>800000</v>
      </c>
      <c r="K636" s="75" t="n"/>
      <c r="L636" s="75" t="inlineStr">
        <is>
          <t>Secondary: commission records; no monthly turnover register for this period</t>
        </is>
      </c>
      <c r="M636" s="75" t="inlineStr">
        <is>
          <t>BAAY PROJECTS SALES EXPENSES (COMMISSION) RECORDS (1)</t>
        </is>
      </c>
      <c r="N636" s="75" t="inlineStr">
        <is>
          <t>MS TAIWO</t>
        </is>
      </c>
      <c r="O636" s="75" t="n">
        <v>86</v>
      </c>
      <c r="P636" s="75" t="inlineStr">
        <is>
          <t>28/02/2025</t>
        </is>
      </c>
      <c r="Q636" s="75" t="n"/>
      <c r="R636" s="75" t="inlineStr">
        <is>
          <t>Commission-record amount: confirm to bank statement (records can aggregate several transfers)</t>
        </is>
      </c>
    </row>
    <row r="637" ht="25" customHeight="1">
      <c r="A637" s="78" t="inlineStr">
        <is>
          <t>SL0614</t>
        </is>
      </c>
      <c r="B637" s="79" t="n">
        <v>45716</v>
      </c>
      <c r="C637" s="78" t="inlineStr">
        <is>
          <t>2025-02</t>
        </is>
      </c>
      <c r="D637" s="78" t="n">
        <v>2025</v>
      </c>
      <c r="E637" s="78" t="inlineStr">
        <is>
          <t>Land</t>
        </is>
      </c>
      <c r="F637" s="78" t="inlineStr">
        <is>
          <t>Plot / unit price</t>
        </is>
      </c>
      <c r="G637" s="78" t="inlineStr">
        <is>
          <t>Land (estate not stated in source)</t>
        </is>
      </c>
      <c r="H637" s="78" t="inlineStr">
        <is>
          <t>BP-C0154</t>
        </is>
      </c>
      <c r="I637" s="78" t="inlineStr">
        <is>
          <t>Mr Adepoju Adewale Emmanuel</t>
        </is>
      </c>
      <c r="J637" s="80" t="n">
        <v>1600000</v>
      </c>
      <c r="K637" s="78" t="n"/>
      <c r="L637" s="78" t="inlineStr">
        <is>
          <t>Secondary: commission records; no monthly turnover register for this period</t>
        </is>
      </c>
      <c r="M637" s="78" t="inlineStr">
        <is>
          <t>BAAY PROJECTS SALES EXPENSES (COMMISSION) RECORDS (1)</t>
        </is>
      </c>
      <c r="N637" s="78" t="inlineStr">
        <is>
          <t>MS TAIWO</t>
        </is>
      </c>
      <c r="O637" s="78" t="n">
        <v>83</v>
      </c>
      <c r="P637" s="78" t="inlineStr">
        <is>
          <t>28/02/2025</t>
        </is>
      </c>
      <c r="Q637" s="78" t="n"/>
      <c r="R637" s="78" t="inlineStr">
        <is>
          <t>Commission-record amount: confirm to bank statement (records can aggregate several transfers)</t>
        </is>
      </c>
    </row>
    <row r="638" ht="25" customHeight="1">
      <c r="A638" s="75" t="inlineStr">
        <is>
          <t>SL0615</t>
        </is>
      </c>
      <c r="B638" s="76" t="n">
        <v>45716</v>
      </c>
      <c r="C638" s="75" t="inlineStr">
        <is>
          <t>2025-02</t>
        </is>
      </c>
      <c r="D638" s="75" t="n">
        <v>2025</v>
      </c>
      <c r="E638" s="75" t="inlineStr">
        <is>
          <t>Land</t>
        </is>
      </c>
      <c r="F638" s="75" t="inlineStr">
        <is>
          <t>Plot / unit price</t>
        </is>
      </c>
      <c r="G638" s="75" t="inlineStr">
        <is>
          <t>Land (estate not stated in source)</t>
        </is>
      </c>
      <c r="H638" s="75" t="inlineStr">
        <is>
          <t>BP-C0155</t>
        </is>
      </c>
      <c r="I638" s="75" t="inlineStr">
        <is>
          <t>Mr Adeyanju Adebayo Samson</t>
        </is>
      </c>
      <c r="J638" s="77" t="n">
        <v>800000</v>
      </c>
      <c r="K638" s="75" t="n"/>
      <c r="L638" s="75" t="inlineStr">
        <is>
          <t>Secondary: commission records; no monthly turnover register for this period</t>
        </is>
      </c>
      <c r="M638" s="75" t="inlineStr">
        <is>
          <t>BAAY PROJECTS SALES EXPENSES (COMMISSION) RECORDS (1)</t>
        </is>
      </c>
      <c r="N638" s="75" t="inlineStr">
        <is>
          <t>MS TAIWO</t>
        </is>
      </c>
      <c r="O638" s="75" t="n">
        <v>85</v>
      </c>
      <c r="P638" s="75" t="inlineStr">
        <is>
          <t>28/02/2025</t>
        </is>
      </c>
      <c r="Q638" s="75" t="n"/>
      <c r="R638" s="75" t="inlineStr">
        <is>
          <t>Commission-record amount: confirm to bank statement (records can aggregate several transfers)</t>
        </is>
      </c>
    </row>
    <row r="639" ht="25" customHeight="1">
      <c r="A639" s="78" t="inlineStr">
        <is>
          <t>SL0616</t>
        </is>
      </c>
      <c r="B639" s="79" t="n">
        <v>45716</v>
      </c>
      <c r="C639" s="78" t="inlineStr">
        <is>
          <t>2025-02</t>
        </is>
      </c>
      <c r="D639" s="78" t="n">
        <v>2025</v>
      </c>
      <c r="E639" s="78" t="inlineStr">
        <is>
          <t>Land</t>
        </is>
      </c>
      <c r="F639" s="78" t="inlineStr">
        <is>
          <t>Plot / unit price</t>
        </is>
      </c>
      <c r="G639" s="78" t="inlineStr">
        <is>
          <t>Land (estate not stated in source)</t>
        </is>
      </c>
      <c r="H639" s="78" t="inlineStr">
        <is>
          <t>BP-C0150</t>
        </is>
      </c>
      <c r="I639" s="78" t="inlineStr">
        <is>
          <t>Mr Ajiboso Damilare Moses &amp; Mrs Ajiboso Gbemisola Rachael</t>
        </is>
      </c>
      <c r="J639" s="80" t="n">
        <v>1670000</v>
      </c>
      <c r="K639" s="78" t="n"/>
      <c r="L639" s="78" t="inlineStr">
        <is>
          <t>Secondary: commission records; no monthly turnover register for this period</t>
        </is>
      </c>
      <c r="M639" s="78" t="inlineStr">
        <is>
          <t>BAAY PROJECTS SALES EXPENSES (COMMISSION) RECORDS (1)</t>
        </is>
      </c>
      <c r="N639" s="78" t="inlineStr">
        <is>
          <t>MS ADENIKE</t>
        </is>
      </c>
      <c r="O639" s="78" t="n">
        <v>34</v>
      </c>
      <c r="P639" s="78" t="inlineStr">
        <is>
          <t>28/02/2025</t>
        </is>
      </c>
      <c r="Q639" s="78" t="n"/>
      <c r="R639" s="78" t="inlineStr">
        <is>
          <t>Commission-record amount: confirm to bank statement (records can aggregate several transfers)</t>
        </is>
      </c>
    </row>
    <row r="640" ht="25" customHeight="1">
      <c r="A640" s="75" t="inlineStr">
        <is>
          <t>SL0617</t>
        </is>
      </c>
      <c r="B640" s="76" t="n">
        <v>45716</v>
      </c>
      <c r="C640" s="75" t="inlineStr">
        <is>
          <t>2025-02</t>
        </is>
      </c>
      <c r="D640" s="75" t="n">
        <v>2025</v>
      </c>
      <c r="E640" s="75" t="inlineStr">
        <is>
          <t>Land</t>
        </is>
      </c>
      <c r="F640" s="75" t="inlineStr">
        <is>
          <t>Plot / unit price</t>
        </is>
      </c>
      <c r="G640" s="75" t="inlineStr">
        <is>
          <t>Land (estate not stated in source)</t>
        </is>
      </c>
      <c r="H640" s="75" t="inlineStr">
        <is>
          <t>BP-C0158</t>
        </is>
      </c>
      <c r="I640" s="75" t="inlineStr">
        <is>
          <t>Mr Shino Vincent Precious</t>
        </is>
      </c>
      <c r="J640" s="77" t="n">
        <v>396000</v>
      </c>
      <c r="K640" s="75" t="n"/>
      <c r="L640" s="75" t="inlineStr">
        <is>
          <t>Secondary: commission records; no monthly turnover register for this period</t>
        </is>
      </c>
      <c r="M640" s="75" t="inlineStr">
        <is>
          <t>BAAY PROJECTS SALES EXPENSES (COMMISSION) RECORDS (1)</t>
        </is>
      </c>
      <c r="N640" s="75" t="inlineStr">
        <is>
          <t>MR DANIEL</t>
        </is>
      </c>
      <c r="O640" s="75" t="n">
        <v>16</v>
      </c>
      <c r="P640" s="75" t="inlineStr">
        <is>
          <t>28/02/2025</t>
        </is>
      </c>
      <c r="Q640" s="75" t="n"/>
      <c r="R640" s="75" t="inlineStr">
        <is>
          <t>Commission-record amount: confirm to bank statement (records can aggregate several transfers)</t>
        </is>
      </c>
    </row>
    <row r="641" ht="25" customHeight="1">
      <c r="A641" s="78" t="inlineStr">
        <is>
          <t>SL0618</t>
        </is>
      </c>
      <c r="B641" s="79" t="n">
        <v>45716</v>
      </c>
      <c r="C641" s="78" t="inlineStr">
        <is>
          <t>2025-02</t>
        </is>
      </c>
      <c r="D641" s="78" t="n">
        <v>2025</v>
      </c>
      <c r="E641" s="78" t="inlineStr">
        <is>
          <t>Land</t>
        </is>
      </c>
      <c r="F641" s="78" t="inlineStr">
        <is>
          <t>Plot / unit price</t>
        </is>
      </c>
      <c r="G641" s="78" t="inlineStr">
        <is>
          <t>Land (estate not stated in source)</t>
        </is>
      </c>
      <c r="H641" s="78" t="inlineStr">
        <is>
          <t>BP-C0158</t>
        </is>
      </c>
      <c r="I641" s="78" t="inlineStr">
        <is>
          <t>Mr Shino Vincent Precious</t>
        </is>
      </c>
      <c r="J641" s="80" t="n">
        <v>104000</v>
      </c>
      <c r="K641" s="78" t="n"/>
      <c r="L641" s="78" t="inlineStr">
        <is>
          <t>Secondary: commission records; no monthly turnover register for this period</t>
        </is>
      </c>
      <c r="M641" s="78" t="inlineStr">
        <is>
          <t>BAAY PROJECTS SALES EXPENSES (COMMISSION) RECORDS (1)</t>
        </is>
      </c>
      <c r="N641" s="78" t="inlineStr">
        <is>
          <t>MR DANIEL</t>
        </is>
      </c>
      <c r="O641" s="78" t="n">
        <v>17</v>
      </c>
      <c r="P641" s="78" t="inlineStr">
        <is>
          <t>28/02/2025</t>
        </is>
      </c>
      <c r="Q641" s="78" t="n"/>
      <c r="R641" s="78" t="inlineStr">
        <is>
          <t>Commission-record amount: confirm to bank statement (records can aggregate several transfers)</t>
        </is>
      </c>
    </row>
    <row r="642" ht="25" customHeight="1">
      <c r="A642" s="75" t="inlineStr">
        <is>
          <t>SL0619</t>
        </is>
      </c>
      <c r="B642" s="76" t="n">
        <v>45716</v>
      </c>
      <c r="C642" s="75" t="inlineStr">
        <is>
          <t>2025-02</t>
        </is>
      </c>
      <c r="D642" s="75" t="n">
        <v>2025</v>
      </c>
      <c r="E642" s="75" t="inlineStr">
        <is>
          <t>Land</t>
        </is>
      </c>
      <c r="F642" s="75" t="inlineStr">
        <is>
          <t>Plot / unit price</t>
        </is>
      </c>
      <c r="G642" s="75" t="inlineStr">
        <is>
          <t>Land (estate not stated in source)</t>
        </is>
      </c>
      <c r="H642" s="75" t="inlineStr">
        <is>
          <t>BP-C0167</t>
        </is>
      </c>
      <c r="I642" s="75" t="inlineStr">
        <is>
          <t>Mr Uneze Grant Chetana</t>
        </is>
      </c>
      <c r="J642" s="77" t="n">
        <v>1000000</v>
      </c>
      <c r="K642" s="75" t="n"/>
      <c r="L642" s="75" t="inlineStr">
        <is>
          <t>Secondary: commission records; no monthly turnover register for this period</t>
        </is>
      </c>
      <c r="M642" s="75" t="inlineStr">
        <is>
          <t>BAAY PROJECTS SALES EXPENSES (COMMISSION) RECORDS (1)</t>
        </is>
      </c>
      <c r="N642" s="75" t="inlineStr">
        <is>
          <t>MS SAMUELLA</t>
        </is>
      </c>
      <c r="O642" s="75" t="n">
        <v>19</v>
      </c>
      <c r="P642" s="75" t="inlineStr">
        <is>
          <t>28/02/2025</t>
        </is>
      </c>
      <c r="Q642" s="75" t="n"/>
      <c r="R642" s="75" t="inlineStr">
        <is>
          <t>Commission-record amount: confirm to bank statement (records can aggregate several transfers)</t>
        </is>
      </c>
    </row>
    <row r="643" ht="25" customHeight="1">
      <c r="A643" s="78" t="inlineStr">
        <is>
          <t>SL0620</t>
        </is>
      </c>
      <c r="B643" s="79" t="n">
        <v>45716</v>
      </c>
      <c r="C643" s="78" t="inlineStr">
        <is>
          <t>2025-02</t>
        </is>
      </c>
      <c r="D643" s="78" t="n">
        <v>2025</v>
      </c>
      <c r="E643" s="78" t="inlineStr">
        <is>
          <t>Land</t>
        </is>
      </c>
      <c r="F643" s="78" t="inlineStr">
        <is>
          <t>Plot / unit price</t>
        </is>
      </c>
      <c r="G643" s="78" t="inlineStr">
        <is>
          <t>Land (estate not stated in source)</t>
        </is>
      </c>
      <c r="H643" s="78" t="inlineStr">
        <is>
          <t>BP-C0157</t>
        </is>
      </c>
      <c r="I643" s="78" t="inlineStr">
        <is>
          <t>Mrs Adepoju Adebola Adeniran</t>
        </is>
      </c>
      <c r="J643" s="80" t="n">
        <v>1600000</v>
      </c>
      <c r="K643" s="78" t="n"/>
      <c r="L643" s="78" t="inlineStr">
        <is>
          <t>Secondary: commission records; no monthly turnover register for this period</t>
        </is>
      </c>
      <c r="M643" s="78" t="inlineStr">
        <is>
          <t>BAAY PROJECTS SALES EXPENSES (COMMISSION) RECORDS (1)</t>
        </is>
      </c>
      <c r="N643" s="78" t="inlineStr">
        <is>
          <t>MS TAIWO</t>
        </is>
      </c>
      <c r="O643" s="78" t="n">
        <v>84</v>
      </c>
      <c r="P643" s="78" t="inlineStr">
        <is>
          <t>28/02/2025</t>
        </is>
      </c>
      <c r="Q643" s="78" t="n"/>
      <c r="R643" s="78" t="inlineStr">
        <is>
          <t>Commission-record amount: confirm to bank statement (records can aggregate several transfers)</t>
        </is>
      </c>
    </row>
    <row r="644" ht="25" customHeight="1">
      <c r="A644" s="75" t="inlineStr">
        <is>
          <t>SL0621</t>
        </is>
      </c>
      <c r="B644" s="76" t="n">
        <v>45717</v>
      </c>
      <c r="C644" s="75" t="inlineStr">
        <is>
          <t>2025-03</t>
        </is>
      </c>
      <c r="D644" s="75" t="n">
        <v>2025</v>
      </c>
      <c r="E644" s="75" t="inlineStr">
        <is>
          <t>Land</t>
        </is>
      </c>
      <c r="F644" s="75" t="inlineStr">
        <is>
          <t>Plot / unit price</t>
        </is>
      </c>
      <c r="G644" s="75" t="inlineStr">
        <is>
          <t>Land (estate not stated in source)</t>
        </is>
      </c>
      <c r="H644" s="75" t="inlineStr">
        <is>
          <t>BP-C0146</t>
        </is>
      </c>
      <c r="I644" s="75" t="inlineStr">
        <is>
          <t>Miss Tijani Tawa Motunrayo</t>
        </is>
      </c>
      <c r="J644" s="77" t="n">
        <v>520000</v>
      </c>
      <c r="K644" s="75" t="n"/>
      <c r="L644" s="75" t="inlineStr">
        <is>
          <t>Secondary: commission records; no monthly turnover register for this period</t>
        </is>
      </c>
      <c r="M644" s="75" t="inlineStr">
        <is>
          <t>BAAY PROJECTS SALES EXPENSES (COMMISSION) RECORDS (1)</t>
        </is>
      </c>
      <c r="N644" s="75" t="inlineStr">
        <is>
          <t>MS AWONORIN MAYOWA</t>
        </is>
      </c>
      <c r="O644" s="75" t="n">
        <v>45</v>
      </c>
      <c r="P644" s="75" t="inlineStr">
        <is>
          <t>2025-01-03</t>
        </is>
      </c>
      <c r="Q644" s="75" t="n"/>
      <c r="R644" s="75" t="inlineStr">
        <is>
          <t>Commission-record amount: confirm to bank statement (records can aggregate several transfers)</t>
        </is>
      </c>
    </row>
    <row r="645" ht="25" customHeight="1">
      <c r="A645" s="78" t="inlineStr">
        <is>
          <t>SL0622</t>
        </is>
      </c>
      <c r="B645" s="79" t="n">
        <v>45718</v>
      </c>
      <c r="C645" s="78" t="inlineStr">
        <is>
          <t>2025-03</t>
        </is>
      </c>
      <c r="D645" s="78" t="n">
        <v>2025</v>
      </c>
      <c r="E645" s="78" t="inlineStr">
        <is>
          <t>Housing</t>
        </is>
      </c>
      <c r="F645" s="78" t="inlineStr">
        <is>
          <t>Plot / unit price</t>
        </is>
      </c>
      <c r="G645" s="78" t="inlineStr">
        <is>
          <t>Baay Foreshore</t>
        </is>
      </c>
      <c r="H645" s="78" t="inlineStr">
        <is>
          <t>BP-C0177</t>
        </is>
      </c>
      <c r="I645" s="78" t="inlineStr">
        <is>
          <t>Mrs. Osobu Olufunke</t>
        </is>
      </c>
      <c r="J645" s="80" t="n">
        <v>5000000</v>
      </c>
      <c r="K645" s="78" t="n"/>
      <c r="L645" s="78" t="inlineStr">
        <is>
          <t>Secondary: commission records; no monthly turnover register for this period</t>
        </is>
      </c>
      <c r="M645" s="78" t="inlineStr">
        <is>
          <t>BAAY PROJECTS SALES EXPENSES (COMMISSION) RECORDS (1)</t>
        </is>
      </c>
      <c r="N645" s="78" t="inlineStr">
        <is>
          <t>ENGR. TOBI AJIBOLA</t>
        </is>
      </c>
      <c r="O645" s="78" t="n">
        <v>2</v>
      </c>
      <c r="P645" s="78" t="inlineStr">
        <is>
          <t>2025-02-03</t>
        </is>
      </c>
      <c r="Q645" s="78" t="n"/>
      <c r="R645" s="78" t="inlineStr">
        <is>
          <t>Commission-record amount: confirm to bank statement (records can aggregate several transfers)</t>
        </is>
      </c>
    </row>
    <row r="646" ht="25" customHeight="1">
      <c r="A646" s="75" t="inlineStr">
        <is>
          <t>SL0623</t>
        </is>
      </c>
      <c r="B646" s="76" t="n">
        <v>45719</v>
      </c>
      <c r="C646" s="75" t="inlineStr">
        <is>
          <t>2025-03</t>
        </is>
      </c>
      <c r="D646" s="75" t="n">
        <v>2025</v>
      </c>
      <c r="E646" s="75" t="inlineStr">
        <is>
          <t>Land</t>
        </is>
      </c>
      <c r="F646" s="75" t="inlineStr">
        <is>
          <t>Plot / unit price</t>
        </is>
      </c>
      <c r="G646" s="75" t="inlineStr">
        <is>
          <t>Land (estate not stated in source)</t>
        </is>
      </c>
      <c r="H646" s="75" t="inlineStr">
        <is>
          <t>BP-C0168</t>
        </is>
      </c>
      <c r="I646" s="75" t="inlineStr">
        <is>
          <t>Mrs Adenuga Damilola Grace</t>
        </is>
      </c>
      <c r="J646" s="77" t="n">
        <v>350000</v>
      </c>
      <c r="K646" s="75" t="n"/>
      <c r="L646" s="75" t="inlineStr">
        <is>
          <t>Secondary: commission records; no monthly turnover register for this period</t>
        </is>
      </c>
      <c r="M646" s="75" t="inlineStr">
        <is>
          <t>BAAY PROJECTS SALES EXPENSES (COMMISSION) RECORDS (1)</t>
        </is>
      </c>
      <c r="N646" s="75" t="inlineStr">
        <is>
          <t>MS ADENIKE</t>
        </is>
      </c>
      <c r="O646" s="75" t="n">
        <v>41</v>
      </c>
      <c r="P646" s="75" t="inlineStr">
        <is>
          <t>2025-03-03</t>
        </is>
      </c>
      <c r="Q646" s="75" t="n"/>
      <c r="R646" s="75" t="inlineStr">
        <is>
          <t>Commission-record amount: confirm to bank statement (records can aggregate several transfers)</t>
        </is>
      </c>
    </row>
    <row r="647" ht="25" customHeight="1">
      <c r="A647" s="78" t="inlineStr">
        <is>
          <t>SL0624</t>
        </is>
      </c>
      <c r="B647" s="79" t="n">
        <v>45719</v>
      </c>
      <c r="C647" s="78" t="inlineStr">
        <is>
          <t>2025-03</t>
        </is>
      </c>
      <c r="D647" s="78" t="n">
        <v>2025</v>
      </c>
      <c r="E647" s="78" t="inlineStr">
        <is>
          <t>Land</t>
        </is>
      </c>
      <c r="F647" s="78" t="inlineStr">
        <is>
          <t>Plot / unit price</t>
        </is>
      </c>
      <c r="G647" s="78" t="inlineStr">
        <is>
          <t>Land (estate not stated in source)</t>
        </is>
      </c>
      <c r="H647" s="78" t="inlineStr">
        <is>
          <t>BP-C0178</t>
        </is>
      </c>
      <c r="I647" s="78" t="inlineStr">
        <is>
          <t>Mrs Ajiri-Odeh Chioma</t>
        </is>
      </c>
      <c r="J647" s="80" t="n">
        <v>200000</v>
      </c>
      <c r="K647" s="78" t="n"/>
      <c r="L647" s="78" t="inlineStr">
        <is>
          <t>Secondary: commission records; no monthly turnover register for this period</t>
        </is>
      </c>
      <c r="M647" s="78" t="inlineStr">
        <is>
          <t>BAAY PROJECTS SALES EXPENSES (COMMISSION) RECORDS (1)</t>
        </is>
      </c>
      <c r="N647" s="78" t="inlineStr">
        <is>
          <t>MS JENNIFER</t>
        </is>
      </c>
      <c r="O647" s="78" t="n">
        <v>3</v>
      </c>
      <c r="P647" s="78" t="inlineStr">
        <is>
          <t>2025-03-03</t>
        </is>
      </c>
      <c r="Q647" s="78" t="n"/>
      <c r="R647" s="78" t="inlineStr">
        <is>
          <t>Commission-record amount: confirm to bank statement (records can aggregate several transfers)</t>
        </is>
      </c>
    </row>
    <row r="648" ht="25" customHeight="1">
      <c r="A648" s="75" t="inlineStr">
        <is>
          <t>SL0625</t>
        </is>
      </c>
      <c r="B648" s="76" t="n">
        <v>45719</v>
      </c>
      <c r="C648" s="75" t="inlineStr">
        <is>
          <t>2025-03</t>
        </is>
      </c>
      <c r="D648" s="75" t="n">
        <v>2025</v>
      </c>
      <c r="E648" s="75" t="inlineStr">
        <is>
          <t>Housing</t>
        </is>
      </c>
      <c r="F648" s="75" t="inlineStr">
        <is>
          <t>Plot / unit price</t>
        </is>
      </c>
      <c r="G648" s="75" t="inlineStr">
        <is>
          <t>Baay Foreshore</t>
        </is>
      </c>
      <c r="H648" s="75" t="inlineStr">
        <is>
          <t>BP-C0177</t>
        </is>
      </c>
      <c r="I648" s="75" t="inlineStr">
        <is>
          <t>Mrs. Osobu Olufunke</t>
        </is>
      </c>
      <c r="J648" s="77" t="n">
        <v>5000000</v>
      </c>
      <c r="K648" s="75" t="n"/>
      <c r="L648" s="75" t="inlineStr">
        <is>
          <t>Secondary: commission records; no monthly turnover register for this period</t>
        </is>
      </c>
      <c r="M648" s="75" t="inlineStr">
        <is>
          <t>BAAY PROJECTS SALES EXPENSES (COMMISSION) RECORDS (1)</t>
        </is>
      </c>
      <c r="N648" s="75" t="inlineStr">
        <is>
          <t>ENGR. TOBI AJIBOLA</t>
        </is>
      </c>
      <c r="O648" s="75" t="n">
        <v>3</v>
      </c>
      <c r="P648" s="75" t="inlineStr">
        <is>
          <t>2025-03-03</t>
        </is>
      </c>
      <c r="Q648" s="75" t="n"/>
      <c r="R648" s="75" t="inlineStr">
        <is>
          <t>Commission-record amount: confirm to bank statement (records can aggregate several transfers)</t>
        </is>
      </c>
    </row>
    <row r="649" ht="25" customHeight="1">
      <c r="A649" s="78" t="inlineStr">
        <is>
          <t>SL0626</t>
        </is>
      </c>
      <c r="B649" s="79" t="n">
        <v>45720</v>
      </c>
      <c r="C649" s="78" t="inlineStr">
        <is>
          <t>2025-03</t>
        </is>
      </c>
      <c r="D649" s="78" t="n">
        <v>2025</v>
      </c>
      <c r="E649" s="78" t="inlineStr">
        <is>
          <t>Housing</t>
        </is>
      </c>
      <c r="F649" s="78" t="inlineStr">
        <is>
          <t>Plot / unit price</t>
        </is>
      </c>
      <c r="G649" s="78" t="inlineStr">
        <is>
          <t>Pacific Apartment</t>
        </is>
      </c>
      <c r="H649" s="78" t="inlineStr">
        <is>
          <t>BP-C0140</t>
        </is>
      </c>
      <c r="I649" s="78" t="inlineStr">
        <is>
          <t>Mr Balogun Akeem Tokunbo</t>
        </is>
      </c>
      <c r="J649" s="80" t="n">
        <v>5000000</v>
      </c>
      <c r="K649" s="78" t="n"/>
      <c r="L649" s="78" t="inlineStr">
        <is>
          <t>Secondary: commission records; no monthly turnover register for this period</t>
        </is>
      </c>
      <c r="M649" s="78" t="inlineStr">
        <is>
          <t>BAAY PROJECTS SALES EXPENSES (COMMISSION) RECORDS (1)</t>
        </is>
      </c>
      <c r="N649" s="78" t="inlineStr">
        <is>
          <t>MAMA ADEBIMPE</t>
        </is>
      </c>
      <c r="O649" s="78" t="n">
        <v>121</v>
      </c>
      <c r="P649" s="78" t="inlineStr">
        <is>
          <t>2025-04-03</t>
        </is>
      </c>
      <c r="Q649" s="78" t="n"/>
      <c r="R649" s="78" t="inlineStr">
        <is>
          <t>Commission-record amount: confirm to bank statement (records can aggregate several transfers)</t>
        </is>
      </c>
    </row>
    <row r="650" ht="25" customHeight="1">
      <c r="A650" s="75" t="inlineStr">
        <is>
          <t>SL0627</t>
        </is>
      </c>
      <c r="B650" s="76" t="n">
        <v>45720</v>
      </c>
      <c r="C650" s="75" t="inlineStr">
        <is>
          <t>2025-03</t>
        </is>
      </c>
      <c r="D650" s="75" t="n">
        <v>2025</v>
      </c>
      <c r="E650" s="75" t="inlineStr">
        <is>
          <t>Housing</t>
        </is>
      </c>
      <c r="F650" s="75" t="inlineStr">
        <is>
          <t>Plot / unit price</t>
        </is>
      </c>
      <c r="G650" s="75" t="inlineStr">
        <is>
          <t>Baay Foreshore</t>
        </is>
      </c>
      <c r="H650" s="75" t="inlineStr">
        <is>
          <t>BP-C0177</t>
        </is>
      </c>
      <c r="I650" s="75" t="inlineStr">
        <is>
          <t>Mrs. Osobu Olufunke</t>
        </is>
      </c>
      <c r="J650" s="77" t="n">
        <v>10000000</v>
      </c>
      <c r="K650" s="75" t="n"/>
      <c r="L650" s="75" t="inlineStr">
        <is>
          <t>Secondary: commission records; no monthly turnover register for this period</t>
        </is>
      </c>
      <c r="M650" s="75" t="inlineStr">
        <is>
          <t>BAAY PROJECTS SALES EXPENSES (COMMISSION) RECORDS (1)</t>
        </is>
      </c>
      <c r="N650" s="75" t="inlineStr">
        <is>
          <t>ENGR. TOBI AJIBOLA</t>
        </is>
      </c>
      <c r="O650" s="75" t="n">
        <v>4</v>
      </c>
      <c r="P650" s="75" t="inlineStr">
        <is>
          <t>2025-04-03</t>
        </is>
      </c>
      <c r="Q650" s="75" t="n"/>
      <c r="R650" s="75" t="inlineStr">
        <is>
          <t>Commission-record amount: confirm to bank statement (records can aggregate several transfers)</t>
        </is>
      </c>
    </row>
    <row r="651" ht="25" customHeight="1">
      <c r="A651" s="78" t="inlineStr">
        <is>
          <t>SL0628</t>
        </is>
      </c>
      <c r="B651" s="79" t="n">
        <v>45721</v>
      </c>
      <c r="C651" s="78" t="inlineStr">
        <is>
          <t>2025-03</t>
        </is>
      </c>
      <c r="D651" s="78" t="n">
        <v>2025</v>
      </c>
      <c r="E651" s="78" t="inlineStr">
        <is>
          <t>Land</t>
        </is>
      </c>
      <c r="F651" s="78" t="inlineStr">
        <is>
          <t>Plot / unit price</t>
        </is>
      </c>
      <c r="G651" s="78" t="inlineStr">
        <is>
          <t>Land (estate not stated in source)</t>
        </is>
      </c>
      <c r="H651" s="78" t="inlineStr">
        <is>
          <t>BP-C0148</t>
        </is>
      </c>
      <c r="I651" s="78" t="inlineStr">
        <is>
          <t>Mr Akinsete Michael</t>
        </is>
      </c>
      <c r="J651" s="80" t="n">
        <v>300000</v>
      </c>
      <c r="K651" s="78" t="n"/>
      <c r="L651" s="78" t="inlineStr">
        <is>
          <t>Secondary: commission records; no monthly turnover register for this period</t>
        </is>
      </c>
      <c r="M651" s="78" t="inlineStr">
        <is>
          <t>BAAY PROJECTS SALES EXPENSES (COMMISSION) RECORDS (1)</t>
        </is>
      </c>
      <c r="N651" s="78" t="inlineStr">
        <is>
          <t>MD</t>
        </is>
      </c>
      <c r="O651" s="78" t="n">
        <v>146</v>
      </c>
      <c r="P651" s="78" t="inlineStr">
        <is>
          <t>2025-05-03</t>
        </is>
      </c>
      <c r="Q651" s="78" t="n"/>
      <c r="R651" s="78" t="inlineStr">
        <is>
          <t>Commission-record amount: confirm to bank statement (records can aggregate several transfers)</t>
        </is>
      </c>
    </row>
    <row r="652" ht="25" customHeight="1">
      <c r="A652" s="75" t="inlineStr">
        <is>
          <t>SL0629</t>
        </is>
      </c>
      <c r="B652" s="76" t="n">
        <v>45722</v>
      </c>
      <c r="C652" s="75" t="inlineStr">
        <is>
          <t>2025-03</t>
        </is>
      </c>
      <c r="D652" s="75" t="n">
        <v>2025</v>
      </c>
      <c r="E652" s="75" t="inlineStr">
        <is>
          <t>Housing</t>
        </is>
      </c>
      <c r="F652" s="75" t="inlineStr">
        <is>
          <t>Plot / unit price</t>
        </is>
      </c>
      <c r="G652" s="75" t="inlineStr">
        <is>
          <t>Pacific Apartment</t>
        </is>
      </c>
      <c r="H652" s="75" t="inlineStr">
        <is>
          <t>BP-C0179</t>
        </is>
      </c>
      <c r="I652" s="75" t="inlineStr">
        <is>
          <t>Mr Olajide Afeez</t>
        </is>
      </c>
      <c r="J652" s="77" t="n">
        <v>95000000</v>
      </c>
      <c r="K652" s="75" t="n"/>
      <c r="L652" s="75" t="inlineStr">
        <is>
          <t>Secondary: commission records; no monthly turnover register for this period</t>
        </is>
      </c>
      <c r="M652" s="75" t="inlineStr">
        <is>
          <t>BAAY PROJECTS SALES EXPENSES (COMMISSION) RECORDS (1)</t>
        </is>
      </c>
      <c r="N652" s="75" t="inlineStr">
        <is>
          <t>MD</t>
        </is>
      </c>
      <c r="O652" s="75" t="n">
        <v>147</v>
      </c>
      <c r="P652" s="75" t="inlineStr">
        <is>
          <t>2025-06-03</t>
        </is>
      </c>
      <c r="Q652" s="75" t="n"/>
      <c r="R652" s="75" t="inlineStr">
        <is>
          <t>Commission-record amount: confirm to bank statement (records can aggregate several transfers)</t>
        </is>
      </c>
    </row>
    <row r="653" ht="25" customHeight="1">
      <c r="A653" s="78" t="inlineStr">
        <is>
          <t>SL0630</t>
        </is>
      </c>
      <c r="B653" s="79" t="n">
        <v>45723</v>
      </c>
      <c r="C653" s="78" t="inlineStr">
        <is>
          <t>2025-03</t>
        </is>
      </c>
      <c r="D653" s="78" t="n">
        <v>2025</v>
      </c>
      <c r="E653" s="78" t="inlineStr">
        <is>
          <t>Land</t>
        </is>
      </c>
      <c r="F653" s="78" t="inlineStr">
        <is>
          <t>Plot / unit price</t>
        </is>
      </c>
      <c r="G653" s="78" t="inlineStr">
        <is>
          <t>Land (estate not stated in source)</t>
        </is>
      </c>
      <c r="H653" s="78" t="inlineStr">
        <is>
          <t>BP-C0159</t>
        </is>
      </c>
      <c r="I653" s="78" t="inlineStr">
        <is>
          <t>Miss Etefe Ava Ogheneyorhe</t>
        </is>
      </c>
      <c r="J653" s="80" t="n">
        <v>50000</v>
      </c>
      <c r="K653" s="78" t="n"/>
      <c r="L653" s="78" t="inlineStr">
        <is>
          <t>Secondary: commission records; no monthly turnover register for this period</t>
        </is>
      </c>
      <c r="M653" s="78" t="inlineStr">
        <is>
          <t>BAAY PROJECTS SALES EXPENSES (COMMISSION) RECORDS (1)</t>
        </is>
      </c>
      <c r="N653" s="78" t="inlineStr">
        <is>
          <t>MS ELIZABETH</t>
        </is>
      </c>
      <c r="O653" s="78" t="n">
        <v>77</v>
      </c>
      <c r="P653" s="78" t="inlineStr">
        <is>
          <t>2025-07-03</t>
        </is>
      </c>
      <c r="Q653" s="78" t="n"/>
      <c r="R653" s="78" t="inlineStr">
        <is>
          <t>Commission-record amount: confirm to bank statement (records can aggregate several transfers)</t>
        </is>
      </c>
    </row>
    <row r="654" ht="25" customHeight="1">
      <c r="A654" s="75" t="inlineStr">
        <is>
          <t>SL0631</t>
        </is>
      </c>
      <c r="B654" s="76" t="n">
        <v>45723</v>
      </c>
      <c r="C654" s="75" t="inlineStr">
        <is>
          <t>2025-03</t>
        </is>
      </c>
      <c r="D654" s="75" t="n">
        <v>2025</v>
      </c>
      <c r="E654" s="75" t="inlineStr">
        <is>
          <t>Land</t>
        </is>
      </c>
      <c r="F654" s="75" t="inlineStr">
        <is>
          <t>Plot / unit price</t>
        </is>
      </c>
      <c r="G654" s="75" t="inlineStr">
        <is>
          <t>Land (estate not stated in source)</t>
        </is>
      </c>
      <c r="H654" s="75" t="inlineStr">
        <is>
          <t>BP-C0173</t>
        </is>
      </c>
      <c r="I654" s="75" t="inlineStr">
        <is>
          <t>Miss Julian-Nwadi Hephzibah Chisom</t>
        </is>
      </c>
      <c r="J654" s="77" t="n">
        <v>284000</v>
      </c>
      <c r="K654" s="75" t="n"/>
      <c r="L654" s="75" t="inlineStr">
        <is>
          <t>Secondary: commission records; no monthly turnover register for this period</t>
        </is>
      </c>
      <c r="M654" s="75" t="inlineStr">
        <is>
          <t>BAAY PROJECTS SALES EXPENSES (COMMISSION) RECORDS (1)</t>
        </is>
      </c>
      <c r="N654" s="75" t="inlineStr">
        <is>
          <t>MS ROSEMARY</t>
        </is>
      </c>
      <c r="O654" s="75" t="n">
        <v>10</v>
      </c>
      <c r="P654" s="75" t="inlineStr">
        <is>
          <t>2025-07-03</t>
        </is>
      </c>
      <c r="Q654" s="75" t="n"/>
      <c r="R654" s="75" t="inlineStr">
        <is>
          <t>Commission-record amount: confirm to bank statement (records can aggregate several transfers)</t>
        </is>
      </c>
    </row>
    <row r="655" ht="25" customHeight="1">
      <c r="A655" s="78" t="inlineStr">
        <is>
          <t>SL0632</t>
        </is>
      </c>
      <c r="B655" s="79" t="n">
        <v>45724</v>
      </c>
      <c r="C655" s="78" t="inlineStr">
        <is>
          <t>2025-03</t>
        </is>
      </c>
      <c r="D655" s="78" t="n">
        <v>2025</v>
      </c>
      <c r="E655" s="78" t="inlineStr">
        <is>
          <t>Housing</t>
        </is>
      </c>
      <c r="F655" s="78" t="inlineStr">
        <is>
          <t>Plot / unit price</t>
        </is>
      </c>
      <c r="G655" s="78" t="inlineStr">
        <is>
          <t>Pacific Apartment</t>
        </is>
      </c>
      <c r="H655" s="78" t="inlineStr">
        <is>
          <t>BP-C0143</t>
        </is>
      </c>
      <c r="I655" s="78" t="inlineStr">
        <is>
          <t>Mrs Oyindamola Duntoye Adekunle</t>
        </is>
      </c>
      <c r="J655" s="80" t="n">
        <v>4750000</v>
      </c>
      <c r="K655" s="78" t="n"/>
      <c r="L655" s="78" t="inlineStr">
        <is>
          <t>Secondary: commission records; no monthly turnover register for this period</t>
        </is>
      </c>
      <c r="M655" s="78" t="inlineStr">
        <is>
          <t>BAAY PROJECTS SALES EXPENSES (COMMISSION) RECORDS (1)</t>
        </is>
      </c>
      <c r="N655" s="78" t="inlineStr">
        <is>
          <t>MAMA ADEBIMPE</t>
        </is>
      </c>
      <c r="O655" s="78" t="n">
        <v>127</v>
      </c>
      <c r="P655" s="78" t="inlineStr">
        <is>
          <t>2025-08-03</t>
        </is>
      </c>
      <c r="Q655" s="78" t="n"/>
      <c r="R655" s="78" t="inlineStr">
        <is>
          <t>Commission-record amount: confirm to bank statement (records can aggregate several transfers)</t>
        </is>
      </c>
    </row>
    <row r="656" ht="25" customHeight="1">
      <c r="A656" s="75" t="inlineStr">
        <is>
          <t>SL0633</t>
        </is>
      </c>
      <c r="B656" s="76" t="n">
        <v>45725</v>
      </c>
      <c r="C656" s="75" t="inlineStr">
        <is>
          <t>2025-03</t>
        </is>
      </c>
      <c r="D656" s="75" t="n">
        <v>2025</v>
      </c>
      <c r="E656" s="75" t="inlineStr">
        <is>
          <t>Land</t>
        </is>
      </c>
      <c r="F656" s="75" t="inlineStr">
        <is>
          <t>Plot / unit price</t>
        </is>
      </c>
      <c r="G656" s="75" t="inlineStr">
        <is>
          <t>Land (estate not stated in source)</t>
        </is>
      </c>
      <c r="H656" s="75" t="inlineStr">
        <is>
          <t>BP-C0151</t>
        </is>
      </c>
      <c r="I656" s="75" t="inlineStr">
        <is>
          <t>Mrs Shotonwa Olamide Abosede</t>
        </is>
      </c>
      <c r="J656" s="77" t="n">
        <v>1000000</v>
      </c>
      <c r="K656" s="75" t="n"/>
      <c r="L656" s="75" t="inlineStr">
        <is>
          <t>Secondary: commission records; no monthly turnover register for this period</t>
        </is>
      </c>
      <c r="M656" s="75" t="inlineStr">
        <is>
          <t>BAAY PROJECTS SALES EXPENSES (COMMISSION) RECORDS (1)</t>
        </is>
      </c>
      <c r="N656" s="75" t="inlineStr">
        <is>
          <t>MS ADENIKE</t>
        </is>
      </c>
      <c r="O656" s="75" t="n">
        <v>42</v>
      </c>
      <c r="P656" s="75" t="inlineStr">
        <is>
          <t>2025-09-03</t>
        </is>
      </c>
      <c r="Q656" s="75" t="n"/>
      <c r="R656" s="75" t="inlineStr">
        <is>
          <t>Commission-record amount: confirm to bank statement (records can aggregate several transfers)</t>
        </is>
      </c>
    </row>
    <row r="657" ht="25" customHeight="1">
      <c r="A657" s="78" t="inlineStr">
        <is>
          <t>SL0634</t>
        </is>
      </c>
      <c r="B657" s="79" t="n">
        <v>45729</v>
      </c>
      <c r="C657" s="78" t="inlineStr">
        <is>
          <t>2025-03</t>
        </is>
      </c>
      <c r="D657" s="78" t="n">
        <v>2025</v>
      </c>
      <c r="E657" s="78" t="inlineStr">
        <is>
          <t>Land</t>
        </is>
      </c>
      <c r="F657" s="78" t="inlineStr">
        <is>
          <t>Plot / unit price</t>
        </is>
      </c>
      <c r="G657" s="78" t="inlineStr">
        <is>
          <t>Land (estate not stated in source)</t>
        </is>
      </c>
      <c r="H657" s="78" t="inlineStr">
        <is>
          <t>BP-C0132</t>
        </is>
      </c>
      <c r="I657" s="78" t="inlineStr">
        <is>
          <t>Mr Adekunle Temitope Ajayi</t>
        </is>
      </c>
      <c r="J657" s="80" t="n">
        <v>1000000</v>
      </c>
      <c r="K657" s="78" t="n"/>
      <c r="L657" s="78" t="inlineStr">
        <is>
          <t>Secondary: commission records; no monthly turnover register for this period</t>
        </is>
      </c>
      <c r="M657" s="78" t="inlineStr">
        <is>
          <t>BAAY PROJECTS SALES EXPENSES (COMMISSION) RECORDS (1)</t>
        </is>
      </c>
      <c r="N657" s="78" t="inlineStr">
        <is>
          <t>MS OPEYEMI ADEGOKE</t>
        </is>
      </c>
      <c r="O657" s="78" t="n">
        <v>31</v>
      </c>
      <c r="P657" s="78" t="inlineStr">
        <is>
          <t>13/03/2025</t>
        </is>
      </c>
      <c r="Q657" s="78" t="n"/>
      <c r="R657" s="78" t="inlineStr">
        <is>
          <t>Commission-record amount: confirm to bank statement (records can aggregate several transfers)</t>
        </is>
      </c>
    </row>
    <row r="658" ht="25" customHeight="1">
      <c r="A658" s="75" t="inlineStr">
        <is>
          <t>SL0635</t>
        </is>
      </c>
      <c r="B658" s="76" t="n">
        <v>45730</v>
      </c>
      <c r="C658" s="75" t="inlineStr">
        <is>
          <t>2025-03</t>
        </is>
      </c>
      <c r="D658" s="75" t="n">
        <v>2025</v>
      </c>
      <c r="E658" s="75" t="inlineStr">
        <is>
          <t>Housing</t>
        </is>
      </c>
      <c r="F658" s="75" t="inlineStr">
        <is>
          <t>Plot / unit price</t>
        </is>
      </c>
      <c r="G658" s="75" t="inlineStr">
        <is>
          <t>Pacific Apartment</t>
        </is>
      </c>
      <c r="H658" s="75" t="inlineStr">
        <is>
          <t>BP-C0183</t>
        </is>
      </c>
      <c r="I658" s="75" t="inlineStr">
        <is>
          <t>Salem Real Estate (Mr Atoyebi Isaac Jesuloba)</t>
        </is>
      </c>
      <c r="J658" s="77" t="n">
        <v>1500000</v>
      </c>
      <c r="K658" s="75" t="n"/>
      <c r="L658" s="75" t="inlineStr">
        <is>
          <t>Secondary: commission records; no monthly turnover register for this period</t>
        </is>
      </c>
      <c r="M658" s="75" t="inlineStr">
        <is>
          <t>BAAY PROJECTS SALES EXPENSES (COMMISSION) RECORDS (1)</t>
        </is>
      </c>
      <c r="N658" s="75" t="inlineStr">
        <is>
          <t>MD</t>
        </is>
      </c>
      <c r="O658" s="75" t="n">
        <v>151</v>
      </c>
      <c r="P658" s="75" t="inlineStr">
        <is>
          <t>14/03/2025</t>
        </is>
      </c>
      <c r="Q658" s="75" t="inlineStr">
        <is>
          <t>SALEM REAL ESTATE r2</t>
        </is>
      </c>
      <c r="R658" s="75" t="inlineStr">
        <is>
          <t>Commission-record amount: confirm to bank statement (records can aggregate several transfers)</t>
        </is>
      </c>
    </row>
    <row r="659" ht="25" customHeight="1">
      <c r="A659" s="78" t="inlineStr">
        <is>
          <t>SL0636</t>
        </is>
      </c>
      <c r="B659" s="79" t="n">
        <v>45732</v>
      </c>
      <c r="C659" s="78" t="inlineStr">
        <is>
          <t>2025-03</t>
        </is>
      </c>
      <c r="D659" s="78" t="n">
        <v>2025</v>
      </c>
      <c r="E659" s="78" t="inlineStr">
        <is>
          <t>Housing</t>
        </is>
      </c>
      <c r="F659" s="78" t="inlineStr">
        <is>
          <t>Plot / unit price</t>
        </is>
      </c>
      <c r="G659" s="78" t="inlineStr">
        <is>
          <t>Pacific Apartment</t>
        </is>
      </c>
      <c r="H659" s="78" t="inlineStr">
        <is>
          <t>BP-C0183</t>
        </is>
      </c>
      <c r="I659" s="78" t="inlineStr">
        <is>
          <t>Salem Real Estate (Mr Atoyebi Isaac Jesuloba)</t>
        </is>
      </c>
      <c r="J659" s="80" t="n">
        <v>1500000</v>
      </c>
      <c r="K659" s="78" t="n"/>
      <c r="L659" s="78" t="inlineStr">
        <is>
          <t>Secondary: commission records; no monthly turnover register for this period</t>
        </is>
      </c>
      <c r="M659" s="78" t="inlineStr">
        <is>
          <t>BAAY PROJECTS SALES EXPENSES (COMMISSION) RECORDS (1)</t>
        </is>
      </c>
      <c r="N659" s="78" t="inlineStr">
        <is>
          <t>MD</t>
        </is>
      </c>
      <c r="O659" s="78" t="n">
        <v>152</v>
      </c>
      <c r="P659" s="78" t="inlineStr">
        <is>
          <t>16/03/2025</t>
        </is>
      </c>
      <c r="Q659" s="78" t="inlineStr">
        <is>
          <t>SALEM REAL ESTATE r3</t>
        </is>
      </c>
      <c r="R659" s="78" t="inlineStr">
        <is>
          <t>Commission-record amount: confirm to bank statement (records can aggregate several transfers)</t>
        </is>
      </c>
    </row>
    <row r="660" ht="25" customHeight="1">
      <c r="A660" s="75" t="inlineStr">
        <is>
          <t>SL0637</t>
        </is>
      </c>
      <c r="B660" s="76" t="n">
        <v>45734</v>
      </c>
      <c r="C660" s="75" t="inlineStr">
        <is>
          <t>2025-03</t>
        </is>
      </c>
      <c r="D660" s="75" t="n">
        <v>2025</v>
      </c>
      <c r="E660" s="75" t="inlineStr">
        <is>
          <t>Land</t>
        </is>
      </c>
      <c r="F660" s="75" t="inlineStr">
        <is>
          <t>Plot / unit price</t>
        </is>
      </c>
      <c r="G660" s="75" t="inlineStr">
        <is>
          <t>Land (estate not stated in source)</t>
        </is>
      </c>
      <c r="H660" s="75" t="inlineStr">
        <is>
          <t>BP-C0184</t>
        </is>
      </c>
      <c r="I660" s="75" t="inlineStr">
        <is>
          <t>Mr Klu Jeremiah</t>
        </is>
      </c>
      <c r="J660" s="77" t="n">
        <v>500000</v>
      </c>
      <c r="K660" s="75" t="n"/>
      <c r="L660" s="75" t="inlineStr">
        <is>
          <t>Secondary: commission records; no monthly turnover register for this period</t>
        </is>
      </c>
      <c r="M660" s="75" t="inlineStr">
        <is>
          <t>BAAY PROJECTS SALES EXPENSES (COMMISSION) RECORDS (1)</t>
        </is>
      </c>
      <c r="N660" s="75" t="inlineStr">
        <is>
          <t>MS BOLANLE</t>
        </is>
      </c>
      <c r="O660" s="75" t="n">
        <v>134</v>
      </c>
      <c r="P660" s="75" t="inlineStr">
        <is>
          <t>18/03/2025</t>
        </is>
      </c>
      <c r="Q660" s="75" t="n"/>
      <c r="R660" s="75" t="inlineStr">
        <is>
          <t>Commission-record amount: confirm to bank statement (records can aggregate several transfers)</t>
        </is>
      </c>
    </row>
    <row r="661" ht="25" customHeight="1">
      <c r="A661" s="78" t="inlineStr">
        <is>
          <t>SL0638</t>
        </is>
      </c>
      <c r="B661" s="79" t="n">
        <v>45736</v>
      </c>
      <c r="C661" s="78" t="inlineStr">
        <is>
          <t>2025-03</t>
        </is>
      </c>
      <c r="D661" s="78" t="n">
        <v>2025</v>
      </c>
      <c r="E661" s="78" t="inlineStr">
        <is>
          <t>Housing</t>
        </is>
      </c>
      <c r="F661" s="78" t="inlineStr">
        <is>
          <t>Plot / unit price</t>
        </is>
      </c>
      <c r="G661" s="78" t="inlineStr">
        <is>
          <t>Pacific Apartment</t>
        </is>
      </c>
      <c r="H661" s="78" t="inlineStr">
        <is>
          <t>BP-C0160</t>
        </is>
      </c>
      <c r="I661" s="78" t="inlineStr">
        <is>
          <t>Mr Okenla Olugboyega Gabriel</t>
        </is>
      </c>
      <c r="J661" s="80" t="n">
        <v>3000000</v>
      </c>
      <c r="K661" s="78" t="n"/>
      <c r="L661" s="78" t="inlineStr">
        <is>
          <t>Secondary: commission records; no monthly turnover register for this period</t>
        </is>
      </c>
      <c r="M661" s="78" t="inlineStr">
        <is>
          <t>BAAY PROJECTS SALES EXPENSES (COMMISSION) RECORDS (1)</t>
        </is>
      </c>
      <c r="N661" s="78" t="inlineStr">
        <is>
          <t>MS MOFFAT</t>
        </is>
      </c>
      <c r="O661" s="78" t="n">
        <v>10</v>
      </c>
      <c r="P661" s="78" t="inlineStr">
        <is>
          <t>20/03/2025</t>
        </is>
      </c>
      <c r="Q661" s="78" t="inlineStr">
        <is>
          <t>MRS ABIMBOLA r184</t>
        </is>
      </c>
      <c r="R661" s="78" t="inlineStr">
        <is>
          <t>Commission-record amount: confirm to bank statement (records can aggregate several transfers)</t>
        </is>
      </c>
    </row>
    <row r="662" ht="25" customHeight="1">
      <c r="A662" s="75" t="inlineStr">
        <is>
          <t>SL0639</t>
        </is>
      </c>
      <c r="B662" s="76" t="n">
        <v>45736</v>
      </c>
      <c r="C662" s="75" t="inlineStr">
        <is>
          <t>2025-03</t>
        </is>
      </c>
      <c r="D662" s="75" t="n">
        <v>2025</v>
      </c>
      <c r="E662" s="75" t="inlineStr">
        <is>
          <t>Housing</t>
        </is>
      </c>
      <c r="F662" s="75" t="inlineStr">
        <is>
          <t>Plot / unit price</t>
        </is>
      </c>
      <c r="G662" s="75" t="inlineStr">
        <is>
          <t>Pacific Court 2</t>
        </is>
      </c>
      <c r="H662" s="75" t="inlineStr">
        <is>
          <t>BP-C0185</t>
        </is>
      </c>
      <c r="I662" s="75" t="inlineStr">
        <is>
          <t>Mr Onwuegbuna Ikechukwu Emmanuel</t>
        </is>
      </c>
      <c r="J662" s="77" t="n">
        <v>5000000</v>
      </c>
      <c r="K662" s="75" t="n"/>
      <c r="L662" s="75" t="inlineStr">
        <is>
          <t>Secondary: commission records; no monthly turnover register for this period</t>
        </is>
      </c>
      <c r="M662" s="75" t="inlineStr">
        <is>
          <t>BAAY PROJECTS SALES EXPENSES (COMMISSION) RECORDS (1)</t>
        </is>
      </c>
      <c r="N662" s="75" t="inlineStr">
        <is>
          <t>MS LORENCIA</t>
        </is>
      </c>
      <c r="O662" s="75" t="n">
        <v>2</v>
      </c>
      <c r="P662" s="75" t="inlineStr">
        <is>
          <t>20/03/2025</t>
        </is>
      </c>
      <c r="Q662" s="75" t="n"/>
      <c r="R662" s="75" t="inlineStr">
        <is>
          <t>Commission-record amount: confirm to bank statement (records can aggregate several transfers)</t>
        </is>
      </c>
    </row>
    <row r="663" ht="25" customHeight="1">
      <c r="A663" s="78" t="inlineStr">
        <is>
          <t>SL0640</t>
        </is>
      </c>
      <c r="B663" s="79" t="n">
        <v>45737</v>
      </c>
      <c r="C663" s="78" t="inlineStr">
        <is>
          <t>2025-03</t>
        </is>
      </c>
      <c r="D663" s="78" t="n">
        <v>2025</v>
      </c>
      <c r="E663" s="78" t="inlineStr">
        <is>
          <t>Housing</t>
        </is>
      </c>
      <c r="F663" s="78" t="inlineStr">
        <is>
          <t>Plot / unit price</t>
        </is>
      </c>
      <c r="G663" s="78" t="inlineStr">
        <is>
          <t>Pacific Court 2</t>
        </is>
      </c>
      <c r="H663" s="78" t="inlineStr">
        <is>
          <t>BP-C0185</t>
        </is>
      </c>
      <c r="I663" s="78" t="inlineStr">
        <is>
          <t>Mr Onwuegbuna Ikechukwu Emmanuel</t>
        </is>
      </c>
      <c r="J663" s="80" t="n">
        <v>10000000</v>
      </c>
      <c r="K663" s="78" t="n"/>
      <c r="L663" s="78" t="inlineStr">
        <is>
          <t>Secondary: commission records; no monthly turnover register for this period</t>
        </is>
      </c>
      <c r="M663" s="78" t="inlineStr">
        <is>
          <t>BAAY PROJECTS SALES EXPENSES (COMMISSION) RECORDS (1)</t>
        </is>
      </c>
      <c r="N663" s="78" t="inlineStr">
        <is>
          <t>MS LORENCIA</t>
        </is>
      </c>
      <c r="O663" s="78" t="n">
        <v>4</v>
      </c>
      <c r="P663" s="78" t="inlineStr">
        <is>
          <t>21/03/2025</t>
        </is>
      </c>
      <c r="Q663" s="78" t="n"/>
      <c r="R663" s="78" t="inlineStr">
        <is>
          <t>Commission-record amount: confirm to bank statement (records can aggregate several transfers)</t>
        </is>
      </c>
    </row>
    <row r="664" ht="25" customHeight="1">
      <c r="A664" s="75" t="inlineStr">
        <is>
          <t>SL0641</t>
        </is>
      </c>
      <c r="B664" s="76" t="n">
        <v>45737</v>
      </c>
      <c r="C664" s="75" t="inlineStr">
        <is>
          <t>2025-03</t>
        </is>
      </c>
      <c r="D664" s="75" t="n">
        <v>2025</v>
      </c>
      <c r="E664" s="75" t="inlineStr">
        <is>
          <t>Housing</t>
        </is>
      </c>
      <c r="F664" s="75" t="inlineStr">
        <is>
          <t>Plot / unit price</t>
        </is>
      </c>
      <c r="G664" s="75" t="inlineStr">
        <is>
          <t>Pacific Apartment</t>
        </is>
      </c>
      <c r="H664" s="75" t="inlineStr">
        <is>
          <t>BP-C0143</t>
        </is>
      </c>
      <c r="I664" s="75" t="inlineStr">
        <is>
          <t>Mrs Oyindamola Duntoye Adekunle</t>
        </is>
      </c>
      <c r="J664" s="77" t="n">
        <v>4750000</v>
      </c>
      <c r="K664" s="75" t="n"/>
      <c r="L664" s="75" t="inlineStr">
        <is>
          <t>Secondary: commission records; no monthly turnover register for this period</t>
        </is>
      </c>
      <c r="M664" s="75" t="inlineStr">
        <is>
          <t>BAAY PROJECTS SALES EXPENSES (COMMISSION) RECORDS (1)</t>
        </is>
      </c>
      <c r="N664" s="75" t="inlineStr">
        <is>
          <t>MAMA ADEBIMPE</t>
        </is>
      </c>
      <c r="O664" s="75" t="n">
        <v>134</v>
      </c>
      <c r="P664" s="75" t="inlineStr">
        <is>
          <t>21/03/2025</t>
        </is>
      </c>
      <c r="Q664" s="75" t="n"/>
      <c r="R664" s="75" t="inlineStr">
        <is>
          <t>Commission-record amount: confirm to bank statement (records can aggregate several transfers)</t>
        </is>
      </c>
    </row>
    <row r="665" ht="25" customHeight="1">
      <c r="A665" s="78" t="inlineStr">
        <is>
          <t>SL0642</t>
        </is>
      </c>
      <c r="B665" s="79" t="n">
        <v>45737</v>
      </c>
      <c r="C665" s="78" t="inlineStr">
        <is>
          <t>2025-03</t>
        </is>
      </c>
      <c r="D665" s="78" t="n">
        <v>2025</v>
      </c>
      <c r="E665" s="78" t="inlineStr">
        <is>
          <t>Housing</t>
        </is>
      </c>
      <c r="F665" s="78" t="inlineStr">
        <is>
          <t>Plot / unit price</t>
        </is>
      </c>
      <c r="G665" s="78" t="inlineStr">
        <is>
          <t>Pacific Apartment</t>
        </is>
      </c>
      <c r="H665" s="78" t="inlineStr">
        <is>
          <t>BP-C0186</t>
        </is>
      </c>
      <c r="I665" s="78" t="inlineStr">
        <is>
          <t>Salem real Estate (Mrs Omoko Onora Helen)</t>
        </is>
      </c>
      <c r="J665" s="80" t="n">
        <v>5000000</v>
      </c>
      <c r="K665" s="78" t="n"/>
      <c r="L665" s="78" t="inlineStr">
        <is>
          <t>Secondary: commission records; no monthly turnover register for this period</t>
        </is>
      </c>
      <c r="M665" s="78" t="inlineStr">
        <is>
          <t>BAAY PROJECTS SALES EXPENSES (COMMISSION) RECORDS (1)</t>
        </is>
      </c>
      <c r="N665" s="78" t="inlineStr">
        <is>
          <t>MR CHARLES</t>
        </is>
      </c>
      <c r="O665" s="78" t="n">
        <v>82</v>
      </c>
      <c r="P665" s="78" t="inlineStr">
        <is>
          <t>21/03/2025</t>
        </is>
      </c>
      <c r="Q665" s="78" t="inlineStr">
        <is>
          <t>SALEM REAL ESTATE r4</t>
        </is>
      </c>
      <c r="R665" s="78" t="inlineStr">
        <is>
          <t>Commission-record amount: confirm to bank statement (records can aggregate several transfers)</t>
        </is>
      </c>
    </row>
    <row r="666" ht="25" customHeight="1">
      <c r="A666" s="75" t="inlineStr">
        <is>
          <t>SL0643</t>
        </is>
      </c>
      <c r="B666" s="76" t="n">
        <v>45739</v>
      </c>
      <c r="C666" s="75" t="inlineStr">
        <is>
          <t>2025-03</t>
        </is>
      </c>
      <c r="D666" s="75" t="n">
        <v>2025</v>
      </c>
      <c r="E666" s="75" t="inlineStr">
        <is>
          <t>Land</t>
        </is>
      </c>
      <c r="F666" s="75" t="inlineStr">
        <is>
          <t>Plot / unit price</t>
        </is>
      </c>
      <c r="G666" s="75" t="inlineStr">
        <is>
          <t>Land (estate not stated in source)</t>
        </is>
      </c>
      <c r="H666" s="75" t="inlineStr">
        <is>
          <t>BP-C0181</t>
        </is>
      </c>
      <c r="I666" s="75" t="inlineStr">
        <is>
          <t>Miss Joshua Fortune Ufot</t>
        </is>
      </c>
      <c r="J666" s="77" t="n">
        <v>500000</v>
      </c>
      <c r="K666" s="75" t="n"/>
      <c r="L666" s="75" t="inlineStr">
        <is>
          <t>Secondary: commission records; no monthly turnover register for this period</t>
        </is>
      </c>
      <c r="M666" s="75" t="inlineStr">
        <is>
          <t>BAAY PROJECTS SALES EXPENSES (COMMISSION) RECORDS (1)</t>
        </is>
      </c>
      <c r="N666" s="75" t="inlineStr">
        <is>
          <t>MS PRAISE</t>
        </is>
      </c>
      <c r="O666" s="75" t="n">
        <v>2</v>
      </c>
      <c r="P666" s="75" t="inlineStr">
        <is>
          <t>23/03/202512/03/2025</t>
        </is>
      </c>
      <c r="Q666" s="75" t="n"/>
      <c r="R666" s="75" t="inlineStr">
        <is>
          <t>Commission-record amount: confirm to bank statement (records can aggregate several transfers)</t>
        </is>
      </c>
    </row>
    <row r="667" ht="25" customHeight="1">
      <c r="A667" s="78" t="inlineStr">
        <is>
          <t>SL0644</t>
        </is>
      </c>
      <c r="B667" s="79" t="n">
        <v>45739</v>
      </c>
      <c r="C667" s="78" t="inlineStr">
        <is>
          <t>2025-03</t>
        </is>
      </c>
      <c r="D667" s="78" t="n">
        <v>2025</v>
      </c>
      <c r="E667" s="78" t="inlineStr">
        <is>
          <t>Land</t>
        </is>
      </c>
      <c r="F667" s="78" t="inlineStr">
        <is>
          <t>Plot / unit price</t>
        </is>
      </c>
      <c r="G667" s="78" t="inlineStr">
        <is>
          <t>Land (estate not stated in source)</t>
        </is>
      </c>
      <c r="H667" s="78" t="inlineStr">
        <is>
          <t>BP-C0187</t>
        </is>
      </c>
      <c r="I667" s="78" t="inlineStr">
        <is>
          <t>Miss Olotu Tabitha Olamide</t>
        </is>
      </c>
      <c r="J667" s="80" t="n">
        <v>1680000</v>
      </c>
      <c r="K667" s="78" t="n"/>
      <c r="L667" s="78" t="inlineStr">
        <is>
          <t>Secondary: commission records; no monthly turnover register for this period</t>
        </is>
      </c>
      <c r="M667" s="78" t="inlineStr">
        <is>
          <t>BAAY PROJECTS SALES EXPENSES (COMMISSION) RECORDS (1)</t>
        </is>
      </c>
      <c r="N667" s="78" t="inlineStr">
        <is>
          <t>MS OKIKIOLA</t>
        </is>
      </c>
      <c r="O667" s="78" t="n">
        <v>3</v>
      </c>
      <c r="P667" s="78" t="inlineStr">
        <is>
          <t>23/03/2025</t>
        </is>
      </c>
      <c r="Q667" s="78" t="n"/>
      <c r="R667" s="78" t="inlineStr">
        <is>
          <t>Commission-record amount: confirm to bank statement (records can aggregate several transfers)</t>
        </is>
      </c>
    </row>
    <row r="668" ht="25" customHeight="1">
      <c r="A668" s="75" t="inlineStr">
        <is>
          <t>SL0645</t>
        </is>
      </c>
      <c r="B668" s="76" t="n">
        <v>45739</v>
      </c>
      <c r="C668" s="75" t="inlineStr">
        <is>
          <t>2025-03</t>
        </is>
      </c>
      <c r="D668" s="75" t="n">
        <v>2025</v>
      </c>
      <c r="E668" s="75" t="inlineStr">
        <is>
          <t>Housing</t>
        </is>
      </c>
      <c r="F668" s="75" t="inlineStr">
        <is>
          <t>Plot / unit price</t>
        </is>
      </c>
      <c r="G668" s="75" t="inlineStr">
        <is>
          <t>Baay Foreshore</t>
        </is>
      </c>
      <c r="H668" s="75" t="inlineStr">
        <is>
          <t>BP-C0177</t>
        </is>
      </c>
      <c r="I668" s="75" t="inlineStr">
        <is>
          <t>Mrs. Osobu Olufunke</t>
        </is>
      </c>
      <c r="J668" s="77" t="n">
        <v>5000000</v>
      </c>
      <c r="K668" s="75" t="n"/>
      <c r="L668" s="75" t="inlineStr">
        <is>
          <t>Secondary: commission records; no monthly turnover register for this period</t>
        </is>
      </c>
      <c r="M668" s="75" t="inlineStr">
        <is>
          <t>BAAY PROJECTS SALES EXPENSES (COMMISSION) RECORDS (1)</t>
        </is>
      </c>
      <c r="N668" s="75" t="inlineStr">
        <is>
          <t>ENGR. TOBI AJIBOLA</t>
        </is>
      </c>
      <c r="O668" s="75" t="n">
        <v>5</v>
      </c>
      <c r="P668" s="75" t="inlineStr">
        <is>
          <t>23/03/2025</t>
        </is>
      </c>
      <c r="Q668" s="75" t="n"/>
      <c r="R668" s="75" t="inlineStr">
        <is>
          <t>Commission-record amount: confirm to bank statement (records can aggregate several transfers)</t>
        </is>
      </c>
    </row>
    <row r="669" ht="25" customHeight="1">
      <c r="A669" s="78" t="inlineStr">
        <is>
          <t>SL0646</t>
        </is>
      </c>
      <c r="B669" s="79" t="n">
        <v>45741</v>
      </c>
      <c r="C669" s="78" t="inlineStr">
        <is>
          <t>2025-03</t>
        </is>
      </c>
      <c r="D669" s="78" t="n">
        <v>2025</v>
      </c>
      <c r="E669" s="78" t="inlineStr">
        <is>
          <t>Land</t>
        </is>
      </c>
      <c r="F669" s="78" t="inlineStr">
        <is>
          <t>Plot / unit price</t>
        </is>
      </c>
      <c r="G669" s="78" t="inlineStr">
        <is>
          <t>Land (estate not stated in source)</t>
        </is>
      </c>
      <c r="H669" s="78" t="inlineStr">
        <is>
          <t>BP-C0136</t>
        </is>
      </c>
      <c r="I669" s="78" t="inlineStr">
        <is>
          <t>Mr Isibor Godwin</t>
        </is>
      </c>
      <c r="J669" s="80" t="n">
        <v>400000</v>
      </c>
      <c r="K669" s="78" t="n"/>
      <c r="L669" s="78" t="inlineStr">
        <is>
          <t>Secondary: commission records; no monthly turnover register for this period</t>
        </is>
      </c>
      <c r="M669" s="78" t="inlineStr">
        <is>
          <t>BAAY PROJECTS SALES EXPENSES (COMMISSION) RECORDS (1)</t>
        </is>
      </c>
      <c r="N669" s="78" t="inlineStr">
        <is>
          <t>MS TOBI AJAYI</t>
        </is>
      </c>
      <c r="O669" s="78" t="n">
        <v>64</v>
      </c>
      <c r="P669" s="78" t="inlineStr">
        <is>
          <t>25/03/2025</t>
        </is>
      </c>
      <c r="Q669" s="78" t="n"/>
      <c r="R669" s="78" t="inlineStr">
        <is>
          <t>Commission-record amount: confirm to bank statement (records can aggregate several transfers)</t>
        </is>
      </c>
    </row>
    <row r="670" ht="25" customHeight="1">
      <c r="A670" s="75" t="inlineStr">
        <is>
          <t>SL0647</t>
        </is>
      </c>
      <c r="B670" s="76" t="n">
        <v>45742</v>
      </c>
      <c r="C670" s="75" t="inlineStr">
        <is>
          <t>2025-03</t>
        </is>
      </c>
      <c r="D670" s="75" t="n">
        <v>2025</v>
      </c>
      <c r="E670" s="75" t="inlineStr">
        <is>
          <t>Land</t>
        </is>
      </c>
      <c r="F670" s="75" t="inlineStr">
        <is>
          <t>Plot / unit price</t>
        </is>
      </c>
      <c r="G670" s="75" t="inlineStr">
        <is>
          <t>Land (estate not stated in source)</t>
        </is>
      </c>
      <c r="H670" s="75" t="inlineStr">
        <is>
          <t>BP-C0050</t>
        </is>
      </c>
      <c r="I670" s="75" t="inlineStr">
        <is>
          <t>Mr Atuanya Patrick Jideovo</t>
        </is>
      </c>
      <c r="J670" s="77" t="n">
        <v>600000</v>
      </c>
      <c r="K670" s="75" t="n"/>
      <c r="L670" s="75" t="inlineStr">
        <is>
          <t>Secondary: commission records; no monthly turnover register for this period</t>
        </is>
      </c>
      <c r="M670" s="75" t="inlineStr">
        <is>
          <t>BAAY PROJECTS SALES EXPENSES (COMMISSION) RECORDS (1)</t>
        </is>
      </c>
      <c r="N670" s="75" t="inlineStr">
        <is>
          <t>MS YETUNDE ABISOYE</t>
        </is>
      </c>
      <c r="O670" s="75" t="n">
        <v>89</v>
      </c>
      <c r="P670" s="75" t="inlineStr">
        <is>
          <t>26/03/2025</t>
        </is>
      </c>
      <c r="Q670" s="75" t="n"/>
      <c r="R670" s="75" t="inlineStr">
        <is>
          <t>Commission-record amount: confirm to bank statement (records can aggregate several transfers)</t>
        </is>
      </c>
    </row>
    <row r="671" ht="25" customHeight="1">
      <c r="A671" s="78" t="inlineStr">
        <is>
          <t>SL0648</t>
        </is>
      </c>
      <c r="B671" s="79" t="n">
        <v>45743</v>
      </c>
      <c r="C671" s="78" t="inlineStr">
        <is>
          <t>2025-03</t>
        </is>
      </c>
      <c r="D671" s="78" t="n">
        <v>2025</v>
      </c>
      <c r="E671" s="78" t="inlineStr">
        <is>
          <t>Land</t>
        </is>
      </c>
      <c r="F671" s="78" t="inlineStr">
        <is>
          <t>Plot / unit price</t>
        </is>
      </c>
      <c r="G671" s="78" t="inlineStr">
        <is>
          <t>Land (estate not stated in source)</t>
        </is>
      </c>
      <c r="H671" s="78" t="inlineStr">
        <is>
          <t>BP-C0153</t>
        </is>
      </c>
      <c r="I671" s="78" t="inlineStr">
        <is>
          <t>Miss Ademakinwa Abosede Wuraola</t>
        </is>
      </c>
      <c r="J671" s="80" t="n">
        <v>800000</v>
      </c>
      <c r="K671" s="78" t="n"/>
      <c r="L671" s="78" t="inlineStr">
        <is>
          <t>Secondary: commission records; no monthly turnover register for this period</t>
        </is>
      </c>
      <c r="M671" s="78" t="inlineStr">
        <is>
          <t>BAAY PROJECTS SALES EXPENSES (COMMISSION) RECORDS (1)</t>
        </is>
      </c>
      <c r="N671" s="78" t="inlineStr">
        <is>
          <t>MS TAIWO</t>
        </is>
      </c>
      <c r="O671" s="78" t="n">
        <v>101</v>
      </c>
      <c r="P671" s="78" t="inlineStr">
        <is>
          <t>27/03/2025</t>
        </is>
      </c>
      <c r="Q671" s="78" t="n"/>
      <c r="R671" s="78" t="inlineStr">
        <is>
          <t>Commission-record amount: confirm to bank statement (records can aggregate several transfers)</t>
        </is>
      </c>
    </row>
    <row r="672" ht="25" customHeight="1">
      <c r="A672" s="75" t="inlineStr">
        <is>
          <t>SL0649</t>
        </is>
      </c>
      <c r="B672" s="76" t="n">
        <v>45743</v>
      </c>
      <c r="C672" s="75" t="inlineStr">
        <is>
          <t>2025-03</t>
        </is>
      </c>
      <c r="D672" s="75" t="n">
        <v>2025</v>
      </c>
      <c r="E672" s="75" t="inlineStr">
        <is>
          <t>Land</t>
        </is>
      </c>
      <c r="F672" s="75" t="inlineStr">
        <is>
          <t>Plot / unit price</t>
        </is>
      </c>
      <c r="G672" s="75" t="inlineStr">
        <is>
          <t>Land (estate not stated in source)</t>
        </is>
      </c>
      <c r="H672" s="75" t="inlineStr">
        <is>
          <t>BP-C0154</t>
        </is>
      </c>
      <c r="I672" s="75" t="inlineStr">
        <is>
          <t>Mr Adepoju Adewale Emmanuel</t>
        </is>
      </c>
      <c r="J672" s="77" t="n">
        <v>1600000</v>
      </c>
      <c r="K672" s="75" t="n"/>
      <c r="L672" s="75" t="inlineStr">
        <is>
          <t>Secondary: commission records; no monthly turnover register for this period</t>
        </is>
      </c>
      <c r="M672" s="75" t="inlineStr">
        <is>
          <t>BAAY PROJECTS SALES EXPENSES (COMMISSION) RECORDS (1)</t>
        </is>
      </c>
      <c r="N672" s="75" t="inlineStr">
        <is>
          <t>MS TAIWO</t>
        </is>
      </c>
      <c r="O672" s="75" t="n">
        <v>98</v>
      </c>
      <c r="P672" s="75" t="inlineStr">
        <is>
          <t>27/03/2025</t>
        </is>
      </c>
      <c r="Q672" s="75" t="n"/>
      <c r="R672" s="75" t="inlineStr">
        <is>
          <t>Commission-record amount: confirm to bank statement (records can aggregate several transfers)</t>
        </is>
      </c>
    </row>
    <row r="673" ht="25" customHeight="1">
      <c r="A673" s="78" t="inlineStr">
        <is>
          <t>SL0650</t>
        </is>
      </c>
      <c r="B673" s="79" t="n">
        <v>45743</v>
      </c>
      <c r="C673" s="78" t="inlineStr">
        <is>
          <t>2025-03</t>
        </is>
      </c>
      <c r="D673" s="78" t="n">
        <v>2025</v>
      </c>
      <c r="E673" s="78" t="inlineStr">
        <is>
          <t>Land</t>
        </is>
      </c>
      <c r="F673" s="78" t="inlineStr">
        <is>
          <t>Plot / unit price</t>
        </is>
      </c>
      <c r="G673" s="78" t="inlineStr">
        <is>
          <t>Land (estate not stated in source)</t>
        </is>
      </c>
      <c r="H673" s="78" t="inlineStr">
        <is>
          <t>BP-C0155</t>
        </is>
      </c>
      <c r="I673" s="78" t="inlineStr">
        <is>
          <t>Mr Adeyanju Adebayo Samson</t>
        </is>
      </c>
      <c r="J673" s="80" t="n">
        <v>800000</v>
      </c>
      <c r="K673" s="78" t="n"/>
      <c r="L673" s="78" t="inlineStr">
        <is>
          <t>Secondary: commission records; no monthly turnover register for this period</t>
        </is>
      </c>
      <c r="M673" s="78" t="inlineStr">
        <is>
          <t>BAAY PROJECTS SALES EXPENSES (COMMISSION) RECORDS (1)</t>
        </is>
      </c>
      <c r="N673" s="78" t="inlineStr">
        <is>
          <t>MS TAIWO</t>
        </is>
      </c>
      <c r="O673" s="78" t="n">
        <v>100</v>
      </c>
      <c r="P673" s="78" t="inlineStr">
        <is>
          <t>27/03/2025</t>
        </is>
      </c>
      <c r="Q673" s="78" t="n"/>
      <c r="R673" s="78" t="inlineStr">
        <is>
          <t>Commission-record amount: confirm to bank statement (records can aggregate several transfers)</t>
        </is>
      </c>
    </row>
    <row r="674" ht="25" customHeight="1">
      <c r="A674" s="75" t="inlineStr">
        <is>
          <t>SL0651</t>
        </is>
      </c>
      <c r="B674" s="76" t="n">
        <v>45743</v>
      </c>
      <c r="C674" s="75" t="inlineStr">
        <is>
          <t>2025-03</t>
        </is>
      </c>
      <c r="D674" s="75" t="n">
        <v>2025</v>
      </c>
      <c r="E674" s="75" t="inlineStr">
        <is>
          <t>Housing</t>
        </is>
      </c>
      <c r="F674" s="75" t="inlineStr">
        <is>
          <t>Plot / unit price</t>
        </is>
      </c>
      <c r="G674" s="75" t="inlineStr">
        <is>
          <t>Housing unit (project not stated in source)</t>
        </is>
      </c>
      <c r="H674" s="75" t="inlineStr">
        <is>
          <t>BP-C0133</t>
        </is>
      </c>
      <c r="I674" s="75" t="inlineStr">
        <is>
          <t>Mr Olagbende Oluwashina Oluwaseun</t>
        </is>
      </c>
      <c r="J674" s="77" t="n">
        <v>5000000</v>
      </c>
      <c r="K674" s="75" t="n"/>
      <c r="L674" s="75" t="inlineStr">
        <is>
          <t>Secondary: commission records; no monthly turnover register for this period</t>
        </is>
      </c>
      <c r="M674" s="75" t="inlineStr">
        <is>
          <t>BAAY PROJECTS SALES EXPENSES (COMMISSION) RECORDS (1)</t>
        </is>
      </c>
      <c r="N674" s="75" t="inlineStr">
        <is>
          <t>MS AWONORIN MAYOWA</t>
        </is>
      </c>
      <c r="O674" s="75" t="n">
        <v>52</v>
      </c>
      <c r="P674" s="75" t="inlineStr">
        <is>
          <t>27/03/2025</t>
        </is>
      </c>
      <c r="Q674" s="75" t="n"/>
      <c r="R674" s="75" t="inlineStr">
        <is>
          <t>Commission-record amount: confirm to bank statement (records can aggregate several transfers)</t>
        </is>
      </c>
    </row>
    <row r="675" ht="25" customHeight="1">
      <c r="A675" s="78" t="inlineStr">
        <is>
          <t>SL0652</t>
        </is>
      </c>
      <c r="B675" s="79" t="n">
        <v>45743</v>
      </c>
      <c r="C675" s="78" t="inlineStr">
        <is>
          <t>2025-03</t>
        </is>
      </c>
      <c r="D675" s="78" t="n">
        <v>2025</v>
      </c>
      <c r="E675" s="78" t="inlineStr">
        <is>
          <t>Land</t>
        </is>
      </c>
      <c r="F675" s="78" t="inlineStr">
        <is>
          <t>Plot / unit price</t>
        </is>
      </c>
      <c r="G675" s="78" t="inlineStr">
        <is>
          <t>Land (estate not stated in source)</t>
        </is>
      </c>
      <c r="H675" s="78" t="inlineStr">
        <is>
          <t>BP-C0157</t>
        </is>
      </c>
      <c r="I675" s="78" t="inlineStr">
        <is>
          <t>Mrs Adepoju Adebola Adeniran</t>
        </is>
      </c>
      <c r="J675" s="80" t="n">
        <v>1600000</v>
      </c>
      <c r="K675" s="78" t="n"/>
      <c r="L675" s="78" t="inlineStr">
        <is>
          <t>Secondary: commission records; no monthly turnover register for this period</t>
        </is>
      </c>
      <c r="M675" s="78" t="inlineStr">
        <is>
          <t>BAAY PROJECTS SALES EXPENSES (COMMISSION) RECORDS (1)</t>
        </is>
      </c>
      <c r="N675" s="78" t="inlineStr">
        <is>
          <t>MS TAIWO</t>
        </is>
      </c>
      <c r="O675" s="78" t="n">
        <v>99</v>
      </c>
      <c r="P675" s="78" t="inlineStr">
        <is>
          <t>27/03/2025</t>
        </is>
      </c>
      <c r="Q675" s="78" t="n"/>
      <c r="R675" s="78" t="inlineStr">
        <is>
          <t>Commission-record amount: confirm to bank statement (records can aggregate several transfers)</t>
        </is>
      </c>
    </row>
    <row r="676" ht="25" customHeight="1">
      <c r="A676" s="75" t="inlineStr">
        <is>
          <t>SL0653</t>
        </is>
      </c>
      <c r="B676" s="76" t="n">
        <v>45744</v>
      </c>
      <c r="C676" s="75" t="inlineStr">
        <is>
          <t>2025-03</t>
        </is>
      </c>
      <c r="D676" s="75" t="n">
        <v>2025</v>
      </c>
      <c r="E676" s="75" t="inlineStr">
        <is>
          <t>Land</t>
        </is>
      </c>
      <c r="F676" s="75" t="inlineStr">
        <is>
          <t>Plot / unit price</t>
        </is>
      </c>
      <c r="G676" s="75" t="inlineStr">
        <is>
          <t>Land (estate not stated in source)</t>
        </is>
      </c>
      <c r="H676" s="75" t="inlineStr">
        <is>
          <t>BP-C0077</t>
        </is>
      </c>
      <c r="I676" s="75" t="inlineStr">
        <is>
          <t>Mr Uebari Sorbari</t>
        </is>
      </c>
      <c r="J676" s="77" t="n">
        <v>600000</v>
      </c>
      <c r="K676" s="75" t="n"/>
      <c r="L676" s="75" t="inlineStr">
        <is>
          <t>Secondary: commission records; no monthly turnover register for this period</t>
        </is>
      </c>
      <c r="M676" s="75" t="inlineStr">
        <is>
          <t>BAAY PROJECTS SALES EXPENSES (COMMISSION) RECORDS (1)</t>
        </is>
      </c>
      <c r="N676" s="75" t="inlineStr">
        <is>
          <t>MS ELIZABETH</t>
        </is>
      </c>
      <c r="O676" s="75" t="n">
        <v>78</v>
      </c>
      <c r="P676" s="75" t="inlineStr">
        <is>
          <t>28/03/2025</t>
        </is>
      </c>
      <c r="Q676" s="75" t="n"/>
      <c r="R676" s="75" t="inlineStr">
        <is>
          <t>Commission-record amount: confirm to bank statement (records can aggregate several transfers)</t>
        </is>
      </c>
    </row>
    <row r="677" ht="25" customHeight="1">
      <c r="A677" s="78" t="inlineStr">
        <is>
          <t>SL0654</t>
        </is>
      </c>
      <c r="B677" s="79" t="n">
        <v>45744</v>
      </c>
      <c r="C677" s="78" t="inlineStr">
        <is>
          <t>2025-03</t>
        </is>
      </c>
      <c r="D677" s="78" t="n">
        <v>2025</v>
      </c>
      <c r="E677" s="78" t="inlineStr">
        <is>
          <t>Land</t>
        </is>
      </c>
      <c r="F677" s="78" t="inlineStr">
        <is>
          <t>Plot / unit price</t>
        </is>
      </c>
      <c r="G677" s="78" t="inlineStr">
        <is>
          <t>Land (estate not stated in source)</t>
        </is>
      </c>
      <c r="H677" s="78" t="inlineStr">
        <is>
          <t>BP-C0077</t>
        </is>
      </c>
      <c r="I677" s="78" t="inlineStr">
        <is>
          <t>Mr Uebari Sorbari</t>
        </is>
      </c>
      <c r="J677" s="80" t="n">
        <v>500000</v>
      </c>
      <c r="K677" s="78" t="n"/>
      <c r="L677" s="78" t="inlineStr">
        <is>
          <t>Secondary: commission records; no monthly turnover register for this period</t>
        </is>
      </c>
      <c r="M677" s="78" t="inlineStr">
        <is>
          <t>BAAY PROJECTS SALES EXPENSES (COMMISSION) RECORDS (1)</t>
        </is>
      </c>
      <c r="N677" s="78" t="inlineStr">
        <is>
          <t>MS ELIZABETH</t>
        </is>
      </c>
      <c r="O677" s="78" t="n">
        <v>79</v>
      </c>
      <c r="P677" s="78" t="inlineStr">
        <is>
          <t>28/03/2025</t>
        </is>
      </c>
      <c r="Q677" s="78" t="n"/>
      <c r="R677" s="78" t="inlineStr">
        <is>
          <t>Commission-record amount: confirm to bank statement (records can aggregate several transfers)</t>
        </is>
      </c>
    </row>
    <row r="678" ht="25" customHeight="1">
      <c r="A678" s="75" t="inlineStr">
        <is>
          <t>SL0655</t>
        </is>
      </c>
      <c r="B678" s="76" t="n">
        <v>45745</v>
      </c>
      <c r="C678" s="75" t="inlineStr">
        <is>
          <t>2025-03</t>
        </is>
      </c>
      <c r="D678" s="75" t="n">
        <v>2025</v>
      </c>
      <c r="E678" s="75" t="inlineStr">
        <is>
          <t>Land</t>
        </is>
      </c>
      <c r="F678" s="75" t="inlineStr">
        <is>
          <t>Plot / unit price</t>
        </is>
      </c>
      <c r="G678" s="75" t="inlineStr">
        <is>
          <t>Land (estate not stated in source)</t>
        </is>
      </c>
      <c r="H678" s="75" t="inlineStr">
        <is>
          <t>BP-C0150</t>
        </is>
      </c>
      <c r="I678" s="75" t="inlineStr">
        <is>
          <t>Mr Ajiboso Damilare &amp; Mrs Ajiboso Gbemisola</t>
        </is>
      </c>
      <c r="J678" s="77" t="n">
        <v>1330000</v>
      </c>
      <c r="K678" s="75" t="n"/>
      <c r="L678" s="75" t="inlineStr">
        <is>
          <t>Secondary: commission records; no monthly turnover register for this period</t>
        </is>
      </c>
      <c r="M678" s="75" t="inlineStr">
        <is>
          <t>BAAY PROJECTS SALES EXPENSES (COMMISSION) RECORDS (1)</t>
        </is>
      </c>
      <c r="N678" s="75" t="inlineStr">
        <is>
          <t>MS ADENIKE</t>
        </is>
      </c>
      <c r="O678" s="75" t="n">
        <v>43</v>
      </c>
      <c r="P678" s="75" t="inlineStr">
        <is>
          <t>29/03/2025</t>
        </is>
      </c>
      <c r="Q678" s="75" t="n"/>
      <c r="R678" s="75" t="inlineStr">
        <is>
          <t>Commission-record amount: confirm to bank statement (records can aggregate several transfers)</t>
        </is>
      </c>
    </row>
    <row r="679" ht="25" customHeight="1">
      <c r="A679" s="78" t="inlineStr">
        <is>
          <t>SL0656</t>
        </is>
      </c>
      <c r="B679" s="79" t="n">
        <v>45745</v>
      </c>
      <c r="C679" s="78" t="inlineStr">
        <is>
          <t>2025-03</t>
        </is>
      </c>
      <c r="D679" s="78" t="n">
        <v>2025</v>
      </c>
      <c r="E679" s="78" t="inlineStr">
        <is>
          <t>Land</t>
        </is>
      </c>
      <c r="F679" s="78" t="inlineStr">
        <is>
          <t>Plot / unit price</t>
        </is>
      </c>
      <c r="G679" s="78" t="inlineStr">
        <is>
          <t>Land (estate not stated in source)</t>
        </is>
      </c>
      <c r="H679" s="78" t="inlineStr">
        <is>
          <t>BP-C0167</t>
        </is>
      </c>
      <c r="I679" s="78" t="inlineStr">
        <is>
          <t>Mr Uneze Grant Chetana</t>
        </is>
      </c>
      <c r="J679" s="80" t="n">
        <v>1000000</v>
      </c>
      <c r="K679" s="78" t="n"/>
      <c r="L679" s="78" t="inlineStr">
        <is>
          <t>Secondary: commission records; no monthly turnover register for this period</t>
        </is>
      </c>
      <c r="M679" s="78" t="inlineStr">
        <is>
          <t>BAAY PROJECTS SALES EXPENSES (COMMISSION) RECORDS (1)</t>
        </is>
      </c>
      <c r="N679" s="78" t="inlineStr">
        <is>
          <t>MS SAMUELLA</t>
        </is>
      </c>
      <c r="O679" s="78" t="n">
        <v>26</v>
      </c>
      <c r="P679" s="78" t="inlineStr">
        <is>
          <t>29/03/2025</t>
        </is>
      </c>
      <c r="Q679" s="78" t="n"/>
      <c r="R679" s="78" t="inlineStr">
        <is>
          <t>Commission-record amount: confirm to bank statement (records can aggregate several transfers)</t>
        </is>
      </c>
    </row>
    <row r="680" ht="25" customHeight="1">
      <c r="A680" s="75" t="inlineStr">
        <is>
          <t>SL0657</t>
        </is>
      </c>
      <c r="B680" s="76" t="n">
        <v>45745</v>
      </c>
      <c r="C680" s="75" t="inlineStr">
        <is>
          <t>2025-03</t>
        </is>
      </c>
      <c r="D680" s="75" t="n">
        <v>2025</v>
      </c>
      <c r="E680" s="75" t="inlineStr">
        <is>
          <t>Land</t>
        </is>
      </c>
      <c r="F680" s="75" t="inlineStr">
        <is>
          <t>Plot / unit price</t>
        </is>
      </c>
      <c r="G680" s="75" t="inlineStr">
        <is>
          <t>Land (estate not stated in source)</t>
        </is>
      </c>
      <c r="H680" s="75" t="inlineStr">
        <is>
          <t>BP-C0188</t>
        </is>
      </c>
      <c r="I680" s="75" t="inlineStr">
        <is>
          <t>Mrs Kazeem Mariam Omotunde</t>
        </is>
      </c>
      <c r="J680" s="77" t="n">
        <v>1900000</v>
      </c>
      <c r="K680" s="75" t="n"/>
      <c r="L680" s="75" t="inlineStr">
        <is>
          <t>Secondary: commission records; no monthly turnover register for this period</t>
        </is>
      </c>
      <c r="M680" s="75" t="inlineStr">
        <is>
          <t>BAAY PROJECTS SALES EXPENSES (COMMISSION) RECORDS (1)</t>
        </is>
      </c>
      <c r="N680" s="75" t="inlineStr">
        <is>
          <t>MS SAMUELLA</t>
        </is>
      </c>
      <c r="O680" s="75" t="n">
        <v>27</v>
      </c>
      <c r="P680" s="75" t="inlineStr">
        <is>
          <t>29/03/2025</t>
        </is>
      </c>
      <c r="Q680" s="75" t="n"/>
      <c r="R680" s="75" t="inlineStr">
        <is>
          <t>Commission-record amount: confirm to bank statement (records can aggregate several transfers)</t>
        </is>
      </c>
    </row>
    <row r="681" ht="25" customHeight="1">
      <c r="A681" s="78" t="inlineStr">
        <is>
          <t>SL0658</t>
        </is>
      </c>
      <c r="B681" s="79" t="n">
        <v>45746</v>
      </c>
      <c r="C681" s="78" t="inlineStr">
        <is>
          <t>2025-03</t>
        </is>
      </c>
      <c r="D681" s="78" t="n">
        <v>2025</v>
      </c>
      <c r="E681" s="78" t="inlineStr">
        <is>
          <t>Land</t>
        </is>
      </c>
      <c r="F681" s="78" t="inlineStr">
        <is>
          <t>Plot / unit price</t>
        </is>
      </c>
      <c r="G681" s="78" t="inlineStr">
        <is>
          <t>Land (estate not stated in source)</t>
        </is>
      </c>
      <c r="H681" s="78" t="inlineStr">
        <is>
          <t>BP-C0189</t>
        </is>
      </c>
      <c r="I681" s="78" t="inlineStr">
        <is>
          <t>Mr Ganiyu &amp; Mrs Yemisi Olowodagba</t>
        </is>
      </c>
      <c r="J681" s="80" t="n">
        <v>1000000</v>
      </c>
      <c r="K681" s="78" t="n"/>
      <c r="L681" s="78" t="inlineStr">
        <is>
          <t>Secondary: commission records; no monthly turnover register for this period</t>
        </is>
      </c>
      <c r="M681" s="78" t="inlineStr">
        <is>
          <t>BAAY PROJECTS SALES EXPENSES (COMMISSION) RECORDS (1)</t>
        </is>
      </c>
      <c r="N681" s="78" t="inlineStr">
        <is>
          <t>OGIDAN</t>
        </is>
      </c>
      <c r="O681" s="78" t="n">
        <v>86</v>
      </c>
      <c r="P681" s="78" t="inlineStr">
        <is>
          <t>30/03/2025</t>
        </is>
      </c>
      <c r="Q681" s="78" t="n"/>
      <c r="R681" s="78" t="inlineStr">
        <is>
          <t>Commission-record amount: confirm to bank statement (records can aggregate several transfers)</t>
        </is>
      </c>
    </row>
    <row r="682" ht="25" customHeight="1">
      <c r="A682" s="75" t="inlineStr">
        <is>
          <t>SL0659</t>
        </is>
      </c>
      <c r="B682" s="76" t="n">
        <v>45746</v>
      </c>
      <c r="C682" s="75" t="inlineStr">
        <is>
          <t>2025-03</t>
        </is>
      </c>
      <c r="D682" s="75" t="n">
        <v>2025</v>
      </c>
      <c r="E682" s="75" t="inlineStr">
        <is>
          <t>Land</t>
        </is>
      </c>
      <c r="F682" s="75" t="inlineStr">
        <is>
          <t>Plot / unit price</t>
        </is>
      </c>
      <c r="G682" s="75" t="inlineStr">
        <is>
          <t>Land (estate not stated in source)</t>
        </is>
      </c>
      <c r="H682" s="75" t="inlineStr">
        <is>
          <t>BP-C0138</t>
        </is>
      </c>
      <c r="I682" s="75" t="inlineStr">
        <is>
          <t>Mr Olatunde Selim Olowodagba</t>
        </is>
      </c>
      <c r="J682" s="77" t="n">
        <v>1000000</v>
      </c>
      <c r="K682" s="75" t="n"/>
      <c r="L682" s="75" t="inlineStr">
        <is>
          <t>Secondary: commission records; no monthly turnover register for this period</t>
        </is>
      </c>
      <c r="M682" s="75" t="inlineStr">
        <is>
          <t>BAAY PROJECTS SALES EXPENSES (COMMISSION) RECORDS (1)</t>
        </is>
      </c>
      <c r="N682" s="75" t="inlineStr">
        <is>
          <t>OGIDAN</t>
        </is>
      </c>
      <c r="O682" s="75" t="n">
        <v>85</v>
      </c>
      <c r="P682" s="75" t="inlineStr">
        <is>
          <t>30/03/2025</t>
        </is>
      </c>
      <c r="Q682" s="75" t="n"/>
      <c r="R682" s="75" t="inlineStr">
        <is>
          <t>Commission-record amount: confirm to bank statement (records can aggregate several transfers)</t>
        </is>
      </c>
    </row>
    <row r="683" ht="25" customHeight="1">
      <c r="A683" s="78" t="inlineStr">
        <is>
          <t>SL0660</t>
        </is>
      </c>
      <c r="B683" s="79" t="n">
        <v>45747</v>
      </c>
      <c r="C683" s="78" t="inlineStr">
        <is>
          <t>2025-03</t>
        </is>
      </c>
      <c r="D683" s="78" t="n">
        <v>2025</v>
      </c>
      <c r="E683" s="78" t="inlineStr">
        <is>
          <t>Housing</t>
        </is>
      </c>
      <c r="F683" s="78" t="inlineStr">
        <is>
          <t>Plot / unit price</t>
        </is>
      </c>
      <c r="G683" s="78" t="inlineStr">
        <is>
          <t>Housing unit (project not stated in source)</t>
        </is>
      </c>
      <c r="H683" s="78" t="inlineStr">
        <is>
          <t>BP-C0133</t>
        </is>
      </c>
      <c r="I683" s="78" t="inlineStr">
        <is>
          <t>Mr Olagbende Oluwashina Oluwaseun</t>
        </is>
      </c>
      <c r="J683" s="80" t="n">
        <v>900000</v>
      </c>
      <c r="K683" s="78" t="n"/>
      <c r="L683" s="78" t="inlineStr">
        <is>
          <t>Secondary: commission records; no monthly turnover register for this period</t>
        </is>
      </c>
      <c r="M683" s="78" t="inlineStr">
        <is>
          <t>BAAY PROJECTS SALES EXPENSES (COMMISSION) RECORDS (1)</t>
        </is>
      </c>
      <c r="N683" s="78" t="inlineStr">
        <is>
          <t>MS AWONORIN MAYOWA</t>
        </is>
      </c>
      <c r="O683" s="78" t="n">
        <v>59</v>
      </c>
      <c r="P683" s="78" t="inlineStr">
        <is>
          <t>31/03/2025</t>
        </is>
      </c>
      <c r="Q683" s="78" t="n"/>
      <c r="R683" s="78" t="inlineStr">
        <is>
          <t>Commission-record amount: confirm to bank statement (records can aggregate several transfers)</t>
        </is>
      </c>
    </row>
    <row r="684" ht="25" customHeight="1">
      <c r="A684" s="75" t="inlineStr">
        <is>
          <t>SL0661</t>
        </is>
      </c>
      <c r="B684" s="76" t="n">
        <v>45747</v>
      </c>
      <c r="C684" s="75" t="inlineStr">
        <is>
          <t>2025-03</t>
        </is>
      </c>
      <c r="D684" s="75" t="n">
        <v>2025</v>
      </c>
      <c r="E684" s="75" t="inlineStr">
        <is>
          <t>Land</t>
        </is>
      </c>
      <c r="F684" s="75" t="inlineStr">
        <is>
          <t>Plot / unit price</t>
        </is>
      </c>
      <c r="G684" s="75" t="inlineStr">
        <is>
          <t>Land (estate not stated in source)</t>
        </is>
      </c>
      <c r="H684" s="75" t="inlineStr">
        <is>
          <t>BP-C0190</t>
        </is>
      </c>
      <c r="I684" s="75" t="inlineStr">
        <is>
          <t>Mr Olaiya Oluwatobi</t>
        </is>
      </c>
      <c r="J684" s="77" t="n">
        <v>1000000</v>
      </c>
      <c r="K684" s="75" t="n"/>
      <c r="L684" s="75" t="inlineStr">
        <is>
          <t>Secondary: commission records; no monthly turnover register for this period</t>
        </is>
      </c>
      <c r="M684" s="75" t="inlineStr">
        <is>
          <t>BAAY PROJECTS SALES EXPENSES (COMMISSION) RECORDS (1)</t>
        </is>
      </c>
      <c r="N684" s="75" t="inlineStr">
        <is>
          <t>MS AWONORIN MAYOWA</t>
        </is>
      </c>
      <c r="O684" s="75" t="n">
        <v>58</v>
      </c>
      <c r="P684" s="75" t="inlineStr">
        <is>
          <t>31/03/2025</t>
        </is>
      </c>
      <c r="Q684" s="75" t="n"/>
      <c r="R684" s="75" t="inlineStr">
        <is>
          <t>Commission-record amount: confirm to bank statement (records can aggregate several transfers)</t>
        </is>
      </c>
    </row>
    <row r="685" ht="25" customHeight="1">
      <c r="A685" s="78" t="inlineStr">
        <is>
          <t>SL0662</t>
        </is>
      </c>
      <c r="B685" s="79" t="n">
        <v>45747</v>
      </c>
      <c r="C685" s="78" t="inlineStr">
        <is>
          <t>2025-03</t>
        </is>
      </c>
      <c r="D685" s="78" t="n">
        <v>2025</v>
      </c>
      <c r="E685" s="78" t="inlineStr">
        <is>
          <t>Land</t>
        </is>
      </c>
      <c r="F685" s="78" t="inlineStr">
        <is>
          <t>Plot / unit price</t>
        </is>
      </c>
      <c r="G685" s="78" t="inlineStr">
        <is>
          <t>Land (estate not stated in source)</t>
        </is>
      </c>
      <c r="H685" s="78" t="inlineStr">
        <is>
          <t>BP-C0190</t>
        </is>
      </c>
      <c r="I685" s="78" t="inlineStr">
        <is>
          <t>Mr Olaiya Oluwatobi</t>
        </is>
      </c>
      <c r="J685" s="80" t="n">
        <v>300000</v>
      </c>
      <c r="K685" s="78" t="n"/>
      <c r="L685" s="78" t="inlineStr">
        <is>
          <t>Secondary: commission records; no monthly turnover register for this period</t>
        </is>
      </c>
      <c r="M685" s="78" t="inlineStr">
        <is>
          <t>BAAY PROJECTS SALES EXPENSES (COMMISSION) RECORDS (1)</t>
        </is>
      </c>
      <c r="N685" s="78" t="inlineStr">
        <is>
          <t>MS AWONORIN MAYOWA</t>
        </is>
      </c>
      <c r="O685" s="78" t="n">
        <v>73</v>
      </c>
      <c r="P685" s="78" t="inlineStr">
        <is>
          <t>31/03/2025</t>
        </is>
      </c>
      <c r="Q685" s="78" t="n"/>
      <c r="R685" s="78" t="inlineStr">
        <is>
          <t>Commission-record amount: confirm to bank statement (records can aggregate several transfers)</t>
        </is>
      </c>
    </row>
    <row r="686" ht="25" customHeight="1">
      <c r="A686" s="75" t="inlineStr">
        <is>
          <t>SL0663</t>
        </is>
      </c>
      <c r="B686" s="76" t="n">
        <v>45747</v>
      </c>
      <c r="C686" s="75" t="inlineStr">
        <is>
          <t>2025-03</t>
        </is>
      </c>
      <c r="D686" s="75" t="n">
        <v>2025</v>
      </c>
      <c r="E686" s="75" t="inlineStr">
        <is>
          <t>Land</t>
        </is>
      </c>
      <c r="F686" s="75" t="inlineStr">
        <is>
          <t>Plot / unit price</t>
        </is>
      </c>
      <c r="G686" s="75" t="inlineStr">
        <is>
          <t>Land (estate not stated in source)</t>
        </is>
      </c>
      <c r="H686" s="75" t="inlineStr">
        <is>
          <t>BP-C0191</t>
        </is>
      </c>
      <c r="I686" s="75" t="inlineStr">
        <is>
          <t>Mrs Oduomah Jumoke</t>
        </is>
      </c>
      <c r="J686" s="77" t="n">
        <v>300000</v>
      </c>
      <c r="K686" s="75" t="n"/>
      <c r="L686" s="75" t="inlineStr">
        <is>
          <t>Secondary: commission records; no monthly turnover register for this period</t>
        </is>
      </c>
      <c r="M686" s="75" t="inlineStr">
        <is>
          <t>BAAY PROJECTS SALES EXPENSES (COMMISSION) RECORDS (1)</t>
        </is>
      </c>
      <c r="N686" s="75" t="inlineStr">
        <is>
          <t>MR KENNY BRUCE</t>
        </is>
      </c>
      <c r="O686" s="75" t="n">
        <v>2</v>
      </c>
      <c r="P686" s="75" t="inlineStr">
        <is>
          <t>31/03/2025</t>
        </is>
      </c>
      <c r="Q686" s="75" t="n"/>
      <c r="R686" s="75" t="inlineStr">
        <is>
          <t>Commission-record amount: confirm to bank statement (records can aggregate several transfers)</t>
        </is>
      </c>
    </row>
    <row r="687" ht="25" customHeight="1">
      <c r="A687" s="78" t="inlineStr">
        <is>
          <t>SL0664</t>
        </is>
      </c>
      <c r="B687" s="79" t="n">
        <v>45748</v>
      </c>
      <c r="C687" s="78" t="inlineStr">
        <is>
          <t>2025-04</t>
        </is>
      </c>
      <c r="D687" s="78" t="n">
        <v>2025</v>
      </c>
      <c r="E687" s="78" t="inlineStr">
        <is>
          <t>Land</t>
        </is>
      </c>
      <c r="F687" s="78" t="inlineStr">
        <is>
          <t>Plot / unit price</t>
        </is>
      </c>
      <c r="G687" s="78" t="inlineStr">
        <is>
          <t>Land (estate not stated in source)</t>
        </is>
      </c>
      <c r="H687" s="78" t="inlineStr">
        <is>
          <t>BP-C0189</t>
        </is>
      </c>
      <c r="I687" s="78" t="inlineStr">
        <is>
          <t>Mr Ganiyu &amp; Mrs Yemisi Olowodagba</t>
        </is>
      </c>
      <c r="J687" s="80" t="n">
        <v>8200000</v>
      </c>
      <c r="K687" s="78" t="n"/>
      <c r="L687" s="78" t="inlineStr">
        <is>
          <t>Secondary: commission records; no monthly turnover register for this period</t>
        </is>
      </c>
      <c r="M687" s="78" t="inlineStr">
        <is>
          <t>BAAY PROJECTS SALES EXPENSES (COMMISSION) RECORDS (1)</t>
        </is>
      </c>
      <c r="N687" s="78" t="inlineStr">
        <is>
          <t>OGIDAN</t>
        </is>
      </c>
      <c r="O687" s="78" t="n">
        <v>101</v>
      </c>
      <c r="P687" s="78" t="inlineStr">
        <is>
          <t>2025-01-04</t>
        </is>
      </c>
      <c r="Q687" s="78" t="n"/>
      <c r="R687" s="78" t="inlineStr">
        <is>
          <t>Commission-record amount: confirm to bank statement (records can aggregate several transfers)</t>
        </is>
      </c>
    </row>
    <row r="688" ht="25" customHeight="1">
      <c r="A688" s="75" t="inlineStr">
        <is>
          <t>SL0665</t>
        </is>
      </c>
      <c r="B688" s="76" t="n">
        <v>45748</v>
      </c>
      <c r="C688" s="75" t="inlineStr">
        <is>
          <t>2025-04</t>
        </is>
      </c>
      <c r="D688" s="75" t="n">
        <v>2025</v>
      </c>
      <c r="E688" s="75" t="inlineStr">
        <is>
          <t>Land</t>
        </is>
      </c>
      <c r="F688" s="75" t="inlineStr">
        <is>
          <t>Plot / unit price</t>
        </is>
      </c>
      <c r="G688" s="75" t="inlineStr">
        <is>
          <t>Land (estate not stated in source)</t>
        </is>
      </c>
      <c r="H688" s="75" t="inlineStr">
        <is>
          <t>BP-C0189</t>
        </is>
      </c>
      <c r="I688" s="75" t="inlineStr">
        <is>
          <t>Mr Ganiyu &amp; Mrs Yemisi Olowodagba</t>
        </is>
      </c>
      <c r="J688" s="77" t="n">
        <v>1000000</v>
      </c>
      <c r="K688" s="75" t="n"/>
      <c r="L688" s="75" t="inlineStr">
        <is>
          <t>Secondary: commission records; no monthly turnover register for this period</t>
        </is>
      </c>
      <c r="M688" s="75" t="inlineStr">
        <is>
          <t>BAAY PROJECTS SALES EXPENSES (COMMISSION) RECORDS (1)</t>
        </is>
      </c>
      <c r="N688" s="75" t="inlineStr">
        <is>
          <t>OGIDAN</t>
        </is>
      </c>
      <c r="O688" s="75" t="n">
        <v>102</v>
      </c>
      <c r="P688" s="75" t="inlineStr">
        <is>
          <t>2025-01-04</t>
        </is>
      </c>
      <c r="Q688" s="75" t="n"/>
      <c r="R688" s="75" t="inlineStr">
        <is>
          <t>Commission-record amount: confirm to bank statement (records can aggregate several transfers)</t>
        </is>
      </c>
    </row>
    <row r="689" ht="25" customHeight="1">
      <c r="A689" s="78" t="inlineStr">
        <is>
          <t>SL0666</t>
        </is>
      </c>
      <c r="B689" s="79" t="n">
        <v>45749</v>
      </c>
      <c r="C689" s="78" t="inlineStr">
        <is>
          <t>2025-04</t>
        </is>
      </c>
      <c r="D689" s="78" t="n">
        <v>2025</v>
      </c>
      <c r="E689" s="78" t="inlineStr">
        <is>
          <t>Land</t>
        </is>
      </c>
      <c r="F689" s="78" t="inlineStr">
        <is>
          <t>Plot / unit price</t>
        </is>
      </c>
      <c r="G689" s="78" t="inlineStr">
        <is>
          <t>Land (estate not stated in source)</t>
        </is>
      </c>
      <c r="H689" s="78" t="inlineStr">
        <is>
          <t>BP-C0138</t>
        </is>
      </c>
      <c r="I689" s="78" t="inlineStr">
        <is>
          <t>Mr Olatunde Selim Olowodagba</t>
        </is>
      </c>
      <c r="J689" s="80" t="n">
        <v>400000</v>
      </c>
      <c r="K689" s="78" t="n"/>
      <c r="L689" s="78" t="inlineStr">
        <is>
          <t>Secondary: commission records; no monthly turnover register for this period</t>
        </is>
      </c>
      <c r="M689" s="78" t="inlineStr">
        <is>
          <t>BAAY PROJECTS SALES EXPENSES (COMMISSION) RECORDS (1)</t>
        </is>
      </c>
      <c r="N689" s="78" t="inlineStr">
        <is>
          <t>OGIDAN</t>
        </is>
      </c>
      <c r="O689" s="78" t="n">
        <v>100</v>
      </c>
      <c r="P689" s="78" t="inlineStr">
        <is>
          <t>2025-02-04</t>
        </is>
      </c>
      <c r="Q689" s="78" t="n"/>
      <c r="R689" s="78" t="inlineStr">
        <is>
          <t>Commission-record amount: confirm to bank statement (records can aggregate several transfers)</t>
        </is>
      </c>
    </row>
    <row r="690" ht="25" customHeight="1">
      <c r="A690" s="75" t="inlineStr">
        <is>
          <t>SL0667</t>
        </is>
      </c>
      <c r="B690" s="76" t="n">
        <v>45749</v>
      </c>
      <c r="C690" s="75" t="inlineStr">
        <is>
          <t>2025-04</t>
        </is>
      </c>
      <c r="D690" s="75" t="n">
        <v>2025</v>
      </c>
      <c r="E690" s="75" t="inlineStr">
        <is>
          <t>Land</t>
        </is>
      </c>
      <c r="F690" s="75" t="inlineStr">
        <is>
          <t>Plot / unit price</t>
        </is>
      </c>
      <c r="G690" s="75" t="inlineStr">
        <is>
          <t>Land (estate not stated in source)</t>
        </is>
      </c>
      <c r="H690" s="75" t="inlineStr">
        <is>
          <t>BP-C0158</t>
        </is>
      </c>
      <c r="I690" s="75" t="inlineStr">
        <is>
          <t>Mr Shino Vincent Precious</t>
        </is>
      </c>
      <c r="J690" s="77" t="n">
        <v>200000</v>
      </c>
      <c r="K690" s="75" t="n"/>
      <c r="L690" s="75" t="inlineStr">
        <is>
          <t>Secondary: commission records; no monthly turnover register for this period</t>
        </is>
      </c>
      <c r="M690" s="75" t="inlineStr">
        <is>
          <t>BAAY PROJECTS SALES EXPENSES (COMMISSION) RECORDS (1)</t>
        </is>
      </c>
      <c r="N690" s="75" t="inlineStr">
        <is>
          <t>MR DANIEL</t>
        </is>
      </c>
      <c r="O690" s="75" t="n">
        <v>28</v>
      </c>
      <c r="P690" s="75" t="inlineStr">
        <is>
          <t>2025-02-04</t>
        </is>
      </c>
      <c r="Q690" s="75" t="n"/>
      <c r="R690" s="75" t="inlineStr">
        <is>
          <t>Commission-record amount: confirm to bank statement (records can aggregate several transfers)</t>
        </is>
      </c>
    </row>
    <row r="691" ht="25" customHeight="1">
      <c r="A691" s="78" t="inlineStr">
        <is>
          <t>SL0668</t>
        </is>
      </c>
      <c r="B691" s="79" t="n">
        <v>45749</v>
      </c>
      <c r="C691" s="78" t="inlineStr">
        <is>
          <t>2025-04</t>
        </is>
      </c>
      <c r="D691" s="78" t="n">
        <v>2025</v>
      </c>
      <c r="E691" s="78" t="inlineStr">
        <is>
          <t>Land</t>
        </is>
      </c>
      <c r="F691" s="78" t="inlineStr">
        <is>
          <t>Plot / unit price</t>
        </is>
      </c>
      <c r="G691" s="78" t="inlineStr">
        <is>
          <t>Land (estate not stated in source)</t>
        </is>
      </c>
      <c r="H691" s="78" t="inlineStr">
        <is>
          <t>BP-C0178</t>
        </is>
      </c>
      <c r="I691" s="78" t="inlineStr">
        <is>
          <t>Mrs Ajiri-Odeh Chioma</t>
        </is>
      </c>
      <c r="J691" s="80" t="n">
        <v>285000</v>
      </c>
      <c r="K691" s="78" t="n"/>
      <c r="L691" s="78" t="inlineStr">
        <is>
          <t>Secondary: commission records; no monthly turnover register for this period</t>
        </is>
      </c>
      <c r="M691" s="78" t="inlineStr">
        <is>
          <t>BAAY PROJECTS SALES EXPENSES (COMMISSION) RECORDS (1)</t>
        </is>
      </c>
      <c r="N691" s="78" t="inlineStr">
        <is>
          <t>MS JENNIFER</t>
        </is>
      </c>
      <c r="O691" s="78" t="n">
        <v>4</v>
      </c>
      <c r="P691" s="78" t="inlineStr">
        <is>
          <t>2025-02-04</t>
        </is>
      </c>
      <c r="Q691" s="78" t="n"/>
      <c r="R691" s="78" t="inlineStr">
        <is>
          <t>Commission-record amount: confirm to bank statement (records can aggregate several transfers)</t>
        </is>
      </c>
    </row>
    <row r="692" ht="25" customHeight="1">
      <c r="A692" s="75" t="inlineStr">
        <is>
          <t>SL0669</t>
        </is>
      </c>
      <c r="B692" s="76" t="n">
        <v>45750</v>
      </c>
      <c r="C692" s="75" t="inlineStr">
        <is>
          <t>2025-04</t>
        </is>
      </c>
      <c r="D692" s="75" t="n">
        <v>2025</v>
      </c>
      <c r="E692" s="75" t="inlineStr">
        <is>
          <t>Land</t>
        </is>
      </c>
      <c r="F692" s="75" t="inlineStr">
        <is>
          <t>Plot / unit price</t>
        </is>
      </c>
      <c r="G692" s="75" t="inlineStr">
        <is>
          <t>Land (estate not stated in source)</t>
        </is>
      </c>
      <c r="H692" s="75" t="inlineStr">
        <is>
          <t>BP-C0173</t>
        </is>
      </c>
      <c r="I692" s="75" t="inlineStr">
        <is>
          <t>Miss Julian-Nwadi Hephzibah Chisom</t>
        </is>
      </c>
      <c r="J692" s="77" t="n">
        <v>566000</v>
      </c>
      <c r="K692" s="75" t="n"/>
      <c r="L692" s="75" t="inlineStr">
        <is>
          <t>Secondary: commission records; no monthly turnover register for this period</t>
        </is>
      </c>
      <c r="M692" s="75" t="inlineStr">
        <is>
          <t>BAAY PROJECTS SALES EXPENSES (COMMISSION) RECORDS (1)</t>
        </is>
      </c>
      <c r="N692" s="75" t="inlineStr">
        <is>
          <t>MS ROSEMARY</t>
        </is>
      </c>
      <c r="O692" s="75" t="n">
        <v>18</v>
      </c>
      <c r="P692" s="75" t="inlineStr">
        <is>
          <t>2025-03-04</t>
        </is>
      </c>
      <c r="Q692" s="75" t="n"/>
      <c r="R692" s="75" t="inlineStr">
        <is>
          <t>Commission-record amount: confirm to bank statement (records can aggregate several transfers)</t>
        </is>
      </c>
    </row>
    <row r="693" ht="25" customHeight="1">
      <c r="A693" s="78" t="inlineStr">
        <is>
          <t>SL0670</t>
        </is>
      </c>
      <c r="B693" s="79" t="n">
        <v>45751</v>
      </c>
      <c r="C693" s="78" t="inlineStr">
        <is>
          <t>2025-04</t>
        </is>
      </c>
      <c r="D693" s="78" t="n">
        <v>2025</v>
      </c>
      <c r="E693" s="78" t="inlineStr">
        <is>
          <t>Land</t>
        </is>
      </c>
      <c r="F693" s="78" t="inlineStr">
        <is>
          <t>Plot / unit price</t>
        </is>
      </c>
      <c r="G693" s="78" t="inlineStr">
        <is>
          <t>Land (estate not stated in source)</t>
        </is>
      </c>
      <c r="H693" s="78" t="inlineStr">
        <is>
          <t>BP-C0168</t>
        </is>
      </c>
      <c r="I693" s="78" t="inlineStr">
        <is>
          <t>Mrs Adenuga Damilola Grace</t>
        </is>
      </c>
      <c r="J693" s="80" t="n">
        <v>350000</v>
      </c>
      <c r="K693" s="78" t="n"/>
      <c r="L693" s="78" t="inlineStr">
        <is>
          <t>Secondary: commission records; no monthly turnover register for this period</t>
        </is>
      </c>
      <c r="M693" s="78" t="inlineStr">
        <is>
          <t>BAAY PROJECTS SALES EXPENSES (COMMISSION) RECORDS (1)</t>
        </is>
      </c>
      <c r="N693" s="78" t="inlineStr">
        <is>
          <t>MS ADENIKE</t>
        </is>
      </c>
      <c r="O693" s="78" t="n">
        <v>50</v>
      </c>
      <c r="P693" s="78" t="inlineStr">
        <is>
          <t>2025-04-04</t>
        </is>
      </c>
      <c r="Q693" s="78" t="n"/>
      <c r="R693" s="78" t="inlineStr">
        <is>
          <t>Commission-record amount: confirm to bank statement (records can aggregate several transfers)</t>
        </is>
      </c>
    </row>
    <row r="694" ht="25" customHeight="1">
      <c r="A694" s="75" t="inlineStr">
        <is>
          <t>SL0671</t>
        </is>
      </c>
      <c r="B694" s="76" t="n">
        <v>45752</v>
      </c>
      <c r="C694" s="75" t="inlineStr">
        <is>
          <t>2025-04</t>
        </is>
      </c>
      <c r="D694" s="75" t="n">
        <v>2025</v>
      </c>
      <c r="E694" s="75" t="inlineStr">
        <is>
          <t>Housing</t>
        </is>
      </c>
      <c r="F694" s="75" t="inlineStr">
        <is>
          <t>Plot / unit price</t>
        </is>
      </c>
      <c r="G694" s="75" t="inlineStr">
        <is>
          <t>Pacific Apartment</t>
        </is>
      </c>
      <c r="H694" s="75" t="inlineStr">
        <is>
          <t>BP-C0192</t>
        </is>
      </c>
      <c r="I694" s="75" t="inlineStr">
        <is>
          <t>Dr Esangbedo Wilson</t>
        </is>
      </c>
      <c r="J694" s="77" t="n">
        <v>10000000</v>
      </c>
      <c r="K694" s="75" t="n"/>
      <c r="L694" s="75" t="inlineStr">
        <is>
          <t>Secondary: commission records; no monthly turnover register for this period</t>
        </is>
      </c>
      <c r="M694" s="75" t="inlineStr">
        <is>
          <t>BAAY PROJECTS SALES EXPENSES (COMMISSION) RECORDS (1)</t>
        </is>
      </c>
      <c r="N694" s="75" t="inlineStr">
        <is>
          <t>MS MOFFAT</t>
        </is>
      </c>
      <c r="O694" s="75" t="n">
        <v>16</v>
      </c>
      <c r="P694" s="75" t="inlineStr">
        <is>
          <t>2025-05-04</t>
        </is>
      </c>
      <c r="Q694" s="75" t="inlineStr">
        <is>
          <t>MRS ABIMBOLA r190</t>
        </is>
      </c>
      <c r="R694" s="75" t="inlineStr">
        <is>
          <t>Commission-record amount: confirm to bank statement (records can aggregate several transfers)</t>
        </is>
      </c>
    </row>
    <row r="695" ht="25" customHeight="1">
      <c r="A695" s="78" t="inlineStr">
        <is>
          <t>SL0672</t>
        </is>
      </c>
      <c r="B695" s="79" t="n">
        <v>45753</v>
      </c>
      <c r="C695" s="78" t="inlineStr">
        <is>
          <t>2025-04</t>
        </is>
      </c>
      <c r="D695" s="78" t="n">
        <v>2025</v>
      </c>
      <c r="E695" s="78" t="inlineStr">
        <is>
          <t>Land</t>
        </is>
      </c>
      <c r="F695" s="78" t="inlineStr">
        <is>
          <t>Plot / unit price</t>
        </is>
      </c>
      <c r="G695" s="78" t="inlineStr">
        <is>
          <t>Land (estate not stated in source)</t>
        </is>
      </c>
      <c r="H695" s="78" t="inlineStr">
        <is>
          <t>BP-C0191</t>
        </is>
      </c>
      <c r="I695" s="78" t="inlineStr">
        <is>
          <t>Mrs Oduomah Jumoke</t>
        </is>
      </c>
      <c r="J695" s="80" t="n">
        <v>200000</v>
      </c>
      <c r="K695" s="78" t="n"/>
      <c r="L695" s="78" t="inlineStr">
        <is>
          <t>Secondary: commission records; no monthly turnover register for this period</t>
        </is>
      </c>
      <c r="M695" s="78" t="inlineStr">
        <is>
          <t>BAAY PROJECTS SALES EXPENSES (COMMISSION) RECORDS (1)</t>
        </is>
      </c>
      <c r="N695" s="78" t="inlineStr">
        <is>
          <t>MR KENNY BRUCE</t>
        </is>
      </c>
      <c r="O695" s="78" t="n">
        <v>3</v>
      </c>
      <c r="P695" s="78" t="inlineStr">
        <is>
          <t>2025-06-04</t>
        </is>
      </c>
      <c r="Q695" s="78" t="n"/>
      <c r="R695" s="78" t="inlineStr">
        <is>
          <t>Commission-record amount: confirm to bank statement (records can aggregate several transfers)</t>
        </is>
      </c>
    </row>
    <row r="696" ht="25" customHeight="1">
      <c r="A696" s="75" t="inlineStr">
        <is>
          <t>SL0673</t>
        </is>
      </c>
      <c r="B696" s="76" t="n">
        <v>45754</v>
      </c>
      <c r="C696" s="75" t="inlineStr">
        <is>
          <t>2025-04</t>
        </is>
      </c>
      <c r="D696" s="75" t="n">
        <v>2025</v>
      </c>
      <c r="E696" s="75" t="inlineStr">
        <is>
          <t>Land</t>
        </is>
      </c>
      <c r="F696" s="75" t="inlineStr">
        <is>
          <t>Plot / unit price</t>
        </is>
      </c>
      <c r="G696" s="75" t="inlineStr">
        <is>
          <t>Land (estate not stated in source)</t>
        </is>
      </c>
      <c r="H696" s="75" t="inlineStr">
        <is>
          <t>BP-C0193</t>
        </is>
      </c>
      <c r="I696" s="75" t="inlineStr">
        <is>
          <t>Mr Emmanuel Famous Chinenye</t>
        </is>
      </c>
      <c r="J696" s="77" t="n">
        <v>500000</v>
      </c>
      <c r="K696" s="75" t="n"/>
      <c r="L696" s="75" t="inlineStr">
        <is>
          <t>Secondary: commission records; no monthly turnover register for this period</t>
        </is>
      </c>
      <c r="M696" s="75" t="inlineStr">
        <is>
          <t>BAAY PROJECTS SALES EXPENSES (COMMISSION) RECORDS (1)</t>
        </is>
      </c>
      <c r="N696" s="75" t="inlineStr">
        <is>
          <t>MS ROSEMARY</t>
        </is>
      </c>
      <c r="O696" s="75" t="n">
        <v>19</v>
      </c>
      <c r="P696" s="75" t="inlineStr">
        <is>
          <t>2025-07-04</t>
        </is>
      </c>
      <c r="Q696" s="75" t="n"/>
      <c r="R696" s="75" t="inlineStr">
        <is>
          <t>Commission-record amount: confirm to bank statement (records can aggregate several transfers)</t>
        </is>
      </c>
    </row>
    <row r="697" ht="25" customHeight="1">
      <c r="A697" s="78" t="inlineStr">
        <is>
          <t>SL0674</t>
        </is>
      </c>
      <c r="B697" s="79" t="n">
        <v>45754</v>
      </c>
      <c r="C697" s="78" t="inlineStr">
        <is>
          <t>2025-04</t>
        </is>
      </c>
      <c r="D697" s="78" t="n">
        <v>2025</v>
      </c>
      <c r="E697" s="78" t="inlineStr">
        <is>
          <t>Land</t>
        </is>
      </c>
      <c r="F697" s="78" t="inlineStr">
        <is>
          <t>Plot / unit price</t>
        </is>
      </c>
      <c r="G697" s="78" t="inlineStr">
        <is>
          <t>Land (estate not stated in source)</t>
        </is>
      </c>
      <c r="H697" s="78" t="inlineStr">
        <is>
          <t>BP-C0151</t>
        </is>
      </c>
      <c r="I697" s="78" t="inlineStr">
        <is>
          <t>Mrs Shotonwa Olamide Abosede</t>
        </is>
      </c>
      <c r="J697" s="80" t="n">
        <v>1500000</v>
      </c>
      <c r="K697" s="78" t="n"/>
      <c r="L697" s="78" t="inlineStr">
        <is>
          <t>Secondary: commission records; no monthly turnover register for this period</t>
        </is>
      </c>
      <c r="M697" s="78" t="inlineStr">
        <is>
          <t>BAAY PROJECTS SALES EXPENSES (COMMISSION) RECORDS (1)</t>
        </is>
      </c>
      <c r="N697" s="78" t="inlineStr">
        <is>
          <t>MS ADENIKE</t>
        </is>
      </c>
      <c r="O697" s="78" t="n">
        <v>51</v>
      </c>
      <c r="P697" s="78" t="inlineStr">
        <is>
          <t>2025-07-04</t>
        </is>
      </c>
      <c r="Q697" s="78" t="n"/>
      <c r="R697" s="78" t="inlineStr">
        <is>
          <t>Commission-record amount: confirm to bank statement (records can aggregate several transfers)</t>
        </is>
      </c>
    </row>
    <row r="698" ht="25" customHeight="1">
      <c r="A698" s="75" t="inlineStr">
        <is>
          <t>SL0675</t>
        </is>
      </c>
      <c r="B698" s="76" t="n">
        <v>45755</v>
      </c>
      <c r="C698" s="75" t="inlineStr">
        <is>
          <t>2025-04</t>
        </is>
      </c>
      <c r="D698" s="75" t="n">
        <v>2025</v>
      </c>
      <c r="E698" s="75" t="inlineStr">
        <is>
          <t>Land</t>
        </is>
      </c>
      <c r="F698" s="75" t="inlineStr">
        <is>
          <t>Plot / unit price</t>
        </is>
      </c>
      <c r="G698" s="75" t="inlineStr">
        <is>
          <t>Land (estate not stated in source)</t>
        </is>
      </c>
      <c r="H698" s="75" t="inlineStr">
        <is>
          <t>BP-C0148</t>
        </is>
      </c>
      <c r="I698" s="75" t="inlineStr">
        <is>
          <t>Mr Akinsete Michael</t>
        </is>
      </c>
      <c r="J698" s="77" t="n">
        <v>700000</v>
      </c>
      <c r="K698" s="75" t="n"/>
      <c r="L698" s="75" t="inlineStr">
        <is>
          <t>Secondary: commission records; no monthly turnover register for this period</t>
        </is>
      </c>
      <c r="M698" s="75" t="inlineStr">
        <is>
          <t>BAAY PROJECTS SALES EXPENSES (COMMISSION) RECORDS (1)</t>
        </is>
      </c>
      <c r="N698" s="75" t="inlineStr">
        <is>
          <t>MD</t>
        </is>
      </c>
      <c r="O698" s="75" t="n">
        <v>159</v>
      </c>
      <c r="P698" s="75" t="inlineStr">
        <is>
          <t>2025-08-04</t>
        </is>
      </c>
      <c r="Q698" s="75" t="n"/>
      <c r="R698" s="75" t="inlineStr">
        <is>
          <t>Commission-record amount: confirm to bank statement (records can aggregate several transfers)</t>
        </is>
      </c>
    </row>
    <row r="699" ht="25" customHeight="1">
      <c r="A699" s="78" t="inlineStr">
        <is>
          <t>SL0676</t>
        </is>
      </c>
      <c r="B699" s="79" t="n">
        <v>45756</v>
      </c>
      <c r="C699" s="78" t="inlineStr">
        <is>
          <t>2025-04</t>
        </is>
      </c>
      <c r="D699" s="78" t="n">
        <v>2025</v>
      </c>
      <c r="E699" s="78" t="inlineStr">
        <is>
          <t>Housing</t>
        </is>
      </c>
      <c r="F699" s="78" t="inlineStr">
        <is>
          <t>Plot / unit price</t>
        </is>
      </c>
      <c r="G699" s="78" t="inlineStr">
        <is>
          <t>Housing unit (project not stated in source)</t>
        </is>
      </c>
      <c r="H699" s="78" t="inlineStr">
        <is>
          <t>BP-C0133</t>
        </is>
      </c>
      <c r="I699" s="78" t="inlineStr">
        <is>
          <t>Mr Olagbende Oluwashina Oluwaseun</t>
        </is>
      </c>
      <c r="J699" s="80" t="n">
        <v>2000000</v>
      </c>
      <c r="K699" s="78" t="n"/>
      <c r="L699" s="78" t="inlineStr">
        <is>
          <t>Secondary: commission records; no monthly turnover register for this period</t>
        </is>
      </c>
      <c r="M699" s="78" t="inlineStr">
        <is>
          <t>BAAY PROJECTS SALES EXPENSES (COMMISSION) RECORDS (1)</t>
        </is>
      </c>
      <c r="N699" s="78" t="inlineStr">
        <is>
          <t>MS AWONORIN MAYOWA</t>
        </is>
      </c>
      <c r="O699" s="78" t="n">
        <v>65</v>
      </c>
      <c r="P699" s="78" t="inlineStr">
        <is>
          <t>2025-09-04</t>
        </is>
      </c>
      <c r="Q699" s="78" t="n"/>
      <c r="R699" s="78" t="inlineStr">
        <is>
          <t>Commission-record amount: confirm to bank statement (records can aggregate several transfers)</t>
        </is>
      </c>
    </row>
    <row r="700" ht="25" customHeight="1">
      <c r="A700" s="75" t="inlineStr">
        <is>
          <t>SL0677</t>
        </is>
      </c>
      <c r="B700" s="76" t="n">
        <v>45757</v>
      </c>
      <c r="C700" s="75" t="inlineStr">
        <is>
          <t>2025-04</t>
        </is>
      </c>
      <c r="D700" s="75" t="n">
        <v>2025</v>
      </c>
      <c r="E700" s="75" t="inlineStr">
        <is>
          <t>Land</t>
        </is>
      </c>
      <c r="F700" s="75" t="inlineStr">
        <is>
          <t>Plot / unit price</t>
        </is>
      </c>
      <c r="G700" s="75" t="inlineStr">
        <is>
          <t>Land (estate not stated in source)</t>
        </is>
      </c>
      <c r="H700" s="75" t="inlineStr">
        <is>
          <t>BP-C0193</t>
        </is>
      </c>
      <c r="I700" s="75" t="inlineStr">
        <is>
          <t>Mr Emmanuel Famous Chinenye</t>
        </is>
      </c>
      <c r="J700" s="77" t="n">
        <v>550000</v>
      </c>
      <c r="K700" s="75" t="n"/>
      <c r="L700" s="75" t="inlineStr">
        <is>
          <t>Secondary: commission records; no monthly turnover register for this period</t>
        </is>
      </c>
      <c r="M700" s="75" t="inlineStr">
        <is>
          <t>BAAY PROJECTS SALES EXPENSES (COMMISSION) RECORDS (1)</t>
        </is>
      </c>
      <c r="N700" s="75" t="inlineStr">
        <is>
          <t>MS ROSEMARY</t>
        </is>
      </c>
      <c r="O700" s="75" t="n">
        <v>20</v>
      </c>
      <c r="P700" s="75" t="inlineStr">
        <is>
          <t>2025-10-04</t>
        </is>
      </c>
      <c r="Q700" s="75" t="n"/>
      <c r="R700" s="75" t="inlineStr">
        <is>
          <t>Commission-record amount: confirm to bank statement (records can aggregate several transfers)</t>
        </is>
      </c>
    </row>
    <row r="701" ht="25" customHeight="1">
      <c r="A701" s="78" t="inlineStr">
        <is>
          <t>SL0678</t>
        </is>
      </c>
      <c r="B701" s="79" t="n">
        <v>45758</v>
      </c>
      <c r="C701" s="78" t="inlineStr">
        <is>
          <t>2025-04</t>
        </is>
      </c>
      <c r="D701" s="78" t="n">
        <v>2025</v>
      </c>
      <c r="E701" s="78" t="inlineStr">
        <is>
          <t>Housing</t>
        </is>
      </c>
      <c r="F701" s="78" t="inlineStr">
        <is>
          <t>Plot / unit price</t>
        </is>
      </c>
      <c r="G701" s="78" t="inlineStr">
        <is>
          <t>Pacific Apartment</t>
        </is>
      </c>
      <c r="H701" s="78" t="inlineStr">
        <is>
          <t>BP-C0143</t>
        </is>
      </c>
      <c r="I701" s="78" t="inlineStr">
        <is>
          <t>Mrs Oyindamola Duntoye Adekunle</t>
        </is>
      </c>
      <c r="J701" s="80" t="n">
        <v>4750000</v>
      </c>
      <c r="K701" s="78" t="n"/>
      <c r="L701" s="78" t="inlineStr">
        <is>
          <t>Secondary: commission records; no monthly turnover register for this period</t>
        </is>
      </c>
      <c r="M701" s="78" t="inlineStr">
        <is>
          <t>BAAY PROJECTS SALES EXPENSES (COMMISSION) RECORDS (1)</t>
        </is>
      </c>
      <c r="N701" s="78" t="inlineStr">
        <is>
          <t>MAMA ADEBIMPE</t>
        </is>
      </c>
      <c r="O701" s="78" t="n">
        <v>153</v>
      </c>
      <c r="P701" s="78" t="inlineStr">
        <is>
          <t>2025-11-04</t>
        </is>
      </c>
      <c r="Q701" s="78" t="n"/>
      <c r="R701" s="78" t="inlineStr">
        <is>
          <t>Commission-record amount: confirm to bank statement (records can aggregate several transfers)</t>
        </is>
      </c>
    </row>
    <row r="702" ht="25" customHeight="1">
      <c r="A702" s="75" t="inlineStr">
        <is>
          <t>SL0679</t>
        </is>
      </c>
      <c r="B702" s="76" t="n">
        <v>45758</v>
      </c>
      <c r="C702" s="75" t="inlineStr">
        <is>
          <t>2025-04</t>
        </is>
      </c>
      <c r="D702" s="75" t="n">
        <v>2025</v>
      </c>
      <c r="E702" s="75" t="inlineStr">
        <is>
          <t>Housing</t>
        </is>
      </c>
      <c r="F702" s="75" t="inlineStr">
        <is>
          <t>Plot / unit price</t>
        </is>
      </c>
      <c r="G702" s="75" t="inlineStr">
        <is>
          <t>Pacific Apartment</t>
        </is>
      </c>
      <c r="H702" s="75" t="inlineStr">
        <is>
          <t>BP-C0183</t>
        </is>
      </c>
      <c r="I702" s="75" t="inlineStr">
        <is>
          <t>Salem Real Estate (Mr Atoyebi Isaac Jesuloba)</t>
        </is>
      </c>
      <c r="J702" s="77" t="n">
        <v>2000000</v>
      </c>
      <c r="K702" s="75" t="n"/>
      <c r="L702" s="75" t="inlineStr">
        <is>
          <t>Secondary: commission records; no monthly turnover register for this period</t>
        </is>
      </c>
      <c r="M702" s="75" t="inlineStr">
        <is>
          <t>BAAY PROJECTS SALES EXPENSES (COMMISSION) RECORDS (1)</t>
        </is>
      </c>
      <c r="N702" s="75" t="inlineStr">
        <is>
          <t>MD</t>
        </is>
      </c>
      <c r="O702" s="75" t="n">
        <v>163</v>
      </c>
      <c r="P702" s="75" t="inlineStr">
        <is>
          <t>2025-11-04</t>
        </is>
      </c>
      <c r="Q702" s="75" t="inlineStr">
        <is>
          <t>SALEM REAL ESTATE r6</t>
        </is>
      </c>
      <c r="R702" s="75" t="inlineStr">
        <is>
          <t>Commission-record amount: confirm to bank statement (records can aggregate several transfers)</t>
        </is>
      </c>
    </row>
    <row r="703" ht="25" customHeight="1">
      <c r="A703" s="78" t="inlineStr">
        <is>
          <t>SL0680</t>
        </is>
      </c>
      <c r="B703" s="79" t="n">
        <v>45759</v>
      </c>
      <c r="C703" s="78" t="inlineStr">
        <is>
          <t>2025-04</t>
        </is>
      </c>
      <c r="D703" s="78" t="n">
        <v>2025</v>
      </c>
      <c r="E703" s="78" t="inlineStr">
        <is>
          <t>Housing</t>
        </is>
      </c>
      <c r="F703" s="78" t="inlineStr">
        <is>
          <t>Plot / unit price</t>
        </is>
      </c>
      <c r="G703" s="78" t="inlineStr">
        <is>
          <t>Pacific Apartment</t>
        </is>
      </c>
      <c r="H703" s="78" t="inlineStr">
        <is>
          <t>BP-C0194</t>
        </is>
      </c>
      <c r="I703" s="78" t="inlineStr">
        <is>
          <t>Mrs Enitan Pine</t>
        </is>
      </c>
      <c r="J703" s="80" t="n">
        <v>5000000</v>
      </c>
      <c r="K703" s="78" t="n"/>
      <c r="L703" s="78" t="inlineStr">
        <is>
          <t>Secondary: commission records; no monthly turnover register for this period</t>
        </is>
      </c>
      <c r="M703" s="78" t="inlineStr">
        <is>
          <t>BAAY PROJECTS SALES EXPENSES (COMMISSION) RECORDS (1)</t>
        </is>
      </c>
      <c r="N703" s="78" t="inlineStr">
        <is>
          <t>MD</t>
        </is>
      </c>
      <c r="O703" s="78" t="n">
        <v>162</v>
      </c>
      <c r="P703" s="78" t="inlineStr">
        <is>
          <t>2025-12-04</t>
        </is>
      </c>
      <c r="Q703" s="78" t="n"/>
      <c r="R703" s="78" t="inlineStr">
        <is>
          <t>Commission-record amount: confirm to bank statement (records can aggregate several transfers)</t>
        </is>
      </c>
    </row>
    <row r="704" ht="25" customHeight="1">
      <c r="A704" s="75" t="inlineStr">
        <is>
          <t>SL0681</t>
        </is>
      </c>
      <c r="B704" s="76" t="n">
        <v>45761</v>
      </c>
      <c r="C704" s="75" t="inlineStr">
        <is>
          <t>2025-04</t>
        </is>
      </c>
      <c r="D704" s="75" t="n">
        <v>2025</v>
      </c>
      <c r="E704" s="75" t="inlineStr">
        <is>
          <t>Land</t>
        </is>
      </c>
      <c r="F704" s="75" t="inlineStr">
        <is>
          <t>Plot / unit price</t>
        </is>
      </c>
      <c r="G704" s="75" t="inlineStr">
        <is>
          <t>Land (estate not stated in source)</t>
        </is>
      </c>
      <c r="H704" s="75" t="inlineStr">
        <is>
          <t>BP-C0181</t>
        </is>
      </c>
      <c r="I704" s="75" t="inlineStr">
        <is>
          <t>Miss Joshua Fortune Ufot</t>
        </is>
      </c>
      <c r="J704" s="77" t="n">
        <v>1000000</v>
      </c>
      <c r="K704" s="75" t="n"/>
      <c r="L704" s="75" t="inlineStr">
        <is>
          <t>Secondary: commission records; no monthly turnover register for this period</t>
        </is>
      </c>
      <c r="M704" s="75" t="inlineStr">
        <is>
          <t>BAAY PROJECTS SALES EXPENSES (COMMISSION) RECORDS (1)</t>
        </is>
      </c>
      <c r="N704" s="75" t="inlineStr">
        <is>
          <t>MS PRAISE</t>
        </is>
      </c>
      <c r="O704" s="75" t="n">
        <v>3</v>
      </c>
      <c r="P704" s="75" t="inlineStr">
        <is>
          <t>14/04/2025</t>
        </is>
      </c>
      <c r="Q704" s="75" t="n"/>
      <c r="R704" s="75" t="inlineStr">
        <is>
          <t>Commission-record amount: confirm to bank statement (records can aggregate several transfers)</t>
        </is>
      </c>
    </row>
    <row r="705" ht="25" customHeight="1">
      <c r="A705" s="78" t="inlineStr">
        <is>
          <t>SL0682</t>
        </is>
      </c>
      <c r="B705" s="79" t="n">
        <v>45762</v>
      </c>
      <c r="C705" s="78" t="inlineStr">
        <is>
          <t>2025-04</t>
        </is>
      </c>
      <c r="D705" s="78" t="n">
        <v>2025</v>
      </c>
      <c r="E705" s="78" t="inlineStr">
        <is>
          <t>Housing</t>
        </is>
      </c>
      <c r="F705" s="78" t="inlineStr">
        <is>
          <t>Plot / unit price</t>
        </is>
      </c>
      <c r="G705" s="78" t="inlineStr">
        <is>
          <t>Pacific Apartment</t>
        </is>
      </c>
      <c r="H705" s="78" t="inlineStr">
        <is>
          <t>BP-C0160</t>
        </is>
      </c>
      <c r="I705" s="78" t="inlineStr">
        <is>
          <t>Mr Okenla Olugboyega Gabriel</t>
        </is>
      </c>
      <c r="J705" s="80" t="n">
        <v>2000000</v>
      </c>
      <c r="K705" s="78" t="n"/>
      <c r="L705" s="78" t="inlineStr">
        <is>
          <t>Secondary: commission records; no monthly turnover register for this period</t>
        </is>
      </c>
      <c r="M705" s="78" t="inlineStr">
        <is>
          <t>BAAY PROJECTS SALES EXPENSES (COMMISSION) RECORDS (1)</t>
        </is>
      </c>
      <c r="N705" s="78" t="inlineStr">
        <is>
          <t>MS MOFFAT</t>
        </is>
      </c>
      <c r="O705" s="78" t="n">
        <v>17</v>
      </c>
      <c r="P705" s="78" t="inlineStr">
        <is>
          <t>15/04/2025</t>
        </is>
      </c>
      <c r="Q705" s="78" t="inlineStr">
        <is>
          <t>MRS ABIMBOLA r191</t>
        </is>
      </c>
      <c r="R705" s="78" t="inlineStr">
        <is>
          <t>Commission-record amount: confirm to bank statement (records can aggregate several transfers)</t>
        </is>
      </c>
    </row>
    <row r="706" ht="25" customHeight="1">
      <c r="A706" s="75" t="inlineStr">
        <is>
          <t>SL0683</t>
        </is>
      </c>
      <c r="B706" s="76" t="n">
        <v>45763</v>
      </c>
      <c r="C706" s="75" t="inlineStr">
        <is>
          <t>2025-04</t>
        </is>
      </c>
      <c r="D706" s="75" t="n">
        <v>2025</v>
      </c>
      <c r="E706" s="75" t="inlineStr">
        <is>
          <t>Land</t>
        </is>
      </c>
      <c r="F706" s="75" t="inlineStr">
        <is>
          <t>Plot / unit price</t>
        </is>
      </c>
      <c r="G706" s="75" t="inlineStr">
        <is>
          <t>Land (estate not stated in source)</t>
        </is>
      </c>
      <c r="H706" s="75" t="inlineStr">
        <is>
          <t>BP-C0050</t>
        </is>
      </c>
      <c r="I706" s="75" t="inlineStr">
        <is>
          <t>Mr Atuanya Patrick Jideovo</t>
        </is>
      </c>
      <c r="J706" s="77" t="n">
        <v>400000</v>
      </c>
      <c r="K706" s="75" t="n"/>
      <c r="L706" s="75" t="inlineStr">
        <is>
          <t>Secondary: commission records; no monthly turnover register for this period</t>
        </is>
      </c>
      <c r="M706" s="75" t="inlineStr">
        <is>
          <t>BAAY PROJECTS SALES EXPENSES (COMMISSION) RECORDS (1)</t>
        </is>
      </c>
      <c r="N706" s="75" t="inlineStr">
        <is>
          <t>MS YETUNDE ABISOYE</t>
        </is>
      </c>
      <c r="O706" s="75" t="n">
        <v>95</v>
      </c>
      <c r="P706" s="75" t="inlineStr">
        <is>
          <t>16/04/2025</t>
        </is>
      </c>
      <c r="Q706" s="75" t="n"/>
      <c r="R706" s="75" t="inlineStr">
        <is>
          <t>Commission-record amount: confirm to bank statement (records can aggregate several transfers)</t>
        </is>
      </c>
    </row>
    <row r="707" ht="25" customHeight="1">
      <c r="A707" s="78" t="inlineStr">
        <is>
          <t>SL0684</t>
        </is>
      </c>
      <c r="B707" s="79" t="n">
        <v>45769</v>
      </c>
      <c r="C707" s="78" t="inlineStr">
        <is>
          <t>2025-04</t>
        </is>
      </c>
      <c r="D707" s="78" t="n">
        <v>2025</v>
      </c>
      <c r="E707" s="78" t="inlineStr">
        <is>
          <t>Housing</t>
        </is>
      </c>
      <c r="F707" s="78" t="inlineStr">
        <is>
          <t>Plot / unit price</t>
        </is>
      </c>
      <c r="G707" s="78" t="inlineStr">
        <is>
          <t>Pacific Apartment</t>
        </is>
      </c>
      <c r="H707" s="78" t="inlineStr">
        <is>
          <t>BP-C0179</t>
        </is>
      </c>
      <c r="I707" s="78" t="inlineStr">
        <is>
          <t>Mr Olajide Afeez</t>
        </is>
      </c>
      <c r="J707" s="80" t="n">
        <v>5000000</v>
      </c>
      <c r="K707" s="78" t="n"/>
      <c r="L707" s="78" t="inlineStr">
        <is>
          <t>Secondary: commission records; no monthly turnover register for this period</t>
        </is>
      </c>
      <c r="M707" s="78" t="inlineStr">
        <is>
          <t>BAAY PROJECTS SALES EXPENSES (COMMISSION) RECORDS (1)</t>
        </is>
      </c>
      <c r="N707" s="78" t="inlineStr">
        <is>
          <t>MD</t>
        </is>
      </c>
      <c r="O707" s="78" t="n">
        <v>160</v>
      </c>
      <c r="P707" s="78" t="inlineStr">
        <is>
          <t>22/04/2025</t>
        </is>
      </c>
      <c r="Q707" s="78" t="n"/>
      <c r="R707" s="78" t="inlineStr">
        <is>
          <t>Commission-record amount: confirm to bank statement (records can aggregate several transfers)</t>
        </is>
      </c>
    </row>
    <row r="708" ht="25" customHeight="1">
      <c r="A708" s="75" t="inlineStr">
        <is>
          <t>SL0685</t>
        </is>
      </c>
      <c r="B708" s="76" t="n">
        <v>45769</v>
      </c>
      <c r="C708" s="75" t="inlineStr">
        <is>
          <t>2025-04</t>
        </is>
      </c>
      <c r="D708" s="75" t="n">
        <v>2025</v>
      </c>
      <c r="E708" s="75" t="inlineStr">
        <is>
          <t>Housing</t>
        </is>
      </c>
      <c r="F708" s="75" t="inlineStr">
        <is>
          <t>Plot / unit price</t>
        </is>
      </c>
      <c r="G708" s="75" t="inlineStr">
        <is>
          <t>Pacific Apartment</t>
        </is>
      </c>
      <c r="H708" s="75" t="inlineStr">
        <is>
          <t>BP-C0186</t>
        </is>
      </c>
      <c r="I708" s="75" t="inlineStr">
        <is>
          <t>Salem real Estate (Mrs Omoko Onora Helen)</t>
        </is>
      </c>
      <c r="J708" s="77" t="n">
        <v>5000000</v>
      </c>
      <c r="K708" s="75" t="n"/>
      <c r="L708" s="75" t="inlineStr">
        <is>
          <t>Secondary: commission records; no monthly turnover register for this period</t>
        </is>
      </c>
      <c r="M708" s="75" t="inlineStr">
        <is>
          <t>BAAY PROJECTS SALES EXPENSES (COMMISSION) RECORDS (1)</t>
        </is>
      </c>
      <c r="N708" s="75" t="inlineStr">
        <is>
          <t>MR CHARLES</t>
        </is>
      </c>
      <c r="O708" s="75" t="n">
        <v>83</v>
      </c>
      <c r="P708" s="75" t="inlineStr">
        <is>
          <t>22/04/2025</t>
        </is>
      </c>
      <c r="Q708" s="75" t="inlineStr">
        <is>
          <t>SALEM REAL ESTATE r5</t>
        </is>
      </c>
      <c r="R708" s="75" t="inlineStr">
        <is>
          <t>Commission-record amount: confirm to bank statement (records can aggregate several transfers)</t>
        </is>
      </c>
    </row>
    <row r="709" ht="25" customHeight="1">
      <c r="A709" s="78" t="inlineStr">
        <is>
          <t>SL0686</t>
        </is>
      </c>
      <c r="B709" s="79" t="n">
        <v>45770</v>
      </c>
      <c r="C709" s="78" t="inlineStr">
        <is>
          <t>2025-04</t>
        </is>
      </c>
      <c r="D709" s="78" t="n">
        <v>2025</v>
      </c>
      <c r="E709" s="78" t="inlineStr">
        <is>
          <t>Land</t>
        </is>
      </c>
      <c r="F709" s="78" t="inlineStr">
        <is>
          <t>Plot / unit price</t>
        </is>
      </c>
      <c r="G709" s="78" t="inlineStr">
        <is>
          <t>Land (estate not stated in source)</t>
        </is>
      </c>
      <c r="H709" s="78" t="inlineStr">
        <is>
          <t>BP-C0184</t>
        </is>
      </c>
      <c r="I709" s="78" t="inlineStr">
        <is>
          <t>Mr Klu Jeremiah</t>
        </is>
      </c>
      <c r="J709" s="80" t="n">
        <v>500000</v>
      </c>
      <c r="K709" s="78" t="n"/>
      <c r="L709" s="78" t="inlineStr">
        <is>
          <t>Secondary: commission records; no monthly turnover register for this period</t>
        </is>
      </c>
      <c r="M709" s="78" t="inlineStr">
        <is>
          <t>BAAY PROJECTS SALES EXPENSES (COMMISSION) RECORDS (1)</t>
        </is>
      </c>
      <c r="N709" s="78" t="inlineStr">
        <is>
          <t>MS BOLANLE</t>
        </is>
      </c>
      <c r="O709" s="78" t="n">
        <v>135</v>
      </c>
      <c r="P709" s="78" t="inlineStr">
        <is>
          <t>23/04/2025</t>
        </is>
      </c>
      <c r="Q709" s="78" t="n"/>
      <c r="R709" s="78" t="inlineStr">
        <is>
          <t>Commission-record amount: confirm to bank statement (records can aggregate several transfers)</t>
        </is>
      </c>
    </row>
    <row r="710" ht="25" customHeight="1">
      <c r="A710" s="75" t="inlineStr">
        <is>
          <t>SL0687</t>
        </is>
      </c>
      <c r="B710" s="76" t="n">
        <v>45770</v>
      </c>
      <c r="C710" s="75" t="inlineStr">
        <is>
          <t>2025-04</t>
        </is>
      </c>
      <c r="D710" s="75" t="n">
        <v>2025</v>
      </c>
      <c r="E710" s="75" t="inlineStr">
        <is>
          <t>Land</t>
        </is>
      </c>
      <c r="F710" s="75" t="inlineStr">
        <is>
          <t>Plot / unit price</t>
        </is>
      </c>
      <c r="G710" s="75" t="inlineStr">
        <is>
          <t>Land (estate not stated in source)</t>
        </is>
      </c>
      <c r="H710" s="75" t="inlineStr">
        <is>
          <t>BP-C0184</t>
        </is>
      </c>
      <c r="I710" s="75" t="inlineStr">
        <is>
          <t>Mr Klu Jeremiah</t>
        </is>
      </c>
      <c r="J710" s="77" t="n">
        <v>50000</v>
      </c>
      <c r="K710" s="75" t="n"/>
      <c r="L710" s="75" t="inlineStr">
        <is>
          <t>Secondary: commission records; no monthly turnover register for this period</t>
        </is>
      </c>
      <c r="M710" s="75" t="inlineStr">
        <is>
          <t>BAAY PROJECTS SALES EXPENSES (COMMISSION) RECORDS (1)</t>
        </is>
      </c>
      <c r="N710" s="75" t="inlineStr">
        <is>
          <t>MS BOLANLE</t>
        </is>
      </c>
      <c r="O710" s="75" t="n">
        <v>136</v>
      </c>
      <c r="P710" s="75" t="inlineStr">
        <is>
          <t>23/04/2025</t>
        </is>
      </c>
      <c r="Q710" s="75" t="n"/>
      <c r="R710" s="75" t="inlineStr">
        <is>
          <t>Commission-record amount: confirm to bank statement (records can aggregate several transfers)</t>
        </is>
      </c>
    </row>
    <row r="711" ht="25" customHeight="1">
      <c r="A711" s="78" t="inlineStr">
        <is>
          <t>SL0688</t>
        </is>
      </c>
      <c r="B711" s="79" t="n">
        <v>45772</v>
      </c>
      <c r="C711" s="78" t="inlineStr">
        <is>
          <t>2025-04</t>
        </is>
      </c>
      <c r="D711" s="78" t="n">
        <v>2025</v>
      </c>
      <c r="E711" s="78" t="inlineStr">
        <is>
          <t>Land</t>
        </is>
      </c>
      <c r="F711" s="78" t="inlineStr">
        <is>
          <t>Plot / unit price</t>
        </is>
      </c>
      <c r="G711" s="78" t="inlineStr">
        <is>
          <t>Land (estate not stated in source)</t>
        </is>
      </c>
      <c r="H711" s="78" t="inlineStr">
        <is>
          <t>BP-C0136</t>
        </is>
      </c>
      <c r="I711" s="78" t="inlineStr">
        <is>
          <t>Mr Isibor Godwin</t>
        </is>
      </c>
      <c r="J711" s="80" t="n">
        <v>400000</v>
      </c>
      <c r="K711" s="78" t="n"/>
      <c r="L711" s="78" t="inlineStr">
        <is>
          <t>Secondary: commission records; no monthly turnover register for this period</t>
        </is>
      </c>
      <c r="M711" s="78" t="inlineStr">
        <is>
          <t>BAAY PROJECTS SALES EXPENSES (COMMISSION) RECORDS (1)</t>
        </is>
      </c>
      <c r="N711" s="78" t="inlineStr">
        <is>
          <t>MS TOBI AJAYI</t>
        </is>
      </c>
      <c r="O711" s="78" t="n">
        <v>71</v>
      </c>
      <c r="P711" s="78" t="inlineStr">
        <is>
          <t>25/04/2025</t>
        </is>
      </c>
      <c r="Q711" s="78" t="n"/>
      <c r="R711" s="78" t="inlineStr">
        <is>
          <t>Commission-record amount: confirm to bank statement (records can aggregate several transfers)</t>
        </is>
      </c>
    </row>
    <row r="712" ht="25" customHeight="1">
      <c r="A712" s="75" t="inlineStr">
        <is>
          <t>SL0689</t>
        </is>
      </c>
      <c r="B712" s="76" t="n">
        <v>45772</v>
      </c>
      <c r="C712" s="75" t="inlineStr">
        <is>
          <t>2025-04</t>
        </is>
      </c>
      <c r="D712" s="75" t="n">
        <v>2025</v>
      </c>
      <c r="E712" s="75" t="inlineStr">
        <is>
          <t>Land</t>
        </is>
      </c>
      <c r="F712" s="75" t="inlineStr">
        <is>
          <t>Plot / unit price</t>
        </is>
      </c>
      <c r="G712" s="75" t="inlineStr">
        <is>
          <t>Land (estate not stated in source)</t>
        </is>
      </c>
      <c r="H712" s="75" t="inlineStr">
        <is>
          <t>BP-C0019</t>
        </is>
      </c>
      <c r="I712" s="75" t="inlineStr">
        <is>
          <t>Mr Ogbu Pius Ejaka</t>
        </is>
      </c>
      <c r="J712" s="77" t="n">
        <v>2000000</v>
      </c>
      <c r="K712" s="75" t="n"/>
      <c r="L712" s="75" t="inlineStr">
        <is>
          <t>Secondary: commission records; no monthly turnover register for this period</t>
        </is>
      </c>
      <c r="M712" s="75" t="inlineStr">
        <is>
          <t>BAAY PROJECTS SALES EXPENSES (COMMISSION) RECORDS (1)</t>
        </is>
      </c>
      <c r="N712" s="75" t="inlineStr">
        <is>
          <t>MS MAYOWA BRAIMOH</t>
        </is>
      </c>
      <c r="O712" s="75" t="n">
        <v>67</v>
      </c>
      <c r="P712" s="75" t="inlineStr">
        <is>
          <t>25/04/2025</t>
        </is>
      </c>
      <c r="Q712" s="75" t="n"/>
      <c r="R712" s="75" t="inlineStr">
        <is>
          <t>Commission-record amount: confirm to bank statement (records can aggregate several transfers)</t>
        </is>
      </c>
    </row>
    <row r="713" ht="25" customHeight="1">
      <c r="A713" s="78" t="inlineStr">
        <is>
          <t>SL0690</t>
        </is>
      </c>
      <c r="B713" s="79" t="n">
        <v>45772</v>
      </c>
      <c r="C713" s="78" t="inlineStr">
        <is>
          <t>2025-04</t>
        </is>
      </c>
      <c r="D713" s="78" t="n">
        <v>2025</v>
      </c>
      <c r="E713" s="78" t="inlineStr">
        <is>
          <t>Land</t>
        </is>
      </c>
      <c r="F713" s="78" t="inlineStr">
        <is>
          <t>Plot / unit price</t>
        </is>
      </c>
      <c r="G713" s="78" t="inlineStr">
        <is>
          <t>Land (estate not stated in source)</t>
        </is>
      </c>
      <c r="H713" s="78" t="inlineStr">
        <is>
          <t>BP-C0188</t>
        </is>
      </c>
      <c r="I713" s="78" t="inlineStr">
        <is>
          <t>Mrs Kazeem Mariam Omotunde</t>
        </is>
      </c>
      <c r="J713" s="80" t="n">
        <v>1900000</v>
      </c>
      <c r="K713" s="78" t="n"/>
      <c r="L713" s="78" t="inlineStr">
        <is>
          <t>Secondary: commission records; no monthly turnover register for this period</t>
        </is>
      </c>
      <c r="M713" s="78" t="inlineStr">
        <is>
          <t>BAAY PROJECTS SALES EXPENSES (COMMISSION) RECORDS (1)</t>
        </is>
      </c>
      <c r="N713" s="78" t="inlineStr">
        <is>
          <t>MS SAMUELLA</t>
        </is>
      </c>
      <c r="O713" s="78" t="n">
        <v>34</v>
      </c>
      <c r="P713" s="78" t="inlineStr">
        <is>
          <t>25/04/2025</t>
        </is>
      </c>
      <c r="Q713" s="78" t="n"/>
      <c r="R713" s="78" t="inlineStr">
        <is>
          <t>Commission-record amount: confirm to bank statement (records can aggregate several transfers)</t>
        </is>
      </c>
    </row>
    <row r="714" ht="25" customHeight="1">
      <c r="A714" s="75" t="inlineStr">
        <is>
          <t>SL0691</t>
        </is>
      </c>
      <c r="B714" s="76" t="n">
        <v>45772</v>
      </c>
      <c r="C714" s="75" t="inlineStr">
        <is>
          <t>2025-04</t>
        </is>
      </c>
      <c r="D714" s="75" t="n">
        <v>2025</v>
      </c>
      <c r="E714" s="75" t="inlineStr">
        <is>
          <t>Housing</t>
        </is>
      </c>
      <c r="F714" s="75" t="inlineStr">
        <is>
          <t>Plot / unit price</t>
        </is>
      </c>
      <c r="G714" s="75" t="inlineStr">
        <is>
          <t>Pacific Apartment</t>
        </is>
      </c>
      <c r="H714" s="75" t="inlineStr">
        <is>
          <t>BP-C0143</t>
        </is>
      </c>
      <c r="I714" s="75" t="inlineStr">
        <is>
          <t>Mrs Oyindamola Duntoye Adekunle</t>
        </is>
      </c>
      <c r="J714" s="77" t="n">
        <v>4750000</v>
      </c>
      <c r="K714" s="75" t="n"/>
      <c r="L714" s="75" t="inlineStr">
        <is>
          <t>Secondary: commission records; no monthly turnover register for this period</t>
        </is>
      </c>
      <c r="M714" s="75" t="inlineStr">
        <is>
          <t>BAAY PROJECTS SALES EXPENSES (COMMISSION) RECORDS (1)</t>
        </is>
      </c>
      <c r="N714" s="75" t="inlineStr">
        <is>
          <t>MAMA ADEBIMPE</t>
        </is>
      </c>
      <c r="O714" s="75" t="n">
        <v>166</v>
      </c>
      <c r="P714" s="75" t="inlineStr">
        <is>
          <t>25/04/2025</t>
        </is>
      </c>
      <c r="Q714" s="75" t="n"/>
      <c r="R714" s="75" t="inlineStr">
        <is>
          <t>Commission-record amount: confirm to bank statement (records can aggregate several transfers)</t>
        </is>
      </c>
    </row>
    <row r="715" ht="25" customHeight="1">
      <c r="A715" s="78" t="inlineStr">
        <is>
          <t>SL0692</t>
        </is>
      </c>
      <c r="B715" s="79" t="n">
        <v>45775</v>
      </c>
      <c r="C715" s="78" t="inlineStr">
        <is>
          <t>2025-04</t>
        </is>
      </c>
      <c r="D715" s="78" t="n">
        <v>2025</v>
      </c>
      <c r="E715" s="78" t="inlineStr">
        <is>
          <t>Housing</t>
        </is>
      </c>
      <c r="F715" s="78" t="inlineStr">
        <is>
          <t>Plot / unit price</t>
        </is>
      </c>
      <c r="G715" s="78" t="inlineStr">
        <is>
          <t>Pacific Court 2</t>
        </is>
      </c>
      <c r="H715" s="78" t="inlineStr">
        <is>
          <t>BP-C0185</t>
        </is>
      </c>
      <c r="I715" s="78" t="inlineStr">
        <is>
          <t>Mr Onwuegbuna Ikechukwu Emmanuel</t>
        </is>
      </c>
      <c r="J715" s="80" t="n">
        <v>7000000</v>
      </c>
      <c r="K715" s="78" t="n"/>
      <c r="L715" s="78" t="inlineStr">
        <is>
          <t>Secondary: commission records; no monthly turnover register for this period</t>
        </is>
      </c>
      <c r="M715" s="78" t="inlineStr">
        <is>
          <t>BAAY PROJECTS SALES EXPENSES (COMMISSION) RECORDS (1)</t>
        </is>
      </c>
      <c r="N715" s="78" t="inlineStr">
        <is>
          <t>MS LORENCIA</t>
        </is>
      </c>
      <c r="O715" s="78" t="n">
        <v>11</v>
      </c>
      <c r="P715" s="78" t="inlineStr">
        <is>
          <t>28/04/2025</t>
        </is>
      </c>
      <c r="Q715" s="78" t="n"/>
      <c r="R715" s="78" t="inlineStr">
        <is>
          <t>Commission-record amount: confirm to bank statement (records can aggregate several transfers)</t>
        </is>
      </c>
    </row>
    <row r="716" ht="25" customHeight="1">
      <c r="A716" s="75" t="inlineStr">
        <is>
          <t>SL0693</t>
        </is>
      </c>
      <c r="B716" s="76" t="n">
        <v>45776</v>
      </c>
      <c r="C716" s="75" t="inlineStr">
        <is>
          <t>2025-04</t>
        </is>
      </c>
      <c r="D716" s="75" t="n">
        <v>2025</v>
      </c>
      <c r="E716" s="75" t="inlineStr">
        <is>
          <t>Housing</t>
        </is>
      </c>
      <c r="F716" s="75" t="inlineStr">
        <is>
          <t>Plot / unit price</t>
        </is>
      </c>
      <c r="G716" s="75" t="inlineStr">
        <is>
          <t>Pacific Apartment</t>
        </is>
      </c>
      <c r="H716" s="75" t="inlineStr">
        <is>
          <t>BP-C0140</t>
        </is>
      </c>
      <c r="I716" s="75" t="inlineStr">
        <is>
          <t>Mr Balogun Akeem Tokunbo</t>
        </is>
      </c>
      <c r="J716" s="77" t="n">
        <v>2000000</v>
      </c>
      <c r="K716" s="75" t="n"/>
      <c r="L716" s="75" t="inlineStr">
        <is>
          <t>Secondary: commission records; no monthly turnover register for this period</t>
        </is>
      </c>
      <c r="M716" s="75" t="inlineStr">
        <is>
          <t>BAAY PROJECTS SALES EXPENSES (COMMISSION) RECORDS (1)</t>
        </is>
      </c>
      <c r="N716" s="75" t="inlineStr">
        <is>
          <t>MAMA ADEBIMPE</t>
        </is>
      </c>
      <c r="O716" s="75" t="n">
        <v>180</v>
      </c>
      <c r="P716" s="75" t="inlineStr">
        <is>
          <t>29/04/2025</t>
        </is>
      </c>
      <c r="Q716" s="75" t="n"/>
      <c r="R716" s="75" t="inlineStr">
        <is>
          <t>Commission-record amount: confirm to bank statement (records can aggregate several transfers)</t>
        </is>
      </c>
    </row>
    <row r="717" ht="25" customHeight="1">
      <c r="A717" s="78" t="inlineStr">
        <is>
          <t>SL0694</t>
        </is>
      </c>
      <c r="B717" s="79" t="n">
        <v>45776</v>
      </c>
      <c r="C717" s="78" t="inlineStr">
        <is>
          <t>2025-04</t>
        </is>
      </c>
      <c r="D717" s="78" t="n">
        <v>2025</v>
      </c>
      <c r="E717" s="78" t="inlineStr">
        <is>
          <t>Housing</t>
        </is>
      </c>
      <c r="F717" s="78" t="inlineStr">
        <is>
          <t>Plot / unit price</t>
        </is>
      </c>
      <c r="G717" s="78" t="inlineStr">
        <is>
          <t>Housing unit (project not stated in source)</t>
        </is>
      </c>
      <c r="H717" s="78" t="inlineStr">
        <is>
          <t>BP-C0133</t>
        </is>
      </c>
      <c r="I717" s="78" t="inlineStr">
        <is>
          <t>Mr Olagbende Oluwashina Oluwaseun</t>
        </is>
      </c>
      <c r="J717" s="80" t="n">
        <v>3900000</v>
      </c>
      <c r="K717" s="78" t="n"/>
      <c r="L717" s="78" t="inlineStr">
        <is>
          <t>Secondary: commission records; no monthly turnover register for this period</t>
        </is>
      </c>
      <c r="M717" s="78" t="inlineStr">
        <is>
          <t>BAAY PROJECTS SALES EXPENSES (COMMISSION) RECORDS (1)</t>
        </is>
      </c>
      <c r="N717" s="78" t="inlineStr">
        <is>
          <t>MS AWONORIN MAYOWA</t>
        </is>
      </c>
      <c r="O717" s="78" t="n">
        <v>66</v>
      </c>
      <c r="P717" s="78" t="inlineStr">
        <is>
          <t>29/04/2025</t>
        </is>
      </c>
      <c r="Q717" s="78" t="n"/>
      <c r="R717" s="78" t="inlineStr">
        <is>
          <t>Commission-record amount: confirm to bank statement (records can aggregate several transfers)</t>
        </is>
      </c>
    </row>
    <row r="718" ht="25" customHeight="1">
      <c r="A718" s="75" t="inlineStr">
        <is>
          <t>SL0695</t>
        </is>
      </c>
      <c r="B718" s="76" t="n">
        <v>45778</v>
      </c>
      <c r="C718" s="75" t="inlineStr">
        <is>
          <t>2025-05</t>
        </is>
      </c>
      <c r="D718" s="75" t="n">
        <v>2025</v>
      </c>
      <c r="E718" s="75" t="inlineStr">
        <is>
          <t>Housing</t>
        </is>
      </c>
      <c r="F718" s="75" t="inlineStr">
        <is>
          <t>Plot / unit price</t>
        </is>
      </c>
      <c r="G718" s="75" t="inlineStr">
        <is>
          <t>Pacific Apartment</t>
        </is>
      </c>
      <c r="H718" s="75" t="inlineStr">
        <is>
          <t>BP-C0192</t>
        </is>
      </c>
      <c r="I718" s="75" t="inlineStr">
        <is>
          <t>Dr Esangbedo Wilson</t>
        </is>
      </c>
      <c r="J718" s="77" t="n">
        <v>10000000</v>
      </c>
      <c r="K718" s="75" t="n"/>
      <c r="L718" s="75" t="inlineStr">
        <is>
          <t>Secondary: commission records; no monthly turnover register for this period</t>
        </is>
      </c>
      <c r="M718" s="75" t="inlineStr">
        <is>
          <t>BAAY PROJECTS SALES EXPENSES (COMMISSION) RECORDS (1)</t>
        </is>
      </c>
      <c r="N718" s="75" t="inlineStr">
        <is>
          <t>MS MOFFAT</t>
        </is>
      </c>
      <c r="O718" s="75" t="n">
        <v>24</v>
      </c>
      <c r="P718" s="75" t="inlineStr">
        <is>
          <t>2025-01-05</t>
        </is>
      </c>
      <c r="Q718" s="75" t="n"/>
      <c r="R718" s="75" t="inlineStr">
        <is>
          <t>Commission-record amount: confirm to bank statement (records can aggregate several transfers)</t>
        </is>
      </c>
    </row>
    <row r="719" ht="25" customHeight="1">
      <c r="A719" s="78" t="inlineStr">
        <is>
          <t>SL0696</t>
        </is>
      </c>
      <c r="B719" s="79" t="n">
        <v>45778</v>
      </c>
      <c r="C719" s="78" t="inlineStr">
        <is>
          <t>2025-05</t>
        </is>
      </c>
      <c r="D719" s="78" t="n">
        <v>2025</v>
      </c>
      <c r="E719" s="78" t="inlineStr">
        <is>
          <t>Housing</t>
        </is>
      </c>
      <c r="F719" s="78" t="inlineStr">
        <is>
          <t>Plot / unit price</t>
        </is>
      </c>
      <c r="G719" s="78" t="inlineStr">
        <is>
          <t>Pacific Apartment</t>
        </is>
      </c>
      <c r="H719" s="78" t="inlineStr">
        <is>
          <t>BP-C0192</t>
        </is>
      </c>
      <c r="I719" s="78" t="inlineStr">
        <is>
          <t>Dr Esangbedo Wilson</t>
        </is>
      </c>
      <c r="J719" s="80" t="n">
        <v>3000000</v>
      </c>
      <c r="K719" s="78" t="n"/>
      <c r="L719" s="78" t="inlineStr">
        <is>
          <t>Secondary: commission records; no monthly turnover register for this period</t>
        </is>
      </c>
      <c r="M719" s="78" t="inlineStr">
        <is>
          <t>BAAY PROJECTS SALES EXPENSES (COMMISSION) RECORDS (1)</t>
        </is>
      </c>
      <c r="N719" s="78" t="inlineStr">
        <is>
          <t>MRS ABIMBOLA</t>
        </is>
      </c>
      <c r="O719" s="78" t="n">
        <v>199</v>
      </c>
      <c r="P719" s="78" t="inlineStr">
        <is>
          <t>2025-01-05</t>
        </is>
      </c>
      <c r="Q719" s="78" t="inlineStr">
        <is>
          <t>MS MOFFAT r31</t>
        </is>
      </c>
      <c r="R719" s="78" t="inlineStr">
        <is>
          <t>Commission-record amount: confirm to bank statement (records can aggregate several transfers)</t>
        </is>
      </c>
    </row>
    <row r="720" ht="25" customHeight="1">
      <c r="A720" s="75" t="inlineStr">
        <is>
          <t>SL0697</t>
        </is>
      </c>
      <c r="B720" s="76" t="n">
        <v>45778</v>
      </c>
      <c r="C720" s="75" t="inlineStr">
        <is>
          <t>2025-05</t>
        </is>
      </c>
      <c r="D720" s="75" t="n">
        <v>2025</v>
      </c>
      <c r="E720" s="75" t="inlineStr">
        <is>
          <t>Housing</t>
        </is>
      </c>
      <c r="F720" s="75" t="inlineStr">
        <is>
          <t>Plot / unit price</t>
        </is>
      </c>
      <c r="G720" s="75" t="inlineStr">
        <is>
          <t>Pacific Apartment</t>
        </is>
      </c>
      <c r="H720" s="75" t="inlineStr">
        <is>
          <t>BP-C0192</t>
        </is>
      </c>
      <c r="I720" s="75" t="inlineStr">
        <is>
          <t>Dr Esangbedo Wilson</t>
        </is>
      </c>
      <c r="J720" s="77" t="n">
        <v>2500000</v>
      </c>
      <c r="K720" s="75" t="n"/>
      <c r="L720" s="75" t="inlineStr">
        <is>
          <t>Secondary: commission records; no monthly turnover register for this period</t>
        </is>
      </c>
      <c r="M720" s="75" t="inlineStr">
        <is>
          <t>BAAY PROJECTS SALES EXPENSES (COMMISSION) RECORDS (1)</t>
        </is>
      </c>
      <c r="N720" s="75" t="inlineStr">
        <is>
          <t>MRS ABIMBOLA</t>
        </is>
      </c>
      <c r="O720" s="75" t="n">
        <v>200</v>
      </c>
      <c r="P720" s="75" t="inlineStr">
        <is>
          <t>2025-01-05</t>
        </is>
      </c>
      <c r="Q720" s="75" t="n"/>
      <c r="R720" s="75" t="inlineStr">
        <is>
          <t>Commission-record amount: confirm to bank statement (records can aggregate several transfers)</t>
        </is>
      </c>
    </row>
    <row r="721" ht="25" customHeight="1">
      <c r="A721" s="78" t="inlineStr">
        <is>
          <t>SL0698</t>
        </is>
      </c>
      <c r="B721" s="79" t="n">
        <v>45779</v>
      </c>
      <c r="C721" s="78" t="inlineStr">
        <is>
          <t>2025-05</t>
        </is>
      </c>
      <c r="D721" s="78" t="n">
        <v>2025</v>
      </c>
      <c r="E721" s="78" t="inlineStr">
        <is>
          <t>Land</t>
        </is>
      </c>
      <c r="F721" s="78" t="inlineStr">
        <is>
          <t>Plot / unit price</t>
        </is>
      </c>
      <c r="G721" s="78" t="inlineStr">
        <is>
          <t>Land (estate not stated in source)</t>
        </is>
      </c>
      <c r="H721" s="78" t="inlineStr">
        <is>
          <t>BP-C0178</t>
        </is>
      </c>
      <c r="I721" s="78" t="inlineStr">
        <is>
          <t>Mrs Ajiri-Odeh Chioma</t>
        </is>
      </c>
      <c r="J721" s="80" t="n">
        <v>200000</v>
      </c>
      <c r="K721" s="78" t="n"/>
      <c r="L721" s="78" t="inlineStr">
        <is>
          <t>Secondary: commission records; no monthly turnover register for this period</t>
        </is>
      </c>
      <c r="M721" s="78" t="inlineStr">
        <is>
          <t>BAAY PROJECTS SALES EXPENSES (COMMISSION) RECORDS (1)</t>
        </is>
      </c>
      <c r="N721" s="78" t="inlineStr">
        <is>
          <t>MS JENNIFER</t>
        </is>
      </c>
      <c r="O721" s="78" t="n">
        <v>11</v>
      </c>
      <c r="P721" s="78" t="inlineStr">
        <is>
          <t>2025-02-05</t>
        </is>
      </c>
      <c r="Q721" s="78" t="n"/>
      <c r="R721" s="78" t="inlineStr">
        <is>
          <t>Commission-record amount: confirm to bank statement (records can aggregate several transfers)</t>
        </is>
      </c>
    </row>
    <row r="722" ht="25" customHeight="1">
      <c r="A722" s="75" t="inlineStr">
        <is>
          <t>SL0699</t>
        </is>
      </c>
      <c r="B722" s="76" t="n">
        <v>45779</v>
      </c>
      <c r="C722" s="75" t="inlineStr">
        <is>
          <t>2025-05</t>
        </is>
      </c>
      <c r="D722" s="75" t="n">
        <v>2025</v>
      </c>
      <c r="E722" s="75" t="inlineStr">
        <is>
          <t>Land</t>
        </is>
      </c>
      <c r="F722" s="75" t="inlineStr">
        <is>
          <t>Plot / unit price</t>
        </is>
      </c>
      <c r="G722" s="75" t="inlineStr">
        <is>
          <t>Land (estate not stated in source)</t>
        </is>
      </c>
      <c r="H722" s="75" t="inlineStr">
        <is>
          <t>BP-C0191</t>
        </is>
      </c>
      <c r="I722" s="75" t="inlineStr">
        <is>
          <t>Mrs Oduomah Jumoke</t>
        </is>
      </c>
      <c r="J722" s="77" t="n">
        <v>450000</v>
      </c>
      <c r="K722" s="75" t="n"/>
      <c r="L722" s="75" t="inlineStr">
        <is>
          <t>Secondary: commission records; no monthly turnover register for this period</t>
        </is>
      </c>
      <c r="M722" s="75" t="inlineStr">
        <is>
          <t>BAAY PROJECTS SALES EXPENSES (COMMISSION) RECORDS (1)</t>
        </is>
      </c>
      <c r="N722" s="75" t="inlineStr">
        <is>
          <t>MR KENNY BRUCE</t>
        </is>
      </c>
      <c r="O722" s="75" t="n">
        <v>10</v>
      </c>
      <c r="P722" s="75" t="inlineStr">
        <is>
          <t>2025-02-05</t>
        </is>
      </c>
      <c r="Q722" s="75" t="n"/>
      <c r="R722" s="75" t="inlineStr">
        <is>
          <t>Commission-record amount: confirm to bank statement (records can aggregate several transfers)</t>
        </is>
      </c>
    </row>
    <row r="723" ht="25" customHeight="1">
      <c r="A723" s="78" t="inlineStr">
        <is>
          <t>SL0700</t>
        </is>
      </c>
      <c r="B723" s="79" t="n">
        <v>45784</v>
      </c>
      <c r="C723" s="78" t="inlineStr">
        <is>
          <t>2025-05</t>
        </is>
      </c>
      <c r="D723" s="78" t="n">
        <v>2025</v>
      </c>
      <c r="E723" s="78" t="inlineStr">
        <is>
          <t>Housing</t>
        </is>
      </c>
      <c r="F723" s="78" t="inlineStr">
        <is>
          <t>Plot / unit price</t>
        </is>
      </c>
      <c r="G723" s="78" t="inlineStr">
        <is>
          <t>Pacific Apartment</t>
        </is>
      </c>
      <c r="H723" s="78" t="inlineStr">
        <is>
          <t>BP-C0192</t>
        </is>
      </c>
      <c r="I723" s="78" t="inlineStr">
        <is>
          <t>Dr Esangbedo Wilson</t>
        </is>
      </c>
      <c r="J723" s="80" t="n">
        <v>10000000</v>
      </c>
      <c r="K723" s="78" t="n"/>
      <c r="L723" s="78" t="inlineStr">
        <is>
          <t>Secondary: commission records; no monthly turnover register for this period</t>
        </is>
      </c>
      <c r="M723" s="78" t="inlineStr">
        <is>
          <t>BAAY PROJECTS SALES EXPENSES (COMMISSION) RECORDS (1)</t>
        </is>
      </c>
      <c r="N723" s="78" t="inlineStr">
        <is>
          <t>MS MOFFAT</t>
        </is>
      </c>
      <c r="O723" s="78" t="n">
        <v>25</v>
      </c>
      <c r="P723" s="78" t="inlineStr">
        <is>
          <t>2025-07-05</t>
        </is>
      </c>
      <c r="Q723" s="78" t="n"/>
      <c r="R723" s="78" t="inlineStr">
        <is>
          <t>Commission-record amount: confirm to bank statement (records can aggregate several transfers)</t>
        </is>
      </c>
    </row>
    <row r="724" ht="25" customHeight="1">
      <c r="A724" s="75" t="inlineStr">
        <is>
          <t>SL0701</t>
        </is>
      </c>
      <c r="B724" s="76" t="n">
        <v>45784</v>
      </c>
      <c r="C724" s="75" t="inlineStr">
        <is>
          <t>2025-05</t>
        </is>
      </c>
      <c r="D724" s="75" t="n">
        <v>2025</v>
      </c>
      <c r="E724" s="75" t="inlineStr">
        <is>
          <t>Land</t>
        </is>
      </c>
      <c r="F724" s="75" t="inlineStr">
        <is>
          <t>Plot / unit price</t>
        </is>
      </c>
      <c r="G724" s="75" t="inlineStr">
        <is>
          <t>Land (estate not stated in source)</t>
        </is>
      </c>
      <c r="H724" s="75" t="inlineStr">
        <is>
          <t>BP-C0050</t>
        </is>
      </c>
      <c r="I724" s="75" t="inlineStr">
        <is>
          <t>Mr Atuanya Patrick Jideovo</t>
        </is>
      </c>
      <c r="J724" s="77" t="n">
        <v>400000</v>
      </c>
      <c r="K724" s="75" t="n"/>
      <c r="L724" s="75" t="inlineStr">
        <is>
          <t>Secondary: commission records; no monthly turnover register for this period</t>
        </is>
      </c>
      <c r="M724" s="75" t="inlineStr">
        <is>
          <t>BAAY PROJECTS SALES EXPENSES (COMMISSION) RECORDS (1)</t>
        </is>
      </c>
      <c r="N724" s="75" t="inlineStr">
        <is>
          <t>MS YETUNDE ABISOYE</t>
        </is>
      </c>
      <c r="O724" s="75" t="n">
        <v>101</v>
      </c>
      <c r="P724" s="75" t="inlineStr">
        <is>
          <t>2025-07-05</t>
        </is>
      </c>
      <c r="Q724" s="75" t="n"/>
      <c r="R724" s="75" t="inlineStr">
        <is>
          <t>Commission-record amount: confirm to bank statement (records can aggregate several transfers)</t>
        </is>
      </c>
    </row>
    <row r="725" ht="25" customHeight="1">
      <c r="A725" s="78" t="inlineStr">
        <is>
          <t>SL0702</t>
        </is>
      </c>
      <c r="B725" s="79" t="n">
        <v>45784</v>
      </c>
      <c r="C725" s="78" t="inlineStr">
        <is>
          <t>2025-05</t>
        </is>
      </c>
      <c r="D725" s="78" t="n">
        <v>2025</v>
      </c>
      <c r="E725" s="78" t="inlineStr">
        <is>
          <t>Land</t>
        </is>
      </c>
      <c r="F725" s="78" t="inlineStr">
        <is>
          <t>Plot / unit price</t>
        </is>
      </c>
      <c r="G725" s="78" t="inlineStr">
        <is>
          <t>Land (estate not stated in source)</t>
        </is>
      </c>
      <c r="H725" s="78" t="inlineStr">
        <is>
          <t>BP-C0168</t>
        </is>
      </c>
      <c r="I725" s="78" t="inlineStr">
        <is>
          <t>Mrs Adenuga Damilola Grace</t>
        </is>
      </c>
      <c r="J725" s="80" t="n">
        <v>300000</v>
      </c>
      <c r="K725" s="78" t="n"/>
      <c r="L725" s="78" t="inlineStr">
        <is>
          <t>Secondary: commission records; no monthly turnover register for this period</t>
        </is>
      </c>
      <c r="M725" s="78" t="inlineStr">
        <is>
          <t>BAAY PROJECTS SALES EXPENSES (COMMISSION) RECORDS (1)</t>
        </is>
      </c>
      <c r="N725" s="78" t="inlineStr">
        <is>
          <t>MS ADENIKE</t>
        </is>
      </c>
      <c r="O725" s="78" t="n">
        <v>60</v>
      </c>
      <c r="P725" s="78" t="inlineStr">
        <is>
          <t>2025-07-05</t>
        </is>
      </c>
      <c r="Q725" s="78" t="n"/>
      <c r="R725" s="78" t="inlineStr">
        <is>
          <t>Commission-record amount: confirm to bank statement (records can aggregate several transfers)</t>
        </is>
      </c>
    </row>
    <row r="726" ht="25" customHeight="1">
      <c r="A726" s="75" t="inlineStr">
        <is>
          <t>SL0703</t>
        </is>
      </c>
      <c r="B726" s="76" t="n">
        <v>45786</v>
      </c>
      <c r="C726" s="75" t="inlineStr">
        <is>
          <t>2025-05</t>
        </is>
      </c>
      <c r="D726" s="75" t="n">
        <v>2025</v>
      </c>
      <c r="E726" s="75" t="inlineStr">
        <is>
          <t>Housing</t>
        </is>
      </c>
      <c r="F726" s="75" t="inlineStr">
        <is>
          <t>Plot / unit price</t>
        </is>
      </c>
      <c r="G726" s="75" t="inlineStr">
        <is>
          <t>Pacific Apartment</t>
        </is>
      </c>
      <c r="H726" s="75" t="inlineStr">
        <is>
          <t>BP-C0186</t>
        </is>
      </c>
      <c r="I726" s="75" t="inlineStr">
        <is>
          <t>Salem real Estate (Mrs Omoko Onora Helen)</t>
        </is>
      </c>
      <c r="J726" s="77" t="n">
        <v>2000000</v>
      </c>
      <c r="K726" s="75" t="n"/>
      <c r="L726" s="75" t="inlineStr">
        <is>
          <t>Secondary: commission records; no monthly turnover register for this period</t>
        </is>
      </c>
      <c r="M726" s="75" t="inlineStr">
        <is>
          <t>BAAY PROJECTS SALES EXPENSES (COMMISSION) RECORDS (1)</t>
        </is>
      </c>
      <c r="N726" s="75" t="inlineStr">
        <is>
          <t>MR CHARLES</t>
        </is>
      </c>
      <c r="O726" s="75" t="n">
        <v>89</v>
      </c>
      <c r="P726" s="75" t="inlineStr">
        <is>
          <t>2025-09-05</t>
        </is>
      </c>
      <c r="Q726" s="75" t="inlineStr">
        <is>
          <t>SALEM REAL ESTATE r14</t>
        </is>
      </c>
      <c r="R726" s="75" t="inlineStr">
        <is>
          <t>Commission-record amount: confirm to bank statement (records can aggregate several transfers)</t>
        </is>
      </c>
    </row>
    <row r="727" ht="25" customHeight="1">
      <c r="A727" s="78" t="inlineStr">
        <is>
          <t>SL0704</t>
        </is>
      </c>
      <c r="B727" s="79" t="n">
        <v>45786</v>
      </c>
      <c r="C727" s="78" t="inlineStr">
        <is>
          <t>2025-05</t>
        </is>
      </c>
      <c r="D727" s="78" t="n">
        <v>2025</v>
      </c>
      <c r="E727" s="78" t="inlineStr">
        <is>
          <t>Housing</t>
        </is>
      </c>
      <c r="F727" s="78" t="inlineStr">
        <is>
          <t>Plot / unit price</t>
        </is>
      </c>
      <c r="G727" s="78" t="inlineStr">
        <is>
          <t>Pacific Apartment</t>
        </is>
      </c>
      <c r="H727" s="78" t="inlineStr">
        <is>
          <t>BP-C0186</t>
        </is>
      </c>
      <c r="I727" s="78" t="inlineStr">
        <is>
          <t>Salem real Estate (Mrs Omoko Onora Helen)</t>
        </is>
      </c>
      <c r="J727" s="80" t="n">
        <v>3000000</v>
      </c>
      <c r="K727" s="78" t="n"/>
      <c r="L727" s="78" t="inlineStr">
        <is>
          <t>Secondary: commission records; no monthly turnover register for this period</t>
        </is>
      </c>
      <c r="M727" s="78" t="inlineStr">
        <is>
          <t>BAAY PROJECTS SALES EXPENSES (COMMISSION) RECORDS (1)</t>
        </is>
      </c>
      <c r="N727" s="78" t="inlineStr">
        <is>
          <t>MR CHARLES</t>
        </is>
      </c>
      <c r="O727" s="78" t="n">
        <v>90</v>
      </c>
      <c r="P727" s="78" t="inlineStr">
        <is>
          <t>2025-09-05</t>
        </is>
      </c>
      <c r="Q727" s="78" t="inlineStr">
        <is>
          <t>SALEM REAL ESTATE r15</t>
        </is>
      </c>
      <c r="R727" s="78" t="inlineStr">
        <is>
          <t>Commission-record amount: confirm to bank statement (records can aggregate several transfers)</t>
        </is>
      </c>
    </row>
    <row r="728" ht="25" customHeight="1">
      <c r="A728" s="75" t="inlineStr">
        <is>
          <t>SL0705</t>
        </is>
      </c>
      <c r="B728" s="76" t="n">
        <v>45790</v>
      </c>
      <c r="C728" s="75" t="inlineStr">
        <is>
          <t>2025-05</t>
        </is>
      </c>
      <c r="D728" s="75" t="n">
        <v>2025</v>
      </c>
      <c r="E728" s="75" t="inlineStr">
        <is>
          <t>Land</t>
        </is>
      </c>
      <c r="F728" s="75" t="inlineStr">
        <is>
          <t>Plot / unit price</t>
        </is>
      </c>
      <c r="G728" s="75" t="inlineStr">
        <is>
          <t>Land (estate not stated in source)</t>
        </is>
      </c>
      <c r="H728" s="75" t="inlineStr">
        <is>
          <t>BP-C0181</t>
        </is>
      </c>
      <c r="I728" s="75" t="inlineStr">
        <is>
          <t>Miss Joshua Fortune Ufot</t>
        </is>
      </c>
      <c r="J728" s="77" t="n">
        <v>400000</v>
      </c>
      <c r="K728" s="75" t="n"/>
      <c r="L728" s="75" t="inlineStr">
        <is>
          <t>Secondary: commission records; no monthly turnover register for this period</t>
        </is>
      </c>
      <c r="M728" s="75" t="inlineStr">
        <is>
          <t>BAAY PROJECTS SALES EXPENSES (COMMISSION) RECORDS (1)</t>
        </is>
      </c>
      <c r="N728" s="75" t="inlineStr">
        <is>
          <t>MS PRAISE</t>
        </is>
      </c>
      <c r="O728" s="75" t="n">
        <v>11</v>
      </c>
      <c r="P728" s="75" t="inlineStr">
        <is>
          <t>13/05/2025</t>
        </is>
      </c>
      <c r="Q728" s="75" t="n"/>
      <c r="R728" s="75" t="inlineStr">
        <is>
          <t>Commission-record amount: confirm to bank statement (records can aggregate several transfers)</t>
        </is>
      </c>
    </row>
    <row r="729" ht="25" customHeight="1">
      <c r="A729" s="78" t="inlineStr">
        <is>
          <t>SL0706</t>
        </is>
      </c>
      <c r="B729" s="79" t="n">
        <v>45791</v>
      </c>
      <c r="C729" s="78" t="inlineStr">
        <is>
          <t>2025-05</t>
        </is>
      </c>
      <c r="D729" s="78" t="n">
        <v>2025</v>
      </c>
      <c r="E729" s="78" t="inlineStr">
        <is>
          <t>Land</t>
        </is>
      </c>
      <c r="F729" s="78" t="inlineStr">
        <is>
          <t>Plot / unit price</t>
        </is>
      </c>
      <c r="G729" s="78" t="inlineStr">
        <is>
          <t>Land (estate not stated in source)</t>
        </is>
      </c>
      <c r="H729" s="78" t="inlineStr">
        <is>
          <t>BP-C0195</t>
        </is>
      </c>
      <c r="I729" s="78" t="inlineStr">
        <is>
          <t>Mr Haruna Adekunle Waheed</t>
        </is>
      </c>
      <c r="J729" s="80" t="n">
        <v>3750000</v>
      </c>
      <c r="K729" s="78" t="n"/>
      <c r="L729" s="78" t="inlineStr">
        <is>
          <t>Secondary: commission records; no monthly turnover register for this period</t>
        </is>
      </c>
      <c r="M729" s="78" t="inlineStr">
        <is>
          <t>BAAY PROJECTS SALES EXPENSES (COMMISSION) RECORDS (1)</t>
        </is>
      </c>
      <c r="N729" s="78" t="inlineStr">
        <is>
          <t>MRS ABIMBOLA</t>
        </is>
      </c>
      <c r="O729" s="78" t="n">
        <v>197</v>
      </c>
      <c r="P729" s="78" t="inlineStr">
        <is>
          <t>14/05/2025</t>
        </is>
      </c>
      <c r="Q729" s="78" t="n"/>
      <c r="R729" s="78" t="inlineStr">
        <is>
          <t>Commission-record amount: confirm to bank statement (records can aggregate several transfers)</t>
        </is>
      </c>
    </row>
    <row r="730" ht="25" customHeight="1">
      <c r="A730" s="75" t="inlineStr">
        <is>
          <t>SL0707</t>
        </is>
      </c>
      <c r="B730" s="76" t="n">
        <v>45794</v>
      </c>
      <c r="C730" s="75" t="inlineStr">
        <is>
          <t>2025-05</t>
        </is>
      </c>
      <c r="D730" s="75" t="n">
        <v>2025</v>
      </c>
      <c r="E730" s="75" t="inlineStr">
        <is>
          <t>Land</t>
        </is>
      </c>
      <c r="F730" s="75" t="inlineStr">
        <is>
          <t>Plot / unit price</t>
        </is>
      </c>
      <c r="G730" s="75" t="inlineStr">
        <is>
          <t>Land (estate not stated in source)</t>
        </is>
      </c>
      <c r="H730" s="75" t="inlineStr">
        <is>
          <t>BP-C0190</t>
        </is>
      </c>
      <c r="I730" s="75" t="inlineStr">
        <is>
          <t>Mr Olaiya Oluwatobi</t>
        </is>
      </c>
      <c r="J730" s="77" t="n">
        <v>500000</v>
      </c>
      <c r="K730" s="75" t="n"/>
      <c r="L730" s="75" t="inlineStr">
        <is>
          <t>Secondary: commission records; no monthly turnover register for this period</t>
        </is>
      </c>
      <c r="M730" s="75" t="inlineStr">
        <is>
          <t>BAAY PROJECTS SALES EXPENSES (COMMISSION) RECORDS (1)</t>
        </is>
      </c>
      <c r="N730" s="75" t="inlineStr">
        <is>
          <t>MS AWONORIN MAYOWA</t>
        </is>
      </c>
      <c r="O730" s="75" t="n">
        <v>72</v>
      </c>
      <c r="P730" s="75" t="inlineStr">
        <is>
          <t>17/05/2025</t>
        </is>
      </c>
      <c r="Q730" s="75" t="n"/>
      <c r="R730" s="75" t="inlineStr">
        <is>
          <t>Commission-record amount: confirm to bank statement (records can aggregate several transfers)</t>
        </is>
      </c>
    </row>
    <row r="731" ht="25" customHeight="1">
      <c r="A731" s="78" t="inlineStr">
        <is>
          <t>SL0708</t>
        </is>
      </c>
      <c r="B731" s="79" t="n">
        <v>45796</v>
      </c>
      <c r="C731" s="78" t="inlineStr">
        <is>
          <t>2025-05</t>
        </is>
      </c>
      <c r="D731" s="78" t="n">
        <v>2025</v>
      </c>
      <c r="E731" s="78" t="inlineStr">
        <is>
          <t>Land</t>
        </is>
      </c>
      <c r="F731" s="78" t="inlineStr">
        <is>
          <t>Plot / unit price</t>
        </is>
      </c>
      <c r="G731" s="78" t="inlineStr">
        <is>
          <t>Land (estate not stated in source)</t>
        </is>
      </c>
      <c r="H731" s="78" t="inlineStr">
        <is>
          <t>BP-C0050</t>
        </is>
      </c>
      <c r="I731" s="78" t="inlineStr">
        <is>
          <t>Mr Atuanya Patrick Jideovo</t>
        </is>
      </c>
      <c r="J731" s="80" t="n">
        <v>400000</v>
      </c>
      <c r="K731" s="78" t="n"/>
      <c r="L731" s="78" t="inlineStr">
        <is>
          <t>Secondary: commission records; no monthly turnover register for this period</t>
        </is>
      </c>
      <c r="M731" s="78" t="inlineStr">
        <is>
          <t>BAAY PROJECTS SALES EXPENSES (COMMISSION) RECORDS (1)</t>
        </is>
      </c>
      <c r="N731" s="78" t="inlineStr">
        <is>
          <t>MS YETUNDE ABISOYE</t>
        </is>
      </c>
      <c r="O731" s="78" t="n">
        <v>107</v>
      </c>
      <c r="P731" s="78" t="inlineStr">
        <is>
          <t>19/05/2025</t>
        </is>
      </c>
      <c r="Q731" s="78" t="n"/>
      <c r="R731" s="78" t="inlineStr">
        <is>
          <t>Commission-record amount: confirm to bank statement (records can aggregate several transfers)</t>
        </is>
      </c>
    </row>
    <row r="732" ht="25" customHeight="1">
      <c r="A732" s="75" t="inlineStr">
        <is>
          <t>SL0709</t>
        </is>
      </c>
      <c r="B732" s="76" t="n">
        <v>45799</v>
      </c>
      <c r="C732" s="75" t="inlineStr">
        <is>
          <t>2025-05</t>
        </is>
      </c>
      <c r="D732" s="75" t="n">
        <v>2025</v>
      </c>
      <c r="E732" s="75" t="inlineStr">
        <is>
          <t>Land</t>
        </is>
      </c>
      <c r="F732" s="75" t="inlineStr">
        <is>
          <t>Plot / unit price</t>
        </is>
      </c>
      <c r="G732" s="75" t="inlineStr">
        <is>
          <t>Land (estate not stated in source)</t>
        </is>
      </c>
      <c r="H732" s="75" t="inlineStr">
        <is>
          <t>BP-C0184</t>
        </is>
      </c>
      <c r="I732" s="75" t="inlineStr">
        <is>
          <t>Mr Klu Jeremiah</t>
        </is>
      </c>
      <c r="J732" s="77" t="n">
        <v>550000</v>
      </c>
      <c r="K732" s="75" t="n"/>
      <c r="L732" s="75" t="inlineStr">
        <is>
          <t>Secondary: commission records; no monthly turnover register for this period</t>
        </is>
      </c>
      <c r="M732" s="75" t="inlineStr">
        <is>
          <t>BAAY PROJECTS SALES EXPENSES (COMMISSION) RECORDS (1)</t>
        </is>
      </c>
      <c r="N732" s="75" t="inlineStr">
        <is>
          <t>MS BOLANLE</t>
        </is>
      </c>
      <c r="O732" s="75" t="n">
        <v>142</v>
      </c>
      <c r="P732" s="75" t="inlineStr">
        <is>
          <t>22/05/2025</t>
        </is>
      </c>
      <c r="Q732" s="75" t="n"/>
      <c r="R732" s="75" t="inlineStr">
        <is>
          <t>Commission-record amount: confirm to bank statement (records can aggregate several transfers)</t>
        </is>
      </c>
    </row>
    <row r="733" ht="25" customHeight="1">
      <c r="A733" s="78" t="inlineStr">
        <is>
          <t>SL0710</t>
        </is>
      </c>
      <c r="B733" s="79" t="n">
        <v>45799</v>
      </c>
      <c r="C733" s="78" t="inlineStr">
        <is>
          <t>2025-05</t>
        </is>
      </c>
      <c r="D733" s="78" t="n">
        <v>2025</v>
      </c>
      <c r="E733" s="78" t="inlineStr">
        <is>
          <t>Land</t>
        </is>
      </c>
      <c r="F733" s="78" t="inlineStr">
        <is>
          <t>Plot / unit price</t>
        </is>
      </c>
      <c r="G733" s="78" t="inlineStr">
        <is>
          <t>Land (estate not stated in source)</t>
        </is>
      </c>
      <c r="H733" s="78" t="inlineStr">
        <is>
          <t>BP-C0077</t>
        </is>
      </c>
      <c r="I733" s="78" t="inlineStr">
        <is>
          <t>Mr Uebari Sorbari</t>
        </is>
      </c>
      <c r="J733" s="80" t="n">
        <v>1000000</v>
      </c>
      <c r="K733" s="78" t="n"/>
      <c r="L733" s="78" t="inlineStr">
        <is>
          <t>Secondary: commission records; no monthly turnover register for this period</t>
        </is>
      </c>
      <c r="M733" s="78" t="inlineStr">
        <is>
          <t>BAAY PROJECTS SALES EXPENSES (COMMISSION) RECORDS (1)</t>
        </is>
      </c>
      <c r="N733" s="78" t="inlineStr">
        <is>
          <t>MS ELIZABETH</t>
        </is>
      </c>
      <c r="O733" s="78" t="n">
        <v>86</v>
      </c>
      <c r="P733" s="78" t="inlineStr">
        <is>
          <t>22/05/2025</t>
        </is>
      </c>
      <c r="Q733" s="78" t="n"/>
      <c r="R733" s="78" t="inlineStr">
        <is>
          <t>Commission-record amount: confirm to bank statement (records can aggregate several transfers)</t>
        </is>
      </c>
    </row>
    <row r="734" ht="25" customHeight="1">
      <c r="A734" s="75" t="inlineStr">
        <is>
          <t>SL0711</t>
        </is>
      </c>
      <c r="B734" s="76" t="n">
        <v>45799</v>
      </c>
      <c r="C734" s="75" t="inlineStr">
        <is>
          <t>2025-05</t>
        </is>
      </c>
      <c r="D734" s="75" t="n">
        <v>2025</v>
      </c>
      <c r="E734" s="75" t="inlineStr">
        <is>
          <t>Housing</t>
        </is>
      </c>
      <c r="F734" s="75" t="inlineStr">
        <is>
          <t>Plot / unit price</t>
        </is>
      </c>
      <c r="G734" s="75" t="inlineStr">
        <is>
          <t>Pacific Apartment</t>
        </is>
      </c>
      <c r="H734" s="75" t="inlineStr">
        <is>
          <t>BP-C0143</t>
        </is>
      </c>
      <c r="I734" s="75" t="inlineStr">
        <is>
          <t>Mrs Oyindamola Duntoye Adekunle</t>
        </is>
      </c>
      <c r="J734" s="77" t="n">
        <v>4750000</v>
      </c>
      <c r="K734" s="75" t="n"/>
      <c r="L734" s="75" t="inlineStr">
        <is>
          <t>Secondary: commission records; no monthly turnover register for this period</t>
        </is>
      </c>
      <c r="M734" s="75" t="inlineStr">
        <is>
          <t>BAAY PROJECTS SALES EXPENSES (COMMISSION) RECORDS (1)</t>
        </is>
      </c>
      <c r="N734" s="75" t="inlineStr">
        <is>
          <t>MAMA ADEBIMPE</t>
        </is>
      </c>
      <c r="O734" s="75" t="n">
        <v>186</v>
      </c>
      <c r="P734" s="75" t="inlineStr">
        <is>
          <t>22/05/2025</t>
        </is>
      </c>
      <c r="Q734" s="75" t="n"/>
      <c r="R734" s="75" t="inlineStr">
        <is>
          <t>Commission-record amount: confirm to bank statement (records can aggregate several transfers)</t>
        </is>
      </c>
    </row>
    <row r="735" ht="25" customHeight="1">
      <c r="A735" s="78" t="inlineStr">
        <is>
          <t>SL0712</t>
        </is>
      </c>
      <c r="B735" s="79" t="n">
        <v>45804</v>
      </c>
      <c r="C735" s="78" t="inlineStr">
        <is>
          <t>2025-05</t>
        </is>
      </c>
      <c r="D735" s="78" t="n">
        <v>2025</v>
      </c>
      <c r="E735" s="78" t="inlineStr">
        <is>
          <t>Housing</t>
        </is>
      </c>
      <c r="F735" s="78" t="inlineStr">
        <is>
          <t>Plot / unit price</t>
        </is>
      </c>
      <c r="G735" s="78" t="inlineStr">
        <is>
          <t>Pacific Apartment</t>
        </is>
      </c>
      <c r="H735" s="78" t="inlineStr">
        <is>
          <t>BP-C0192</t>
        </is>
      </c>
      <c r="I735" s="78" t="inlineStr">
        <is>
          <t>Dr Esangbedo Wilson</t>
        </is>
      </c>
      <c r="J735" s="80" t="n">
        <v>3000000</v>
      </c>
      <c r="K735" s="78" t="n"/>
      <c r="L735" s="78" t="inlineStr">
        <is>
          <t>Secondary: commission records; no monthly turnover register for this period</t>
        </is>
      </c>
      <c r="M735" s="78" t="inlineStr">
        <is>
          <t>BAAY PROJECTS SALES EXPENSES (COMMISSION) RECORDS (1)</t>
        </is>
      </c>
      <c r="N735" s="78" t="inlineStr">
        <is>
          <t>MRS ABIMBOLA</t>
        </is>
      </c>
      <c r="O735" s="78" t="n">
        <v>201</v>
      </c>
      <c r="P735" s="78" t="inlineStr">
        <is>
          <t>27/05/2025</t>
        </is>
      </c>
      <c r="Q735" s="78" t="n"/>
      <c r="R735" s="78" t="inlineStr">
        <is>
          <t>Commission-record amount: confirm to bank statement (records can aggregate several transfers)</t>
        </is>
      </c>
    </row>
    <row r="736" ht="25" customHeight="1">
      <c r="A736" s="75" t="inlineStr">
        <is>
          <t>SL0713</t>
        </is>
      </c>
      <c r="B736" s="76" t="n">
        <v>45804</v>
      </c>
      <c r="C736" s="75" t="inlineStr">
        <is>
          <t>2025-05</t>
        </is>
      </c>
      <c r="D736" s="75" t="n">
        <v>2025</v>
      </c>
      <c r="E736" s="75" t="inlineStr">
        <is>
          <t>Land</t>
        </is>
      </c>
      <c r="F736" s="75" t="inlineStr">
        <is>
          <t>Plot / unit price</t>
        </is>
      </c>
      <c r="G736" s="75" t="inlineStr">
        <is>
          <t>Land (estate not stated in source)</t>
        </is>
      </c>
      <c r="H736" s="75" t="inlineStr">
        <is>
          <t>BP-C0181</t>
        </is>
      </c>
      <c r="I736" s="75" t="inlineStr">
        <is>
          <t>Miss Joshua Fortune Ufot</t>
        </is>
      </c>
      <c r="J736" s="77" t="n">
        <v>600000</v>
      </c>
      <c r="K736" s="75" t="n"/>
      <c r="L736" s="75" t="inlineStr">
        <is>
          <t>Secondary: commission records; no monthly turnover register for this period</t>
        </is>
      </c>
      <c r="M736" s="75" t="inlineStr">
        <is>
          <t>BAAY PROJECTS SALES EXPENSES (COMMISSION) RECORDS (1)</t>
        </is>
      </c>
      <c r="N736" s="75" t="inlineStr">
        <is>
          <t>MS PRAISE</t>
        </is>
      </c>
      <c r="O736" s="75" t="n">
        <v>12</v>
      </c>
      <c r="P736" s="75" t="inlineStr">
        <is>
          <t>27/05/2025</t>
        </is>
      </c>
      <c r="Q736" s="75" t="n"/>
      <c r="R736" s="75" t="inlineStr">
        <is>
          <t>Commission-record amount: confirm to bank statement (records can aggregate several transfers)</t>
        </is>
      </c>
    </row>
    <row r="737" ht="25" customHeight="1">
      <c r="A737" s="78" t="inlineStr">
        <is>
          <t>SL0714</t>
        </is>
      </c>
      <c r="B737" s="79" t="n">
        <v>45806</v>
      </c>
      <c r="C737" s="78" t="inlineStr">
        <is>
          <t>2025-05</t>
        </is>
      </c>
      <c r="D737" s="78" t="n">
        <v>2025</v>
      </c>
      <c r="E737" s="78" t="inlineStr">
        <is>
          <t>Housing</t>
        </is>
      </c>
      <c r="F737" s="78" t="inlineStr">
        <is>
          <t>Plot / unit price</t>
        </is>
      </c>
      <c r="G737" s="78" t="inlineStr">
        <is>
          <t>Housing unit (project not stated in source)</t>
        </is>
      </c>
      <c r="H737" s="78" t="inlineStr">
        <is>
          <t>BP-C0133</t>
        </is>
      </c>
      <c r="I737" s="78" t="inlineStr">
        <is>
          <t>Mr Olagbende Oluwashina Oluwaseun</t>
        </is>
      </c>
      <c r="J737" s="80" t="n">
        <v>5900000</v>
      </c>
      <c r="K737" s="78" t="n"/>
      <c r="L737" s="78" t="inlineStr">
        <is>
          <t>Secondary: commission records; no monthly turnover register for this period</t>
        </is>
      </c>
      <c r="M737" s="78" t="inlineStr">
        <is>
          <t>BAAY PROJECTS SALES EXPENSES (COMMISSION) RECORDS (1)</t>
        </is>
      </c>
      <c r="N737" s="78" t="inlineStr">
        <is>
          <t>MS AWONORIN MAYOWA</t>
        </is>
      </c>
      <c r="O737" s="78" t="n">
        <v>75</v>
      </c>
      <c r="P737" s="78" t="inlineStr">
        <is>
          <t>29/05/2025</t>
        </is>
      </c>
      <c r="Q737" s="78" t="n"/>
      <c r="R737" s="78" t="inlineStr">
        <is>
          <t>Commission-record amount: confirm to bank statement (records can aggregate several transfers)</t>
        </is>
      </c>
    </row>
    <row r="738" ht="25" customHeight="1">
      <c r="A738" s="75" t="inlineStr">
        <is>
          <t>SL0715</t>
        </is>
      </c>
      <c r="B738" s="76" t="n">
        <v>45807</v>
      </c>
      <c r="C738" s="75" t="inlineStr">
        <is>
          <t>2025-05</t>
        </is>
      </c>
      <c r="D738" s="75" t="n">
        <v>2025</v>
      </c>
      <c r="E738" s="75" t="inlineStr">
        <is>
          <t>Land</t>
        </is>
      </c>
      <c r="F738" s="75" t="inlineStr">
        <is>
          <t>Plot / unit price</t>
        </is>
      </c>
      <c r="G738" s="75" t="inlineStr">
        <is>
          <t>Land (estate not stated in source)</t>
        </is>
      </c>
      <c r="H738" s="75" t="inlineStr">
        <is>
          <t>BP-C0190</t>
        </is>
      </c>
      <c r="I738" s="75" t="inlineStr">
        <is>
          <t>Mr Olaiya Oluwatobi</t>
        </is>
      </c>
      <c r="J738" s="77" t="n">
        <v>200000</v>
      </c>
      <c r="K738" s="75" t="n"/>
      <c r="L738" s="75" t="inlineStr">
        <is>
          <t>Secondary: commission records; no monthly turnover register for this period</t>
        </is>
      </c>
      <c r="M738" s="75" t="inlineStr">
        <is>
          <t>BAAY PROJECTS SALES EXPENSES (COMMISSION) RECORDS (1)</t>
        </is>
      </c>
      <c r="N738" s="75" t="inlineStr">
        <is>
          <t>MS AWONORIN MAYOWA</t>
        </is>
      </c>
      <c r="O738" s="75" t="n">
        <v>74</v>
      </c>
      <c r="P738" s="75" t="inlineStr">
        <is>
          <t>30/05/2025</t>
        </is>
      </c>
      <c r="Q738" s="75" t="n"/>
      <c r="R738" s="75" t="inlineStr">
        <is>
          <t>Commission-record amount: confirm to bank statement (records can aggregate several transfers)</t>
        </is>
      </c>
    </row>
    <row r="739" ht="25" customHeight="1">
      <c r="A739" s="78" t="inlineStr">
        <is>
          <t>SL0716</t>
        </is>
      </c>
      <c r="B739" s="79" t="n">
        <v>45807</v>
      </c>
      <c r="C739" s="78" t="inlineStr">
        <is>
          <t>2025-05</t>
        </is>
      </c>
      <c r="D739" s="78" t="n">
        <v>2025</v>
      </c>
      <c r="E739" s="78" t="inlineStr">
        <is>
          <t>Housing</t>
        </is>
      </c>
      <c r="F739" s="78" t="inlineStr">
        <is>
          <t>Plot / unit price</t>
        </is>
      </c>
      <c r="G739" s="78" t="inlineStr">
        <is>
          <t>Pacific Court 2</t>
        </is>
      </c>
      <c r="H739" s="78" t="inlineStr">
        <is>
          <t>BP-C0185</t>
        </is>
      </c>
      <c r="I739" s="78" t="inlineStr">
        <is>
          <t>Mr Onwuegbuna Ikechukwu Emmanuel</t>
        </is>
      </c>
      <c r="J739" s="80" t="n">
        <v>3000000</v>
      </c>
      <c r="K739" s="78" t="n"/>
      <c r="L739" s="78" t="inlineStr">
        <is>
          <t>Secondary: commission records; no monthly turnover register for this period</t>
        </is>
      </c>
      <c r="M739" s="78" t="inlineStr">
        <is>
          <t>BAAY PROJECTS SALES EXPENSES (COMMISSION) RECORDS (1)</t>
        </is>
      </c>
      <c r="N739" s="78" t="inlineStr">
        <is>
          <t>MS LORENCIA</t>
        </is>
      </c>
      <c r="O739" s="78" t="n">
        <v>17</v>
      </c>
      <c r="P739" s="78" t="inlineStr">
        <is>
          <t>30/05/2025</t>
        </is>
      </c>
      <c r="Q739" s="78" t="n"/>
      <c r="R739" s="78" t="inlineStr">
        <is>
          <t>Commission-record amount: confirm to bank statement (records can aggregate several transfers)</t>
        </is>
      </c>
    </row>
    <row r="740" ht="25" customHeight="1">
      <c r="A740" s="75" t="inlineStr">
        <is>
          <t>SL0717</t>
        </is>
      </c>
      <c r="B740" s="76" t="n">
        <v>45809</v>
      </c>
      <c r="C740" s="75" t="inlineStr">
        <is>
          <t>2025-06</t>
        </is>
      </c>
      <c r="D740" s="75" t="n">
        <v>2025</v>
      </c>
      <c r="E740" s="75" t="inlineStr">
        <is>
          <t>Land</t>
        </is>
      </c>
      <c r="F740" s="75" t="inlineStr">
        <is>
          <t>Plot / unit price</t>
        </is>
      </c>
      <c r="G740" s="75" t="inlineStr">
        <is>
          <t>Land (estate not stated in source)</t>
        </is>
      </c>
      <c r="H740" s="75" t="inlineStr">
        <is>
          <t>BP-C0077</t>
        </is>
      </c>
      <c r="I740" s="75" t="inlineStr">
        <is>
          <t>Mr Uebari Sorbari</t>
        </is>
      </c>
      <c r="J740" s="77" t="n">
        <v>500000</v>
      </c>
      <c r="K740" s="75" t="n"/>
      <c r="L740" s="75" t="inlineStr">
        <is>
          <t>Secondary: commission records; no monthly turnover register for this period</t>
        </is>
      </c>
      <c r="M740" s="75" t="inlineStr">
        <is>
          <t>BAAY PROJECTS SALES EXPENSES (COMMISSION) RECORDS (1)</t>
        </is>
      </c>
      <c r="N740" s="75" t="inlineStr">
        <is>
          <t>MS ELIZABETH</t>
        </is>
      </c>
      <c r="O740" s="75" t="n">
        <v>93</v>
      </c>
      <c r="P740" s="75" t="inlineStr">
        <is>
          <t>2025-01-06</t>
        </is>
      </c>
      <c r="Q740" s="75" t="n"/>
      <c r="R740" s="75" t="inlineStr">
        <is>
          <t>Commission-record amount: confirm to bank statement (records can aggregate several transfers)</t>
        </is>
      </c>
    </row>
    <row r="741" ht="25" customHeight="1">
      <c r="A741" s="78" t="inlineStr">
        <is>
          <t>SL0718</t>
        </is>
      </c>
      <c r="B741" s="79" t="n">
        <v>45810</v>
      </c>
      <c r="C741" s="78" t="inlineStr">
        <is>
          <t>2025-06</t>
        </is>
      </c>
      <c r="D741" s="78" t="n">
        <v>2025</v>
      </c>
      <c r="E741" s="78" t="inlineStr">
        <is>
          <t>Housing</t>
        </is>
      </c>
      <c r="F741" s="78" t="inlineStr">
        <is>
          <t>Plot / unit price</t>
        </is>
      </c>
      <c r="G741" s="78" t="inlineStr">
        <is>
          <t>Pacific Apartment</t>
        </is>
      </c>
      <c r="H741" s="78" t="inlineStr">
        <is>
          <t>BP-C0160</t>
        </is>
      </c>
      <c r="I741" s="78" t="inlineStr">
        <is>
          <t>Mr Okenla Olugboyega Gabriel</t>
        </is>
      </c>
      <c r="J741" s="80" t="n">
        <v>5000000</v>
      </c>
      <c r="K741" s="78" t="n"/>
      <c r="L741" s="78" t="inlineStr">
        <is>
          <t>Secondary: commission records; no monthly turnover register for this period</t>
        </is>
      </c>
      <c r="M741" s="78" t="inlineStr">
        <is>
          <t>BAAY PROJECTS SALES EXPENSES (COMMISSION) RECORDS (1)</t>
        </is>
      </c>
      <c r="N741" s="78" t="inlineStr">
        <is>
          <t>MS MOFFAT</t>
        </is>
      </c>
      <c r="O741" s="78" t="n">
        <v>37</v>
      </c>
      <c r="P741" s="78" t="inlineStr">
        <is>
          <t>2025-02-06</t>
        </is>
      </c>
      <c r="Q741" s="78" t="inlineStr">
        <is>
          <t>MRS ABIMBOLA r208</t>
        </is>
      </c>
      <c r="R741" s="78" t="inlineStr">
        <is>
          <t>Commission-record amount: confirm to bank statement (records can aggregate several transfers)</t>
        </is>
      </c>
    </row>
    <row r="742" ht="25" customHeight="1">
      <c r="A742" s="75" t="inlineStr">
        <is>
          <t>SL0719</t>
        </is>
      </c>
      <c r="B742" s="76" t="n">
        <v>45812</v>
      </c>
      <c r="C742" s="75" t="inlineStr">
        <is>
          <t>2025-06</t>
        </is>
      </c>
      <c r="D742" s="75" t="n">
        <v>2025</v>
      </c>
      <c r="E742" s="75" t="inlineStr">
        <is>
          <t>Housing</t>
        </is>
      </c>
      <c r="F742" s="75" t="inlineStr">
        <is>
          <t>Plot / unit price</t>
        </is>
      </c>
      <c r="G742" s="75" t="inlineStr">
        <is>
          <t>Pacific Apartment</t>
        </is>
      </c>
      <c r="H742" s="75" t="inlineStr">
        <is>
          <t>BP-C0186</t>
        </is>
      </c>
      <c r="I742" s="75" t="inlineStr">
        <is>
          <t>Salem real Estate (Mrs Omoko Onora Helen)</t>
        </is>
      </c>
      <c r="J742" s="77" t="n">
        <v>2100000</v>
      </c>
      <c r="K742" s="75" t="n"/>
      <c r="L742" s="75" t="inlineStr">
        <is>
          <t>Secondary: commission records; no monthly turnover register for this period</t>
        </is>
      </c>
      <c r="M742" s="75" t="inlineStr">
        <is>
          <t>BAAY PROJECTS SALES EXPENSES (COMMISSION) RECORDS (1)</t>
        </is>
      </c>
      <c r="N742" s="75" t="inlineStr">
        <is>
          <t>MR CHARLES</t>
        </is>
      </c>
      <c r="O742" s="75" t="n">
        <v>97</v>
      </c>
      <c r="P742" s="75" t="inlineStr">
        <is>
          <t>2025-04-06</t>
        </is>
      </c>
      <c r="Q742" s="75" t="inlineStr">
        <is>
          <t>SALEM REAL ESTATE r22</t>
        </is>
      </c>
      <c r="R742" s="75" t="inlineStr">
        <is>
          <t>Commission-record amount: confirm to bank statement (records can aggregate several transfers)</t>
        </is>
      </c>
    </row>
    <row r="743" ht="25" customHeight="1">
      <c r="A743" s="78" t="inlineStr">
        <is>
          <t>SL0720</t>
        </is>
      </c>
      <c r="B743" s="79" t="n">
        <v>45813</v>
      </c>
      <c r="C743" s="78" t="inlineStr">
        <is>
          <t>2025-06</t>
        </is>
      </c>
      <c r="D743" s="78" t="n">
        <v>2025</v>
      </c>
      <c r="E743" s="78" t="inlineStr">
        <is>
          <t>Land</t>
        </is>
      </c>
      <c r="F743" s="78" t="inlineStr">
        <is>
          <t>Plot / unit price</t>
        </is>
      </c>
      <c r="G743" s="78" t="inlineStr">
        <is>
          <t>Land (estate not stated in source)</t>
        </is>
      </c>
      <c r="H743" s="78" t="inlineStr">
        <is>
          <t>BP-C0181</t>
        </is>
      </c>
      <c r="I743" s="78" t="inlineStr">
        <is>
          <t>Miss Joshua Fortune Ufot</t>
        </is>
      </c>
      <c r="J743" s="80" t="n">
        <v>1000000</v>
      </c>
      <c r="K743" s="78" t="n"/>
      <c r="L743" s="78" t="inlineStr">
        <is>
          <t>Secondary: commission records; no monthly turnover register for this period</t>
        </is>
      </c>
      <c r="M743" s="78" t="inlineStr">
        <is>
          <t>BAAY PROJECTS SALES EXPENSES (COMMISSION) RECORDS (1)</t>
        </is>
      </c>
      <c r="N743" s="78" t="inlineStr">
        <is>
          <t>MS PRAISE</t>
        </is>
      </c>
      <c r="O743" s="78" t="n">
        <v>19</v>
      </c>
      <c r="P743" s="78" t="inlineStr">
        <is>
          <t>2025-05-06</t>
        </is>
      </c>
      <c r="Q743" s="78" t="n"/>
      <c r="R743" s="78" t="inlineStr">
        <is>
          <t>Commission-record amount: confirm to bank statement (records can aggregate several transfers)</t>
        </is>
      </c>
    </row>
    <row r="744" ht="25" customHeight="1">
      <c r="A744" s="75" t="inlineStr">
        <is>
          <t>SL0721</t>
        </is>
      </c>
      <c r="B744" s="76" t="n">
        <v>45813</v>
      </c>
      <c r="C744" s="75" t="inlineStr">
        <is>
          <t>2025-06</t>
        </is>
      </c>
      <c r="D744" s="75" t="n">
        <v>2025</v>
      </c>
      <c r="E744" s="75" t="inlineStr">
        <is>
          <t>Land</t>
        </is>
      </c>
      <c r="F744" s="75" t="inlineStr">
        <is>
          <t>Plot / unit price</t>
        </is>
      </c>
      <c r="G744" s="75" t="inlineStr">
        <is>
          <t>Land (estate not stated in source)</t>
        </is>
      </c>
      <c r="H744" s="75" t="inlineStr">
        <is>
          <t>BP-C0191</t>
        </is>
      </c>
      <c r="I744" s="75" t="inlineStr">
        <is>
          <t>Mrs Oduomah Jumoke</t>
        </is>
      </c>
      <c r="J744" s="77" t="n">
        <v>450000</v>
      </c>
      <c r="K744" s="75" t="n"/>
      <c r="L744" s="75" t="inlineStr">
        <is>
          <t>Secondary: commission records; no monthly turnover register for this period</t>
        </is>
      </c>
      <c r="M744" s="75" t="inlineStr">
        <is>
          <t>BAAY PROJECTS SALES EXPENSES (COMMISSION) RECORDS (1)</t>
        </is>
      </c>
      <c r="N744" s="75" t="inlineStr">
        <is>
          <t>MR KENNY BRUCE</t>
        </is>
      </c>
      <c r="O744" s="75" t="n">
        <v>17</v>
      </c>
      <c r="P744" s="75" t="inlineStr">
        <is>
          <t>2025-05-06</t>
        </is>
      </c>
      <c r="Q744" s="75" t="n"/>
      <c r="R744" s="75" t="inlineStr">
        <is>
          <t>Commission-record amount: confirm to bank statement (records can aggregate several transfers)</t>
        </is>
      </c>
    </row>
    <row r="745" ht="25" customHeight="1">
      <c r="A745" s="78" t="inlineStr">
        <is>
          <t>SL0722</t>
        </is>
      </c>
      <c r="B745" s="79" t="n">
        <v>45813</v>
      </c>
      <c r="C745" s="78" t="inlineStr">
        <is>
          <t>2025-06</t>
        </is>
      </c>
      <c r="D745" s="78" t="n">
        <v>2025</v>
      </c>
      <c r="E745" s="78" t="inlineStr">
        <is>
          <t>Housing</t>
        </is>
      </c>
      <c r="F745" s="78" t="inlineStr">
        <is>
          <t>Plot / unit price</t>
        </is>
      </c>
      <c r="G745" s="78" t="inlineStr">
        <is>
          <t>Pacific Apartment</t>
        </is>
      </c>
      <c r="H745" s="78" t="inlineStr">
        <is>
          <t>BP-C0186</t>
        </is>
      </c>
      <c r="I745" s="78" t="inlineStr">
        <is>
          <t>Salem real Estate (Mrs Omoko Onora Helen)</t>
        </is>
      </c>
      <c r="J745" s="80" t="n">
        <v>1500000</v>
      </c>
      <c r="K745" s="78" t="n"/>
      <c r="L745" s="78" t="inlineStr">
        <is>
          <t>Secondary: commission records; no monthly turnover register for this period</t>
        </is>
      </c>
      <c r="M745" s="78" t="inlineStr">
        <is>
          <t>BAAY PROJECTS SALES EXPENSES (COMMISSION) RECORDS (1)</t>
        </is>
      </c>
      <c r="N745" s="78" t="inlineStr">
        <is>
          <t>MR CHARLES</t>
        </is>
      </c>
      <c r="O745" s="78" t="n">
        <v>98</v>
      </c>
      <c r="P745" s="78" t="inlineStr">
        <is>
          <t>2025-05-06</t>
        </is>
      </c>
      <c r="Q745" s="78" t="inlineStr">
        <is>
          <t>SALEM REAL ESTATE r23</t>
        </is>
      </c>
      <c r="R745" s="78" t="inlineStr">
        <is>
          <t>Commission-record amount: confirm to bank statement (records can aggregate several transfers)</t>
        </is>
      </c>
    </row>
    <row r="746" ht="25" customHeight="1">
      <c r="A746" s="75" t="inlineStr">
        <is>
          <t>SL0723</t>
        </is>
      </c>
      <c r="B746" s="76" t="n">
        <v>45815</v>
      </c>
      <c r="C746" s="75" t="inlineStr">
        <is>
          <t>2025-06</t>
        </is>
      </c>
      <c r="D746" s="75" t="n">
        <v>2025</v>
      </c>
      <c r="E746" s="75" t="inlineStr">
        <is>
          <t>Housing</t>
        </is>
      </c>
      <c r="F746" s="75" t="inlineStr">
        <is>
          <t>Plot / unit price</t>
        </is>
      </c>
      <c r="G746" s="75" t="inlineStr">
        <is>
          <t>Pacific Court 2</t>
        </is>
      </c>
      <c r="H746" s="75" t="inlineStr">
        <is>
          <t>BP-C0185</t>
        </is>
      </c>
      <c r="I746" s="75" t="inlineStr">
        <is>
          <t>Mr Onwuegbuna Ikechukwu Emmanuel</t>
        </is>
      </c>
      <c r="J746" s="77" t="n">
        <v>11000000</v>
      </c>
      <c r="K746" s="75" t="n"/>
      <c r="L746" s="75" t="inlineStr">
        <is>
          <t>Secondary: commission records; no monthly turnover register for this period</t>
        </is>
      </c>
      <c r="M746" s="75" t="inlineStr">
        <is>
          <t>BAAY PROJECTS SALES EXPENSES (COMMISSION) RECORDS (1)</t>
        </is>
      </c>
      <c r="N746" s="75" t="inlineStr">
        <is>
          <t>MS LORENCIA</t>
        </is>
      </c>
      <c r="O746" s="75" t="n">
        <v>23</v>
      </c>
      <c r="P746" s="75" t="inlineStr">
        <is>
          <t>2025-07-06</t>
        </is>
      </c>
      <c r="Q746" s="75" t="n"/>
      <c r="R746" s="75" t="inlineStr">
        <is>
          <t>Commission-record amount: confirm to bank statement (records can aggregate several transfers)</t>
        </is>
      </c>
    </row>
    <row r="747" ht="25" customHeight="1">
      <c r="A747" s="78" t="inlineStr">
        <is>
          <t>SL0724</t>
        </is>
      </c>
      <c r="B747" s="79" t="n">
        <v>45818</v>
      </c>
      <c r="C747" s="78" t="inlineStr">
        <is>
          <t>2025-06</t>
        </is>
      </c>
      <c r="D747" s="78" t="n">
        <v>2025</v>
      </c>
      <c r="E747" s="78" t="inlineStr">
        <is>
          <t>Housing</t>
        </is>
      </c>
      <c r="F747" s="78" t="inlineStr">
        <is>
          <t>Plot / unit price</t>
        </is>
      </c>
      <c r="G747" s="78" t="inlineStr">
        <is>
          <t>Pacific Apartment</t>
        </is>
      </c>
      <c r="H747" s="78" t="inlineStr">
        <is>
          <t>BP-C0143</t>
        </is>
      </c>
      <c r="I747" s="78" t="inlineStr">
        <is>
          <t>Mrs Oyindamola Duntoye Adekunle</t>
        </is>
      </c>
      <c r="J747" s="80" t="n">
        <v>4750000</v>
      </c>
      <c r="K747" s="78" t="n"/>
      <c r="L747" s="78" t="inlineStr">
        <is>
          <t>Secondary: commission records; no monthly turnover register for this period</t>
        </is>
      </c>
      <c r="M747" s="78" t="inlineStr">
        <is>
          <t>BAAY PROJECTS SALES EXPENSES (COMMISSION) RECORDS (1)</t>
        </is>
      </c>
      <c r="N747" s="78" t="inlineStr">
        <is>
          <t>MAMA ADEBIMPE</t>
        </is>
      </c>
      <c r="O747" s="78" t="n">
        <v>199</v>
      </c>
      <c r="P747" s="78" t="inlineStr">
        <is>
          <t>2025-10-06</t>
        </is>
      </c>
      <c r="Q747" s="78" t="n"/>
      <c r="R747" s="78" t="inlineStr">
        <is>
          <t>Commission-record amount: confirm to bank statement (records can aggregate several transfers)</t>
        </is>
      </c>
    </row>
    <row r="748" ht="25" customHeight="1">
      <c r="A748" s="75" t="inlineStr">
        <is>
          <t>SL0725</t>
        </is>
      </c>
      <c r="B748" s="76" t="n">
        <v>45819</v>
      </c>
      <c r="C748" s="75" t="inlineStr">
        <is>
          <t>2025-06</t>
        </is>
      </c>
      <c r="D748" s="75" t="n">
        <v>2025</v>
      </c>
      <c r="E748" s="75" t="inlineStr">
        <is>
          <t>Land</t>
        </is>
      </c>
      <c r="F748" s="75" t="inlineStr">
        <is>
          <t>Plot / unit price</t>
        </is>
      </c>
      <c r="G748" s="75" t="inlineStr">
        <is>
          <t>Land (estate not stated in source)</t>
        </is>
      </c>
      <c r="H748" s="75" t="inlineStr">
        <is>
          <t>BP-C0195</t>
        </is>
      </c>
      <c r="I748" s="75" t="inlineStr">
        <is>
          <t>Mr Haruna Adekunle Waheed</t>
        </is>
      </c>
      <c r="J748" s="77" t="n">
        <v>1250000</v>
      </c>
      <c r="K748" s="75" t="n"/>
      <c r="L748" s="75" t="inlineStr">
        <is>
          <t>Secondary: commission records; no monthly turnover register for this period</t>
        </is>
      </c>
      <c r="M748" s="75" t="inlineStr">
        <is>
          <t>BAAY PROJECTS SALES EXPENSES (COMMISSION) RECORDS (1)</t>
        </is>
      </c>
      <c r="N748" s="75" t="inlineStr">
        <is>
          <t>MRS ABIMBOLA</t>
        </is>
      </c>
      <c r="O748" s="75" t="n">
        <v>209</v>
      </c>
      <c r="P748" s="75" t="inlineStr">
        <is>
          <t>2025-11-06</t>
        </is>
      </c>
      <c r="Q748" s="75" t="n"/>
      <c r="R748" s="75" t="inlineStr">
        <is>
          <t>Commission-record amount: confirm to bank statement (records can aggregate several transfers)</t>
        </is>
      </c>
    </row>
    <row r="749" ht="25" customHeight="1">
      <c r="A749" s="78" t="inlineStr">
        <is>
          <t>SL0726</t>
        </is>
      </c>
      <c r="B749" s="79" t="n">
        <v>45819</v>
      </c>
      <c r="C749" s="78" t="inlineStr">
        <is>
          <t>2025-06</t>
        </is>
      </c>
      <c r="D749" s="78" t="n">
        <v>2025</v>
      </c>
      <c r="E749" s="78" t="inlineStr">
        <is>
          <t>Land</t>
        </is>
      </c>
      <c r="F749" s="78" t="inlineStr">
        <is>
          <t>Plot / unit price</t>
        </is>
      </c>
      <c r="G749" s="78" t="inlineStr">
        <is>
          <t>Land (estate not stated in source)</t>
        </is>
      </c>
      <c r="H749" s="78" t="inlineStr">
        <is>
          <t>BP-C0196</t>
        </is>
      </c>
      <c r="I749" s="78" t="inlineStr">
        <is>
          <t>Mr Ikechukwu Godson Agbim</t>
        </is>
      </c>
      <c r="J749" s="80" t="n">
        <v>4000000</v>
      </c>
      <c r="K749" s="78" t="n"/>
      <c r="L749" s="78" t="inlineStr">
        <is>
          <t>Secondary: commission records; no monthly turnover register for this period</t>
        </is>
      </c>
      <c r="M749" s="78" t="inlineStr">
        <is>
          <t>BAAY PROJECTS SALES EXPENSES (COMMISSION) RECORDS (1)</t>
        </is>
      </c>
      <c r="N749" s="78" t="inlineStr">
        <is>
          <t>MRS ABIMBOLA</t>
        </is>
      </c>
      <c r="O749" s="78" t="n">
        <v>210</v>
      </c>
      <c r="P749" s="78" t="inlineStr">
        <is>
          <t>2025-11-06</t>
        </is>
      </c>
      <c r="Q749" s="78" t="n"/>
      <c r="R749" s="78" t="inlineStr">
        <is>
          <t>Commission-record amount: confirm to bank statement (records can aggregate several transfers)</t>
        </is>
      </c>
    </row>
    <row r="750" ht="25" customHeight="1">
      <c r="A750" s="75" t="inlineStr">
        <is>
          <t>SL0727</t>
        </is>
      </c>
      <c r="B750" s="76" t="n">
        <v>45821</v>
      </c>
      <c r="C750" s="75" t="inlineStr">
        <is>
          <t>2025-06</t>
        </is>
      </c>
      <c r="D750" s="75" t="n">
        <v>2025</v>
      </c>
      <c r="E750" s="75" t="inlineStr">
        <is>
          <t>Land</t>
        </is>
      </c>
      <c r="F750" s="75" t="inlineStr">
        <is>
          <t>Plot / unit price</t>
        </is>
      </c>
      <c r="G750" s="75" t="inlineStr">
        <is>
          <t>Land (estate not stated in source)</t>
        </is>
      </c>
      <c r="H750" s="75" t="inlineStr">
        <is>
          <t>BP-C0077</t>
        </is>
      </c>
      <c r="I750" s="75" t="inlineStr">
        <is>
          <t>Mr Uebari Sorbari</t>
        </is>
      </c>
      <c r="J750" s="77" t="n">
        <v>700000</v>
      </c>
      <c r="K750" s="75" t="n"/>
      <c r="L750" s="75" t="inlineStr">
        <is>
          <t>Secondary: commission records; no monthly turnover register for this period</t>
        </is>
      </c>
      <c r="M750" s="75" t="inlineStr">
        <is>
          <t>BAAY PROJECTS SALES EXPENSES (COMMISSION) RECORDS (1)</t>
        </is>
      </c>
      <c r="N750" s="75" t="inlineStr">
        <is>
          <t>MS ELIZABETH</t>
        </is>
      </c>
      <c r="O750" s="75" t="n">
        <v>94</v>
      </c>
      <c r="P750" s="75" t="inlineStr">
        <is>
          <t>13/06/2025</t>
        </is>
      </c>
      <c r="Q750" s="75" t="n"/>
      <c r="R750" s="75" t="inlineStr">
        <is>
          <t>Commission-record amount: confirm to bank statement (records can aggregate several transfers)</t>
        </is>
      </c>
    </row>
    <row r="751" ht="25" customHeight="1">
      <c r="A751" s="78" t="inlineStr">
        <is>
          <t>SL0728</t>
        </is>
      </c>
      <c r="B751" s="79" t="n">
        <v>45824</v>
      </c>
      <c r="C751" s="78" t="inlineStr">
        <is>
          <t>2025-06</t>
        </is>
      </c>
      <c r="D751" s="78" t="n">
        <v>2025</v>
      </c>
      <c r="E751" s="78" t="inlineStr">
        <is>
          <t>Housing</t>
        </is>
      </c>
      <c r="F751" s="78" t="inlineStr">
        <is>
          <t>Plot / unit price</t>
        </is>
      </c>
      <c r="G751" s="78" t="inlineStr">
        <is>
          <t>Pacific Apartment</t>
        </is>
      </c>
      <c r="H751" s="78" t="inlineStr">
        <is>
          <t>BP-C0186</t>
        </is>
      </c>
      <c r="I751" s="78" t="inlineStr">
        <is>
          <t>Salem real Estate (Mrs Omoko Onora Helen)</t>
        </is>
      </c>
      <c r="J751" s="80" t="n">
        <v>1400000</v>
      </c>
      <c r="K751" s="78" t="n"/>
      <c r="L751" s="78" t="inlineStr">
        <is>
          <t>Secondary: commission records; no monthly turnover register for this period</t>
        </is>
      </c>
      <c r="M751" s="78" t="inlineStr">
        <is>
          <t>BAAY PROJECTS SALES EXPENSES (COMMISSION) RECORDS (1)</t>
        </is>
      </c>
      <c r="N751" s="78" t="inlineStr">
        <is>
          <t>MR CHARLES</t>
        </is>
      </c>
      <c r="O751" s="78" t="n">
        <v>99</v>
      </c>
      <c r="P751" s="78" t="inlineStr">
        <is>
          <t>16/06/2025</t>
        </is>
      </c>
      <c r="Q751" s="78" t="inlineStr">
        <is>
          <t>SALEM REAL ESTATE r24</t>
        </is>
      </c>
      <c r="R751" s="78" t="inlineStr">
        <is>
          <t>Commission-record amount: confirm to bank statement (records can aggregate several transfers)</t>
        </is>
      </c>
    </row>
    <row r="752" ht="25" customHeight="1">
      <c r="A752" s="75" t="inlineStr">
        <is>
          <t>SL0729</t>
        </is>
      </c>
      <c r="B752" s="76" t="n">
        <v>45826</v>
      </c>
      <c r="C752" s="75" t="inlineStr">
        <is>
          <t>2025-06</t>
        </is>
      </c>
      <c r="D752" s="75" t="n">
        <v>2025</v>
      </c>
      <c r="E752" s="75" t="inlineStr">
        <is>
          <t>Land</t>
        </is>
      </c>
      <c r="F752" s="75" t="inlineStr">
        <is>
          <t>Plot / unit price</t>
        </is>
      </c>
      <c r="G752" s="75" t="inlineStr">
        <is>
          <t>Land (estate not stated in source)</t>
        </is>
      </c>
      <c r="H752" s="75" t="inlineStr">
        <is>
          <t>BP-C0178</t>
        </is>
      </c>
      <c r="I752" s="75" t="inlineStr">
        <is>
          <t>Mrs Ajiri-Odeh Chioma</t>
        </is>
      </c>
      <c r="J752" s="77" t="n">
        <v>200000</v>
      </c>
      <c r="K752" s="75" t="n"/>
      <c r="L752" s="75" t="inlineStr">
        <is>
          <t>Secondary: commission records; no monthly turnover register for this period</t>
        </is>
      </c>
      <c r="M752" s="75" t="inlineStr">
        <is>
          <t>BAAY PROJECTS SALES EXPENSES (COMMISSION) RECORDS (1)</t>
        </is>
      </c>
      <c r="N752" s="75" t="inlineStr">
        <is>
          <t>MS JENNIFER</t>
        </is>
      </c>
      <c r="O752" s="75" t="n">
        <v>19</v>
      </c>
      <c r="P752" s="75" t="inlineStr">
        <is>
          <t>18/06/2025</t>
        </is>
      </c>
      <c r="Q752" s="75" t="n"/>
      <c r="R752" s="75" t="inlineStr">
        <is>
          <t>Commission-record amount: confirm to bank statement (records can aggregate several transfers)</t>
        </is>
      </c>
    </row>
    <row r="753" ht="25" customHeight="1">
      <c r="A753" s="78" t="inlineStr">
        <is>
          <t>SL0730</t>
        </is>
      </c>
      <c r="B753" s="79" t="n">
        <v>45828</v>
      </c>
      <c r="C753" s="78" t="inlineStr">
        <is>
          <t>2025-06</t>
        </is>
      </c>
      <c r="D753" s="78" t="n">
        <v>2025</v>
      </c>
      <c r="E753" s="78" t="inlineStr">
        <is>
          <t>Housing</t>
        </is>
      </c>
      <c r="F753" s="78" t="inlineStr">
        <is>
          <t>Plot / unit price</t>
        </is>
      </c>
      <c r="G753" s="78" t="inlineStr">
        <is>
          <t>Housing unit (project not stated in source)</t>
        </is>
      </c>
      <c r="H753" s="78" t="inlineStr">
        <is>
          <t>BP-C0133</t>
        </is>
      </c>
      <c r="I753" s="78" t="inlineStr">
        <is>
          <t>Mr Olagbende Oluwashina Oluwaseun</t>
        </is>
      </c>
      <c r="J753" s="80" t="n">
        <v>5000000</v>
      </c>
      <c r="K753" s="78" t="n"/>
      <c r="L753" s="78" t="inlineStr">
        <is>
          <t>Secondary: commission records; no monthly turnover register for this period</t>
        </is>
      </c>
      <c r="M753" s="78" t="inlineStr">
        <is>
          <t>BAAY PROJECTS SALES EXPENSES (COMMISSION) RECORDS (1)</t>
        </is>
      </c>
      <c r="N753" s="78" t="inlineStr">
        <is>
          <t>MS AWONORIN MAYOWA</t>
        </is>
      </c>
      <c r="O753" s="78" t="n">
        <v>81</v>
      </c>
      <c r="P753" s="78" t="inlineStr">
        <is>
          <t>20/06/2025</t>
        </is>
      </c>
      <c r="Q753" s="78" t="n"/>
      <c r="R753" s="78" t="inlineStr">
        <is>
          <t>Commission-record amount: confirm to bank statement (records can aggregate several transfers)</t>
        </is>
      </c>
    </row>
    <row r="754" ht="25" customHeight="1">
      <c r="A754" s="75" t="inlineStr">
        <is>
          <t>SL0731</t>
        </is>
      </c>
      <c r="B754" s="76" t="n">
        <v>45829</v>
      </c>
      <c r="C754" s="75" t="inlineStr">
        <is>
          <t>2025-06</t>
        </is>
      </c>
      <c r="D754" s="75" t="n">
        <v>2025</v>
      </c>
      <c r="E754" s="75" t="inlineStr">
        <is>
          <t>Housing</t>
        </is>
      </c>
      <c r="F754" s="75" t="inlineStr">
        <is>
          <t>Plot / unit price</t>
        </is>
      </c>
      <c r="G754" s="75" t="inlineStr">
        <is>
          <t>Housing unit (project not stated in source)</t>
        </is>
      </c>
      <c r="H754" s="75" t="inlineStr">
        <is>
          <t>BP-C0194</t>
        </is>
      </c>
      <c r="I754" s="75" t="inlineStr">
        <is>
          <t>Mrs Enitan Pine</t>
        </is>
      </c>
      <c r="J754" s="77" t="n">
        <v>5000000</v>
      </c>
      <c r="K754" s="75" t="n"/>
      <c r="L754" s="75" t="inlineStr">
        <is>
          <t>Secondary: commission records; no monthly turnover register for this period</t>
        </is>
      </c>
      <c r="M754" s="75" t="inlineStr">
        <is>
          <t>BAAY PROJECTS SALES EXPENSES (COMMISSION) RECORDS (1)</t>
        </is>
      </c>
      <c r="N754" s="75" t="inlineStr">
        <is>
          <t>MD</t>
        </is>
      </c>
      <c r="O754" s="75" t="n">
        <v>178</v>
      </c>
      <c r="P754" s="75" t="inlineStr">
        <is>
          <t>21/06/2025</t>
        </is>
      </c>
      <c r="Q754" s="75" t="n"/>
      <c r="R754" s="75" t="inlineStr">
        <is>
          <t>Commission-record amount: confirm to bank statement (records can aggregate several transfers)</t>
        </is>
      </c>
    </row>
    <row r="755" ht="25" customHeight="1">
      <c r="A755" s="78" t="inlineStr">
        <is>
          <t>SL0732</t>
        </is>
      </c>
      <c r="B755" s="79" t="n">
        <v>45831</v>
      </c>
      <c r="C755" s="78" t="inlineStr">
        <is>
          <t>2025-06</t>
        </is>
      </c>
      <c r="D755" s="78" t="n">
        <v>2025</v>
      </c>
      <c r="E755" s="78" t="inlineStr">
        <is>
          <t>Housing</t>
        </is>
      </c>
      <c r="F755" s="78" t="inlineStr">
        <is>
          <t>Plot / unit price</t>
        </is>
      </c>
      <c r="G755" s="78" t="inlineStr">
        <is>
          <t>Housing unit (project not stated in source)</t>
        </is>
      </c>
      <c r="H755" s="78" t="inlineStr">
        <is>
          <t>BP-C0133</t>
        </is>
      </c>
      <c r="I755" s="78" t="inlineStr">
        <is>
          <t>Mr Olagbende Oluwashina Oluwaseun</t>
        </is>
      </c>
      <c r="J755" s="80" t="n">
        <v>900000</v>
      </c>
      <c r="K755" s="78" t="n"/>
      <c r="L755" s="78" t="inlineStr">
        <is>
          <t>Secondary: commission records; no monthly turnover register for this period</t>
        </is>
      </c>
      <c r="M755" s="78" t="inlineStr">
        <is>
          <t>BAAY PROJECTS SALES EXPENSES (COMMISSION) RECORDS (1)</t>
        </is>
      </c>
      <c r="N755" s="78" t="inlineStr">
        <is>
          <t>MS AWONORIN MAYOWA</t>
        </is>
      </c>
      <c r="O755" s="78" t="n">
        <v>82</v>
      </c>
      <c r="P755" s="78" t="inlineStr">
        <is>
          <t>23/06/2025</t>
        </is>
      </c>
      <c r="Q755" s="78" t="n"/>
      <c r="R755" s="78" t="inlineStr">
        <is>
          <t>Commission-record amount: confirm to bank statement (records can aggregate several transfers)</t>
        </is>
      </c>
    </row>
    <row r="756" ht="25" customHeight="1">
      <c r="A756" s="75" t="inlineStr">
        <is>
          <t>SL0733</t>
        </is>
      </c>
      <c r="B756" s="76" t="n">
        <v>45831</v>
      </c>
      <c r="C756" s="75" t="inlineStr">
        <is>
          <t>2025-06</t>
        </is>
      </c>
      <c r="D756" s="75" t="n">
        <v>2025</v>
      </c>
      <c r="E756" s="75" t="inlineStr">
        <is>
          <t>Housing</t>
        </is>
      </c>
      <c r="F756" s="75" t="inlineStr">
        <is>
          <t>Plot / unit price</t>
        </is>
      </c>
      <c r="G756" s="75" t="inlineStr">
        <is>
          <t>Housing unit (project not stated in source)</t>
        </is>
      </c>
      <c r="H756" s="75" t="inlineStr">
        <is>
          <t>BP-C0194</t>
        </is>
      </c>
      <c r="I756" s="75" t="inlineStr">
        <is>
          <t>Mrs Enitan Pine</t>
        </is>
      </c>
      <c r="J756" s="77" t="n">
        <v>7300000</v>
      </c>
      <c r="K756" s="75" t="n"/>
      <c r="L756" s="75" t="inlineStr">
        <is>
          <t>Secondary: commission records; no monthly turnover register for this period</t>
        </is>
      </c>
      <c r="M756" s="75" t="inlineStr">
        <is>
          <t>BAAY PROJECTS SALES EXPENSES (COMMISSION) RECORDS (1)</t>
        </is>
      </c>
      <c r="N756" s="75" t="inlineStr">
        <is>
          <t>MD</t>
        </is>
      </c>
      <c r="O756" s="75" t="n">
        <v>179</v>
      </c>
      <c r="P756" s="75" t="inlineStr">
        <is>
          <t>23/06/2025</t>
        </is>
      </c>
      <c r="Q756" s="75" t="n"/>
      <c r="R756" s="75" t="inlineStr">
        <is>
          <t>Commission-record amount: confirm to bank statement (records can aggregate several transfers)</t>
        </is>
      </c>
    </row>
    <row r="757" ht="25" customHeight="1">
      <c r="A757" s="78" t="inlineStr">
        <is>
          <t>SL0734</t>
        </is>
      </c>
      <c r="B757" s="79" t="n">
        <v>45832</v>
      </c>
      <c r="C757" s="78" t="inlineStr">
        <is>
          <t>2025-06</t>
        </is>
      </c>
      <c r="D757" s="78" t="n">
        <v>2025</v>
      </c>
      <c r="E757" s="78" t="inlineStr">
        <is>
          <t>Land</t>
        </is>
      </c>
      <c r="F757" s="78" t="inlineStr">
        <is>
          <t>Plot / unit price</t>
        </is>
      </c>
      <c r="G757" s="78" t="inlineStr">
        <is>
          <t>Land (estate not stated in source)</t>
        </is>
      </c>
      <c r="H757" s="78" t="inlineStr">
        <is>
          <t>BP-C0184</t>
        </is>
      </c>
      <c r="I757" s="78" t="inlineStr">
        <is>
          <t>Mr Klu Jeremiah</t>
        </is>
      </c>
      <c r="J757" s="80" t="n">
        <v>500000</v>
      </c>
      <c r="K757" s="78" t="n"/>
      <c r="L757" s="78" t="inlineStr">
        <is>
          <t>Secondary: commission records; no monthly turnover register for this period</t>
        </is>
      </c>
      <c r="M757" s="78" t="inlineStr">
        <is>
          <t>BAAY PROJECTS SALES EXPENSES (COMMISSION) RECORDS (1)</t>
        </is>
      </c>
      <c r="N757" s="78" t="inlineStr">
        <is>
          <t>MS BOLANLE</t>
        </is>
      </c>
      <c r="O757" s="78" t="n">
        <v>148</v>
      </c>
      <c r="P757" s="78" t="inlineStr">
        <is>
          <t>24/06/2025</t>
        </is>
      </c>
      <c r="Q757" s="78" t="n"/>
      <c r="R757" s="78" t="inlineStr">
        <is>
          <t>Commission-record amount: confirm to bank statement (records can aggregate several transfers)</t>
        </is>
      </c>
    </row>
    <row r="758" ht="25" customHeight="1">
      <c r="A758" s="75" t="inlineStr">
        <is>
          <t>SL0735</t>
        </is>
      </c>
      <c r="B758" s="76" t="n">
        <v>45832</v>
      </c>
      <c r="C758" s="75" t="inlineStr">
        <is>
          <t>2025-06</t>
        </is>
      </c>
      <c r="D758" s="75" t="n">
        <v>2025</v>
      </c>
      <c r="E758" s="75" t="inlineStr">
        <is>
          <t>Housing</t>
        </is>
      </c>
      <c r="F758" s="75" t="inlineStr">
        <is>
          <t>Plot / unit price</t>
        </is>
      </c>
      <c r="G758" s="75" t="inlineStr">
        <is>
          <t>Housing unit (project not stated in source)</t>
        </is>
      </c>
      <c r="H758" s="75" t="inlineStr">
        <is>
          <t>BP-C0133</t>
        </is>
      </c>
      <c r="I758" s="75" t="inlineStr">
        <is>
          <t>Mr Olagbende Oluwashina Oluwaseun</t>
        </is>
      </c>
      <c r="J758" s="77" t="n">
        <v>5900000</v>
      </c>
      <c r="K758" s="75" t="n"/>
      <c r="L758" s="75" t="inlineStr">
        <is>
          <t>Secondary: commission records; no monthly turnover register for this period</t>
        </is>
      </c>
      <c r="M758" s="75" t="inlineStr">
        <is>
          <t>BAAY PROJECTS SALES EXPENSES (COMMISSION) RECORDS (1)</t>
        </is>
      </c>
      <c r="N758" s="75" t="inlineStr">
        <is>
          <t>MS AWONORIN MAYOWA</t>
        </is>
      </c>
      <c r="O758" s="75" t="n">
        <v>83</v>
      </c>
      <c r="P758" s="75" t="inlineStr">
        <is>
          <t>24/06/2025</t>
        </is>
      </c>
      <c r="Q758" s="75" t="n"/>
      <c r="R758" s="75" t="inlineStr">
        <is>
          <t>Commission-record amount: confirm to bank statement (records can aggregate several transfers)</t>
        </is>
      </c>
    </row>
    <row r="759" ht="25" customHeight="1">
      <c r="A759" s="78" t="inlineStr">
        <is>
          <t>SL0736</t>
        </is>
      </c>
      <c r="B759" s="79" t="n">
        <v>45832</v>
      </c>
      <c r="C759" s="78" t="inlineStr">
        <is>
          <t>2025-06</t>
        </is>
      </c>
      <c r="D759" s="78" t="n">
        <v>2025</v>
      </c>
      <c r="E759" s="78" t="inlineStr">
        <is>
          <t>Housing</t>
        </is>
      </c>
      <c r="F759" s="78" t="inlineStr">
        <is>
          <t>Plot / unit price</t>
        </is>
      </c>
      <c r="G759" s="78" t="inlineStr">
        <is>
          <t>Housing unit (project not stated in source)</t>
        </is>
      </c>
      <c r="H759" s="78" t="inlineStr">
        <is>
          <t>BP-C0194</t>
        </is>
      </c>
      <c r="I759" s="78" t="inlineStr">
        <is>
          <t>Mrs Enitan Pine</t>
        </is>
      </c>
      <c r="J759" s="80" t="n">
        <v>1800000</v>
      </c>
      <c r="K759" s="78" t="n"/>
      <c r="L759" s="78" t="inlineStr">
        <is>
          <t>Secondary: commission records; no monthly turnover register for this period</t>
        </is>
      </c>
      <c r="M759" s="78" t="inlineStr">
        <is>
          <t>BAAY PROJECTS SALES EXPENSES (COMMISSION) RECORDS (1)</t>
        </is>
      </c>
      <c r="N759" s="78" t="inlineStr">
        <is>
          <t>MD</t>
        </is>
      </c>
      <c r="O759" s="78" t="n">
        <v>180</v>
      </c>
      <c r="P759" s="78" t="inlineStr">
        <is>
          <t>24/06/2025</t>
        </is>
      </c>
      <c r="Q759" s="78" t="n"/>
      <c r="R759" s="78" t="inlineStr">
        <is>
          <t>Commission-record amount: confirm to bank statement (records can aggregate several transfers)</t>
        </is>
      </c>
    </row>
    <row r="760" ht="25" customHeight="1">
      <c r="A760" s="75" t="inlineStr">
        <is>
          <t>SL0737</t>
        </is>
      </c>
      <c r="B760" s="76" t="n">
        <v>45834</v>
      </c>
      <c r="C760" s="75" t="inlineStr">
        <is>
          <t>2025-06</t>
        </is>
      </c>
      <c r="D760" s="75" t="n">
        <v>2025</v>
      </c>
      <c r="E760" s="75" t="inlineStr">
        <is>
          <t>Land</t>
        </is>
      </c>
      <c r="F760" s="75" t="inlineStr">
        <is>
          <t>Plot / unit price</t>
        </is>
      </c>
      <c r="G760" s="75" t="inlineStr">
        <is>
          <t>Land (estate not stated in source)</t>
        </is>
      </c>
      <c r="H760" s="75" t="inlineStr">
        <is>
          <t>BP-C0191</t>
        </is>
      </c>
      <c r="I760" s="75" t="inlineStr">
        <is>
          <t>Mrs Oduomah Jumoke</t>
        </is>
      </c>
      <c r="J760" s="77" t="n">
        <v>400000</v>
      </c>
      <c r="K760" s="75" t="n"/>
      <c r="L760" s="75" t="inlineStr">
        <is>
          <t>Secondary: commission records; no monthly turnover register for this period</t>
        </is>
      </c>
      <c r="M760" s="75" t="inlineStr">
        <is>
          <t>BAAY PROJECTS SALES EXPENSES (COMMISSION) RECORDS (1)</t>
        </is>
      </c>
      <c r="N760" s="75" t="inlineStr">
        <is>
          <t>MR KENNY BRUCE</t>
        </is>
      </c>
      <c r="O760" s="75" t="n">
        <v>18</v>
      </c>
      <c r="P760" s="75" t="inlineStr">
        <is>
          <t>26/06/2025</t>
        </is>
      </c>
      <c r="Q760" s="75" t="n"/>
      <c r="R760" s="75" t="inlineStr">
        <is>
          <t>Commission-record amount: confirm to bank statement (records can aggregate several transfers)</t>
        </is>
      </c>
    </row>
    <row r="761" ht="25" customHeight="1">
      <c r="A761" s="78" t="inlineStr">
        <is>
          <t>SL0738</t>
        </is>
      </c>
      <c r="B761" s="79" t="n">
        <v>45834</v>
      </c>
      <c r="C761" s="78" t="inlineStr">
        <is>
          <t>2025-06</t>
        </is>
      </c>
      <c r="D761" s="78" t="n">
        <v>2025</v>
      </c>
      <c r="E761" s="78" t="inlineStr">
        <is>
          <t>Housing</t>
        </is>
      </c>
      <c r="F761" s="78" t="inlineStr">
        <is>
          <t>Plot / unit price</t>
        </is>
      </c>
      <c r="G761" s="78" t="inlineStr">
        <is>
          <t>Pacific Apartment</t>
        </is>
      </c>
      <c r="H761" s="78" t="inlineStr">
        <is>
          <t>BP-C0186</t>
        </is>
      </c>
      <c r="I761" s="78" t="inlineStr">
        <is>
          <t>Salem real Estate (Mrs Omoko Onora Helen)</t>
        </is>
      </c>
      <c r="J761" s="80" t="n">
        <v>5000000</v>
      </c>
      <c r="K761" s="78" t="n"/>
      <c r="L761" s="78" t="inlineStr">
        <is>
          <t>Secondary: commission records; no monthly turnover register for this period</t>
        </is>
      </c>
      <c r="M761" s="78" t="inlineStr">
        <is>
          <t>BAAY PROJECTS SALES EXPENSES (COMMISSION) RECORDS (1)</t>
        </is>
      </c>
      <c r="N761" s="78" t="inlineStr">
        <is>
          <t>MR CHARLES</t>
        </is>
      </c>
      <c r="O761" s="78" t="n">
        <v>100</v>
      </c>
      <c r="P761" s="78" t="inlineStr">
        <is>
          <t>26/06/2025</t>
        </is>
      </c>
      <c r="Q761" s="78" t="inlineStr">
        <is>
          <t>SALEM REAL ESTATE r31</t>
        </is>
      </c>
      <c r="R761" s="78" t="inlineStr">
        <is>
          <t>Commission-record amount: confirm to bank statement (records can aggregate several transfers)</t>
        </is>
      </c>
    </row>
    <row r="762" ht="25" customHeight="1">
      <c r="A762" s="75" t="inlineStr">
        <is>
          <t>SL0739</t>
        </is>
      </c>
      <c r="B762" s="76" t="n">
        <v>45837</v>
      </c>
      <c r="C762" s="75" t="inlineStr">
        <is>
          <t>2025-06</t>
        </is>
      </c>
      <c r="D762" s="75" t="n">
        <v>2025</v>
      </c>
      <c r="E762" s="75" t="inlineStr">
        <is>
          <t>Land</t>
        </is>
      </c>
      <c r="F762" s="75" t="inlineStr">
        <is>
          <t>Plot / unit price</t>
        </is>
      </c>
      <c r="G762" s="75" t="inlineStr">
        <is>
          <t>Land (estate not stated in source)</t>
        </is>
      </c>
      <c r="H762" s="75" t="inlineStr">
        <is>
          <t>BP-C0178</t>
        </is>
      </c>
      <c r="I762" s="75" t="inlineStr">
        <is>
          <t>Mrs Ajiri-Odeh Chioma</t>
        </is>
      </c>
      <c r="J762" s="77" t="n">
        <v>165000</v>
      </c>
      <c r="K762" s="75" t="n"/>
      <c r="L762" s="75" t="inlineStr">
        <is>
          <t>Secondary: commission records; no monthly turnover register for this period</t>
        </is>
      </c>
      <c r="M762" s="75" t="inlineStr">
        <is>
          <t>BAAY PROJECTS SALES EXPENSES (COMMISSION) RECORDS (1)</t>
        </is>
      </c>
      <c r="N762" s="75" t="inlineStr">
        <is>
          <t>MS JENNIFER</t>
        </is>
      </c>
      <c r="O762" s="75" t="n">
        <v>20</v>
      </c>
      <c r="P762" s="75" t="inlineStr">
        <is>
          <t>29/06/2025</t>
        </is>
      </c>
      <c r="Q762" s="75" t="n"/>
      <c r="R762" s="75" t="inlineStr">
        <is>
          <t>Commission-record amount: confirm to bank statement (records can aggregate several transfers)</t>
        </is>
      </c>
    </row>
    <row r="763" ht="25" customHeight="1">
      <c r="A763" s="78" t="inlineStr">
        <is>
          <t>SL0740</t>
        </is>
      </c>
      <c r="B763" s="79" t="n">
        <v>45837</v>
      </c>
      <c r="C763" s="78" t="inlineStr">
        <is>
          <t>2025-06</t>
        </is>
      </c>
      <c r="D763" s="78" t="n">
        <v>2025</v>
      </c>
      <c r="E763" s="78" t="inlineStr">
        <is>
          <t>Housing</t>
        </is>
      </c>
      <c r="F763" s="78" t="inlineStr">
        <is>
          <t>Plot / unit price</t>
        </is>
      </c>
      <c r="G763" s="78" t="inlineStr">
        <is>
          <t>Housing unit (project not stated in source)</t>
        </is>
      </c>
      <c r="H763" s="78" t="inlineStr">
        <is>
          <t>BP-C0194</t>
        </is>
      </c>
      <c r="I763" s="78" t="inlineStr">
        <is>
          <t>Mrs Enitan Pine</t>
        </is>
      </c>
      <c r="J763" s="80" t="n">
        <v>5000000</v>
      </c>
      <c r="K763" s="78" t="n"/>
      <c r="L763" s="78" t="inlineStr">
        <is>
          <t>Secondary: commission records; no monthly turnover register for this period</t>
        </is>
      </c>
      <c r="M763" s="78" t="inlineStr">
        <is>
          <t>BAAY PROJECTS SALES EXPENSES (COMMISSION) RECORDS (1)</t>
        </is>
      </c>
      <c r="N763" s="78" t="inlineStr">
        <is>
          <t>MD</t>
        </is>
      </c>
      <c r="O763" s="78" t="n">
        <v>183</v>
      </c>
      <c r="P763" s="78" t="inlineStr">
        <is>
          <t>29/06/2025</t>
        </is>
      </c>
      <c r="Q763" s="78" t="n"/>
      <c r="R763" s="78" t="inlineStr">
        <is>
          <t>Commission-record amount: confirm to bank statement (records can aggregate several transfers)</t>
        </is>
      </c>
    </row>
    <row r="764" ht="25" customHeight="1">
      <c r="A764" s="75" t="inlineStr">
        <is>
          <t>SL0741</t>
        </is>
      </c>
      <c r="B764" s="76" t="n">
        <v>45842</v>
      </c>
      <c r="C764" s="75" t="inlineStr">
        <is>
          <t>2025-07</t>
        </is>
      </c>
      <c r="D764" s="75" t="n">
        <v>2025</v>
      </c>
      <c r="E764" s="75" t="inlineStr">
        <is>
          <t>Housing</t>
        </is>
      </c>
      <c r="F764" s="75" t="inlineStr">
        <is>
          <t>Plot / unit price</t>
        </is>
      </c>
      <c r="G764" s="75" t="inlineStr">
        <is>
          <t>Pacific Apartment</t>
        </is>
      </c>
      <c r="H764" s="75" t="inlineStr">
        <is>
          <t>BP-C0192</t>
        </is>
      </c>
      <c r="I764" s="75" t="inlineStr">
        <is>
          <t>Dr Esangbedo Wilson</t>
        </is>
      </c>
      <c r="J764" s="77" t="n">
        <v>5000000</v>
      </c>
      <c r="K764" s="75" t="n"/>
      <c r="L764" s="75" t="inlineStr">
        <is>
          <t>Secondary: commission records; no monthly turnover register for this period</t>
        </is>
      </c>
      <c r="M764" s="75" t="inlineStr">
        <is>
          <t>BAAY PROJECTS SALES EXPENSES (COMMISSION) RECORDS (1)</t>
        </is>
      </c>
      <c r="N764" s="75" t="inlineStr">
        <is>
          <t>MS MOFFAT</t>
        </is>
      </c>
      <c r="O764" s="75" t="n">
        <v>43</v>
      </c>
      <c r="P764" s="75" t="inlineStr">
        <is>
          <t>2025-04-07</t>
        </is>
      </c>
      <c r="Q764" s="75" t="inlineStr">
        <is>
          <t>MRS ABIMBOLA r216</t>
        </is>
      </c>
      <c r="R764" s="75" t="inlineStr">
        <is>
          <t>Commission-record amount: confirm to bank statement (records can aggregate several transfers)</t>
        </is>
      </c>
    </row>
    <row r="765" ht="25" customHeight="1">
      <c r="A765" s="78" t="inlineStr">
        <is>
          <t>SL0742</t>
        </is>
      </c>
      <c r="B765" s="79" t="n">
        <v>45845</v>
      </c>
      <c r="C765" s="78" t="inlineStr">
        <is>
          <t>2025-07</t>
        </is>
      </c>
      <c r="D765" s="78" t="n">
        <v>2025</v>
      </c>
      <c r="E765" s="78" t="inlineStr">
        <is>
          <t>Land</t>
        </is>
      </c>
      <c r="F765" s="78" t="inlineStr">
        <is>
          <t>Plot / unit price</t>
        </is>
      </c>
      <c r="G765" s="78" t="inlineStr">
        <is>
          <t>Land (estate not stated in source)</t>
        </is>
      </c>
      <c r="H765" s="78" t="inlineStr">
        <is>
          <t>BP-C0196</t>
        </is>
      </c>
      <c r="I765" s="78" t="inlineStr">
        <is>
          <t>Mr Ikechukwu Godson Agbim</t>
        </is>
      </c>
      <c r="J765" s="80" t="n">
        <v>2000000</v>
      </c>
      <c r="K765" s="78" t="n"/>
      <c r="L765" s="78" t="inlineStr">
        <is>
          <t>Secondary: commission records; no monthly turnover register for this period</t>
        </is>
      </c>
      <c r="M765" s="78" t="inlineStr">
        <is>
          <t>BAAY PROJECTS SALES EXPENSES (COMMISSION) RECORDS (1)</t>
        </is>
      </c>
      <c r="N765" s="78" t="inlineStr">
        <is>
          <t>MRS ABIMBOLA</t>
        </is>
      </c>
      <c r="O765" s="78" t="n">
        <v>217</v>
      </c>
      <c r="P765" s="78" t="inlineStr">
        <is>
          <t>2025-07-07</t>
        </is>
      </c>
      <c r="Q765" s="78" t="n"/>
      <c r="R765" s="78" t="inlineStr">
        <is>
          <t>Commission-record amount: confirm to bank statement (records can aggregate several transfers)</t>
        </is>
      </c>
    </row>
    <row r="766" ht="25" customHeight="1">
      <c r="A766" s="75" t="inlineStr">
        <is>
          <t>SL0743</t>
        </is>
      </c>
      <c r="B766" s="76" t="n">
        <v>45848</v>
      </c>
      <c r="C766" s="75" t="inlineStr">
        <is>
          <t>2025-07</t>
        </is>
      </c>
      <c r="D766" s="75" t="n">
        <v>2025</v>
      </c>
      <c r="E766" s="75" t="inlineStr">
        <is>
          <t>Land</t>
        </is>
      </c>
      <c r="F766" s="75" t="inlineStr">
        <is>
          <t>Plot / unit price</t>
        </is>
      </c>
      <c r="G766" s="75" t="inlineStr">
        <is>
          <t>Land (estate not stated in source)</t>
        </is>
      </c>
      <c r="H766" s="75" t="inlineStr">
        <is>
          <t>BP-C0159</t>
        </is>
      </c>
      <c r="I766" s="75" t="inlineStr">
        <is>
          <t>Miss Etefe Ava Ogheneyorhe</t>
        </is>
      </c>
      <c r="J766" s="77" t="n">
        <v>100000</v>
      </c>
      <c r="K766" s="75" t="n"/>
      <c r="L766" s="75" t="inlineStr">
        <is>
          <t>Secondary: commission records; no monthly turnover register for this period</t>
        </is>
      </c>
      <c r="M766" s="75" t="inlineStr">
        <is>
          <t>BAAY PROJECTS SALES EXPENSES (COMMISSION) RECORDS (1)</t>
        </is>
      </c>
      <c r="N766" s="75" t="inlineStr">
        <is>
          <t>MS ELIZABETH</t>
        </is>
      </c>
      <c r="O766" s="75" t="n">
        <v>100</v>
      </c>
      <c r="P766" s="75" t="inlineStr">
        <is>
          <t>2025-10-07</t>
        </is>
      </c>
      <c r="Q766" s="75" t="n"/>
      <c r="R766" s="75" t="inlineStr">
        <is>
          <t>Commission-record amount: confirm to bank statement (records can aggregate several transfers)</t>
        </is>
      </c>
    </row>
    <row r="767" ht="25" customHeight="1">
      <c r="A767" s="78" t="inlineStr">
        <is>
          <t>SL0744</t>
        </is>
      </c>
      <c r="B767" s="79" t="n">
        <v>45849</v>
      </c>
      <c r="C767" s="78" t="inlineStr">
        <is>
          <t>2025-07</t>
        </is>
      </c>
      <c r="D767" s="78" t="n">
        <v>2025</v>
      </c>
      <c r="E767" s="78" t="inlineStr">
        <is>
          <t>Housing</t>
        </is>
      </c>
      <c r="F767" s="78" t="inlineStr">
        <is>
          <t>Plot / unit price</t>
        </is>
      </c>
      <c r="G767" s="78" t="inlineStr">
        <is>
          <t>Pacific Apartment</t>
        </is>
      </c>
      <c r="H767" s="78" t="inlineStr">
        <is>
          <t>BP-C0143</t>
        </is>
      </c>
      <c r="I767" s="78" t="inlineStr">
        <is>
          <t>Mrs Oyindamola Duntoye Adekunle</t>
        </is>
      </c>
      <c r="J767" s="80" t="n">
        <v>4750000</v>
      </c>
      <c r="K767" s="78" t="n"/>
      <c r="L767" s="78" t="inlineStr">
        <is>
          <t>Secondary: commission records; no monthly turnover register for this period</t>
        </is>
      </c>
      <c r="M767" s="78" t="inlineStr">
        <is>
          <t>BAAY PROJECTS SALES EXPENSES (COMMISSION) RECORDS (1)</t>
        </is>
      </c>
      <c r="N767" s="78" t="inlineStr">
        <is>
          <t>MAMA ADEBIMPE</t>
        </is>
      </c>
      <c r="O767" s="78" t="n">
        <v>213</v>
      </c>
      <c r="P767" s="78" t="inlineStr">
        <is>
          <t>2025-11-07</t>
        </is>
      </c>
      <c r="Q767" s="78" t="n"/>
      <c r="R767" s="78" t="inlineStr">
        <is>
          <t>Commission-record amount: confirm to bank statement (records can aggregate several transfers)</t>
        </is>
      </c>
    </row>
    <row r="768" ht="25" customHeight="1">
      <c r="A768" s="75" t="inlineStr">
        <is>
          <t>SL0745</t>
        </is>
      </c>
      <c r="B768" s="76" t="n">
        <v>45852</v>
      </c>
      <c r="C768" s="75" t="inlineStr">
        <is>
          <t>2025-07</t>
        </is>
      </c>
      <c r="D768" s="75" t="n">
        <v>2025</v>
      </c>
      <c r="E768" s="75" t="inlineStr">
        <is>
          <t>Land</t>
        </is>
      </c>
      <c r="F768" s="75" t="inlineStr">
        <is>
          <t>Plot / unit price</t>
        </is>
      </c>
      <c r="G768" s="75" t="inlineStr">
        <is>
          <t>Land (estate not stated in source)</t>
        </is>
      </c>
      <c r="H768" s="75" t="inlineStr">
        <is>
          <t>BP-C0195</t>
        </is>
      </c>
      <c r="I768" s="75" t="inlineStr">
        <is>
          <t>Mr Haruna Adekunle Waheed</t>
        </is>
      </c>
      <c r="J768" s="77" t="n">
        <v>1250000</v>
      </c>
      <c r="K768" s="75" t="n"/>
      <c r="L768" s="75" t="inlineStr">
        <is>
          <t>Secondary: commission records; no monthly turnover register for this period</t>
        </is>
      </c>
      <c r="M768" s="75" t="inlineStr">
        <is>
          <t>BAAY PROJECTS SALES EXPENSES (COMMISSION) RECORDS (1)</t>
        </is>
      </c>
      <c r="N768" s="75" t="inlineStr">
        <is>
          <t>MRS ABIMBOLA</t>
        </is>
      </c>
      <c r="O768" s="75" t="n">
        <v>218</v>
      </c>
      <c r="P768" s="75" t="inlineStr">
        <is>
          <t>14/07/2025</t>
        </is>
      </c>
      <c r="Q768" s="75" t="n"/>
      <c r="R768" s="75" t="inlineStr">
        <is>
          <t>Commission-record amount: confirm to bank statement (records can aggregate several transfers)</t>
        </is>
      </c>
    </row>
    <row r="769" ht="25" customHeight="1">
      <c r="A769" s="78" t="inlineStr">
        <is>
          <t>SL0746</t>
        </is>
      </c>
      <c r="B769" s="79" t="n">
        <v>45854</v>
      </c>
      <c r="C769" s="78" t="inlineStr">
        <is>
          <t>2025-07</t>
        </is>
      </c>
      <c r="D769" s="78" t="n">
        <v>2025</v>
      </c>
      <c r="E769" s="78" t="inlineStr">
        <is>
          <t>Land</t>
        </is>
      </c>
      <c r="F769" s="78" t="inlineStr">
        <is>
          <t>Plot / unit price</t>
        </is>
      </c>
      <c r="G769" s="78" t="inlineStr">
        <is>
          <t>Land (estate not stated in source)</t>
        </is>
      </c>
      <c r="H769" s="78" t="inlineStr">
        <is>
          <t>BP-C0198</t>
        </is>
      </c>
      <c r="I769" s="78" t="inlineStr">
        <is>
          <t>Mr Akinruntan Adeyinka Benson</t>
        </is>
      </c>
      <c r="J769" s="80" t="n">
        <v>2500000</v>
      </c>
      <c r="K769" s="78" t="n"/>
      <c r="L769" s="78" t="inlineStr">
        <is>
          <t>Secondary: commission records; no monthly turnover register for this period</t>
        </is>
      </c>
      <c r="M769" s="78" t="inlineStr">
        <is>
          <t>BAAY PROJECTS SALES EXPENSES (COMMISSION) RECORDS (1)</t>
        </is>
      </c>
      <c r="N769" s="78" t="inlineStr">
        <is>
          <t>MS PRAISE</t>
        </is>
      </c>
      <c r="O769" s="78" t="n">
        <v>39</v>
      </c>
      <c r="P769" s="78" t="inlineStr">
        <is>
          <t>16/07/2025</t>
        </is>
      </c>
      <c r="Q769" s="78" t="n"/>
      <c r="R769" s="78" t="inlineStr">
        <is>
          <t>Commission-record amount: confirm to bank statement (records can aggregate several transfers)</t>
        </is>
      </c>
    </row>
    <row r="770" ht="25" customHeight="1">
      <c r="A770" s="75" t="inlineStr">
        <is>
          <t>SL0747</t>
        </is>
      </c>
      <c r="B770" s="76" t="n">
        <v>45860</v>
      </c>
      <c r="C770" s="75" t="inlineStr">
        <is>
          <t>2025-07</t>
        </is>
      </c>
      <c r="D770" s="75" t="n">
        <v>2025</v>
      </c>
      <c r="E770" s="75" t="inlineStr">
        <is>
          <t>Housing</t>
        </is>
      </c>
      <c r="F770" s="75" t="inlineStr">
        <is>
          <t>Plot / unit price</t>
        </is>
      </c>
      <c r="G770" s="75" t="inlineStr">
        <is>
          <t>Baay Foreshore</t>
        </is>
      </c>
      <c r="H770" s="75" t="inlineStr">
        <is>
          <t>BP-C0200</t>
        </is>
      </c>
      <c r="I770" s="75" t="inlineStr">
        <is>
          <t>Dr Oladeji Ifeoluwa Solomon</t>
        </is>
      </c>
      <c r="J770" s="77" t="n">
        <v>5000000</v>
      </c>
      <c r="K770" s="75" t="n"/>
      <c r="L770" s="75" t="inlineStr">
        <is>
          <t>Secondary: commission records; no monthly turnover register for this period</t>
        </is>
      </c>
      <c r="M770" s="75" t="inlineStr">
        <is>
          <t>BAAY PROJECTS SALES EXPENSES (COMMISSION) RECORDS (1)</t>
        </is>
      </c>
      <c r="N770" s="75" t="inlineStr">
        <is>
          <t>LANDNEST HOMES</t>
        </is>
      </c>
      <c r="O770" s="75" t="n">
        <v>3</v>
      </c>
      <c r="P770" s="75" t="inlineStr">
        <is>
          <t>22/07/2025</t>
        </is>
      </c>
      <c r="Q770" s="75" t="n"/>
      <c r="R770" s="75" t="inlineStr">
        <is>
          <t>Commission-record amount: confirm to bank statement (records can aggregate several transfers)</t>
        </is>
      </c>
    </row>
    <row r="771" ht="25" customHeight="1">
      <c r="A771" s="78" t="inlineStr">
        <is>
          <t>SL0748</t>
        </is>
      </c>
      <c r="B771" s="79" t="n">
        <v>45860</v>
      </c>
      <c r="C771" s="78" t="inlineStr">
        <is>
          <t>2025-07</t>
        </is>
      </c>
      <c r="D771" s="78" t="n">
        <v>2025</v>
      </c>
      <c r="E771" s="78" t="inlineStr">
        <is>
          <t>Housing</t>
        </is>
      </c>
      <c r="F771" s="78" t="inlineStr">
        <is>
          <t>Plot / unit price</t>
        </is>
      </c>
      <c r="G771" s="78" t="inlineStr">
        <is>
          <t>Baay Foreshore</t>
        </is>
      </c>
      <c r="H771" s="78" t="inlineStr">
        <is>
          <t>BP-C0199</t>
        </is>
      </c>
      <c r="I771" s="78" t="inlineStr">
        <is>
          <t>Landnest Homes (Mrs Abimbola)</t>
        </is>
      </c>
      <c r="J771" s="80" t="n">
        <v>5000000</v>
      </c>
      <c r="K771" s="78" t="n"/>
      <c r="L771" s="78" t="inlineStr">
        <is>
          <t>Secondary: commission records; no monthly turnover register for this period</t>
        </is>
      </c>
      <c r="M771" s="78" t="inlineStr">
        <is>
          <t>BAAY PROJECTS SALES EXPENSES (COMMISSION) RECORDS (1)</t>
        </is>
      </c>
      <c r="N771" s="78" t="inlineStr">
        <is>
          <t>LANDNEST HOMES</t>
        </is>
      </c>
      <c r="O771" s="78" t="n">
        <v>2</v>
      </c>
      <c r="P771" s="78" t="inlineStr">
        <is>
          <t>22/07/2025</t>
        </is>
      </c>
      <c r="Q771" s="78" t="n"/>
      <c r="R771" s="78" t="inlineStr">
        <is>
          <t>Commission-record amount: confirm to bank statement (records can aggregate several transfers)</t>
        </is>
      </c>
    </row>
    <row r="772" ht="25" customHeight="1">
      <c r="A772" s="75" t="inlineStr">
        <is>
          <t>SL0749</t>
        </is>
      </c>
      <c r="B772" s="76" t="n">
        <v>45862</v>
      </c>
      <c r="C772" s="75" t="inlineStr">
        <is>
          <t>2025-07</t>
        </is>
      </c>
      <c r="D772" s="75" t="n">
        <v>2025</v>
      </c>
      <c r="E772" s="75" t="inlineStr">
        <is>
          <t>Housing</t>
        </is>
      </c>
      <c r="F772" s="75" t="inlineStr">
        <is>
          <t>Plot / unit price</t>
        </is>
      </c>
      <c r="G772" s="75" t="inlineStr">
        <is>
          <t>Pacific Apartment</t>
        </is>
      </c>
      <c r="H772" s="75" t="inlineStr">
        <is>
          <t>BP-C0202</t>
        </is>
      </c>
      <c r="I772" s="75" t="inlineStr">
        <is>
          <t>Miss Yesher Yakubu &amp; Miss Hadassah Yakubu</t>
        </is>
      </c>
      <c r="J772" s="77" t="n">
        <v>20000000</v>
      </c>
      <c r="K772" s="75" t="n"/>
      <c r="L772" s="75" t="inlineStr">
        <is>
          <t>Secondary: commission records; no monthly turnover register for this period</t>
        </is>
      </c>
      <c r="M772" s="75" t="inlineStr">
        <is>
          <t>BAAY PROJECTS SALES EXPENSES (COMMISSION) RECORDS (1)</t>
        </is>
      </c>
      <c r="N772" s="75" t="inlineStr">
        <is>
          <t>MS MOFFAT</t>
        </is>
      </c>
      <c r="O772" s="75" t="n">
        <v>59</v>
      </c>
      <c r="P772" s="75" t="inlineStr">
        <is>
          <t>24/07/2025</t>
        </is>
      </c>
      <c r="Q772" s="75" t="n"/>
      <c r="R772" s="75" t="inlineStr">
        <is>
          <t>Commission-record amount: confirm to bank statement (records can aggregate several transfers)</t>
        </is>
      </c>
    </row>
    <row r="773" ht="25" customHeight="1">
      <c r="A773" s="78" t="inlineStr">
        <is>
          <t>SL0750</t>
        </is>
      </c>
      <c r="B773" s="79" t="n">
        <v>45862</v>
      </c>
      <c r="C773" s="78" t="inlineStr">
        <is>
          <t>2025-07</t>
        </is>
      </c>
      <c r="D773" s="78" t="n">
        <v>2025</v>
      </c>
      <c r="E773" s="78" t="inlineStr">
        <is>
          <t>Housing</t>
        </is>
      </c>
      <c r="F773" s="78" t="inlineStr">
        <is>
          <t>Plot / unit price</t>
        </is>
      </c>
      <c r="G773" s="78" t="inlineStr">
        <is>
          <t>Pacific Apartment</t>
        </is>
      </c>
      <c r="H773" s="78" t="inlineStr">
        <is>
          <t>BP-C0203</t>
        </is>
      </c>
      <c r="I773" s="78" t="inlineStr">
        <is>
          <t>Mr Ogbomah Ebi Wilfred</t>
        </is>
      </c>
      <c r="J773" s="80" t="n">
        <v>20000000</v>
      </c>
      <c r="K773" s="78" t="n"/>
      <c r="L773" s="78" t="inlineStr">
        <is>
          <t>Secondary: commission records; no monthly turnover register for this period</t>
        </is>
      </c>
      <c r="M773" s="78" t="inlineStr">
        <is>
          <t>BAAY PROJECTS SALES EXPENSES (COMMISSION) RECORDS (1)</t>
        </is>
      </c>
      <c r="N773" s="78" t="inlineStr">
        <is>
          <t>MS MOFFAT</t>
        </is>
      </c>
      <c r="O773" s="78" t="n">
        <v>49</v>
      </c>
      <c r="P773" s="78" t="inlineStr">
        <is>
          <t>24/07/2025</t>
        </is>
      </c>
      <c r="Q773" s="78" t="n"/>
      <c r="R773" s="78" t="inlineStr">
        <is>
          <t>Commission-record amount: confirm to bank statement (records can aggregate several transfers)</t>
        </is>
      </c>
    </row>
    <row r="774" ht="25" customHeight="1">
      <c r="A774" s="75" t="inlineStr">
        <is>
          <t>SL0751</t>
        </is>
      </c>
      <c r="B774" s="76" t="n">
        <v>45863</v>
      </c>
      <c r="C774" s="75" t="inlineStr">
        <is>
          <t>2025-07</t>
        </is>
      </c>
      <c r="D774" s="75" t="n">
        <v>2025</v>
      </c>
      <c r="E774" s="75" t="inlineStr">
        <is>
          <t>Housing</t>
        </is>
      </c>
      <c r="F774" s="75" t="inlineStr">
        <is>
          <t>Plot / unit price</t>
        </is>
      </c>
      <c r="G774" s="75" t="inlineStr">
        <is>
          <t>Pacific Apartment</t>
        </is>
      </c>
      <c r="H774" s="75" t="inlineStr">
        <is>
          <t>BP-C0204</t>
        </is>
      </c>
      <c r="I774" s="75" t="inlineStr">
        <is>
          <t>Mr Akinjogunla Isaac Ogooluwa</t>
        </is>
      </c>
      <c r="J774" s="77" t="n">
        <v>20000000</v>
      </c>
      <c r="K774" s="75" t="n"/>
      <c r="L774" s="75" t="inlineStr">
        <is>
          <t>Secondary: commission records; no monthly turnover register for this period</t>
        </is>
      </c>
      <c r="M774" s="75" t="inlineStr">
        <is>
          <t>BAAY PROJECTS SALES EXPENSES (COMMISSION) RECORDS (1)</t>
        </is>
      </c>
      <c r="N774" s="75" t="inlineStr">
        <is>
          <t>MS MOFFAT</t>
        </is>
      </c>
      <c r="O774" s="75" t="n">
        <v>70</v>
      </c>
      <c r="P774" s="75" t="inlineStr">
        <is>
          <t>25/07/2025</t>
        </is>
      </c>
      <c r="Q774" s="75" t="n"/>
      <c r="R774" s="75" t="inlineStr">
        <is>
          <t>Commission-record amount: confirm to bank statement (records can aggregate several transfers)</t>
        </is>
      </c>
    </row>
    <row r="775" ht="25" customHeight="1">
      <c r="A775" s="78" t="inlineStr">
        <is>
          <t>SL0752</t>
        </is>
      </c>
      <c r="B775" s="79" t="n">
        <v>45864</v>
      </c>
      <c r="C775" s="78" t="inlineStr">
        <is>
          <t>2025-07</t>
        </is>
      </c>
      <c r="D775" s="78" t="n">
        <v>2025</v>
      </c>
      <c r="E775" s="78" t="inlineStr">
        <is>
          <t>Housing</t>
        </is>
      </c>
      <c r="F775" s="78" t="inlineStr">
        <is>
          <t>Plot / unit price</t>
        </is>
      </c>
      <c r="G775" s="78" t="inlineStr">
        <is>
          <t>Baay Foreshore</t>
        </is>
      </c>
      <c r="H775" s="78" t="inlineStr">
        <is>
          <t>BP-C0205</t>
        </is>
      </c>
      <c r="I775" s="78" t="inlineStr">
        <is>
          <t>Landnest Homes (Mrs Lukoh)</t>
        </is>
      </c>
      <c r="J775" s="80" t="n">
        <v>5000000</v>
      </c>
      <c r="K775" s="78" t="n"/>
      <c r="L775" s="78" t="inlineStr">
        <is>
          <t>Secondary: commission records; no monthly turnover register for this period</t>
        </is>
      </c>
      <c r="M775" s="78" t="inlineStr">
        <is>
          <t>BAAY PROJECTS SALES EXPENSES (COMMISSION) RECORDS (1)</t>
        </is>
      </c>
      <c r="N775" s="78" t="inlineStr">
        <is>
          <t>LANDNEST HOMES</t>
        </is>
      </c>
      <c r="O775" s="78" t="n">
        <v>4</v>
      </c>
      <c r="P775" s="78" t="inlineStr">
        <is>
          <t>26/07/2025</t>
        </is>
      </c>
      <c r="Q775" s="78" t="n"/>
      <c r="R775" s="78" t="inlineStr">
        <is>
          <t>Commission-record amount: confirm to bank statement (records can aggregate several transfers)</t>
        </is>
      </c>
    </row>
    <row r="776" ht="25" customHeight="1">
      <c r="A776" s="75" t="inlineStr">
        <is>
          <t>SL0753</t>
        </is>
      </c>
      <c r="B776" s="76" t="n">
        <v>45865</v>
      </c>
      <c r="C776" s="75" t="inlineStr">
        <is>
          <t>2025-07</t>
        </is>
      </c>
      <c r="D776" s="75" t="n">
        <v>2025</v>
      </c>
      <c r="E776" s="75" t="inlineStr">
        <is>
          <t>Housing</t>
        </is>
      </c>
      <c r="F776" s="75" t="inlineStr">
        <is>
          <t>Plot / unit price</t>
        </is>
      </c>
      <c r="G776" s="75" t="inlineStr">
        <is>
          <t>Pacific Apartment</t>
        </is>
      </c>
      <c r="H776" s="75" t="inlineStr">
        <is>
          <t>BP-C0186</t>
        </is>
      </c>
      <c r="I776" s="75" t="inlineStr">
        <is>
          <t>Salem real Estate (Mrs Omoko Onora Helen)</t>
        </is>
      </c>
      <c r="J776" s="77" t="n">
        <v>5000000</v>
      </c>
      <c r="K776" s="75" t="n"/>
      <c r="L776" s="75" t="inlineStr">
        <is>
          <t>Secondary: commission records; no monthly turnover register for this period</t>
        </is>
      </c>
      <c r="M776" s="75" t="inlineStr">
        <is>
          <t>BAAY PROJECTS SALES EXPENSES (COMMISSION) RECORDS (1)</t>
        </is>
      </c>
      <c r="N776" s="75" t="inlineStr">
        <is>
          <t>MR CHARLES</t>
        </is>
      </c>
      <c r="O776" s="75" t="n">
        <v>108</v>
      </c>
      <c r="P776" s="75" t="inlineStr">
        <is>
          <t>27/07/2025</t>
        </is>
      </c>
      <c r="Q776" s="75" t="inlineStr">
        <is>
          <t>SALEM REAL ESTATE r38</t>
        </is>
      </c>
      <c r="R776" s="75" t="inlineStr">
        <is>
          <t>Commission-record amount: confirm to bank statement (records can aggregate several transfers)</t>
        </is>
      </c>
    </row>
    <row r="777" ht="25" customHeight="1">
      <c r="A777" s="78" t="inlineStr">
        <is>
          <t>SL0754</t>
        </is>
      </c>
      <c r="B777" s="79" t="n">
        <v>45867</v>
      </c>
      <c r="C777" s="78" t="inlineStr">
        <is>
          <t>2025-07</t>
        </is>
      </c>
      <c r="D777" s="78" t="n">
        <v>2025</v>
      </c>
      <c r="E777" s="78" t="inlineStr">
        <is>
          <t>Housing</t>
        </is>
      </c>
      <c r="F777" s="78" t="inlineStr">
        <is>
          <t>Plot / unit price</t>
        </is>
      </c>
      <c r="G777" s="78" t="inlineStr">
        <is>
          <t>Baay Foreshore</t>
        </is>
      </c>
      <c r="H777" s="78" t="inlineStr">
        <is>
          <t>BP-C0208</t>
        </is>
      </c>
      <c r="I777" s="78" t="inlineStr">
        <is>
          <t>Dr Areo Olusola Michael</t>
        </is>
      </c>
      <c r="J777" s="80" t="n">
        <v>5000000</v>
      </c>
      <c r="K777" s="78" t="n"/>
      <c r="L777" s="78" t="inlineStr">
        <is>
          <t>Secondary: commission records; no monthly turnover register for this period</t>
        </is>
      </c>
      <c r="M777" s="78" t="inlineStr">
        <is>
          <t>BAAY PROJECTS SALES EXPENSES (COMMISSION) RECORDS (1)</t>
        </is>
      </c>
      <c r="N777" s="78" t="inlineStr">
        <is>
          <t>LANDNEST HOMES</t>
        </is>
      </c>
      <c r="O777" s="78" t="n">
        <v>5</v>
      </c>
      <c r="P777" s="78" t="inlineStr">
        <is>
          <t>29/07/2025</t>
        </is>
      </c>
      <c r="Q777" s="78" t="n"/>
      <c r="R777" s="78" t="inlineStr">
        <is>
          <t>Commission-record amount: confirm to bank statement (records can aggregate several transfers)</t>
        </is>
      </c>
    </row>
    <row r="778" ht="25" customHeight="1">
      <c r="A778" s="75" t="inlineStr">
        <is>
          <t>SL0755</t>
        </is>
      </c>
      <c r="B778" s="76" t="n">
        <v>45867</v>
      </c>
      <c r="C778" s="75" t="inlineStr">
        <is>
          <t>2025-07</t>
        </is>
      </c>
      <c r="D778" s="75" t="n">
        <v>2025</v>
      </c>
      <c r="E778" s="75" t="inlineStr">
        <is>
          <t>Housing</t>
        </is>
      </c>
      <c r="F778" s="75" t="inlineStr">
        <is>
          <t>Plot / unit price</t>
        </is>
      </c>
      <c r="G778" s="75" t="inlineStr">
        <is>
          <t>Baay Foreshore</t>
        </is>
      </c>
      <c r="H778" s="75" t="inlineStr">
        <is>
          <t>BP-C0207</t>
        </is>
      </c>
      <c r="I778" s="75" t="inlineStr">
        <is>
          <t>Landnest Homes (Mrs Beatrice)</t>
        </is>
      </c>
      <c r="J778" s="77" t="n">
        <v>5000000</v>
      </c>
      <c r="K778" s="75" t="n"/>
      <c r="L778" s="75" t="inlineStr">
        <is>
          <t>Secondary: commission records; no monthly turnover register for this period</t>
        </is>
      </c>
      <c r="M778" s="75" t="inlineStr">
        <is>
          <t>BAAY PROJECTS SALES EXPENSES (COMMISSION) RECORDS (1)</t>
        </is>
      </c>
      <c r="N778" s="75" t="inlineStr">
        <is>
          <t>LANDNEST HOMES</t>
        </is>
      </c>
      <c r="O778" s="75" t="n">
        <v>6</v>
      </c>
      <c r="P778" s="75" t="inlineStr">
        <is>
          <t>29/07/2025</t>
        </is>
      </c>
      <c r="Q778" s="75" t="n"/>
      <c r="R778" s="75" t="inlineStr">
        <is>
          <t>Commission-record amount: confirm to bank statement (records can aggregate several transfers)</t>
        </is>
      </c>
    </row>
    <row r="779" ht="25" customHeight="1">
      <c r="A779" s="78" t="inlineStr">
        <is>
          <t>SL0756</t>
        </is>
      </c>
      <c r="B779" s="79" t="n">
        <v>45867</v>
      </c>
      <c r="C779" s="78" t="inlineStr">
        <is>
          <t>2025-07</t>
        </is>
      </c>
      <c r="D779" s="78" t="n">
        <v>2025</v>
      </c>
      <c r="E779" s="78" t="inlineStr">
        <is>
          <t>Housing</t>
        </is>
      </c>
      <c r="F779" s="78" t="inlineStr">
        <is>
          <t>Plot / unit price</t>
        </is>
      </c>
      <c r="G779" s="78" t="inlineStr">
        <is>
          <t>Pacific Apartment</t>
        </is>
      </c>
      <c r="H779" s="78" t="inlineStr">
        <is>
          <t>BP-C0143</t>
        </is>
      </c>
      <c r="I779" s="78" t="inlineStr">
        <is>
          <t>Mrs Oyindamola Duntoye Adekunle</t>
        </is>
      </c>
      <c r="J779" s="80" t="n">
        <v>4750000</v>
      </c>
      <c r="K779" s="78" t="n"/>
      <c r="L779" s="78" t="inlineStr">
        <is>
          <t>Secondary: commission records; no monthly turnover register for this period</t>
        </is>
      </c>
      <c r="M779" s="78" t="inlineStr">
        <is>
          <t>BAAY PROJECTS SALES EXPENSES (COMMISSION) RECORDS (1)</t>
        </is>
      </c>
      <c r="N779" s="78" t="inlineStr">
        <is>
          <t>MAMA ADEBIMPE</t>
        </is>
      </c>
      <c r="O779" s="78" t="n">
        <v>239</v>
      </c>
      <c r="P779" s="78" t="inlineStr">
        <is>
          <t>29/07/2025</t>
        </is>
      </c>
      <c r="Q779" s="78" t="n"/>
      <c r="R779" s="78" t="inlineStr">
        <is>
          <t>Commission-record amount: confirm to bank statement (records can aggregate several transfers)</t>
        </is>
      </c>
    </row>
    <row r="780" ht="25" customHeight="1">
      <c r="A780" s="75" t="inlineStr">
        <is>
          <t>SL0757</t>
        </is>
      </c>
      <c r="B780" s="76" t="n">
        <v>45867</v>
      </c>
      <c r="C780" s="75" t="inlineStr">
        <is>
          <t>2025-07</t>
        </is>
      </c>
      <c r="D780" s="75" t="n">
        <v>2025</v>
      </c>
      <c r="E780" s="75" t="inlineStr">
        <is>
          <t>Housing</t>
        </is>
      </c>
      <c r="F780" s="75" t="inlineStr">
        <is>
          <t>Plot / unit price</t>
        </is>
      </c>
      <c r="G780" s="75" t="inlineStr">
        <is>
          <t>Housing unit (project not stated in source)</t>
        </is>
      </c>
      <c r="H780" s="75" t="inlineStr">
        <is>
          <t>BP-C0210</t>
        </is>
      </c>
      <c r="I780" s="75" t="inlineStr">
        <is>
          <t>Mrs Pine Ritajoe Egbede</t>
        </is>
      </c>
      <c r="J780" s="77" t="n">
        <v>4000000</v>
      </c>
      <c r="K780" s="75" t="n"/>
      <c r="L780" s="75" t="inlineStr">
        <is>
          <t>Secondary: commission records; no monthly turnover register for this period</t>
        </is>
      </c>
      <c r="M780" s="75" t="inlineStr">
        <is>
          <t>BAAY PROJECTS SALES EXPENSES (COMMISSION) RECORDS (1)</t>
        </is>
      </c>
      <c r="N780" s="75" t="inlineStr">
        <is>
          <t>MD</t>
        </is>
      </c>
      <c r="O780" s="75" t="n">
        <v>189</v>
      </c>
      <c r="P780" s="75" t="inlineStr">
        <is>
          <t>29/07/2025</t>
        </is>
      </c>
      <c r="Q780" s="75" t="n"/>
      <c r="R780" s="75" t="inlineStr">
        <is>
          <t>Commission-record amount: confirm to bank statement (records can aggregate several transfers)</t>
        </is>
      </c>
    </row>
    <row r="781" ht="25" customHeight="1">
      <c r="A781" s="78" t="inlineStr">
        <is>
          <t>SL0758</t>
        </is>
      </c>
      <c r="B781" s="79" t="n">
        <v>45874</v>
      </c>
      <c r="C781" s="78" t="inlineStr">
        <is>
          <t>2025-08</t>
        </is>
      </c>
      <c r="D781" s="78" t="n">
        <v>2025</v>
      </c>
      <c r="E781" s="78" t="inlineStr">
        <is>
          <t>Housing</t>
        </is>
      </c>
      <c r="F781" s="78" t="inlineStr">
        <is>
          <t>Plot / unit price</t>
        </is>
      </c>
      <c r="G781" s="78" t="inlineStr">
        <is>
          <t>Pacific Apartment</t>
        </is>
      </c>
      <c r="H781" s="78" t="inlineStr">
        <is>
          <t>BP-C0192</t>
        </is>
      </c>
      <c r="I781" s="78" t="inlineStr">
        <is>
          <t>Dr Esangbedo Wilson</t>
        </is>
      </c>
      <c r="J781" s="80" t="n">
        <v>4500000</v>
      </c>
      <c r="K781" s="78" t="n"/>
      <c r="L781" s="78" t="inlineStr">
        <is>
          <t>Secondary: commission records; no monthly turnover register for this period</t>
        </is>
      </c>
      <c r="M781" s="78" t="inlineStr">
        <is>
          <t>BAAY PROJECTS SALES EXPENSES (COMMISSION) RECORDS (1)</t>
        </is>
      </c>
      <c r="N781" s="78" t="inlineStr">
        <is>
          <t>MS MOFFAT</t>
        </is>
      </c>
      <c r="O781" s="78" t="n">
        <v>68</v>
      </c>
      <c r="P781" s="78" t="inlineStr">
        <is>
          <t>2025-05-08</t>
        </is>
      </c>
      <c r="Q781" s="78" t="inlineStr">
        <is>
          <t>MRS ABIMBOLA r229</t>
        </is>
      </c>
      <c r="R781" s="78" t="inlineStr">
        <is>
          <t>Commission-record amount: confirm to bank statement (records can aggregate several transfers)</t>
        </is>
      </c>
    </row>
    <row r="782" ht="25" customHeight="1">
      <c r="A782" s="75" t="inlineStr">
        <is>
          <t>SL0759</t>
        </is>
      </c>
      <c r="B782" s="76" t="n">
        <v>45874</v>
      </c>
      <c r="C782" s="75" t="inlineStr">
        <is>
          <t>2025-08</t>
        </is>
      </c>
      <c r="D782" s="75" t="n">
        <v>2025</v>
      </c>
      <c r="E782" s="75" t="inlineStr">
        <is>
          <t>Land</t>
        </is>
      </c>
      <c r="F782" s="75" t="inlineStr">
        <is>
          <t>Plot / unit price</t>
        </is>
      </c>
      <c r="G782" s="75" t="inlineStr">
        <is>
          <t>Land (estate not stated in source)</t>
        </is>
      </c>
      <c r="H782" s="75" t="inlineStr">
        <is>
          <t>BP-C0148</t>
        </is>
      </c>
      <c r="I782" s="75" t="inlineStr">
        <is>
          <t>Mr Akinsete Michael</t>
        </is>
      </c>
      <c r="J782" s="77" t="n">
        <v>107000</v>
      </c>
      <c r="K782" s="75" t="n"/>
      <c r="L782" s="75" t="inlineStr">
        <is>
          <t>Secondary: commission records; no monthly turnover register for this period</t>
        </is>
      </c>
      <c r="M782" s="75" t="inlineStr">
        <is>
          <t>BAAY PROJECTS SALES EXPENSES (COMMISSION) RECORDS (1)</t>
        </is>
      </c>
      <c r="N782" s="75" t="inlineStr">
        <is>
          <t>MD</t>
        </is>
      </c>
      <c r="O782" s="75" t="n">
        <v>196</v>
      </c>
      <c r="P782" s="75" t="inlineStr">
        <is>
          <t>2025-05-08</t>
        </is>
      </c>
      <c r="Q782" s="75" t="n"/>
      <c r="R782" s="75" t="inlineStr">
        <is>
          <t>Commission-record amount: confirm to bank statement (records can aggregate several transfers)</t>
        </is>
      </c>
    </row>
    <row r="783" ht="25" customHeight="1">
      <c r="A783" s="78" t="inlineStr">
        <is>
          <t>SL0760</t>
        </is>
      </c>
      <c r="B783" s="79" t="n">
        <v>45874</v>
      </c>
      <c r="C783" s="78" t="inlineStr">
        <is>
          <t>2025-08</t>
        </is>
      </c>
      <c r="D783" s="78" t="n">
        <v>2025</v>
      </c>
      <c r="E783" s="78" t="inlineStr">
        <is>
          <t>Land</t>
        </is>
      </c>
      <c r="F783" s="78" t="inlineStr">
        <is>
          <t>Plot / unit price</t>
        </is>
      </c>
      <c r="G783" s="78" t="inlineStr">
        <is>
          <t>Land (estate not stated in source)</t>
        </is>
      </c>
      <c r="H783" s="78" t="inlineStr">
        <is>
          <t>BP-C0148</t>
        </is>
      </c>
      <c r="I783" s="78" t="inlineStr">
        <is>
          <t>Mr Akinsete Michael</t>
        </is>
      </c>
      <c r="J783" s="80" t="n">
        <v>76000</v>
      </c>
      <c r="K783" s="78" t="n"/>
      <c r="L783" s="78" t="inlineStr">
        <is>
          <t>Secondary: commission records; no monthly turnover register for this period</t>
        </is>
      </c>
      <c r="M783" s="78" t="inlineStr">
        <is>
          <t>BAAY PROJECTS SALES EXPENSES (COMMISSION) RECORDS (1)</t>
        </is>
      </c>
      <c r="N783" s="78" t="inlineStr">
        <is>
          <t>MD</t>
        </is>
      </c>
      <c r="O783" s="78" t="n">
        <v>209</v>
      </c>
      <c r="P783" s="78" t="inlineStr">
        <is>
          <t>2025-05-08</t>
        </is>
      </c>
      <c r="Q783" s="78" t="n"/>
      <c r="R783" s="78" t="inlineStr">
        <is>
          <t>Commission-record amount: confirm to bank statement (records can aggregate several transfers)</t>
        </is>
      </c>
    </row>
    <row r="784" ht="25" customHeight="1">
      <c r="A784" s="75" t="inlineStr">
        <is>
          <t>SL0761</t>
        </is>
      </c>
      <c r="B784" s="76" t="n">
        <v>45875</v>
      </c>
      <c r="C784" s="75" t="inlineStr">
        <is>
          <t>2025-08</t>
        </is>
      </c>
      <c r="D784" s="75" t="n">
        <v>2025</v>
      </c>
      <c r="E784" s="75" t="inlineStr">
        <is>
          <t>Housing</t>
        </is>
      </c>
      <c r="F784" s="75" t="inlineStr">
        <is>
          <t>Plot / unit price</t>
        </is>
      </c>
      <c r="G784" s="75" t="inlineStr">
        <is>
          <t>Baay Foreshore</t>
        </is>
      </c>
      <c r="H784" s="75" t="inlineStr">
        <is>
          <t>BP-C0055</t>
        </is>
      </c>
      <c r="I784" s="75" t="inlineStr">
        <is>
          <t>Mr Adeniji Oluwatosin Ademola</t>
        </is>
      </c>
      <c r="J784" s="77" t="n">
        <v>5000000</v>
      </c>
      <c r="K784" s="75" t="n"/>
      <c r="L784" s="75" t="inlineStr">
        <is>
          <t>Secondary: commission records; no monthly turnover register for this period</t>
        </is>
      </c>
      <c r="M784" s="75" t="inlineStr">
        <is>
          <t>BAAY PROJECTS SALES EXPENSES (COMMISSION) RECORDS (1)</t>
        </is>
      </c>
      <c r="N784" s="75" t="inlineStr">
        <is>
          <t>MS BOLANLE</t>
        </is>
      </c>
      <c r="O784" s="75" t="n">
        <v>154</v>
      </c>
      <c r="P784" s="75" t="inlineStr">
        <is>
          <t>2025-06-08</t>
        </is>
      </c>
      <c r="Q784" s="75" t="n"/>
      <c r="R784" s="75" t="inlineStr">
        <is>
          <t>Commission-record amount: confirm to bank statement (records can aggregate several transfers)</t>
        </is>
      </c>
    </row>
    <row r="785" ht="25" customHeight="1">
      <c r="A785" s="78" t="inlineStr">
        <is>
          <t>SL0762</t>
        </is>
      </c>
      <c r="B785" s="79" t="n">
        <v>45876</v>
      </c>
      <c r="C785" s="78" t="inlineStr">
        <is>
          <t>2025-08</t>
        </is>
      </c>
      <c r="D785" s="78" t="n">
        <v>2025</v>
      </c>
      <c r="E785" s="78" t="inlineStr">
        <is>
          <t>Housing</t>
        </is>
      </c>
      <c r="F785" s="78" t="inlineStr">
        <is>
          <t>Plot / unit price</t>
        </is>
      </c>
      <c r="G785" s="78" t="inlineStr">
        <is>
          <t>Pacific Apartment</t>
        </is>
      </c>
      <c r="H785" s="78" t="inlineStr">
        <is>
          <t>BP-C0202</t>
        </is>
      </c>
      <c r="I785" s="78" t="inlineStr">
        <is>
          <t>Miss Yesher Yakubu &amp; Miss Hadassah Yakubu</t>
        </is>
      </c>
      <c r="J785" s="80" t="n">
        <v>5000000</v>
      </c>
      <c r="K785" s="78" t="n"/>
      <c r="L785" s="78" t="inlineStr">
        <is>
          <t>Secondary: commission records; no monthly turnover register for this period</t>
        </is>
      </c>
      <c r="M785" s="78" t="inlineStr">
        <is>
          <t>BAAY PROJECTS SALES EXPENSES (COMMISSION) RECORDS (1)</t>
        </is>
      </c>
      <c r="N785" s="78" t="inlineStr">
        <is>
          <t>MS MOFFAT</t>
        </is>
      </c>
      <c r="O785" s="78" t="n">
        <v>60</v>
      </c>
      <c r="P785" s="78" t="inlineStr">
        <is>
          <t>2025-07-08</t>
        </is>
      </c>
      <c r="Q785" s="78" t="n"/>
      <c r="R785" s="78" t="inlineStr">
        <is>
          <t>Commission-record amount: confirm to bank statement (records can aggregate several transfers)</t>
        </is>
      </c>
    </row>
    <row r="786" ht="25" customHeight="1">
      <c r="A786" s="75" t="inlineStr">
        <is>
          <t>SL0763</t>
        </is>
      </c>
      <c r="B786" s="76" t="n">
        <v>45877</v>
      </c>
      <c r="C786" s="75" t="inlineStr">
        <is>
          <t>2025-08</t>
        </is>
      </c>
      <c r="D786" s="75" t="n">
        <v>2025</v>
      </c>
      <c r="E786" s="75" t="inlineStr">
        <is>
          <t>Housing</t>
        </is>
      </c>
      <c r="F786" s="75" t="inlineStr">
        <is>
          <t>Plot / unit price</t>
        </is>
      </c>
      <c r="G786" s="75" t="inlineStr">
        <is>
          <t>Baay Foreshore</t>
        </is>
      </c>
      <c r="H786" s="75" t="inlineStr">
        <is>
          <t>BP-C0207</t>
        </is>
      </c>
      <c r="I786" s="75" t="inlineStr">
        <is>
          <t>Landnest Homes (Mrs Beatrice)</t>
        </is>
      </c>
      <c r="J786" s="77" t="n">
        <v>5000000</v>
      </c>
      <c r="K786" s="75" t="n"/>
      <c r="L786" s="75" t="inlineStr">
        <is>
          <t>Secondary: commission records; no monthly turnover register for this period</t>
        </is>
      </c>
      <c r="M786" s="75" t="inlineStr">
        <is>
          <t>BAAY PROJECTS SALES EXPENSES (COMMISSION) RECORDS (1)</t>
        </is>
      </c>
      <c r="N786" s="75" t="inlineStr">
        <is>
          <t>LANDNEST HOMES</t>
        </is>
      </c>
      <c r="O786" s="75" t="n">
        <v>7</v>
      </c>
      <c r="P786" s="75" t="inlineStr">
        <is>
          <t>2025-08-08</t>
        </is>
      </c>
      <c r="Q786" s="75" t="n"/>
      <c r="R786" s="75" t="inlineStr">
        <is>
          <t>Commission-record amount: confirm to bank statement (records can aggregate several transfers)</t>
        </is>
      </c>
    </row>
    <row r="787" ht="25" customHeight="1">
      <c r="A787" s="78" t="inlineStr">
        <is>
          <t>SL0764</t>
        </is>
      </c>
      <c r="B787" s="79" t="n">
        <v>45877</v>
      </c>
      <c r="C787" s="78" t="inlineStr">
        <is>
          <t>2025-08</t>
        </is>
      </c>
      <c r="D787" s="78" t="n">
        <v>2025</v>
      </c>
      <c r="E787" s="78" t="inlineStr">
        <is>
          <t>Housing</t>
        </is>
      </c>
      <c r="F787" s="78" t="inlineStr">
        <is>
          <t>Plot / unit price</t>
        </is>
      </c>
      <c r="G787" s="78" t="inlineStr">
        <is>
          <t>Baay Foreshore</t>
        </is>
      </c>
      <c r="H787" s="78" t="inlineStr">
        <is>
          <t>BP-C0205</t>
        </is>
      </c>
      <c r="I787" s="78" t="inlineStr">
        <is>
          <t>Landnest Homes (Mrs Lukoh)</t>
        </is>
      </c>
      <c r="J787" s="80" t="n">
        <v>5000000</v>
      </c>
      <c r="K787" s="78" t="n"/>
      <c r="L787" s="78" t="inlineStr">
        <is>
          <t>Secondary: commission records; no monthly turnover register for this period</t>
        </is>
      </c>
      <c r="M787" s="78" t="inlineStr">
        <is>
          <t>BAAY PROJECTS SALES EXPENSES (COMMISSION) RECORDS (1)</t>
        </is>
      </c>
      <c r="N787" s="78" t="inlineStr">
        <is>
          <t>LANDNEST HOMES</t>
        </is>
      </c>
      <c r="O787" s="78" t="n">
        <v>8</v>
      </c>
      <c r="P787" s="78" t="inlineStr">
        <is>
          <t>2025-08-08</t>
        </is>
      </c>
      <c r="Q787" s="78" t="n"/>
      <c r="R787" s="78" t="inlineStr">
        <is>
          <t>Commission-record amount: confirm to bank statement (records can aggregate several transfers)</t>
        </is>
      </c>
    </row>
    <row r="788" ht="25" customHeight="1">
      <c r="A788" s="75" t="inlineStr">
        <is>
          <t>SL0765</t>
        </is>
      </c>
      <c r="B788" s="76" t="n">
        <v>45877</v>
      </c>
      <c r="C788" s="75" t="inlineStr">
        <is>
          <t>2025-08</t>
        </is>
      </c>
      <c r="D788" s="75" t="n">
        <v>2025</v>
      </c>
      <c r="E788" s="75" t="inlineStr">
        <is>
          <t>Housing</t>
        </is>
      </c>
      <c r="F788" s="75" t="inlineStr">
        <is>
          <t>Plot / unit price</t>
        </is>
      </c>
      <c r="G788" s="75" t="inlineStr">
        <is>
          <t>Pacific Apartment</t>
        </is>
      </c>
      <c r="H788" s="75" t="inlineStr">
        <is>
          <t>BP-C0202</t>
        </is>
      </c>
      <c r="I788" s="75" t="inlineStr">
        <is>
          <t>Miss Yesher Yakubu &amp; Miss Hadassah Yakubu</t>
        </is>
      </c>
      <c r="J788" s="77" t="n">
        <v>5000000</v>
      </c>
      <c r="K788" s="75" t="n"/>
      <c r="L788" s="75" t="inlineStr">
        <is>
          <t>Secondary: commission records; no monthly turnover register for this period</t>
        </is>
      </c>
      <c r="M788" s="75" t="inlineStr">
        <is>
          <t>BAAY PROJECTS SALES EXPENSES (COMMISSION) RECORDS (1)</t>
        </is>
      </c>
      <c r="N788" s="75" t="inlineStr">
        <is>
          <t>MS MOFFAT</t>
        </is>
      </c>
      <c r="O788" s="75" t="n">
        <v>61</v>
      </c>
      <c r="P788" s="75" t="inlineStr">
        <is>
          <t>2025-08-08</t>
        </is>
      </c>
      <c r="Q788" s="75" t="n"/>
      <c r="R788" s="75" t="inlineStr">
        <is>
          <t>Commission-record amount: confirm to bank statement (records can aggregate several transfers)</t>
        </is>
      </c>
    </row>
    <row r="789" ht="25" customHeight="1">
      <c r="A789" s="78" t="inlineStr">
        <is>
          <t>SL0766</t>
        </is>
      </c>
      <c r="B789" s="79" t="n">
        <v>45878</v>
      </c>
      <c r="C789" s="78" t="inlineStr">
        <is>
          <t>2025-08</t>
        </is>
      </c>
      <c r="D789" s="78" t="n">
        <v>2025</v>
      </c>
      <c r="E789" s="78" t="inlineStr">
        <is>
          <t>Housing</t>
        </is>
      </c>
      <c r="F789" s="78" t="inlineStr">
        <is>
          <t>Plot / unit price</t>
        </is>
      </c>
      <c r="G789" s="78" t="inlineStr">
        <is>
          <t>Pacific Apartment</t>
        </is>
      </c>
      <c r="H789" s="78" t="inlineStr">
        <is>
          <t>BP-C0202</t>
        </is>
      </c>
      <c r="I789" s="78" t="inlineStr">
        <is>
          <t>Miss Yesher Yakubu &amp; Miss Hadassah Yakubu</t>
        </is>
      </c>
      <c r="J789" s="80" t="n">
        <v>5000000</v>
      </c>
      <c r="K789" s="78" t="n"/>
      <c r="L789" s="78" t="inlineStr">
        <is>
          <t>Secondary: commission records; no monthly turnover register for this period</t>
        </is>
      </c>
      <c r="M789" s="78" t="inlineStr">
        <is>
          <t>BAAY PROJECTS SALES EXPENSES (COMMISSION) RECORDS (1)</t>
        </is>
      </c>
      <c r="N789" s="78" t="inlineStr">
        <is>
          <t>MS MOFFAT</t>
        </is>
      </c>
      <c r="O789" s="78" t="n">
        <v>62</v>
      </c>
      <c r="P789" s="78" t="inlineStr">
        <is>
          <t>2025-09-08</t>
        </is>
      </c>
      <c r="Q789" s="78" t="n"/>
      <c r="R789" s="78" t="inlineStr">
        <is>
          <t>Commission-record amount: confirm to bank statement (records can aggregate several transfers)</t>
        </is>
      </c>
    </row>
    <row r="790" ht="25" customHeight="1">
      <c r="A790" s="75" t="inlineStr">
        <is>
          <t>SL0767</t>
        </is>
      </c>
      <c r="B790" s="76" t="n">
        <v>45879</v>
      </c>
      <c r="C790" s="75" t="inlineStr">
        <is>
          <t>2025-08</t>
        </is>
      </c>
      <c r="D790" s="75" t="n">
        <v>2025</v>
      </c>
      <c r="E790" s="75" t="inlineStr">
        <is>
          <t>Housing</t>
        </is>
      </c>
      <c r="F790" s="75" t="inlineStr">
        <is>
          <t>Plot / unit price</t>
        </is>
      </c>
      <c r="G790" s="75" t="inlineStr">
        <is>
          <t>Pacific Apartment</t>
        </is>
      </c>
      <c r="H790" s="75" t="inlineStr">
        <is>
          <t>BP-C0202</t>
        </is>
      </c>
      <c r="I790" s="75" t="inlineStr">
        <is>
          <t>Miss Yesher Yakubu &amp; Miss Hadassah Yakubu</t>
        </is>
      </c>
      <c r="J790" s="77" t="n">
        <v>5000000</v>
      </c>
      <c r="K790" s="75" t="n"/>
      <c r="L790" s="75" t="inlineStr">
        <is>
          <t>Secondary: commission records; no monthly turnover register for this period</t>
        </is>
      </c>
      <c r="M790" s="75" t="inlineStr">
        <is>
          <t>BAAY PROJECTS SALES EXPENSES (COMMISSION) RECORDS (1)</t>
        </is>
      </c>
      <c r="N790" s="75" t="inlineStr">
        <is>
          <t>MS MOFFAT</t>
        </is>
      </c>
      <c r="O790" s="75" t="n">
        <v>63</v>
      </c>
      <c r="P790" s="75" t="inlineStr">
        <is>
          <t>2025-10-08</t>
        </is>
      </c>
      <c r="Q790" s="75" t="n"/>
      <c r="R790" s="75" t="inlineStr">
        <is>
          <t>Commission-record amount: confirm to bank statement (records can aggregate several transfers)</t>
        </is>
      </c>
    </row>
    <row r="791" ht="25" customHeight="1">
      <c r="A791" s="78" t="inlineStr">
        <is>
          <t>SL0768</t>
        </is>
      </c>
      <c r="B791" s="79" t="n">
        <v>45880</v>
      </c>
      <c r="C791" s="78" t="inlineStr">
        <is>
          <t>2025-08</t>
        </is>
      </c>
      <c r="D791" s="78" t="n">
        <v>2025</v>
      </c>
      <c r="E791" s="78" t="inlineStr">
        <is>
          <t>Land</t>
        </is>
      </c>
      <c r="F791" s="78" t="inlineStr">
        <is>
          <t>Plot / unit price</t>
        </is>
      </c>
      <c r="G791" s="78" t="inlineStr">
        <is>
          <t>Land (estate not stated in source)</t>
        </is>
      </c>
      <c r="H791" s="78" t="inlineStr">
        <is>
          <t>BP-C0124</t>
        </is>
      </c>
      <c r="I791" s="78" t="inlineStr">
        <is>
          <t>Miss Thomas Oluwabukola Comfort</t>
        </is>
      </c>
      <c r="J791" s="80" t="n">
        <v>2000000</v>
      </c>
      <c r="K791" s="78" t="n"/>
      <c r="L791" s="78" t="inlineStr">
        <is>
          <t>Secondary: commission records; no monthly turnover register for this period</t>
        </is>
      </c>
      <c r="M791" s="78" t="inlineStr">
        <is>
          <t>BAAY PROJECTS SALES EXPENSES (COMMISSION) RECORDS (1)</t>
        </is>
      </c>
      <c r="N791" s="78" t="inlineStr">
        <is>
          <t>MR PELUMI</t>
        </is>
      </c>
      <c r="O791" s="78" t="n">
        <v>27</v>
      </c>
      <c r="P791" s="78" t="inlineStr">
        <is>
          <t>2025-11-08</t>
        </is>
      </c>
      <c r="Q791" s="78" t="n"/>
      <c r="R791" s="78" t="inlineStr">
        <is>
          <t>Commission-record amount: confirm to bank statement (records can aggregate several transfers)</t>
        </is>
      </c>
    </row>
    <row r="792" ht="25" customHeight="1">
      <c r="A792" s="75" t="inlineStr">
        <is>
          <t>SL0769</t>
        </is>
      </c>
      <c r="B792" s="76" t="n">
        <v>45880</v>
      </c>
      <c r="C792" s="75" t="inlineStr">
        <is>
          <t>2025-08</t>
        </is>
      </c>
      <c r="D792" s="75" t="n">
        <v>2025</v>
      </c>
      <c r="E792" s="75" t="inlineStr">
        <is>
          <t>Housing</t>
        </is>
      </c>
      <c r="F792" s="75" t="inlineStr">
        <is>
          <t>Plot / unit price</t>
        </is>
      </c>
      <c r="G792" s="75" t="inlineStr">
        <is>
          <t>Pacific Apartment</t>
        </is>
      </c>
      <c r="H792" s="75" t="inlineStr">
        <is>
          <t>BP-C0202</t>
        </is>
      </c>
      <c r="I792" s="75" t="inlineStr">
        <is>
          <t>Miss Yesher Yakubu &amp; Miss Hadassah Yakubu</t>
        </is>
      </c>
      <c r="J792" s="77" t="n">
        <v>5000000</v>
      </c>
      <c r="K792" s="75" t="n"/>
      <c r="L792" s="75" t="inlineStr">
        <is>
          <t>Secondary: commission records; no monthly turnover register for this period</t>
        </is>
      </c>
      <c r="M792" s="75" t="inlineStr">
        <is>
          <t>BAAY PROJECTS SALES EXPENSES (COMMISSION) RECORDS (1)</t>
        </is>
      </c>
      <c r="N792" s="75" t="inlineStr">
        <is>
          <t>MS MOFFAT</t>
        </is>
      </c>
      <c r="O792" s="75" t="n">
        <v>64</v>
      </c>
      <c r="P792" s="75" t="inlineStr">
        <is>
          <t>2025-11-08</t>
        </is>
      </c>
      <c r="Q792" s="75" t="n"/>
      <c r="R792" s="75" t="inlineStr">
        <is>
          <t>Commission-record amount: confirm to bank statement (records can aggregate several transfers)</t>
        </is>
      </c>
    </row>
    <row r="793" ht="25" customHeight="1">
      <c r="A793" s="78" t="inlineStr">
        <is>
          <t>SL0770</t>
        </is>
      </c>
      <c r="B793" s="79" t="n">
        <v>45881</v>
      </c>
      <c r="C793" s="78" t="inlineStr">
        <is>
          <t>2025-08</t>
        </is>
      </c>
      <c r="D793" s="78" t="n">
        <v>2025</v>
      </c>
      <c r="E793" s="78" t="inlineStr">
        <is>
          <t>Housing</t>
        </is>
      </c>
      <c r="F793" s="78" t="inlineStr">
        <is>
          <t>Plot / unit price</t>
        </is>
      </c>
      <c r="G793" s="78" t="inlineStr">
        <is>
          <t>Pacific Apartment</t>
        </is>
      </c>
      <c r="H793" s="78" t="inlineStr">
        <is>
          <t>BP-C0202</t>
        </is>
      </c>
      <c r="I793" s="78" t="inlineStr">
        <is>
          <t>Miss Yesher Yakubu &amp; Miss Hadassah Yakubu</t>
        </is>
      </c>
      <c r="J793" s="80" t="n">
        <v>5000000</v>
      </c>
      <c r="K793" s="78" t="n"/>
      <c r="L793" s="78" t="inlineStr">
        <is>
          <t>Secondary: commission records; no monthly turnover register for this period</t>
        </is>
      </c>
      <c r="M793" s="78" t="inlineStr">
        <is>
          <t>BAAY PROJECTS SALES EXPENSES (COMMISSION) RECORDS (1)</t>
        </is>
      </c>
      <c r="N793" s="78" t="inlineStr">
        <is>
          <t>MS MOFFAT</t>
        </is>
      </c>
      <c r="O793" s="78" t="n">
        <v>65</v>
      </c>
      <c r="P793" s="78" t="inlineStr">
        <is>
          <t>2025-12-08</t>
        </is>
      </c>
      <c r="Q793" s="78" t="n"/>
      <c r="R793" s="78" t="inlineStr">
        <is>
          <t>Commission-record amount: confirm to bank statement (records can aggregate several transfers)</t>
        </is>
      </c>
    </row>
    <row r="794" ht="25" customHeight="1">
      <c r="A794" s="75" t="inlineStr">
        <is>
          <t>SL0771</t>
        </is>
      </c>
      <c r="B794" s="76" t="n">
        <v>45882</v>
      </c>
      <c r="C794" s="75" t="inlineStr">
        <is>
          <t>2025-08</t>
        </is>
      </c>
      <c r="D794" s="75" t="n">
        <v>2025</v>
      </c>
      <c r="E794" s="75" t="inlineStr">
        <is>
          <t>Housing</t>
        </is>
      </c>
      <c r="F794" s="75" t="inlineStr">
        <is>
          <t>Plot / unit price</t>
        </is>
      </c>
      <c r="G794" s="75" t="inlineStr">
        <is>
          <t>Pacific Apartment</t>
        </is>
      </c>
      <c r="H794" s="75" t="inlineStr">
        <is>
          <t>BP-C0202</t>
        </is>
      </c>
      <c r="I794" s="75" t="inlineStr">
        <is>
          <t>Miss Yesher Yakubu &amp; Miss Hadassah Yakubu</t>
        </is>
      </c>
      <c r="J794" s="77" t="n">
        <v>900000</v>
      </c>
      <c r="K794" s="75" t="n"/>
      <c r="L794" s="75" t="inlineStr">
        <is>
          <t>Secondary: commission records; no monthly turnover register for this period</t>
        </is>
      </c>
      <c r="M794" s="75" t="inlineStr">
        <is>
          <t>BAAY PROJECTS SALES EXPENSES (COMMISSION) RECORDS (1)</t>
        </is>
      </c>
      <c r="N794" s="75" t="inlineStr">
        <is>
          <t>MS MOFFAT</t>
        </is>
      </c>
      <c r="O794" s="75" t="n">
        <v>69</v>
      </c>
      <c r="P794" s="75" t="inlineStr">
        <is>
          <t>13/08/2025</t>
        </is>
      </c>
      <c r="Q794" s="75" t="n"/>
      <c r="R794" s="75" t="inlineStr">
        <is>
          <t>Commission-record amount: confirm to bank statement (records can aggregate several transfers)</t>
        </is>
      </c>
    </row>
    <row r="795" ht="25" customHeight="1">
      <c r="A795" s="78" t="inlineStr">
        <is>
          <t>SL0772</t>
        </is>
      </c>
      <c r="B795" s="79" t="n">
        <v>45883</v>
      </c>
      <c r="C795" s="78" t="inlineStr">
        <is>
          <t>2025-08</t>
        </is>
      </c>
      <c r="D795" s="78" t="n">
        <v>2025</v>
      </c>
      <c r="E795" s="78" t="inlineStr">
        <is>
          <t>Land</t>
        </is>
      </c>
      <c r="F795" s="78" t="inlineStr">
        <is>
          <t>Plot / unit price</t>
        </is>
      </c>
      <c r="G795" s="78" t="inlineStr">
        <is>
          <t>Land (estate not stated in source)</t>
        </is>
      </c>
      <c r="H795" s="78" t="inlineStr">
        <is>
          <t>BP-C0195</t>
        </is>
      </c>
      <c r="I795" s="78" t="inlineStr">
        <is>
          <t>Mr Haruna Adekunle Waheed</t>
        </is>
      </c>
      <c r="J795" s="80" t="n">
        <v>1250000</v>
      </c>
      <c r="K795" s="78" t="n"/>
      <c r="L795" s="78" t="inlineStr">
        <is>
          <t>Secondary: commission records; no monthly turnover register for this period</t>
        </is>
      </c>
      <c r="M795" s="78" t="inlineStr">
        <is>
          <t>BAAY PROJECTS SALES EXPENSES (COMMISSION) RECORDS (1)</t>
        </is>
      </c>
      <c r="N795" s="78" t="inlineStr">
        <is>
          <t>MRS ABIMBOLA</t>
        </is>
      </c>
      <c r="O795" s="78" t="n">
        <v>230</v>
      </c>
      <c r="P795" s="78" t="inlineStr">
        <is>
          <t>14/08/2025</t>
        </is>
      </c>
      <c r="Q795" s="78" t="n"/>
      <c r="R795" s="78" t="inlineStr">
        <is>
          <t>Commission-record amount: confirm to bank statement (records can aggregate several transfers)</t>
        </is>
      </c>
    </row>
    <row r="796" ht="25" customHeight="1">
      <c r="A796" s="75" t="inlineStr">
        <is>
          <t>SL0773</t>
        </is>
      </c>
      <c r="B796" s="76" t="n">
        <v>45884</v>
      </c>
      <c r="C796" s="75" t="inlineStr">
        <is>
          <t>2025-08</t>
        </is>
      </c>
      <c r="D796" s="75" t="n">
        <v>2025</v>
      </c>
      <c r="E796" s="75" t="inlineStr">
        <is>
          <t>Housing</t>
        </is>
      </c>
      <c r="F796" s="75" t="inlineStr">
        <is>
          <t>Plot / unit price</t>
        </is>
      </c>
      <c r="G796" s="75" t="inlineStr">
        <is>
          <t>Housing unit (project not stated in source)</t>
        </is>
      </c>
      <c r="H796" s="75" t="inlineStr">
        <is>
          <t>BP-C0133</t>
        </is>
      </c>
      <c r="I796" s="75" t="inlineStr">
        <is>
          <t>Mr Olagbende Oluwashina Oluwaseun</t>
        </is>
      </c>
      <c r="J796" s="77" t="n">
        <v>3400000</v>
      </c>
      <c r="K796" s="75" t="n"/>
      <c r="L796" s="75" t="inlineStr">
        <is>
          <t>Secondary: commission records; no monthly turnover register for this period</t>
        </is>
      </c>
      <c r="M796" s="75" t="inlineStr">
        <is>
          <t>BAAY PROJECTS SALES EXPENSES (COMMISSION) RECORDS (1)</t>
        </is>
      </c>
      <c r="N796" s="75" t="inlineStr">
        <is>
          <t>MS AWONORIN MAYOWA</t>
        </is>
      </c>
      <c r="O796" s="75" t="n">
        <v>89</v>
      </c>
      <c r="P796" s="75" t="inlineStr">
        <is>
          <t>15/08/2025</t>
        </is>
      </c>
      <c r="Q796" s="75" t="n"/>
      <c r="R796" s="75" t="inlineStr">
        <is>
          <t>Commission-record amount: confirm to bank statement (records can aggregate several transfers)</t>
        </is>
      </c>
    </row>
    <row r="797" ht="25" customHeight="1">
      <c r="A797" s="78" t="inlineStr">
        <is>
          <t>SL0774</t>
        </is>
      </c>
      <c r="B797" s="79" t="n">
        <v>45888</v>
      </c>
      <c r="C797" s="78" t="inlineStr">
        <is>
          <t>2025-08</t>
        </is>
      </c>
      <c r="D797" s="78" t="n">
        <v>2025</v>
      </c>
      <c r="E797" s="78" t="inlineStr">
        <is>
          <t>Housing</t>
        </is>
      </c>
      <c r="F797" s="78" t="inlineStr">
        <is>
          <t>Plot / unit price</t>
        </is>
      </c>
      <c r="G797" s="78" t="inlineStr">
        <is>
          <t>Baay Foreshore</t>
        </is>
      </c>
      <c r="H797" s="78" t="inlineStr">
        <is>
          <t>BP-C0205</t>
        </is>
      </c>
      <c r="I797" s="78" t="inlineStr">
        <is>
          <t>Landnest Homes (Mrs Lukoh)</t>
        </is>
      </c>
      <c r="J797" s="80" t="n">
        <v>5000000</v>
      </c>
      <c r="K797" s="78" t="n"/>
      <c r="L797" s="78" t="inlineStr">
        <is>
          <t>Secondary: commission records; no monthly turnover register for this period</t>
        </is>
      </c>
      <c r="M797" s="78" t="inlineStr">
        <is>
          <t>BAAY PROJECTS SALES EXPENSES (COMMISSION) RECORDS (1)</t>
        </is>
      </c>
      <c r="N797" s="78" t="inlineStr">
        <is>
          <t>LANDNEST HOMES</t>
        </is>
      </c>
      <c r="O797" s="78" t="n">
        <v>9</v>
      </c>
      <c r="P797" s="78" t="inlineStr">
        <is>
          <t>19/08/2025</t>
        </is>
      </c>
      <c r="Q797" s="78" t="n"/>
      <c r="R797" s="78" t="inlineStr">
        <is>
          <t>Commission-record amount: confirm to bank statement (records can aggregate several transfers)</t>
        </is>
      </c>
    </row>
    <row r="798" ht="25" customHeight="1">
      <c r="A798" s="75" t="inlineStr">
        <is>
          <t>SL0775</t>
        </is>
      </c>
      <c r="B798" s="76" t="n">
        <v>45888</v>
      </c>
      <c r="C798" s="75" t="inlineStr">
        <is>
          <t>2025-08</t>
        </is>
      </c>
      <c r="D798" s="75" t="n">
        <v>2025</v>
      </c>
      <c r="E798" s="75" t="inlineStr">
        <is>
          <t>Housing</t>
        </is>
      </c>
      <c r="F798" s="75" t="inlineStr">
        <is>
          <t>Plot / unit price</t>
        </is>
      </c>
      <c r="G798" s="75" t="inlineStr">
        <is>
          <t>Housing unit (project not stated in source)</t>
        </is>
      </c>
      <c r="H798" s="75" t="inlineStr">
        <is>
          <t>BP-C0133</t>
        </is>
      </c>
      <c r="I798" s="75" t="inlineStr">
        <is>
          <t>Mr Olagbende Oluwashina Oluwaseun</t>
        </is>
      </c>
      <c r="J798" s="77" t="n">
        <v>2400000</v>
      </c>
      <c r="K798" s="75" t="n"/>
      <c r="L798" s="75" t="inlineStr">
        <is>
          <t>Secondary: commission records; no monthly turnover register for this period</t>
        </is>
      </c>
      <c r="M798" s="75" t="inlineStr">
        <is>
          <t>BAAY PROJECTS SALES EXPENSES (COMMISSION) RECORDS (1)</t>
        </is>
      </c>
      <c r="N798" s="75" t="inlineStr">
        <is>
          <t>MS AWONORIN MAYOWA</t>
        </is>
      </c>
      <c r="O798" s="75" t="n">
        <v>90</v>
      </c>
      <c r="P798" s="75" t="inlineStr">
        <is>
          <t>19/08/2025</t>
        </is>
      </c>
      <c r="Q798" s="75" t="n"/>
      <c r="R798" s="75" t="inlineStr">
        <is>
          <t>Commission-record amount: confirm to bank statement (records can aggregate several transfers)</t>
        </is>
      </c>
    </row>
    <row r="799" ht="25" customHeight="1">
      <c r="A799" s="78" t="inlineStr">
        <is>
          <t>SL0776</t>
        </is>
      </c>
      <c r="B799" s="79" t="n">
        <v>45889</v>
      </c>
      <c r="C799" s="78" t="inlineStr">
        <is>
          <t>2025-08</t>
        </is>
      </c>
      <c r="D799" s="78" t="n">
        <v>2025</v>
      </c>
      <c r="E799" s="78" t="inlineStr">
        <is>
          <t>Housing</t>
        </is>
      </c>
      <c r="F799" s="78" t="inlineStr">
        <is>
          <t>Plot / unit price</t>
        </is>
      </c>
      <c r="G799" s="78" t="inlineStr">
        <is>
          <t>Housing unit (project not stated in source)</t>
        </is>
      </c>
      <c r="H799" s="78" t="inlineStr">
        <is>
          <t>BP-C0133</t>
        </is>
      </c>
      <c r="I799" s="78" t="inlineStr">
        <is>
          <t>Mr Olagbende Oluwashina Oluwaseun</t>
        </is>
      </c>
      <c r="J799" s="80" t="n">
        <v>100000</v>
      </c>
      <c r="K799" s="78" t="n"/>
      <c r="L799" s="78" t="inlineStr">
        <is>
          <t>Secondary: commission records; no monthly turnover register for this period</t>
        </is>
      </c>
      <c r="M799" s="78" t="inlineStr">
        <is>
          <t>BAAY PROJECTS SALES EXPENSES (COMMISSION) RECORDS (1)</t>
        </is>
      </c>
      <c r="N799" s="78" t="inlineStr">
        <is>
          <t>MS AWONORIN MAYOWA</t>
        </is>
      </c>
      <c r="O799" s="78" t="n">
        <v>91</v>
      </c>
      <c r="P799" s="78" t="inlineStr">
        <is>
          <t>20/08/2025</t>
        </is>
      </c>
      <c r="Q799" s="78" t="n"/>
      <c r="R799" s="78" t="inlineStr">
        <is>
          <t>Commission-record amount: confirm to bank statement (records can aggregate several transfers)</t>
        </is>
      </c>
    </row>
    <row r="800" ht="25" customHeight="1">
      <c r="A800" s="75" t="inlineStr">
        <is>
          <t>SL0777</t>
        </is>
      </c>
      <c r="B800" s="76" t="n">
        <v>45892</v>
      </c>
      <c r="C800" s="75" t="inlineStr">
        <is>
          <t>2025-08</t>
        </is>
      </c>
      <c r="D800" s="75" t="n">
        <v>2025</v>
      </c>
      <c r="E800" s="75" t="inlineStr">
        <is>
          <t>Housing</t>
        </is>
      </c>
      <c r="F800" s="75" t="inlineStr">
        <is>
          <t>Plot / unit price</t>
        </is>
      </c>
      <c r="G800" s="75" t="inlineStr">
        <is>
          <t>Baay Foreshore</t>
        </is>
      </c>
      <c r="H800" s="75" t="inlineStr">
        <is>
          <t>BP-C0213</t>
        </is>
      </c>
      <c r="I800" s="75" t="inlineStr">
        <is>
          <t>Mr Adelani Ibrahim Akinkunmi</t>
        </is>
      </c>
      <c r="J800" s="77" t="n">
        <v>5000000</v>
      </c>
      <c r="K800" s="75" t="n"/>
      <c r="L800" s="75" t="inlineStr">
        <is>
          <t>Secondary: commission records; no monthly turnover register for this period</t>
        </is>
      </c>
      <c r="M800" s="75" t="inlineStr">
        <is>
          <t>BAAY PROJECTS SALES EXPENSES (COMMISSION) RECORDS (1)</t>
        </is>
      </c>
      <c r="N800" s="75" t="inlineStr">
        <is>
          <t>MS BOLANLE</t>
        </is>
      </c>
      <c r="O800" s="75" t="n">
        <v>167</v>
      </c>
      <c r="P800" s="75" t="inlineStr">
        <is>
          <t>23/08/2025</t>
        </is>
      </c>
      <c r="Q800" s="75" t="n"/>
      <c r="R800" s="75" t="inlineStr">
        <is>
          <t>Commission-record amount: confirm to bank statement (records can aggregate several transfers)</t>
        </is>
      </c>
    </row>
    <row r="801" ht="25" customHeight="1">
      <c r="A801" s="78" t="inlineStr">
        <is>
          <t>SL0778</t>
        </is>
      </c>
      <c r="B801" s="79" t="n">
        <v>45892</v>
      </c>
      <c r="C801" s="78" t="inlineStr">
        <is>
          <t>2025-08</t>
        </is>
      </c>
      <c r="D801" s="78" t="n">
        <v>2025</v>
      </c>
      <c r="E801" s="78" t="inlineStr">
        <is>
          <t>Housing</t>
        </is>
      </c>
      <c r="F801" s="78" t="inlineStr">
        <is>
          <t>Plot / unit price</t>
        </is>
      </c>
      <c r="G801" s="78" t="inlineStr">
        <is>
          <t>Baay Foreshore</t>
        </is>
      </c>
      <c r="H801" s="78" t="inlineStr">
        <is>
          <t>BP-C0214</t>
        </is>
      </c>
      <c r="I801" s="78" t="inlineStr">
        <is>
          <t>Mrs Taiwo Adeyinka</t>
        </is>
      </c>
      <c r="J801" s="80" t="n">
        <v>5000000</v>
      </c>
      <c r="K801" s="78" t="n"/>
      <c r="L801" s="78" t="inlineStr">
        <is>
          <t>Secondary: commission records; no monthly turnover register for this period</t>
        </is>
      </c>
      <c r="M801" s="78" t="inlineStr">
        <is>
          <t>BAAY PROJECTS SALES EXPENSES (COMMISSION) RECORDS (1)</t>
        </is>
      </c>
      <c r="N801" s="78" t="inlineStr">
        <is>
          <t>MS BOLANLE</t>
        </is>
      </c>
      <c r="O801" s="78" t="n">
        <v>169</v>
      </c>
      <c r="P801" s="78" t="inlineStr">
        <is>
          <t>23/08/2025</t>
        </is>
      </c>
      <c r="Q801" s="78" t="n"/>
      <c r="R801" s="78" t="inlineStr">
        <is>
          <t>Commission-record amount: confirm to bank statement (records can aggregate several transfers)</t>
        </is>
      </c>
    </row>
    <row r="802" ht="25" customHeight="1">
      <c r="A802" s="75" t="inlineStr">
        <is>
          <t>SL0779</t>
        </is>
      </c>
      <c r="B802" s="76" t="n">
        <v>45895</v>
      </c>
      <c r="C802" s="75" t="inlineStr">
        <is>
          <t>2025-08</t>
        </is>
      </c>
      <c r="D802" s="75" t="n">
        <v>2025</v>
      </c>
      <c r="E802" s="75" t="inlineStr">
        <is>
          <t>Housing</t>
        </is>
      </c>
      <c r="F802" s="75" t="inlineStr">
        <is>
          <t>Plot / unit price</t>
        </is>
      </c>
      <c r="G802" s="75" t="inlineStr">
        <is>
          <t>Pacific Apartment</t>
        </is>
      </c>
      <c r="H802" s="75" t="inlineStr">
        <is>
          <t>BP-C0203</t>
        </is>
      </c>
      <c r="I802" s="75" t="inlineStr">
        <is>
          <t>Mr Ogbomah Ebi Wilfred</t>
        </is>
      </c>
      <c r="J802" s="77" t="n">
        <v>30000000</v>
      </c>
      <c r="K802" s="75" t="n"/>
      <c r="L802" s="75" t="inlineStr">
        <is>
          <t>Secondary: commission records; no monthly turnover register for this period</t>
        </is>
      </c>
      <c r="M802" s="75" t="inlineStr">
        <is>
          <t>BAAY PROJECTS SALES EXPENSES (COMMISSION) RECORDS (1)</t>
        </is>
      </c>
      <c r="N802" s="75" t="inlineStr">
        <is>
          <t>MS MOFFAT</t>
        </is>
      </c>
      <c r="O802" s="75" t="n">
        <v>50</v>
      </c>
      <c r="P802" s="75" t="inlineStr">
        <is>
          <t>26/08/2025</t>
        </is>
      </c>
      <c r="Q802" s="75" t="n"/>
      <c r="R802" s="75" t="inlineStr">
        <is>
          <t>Commission-record amount: confirm to bank statement (records can aggregate several transfers)</t>
        </is>
      </c>
    </row>
    <row r="803" ht="25" customHeight="1">
      <c r="A803" s="78" t="inlineStr">
        <is>
          <t>SL0780</t>
        </is>
      </c>
      <c r="B803" s="79" t="n">
        <v>45895</v>
      </c>
      <c r="C803" s="78" t="inlineStr">
        <is>
          <t>2025-08</t>
        </is>
      </c>
      <c r="D803" s="78" t="n">
        <v>2025</v>
      </c>
      <c r="E803" s="78" t="inlineStr">
        <is>
          <t>Housing</t>
        </is>
      </c>
      <c r="F803" s="78" t="inlineStr">
        <is>
          <t>Plot / unit price</t>
        </is>
      </c>
      <c r="G803" s="78" t="inlineStr">
        <is>
          <t>Baay Foreshore</t>
        </is>
      </c>
      <c r="H803" s="78" t="inlineStr">
        <is>
          <t>BP-C0214</t>
        </is>
      </c>
      <c r="I803" s="78" t="inlineStr">
        <is>
          <t>Mrs Taiwo Adeyinka</t>
        </is>
      </c>
      <c r="J803" s="80" t="n">
        <v>2500000</v>
      </c>
      <c r="K803" s="78" t="n"/>
      <c r="L803" s="78" t="inlineStr">
        <is>
          <t>Secondary: commission records; no monthly turnover register for this period</t>
        </is>
      </c>
      <c r="M803" s="78" t="inlineStr">
        <is>
          <t>BAAY PROJECTS SALES EXPENSES (COMMISSION) RECORDS (1)</t>
        </is>
      </c>
      <c r="N803" s="78" t="inlineStr">
        <is>
          <t>MS BOLANLE</t>
        </is>
      </c>
      <c r="O803" s="78" t="n">
        <v>170</v>
      </c>
      <c r="P803" s="78" t="inlineStr">
        <is>
          <t>26/08/2025</t>
        </is>
      </c>
      <c r="Q803" s="78" t="n"/>
      <c r="R803" s="78" t="inlineStr">
        <is>
          <t>Commission-record amount: confirm to bank statement (records can aggregate several transfers)</t>
        </is>
      </c>
    </row>
    <row r="804" ht="25" customHeight="1">
      <c r="A804" s="75" t="inlineStr">
        <is>
          <t>SL0781</t>
        </is>
      </c>
      <c r="B804" s="76" t="n">
        <v>45897</v>
      </c>
      <c r="C804" s="75" t="inlineStr">
        <is>
          <t>2025-08</t>
        </is>
      </c>
      <c r="D804" s="75" t="n">
        <v>2025</v>
      </c>
      <c r="E804" s="75" t="inlineStr">
        <is>
          <t>Housing</t>
        </is>
      </c>
      <c r="F804" s="75" t="inlineStr">
        <is>
          <t>Plot / unit price</t>
        </is>
      </c>
      <c r="G804" s="75" t="inlineStr">
        <is>
          <t>Pacific Apartment</t>
        </is>
      </c>
      <c r="H804" s="75" t="inlineStr">
        <is>
          <t>BP-C0186</t>
        </is>
      </c>
      <c r="I804" s="75" t="inlineStr">
        <is>
          <t>Salem real Estate (Mrs Omoko Onora Helen)</t>
        </is>
      </c>
      <c r="J804" s="77" t="n">
        <v>4750000</v>
      </c>
      <c r="K804" s="75" t="n"/>
      <c r="L804" s="75" t="inlineStr">
        <is>
          <t>Secondary: commission records; no monthly turnover register for this period</t>
        </is>
      </c>
      <c r="M804" s="75" t="inlineStr">
        <is>
          <t>BAAY PROJECTS SALES EXPENSES (COMMISSION) RECORDS (1)</t>
        </is>
      </c>
      <c r="N804" s="75" t="inlineStr">
        <is>
          <t>MR CHARLES</t>
        </is>
      </c>
      <c r="O804" s="75" t="n">
        <v>114</v>
      </c>
      <c r="P804" s="75" t="inlineStr">
        <is>
          <t>28/08/2025</t>
        </is>
      </c>
      <c r="Q804" s="75" t="inlineStr">
        <is>
          <t>SALEM REAL ESTATE r45</t>
        </is>
      </c>
      <c r="R804" s="75" t="inlineStr">
        <is>
          <t>Commission-record amount: confirm to bank statement (records can aggregate several transfers)</t>
        </is>
      </c>
    </row>
    <row r="805" ht="25" customHeight="1">
      <c r="A805" s="78" t="inlineStr">
        <is>
          <t>SL0782</t>
        </is>
      </c>
      <c r="B805" s="79" t="n">
        <v>45898</v>
      </c>
      <c r="C805" s="78" t="inlineStr">
        <is>
          <t>2025-08</t>
        </is>
      </c>
      <c r="D805" s="78" t="n">
        <v>2025</v>
      </c>
      <c r="E805" s="78" t="inlineStr">
        <is>
          <t>Housing</t>
        </is>
      </c>
      <c r="F805" s="78" t="inlineStr">
        <is>
          <t>Plot / unit price</t>
        </is>
      </c>
      <c r="G805" s="78" t="inlineStr">
        <is>
          <t>Baay Foreshore</t>
        </is>
      </c>
      <c r="H805" s="78" t="inlineStr">
        <is>
          <t>BP-C0055</t>
        </is>
      </c>
      <c r="I805" s="78" t="inlineStr">
        <is>
          <t>Mr Adeniji Oluwatosin Ademola</t>
        </is>
      </c>
      <c r="J805" s="80" t="n">
        <v>5000000</v>
      </c>
      <c r="K805" s="78" t="n"/>
      <c r="L805" s="78" t="inlineStr">
        <is>
          <t>Secondary: commission records; no monthly turnover register for this period</t>
        </is>
      </c>
      <c r="M805" s="78" t="inlineStr">
        <is>
          <t>BAAY PROJECTS SALES EXPENSES (COMMISSION) RECORDS (1)</t>
        </is>
      </c>
      <c r="N805" s="78" t="inlineStr">
        <is>
          <t>MS BOLANLE</t>
        </is>
      </c>
      <c r="O805" s="78" t="n">
        <v>155</v>
      </c>
      <c r="P805" s="78" t="inlineStr">
        <is>
          <t>29/08/2025</t>
        </is>
      </c>
      <c r="Q805" s="78" t="n"/>
      <c r="R805" s="78" t="inlineStr">
        <is>
          <t>Commission-record amount: confirm to bank statement (records can aggregate several transfers)</t>
        </is>
      </c>
    </row>
    <row r="806" ht="25" customHeight="1">
      <c r="A806" s="75" t="inlineStr">
        <is>
          <t>SL0783</t>
        </is>
      </c>
      <c r="B806" s="76" t="n">
        <v>45898</v>
      </c>
      <c r="C806" s="75" t="inlineStr">
        <is>
          <t>2025-08</t>
        </is>
      </c>
      <c r="D806" s="75" t="n">
        <v>2025</v>
      </c>
      <c r="E806" s="75" t="inlineStr">
        <is>
          <t>Housing</t>
        </is>
      </c>
      <c r="F806" s="75" t="inlineStr">
        <is>
          <t>Plot / unit price</t>
        </is>
      </c>
      <c r="G806" s="75" t="inlineStr">
        <is>
          <t>Baay Foreshore</t>
        </is>
      </c>
      <c r="H806" s="75" t="inlineStr">
        <is>
          <t>BP-C0055</t>
        </is>
      </c>
      <c r="I806" s="75" t="inlineStr">
        <is>
          <t>Mr Adeniji Oluwatosin Ademola</t>
        </is>
      </c>
      <c r="J806" s="77" t="n">
        <v>2500000</v>
      </c>
      <c r="K806" s="75" t="n"/>
      <c r="L806" s="75" t="inlineStr">
        <is>
          <t>Secondary: commission records; no monthly turnover register for this period</t>
        </is>
      </c>
      <c r="M806" s="75" t="inlineStr">
        <is>
          <t>BAAY PROJECTS SALES EXPENSES (COMMISSION) RECORDS (1)</t>
        </is>
      </c>
      <c r="N806" s="75" t="inlineStr">
        <is>
          <t>MS BOLANLE</t>
        </is>
      </c>
      <c r="O806" s="75" t="n">
        <v>179</v>
      </c>
      <c r="P806" s="75" t="inlineStr">
        <is>
          <t>29/08/2025</t>
        </is>
      </c>
      <c r="Q806" s="75" t="n"/>
      <c r="R806" s="75" t="inlineStr">
        <is>
          <t>Commission-record amount: confirm to bank statement (records can aggregate several transfers)</t>
        </is>
      </c>
    </row>
    <row r="807" ht="25" customHeight="1">
      <c r="A807" s="78" t="inlineStr">
        <is>
          <t>SL0784</t>
        </is>
      </c>
      <c r="B807" s="79" t="n">
        <v>45898</v>
      </c>
      <c r="C807" s="78" t="inlineStr">
        <is>
          <t>2025-08</t>
        </is>
      </c>
      <c r="D807" s="78" t="n">
        <v>2025</v>
      </c>
      <c r="E807" s="78" t="inlineStr">
        <is>
          <t>Housing</t>
        </is>
      </c>
      <c r="F807" s="78" t="inlineStr">
        <is>
          <t>Plot / unit price</t>
        </is>
      </c>
      <c r="G807" s="78" t="inlineStr">
        <is>
          <t>Pacific Apartment</t>
        </is>
      </c>
      <c r="H807" s="78" t="inlineStr">
        <is>
          <t>BP-C0203</t>
        </is>
      </c>
      <c r="I807" s="78" t="inlineStr">
        <is>
          <t>Mr Ogbomah Ebi Wilfred</t>
        </is>
      </c>
      <c r="J807" s="80" t="n">
        <v>30000000</v>
      </c>
      <c r="K807" s="78" t="n"/>
      <c r="L807" s="78" t="inlineStr">
        <is>
          <t>Secondary: commission records; no monthly turnover register for this period</t>
        </is>
      </c>
      <c r="M807" s="78" t="inlineStr">
        <is>
          <t>BAAY PROJECTS SALES EXPENSES (COMMISSION) RECORDS (1)</t>
        </is>
      </c>
      <c r="N807" s="78" t="inlineStr">
        <is>
          <t>MS MOFFAT</t>
        </is>
      </c>
      <c r="O807" s="78" t="n">
        <v>51</v>
      </c>
      <c r="P807" s="78" t="inlineStr">
        <is>
          <t>29/08/2025</t>
        </is>
      </c>
      <c r="Q807" s="78" t="n"/>
      <c r="R807" s="78" t="inlineStr">
        <is>
          <t>Commission-record amount: confirm to bank statement (records can aggregate several transfers)</t>
        </is>
      </c>
    </row>
    <row r="808" ht="25" customHeight="1">
      <c r="A808" s="75" t="inlineStr">
        <is>
          <t>SL0785</t>
        </is>
      </c>
      <c r="B808" s="76" t="n">
        <v>45898</v>
      </c>
      <c r="C808" s="75" t="inlineStr">
        <is>
          <t>2025-08</t>
        </is>
      </c>
      <c r="D808" s="75" t="n">
        <v>2025</v>
      </c>
      <c r="E808" s="75" t="inlineStr">
        <is>
          <t>Housing</t>
        </is>
      </c>
      <c r="F808" s="75" t="inlineStr">
        <is>
          <t>Plot / unit price</t>
        </is>
      </c>
      <c r="G808" s="75" t="inlineStr">
        <is>
          <t>Pacific Apartment</t>
        </is>
      </c>
      <c r="H808" s="75" t="inlineStr">
        <is>
          <t>BP-C0203</t>
        </is>
      </c>
      <c r="I808" s="75" t="inlineStr">
        <is>
          <t>Mr Ogbomah Ebi Wilfred</t>
        </is>
      </c>
      <c r="J808" s="77" t="n">
        <v>900000</v>
      </c>
      <c r="K808" s="75" t="n"/>
      <c r="L808" s="75" t="inlineStr">
        <is>
          <t>Secondary: commission records; no monthly turnover register for this period</t>
        </is>
      </c>
      <c r="M808" s="75" t="inlineStr">
        <is>
          <t>BAAY PROJECTS SALES EXPENSES (COMMISSION) RECORDS (1)</t>
        </is>
      </c>
      <c r="N808" s="75" t="inlineStr">
        <is>
          <t>MS MOFFAT</t>
        </is>
      </c>
      <c r="O808" s="75" t="n">
        <v>111</v>
      </c>
      <c r="P808" s="75" t="inlineStr">
        <is>
          <t>29/08/2025</t>
        </is>
      </c>
      <c r="Q808" s="75" t="n"/>
      <c r="R808" s="75" t="inlineStr">
        <is>
          <t>Commission-record amount: confirm to bank statement (records can aggregate several transfers)</t>
        </is>
      </c>
    </row>
    <row r="809" ht="25" customHeight="1">
      <c r="A809" s="78" t="inlineStr">
        <is>
          <t>SL0786</t>
        </is>
      </c>
      <c r="B809" s="79" t="n">
        <v>45903</v>
      </c>
      <c r="C809" s="78" t="inlineStr">
        <is>
          <t>2025-09</t>
        </is>
      </c>
      <c r="D809" s="78" t="n">
        <v>2025</v>
      </c>
      <c r="E809" s="78" t="inlineStr">
        <is>
          <t>Housing</t>
        </is>
      </c>
      <c r="F809" s="78" t="inlineStr">
        <is>
          <t>Plot / unit price</t>
        </is>
      </c>
      <c r="G809" s="78" t="inlineStr">
        <is>
          <t>Baay Foreshore</t>
        </is>
      </c>
      <c r="H809" s="78" t="inlineStr">
        <is>
          <t>BP-C0215</t>
        </is>
      </c>
      <c r="I809" s="78" t="inlineStr">
        <is>
          <t>Landnest (Mrs Lukoh)</t>
        </is>
      </c>
      <c r="J809" s="80" t="n">
        <v>4430000</v>
      </c>
      <c r="K809" s="78" t="n"/>
      <c r="L809" s="78" t="inlineStr">
        <is>
          <t>Secondary: commission records; no monthly turnover register for this period</t>
        </is>
      </c>
      <c r="M809" s="78" t="inlineStr">
        <is>
          <t>BAAY PROJECTS SALES EXPENSES (COMMISSION) RECORDS (1)</t>
        </is>
      </c>
      <c r="N809" s="78" t="inlineStr">
        <is>
          <t>LANDNEST HOMES</t>
        </is>
      </c>
      <c r="O809" s="78" t="n">
        <v>16</v>
      </c>
      <c r="P809" s="78" t="inlineStr">
        <is>
          <t>2025-03-09</t>
        </is>
      </c>
      <c r="Q809" s="78" t="n"/>
      <c r="R809" s="78" t="inlineStr">
        <is>
          <t>Commission-record amount: confirm to bank statement (records can aggregate several transfers)</t>
        </is>
      </c>
    </row>
    <row r="810" ht="25" customHeight="1">
      <c r="A810" s="75" t="inlineStr">
        <is>
          <t>SL0787</t>
        </is>
      </c>
      <c r="B810" s="76" t="n">
        <v>45903</v>
      </c>
      <c r="C810" s="75" t="inlineStr">
        <is>
          <t>2025-09</t>
        </is>
      </c>
      <c r="D810" s="75" t="n">
        <v>2025</v>
      </c>
      <c r="E810" s="75" t="inlineStr">
        <is>
          <t>Housing</t>
        </is>
      </c>
      <c r="F810" s="75" t="inlineStr">
        <is>
          <t>Plot / unit price</t>
        </is>
      </c>
      <c r="G810" s="75" t="inlineStr">
        <is>
          <t>Baay Foreshore</t>
        </is>
      </c>
      <c r="H810" s="75" t="inlineStr">
        <is>
          <t>BP-C0207</t>
        </is>
      </c>
      <c r="I810" s="75" t="inlineStr">
        <is>
          <t>Landnest Homes (Mrs Beatrice)</t>
        </is>
      </c>
      <c r="J810" s="77" t="n">
        <v>4915000</v>
      </c>
      <c r="K810" s="75" t="n"/>
      <c r="L810" s="75" t="inlineStr">
        <is>
          <t>Secondary: commission records; no monthly turnover register for this period</t>
        </is>
      </c>
      <c r="M810" s="75" t="inlineStr">
        <is>
          <t>BAAY PROJECTS SALES EXPENSES (COMMISSION) RECORDS (1)</t>
        </is>
      </c>
      <c r="N810" s="75" t="inlineStr">
        <is>
          <t>LANDNEST HOMES</t>
        </is>
      </c>
      <c r="O810" s="75" t="n">
        <v>17</v>
      </c>
      <c r="P810" s="75" t="inlineStr">
        <is>
          <t>2025-03-09</t>
        </is>
      </c>
      <c r="Q810" s="75" t="n"/>
      <c r="R810" s="75" t="inlineStr">
        <is>
          <t>Commission-record amount: confirm to bank statement (records can aggregate several transfers)</t>
        </is>
      </c>
    </row>
    <row r="811" ht="25" customHeight="1">
      <c r="A811" s="78" t="inlineStr">
        <is>
          <t>SL0788</t>
        </is>
      </c>
      <c r="B811" s="79" t="n">
        <v>45905</v>
      </c>
      <c r="C811" s="78" t="inlineStr">
        <is>
          <t>2025-09</t>
        </is>
      </c>
      <c r="D811" s="78" t="n">
        <v>2025</v>
      </c>
      <c r="E811" s="78" t="inlineStr">
        <is>
          <t>Housing</t>
        </is>
      </c>
      <c r="F811" s="78" t="inlineStr">
        <is>
          <t>Plot / unit price</t>
        </is>
      </c>
      <c r="G811" s="78" t="inlineStr">
        <is>
          <t>Pacific Apartment</t>
        </is>
      </c>
      <c r="H811" s="78" t="inlineStr">
        <is>
          <t>BP-C0192</t>
        </is>
      </c>
      <c r="I811" s="78" t="inlineStr">
        <is>
          <t>Dr Esangbedo Wilson</t>
        </is>
      </c>
      <c r="J811" s="80" t="n">
        <v>3000000</v>
      </c>
      <c r="K811" s="78" t="n"/>
      <c r="L811" s="78" t="inlineStr">
        <is>
          <t>Secondary: commission records; no monthly turnover register for this period</t>
        </is>
      </c>
      <c r="M811" s="78" t="inlineStr">
        <is>
          <t>BAAY PROJECTS SALES EXPENSES (COMMISSION) RECORDS (1)</t>
        </is>
      </c>
      <c r="N811" s="78" t="inlineStr">
        <is>
          <t>MS MOFFAT</t>
        </is>
      </c>
      <c r="O811" s="78" t="n">
        <v>77</v>
      </c>
      <c r="P811" s="78" t="inlineStr">
        <is>
          <t>2025-05-09</t>
        </is>
      </c>
      <c r="Q811" s="78" t="n"/>
      <c r="R811" s="78" t="inlineStr">
        <is>
          <t>Commission-record amount: confirm to bank statement (records can aggregate several transfers)</t>
        </is>
      </c>
    </row>
    <row r="812" ht="25" customHeight="1">
      <c r="A812" s="75" t="inlineStr">
        <is>
          <t>SL0789</t>
        </is>
      </c>
      <c r="B812" s="76" t="n">
        <v>45915</v>
      </c>
      <c r="C812" s="75" t="inlineStr">
        <is>
          <t>2025-09</t>
        </is>
      </c>
      <c r="D812" s="75" t="n">
        <v>2025</v>
      </c>
      <c r="E812" s="75" t="inlineStr">
        <is>
          <t>Housing</t>
        </is>
      </c>
      <c r="F812" s="75" t="inlineStr">
        <is>
          <t>Plot / unit price</t>
        </is>
      </c>
      <c r="G812" s="75" t="inlineStr">
        <is>
          <t>Baay Foreshore</t>
        </is>
      </c>
      <c r="H812" s="75" t="inlineStr">
        <is>
          <t>BP-C0204</t>
        </is>
      </c>
      <c r="I812" s="75" t="inlineStr">
        <is>
          <t>Mr Akinjogunla Isaac Ogooluwa</t>
        </is>
      </c>
      <c r="J812" s="77" t="n">
        <v>9000000</v>
      </c>
      <c r="K812" s="75" t="n"/>
      <c r="L812" s="75" t="inlineStr">
        <is>
          <t>Secondary: commission records; no monthly turnover register for this period</t>
        </is>
      </c>
      <c r="M812" s="75" t="inlineStr">
        <is>
          <t>BAAY PROJECTS SALES EXPENSES (COMMISSION) RECORDS (1)</t>
        </is>
      </c>
      <c r="N812" s="75" t="inlineStr">
        <is>
          <t>MS MOFFAT</t>
        </is>
      </c>
      <c r="O812" s="75" t="n">
        <v>80</v>
      </c>
      <c r="P812" s="75" t="inlineStr">
        <is>
          <t>15/09/2025</t>
        </is>
      </c>
      <c r="Q812" s="75" t="n"/>
      <c r="R812" s="75" t="inlineStr">
        <is>
          <t>Commission-record amount: confirm to bank statement (records can aggregate several transfers)</t>
        </is>
      </c>
    </row>
    <row r="813" ht="25" customHeight="1">
      <c r="A813" s="78" t="inlineStr">
        <is>
          <t>SL0790</t>
        </is>
      </c>
      <c r="B813" s="79" t="n">
        <v>45916</v>
      </c>
      <c r="C813" s="78" t="inlineStr">
        <is>
          <t>2025-09</t>
        </is>
      </c>
      <c r="D813" s="78" t="n">
        <v>2025</v>
      </c>
      <c r="E813" s="78" t="inlineStr">
        <is>
          <t>Housing</t>
        </is>
      </c>
      <c r="F813" s="78" t="inlineStr">
        <is>
          <t>Plot / unit price</t>
        </is>
      </c>
      <c r="G813" s="78" t="inlineStr">
        <is>
          <t>Baay Foreshore</t>
        </is>
      </c>
      <c r="H813" s="78" t="inlineStr">
        <is>
          <t>BP-C0215</t>
        </is>
      </c>
      <c r="I813" s="78" t="inlineStr">
        <is>
          <t>Landnest (Mrs Lukoh)</t>
        </is>
      </c>
      <c r="J813" s="80" t="n">
        <v>5000000</v>
      </c>
      <c r="K813" s="78" t="n"/>
      <c r="L813" s="78" t="inlineStr">
        <is>
          <t>Secondary: commission records; no monthly turnover register for this period</t>
        </is>
      </c>
      <c r="M813" s="78" t="inlineStr">
        <is>
          <t>BAAY PROJECTS SALES EXPENSES (COMMISSION) RECORDS (1)</t>
        </is>
      </c>
      <c r="N813" s="78" t="inlineStr">
        <is>
          <t>LANDNEST HOMES</t>
        </is>
      </c>
      <c r="O813" s="78" t="n">
        <v>18</v>
      </c>
      <c r="P813" s="78" t="inlineStr">
        <is>
          <t>16/09/2025</t>
        </is>
      </c>
      <c r="Q813" s="78" t="n"/>
      <c r="R813" s="78" t="inlineStr">
        <is>
          <t>Commission-record amount: confirm to bank statement (records can aggregate several transfers)</t>
        </is>
      </c>
    </row>
    <row r="814" ht="25" customHeight="1">
      <c r="A814" s="75" t="inlineStr">
        <is>
          <t>SL0791</t>
        </is>
      </c>
      <c r="B814" s="76" t="n">
        <v>45916</v>
      </c>
      <c r="C814" s="75" t="inlineStr">
        <is>
          <t>2025-09</t>
        </is>
      </c>
      <c r="D814" s="75" t="n">
        <v>2025</v>
      </c>
      <c r="E814" s="75" t="inlineStr">
        <is>
          <t>Housing</t>
        </is>
      </c>
      <c r="F814" s="75" t="inlineStr">
        <is>
          <t>Plot / unit price</t>
        </is>
      </c>
      <c r="G814" s="75" t="inlineStr">
        <is>
          <t>Baay Foreshore</t>
        </is>
      </c>
      <c r="H814" s="75" t="inlineStr">
        <is>
          <t>BP-C0207</t>
        </is>
      </c>
      <c r="I814" s="75" t="inlineStr">
        <is>
          <t>Landnest Homes (Mrs Beatrice)</t>
        </is>
      </c>
      <c r="J814" s="77" t="n">
        <v>5000000</v>
      </c>
      <c r="K814" s="75" t="n"/>
      <c r="L814" s="75" t="inlineStr">
        <is>
          <t>Secondary: commission records; no monthly turnover register for this period</t>
        </is>
      </c>
      <c r="M814" s="75" t="inlineStr">
        <is>
          <t>BAAY PROJECTS SALES EXPENSES (COMMISSION) RECORDS (1)</t>
        </is>
      </c>
      <c r="N814" s="75" t="inlineStr">
        <is>
          <t>LANDNEST HOMES</t>
        </is>
      </c>
      <c r="O814" s="75" t="n">
        <v>19</v>
      </c>
      <c r="P814" s="75" t="inlineStr">
        <is>
          <t>16/09/2025</t>
        </is>
      </c>
      <c r="Q814" s="75" t="n"/>
      <c r="R814" s="75" t="inlineStr">
        <is>
          <t>Commission-record amount: confirm to bank statement (records can aggregate several transfers)</t>
        </is>
      </c>
    </row>
    <row r="815" ht="25" customHeight="1">
      <c r="A815" s="78" t="inlineStr">
        <is>
          <t>SL0792</t>
        </is>
      </c>
      <c r="B815" s="79" t="n">
        <v>45918</v>
      </c>
      <c r="C815" s="78" t="inlineStr">
        <is>
          <t>2025-09</t>
        </is>
      </c>
      <c r="D815" s="78" t="n">
        <v>2025</v>
      </c>
      <c r="E815" s="78" t="inlineStr">
        <is>
          <t>Housing</t>
        </is>
      </c>
      <c r="F815" s="78" t="inlineStr">
        <is>
          <t>Plot / unit price</t>
        </is>
      </c>
      <c r="G815" s="78" t="inlineStr">
        <is>
          <t>Baay Foreshore</t>
        </is>
      </c>
      <c r="H815" s="78" t="inlineStr">
        <is>
          <t>BP-C0202</t>
        </is>
      </c>
      <c r="I815" s="78" t="inlineStr">
        <is>
          <t>Miss Yesher Yakubu &amp; Miss Hadassah Yakubu</t>
        </is>
      </c>
      <c r="J815" s="80" t="n">
        <v>30900000</v>
      </c>
      <c r="K815" s="78" t="n"/>
      <c r="L815" s="78" t="inlineStr">
        <is>
          <t>Secondary: commission records; no monthly turnover register for this period</t>
        </is>
      </c>
      <c r="M815" s="78" t="inlineStr">
        <is>
          <t>BAAY PROJECTS SALES EXPENSES (COMMISSION) RECORDS (1)</t>
        </is>
      </c>
      <c r="N815" s="78" t="inlineStr">
        <is>
          <t>MS MOFFAT</t>
        </is>
      </c>
      <c r="O815" s="78" t="n">
        <v>78</v>
      </c>
      <c r="P815" s="78" t="inlineStr">
        <is>
          <t>18/09/2025</t>
        </is>
      </c>
      <c r="Q815" s="78" t="n"/>
      <c r="R815" s="78" t="inlineStr">
        <is>
          <t>Commission-record amount: confirm to bank statement (records can aggregate several transfers)</t>
        </is>
      </c>
    </row>
    <row r="816" ht="25" customHeight="1">
      <c r="A816" s="75" t="inlineStr">
        <is>
          <t>SL0793</t>
        </is>
      </c>
      <c r="B816" s="76" t="n">
        <v>45918</v>
      </c>
      <c r="C816" s="75" t="inlineStr">
        <is>
          <t>2025-09</t>
        </is>
      </c>
      <c r="D816" s="75" t="n">
        <v>2025</v>
      </c>
      <c r="E816" s="75" t="inlineStr">
        <is>
          <t>Housing</t>
        </is>
      </c>
      <c r="F816" s="75" t="inlineStr">
        <is>
          <t>Plot / unit price</t>
        </is>
      </c>
      <c r="G816" s="75" t="inlineStr">
        <is>
          <t>Baay Foreshore</t>
        </is>
      </c>
      <c r="H816" s="75" t="inlineStr">
        <is>
          <t>BP-C0214</t>
        </is>
      </c>
      <c r="I816" s="75" t="inlineStr">
        <is>
          <t>Mrs Taiwo Adeyinka</t>
        </is>
      </c>
      <c r="J816" s="77" t="n">
        <v>2500000</v>
      </c>
      <c r="K816" s="75" t="n"/>
      <c r="L816" s="75" t="inlineStr">
        <is>
          <t>Secondary: commission records; no monthly turnover register for this period</t>
        </is>
      </c>
      <c r="M816" s="75" t="inlineStr">
        <is>
          <t>BAAY PROJECTS SALES EXPENSES (COMMISSION) RECORDS (1)</t>
        </is>
      </c>
      <c r="N816" s="75" t="inlineStr">
        <is>
          <t>MS BOLANLE</t>
        </is>
      </c>
      <c r="O816" s="75" t="n">
        <v>171</v>
      </c>
      <c r="P816" s="75" t="inlineStr">
        <is>
          <t>18/09/2025</t>
        </is>
      </c>
      <c r="Q816" s="75" t="n"/>
      <c r="R816" s="75" t="inlineStr">
        <is>
          <t>Commission-record amount: confirm to bank statement (records can aggregate several transfers)</t>
        </is>
      </c>
    </row>
    <row r="817" ht="25" customHeight="1">
      <c r="A817" s="78" t="inlineStr">
        <is>
          <t>SL0794</t>
        </is>
      </c>
      <c r="B817" s="79" t="n">
        <v>45924</v>
      </c>
      <c r="C817" s="78" t="inlineStr">
        <is>
          <t>2025-09</t>
        </is>
      </c>
      <c r="D817" s="78" t="n">
        <v>2025</v>
      </c>
      <c r="E817" s="78" t="inlineStr">
        <is>
          <t>Housing</t>
        </is>
      </c>
      <c r="F817" s="78" t="inlineStr">
        <is>
          <t>Plot / unit price</t>
        </is>
      </c>
      <c r="G817" s="78" t="inlineStr">
        <is>
          <t>Pacific Apartment</t>
        </is>
      </c>
      <c r="H817" s="78" t="inlineStr">
        <is>
          <t>BP-C0160</t>
        </is>
      </c>
      <c r="I817" s="78" t="inlineStr">
        <is>
          <t>Mr Okenla Olugboyega Gabriel</t>
        </is>
      </c>
      <c r="J817" s="80" t="n">
        <v>5000000</v>
      </c>
      <c r="K817" s="78" t="n"/>
      <c r="L817" s="78" t="inlineStr">
        <is>
          <t>Secondary: commission records; no monthly turnover register for this period</t>
        </is>
      </c>
      <c r="M817" s="78" t="inlineStr">
        <is>
          <t>BAAY PROJECTS SALES EXPENSES (COMMISSION) RECORDS (1)</t>
        </is>
      </c>
      <c r="N817" s="78" t="inlineStr">
        <is>
          <t>MS MOFFAT</t>
        </is>
      </c>
      <c r="O817" s="78" t="n">
        <v>79</v>
      </c>
      <c r="P817" s="78" t="inlineStr">
        <is>
          <t>24/09/2025</t>
        </is>
      </c>
      <c r="Q817" s="78" t="n"/>
      <c r="R817" s="78" t="inlineStr">
        <is>
          <t>Commission-record amount: confirm to bank statement (records can aggregate several transfers)</t>
        </is>
      </c>
    </row>
    <row r="818" ht="25" customHeight="1">
      <c r="A818" s="75" t="inlineStr">
        <is>
          <t>SL0795</t>
        </is>
      </c>
      <c r="B818" s="76" t="n">
        <v>45925</v>
      </c>
      <c r="C818" s="75" t="inlineStr">
        <is>
          <t>2025-09</t>
        </is>
      </c>
      <c r="D818" s="75" t="n">
        <v>2025</v>
      </c>
      <c r="E818" s="75" t="inlineStr">
        <is>
          <t>Housing</t>
        </is>
      </c>
      <c r="F818" s="75" t="inlineStr">
        <is>
          <t>Plot / unit price</t>
        </is>
      </c>
      <c r="G818" s="75" t="inlineStr">
        <is>
          <t>Housing unit (project not stated in source)</t>
        </is>
      </c>
      <c r="H818" s="75" t="inlineStr">
        <is>
          <t>BP-C0133</t>
        </is>
      </c>
      <c r="I818" s="75" t="inlineStr">
        <is>
          <t>Mr Olagbende Oluwashina Oluwaseun</t>
        </is>
      </c>
      <c r="J818" s="77" t="n">
        <v>3400000</v>
      </c>
      <c r="K818" s="75" t="n"/>
      <c r="L818" s="75" t="inlineStr">
        <is>
          <t>Secondary: commission records; no monthly turnover register for this period</t>
        </is>
      </c>
      <c r="M818" s="75" t="inlineStr">
        <is>
          <t>BAAY PROJECTS SALES EXPENSES (COMMISSION) RECORDS (1)</t>
        </is>
      </c>
      <c r="N818" s="75" t="inlineStr">
        <is>
          <t>MS AWONORIN MAYOWA</t>
        </is>
      </c>
      <c r="O818" s="75" t="n">
        <v>98</v>
      </c>
      <c r="P818" s="75" t="inlineStr">
        <is>
          <t>25/09/2025</t>
        </is>
      </c>
      <c r="Q818" s="75" t="n"/>
      <c r="R818" s="75" t="inlineStr">
        <is>
          <t>Commission-record amount: confirm to bank statement (records can aggregate several transfers)</t>
        </is>
      </c>
    </row>
    <row r="819" ht="25" customHeight="1">
      <c r="A819" s="78" t="inlineStr">
        <is>
          <t>SL0796</t>
        </is>
      </c>
      <c r="B819" s="79" t="n">
        <v>45925</v>
      </c>
      <c r="C819" s="78" t="inlineStr">
        <is>
          <t>2025-09</t>
        </is>
      </c>
      <c r="D819" s="78" t="n">
        <v>2025</v>
      </c>
      <c r="E819" s="78" t="inlineStr">
        <is>
          <t>Housing</t>
        </is>
      </c>
      <c r="F819" s="78" t="inlineStr">
        <is>
          <t>Plot / unit price</t>
        </is>
      </c>
      <c r="G819" s="78" t="inlineStr">
        <is>
          <t>Housing unit (project not stated in source)</t>
        </is>
      </c>
      <c r="H819" s="78" t="inlineStr">
        <is>
          <t>BP-C0133</t>
        </is>
      </c>
      <c r="I819" s="78" t="inlineStr">
        <is>
          <t>Mr Olagbende Oluwashina Oluwaseun</t>
        </is>
      </c>
      <c r="J819" s="80" t="n">
        <v>2400000</v>
      </c>
      <c r="K819" s="78" t="n"/>
      <c r="L819" s="78" t="inlineStr">
        <is>
          <t>Secondary: commission records; no monthly turnover register for this period</t>
        </is>
      </c>
      <c r="M819" s="78" t="inlineStr">
        <is>
          <t>BAAY PROJECTS SALES EXPENSES (COMMISSION) RECORDS (1)</t>
        </is>
      </c>
      <c r="N819" s="78" t="inlineStr">
        <is>
          <t>MS AWONORIN MAYOWA</t>
        </is>
      </c>
      <c r="O819" s="78" t="n">
        <v>99</v>
      </c>
      <c r="P819" s="78" t="inlineStr">
        <is>
          <t>25/09/2025</t>
        </is>
      </c>
      <c r="Q819" s="78" t="n"/>
      <c r="R819" s="78" t="inlineStr">
        <is>
          <t>Commission-record amount: confirm to bank statement (records can aggregate several transfers)</t>
        </is>
      </c>
    </row>
    <row r="820" ht="25" customHeight="1">
      <c r="A820" s="75" t="inlineStr">
        <is>
          <t>SL0797</t>
        </is>
      </c>
      <c r="B820" s="76" t="n">
        <v>45926</v>
      </c>
      <c r="C820" s="75" t="inlineStr">
        <is>
          <t>2025-09</t>
        </is>
      </c>
      <c r="D820" s="75" t="n">
        <v>2025</v>
      </c>
      <c r="E820" s="75" t="inlineStr">
        <is>
          <t>Housing</t>
        </is>
      </c>
      <c r="F820" s="75" t="inlineStr">
        <is>
          <t>Plot / unit price</t>
        </is>
      </c>
      <c r="G820" s="75" t="inlineStr">
        <is>
          <t>Baay Foreshore</t>
        </is>
      </c>
      <c r="H820" s="75" t="inlineStr">
        <is>
          <t>BP-C0213</t>
        </is>
      </c>
      <c r="I820" s="75" t="inlineStr">
        <is>
          <t>Mr Adelani Ibrahim Akinkunmi</t>
        </is>
      </c>
      <c r="J820" s="77" t="n">
        <v>2500000</v>
      </c>
      <c r="K820" s="75" t="n"/>
      <c r="L820" s="75" t="inlineStr">
        <is>
          <t>Secondary: commission records; no monthly turnover register for this period</t>
        </is>
      </c>
      <c r="M820" s="75" t="inlineStr">
        <is>
          <t>BAAY PROJECTS SALES EXPENSES (COMMISSION) RECORDS (1)</t>
        </is>
      </c>
      <c r="N820" s="75" t="inlineStr">
        <is>
          <t>MS BOLANLE</t>
        </is>
      </c>
      <c r="O820" s="75" t="n">
        <v>168</v>
      </c>
      <c r="P820" s="75" t="inlineStr">
        <is>
          <t>26/09/2025</t>
        </is>
      </c>
      <c r="Q820" s="75" t="n"/>
      <c r="R820" s="75" t="inlineStr">
        <is>
          <t>Commission-record amount: confirm to bank statement (records can aggregate several transfers)</t>
        </is>
      </c>
    </row>
    <row r="821" ht="25" customHeight="1">
      <c r="A821" s="78" t="inlineStr">
        <is>
          <t>SL0798</t>
        </is>
      </c>
      <c r="B821" s="79" t="n">
        <v>45929</v>
      </c>
      <c r="C821" s="78" t="inlineStr">
        <is>
          <t>2025-09</t>
        </is>
      </c>
      <c r="D821" s="78" t="n">
        <v>2025</v>
      </c>
      <c r="E821" s="78" t="inlineStr">
        <is>
          <t>Land</t>
        </is>
      </c>
      <c r="F821" s="78" t="inlineStr">
        <is>
          <t>Plot / unit price</t>
        </is>
      </c>
      <c r="G821" s="78" t="inlineStr">
        <is>
          <t>Land (estate not stated in source)</t>
        </is>
      </c>
      <c r="H821" s="78" t="inlineStr">
        <is>
          <t>BP-C0196</t>
        </is>
      </c>
      <c r="I821" s="78" t="inlineStr">
        <is>
          <t>Mr Ikechukwu Godson Agbim</t>
        </is>
      </c>
      <c r="J821" s="80" t="n">
        <v>1000000</v>
      </c>
      <c r="K821" s="78" t="n"/>
      <c r="L821" s="78" t="inlineStr">
        <is>
          <t>Secondary: commission records; no monthly turnover register for this period</t>
        </is>
      </c>
      <c r="M821" s="78" t="inlineStr">
        <is>
          <t>BAAY PROJECTS SALES EXPENSES (COMMISSION) RECORDS (1)</t>
        </is>
      </c>
      <c r="N821" s="78" t="inlineStr">
        <is>
          <t>MRS ABIMBOLA</t>
        </is>
      </c>
      <c r="O821" s="78" t="n">
        <v>236</v>
      </c>
      <c r="P821" s="78" t="inlineStr">
        <is>
          <t>29/09/2025</t>
        </is>
      </c>
      <c r="Q821" s="78" t="n"/>
      <c r="R821" s="78" t="inlineStr">
        <is>
          <t>Commission-record amount: confirm to bank statement (records can aggregate several transfers)</t>
        </is>
      </c>
    </row>
    <row r="822" ht="25" customHeight="1">
      <c r="A822" s="75" t="inlineStr">
        <is>
          <t>SL0799</t>
        </is>
      </c>
      <c r="B822" s="76" t="n">
        <v>45933</v>
      </c>
      <c r="C822" s="75" t="inlineStr">
        <is>
          <t>2025-10</t>
        </is>
      </c>
      <c r="D822" s="75" t="n">
        <v>2025</v>
      </c>
      <c r="E822" s="75" t="inlineStr">
        <is>
          <t>Land</t>
        </is>
      </c>
      <c r="F822" s="75" t="inlineStr">
        <is>
          <t>Plot / unit price</t>
        </is>
      </c>
      <c r="G822" s="75" t="inlineStr">
        <is>
          <t>Land (estate not stated in source)</t>
        </is>
      </c>
      <c r="H822" s="75" t="inlineStr">
        <is>
          <t>BP-C0216</t>
        </is>
      </c>
      <c r="I822" s="75" t="inlineStr">
        <is>
          <t>Mrs Oluwagbemiro Olajumoke Oluwakemi</t>
        </is>
      </c>
      <c r="J822" s="77" t="n">
        <v>2500000</v>
      </c>
      <c r="K822" s="75" t="n"/>
      <c r="L822" s="75" t="inlineStr">
        <is>
          <t>Secondary: commission records; no monthly turnover register for this period</t>
        </is>
      </c>
      <c r="M822" s="75" t="inlineStr">
        <is>
          <t>BAAY PROJECTS SALES EXPENSES (COMMISSION) RECORDS (1)</t>
        </is>
      </c>
      <c r="N822" s="75" t="inlineStr">
        <is>
          <t>MS TOBI AJAYI</t>
        </is>
      </c>
      <c r="O822" s="75" t="n">
        <v>84</v>
      </c>
      <c r="P822" s="75" t="inlineStr">
        <is>
          <t>2025-03-10</t>
        </is>
      </c>
      <c r="Q822" s="75" t="n"/>
      <c r="R822" s="75" t="inlineStr">
        <is>
          <t>Commission-record amount: confirm to bank statement (records can aggregate several transfers)</t>
        </is>
      </c>
    </row>
    <row r="823" ht="25" customHeight="1">
      <c r="A823" s="78" t="inlineStr">
        <is>
          <t>SL0800</t>
        </is>
      </c>
      <c r="B823" s="79" t="n">
        <v>45935</v>
      </c>
      <c r="C823" s="78" t="inlineStr">
        <is>
          <t>2025-10</t>
        </is>
      </c>
      <c r="D823" s="78" t="n">
        <v>2025</v>
      </c>
      <c r="E823" s="78" t="inlineStr">
        <is>
          <t>Housing</t>
        </is>
      </c>
      <c r="F823" s="78" t="inlineStr">
        <is>
          <t>Plot / unit price</t>
        </is>
      </c>
      <c r="G823" s="78" t="inlineStr">
        <is>
          <t>Pacific Apartment</t>
        </is>
      </c>
      <c r="H823" s="78" t="inlineStr">
        <is>
          <t>BP-C0192</t>
        </is>
      </c>
      <c r="I823" s="78" t="inlineStr">
        <is>
          <t>Dr Esangbedo Wilson</t>
        </is>
      </c>
      <c r="J823" s="80" t="n">
        <v>3000000</v>
      </c>
      <c r="K823" s="78" t="n"/>
      <c r="L823" s="78" t="inlineStr">
        <is>
          <t>Secondary: commission records; no monthly turnover register for this period</t>
        </is>
      </c>
      <c r="M823" s="78" t="inlineStr">
        <is>
          <t>BAAY PROJECTS SALES EXPENSES (COMMISSION) RECORDS (1)</t>
        </is>
      </c>
      <c r="N823" s="78" t="inlineStr">
        <is>
          <t>MS MOFFAT</t>
        </is>
      </c>
      <c r="O823" s="78" t="n">
        <v>86</v>
      </c>
      <c r="P823" s="78" t="inlineStr">
        <is>
          <t>2025-05-10</t>
        </is>
      </c>
      <c r="Q823" s="78" t="n"/>
      <c r="R823" s="78" t="inlineStr">
        <is>
          <t>Commission-record amount: confirm to bank statement (records can aggregate several transfers)</t>
        </is>
      </c>
    </row>
    <row r="824" ht="25" customHeight="1">
      <c r="A824" s="75" t="inlineStr">
        <is>
          <t>SL0801</t>
        </is>
      </c>
      <c r="B824" s="76" t="n">
        <v>45935</v>
      </c>
      <c r="C824" s="75" t="inlineStr">
        <is>
          <t>2025-10</t>
        </is>
      </c>
      <c r="D824" s="75" t="n">
        <v>2025</v>
      </c>
      <c r="E824" s="75" t="inlineStr">
        <is>
          <t>Housing</t>
        </is>
      </c>
      <c r="F824" s="75" t="inlineStr">
        <is>
          <t>Plot / unit price</t>
        </is>
      </c>
      <c r="G824" s="75" t="inlineStr">
        <is>
          <t>Baay Foreshore</t>
        </is>
      </c>
      <c r="H824" s="75" t="inlineStr">
        <is>
          <t>BP-C0214</t>
        </is>
      </c>
      <c r="I824" s="75" t="inlineStr">
        <is>
          <t>Mrs Taiwo Adeyinka</t>
        </is>
      </c>
      <c r="J824" s="77" t="n">
        <v>5000000</v>
      </c>
      <c r="K824" s="75" t="n"/>
      <c r="L824" s="75" t="inlineStr">
        <is>
          <t>Secondary: commission records; no monthly turnover register for this period</t>
        </is>
      </c>
      <c r="M824" s="75" t="inlineStr">
        <is>
          <t>BAAY PROJECTS SALES EXPENSES (COMMISSION) RECORDS (1)</t>
        </is>
      </c>
      <c r="N824" s="75" t="inlineStr">
        <is>
          <t>MS BOLANLE</t>
        </is>
      </c>
      <c r="O824" s="75" t="n">
        <v>172</v>
      </c>
      <c r="P824" s="75" t="inlineStr">
        <is>
          <t>2025-05-10</t>
        </is>
      </c>
      <c r="Q824" s="75" t="n"/>
      <c r="R824" s="75" t="inlineStr">
        <is>
          <t>Commission-record amount: confirm to bank statement (records can aggregate several transfers)</t>
        </is>
      </c>
    </row>
    <row r="825" ht="25" customHeight="1">
      <c r="A825" s="78" t="inlineStr">
        <is>
          <t>SL0802</t>
        </is>
      </c>
      <c r="B825" s="79" t="n">
        <v>45936</v>
      </c>
      <c r="C825" s="78" t="inlineStr">
        <is>
          <t>2025-10</t>
        </is>
      </c>
      <c r="D825" s="78" t="n">
        <v>2025</v>
      </c>
      <c r="E825" s="78" t="inlineStr">
        <is>
          <t>Housing</t>
        </is>
      </c>
      <c r="F825" s="78" t="inlineStr">
        <is>
          <t>Plot / unit price</t>
        </is>
      </c>
      <c r="G825" s="78" t="inlineStr">
        <is>
          <t>Baay Foreshore</t>
        </is>
      </c>
      <c r="H825" s="78" t="inlineStr">
        <is>
          <t>BP-C0055</t>
        </is>
      </c>
      <c r="I825" s="78" t="inlineStr">
        <is>
          <t>Mr Adeniji Oluwatosin Ademola</t>
        </is>
      </c>
      <c r="J825" s="80" t="n">
        <v>2500000</v>
      </c>
      <c r="K825" s="78" t="n"/>
      <c r="L825" s="78" t="inlineStr">
        <is>
          <t>Secondary: commission records; no monthly turnover register for this period</t>
        </is>
      </c>
      <c r="M825" s="78" t="inlineStr">
        <is>
          <t>BAAY PROJECTS SALES EXPENSES (COMMISSION) RECORDS (1)</t>
        </is>
      </c>
      <c r="N825" s="78" t="inlineStr">
        <is>
          <t>MS BOLANLE</t>
        </is>
      </c>
      <c r="O825" s="78" t="n">
        <v>185</v>
      </c>
      <c r="P825" s="78" t="inlineStr">
        <is>
          <t>2025-06-10</t>
        </is>
      </c>
      <c r="Q825" s="78" t="n"/>
      <c r="R825" s="78" t="inlineStr">
        <is>
          <t>Commission-record amount: confirm to bank statement (records can aggregate several transfers)</t>
        </is>
      </c>
    </row>
    <row r="826" ht="25" customHeight="1">
      <c r="A826" s="75" t="inlineStr">
        <is>
          <t>SL0803</t>
        </is>
      </c>
      <c r="B826" s="76" t="n">
        <v>45943</v>
      </c>
      <c r="C826" s="75" t="inlineStr">
        <is>
          <t>2025-10</t>
        </is>
      </c>
      <c r="D826" s="75" t="n">
        <v>2025</v>
      </c>
      <c r="E826" s="75" t="inlineStr">
        <is>
          <t>Housing</t>
        </is>
      </c>
      <c r="F826" s="75" t="inlineStr">
        <is>
          <t>Plot / unit price</t>
        </is>
      </c>
      <c r="G826" s="75" t="inlineStr">
        <is>
          <t>Pacific Apartment</t>
        </is>
      </c>
      <c r="H826" s="75" t="inlineStr">
        <is>
          <t>BP-C0203</t>
        </is>
      </c>
      <c r="I826" s="75" t="inlineStr">
        <is>
          <t>Mr Ogbomah Ebi Wilfred</t>
        </is>
      </c>
      <c r="J826" s="77" t="n">
        <v>30900000</v>
      </c>
      <c r="K826" s="75" t="n"/>
      <c r="L826" s="75" t="inlineStr">
        <is>
          <t>Secondary: commission records; no monthly turnover register for this period</t>
        </is>
      </c>
      <c r="M826" s="75" t="inlineStr">
        <is>
          <t>BAAY PROJECTS SALES EXPENSES (COMMISSION) RECORDS (1)</t>
        </is>
      </c>
      <c r="N826" s="75" t="inlineStr">
        <is>
          <t>MS MOFFAT</t>
        </is>
      </c>
      <c r="O826" s="75" t="n">
        <v>52</v>
      </c>
      <c r="P826" s="75" t="inlineStr">
        <is>
          <t>13/10/2025</t>
        </is>
      </c>
      <c r="Q826" s="75" t="n"/>
      <c r="R826" s="75" t="inlineStr">
        <is>
          <t>Commission-record amount: confirm to bank statement (records can aggregate several transfers)</t>
        </is>
      </c>
    </row>
    <row r="827" ht="25" customHeight="1">
      <c r="A827" s="78" t="inlineStr">
        <is>
          <t>SL0804</t>
        </is>
      </c>
      <c r="B827" s="79" t="n">
        <v>45952</v>
      </c>
      <c r="C827" s="78" t="inlineStr">
        <is>
          <t>2025-10</t>
        </is>
      </c>
      <c r="D827" s="78" t="n">
        <v>2025</v>
      </c>
      <c r="E827" s="78" t="inlineStr">
        <is>
          <t>Housing</t>
        </is>
      </c>
      <c r="F827" s="78" t="inlineStr">
        <is>
          <t>Plot / unit price</t>
        </is>
      </c>
      <c r="G827" s="78" t="inlineStr">
        <is>
          <t>Baay Foreshore</t>
        </is>
      </c>
      <c r="H827" s="78" t="inlineStr">
        <is>
          <t>BP-C0213</t>
        </is>
      </c>
      <c r="I827" s="78" t="inlineStr">
        <is>
          <t>Mr Adelani Ibrahim Akinkunmi</t>
        </is>
      </c>
      <c r="J827" s="80" t="n">
        <v>2500000</v>
      </c>
      <c r="K827" s="78" t="n"/>
      <c r="L827" s="78" t="inlineStr">
        <is>
          <t>Secondary: commission records; no monthly turnover register for this period</t>
        </is>
      </c>
      <c r="M827" s="78" t="inlineStr">
        <is>
          <t>BAAY PROJECTS SALES EXPENSES (COMMISSION) RECORDS (1)</t>
        </is>
      </c>
      <c r="N827" s="78" t="inlineStr">
        <is>
          <t>MS BOLANLE</t>
        </is>
      </c>
      <c r="O827" s="78" t="n">
        <v>173</v>
      </c>
      <c r="P827" s="78" t="inlineStr">
        <is>
          <t>22/10/2025</t>
        </is>
      </c>
      <c r="Q827" s="78" t="n"/>
      <c r="R827" s="78" t="inlineStr">
        <is>
          <t>Commission-record amount: confirm to bank statement (records can aggregate several transfers)</t>
        </is>
      </c>
    </row>
    <row r="828" ht="25" customHeight="1">
      <c r="A828" s="75" t="inlineStr">
        <is>
          <t>SL0805</t>
        </is>
      </c>
      <c r="B828" s="76" t="n">
        <v>45953</v>
      </c>
      <c r="C828" s="75" t="inlineStr">
        <is>
          <t>2025-10</t>
        </is>
      </c>
      <c r="D828" s="75" t="n">
        <v>2025</v>
      </c>
      <c r="E828" s="75" t="inlineStr">
        <is>
          <t>Housing</t>
        </is>
      </c>
      <c r="F828" s="75" t="inlineStr">
        <is>
          <t>Plot / unit price</t>
        </is>
      </c>
      <c r="G828" s="75" t="inlineStr">
        <is>
          <t>Pacific Apartment</t>
        </is>
      </c>
      <c r="H828" s="75" t="inlineStr">
        <is>
          <t>BP-C0202</t>
        </is>
      </c>
      <c r="I828" s="75" t="inlineStr">
        <is>
          <t>Miss Yesher Yakubu &amp; Miss Hadassah Yakubu</t>
        </is>
      </c>
      <c r="J828" s="77" t="n">
        <v>5000000</v>
      </c>
      <c r="K828" s="75" t="n"/>
      <c r="L828" s="75" t="inlineStr">
        <is>
          <t>Secondary: commission records; no monthly turnover register for this period</t>
        </is>
      </c>
      <c r="M828" s="75" t="inlineStr">
        <is>
          <t>BAAY PROJECTS SALES EXPENSES (COMMISSION) RECORDS (1)</t>
        </is>
      </c>
      <c r="N828" s="75" t="inlineStr">
        <is>
          <t>MS MOFFAT</t>
        </is>
      </c>
      <c r="O828" s="75" t="n">
        <v>87</v>
      </c>
      <c r="P828" s="75" t="inlineStr">
        <is>
          <t>23/10/2025</t>
        </is>
      </c>
      <c r="Q828" s="75" t="n"/>
      <c r="R828" s="75" t="inlineStr">
        <is>
          <t>Commission-record amount: confirm to bank statement (records can aggregate several transfers)</t>
        </is>
      </c>
    </row>
    <row r="829" ht="25" customHeight="1">
      <c r="A829" s="78" t="inlineStr">
        <is>
          <t>SL0806</t>
        </is>
      </c>
      <c r="B829" s="79" t="n">
        <v>45953</v>
      </c>
      <c r="C829" s="78" t="inlineStr">
        <is>
          <t>2025-10</t>
        </is>
      </c>
      <c r="D829" s="78" t="n">
        <v>2025</v>
      </c>
      <c r="E829" s="78" t="inlineStr">
        <is>
          <t>Housing</t>
        </is>
      </c>
      <c r="F829" s="78" t="inlineStr">
        <is>
          <t>Plot / unit price</t>
        </is>
      </c>
      <c r="G829" s="78" t="inlineStr">
        <is>
          <t>Housing unit (project not stated in source)</t>
        </is>
      </c>
      <c r="H829" s="78" t="inlineStr">
        <is>
          <t>BP-C0133</t>
        </is>
      </c>
      <c r="I829" s="78" t="inlineStr">
        <is>
          <t>Mr Olagbende Oluwashina Oluwaseun</t>
        </is>
      </c>
      <c r="J829" s="80" t="n">
        <v>3900000</v>
      </c>
      <c r="K829" s="78" t="n"/>
      <c r="L829" s="78" t="inlineStr">
        <is>
          <t>Secondary: commission records; no monthly turnover register for this period</t>
        </is>
      </c>
      <c r="M829" s="78" t="inlineStr">
        <is>
          <t>BAAY PROJECTS SALES EXPENSES (COMMISSION) RECORDS (1)</t>
        </is>
      </c>
      <c r="N829" s="78" t="inlineStr">
        <is>
          <t>MS AWONORIN MAYOWA</t>
        </is>
      </c>
      <c r="O829" s="78" t="n">
        <v>105</v>
      </c>
      <c r="P829" s="78" t="inlineStr">
        <is>
          <t>23/10/2025</t>
        </is>
      </c>
      <c r="Q829" s="78" t="n"/>
      <c r="R829" s="78" t="inlineStr">
        <is>
          <t>Commission-record amount: confirm to bank statement (records can aggregate several transfers)</t>
        </is>
      </c>
    </row>
    <row r="830" ht="25" customHeight="1">
      <c r="A830" s="75" t="inlineStr">
        <is>
          <t>SL0807</t>
        </is>
      </c>
      <c r="B830" s="76" t="n">
        <v>45954</v>
      </c>
      <c r="C830" s="75" t="inlineStr">
        <is>
          <t>2025-10</t>
        </is>
      </c>
      <c r="D830" s="75" t="n">
        <v>2025</v>
      </c>
      <c r="E830" s="75" t="inlineStr">
        <is>
          <t>Housing</t>
        </is>
      </c>
      <c r="F830" s="75" t="inlineStr">
        <is>
          <t>Plot / unit price</t>
        </is>
      </c>
      <c r="G830" s="75" t="inlineStr">
        <is>
          <t>Pacific Apartment</t>
        </is>
      </c>
      <c r="H830" s="75" t="inlineStr">
        <is>
          <t>BP-C0202</t>
        </is>
      </c>
      <c r="I830" s="75" t="inlineStr">
        <is>
          <t>Miss Yesher Yakubu &amp; Miss Hadassah Yakubu</t>
        </is>
      </c>
      <c r="J830" s="77" t="n">
        <v>5000000</v>
      </c>
      <c r="K830" s="75" t="n"/>
      <c r="L830" s="75" t="inlineStr">
        <is>
          <t>Secondary: commission records; no monthly turnover register for this period</t>
        </is>
      </c>
      <c r="M830" s="75" t="inlineStr">
        <is>
          <t>BAAY PROJECTS SALES EXPENSES (COMMISSION) RECORDS (1)</t>
        </is>
      </c>
      <c r="N830" s="75" t="inlineStr">
        <is>
          <t>MS MOFFAT</t>
        </is>
      </c>
      <c r="O830" s="75" t="n">
        <v>88</v>
      </c>
      <c r="P830" s="75" t="inlineStr">
        <is>
          <t>24/10/2025</t>
        </is>
      </c>
      <c r="Q830" s="75" t="n"/>
      <c r="R830" s="75" t="inlineStr">
        <is>
          <t>Commission-record amount: confirm to bank statement (records can aggregate several transfers)</t>
        </is>
      </c>
    </row>
    <row r="831" ht="25" customHeight="1">
      <c r="A831" s="78" t="inlineStr">
        <is>
          <t>SL0808</t>
        </is>
      </c>
      <c r="B831" s="79" t="n">
        <v>45958</v>
      </c>
      <c r="C831" s="78" t="inlineStr">
        <is>
          <t>2025-10</t>
        </is>
      </c>
      <c r="D831" s="78" t="n">
        <v>2025</v>
      </c>
      <c r="E831" s="78" t="inlineStr">
        <is>
          <t>Housing</t>
        </is>
      </c>
      <c r="F831" s="78" t="inlineStr">
        <is>
          <t>Plot / unit price</t>
        </is>
      </c>
      <c r="G831" s="78" t="inlineStr">
        <is>
          <t>Housing unit (project not stated in source)</t>
        </is>
      </c>
      <c r="H831" s="78" t="inlineStr">
        <is>
          <t>BP-C0133</t>
        </is>
      </c>
      <c r="I831" s="78" t="inlineStr">
        <is>
          <t>Mr Olagbende Oluwashina Oluwaseun</t>
        </is>
      </c>
      <c r="J831" s="80" t="n">
        <v>2000000</v>
      </c>
      <c r="K831" s="78" t="n"/>
      <c r="L831" s="78" t="inlineStr">
        <is>
          <t>Secondary: commission records; no monthly turnover register for this period</t>
        </is>
      </c>
      <c r="M831" s="78" t="inlineStr">
        <is>
          <t>BAAY PROJECTS SALES EXPENSES (COMMISSION) RECORDS (1)</t>
        </is>
      </c>
      <c r="N831" s="78" t="inlineStr">
        <is>
          <t>MS AWONORIN MAYOWA</t>
        </is>
      </c>
      <c r="O831" s="78" t="n">
        <v>106</v>
      </c>
      <c r="P831" s="78" t="inlineStr">
        <is>
          <t>28/10/2025</t>
        </is>
      </c>
      <c r="Q831" s="78" t="n"/>
      <c r="R831" s="78" t="inlineStr">
        <is>
          <t>Commission-record amount: confirm to bank statement (records can aggregate several transfers)</t>
        </is>
      </c>
    </row>
    <row r="832" ht="25" customHeight="1">
      <c r="A832" s="75" t="inlineStr">
        <is>
          <t>SL0809</t>
        </is>
      </c>
      <c r="B832" s="76" t="n">
        <v>45960</v>
      </c>
      <c r="C832" s="75" t="inlineStr">
        <is>
          <t>2025-10</t>
        </is>
      </c>
      <c r="D832" s="75" t="n">
        <v>2025</v>
      </c>
      <c r="E832" s="75" t="inlineStr">
        <is>
          <t>Housing</t>
        </is>
      </c>
      <c r="F832" s="75" t="inlineStr">
        <is>
          <t>Plot / unit price</t>
        </is>
      </c>
      <c r="G832" s="75" t="inlineStr">
        <is>
          <t>Pacific Apartment</t>
        </is>
      </c>
      <c r="H832" s="75" t="inlineStr">
        <is>
          <t>BP-C0202</t>
        </is>
      </c>
      <c r="I832" s="75" t="inlineStr">
        <is>
          <t>Miss Yesher Yakubu &amp; Miss Hadassah Yakubu</t>
        </is>
      </c>
      <c r="J832" s="77" t="n">
        <v>19000000</v>
      </c>
      <c r="K832" s="75" t="n"/>
      <c r="L832" s="75" t="inlineStr">
        <is>
          <t>Secondary: commission records; no monthly turnover register for this period</t>
        </is>
      </c>
      <c r="M832" s="75" t="inlineStr">
        <is>
          <t>BAAY PROJECTS SALES EXPENSES (COMMISSION) RECORDS (1)</t>
        </is>
      </c>
      <c r="N832" s="75" t="inlineStr">
        <is>
          <t>MS MOFFAT</t>
        </is>
      </c>
      <c r="O832" s="75" t="n">
        <v>89</v>
      </c>
      <c r="P832" s="75" t="inlineStr">
        <is>
          <t>30/10/2025</t>
        </is>
      </c>
      <c r="Q832" s="75" t="n"/>
      <c r="R832" s="75" t="inlineStr">
        <is>
          <t>Commission-record amount: confirm to bank statement (records can aggregate several transfers)</t>
        </is>
      </c>
    </row>
    <row r="833" ht="25" customHeight="1">
      <c r="A833" s="78" t="inlineStr">
        <is>
          <t>SL0810</t>
        </is>
      </c>
      <c r="B833" s="79" t="n">
        <v>45961</v>
      </c>
      <c r="C833" s="78" t="inlineStr">
        <is>
          <t>2025-10</t>
        </is>
      </c>
      <c r="D833" s="78" t="n">
        <v>2025</v>
      </c>
      <c r="E833" s="78" t="inlineStr">
        <is>
          <t>Housing</t>
        </is>
      </c>
      <c r="F833" s="78" t="inlineStr">
        <is>
          <t>Plot / unit price</t>
        </is>
      </c>
      <c r="G833" s="78" t="inlineStr">
        <is>
          <t>Pacific Apartment</t>
        </is>
      </c>
      <c r="H833" s="78" t="inlineStr">
        <is>
          <t>BP-C0203</t>
        </is>
      </c>
      <c r="I833" s="78" t="inlineStr">
        <is>
          <t>Mr Ogbomah Ebi Wilfred</t>
        </is>
      </c>
      <c r="J833" s="80" t="n">
        <v>30700000</v>
      </c>
      <c r="K833" s="78" t="n"/>
      <c r="L833" s="78" t="inlineStr">
        <is>
          <t>Secondary: commission records; no monthly turnover register for this period</t>
        </is>
      </c>
      <c r="M833" s="78" t="inlineStr">
        <is>
          <t>BAAY PROJECTS SALES EXPENSES (COMMISSION) RECORDS (1)</t>
        </is>
      </c>
      <c r="N833" s="78" t="inlineStr">
        <is>
          <t>MS MOFFAT</t>
        </is>
      </c>
      <c r="O833" s="78" t="n">
        <v>53</v>
      </c>
      <c r="P833" s="78" t="inlineStr">
        <is>
          <t>31/10/2025</t>
        </is>
      </c>
      <c r="Q833" s="78" t="n"/>
      <c r="R833" s="78" t="inlineStr">
        <is>
          <t>Commission-record amount: confirm to bank statement (records can aggregate several transfers)</t>
        </is>
      </c>
    </row>
    <row r="834" ht="25" customHeight="1">
      <c r="A834" s="75" t="inlineStr">
        <is>
          <t>SL0811</t>
        </is>
      </c>
      <c r="B834" s="76" t="n">
        <v>45961</v>
      </c>
      <c r="C834" s="75" t="inlineStr">
        <is>
          <t>2025-10</t>
        </is>
      </c>
      <c r="D834" s="75" t="n">
        <v>2025</v>
      </c>
      <c r="E834" s="75" t="inlineStr">
        <is>
          <t>Housing</t>
        </is>
      </c>
      <c r="F834" s="75" t="inlineStr">
        <is>
          <t>Plot / unit price</t>
        </is>
      </c>
      <c r="G834" s="75" t="inlineStr">
        <is>
          <t>Baay Foreshore</t>
        </is>
      </c>
      <c r="H834" s="75" t="inlineStr">
        <is>
          <t>BP-C0214</t>
        </is>
      </c>
      <c r="I834" s="75" t="inlineStr">
        <is>
          <t>Mrs Taiwo Adeyinka</t>
        </is>
      </c>
      <c r="J834" s="77" t="n">
        <v>5000000</v>
      </c>
      <c r="K834" s="75" t="n"/>
      <c r="L834" s="75" t="inlineStr">
        <is>
          <t>Secondary: commission records; no monthly turnover register for this period</t>
        </is>
      </c>
      <c r="M834" s="75" t="inlineStr">
        <is>
          <t>BAAY PROJECTS SALES EXPENSES (COMMISSION) RECORDS (1)</t>
        </is>
      </c>
      <c r="N834" s="75" t="inlineStr">
        <is>
          <t>MS BOLANLE</t>
        </is>
      </c>
      <c r="O834" s="75" t="n">
        <v>174</v>
      </c>
      <c r="P834" s="75" t="inlineStr">
        <is>
          <t>31/10/2025</t>
        </is>
      </c>
      <c r="Q834" s="75" t="n"/>
      <c r="R834" s="75" t="inlineStr">
        <is>
          <t>Commission-record amount: confirm to bank statement (records can aggregate several transfers)</t>
        </is>
      </c>
    </row>
    <row r="835" ht="25" customHeight="1">
      <c r="A835" s="78" t="inlineStr">
        <is>
          <t>SL0812</t>
        </is>
      </c>
      <c r="B835" s="79" t="n">
        <v>45961</v>
      </c>
      <c r="C835" s="78" t="inlineStr">
        <is>
          <t>2025-10</t>
        </is>
      </c>
      <c r="D835" s="78" t="n">
        <v>2025</v>
      </c>
      <c r="E835" s="78" t="inlineStr">
        <is>
          <t>Housing</t>
        </is>
      </c>
      <c r="F835" s="78" t="inlineStr">
        <is>
          <t>Plot / unit price</t>
        </is>
      </c>
      <c r="G835" s="78" t="inlineStr">
        <is>
          <t>Baay Foreshore</t>
        </is>
      </c>
      <c r="H835" s="78" t="inlineStr">
        <is>
          <t>BP-C0214</t>
        </is>
      </c>
      <c r="I835" s="78" t="inlineStr">
        <is>
          <t>Mrs Taiwo Adeyinka</t>
        </is>
      </c>
      <c r="J835" s="80" t="n">
        <v>2500000</v>
      </c>
      <c r="K835" s="78" t="n"/>
      <c r="L835" s="78" t="inlineStr">
        <is>
          <t>Secondary: commission records; no monthly turnover register for this period</t>
        </is>
      </c>
      <c r="M835" s="78" t="inlineStr">
        <is>
          <t>BAAY PROJECTS SALES EXPENSES (COMMISSION) RECORDS (1)</t>
        </is>
      </c>
      <c r="N835" s="78" t="inlineStr">
        <is>
          <t>MS BOLANLE</t>
        </is>
      </c>
      <c r="O835" s="78" t="n">
        <v>224</v>
      </c>
      <c r="P835" s="78" t="inlineStr">
        <is>
          <t>31/10/2025</t>
        </is>
      </c>
      <c r="Q835" s="78" t="n"/>
      <c r="R835" s="78" t="inlineStr">
        <is>
          <t>Commission-record amount: confirm to bank statement (records can aggregate several transfers)</t>
        </is>
      </c>
    </row>
    <row r="836" ht="25" customHeight="1">
      <c r="A836" s="75" t="inlineStr">
        <is>
          <t>SL0813</t>
        </is>
      </c>
      <c r="B836" s="76" t="n">
        <v>45961</v>
      </c>
      <c r="C836" s="75" t="inlineStr">
        <is>
          <t>2025-10</t>
        </is>
      </c>
      <c r="D836" s="75" t="n">
        <v>2025</v>
      </c>
      <c r="E836" s="75" t="inlineStr">
        <is>
          <t>Housing</t>
        </is>
      </c>
      <c r="F836" s="75" t="inlineStr">
        <is>
          <t>Plot / unit price</t>
        </is>
      </c>
      <c r="G836" s="75" t="inlineStr">
        <is>
          <t>Pacific Apartment</t>
        </is>
      </c>
      <c r="H836" s="75" t="inlineStr">
        <is>
          <t>BP-C0186</t>
        </is>
      </c>
      <c r="I836" s="75" t="inlineStr">
        <is>
          <t>Salem real Estate (Mrs Omoko Onora Helen)</t>
        </is>
      </c>
      <c r="J836" s="77" t="n">
        <v>3975000</v>
      </c>
      <c r="K836" s="75" t="n"/>
      <c r="L836" s="75" t="inlineStr">
        <is>
          <t>Secondary: commission records; no monthly turnover register for this period</t>
        </is>
      </c>
      <c r="M836" s="75" t="inlineStr">
        <is>
          <t>BAAY PROJECTS SALES EXPENSES (COMMISSION) RECORDS (1)</t>
        </is>
      </c>
      <c r="N836" s="75" t="inlineStr">
        <is>
          <t>MR CHARLES</t>
        </is>
      </c>
      <c r="O836" s="75" t="n">
        <v>121</v>
      </c>
      <c r="P836" s="75" t="inlineStr">
        <is>
          <t>31/10/2025</t>
        </is>
      </c>
      <c r="Q836" s="75" t="inlineStr">
        <is>
          <t>SALEM REAL ESTATE r52</t>
        </is>
      </c>
      <c r="R836" s="75" t="inlineStr">
        <is>
          <t>Commission-record amount: confirm to bank statement (records can aggregate several transfers)</t>
        </is>
      </c>
    </row>
    <row r="837" ht="25" customHeight="1">
      <c r="A837" s="78" t="inlineStr">
        <is>
          <t>SL0814</t>
        </is>
      </c>
      <c r="B837" s="79" t="n">
        <v>45966</v>
      </c>
      <c r="C837" s="78" t="inlineStr">
        <is>
          <t>2025-11</t>
        </is>
      </c>
      <c r="D837" s="78" t="n">
        <v>2025</v>
      </c>
      <c r="E837" s="78" t="inlineStr">
        <is>
          <t>Housing</t>
        </is>
      </c>
      <c r="F837" s="78" t="inlineStr">
        <is>
          <t>Plot / unit price</t>
        </is>
      </c>
      <c r="G837" s="78" t="inlineStr">
        <is>
          <t>Pacific Apartment</t>
        </is>
      </c>
      <c r="H837" s="78" t="inlineStr">
        <is>
          <t>BP-C0192</t>
        </is>
      </c>
      <c r="I837" s="78" t="inlineStr">
        <is>
          <t>Dr Esangbedo Wilson</t>
        </is>
      </c>
      <c r="J837" s="80" t="n">
        <v>5000000</v>
      </c>
      <c r="K837" s="78" t="n"/>
      <c r="L837" s="78" t="inlineStr">
        <is>
          <t>Secondary: commission records; no monthly turnover register for this period</t>
        </is>
      </c>
      <c r="M837" s="78" t="inlineStr">
        <is>
          <t>BAAY PROJECTS SALES EXPENSES (COMMISSION) RECORDS (1)</t>
        </is>
      </c>
      <c r="N837" s="78" t="inlineStr">
        <is>
          <t>MS MOFFAT</t>
        </is>
      </c>
      <c r="O837" s="78" t="n">
        <v>95</v>
      </c>
      <c r="P837" s="78" t="inlineStr">
        <is>
          <t>2025-05-11</t>
        </is>
      </c>
      <c r="Q837" s="78" t="n"/>
      <c r="R837" s="78" t="inlineStr">
        <is>
          <t>Commission-record amount: confirm to bank statement (records can aggregate several transfers)</t>
        </is>
      </c>
    </row>
    <row r="838" ht="25" customHeight="1">
      <c r="A838" s="75" t="inlineStr">
        <is>
          <t>SL0815</t>
        </is>
      </c>
      <c r="B838" s="76" t="n">
        <v>45967</v>
      </c>
      <c r="C838" s="75" t="inlineStr">
        <is>
          <t>2025-11</t>
        </is>
      </c>
      <c r="D838" s="75" t="n">
        <v>2025</v>
      </c>
      <c r="E838" s="75" t="inlineStr">
        <is>
          <t>Housing</t>
        </is>
      </c>
      <c r="F838" s="75" t="inlineStr">
        <is>
          <t>Plot / unit price</t>
        </is>
      </c>
      <c r="G838" s="75" t="inlineStr">
        <is>
          <t>Baay Foreshore</t>
        </is>
      </c>
      <c r="H838" s="75" t="inlineStr">
        <is>
          <t>BP-C0055</t>
        </is>
      </c>
      <c r="I838" s="75" t="inlineStr">
        <is>
          <t>Mr Adeniji Oluwatosin Ademola</t>
        </is>
      </c>
      <c r="J838" s="77" t="n">
        <v>2500000</v>
      </c>
      <c r="K838" s="75" t="n"/>
      <c r="L838" s="75" t="inlineStr">
        <is>
          <t>Secondary: commission records; no monthly turnover register for this period</t>
        </is>
      </c>
      <c r="M838" s="75" t="inlineStr">
        <is>
          <t>BAAY PROJECTS SALES EXPENSES (COMMISSION) RECORDS (1)</t>
        </is>
      </c>
      <c r="N838" s="75" t="inlineStr">
        <is>
          <t>MS BOLANLE</t>
        </is>
      </c>
      <c r="O838" s="75" t="n">
        <v>206</v>
      </c>
      <c r="P838" s="75" t="inlineStr">
        <is>
          <t>2025-06-11</t>
        </is>
      </c>
      <c r="Q838" s="75" t="n"/>
      <c r="R838" s="75" t="inlineStr">
        <is>
          <t>Commission-record amount: confirm to bank statement (records can aggregate several transfers)</t>
        </is>
      </c>
    </row>
    <row r="839" ht="25" customHeight="1">
      <c r="A839" s="78" t="inlineStr">
        <is>
          <t>SL0816</t>
        </is>
      </c>
      <c r="B839" s="79" t="n">
        <v>45972</v>
      </c>
      <c r="C839" s="78" t="inlineStr">
        <is>
          <t>2025-11</t>
        </is>
      </c>
      <c r="D839" s="78" t="n">
        <v>2025</v>
      </c>
      <c r="E839" s="78" t="inlineStr">
        <is>
          <t>Housing</t>
        </is>
      </c>
      <c r="F839" s="78" t="inlineStr">
        <is>
          <t>Plot / unit price</t>
        </is>
      </c>
      <c r="G839" s="78" t="inlineStr">
        <is>
          <t>Gorge View Court (GVC Gbagada)</t>
        </is>
      </c>
      <c r="H839" s="78" t="inlineStr">
        <is>
          <t>BP-C0217</t>
        </is>
      </c>
      <c r="I839" s="78" t="inlineStr">
        <is>
          <t>Mr Akinsola Joseph Mofoluwaso</t>
        </is>
      </c>
      <c r="J839" s="80" t="n">
        <v>170000000</v>
      </c>
      <c r="K839" s="78" t="n"/>
      <c r="L839" s="78" t="inlineStr">
        <is>
          <t>Secondary: commission records; no monthly turnover register for this period</t>
        </is>
      </c>
      <c r="M839" s="78" t="inlineStr">
        <is>
          <t>BAAY PROJECTS SALES EXPENSES (COMMISSION) RECORDS (1)</t>
        </is>
      </c>
      <c r="N839" s="78" t="inlineStr">
        <is>
          <t>EXTREME OASIS (MD REALTOR GVC)</t>
        </is>
      </c>
      <c r="O839" s="78" t="n">
        <v>2</v>
      </c>
      <c r="P839" s="78" t="inlineStr">
        <is>
          <t>2025-11-11</t>
        </is>
      </c>
      <c r="Q839" s="78" t="n"/>
      <c r="R839" s="78" t="inlineStr">
        <is>
          <t>Commission-record amount: confirm to bank statement (records can aggregate several transfers)</t>
        </is>
      </c>
    </row>
    <row r="840" ht="25" customHeight="1">
      <c r="A840" s="75" t="inlineStr">
        <is>
          <t>SL0817</t>
        </is>
      </c>
      <c r="B840" s="76" t="n">
        <v>45973</v>
      </c>
      <c r="C840" s="75" t="inlineStr">
        <is>
          <t>2025-11</t>
        </is>
      </c>
      <c r="D840" s="75" t="n">
        <v>2025</v>
      </c>
      <c r="E840" s="75" t="inlineStr">
        <is>
          <t>Housing</t>
        </is>
      </c>
      <c r="F840" s="75" t="inlineStr">
        <is>
          <t>Plot / unit price</t>
        </is>
      </c>
      <c r="G840" s="75" t="inlineStr">
        <is>
          <t>Gorge View Court (GVC Gbagada)</t>
        </is>
      </c>
      <c r="H840" s="75" t="inlineStr">
        <is>
          <t>BP-C0217</t>
        </is>
      </c>
      <c r="I840" s="75" t="inlineStr">
        <is>
          <t>Mr Akinsola Joseph Mofoluwaso</t>
        </is>
      </c>
      <c r="J840" s="77" t="n">
        <v>30000000</v>
      </c>
      <c r="K840" s="75" t="n"/>
      <c r="L840" s="75" t="inlineStr">
        <is>
          <t>Secondary: commission records; no monthly turnover register for this period</t>
        </is>
      </c>
      <c r="M840" s="75" t="inlineStr">
        <is>
          <t>BAAY PROJECTS SALES EXPENSES (COMMISSION) RECORDS (1)</t>
        </is>
      </c>
      <c r="N840" s="75" t="inlineStr">
        <is>
          <t>EXTREME OASIS (MD REALTOR GVC)</t>
        </is>
      </c>
      <c r="O840" s="75" t="n">
        <v>3</v>
      </c>
      <c r="P840" s="75" t="inlineStr">
        <is>
          <t>2025-12-11</t>
        </is>
      </c>
      <c r="Q840" s="75" t="n"/>
      <c r="R840" s="75" t="inlineStr">
        <is>
          <t>Commission-record amount: confirm to bank statement (records can aggregate several transfers)</t>
        </is>
      </c>
    </row>
    <row r="841" ht="25" customHeight="1">
      <c r="A841" s="78" t="inlineStr">
        <is>
          <t>SL0818</t>
        </is>
      </c>
      <c r="B841" s="79" t="n">
        <v>45974</v>
      </c>
      <c r="C841" s="78" t="inlineStr">
        <is>
          <t>2025-11</t>
        </is>
      </c>
      <c r="D841" s="78" t="n">
        <v>2025</v>
      </c>
      <c r="E841" s="78" t="inlineStr">
        <is>
          <t>Housing</t>
        </is>
      </c>
      <c r="F841" s="78" t="inlineStr">
        <is>
          <t>Plot / unit price</t>
        </is>
      </c>
      <c r="G841" s="78" t="inlineStr">
        <is>
          <t>Baay Foreshore</t>
        </is>
      </c>
      <c r="H841" s="78" t="inlineStr">
        <is>
          <t>BP-C0215</t>
        </is>
      </c>
      <c r="I841" s="78" t="inlineStr">
        <is>
          <t>Landnest (Mrs Lukoh)</t>
        </is>
      </c>
      <c r="J841" s="80" t="n">
        <v>5000000</v>
      </c>
      <c r="K841" s="78" t="n"/>
      <c r="L841" s="78" t="inlineStr">
        <is>
          <t>Secondary: commission records; no monthly turnover register for this period</t>
        </is>
      </c>
      <c r="M841" s="78" t="inlineStr">
        <is>
          <t>BAAY PROJECTS SALES EXPENSES (COMMISSION) RECORDS (1)</t>
        </is>
      </c>
      <c r="N841" s="78" t="inlineStr">
        <is>
          <t>LANDNEST HOMES</t>
        </is>
      </c>
      <c r="O841" s="78" t="n">
        <v>26</v>
      </c>
      <c r="P841" s="78" t="inlineStr">
        <is>
          <t>13/11/2025</t>
        </is>
      </c>
      <c r="Q841" s="78" t="n"/>
      <c r="R841" s="78" t="inlineStr">
        <is>
          <t>Commission-record amount: confirm to bank statement (records can aggregate several transfers)</t>
        </is>
      </c>
    </row>
    <row r="842" ht="25" customHeight="1">
      <c r="A842" s="75" t="inlineStr">
        <is>
          <t>SL0819</t>
        </is>
      </c>
      <c r="B842" s="76" t="n">
        <v>45974</v>
      </c>
      <c r="C842" s="75" t="inlineStr">
        <is>
          <t>2025-11</t>
        </is>
      </c>
      <c r="D842" s="75" t="n">
        <v>2025</v>
      </c>
      <c r="E842" s="75" t="inlineStr">
        <is>
          <t>Housing</t>
        </is>
      </c>
      <c r="F842" s="75" t="inlineStr">
        <is>
          <t>Plot / unit price</t>
        </is>
      </c>
      <c r="G842" s="75" t="inlineStr">
        <is>
          <t>Baay Foreshore</t>
        </is>
      </c>
      <c r="H842" s="75" t="inlineStr">
        <is>
          <t>BP-C0218</t>
        </is>
      </c>
      <c r="I842" s="75" t="inlineStr">
        <is>
          <t>Landnest Homes (Mrs Ayomipo)</t>
        </is>
      </c>
      <c r="J842" s="77" t="n">
        <v>5000000</v>
      </c>
      <c r="K842" s="75" t="n"/>
      <c r="L842" s="75" t="inlineStr">
        <is>
          <t>Secondary: commission records; no monthly turnover register for this period</t>
        </is>
      </c>
      <c r="M842" s="75" t="inlineStr">
        <is>
          <t>BAAY PROJECTS SALES EXPENSES (COMMISSION) RECORDS (1)</t>
        </is>
      </c>
      <c r="N842" s="75" t="inlineStr">
        <is>
          <t>LANDNEST HOMES</t>
        </is>
      </c>
      <c r="O842" s="75" t="n">
        <v>27</v>
      </c>
      <c r="P842" s="75" t="inlineStr">
        <is>
          <t>13/11/2025</t>
        </is>
      </c>
      <c r="Q842" s="75" t="n"/>
      <c r="R842" s="75" t="inlineStr">
        <is>
          <t>Commission-record amount: confirm to bank statement (records can aggregate several transfers)</t>
        </is>
      </c>
    </row>
    <row r="843" ht="25" customHeight="1">
      <c r="A843" s="78" t="inlineStr">
        <is>
          <t>SL0820</t>
        </is>
      </c>
      <c r="B843" s="79" t="n">
        <v>45980</v>
      </c>
      <c r="C843" s="78" t="inlineStr">
        <is>
          <t>2025-11</t>
        </is>
      </c>
      <c r="D843" s="78" t="n">
        <v>2025</v>
      </c>
      <c r="E843" s="78" t="inlineStr">
        <is>
          <t>Housing</t>
        </is>
      </c>
      <c r="F843" s="78" t="inlineStr">
        <is>
          <t>Plot / unit price</t>
        </is>
      </c>
      <c r="G843" s="78" t="inlineStr">
        <is>
          <t>Gorge View Court (GVC Gbagada)</t>
        </is>
      </c>
      <c r="H843" s="78" t="inlineStr">
        <is>
          <t>BP-C0217</t>
        </is>
      </c>
      <c r="I843" s="78" t="inlineStr">
        <is>
          <t>Mr Akinsola Joseph Mofoluwaso</t>
        </is>
      </c>
      <c r="J843" s="80" t="n">
        <v>10000000</v>
      </c>
      <c r="K843" s="78" t="n"/>
      <c r="L843" s="78" t="inlineStr">
        <is>
          <t>Secondary: commission records; no monthly turnover register for this period</t>
        </is>
      </c>
      <c r="M843" s="78" t="inlineStr">
        <is>
          <t>BAAY PROJECTS SALES EXPENSES (COMMISSION) RECORDS (1)</t>
        </is>
      </c>
      <c r="N843" s="78" t="inlineStr">
        <is>
          <t>EXTREME OASIS (MD REALTOR GVC)</t>
        </is>
      </c>
      <c r="O843" s="78" t="n">
        <v>10</v>
      </c>
      <c r="P843" s="78" t="inlineStr">
        <is>
          <t>19/11/2025</t>
        </is>
      </c>
      <c r="Q843" s="78" t="n"/>
      <c r="R843" s="78" t="inlineStr">
        <is>
          <t>Commission-record amount: confirm to bank statement (records can aggregate several transfers)</t>
        </is>
      </c>
    </row>
    <row r="844" ht="25" customHeight="1">
      <c r="A844" s="75" t="inlineStr">
        <is>
          <t>SL0821</t>
        </is>
      </c>
      <c r="B844" s="76" t="n">
        <v>45981</v>
      </c>
      <c r="C844" s="75" t="inlineStr">
        <is>
          <t>2025-11</t>
        </is>
      </c>
      <c r="D844" s="75" t="n">
        <v>2025</v>
      </c>
      <c r="E844" s="75" t="inlineStr">
        <is>
          <t>Housing</t>
        </is>
      </c>
      <c r="F844" s="75" t="inlineStr">
        <is>
          <t>Plot / unit price</t>
        </is>
      </c>
      <c r="G844" s="75" t="inlineStr">
        <is>
          <t>Gorge View Court (GVC Gbagada)</t>
        </is>
      </c>
      <c r="H844" s="75" t="inlineStr">
        <is>
          <t>BP-C0217</t>
        </is>
      </c>
      <c r="I844" s="75" t="inlineStr">
        <is>
          <t>Mr Akinsola Joseph Mofoluwaso</t>
        </is>
      </c>
      <c r="J844" s="77" t="n">
        <v>10000000</v>
      </c>
      <c r="K844" s="75" t="n"/>
      <c r="L844" s="75" t="inlineStr">
        <is>
          <t>Secondary: commission records; no monthly turnover register for this period</t>
        </is>
      </c>
      <c r="M844" s="75" t="inlineStr">
        <is>
          <t>BAAY PROJECTS SALES EXPENSES (COMMISSION) RECORDS (1)</t>
        </is>
      </c>
      <c r="N844" s="75" t="inlineStr">
        <is>
          <t>EXTREME OASIS (MD REALTOR GVC)</t>
        </is>
      </c>
      <c r="O844" s="75" t="n">
        <v>11</v>
      </c>
      <c r="P844" s="75" t="inlineStr">
        <is>
          <t>20/11/2025</t>
        </is>
      </c>
      <c r="Q844" s="75" t="n"/>
      <c r="R844" s="75" t="inlineStr">
        <is>
          <t>Commission-record amount: confirm to bank statement (records can aggregate several transfers)</t>
        </is>
      </c>
    </row>
    <row r="845" ht="25" customHeight="1">
      <c r="A845" s="78" t="inlineStr">
        <is>
          <t>SL0822</t>
        </is>
      </c>
      <c r="B845" s="79" t="n">
        <v>45982</v>
      </c>
      <c r="C845" s="78" t="inlineStr">
        <is>
          <t>2025-11</t>
        </is>
      </c>
      <c r="D845" s="78" t="n">
        <v>2025</v>
      </c>
      <c r="E845" s="78" t="inlineStr">
        <is>
          <t>Housing</t>
        </is>
      </c>
      <c r="F845" s="78" t="inlineStr">
        <is>
          <t>Plot / unit price</t>
        </is>
      </c>
      <c r="G845" s="78" t="inlineStr">
        <is>
          <t>Baay Foreshore</t>
        </is>
      </c>
      <c r="H845" s="78" t="inlineStr">
        <is>
          <t>BP-C0132</t>
        </is>
      </c>
      <c r="I845" s="78" t="inlineStr">
        <is>
          <t>Mr Adekunle Temitope Ajayi</t>
        </is>
      </c>
      <c r="J845" s="80" t="n">
        <v>2000000</v>
      </c>
      <c r="K845" s="78" t="n"/>
      <c r="L845" s="78" t="inlineStr">
        <is>
          <t>Secondary: commission records; no monthly turnover register for this period</t>
        </is>
      </c>
      <c r="M845" s="78" t="inlineStr">
        <is>
          <t>BAAY PROJECTS SALES EXPENSES (COMMISSION) RECORDS (1)</t>
        </is>
      </c>
      <c r="N845" s="78" t="inlineStr">
        <is>
          <t>MS OPEYEMI ADEGOKE</t>
        </is>
      </c>
      <c r="O845" s="78" t="n">
        <v>37</v>
      </c>
      <c r="P845" s="78" t="inlineStr">
        <is>
          <t>21/11/2025</t>
        </is>
      </c>
      <c r="Q845" s="78" t="n"/>
      <c r="R845" s="78" t="inlineStr">
        <is>
          <t>Commission-record amount: confirm to bank statement (records can aggregate several transfers)</t>
        </is>
      </c>
    </row>
    <row r="846" ht="25" customHeight="1">
      <c r="A846" s="75" t="inlineStr">
        <is>
          <t>SL0823</t>
        </is>
      </c>
      <c r="B846" s="76" t="n">
        <v>45982</v>
      </c>
      <c r="C846" s="75" t="inlineStr">
        <is>
          <t>2025-11</t>
        </is>
      </c>
      <c r="D846" s="75" t="n">
        <v>2025</v>
      </c>
      <c r="E846" s="75" t="inlineStr">
        <is>
          <t>Housing</t>
        </is>
      </c>
      <c r="F846" s="75" t="inlineStr">
        <is>
          <t>Plot / unit price</t>
        </is>
      </c>
      <c r="G846" s="75" t="inlineStr">
        <is>
          <t>Baay Foreshore</t>
        </is>
      </c>
      <c r="H846" s="75" t="inlineStr">
        <is>
          <t>BP-C0219</t>
        </is>
      </c>
      <c r="I846" s="75" t="inlineStr">
        <is>
          <t>Mr Sunday Ali Patrick</t>
        </is>
      </c>
      <c r="J846" s="77" t="n">
        <v>5000000</v>
      </c>
      <c r="K846" s="75" t="n"/>
      <c r="L846" s="75" t="inlineStr">
        <is>
          <t>Secondary: commission records; no monthly turnover register for this period</t>
        </is>
      </c>
      <c r="M846" s="75" t="inlineStr">
        <is>
          <t>BAAY PROJECTS SALES EXPENSES (COMMISSION) RECORDS (1)</t>
        </is>
      </c>
      <c r="N846" s="75" t="inlineStr">
        <is>
          <t>MARKETING DEPT</t>
        </is>
      </c>
      <c r="O846" s="75" t="n">
        <v>2</v>
      </c>
      <c r="P846" s="75" t="inlineStr">
        <is>
          <t>21/11/2025</t>
        </is>
      </c>
      <c r="Q846" s="75" t="inlineStr">
        <is>
          <t>MS MAYOWA BRAIMOH r99</t>
        </is>
      </c>
      <c r="R846" s="75" t="inlineStr">
        <is>
          <t>Commission-record amount: confirm to bank statement (records can aggregate several transfers)</t>
        </is>
      </c>
    </row>
    <row r="847" ht="25" customHeight="1">
      <c r="A847" s="78" t="inlineStr">
        <is>
          <t>SL0824</t>
        </is>
      </c>
      <c r="B847" s="79" t="n">
        <v>45986</v>
      </c>
      <c r="C847" s="78" t="inlineStr">
        <is>
          <t>2025-11</t>
        </is>
      </c>
      <c r="D847" s="78" t="n">
        <v>2025</v>
      </c>
      <c r="E847" s="78" t="inlineStr">
        <is>
          <t>Housing</t>
        </is>
      </c>
      <c r="F847" s="78" t="inlineStr">
        <is>
          <t>Plot / unit price</t>
        </is>
      </c>
      <c r="G847" s="78" t="inlineStr">
        <is>
          <t>Pacific Apartment</t>
        </is>
      </c>
      <c r="H847" s="78" t="inlineStr">
        <is>
          <t>BP-C0202</t>
        </is>
      </c>
      <c r="I847" s="78" t="inlineStr">
        <is>
          <t>Miss Yesher Yakubu &amp; Miss Hadassah Yakubu</t>
        </is>
      </c>
      <c r="J847" s="80" t="n">
        <v>1700000</v>
      </c>
      <c r="K847" s="78" t="n"/>
      <c r="L847" s="78" t="inlineStr">
        <is>
          <t>Secondary: commission records; no monthly turnover register for this period</t>
        </is>
      </c>
      <c r="M847" s="78" t="inlineStr">
        <is>
          <t>BAAY PROJECTS SALES EXPENSES (COMMISSION) RECORDS (1)</t>
        </is>
      </c>
      <c r="N847" s="78" t="inlineStr">
        <is>
          <t>MS MOFFAT</t>
        </is>
      </c>
      <c r="O847" s="78" t="n">
        <v>96</v>
      </c>
      <c r="P847" s="78" t="inlineStr">
        <is>
          <t>25/11/2025</t>
        </is>
      </c>
      <c r="Q847" s="78" t="n"/>
      <c r="R847" s="78" t="inlineStr">
        <is>
          <t>Commission-record amount: confirm to bank statement (records can aggregate several transfers)</t>
        </is>
      </c>
    </row>
    <row r="848" ht="25" customHeight="1">
      <c r="A848" s="75" t="inlineStr">
        <is>
          <t>SL0825</t>
        </is>
      </c>
      <c r="B848" s="76" t="n">
        <v>45986</v>
      </c>
      <c r="C848" s="75" t="inlineStr">
        <is>
          <t>2025-11</t>
        </is>
      </c>
      <c r="D848" s="75" t="n">
        <v>2025</v>
      </c>
      <c r="E848" s="75" t="inlineStr">
        <is>
          <t>Housing</t>
        </is>
      </c>
      <c r="F848" s="75" t="inlineStr">
        <is>
          <t>Plot / unit price</t>
        </is>
      </c>
      <c r="G848" s="75" t="inlineStr">
        <is>
          <t>Baay Foreshore</t>
        </is>
      </c>
      <c r="H848" s="75" t="inlineStr">
        <is>
          <t>BP-C0213</t>
        </is>
      </c>
      <c r="I848" s="75" t="inlineStr">
        <is>
          <t>Mr Adelani Ibrahim Akinkunmi</t>
        </is>
      </c>
      <c r="J848" s="77" t="n">
        <v>2500000</v>
      </c>
      <c r="K848" s="75" t="n"/>
      <c r="L848" s="75" t="inlineStr">
        <is>
          <t>Secondary: commission records; no monthly turnover register for this period</t>
        </is>
      </c>
      <c r="M848" s="75" t="inlineStr">
        <is>
          <t>BAAY PROJECTS SALES EXPENSES (COMMISSION) RECORDS (1)</t>
        </is>
      </c>
      <c r="N848" s="75" t="inlineStr">
        <is>
          <t>MS BOLANLE</t>
        </is>
      </c>
      <c r="O848" s="75" t="n">
        <v>204</v>
      </c>
      <c r="P848" s="75" t="inlineStr">
        <is>
          <t>25/11/2025</t>
        </is>
      </c>
      <c r="Q848" s="75" t="n"/>
      <c r="R848" s="75" t="inlineStr">
        <is>
          <t>Commission-record amount: confirm to bank statement (records can aggregate several transfers)</t>
        </is>
      </c>
    </row>
    <row r="849" ht="25" customHeight="1">
      <c r="A849" s="78" t="inlineStr">
        <is>
          <t>SL0826</t>
        </is>
      </c>
      <c r="B849" s="79" t="n">
        <v>45986</v>
      </c>
      <c r="C849" s="78" t="inlineStr">
        <is>
          <t>2025-11</t>
        </is>
      </c>
      <c r="D849" s="78" t="n">
        <v>2025</v>
      </c>
      <c r="E849" s="78" t="inlineStr">
        <is>
          <t>Housing</t>
        </is>
      </c>
      <c r="F849" s="78" t="inlineStr">
        <is>
          <t>Plot / unit price</t>
        </is>
      </c>
      <c r="G849" s="78" t="inlineStr">
        <is>
          <t>Gorge View Court (GVC Gbagada)</t>
        </is>
      </c>
      <c r="H849" s="78" t="inlineStr">
        <is>
          <t>BP-C0217</t>
        </is>
      </c>
      <c r="I849" s="78" t="inlineStr">
        <is>
          <t>Mr Akinsola Joseph Mofoluwaso</t>
        </is>
      </c>
      <c r="J849" s="80" t="n">
        <v>10000000</v>
      </c>
      <c r="K849" s="78" t="n"/>
      <c r="L849" s="78" t="inlineStr">
        <is>
          <t>Secondary: commission records; no monthly turnover register for this period</t>
        </is>
      </c>
      <c r="M849" s="78" t="inlineStr">
        <is>
          <t>BAAY PROJECTS SALES EXPENSES (COMMISSION) RECORDS (1)</t>
        </is>
      </c>
      <c r="N849" s="78" t="inlineStr">
        <is>
          <t>EXTREME OASIS (MD REALTOR GVC)</t>
        </is>
      </c>
      <c r="O849" s="78" t="n">
        <v>18</v>
      </c>
      <c r="P849" s="78" t="inlineStr">
        <is>
          <t>25/11/2025</t>
        </is>
      </c>
      <c r="Q849" s="78" t="n"/>
      <c r="R849" s="78" t="inlineStr">
        <is>
          <t>Commission-record amount: confirm to bank statement (records can aggregate several transfers)</t>
        </is>
      </c>
    </row>
    <row r="850" ht="25" customHeight="1">
      <c r="A850" s="75" t="inlineStr">
        <is>
          <t>SL0827</t>
        </is>
      </c>
      <c r="B850" s="76" t="n">
        <v>45987</v>
      </c>
      <c r="C850" s="75" t="inlineStr">
        <is>
          <t>2025-11</t>
        </is>
      </c>
      <c r="D850" s="75" t="n">
        <v>2025</v>
      </c>
      <c r="E850" s="75" t="inlineStr">
        <is>
          <t>Housing</t>
        </is>
      </c>
      <c r="F850" s="75" t="inlineStr">
        <is>
          <t>Plot / unit price</t>
        </is>
      </c>
      <c r="G850" s="75" t="inlineStr">
        <is>
          <t>Baay Foreshore</t>
        </is>
      </c>
      <c r="H850" s="75" t="inlineStr">
        <is>
          <t>BP-C0132</t>
        </is>
      </c>
      <c r="I850" s="75" t="inlineStr">
        <is>
          <t>Mr Adekunle Temitope Ajayi</t>
        </is>
      </c>
      <c r="J850" s="77" t="n">
        <v>5000000</v>
      </c>
      <c r="K850" s="75" t="n"/>
      <c r="L850" s="75" t="inlineStr">
        <is>
          <t>Secondary: commission records; no monthly turnover register for this period</t>
        </is>
      </c>
      <c r="M850" s="75" t="inlineStr">
        <is>
          <t>BAAY PROJECTS SALES EXPENSES (COMMISSION) RECORDS (1)</t>
        </is>
      </c>
      <c r="N850" s="75" t="inlineStr">
        <is>
          <t>MS OPEYEMI ADEGOKE</t>
        </is>
      </c>
      <c r="O850" s="75" t="n">
        <v>38</v>
      </c>
      <c r="P850" s="75" t="inlineStr">
        <is>
          <t>26/11/2025</t>
        </is>
      </c>
      <c r="Q850" s="75" t="n"/>
      <c r="R850" s="75" t="inlineStr">
        <is>
          <t>Commission-record amount: confirm to bank statement (records can aggregate several transfers)</t>
        </is>
      </c>
    </row>
    <row r="851" ht="25" customHeight="1">
      <c r="A851" s="78" t="inlineStr">
        <is>
          <t>SL0828</t>
        </is>
      </c>
      <c r="B851" s="79" t="n">
        <v>45987</v>
      </c>
      <c r="C851" s="78" t="inlineStr">
        <is>
          <t>2025-11</t>
        </is>
      </c>
      <c r="D851" s="78" t="n">
        <v>2025</v>
      </c>
      <c r="E851" s="78" t="inlineStr">
        <is>
          <t>Housing</t>
        </is>
      </c>
      <c r="F851" s="78" t="inlineStr">
        <is>
          <t>Plot / unit price</t>
        </is>
      </c>
      <c r="G851" s="78" t="inlineStr">
        <is>
          <t>Baay Foreshore</t>
        </is>
      </c>
      <c r="H851" s="78" t="inlineStr">
        <is>
          <t>BP-C0214</t>
        </is>
      </c>
      <c r="I851" s="78" t="inlineStr">
        <is>
          <t>Mrs Taiwo Adeyinka</t>
        </is>
      </c>
      <c r="J851" s="80" t="n">
        <v>5000000</v>
      </c>
      <c r="K851" s="78" t="n"/>
      <c r="L851" s="78" t="inlineStr">
        <is>
          <t>Secondary: commission records; no monthly turnover register for this period</t>
        </is>
      </c>
      <c r="M851" s="78" t="inlineStr">
        <is>
          <t>BAAY PROJECTS SALES EXPENSES (COMMISSION) RECORDS (1)</t>
        </is>
      </c>
      <c r="N851" s="78" t="inlineStr">
        <is>
          <t>MS BOLANLE</t>
        </is>
      </c>
      <c r="O851" s="78" t="n">
        <v>205</v>
      </c>
      <c r="P851" s="78" t="inlineStr">
        <is>
          <t>26/11/2025</t>
        </is>
      </c>
      <c r="Q851" s="78" t="n"/>
      <c r="R851" s="78" t="inlineStr">
        <is>
          <t>Commission-record amount: confirm to bank statement (records can aggregate several transfers)</t>
        </is>
      </c>
    </row>
    <row r="852" ht="25" customHeight="1">
      <c r="A852" s="75" t="inlineStr">
        <is>
          <t>SL0829</t>
        </is>
      </c>
      <c r="B852" s="76" t="n">
        <v>45987</v>
      </c>
      <c r="C852" s="75" t="inlineStr">
        <is>
          <t>2025-11</t>
        </is>
      </c>
      <c r="D852" s="75" t="n">
        <v>2025</v>
      </c>
      <c r="E852" s="75" t="inlineStr">
        <is>
          <t>Housing</t>
        </is>
      </c>
      <c r="F852" s="75" t="inlineStr">
        <is>
          <t>Plot / unit price</t>
        </is>
      </c>
      <c r="G852" s="75" t="inlineStr">
        <is>
          <t>Baay Foreshore</t>
        </is>
      </c>
      <c r="H852" s="75" t="inlineStr">
        <is>
          <t>BP-C0214</t>
        </is>
      </c>
      <c r="I852" s="75" t="inlineStr">
        <is>
          <t>Mrs Taiwo Adeyinka</t>
        </is>
      </c>
      <c r="J852" s="77" t="n">
        <v>2500000</v>
      </c>
      <c r="K852" s="75" t="n"/>
      <c r="L852" s="75" t="inlineStr">
        <is>
          <t>Secondary: commission records; no monthly turnover register for this period</t>
        </is>
      </c>
      <c r="M852" s="75" t="inlineStr">
        <is>
          <t>BAAY PROJECTS SALES EXPENSES (COMMISSION) RECORDS (1)</t>
        </is>
      </c>
      <c r="N852" s="75" t="inlineStr">
        <is>
          <t>MS BOLANLE</t>
        </is>
      </c>
      <c r="O852" s="75" t="n">
        <v>226</v>
      </c>
      <c r="P852" s="75" t="inlineStr">
        <is>
          <t>26/11/2025</t>
        </is>
      </c>
      <c r="Q852" s="75" t="n"/>
      <c r="R852" s="75" t="inlineStr">
        <is>
          <t>Commission-record amount: confirm to bank statement (records can aggregate several transfers)</t>
        </is>
      </c>
    </row>
    <row r="853" ht="25" customHeight="1">
      <c r="A853" s="78" t="inlineStr">
        <is>
          <t>SL0830</t>
        </is>
      </c>
      <c r="B853" s="79" t="n">
        <v>45988</v>
      </c>
      <c r="C853" s="78" t="inlineStr">
        <is>
          <t>2025-11</t>
        </is>
      </c>
      <c r="D853" s="78" t="n">
        <v>2025</v>
      </c>
      <c r="E853" s="78" t="inlineStr">
        <is>
          <t>Housing</t>
        </is>
      </c>
      <c r="F853" s="78" t="inlineStr">
        <is>
          <t>Plot / unit price</t>
        </is>
      </c>
      <c r="G853" s="78" t="inlineStr">
        <is>
          <t>Gorge View Court (GVC Gbagada)</t>
        </is>
      </c>
      <c r="H853" s="78" t="inlineStr">
        <is>
          <t>BP-C0217</t>
        </is>
      </c>
      <c r="I853" s="78" t="inlineStr">
        <is>
          <t>Mr Akinsola Joseph Mofoluwaso</t>
        </is>
      </c>
      <c r="J853" s="80" t="n">
        <v>10000000</v>
      </c>
      <c r="K853" s="78" t="n"/>
      <c r="L853" s="78" t="inlineStr">
        <is>
          <t>Secondary: commission records; no monthly turnover register for this period</t>
        </is>
      </c>
      <c r="M853" s="78" t="inlineStr">
        <is>
          <t>BAAY PROJECTS SALES EXPENSES (COMMISSION) RECORDS (1)</t>
        </is>
      </c>
      <c r="N853" s="78" t="inlineStr">
        <is>
          <t>EXTREME OASIS (MD REALTOR GVC)</t>
        </is>
      </c>
      <c r="O853" s="78" t="n">
        <v>25</v>
      </c>
      <c r="P853" s="78" t="inlineStr">
        <is>
          <t>27/11/2025</t>
        </is>
      </c>
      <c r="Q853" s="78" t="n"/>
      <c r="R853" s="78" t="inlineStr">
        <is>
          <t>Commission-record amount: confirm to bank statement (records can aggregate several transfers)</t>
        </is>
      </c>
    </row>
    <row r="854" ht="25" customHeight="1">
      <c r="A854" s="75" t="inlineStr">
        <is>
          <t>SL0831</t>
        </is>
      </c>
      <c r="B854" s="76" t="n">
        <v>45992</v>
      </c>
      <c r="C854" s="75" t="inlineStr">
        <is>
          <t>2025-12</t>
        </is>
      </c>
      <c r="D854" s="75" t="n">
        <v>2025</v>
      </c>
      <c r="E854" s="75" t="inlineStr">
        <is>
          <t>Housing</t>
        </is>
      </c>
      <c r="F854" s="75" t="inlineStr">
        <is>
          <t>Plot / unit price</t>
        </is>
      </c>
      <c r="G854" s="75" t="inlineStr">
        <is>
          <t>Gorge View Court (GVC Gbagada)</t>
        </is>
      </c>
      <c r="H854" s="75" t="inlineStr">
        <is>
          <t>BP-C0217</t>
        </is>
      </c>
      <c r="I854" s="75" t="inlineStr">
        <is>
          <t>Mr Akinsola Joseph Mofoluwaso</t>
        </is>
      </c>
      <c r="J854" s="77" t="n">
        <v>10000000</v>
      </c>
      <c r="K854" s="75" t="n"/>
      <c r="L854" s="75" t="inlineStr">
        <is>
          <t>Secondary: commission records; no monthly turnover register for this period</t>
        </is>
      </c>
      <c r="M854" s="75" t="inlineStr">
        <is>
          <t>BAAY PROJECTS SALES EXPENSES (COMMISSION) RECORDS (1)</t>
        </is>
      </c>
      <c r="N854" s="75" t="inlineStr">
        <is>
          <t>EXTREME OASIS (MD REALTOR GVC)</t>
        </is>
      </c>
      <c r="O854" s="75" t="n">
        <v>32</v>
      </c>
      <c r="P854" s="75" t="inlineStr">
        <is>
          <t>2025-01-12</t>
        </is>
      </c>
      <c r="Q854" s="75" t="n"/>
      <c r="R854" s="75" t="inlineStr">
        <is>
          <t>Commission-record amount: confirm to bank statement (records can aggregate several transfers)</t>
        </is>
      </c>
    </row>
    <row r="855" ht="25" customHeight="1">
      <c r="A855" s="78" t="inlineStr">
        <is>
          <t>SL0832</t>
        </is>
      </c>
      <c r="B855" s="79" t="n">
        <v>45996</v>
      </c>
      <c r="C855" s="78" t="inlineStr">
        <is>
          <t>2025-12</t>
        </is>
      </c>
      <c r="D855" s="78" t="n">
        <v>2025</v>
      </c>
      <c r="E855" s="78" t="inlineStr">
        <is>
          <t>Housing</t>
        </is>
      </c>
      <c r="F855" s="78" t="inlineStr">
        <is>
          <t>Plot / unit price</t>
        </is>
      </c>
      <c r="G855" s="78" t="inlineStr">
        <is>
          <t>Pacific Apartment</t>
        </is>
      </c>
      <c r="H855" s="78" t="inlineStr">
        <is>
          <t>BP-C0192</t>
        </is>
      </c>
      <c r="I855" s="78" t="inlineStr">
        <is>
          <t>Dr Esangbedo Wilson</t>
        </is>
      </c>
      <c r="J855" s="80" t="n">
        <v>5000000</v>
      </c>
      <c r="K855" s="78" t="n"/>
      <c r="L855" s="78" t="inlineStr">
        <is>
          <t>Secondary: commission records; no monthly turnover register for this period</t>
        </is>
      </c>
      <c r="M855" s="78" t="inlineStr">
        <is>
          <t>BAAY PROJECTS SALES EXPENSES (COMMISSION) RECORDS (1)</t>
        </is>
      </c>
      <c r="N855" s="78" t="inlineStr">
        <is>
          <t>MS MOFFAT</t>
        </is>
      </c>
      <c r="O855" s="78" t="n">
        <v>102</v>
      </c>
      <c r="P855" s="78" t="inlineStr">
        <is>
          <t>2025-05-12</t>
        </is>
      </c>
      <c r="Q855" s="78" t="n"/>
      <c r="R855" s="78" t="inlineStr">
        <is>
          <t>Commission-record amount: confirm to bank statement (records can aggregate several transfers)</t>
        </is>
      </c>
    </row>
    <row r="856" ht="25" customHeight="1">
      <c r="A856" s="75" t="inlineStr">
        <is>
          <t>SL0833</t>
        </is>
      </c>
      <c r="B856" s="76" t="n">
        <v>45996</v>
      </c>
      <c r="C856" s="75" t="inlineStr">
        <is>
          <t>2025-12</t>
        </is>
      </c>
      <c r="D856" s="75" t="n">
        <v>2025</v>
      </c>
      <c r="E856" s="75" t="inlineStr">
        <is>
          <t>Land</t>
        </is>
      </c>
      <c r="F856" s="75" t="inlineStr">
        <is>
          <t>Plot / unit price</t>
        </is>
      </c>
      <c r="G856" s="75" t="inlineStr">
        <is>
          <t>Land (estate not stated in source)</t>
        </is>
      </c>
      <c r="H856" s="75" t="inlineStr">
        <is>
          <t>BP-C0220</t>
        </is>
      </c>
      <c r="I856" s="75" t="inlineStr">
        <is>
          <t>Mr Ayeni Mayowa Olumide Ibitayo Mercy</t>
        </is>
      </c>
      <c r="J856" s="77" t="n">
        <v>1000000</v>
      </c>
      <c r="K856" s="75" t="n"/>
      <c r="L856" s="75" t="inlineStr">
        <is>
          <t>Secondary: commission records; no monthly turnover register for this period</t>
        </is>
      </c>
      <c r="M856" s="75" t="inlineStr">
        <is>
          <t>BAAY PROJECTS SALES EXPENSES (COMMISSION) RECORDS (1)</t>
        </is>
      </c>
      <c r="N856" s="75" t="inlineStr">
        <is>
          <t>MR AYENI MAYOWA</t>
        </is>
      </c>
      <c r="O856" s="75" t="n">
        <v>28</v>
      </c>
      <c r="P856" s="75" t="inlineStr">
        <is>
          <t>2025-05-12</t>
        </is>
      </c>
      <c r="Q856" s="75" t="n"/>
      <c r="R856" s="75" t="inlineStr">
        <is>
          <t>Commission-record amount: confirm to bank statement (records can aggregate several transfers)</t>
        </is>
      </c>
    </row>
    <row r="857" ht="25" customHeight="1">
      <c r="A857" s="78" t="inlineStr">
        <is>
          <t>SL0834</t>
        </is>
      </c>
      <c r="B857" s="79" t="n">
        <v>45996</v>
      </c>
      <c r="C857" s="78" t="inlineStr">
        <is>
          <t>2025-12</t>
        </is>
      </c>
      <c r="D857" s="78" t="n">
        <v>2025</v>
      </c>
      <c r="E857" s="78" t="inlineStr">
        <is>
          <t>Housing</t>
        </is>
      </c>
      <c r="F857" s="78" t="inlineStr">
        <is>
          <t>Plot / unit price</t>
        </is>
      </c>
      <c r="G857" s="78" t="inlineStr">
        <is>
          <t>Pacific Apartment</t>
        </is>
      </c>
      <c r="H857" s="78" t="inlineStr">
        <is>
          <t>BP-C0186</t>
        </is>
      </c>
      <c r="I857" s="78" t="inlineStr">
        <is>
          <t>Salem real Estate (Mrs Omoko Onora Helen)</t>
        </is>
      </c>
      <c r="J857" s="80" t="n">
        <v>3000000</v>
      </c>
      <c r="K857" s="78" t="n"/>
      <c r="L857" s="78" t="inlineStr">
        <is>
          <t>Secondary: commission records; no monthly turnover register for this period</t>
        </is>
      </c>
      <c r="M857" s="78" t="inlineStr">
        <is>
          <t>BAAY PROJECTS SALES EXPENSES (COMMISSION) RECORDS (1)</t>
        </is>
      </c>
      <c r="N857" s="78" t="inlineStr">
        <is>
          <t>SALEM REAL ESTATE</t>
        </is>
      </c>
      <c r="O857" s="78" t="n">
        <v>59</v>
      </c>
      <c r="P857" s="78" t="inlineStr">
        <is>
          <t>2025-05-12</t>
        </is>
      </c>
      <c r="Q857" s="78" t="inlineStr">
        <is>
          <t>MR CHARLES r128</t>
        </is>
      </c>
      <c r="R857" s="78" t="inlineStr">
        <is>
          <t>Commission-record amount: confirm to bank statement (records can aggregate several transfers)</t>
        </is>
      </c>
    </row>
    <row r="858" ht="25" customHeight="1">
      <c r="A858" s="75" t="inlineStr">
        <is>
          <t>SL0835</t>
        </is>
      </c>
      <c r="B858" s="76" t="n">
        <v>45998</v>
      </c>
      <c r="C858" s="75" t="inlineStr">
        <is>
          <t>2025-12</t>
        </is>
      </c>
      <c r="D858" s="75" t="n">
        <v>2025</v>
      </c>
      <c r="E858" s="75" t="inlineStr">
        <is>
          <t>Land</t>
        </is>
      </c>
      <c r="F858" s="75" t="inlineStr">
        <is>
          <t>Plot / unit price</t>
        </is>
      </c>
      <c r="G858" s="75" t="inlineStr">
        <is>
          <t>Land (estate not stated in source)</t>
        </is>
      </c>
      <c r="H858" s="75" t="inlineStr">
        <is>
          <t>BP-C0220</t>
        </is>
      </c>
      <c r="I858" s="75" t="inlineStr">
        <is>
          <t>Mr Ayeni Mayowa Olumide Ibitayo Mercy</t>
        </is>
      </c>
      <c r="J858" s="77" t="n">
        <v>50000</v>
      </c>
      <c r="K858" s="75" t="n"/>
      <c r="L858" s="75" t="inlineStr">
        <is>
          <t>Secondary: commission records; no monthly turnover register for this period</t>
        </is>
      </c>
      <c r="M858" s="75" t="inlineStr">
        <is>
          <t>BAAY PROJECTS SALES EXPENSES (COMMISSION) RECORDS (1)</t>
        </is>
      </c>
      <c r="N858" s="75" t="inlineStr">
        <is>
          <t>MR AYENI MAYOWA</t>
        </is>
      </c>
      <c r="O858" s="75" t="n">
        <v>29</v>
      </c>
      <c r="P858" s="75" t="inlineStr">
        <is>
          <t>2025-07-12</t>
        </is>
      </c>
      <c r="Q858" s="75" t="n"/>
      <c r="R858" s="75" t="inlineStr">
        <is>
          <t>Commission-record amount: confirm to bank statement (records can aggregate several transfers)</t>
        </is>
      </c>
    </row>
    <row r="859" ht="25" customHeight="1">
      <c r="A859" s="78" t="inlineStr">
        <is>
          <t>SL0836</t>
        </is>
      </c>
      <c r="B859" s="79" t="n">
        <v>46000</v>
      </c>
      <c r="C859" s="78" t="inlineStr">
        <is>
          <t>2025-12</t>
        </is>
      </c>
      <c r="D859" s="78" t="n">
        <v>2025</v>
      </c>
      <c r="E859" s="78" t="inlineStr">
        <is>
          <t>Housing</t>
        </is>
      </c>
      <c r="F859" s="78" t="inlineStr">
        <is>
          <t>Plot / unit price</t>
        </is>
      </c>
      <c r="G859" s="78" t="inlineStr">
        <is>
          <t>Baay Foreshore</t>
        </is>
      </c>
      <c r="H859" s="78" t="inlineStr">
        <is>
          <t>BP-C0055</t>
        </is>
      </c>
      <c r="I859" s="78" t="inlineStr">
        <is>
          <t>Mr Adeniji Oluwatosin Ademola</t>
        </is>
      </c>
      <c r="J859" s="80" t="n">
        <v>2500000</v>
      </c>
      <c r="K859" s="78" t="n"/>
      <c r="L859" s="78" t="inlineStr">
        <is>
          <t>Secondary: commission records; no monthly turnover register for this period</t>
        </is>
      </c>
      <c r="M859" s="78" t="inlineStr">
        <is>
          <t>BAAY PROJECTS SALES EXPENSES (COMMISSION) RECORDS (1)</t>
        </is>
      </c>
      <c r="N859" s="78" t="inlineStr">
        <is>
          <t>MS BOLANLE</t>
        </is>
      </c>
      <c r="O859" s="78" t="n">
        <v>227</v>
      </c>
      <c r="P859" s="78" t="inlineStr">
        <is>
          <t>2025-09-12</t>
        </is>
      </c>
      <c r="Q859" s="78" t="n"/>
      <c r="R859" s="78" t="inlineStr">
        <is>
          <t>Commission-record amount: confirm to bank statement (records can aggregate several transfers)</t>
        </is>
      </c>
    </row>
    <row r="860" ht="25" customHeight="1">
      <c r="A860" s="75" t="inlineStr">
        <is>
          <t>SL0837</t>
        </is>
      </c>
      <c r="B860" s="76" t="n">
        <v>46001</v>
      </c>
      <c r="C860" s="75" t="inlineStr">
        <is>
          <t>2025-12</t>
        </is>
      </c>
      <c r="D860" s="75" t="n">
        <v>2025</v>
      </c>
      <c r="E860" s="75" t="inlineStr">
        <is>
          <t>Housing</t>
        </is>
      </c>
      <c r="F860" s="75" t="inlineStr">
        <is>
          <t>Plot / unit price</t>
        </is>
      </c>
      <c r="G860" s="75" t="inlineStr">
        <is>
          <t>Baay Foreshore</t>
        </is>
      </c>
      <c r="H860" s="75" t="inlineStr">
        <is>
          <t>BP-C0215</t>
        </is>
      </c>
      <c r="I860" s="75" t="inlineStr">
        <is>
          <t>Landnest (Mrs Lukoh)</t>
        </is>
      </c>
      <c r="J860" s="77" t="n">
        <v>12000000</v>
      </c>
      <c r="K860" s="75" t="n"/>
      <c r="L860" s="75" t="inlineStr">
        <is>
          <t>Secondary: commission records; no monthly turnover register for this period</t>
        </is>
      </c>
      <c r="M860" s="75" t="inlineStr">
        <is>
          <t>BAAY PROJECTS SALES EXPENSES (COMMISSION) RECORDS (1)</t>
        </is>
      </c>
      <c r="N860" s="75" t="inlineStr">
        <is>
          <t>LANDNEST HOMES</t>
        </is>
      </c>
      <c r="O860" s="75" t="n">
        <v>28</v>
      </c>
      <c r="P860" s="75" t="inlineStr">
        <is>
          <t>2025-10-12</t>
        </is>
      </c>
      <c r="Q860" s="75" t="n"/>
      <c r="R860" s="75" t="inlineStr">
        <is>
          <t>Commission-record amount: confirm to bank statement (records can aggregate several transfers)</t>
        </is>
      </c>
    </row>
    <row r="861" ht="25" customHeight="1">
      <c r="A861" s="78" t="inlineStr">
        <is>
          <t>SL0838</t>
        </is>
      </c>
      <c r="B861" s="79" t="n">
        <v>46001</v>
      </c>
      <c r="C861" s="78" t="inlineStr">
        <is>
          <t>2025-12</t>
        </is>
      </c>
      <c r="D861" s="78" t="n">
        <v>2025</v>
      </c>
      <c r="E861" s="78" t="inlineStr">
        <is>
          <t>Housing</t>
        </is>
      </c>
      <c r="F861" s="78" t="inlineStr">
        <is>
          <t>Plot / unit price</t>
        </is>
      </c>
      <c r="G861" s="78" t="inlineStr">
        <is>
          <t>Baay Foreshore</t>
        </is>
      </c>
      <c r="H861" s="78" t="inlineStr">
        <is>
          <t>BP-C0207</t>
        </is>
      </c>
      <c r="I861" s="78" t="inlineStr">
        <is>
          <t>Landnest Homes (Mrs Beatrice)</t>
        </is>
      </c>
      <c r="J861" s="80" t="n">
        <v>3000000</v>
      </c>
      <c r="K861" s="78" t="n"/>
      <c r="L861" s="78" t="inlineStr">
        <is>
          <t>Secondary: commission records; no monthly turnover register for this period</t>
        </is>
      </c>
      <c r="M861" s="78" t="inlineStr">
        <is>
          <t>BAAY PROJECTS SALES EXPENSES (COMMISSION) RECORDS (1)</t>
        </is>
      </c>
      <c r="N861" s="78" t="inlineStr">
        <is>
          <t>LANDNEST HOMES</t>
        </is>
      </c>
      <c r="O861" s="78" t="n">
        <v>29</v>
      </c>
      <c r="P861" s="78" t="inlineStr">
        <is>
          <t>2025-10-12</t>
        </is>
      </c>
      <c r="Q861" s="78" t="n"/>
      <c r="R861" s="78" t="inlineStr">
        <is>
          <t>Commission-record amount: confirm to bank statement (records can aggregate several transfers)</t>
        </is>
      </c>
    </row>
    <row r="862" ht="25" customHeight="1">
      <c r="A862" s="75" t="inlineStr">
        <is>
          <t>SL0839</t>
        </is>
      </c>
      <c r="B862" s="76" t="n">
        <v>46001</v>
      </c>
      <c r="C862" s="75" t="inlineStr">
        <is>
          <t>2025-12</t>
        </is>
      </c>
      <c r="D862" s="75" t="n">
        <v>2025</v>
      </c>
      <c r="E862" s="75" t="inlineStr">
        <is>
          <t>Housing</t>
        </is>
      </c>
      <c r="F862" s="75" t="inlineStr">
        <is>
          <t>Plot / unit price</t>
        </is>
      </c>
      <c r="G862" s="75" t="inlineStr">
        <is>
          <t>Gorge View Court (GVC Gbagada)</t>
        </is>
      </c>
      <c r="H862" s="75" t="inlineStr">
        <is>
          <t>BP-C0221</t>
        </is>
      </c>
      <c r="I862" s="75" t="inlineStr">
        <is>
          <t>Mr Opeodu Ayodele &amp; Mr Daisi Omokoya</t>
        </is>
      </c>
      <c r="J862" s="77" t="n">
        <v>170000000</v>
      </c>
      <c r="K862" s="75" t="n"/>
      <c r="L862" s="75" t="inlineStr">
        <is>
          <t>Secondary: commission records; no monthly turnover register for this period</t>
        </is>
      </c>
      <c r="M862" s="75" t="inlineStr">
        <is>
          <t>BAAY PROJECTS SALES EXPENSES (COMMISSION) RECORDS (1)</t>
        </is>
      </c>
      <c r="N862" s="75" t="inlineStr">
        <is>
          <t>EXTREME OASIS (MD REALTOR GVC)</t>
        </is>
      </c>
      <c r="O862" s="75" t="n">
        <v>40</v>
      </c>
      <c r="P862" s="75" t="inlineStr">
        <is>
          <t>2025-10-12</t>
        </is>
      </c>
      <c r="Q862" s="75" t="n"/>
      <c r="R862" s="75" t="inlineStr">
        <is>
          <t>Commission-record amount: confirm to bank statement (records can aggregate several transfers)</t>
        </is>
      </c>
    </row>
    <row r="863" ht="25" customHeight="1">
      <c r="A863" s="78" t="inlineStr">
        <is>
          <t>SL0840</t>
        </is>
      </c>
      <c r="B863" s="79" t="n">
        <v>46002</v>
      </c>
      <c r="C863" s="78" t="inlineStr">
        <is>
          <t>2025-12</t>
        </is>
      </c>
      <c r="D863" s="78" t="n">
        <v>2025</v>
      </c>
      <c r="E863" s="78" t="inlineStr">
        <is>
          <t>Housing</t>
        </is>
      </c>
      <c r="F863" s="78" t="inlineStr">
        <is>
          <t>Plot / unit price</t>
        </is>
      </c>
      <c r="G863" s="78" t="inlineStr">
        <is>
          <t>Housing unit (project not stated in source)</t>
        </is>
      </c>
      <c r="H863" s="78" t="inlineStr">
        <is>
          <t>BP-C0133</t>
        </is>
      </c>
      <c r="I863" s="78" t="inlineStr">
        <is>
          <t>Mr Olagbende Oluwashina Oluwaseun</t>
        </is>
      </c>
      <c r="J863" s="80" t="n">
        <v>4000000</v>
      </c>
      <c r="K863" s="78" t="n"/>
      <c r="L863" s="78" t="inlineStr">
        <is>
          <t>Secondary: commission records; no monthly turnover register for this period</t>
        </is>
      </c>
      <c r="M863" s="78" t="inlineStr">
        <is>
          <t>BAAY PROJECTS SALES EXPENSES (COMMISSION) RECORDS (1)</t>
        </is>
      </c>
      <c r="N863" s="78" t="inlineStr">
        <is>
          <t>MS AWONORIN MAYOWA</t>
        </is>
      </c>
      <c r="O863" s="78" t="n">
        <v>112</v>
      </c>
      <c r="P863" s="78" t="inlineStr">
        <is>
          <t>2025-11-12</t>
        </is>
      </c>
      <c r="Q863" s="78" t="n"/>
      <c r="R863" s="78" t="inlineStr">
        <is>
          <t>Commission-record amount: confirm to bank statement (records can aggregate several transfers)</t>
        </is>
      </c>
    </row>
    <row r="864" ht="25" customHeight="1">
      <c r="A864" s="75" t="inlineStr">
        <is>
          <t>SL0841</t>
        </is>
      </c>
      <c r="B864" s="76" t="n">
        <v>46002</v>
      </c>
      <c r="C864" s="75" t="inlineStr">
        <is>
          <t>2025-12</t>
        </is>
      </c>
      <c r="D864" s="75" t="n">
        <v>2025</v>
      </c>
      <c r="E864" s="75" t="inlineStr">
        <is>
          <t>Housing</t>
        </is>
      </c>
      <c r="F864" s="75" t="inlineStr">
        <is>
          <t>Plot / unit price</t>
        </is>
      </c>
      <c r="G864" s="75" t="inlineStr">
        <is>
          <t>Gorge View Court (GVC Gbagada)</t>
        </is>
      </c>
      <c r="H864" s="75" t="inlineStr">
        <is>
          <t>BP-C0221</t>
        </is>
      </c>
      <c r="I864" s="75" t="inlineStr">
        <is>
          <t>Mr Opeodu Ayodele &amp; Mr Daisi Omokoya</t>
        </is>
      </c>
      <c r="J864" s="77" t="n">
        <v>80000000</v>
      </c>
      <c r="K864" s="75" t="n"/>
      <c r="L864" s="75" t="inlineStr">
        <is>
          <t>Secondary: commission records; no monthly turnover register for this period</t>
        </is>
      </c>
      <c r="M864" s="75" t="inlineStr">
        <is>
          <t>BAAY PROJECTS SALES EXPENSES (COMMISSION) RECORDS (1)</t>
        </is>
      </c>
      <c r="N864" s="75" t="inlineStr">
        <is>
          <t>EXTREME OASIS (MD REALTOR GVC)</t>
        </is>
      </c>
      <c r="O864" s="75" t="n">
        <v>41</v>
      </c>
      <c r="P864" s="75" t="inlineStr">
        <is>
          <t>2025-11-12</t>
        </is>
      </c>
      <c r="Q864" s="75" t="n"/>
      <c r="R864" s="75" t="inlineStr">
        <is>
          <t>Commission-record amount: confirm to bank statement (records can aggregate several transfers)</t>
        </is>
      </c>
    </row>
    <row r="865" ht="25" customHeight="1">
      <c r="A865" s="78" t="inlineStr">
        <is>
          <t>SL0842</t>
        </is>
      </c>
      <c r="B865" s="79" t="n">
        <v>46006</v>
      </c>
      <c r="C865" s="78" t="inlineStr">
        <is>
          <t>2025-12</t>
        </is>
      </c>
      <c r="D865" s="78" t="n">
        <v>2025</v>
      </c>
      <c r="E865" s="78" t="inlineStr">
        <is>
          <t>Housing</t>
        </is>
      </c>
      <c r="F865" s="78" t="inlineStr">
        <is>
          <t>Plot / unit price</t>
        </is>
      </c>
      <c r="G865" s="78" t="inlineStr">
        <is>
          <t>Pacific Apartment</t>
        </is>
      </c>
      <c r="H865" s="78" t="inlineStr">
        <is>
          <t>BP-C0204</t>
        </is>
      </c>
      <c r="I865" s="78" t="inlineStr">
        <is>
          <t>Mr Akinjogunla Isaac Ogooluwa</t>
        </is>
      </c>
      <c r="J865" s="80" t="n">
        <v>20000000</v>
      </c>
      <c r="K865" s="78" t="n"/>
      <c r="L865" s="78" t="inlineStr">
        <is>
          <t>Secondary: commission records; no monthly turnover register for this period</t>
        </is>
      </c>
      <c r="M865" s="78" t="inlineStr">
        <is>
          <t>BAAY PROJECTS SALES EXPENSES (COMMISSION) RECORDS (1)</t>
        </is>
      </c>
      <c r="N865" s="78" t="inlineStr">
        <is>
          <t>MS MOFFAT</t>
        </is>
      </c>
      <c r="O865" s="78" t="n">
        <v>114</v>
      </c>
      <c r="P865" s="78" t="inlineStr">
        <is>
          <t>15/12/2025</t>
        </is>
      </c>
      <c r="Q865" s="78" t="n"/>
      <c r="R865" s="78" t="inlineStr">
        <is>
          <t>Commission-record amount: confirm to bank statement (records can aggregate several transfers)</t>
        </is>
      </c>
    </row>
    <row r="866" ht="25" customHeight="1">
      <c r="A866" s="75" t="inlineStr">
        <is>
          <t>SL0843</t>
        </is>
      </c>
      <c r="B866" s="76" t="n">
        <v>46007</v>
      </c>
      <c r="C866" s="75" t="inlineStr">
        <is>
          <t>2025-12</t>
        </is>
      </c>
      <c r="D866" s="75" t="n">
        <v>2025</v>
      </c>
      <c r="E866" s="75" t="inlineStr">
        <is>
          <t>Housing</t>
        </is>
      </c>
      <c r="F866" s="75" t="inlineStr">
        <is>
          <t>Plot / unit price</t>
        </is>
      </c>
      <c r="G866" s="75" t="inlineStr">
        <is>
          <t>Pacific Apartment</t>
        </is>
      </c>
      <c r="H866" s="75" t="inlineStr">
        <is>
          <t>BP-C0204</t>
        </is>
      </c>
      <c r="I866" s="75" t="inlineStr">
        <is>
          <t>Mr Akinjogunla Isaac Ogooluwa</t>
        </is>
      </c>
      <c r="J866" s="77" t="n">
        <v>10000000</v>
      </c>
      <c r="K866" s="75" t="n"/>
      <c r="L866" s="75" t="inlineStr">
        <is>
          <t>Secondary: commission records; no monthly turnover register for this period</t>
        </is>
      </c>
      <c r="M866" s="75" t="inlineStr">
        <is>
          <t>BAAY PROJECTS SALES EXPENSES (COMMISSION) RECORDS (1)</t>
        </is>
      </c>
      <c r="N866" s="75" t="inlineStr">
        <is>
          <t>MS MOFFAT</t>
        </is>
      </c>
      <c r="O866" s="75" t="n">
        <v>115</v>
      </c>
      <c r="P866" s="75" t="inlineStr">
        <is>
          <t>16/12/2025</t>
        </is>
      </c>
      <c r="Q866" s="75" t="n"/>
      <c r="R866" s="75" t="inlineStr">
        <is>
          <t>Commission-record amount: confirm to bank statement (records can aggregate several transfers)</t>
        </is>
      </c>
    </row>
    <row r="867" ht="25" customHeight="1">
      <c r="A867" s="78" t="inlineStr">
        <is>
          <t>SL0844</t>
        </is>
      </c>
      <c r="B867" s="79" t="n">
        <v>46007</v>
      </c>
      <c r="C867" s="78" t="inlineStr">
        <is>
          <t>2025-12</t>
        </is>
      </c>
      <c r="D867" s="78" t="n">
        <v>2025</v>
      </c>
      <c r="E867" s="78" t="inlineStr">
        <is>
          <t>Housing</t>
        </is>
      </c>
      <c r="F867" s="78" t="inlineStr">
        <is>
          <t>Plot / unit price</t>
        </is>
      </c>
      <c r="G867" s="78" t="inlineStr">
        <is>
          <t>Gorge View Court (GVC Gbagada)</t>
        </is>
      </c>
      <c r="H867" s="78" t="inlineStr">
        <is>
          <t>BP-C0217</t>
        </is>
      </c>
      <c r="I867" s="78" t="inlineStr">
        <is>
          <t>Mr Akinsola Joseph Mofoluwaso</t>
        </is>
      </c>
      <c r="J867" s="80" t="n">
        <v>30000000</v>
      </c>
      <c r="K867" s="78" t="n"/>
      <c r="L867" s="78" t="inlineStr">
        <is>
          <t>Secondary: commission records; no monthly turnover register for this period</t>
        </is>
      </c>
      <c r="M867" s="78" t="inlineStr">
        <is>
          <t>BAAY PROJECTS SALES EXPENSES (COMMISSION) RECORDS (1)</t>
        </is>
      </c>
      <c r="N867" s="78" t="inlineStr">
        <is>
          <t>EXTREME OASIS (MD REALTOR GVC)</t>
        </is>
      </c>
      <c r="O867" s="78" t="n">
        <v>49</v>
      </c>
      <c r="P867" s="78" t="inlineStr">
        <is>
          <t>16/12/2025</t>
        </is>
      </c>
      <c r="Q867" s="78" t="n"/>
      <c r="R867" s="78" t="inlineStr">
        <is>
          <t>Commission-record amount: confirm to bank statement (records can aggregate several transfers)</t>
        </is>
      </c>
    </row>
    <row r="868" ht="25" customHeight="1">
      <c r="A868" s="75" t="inlineStr">
        <is>
          <t>SL0845</t>
        </is>
      </c>
      <c r="B868" s="76" t="n">
        <v>46007</v>
      </c>
      <c r="C868" s="75" t="inlineStr">
        <is>
          <t>2025-12</t>
        </is>
      </c>
      <c r="D868" s="75" t="n">
        <v>2025</v>
      </c>
      <c r="E868" s="75" t="inlineStr">
        <is>
          <t>Housing</t>
        </is>
      </c>
      <c r="F868" s="75" t="inlineStr">
        <is>
          <t>Plot / unit price</t>
        </is>
      </c>
      <c r="G868" s="75" t="inlineStr">
        <is>
          <t>Housing unit (project not stated in source)</t>
        </is>
      </c>
      <c r="H868" s="75" t="inlineStr">
        <is>
          <t>BP-C0133</t>
        </is>
      </c>
      <c r="I868" s="75" t="inlineStr">
        <is>
          <t>Mr Olagbende Oluwashina Oluwaseun</t>
        </is>
      </c>
      <c r="J868" s="77" t="n">
        <v>1000000</v>
      </c>
      <c r="K868" s="75" t="n"/>
      <c r="L868" s="75" t="inlineStr">
        <is>
          <t>Secondary: commission records; no monthly turnover register for this period</t>
        </is>
      </c>
      <c r="M868" s="75" t="inlineStr">
        <is>
          <t>BAAY PROJECTS SALES EXPENSES (COMMISSION) RECORDS (1)</t>
        </is>
      </c>
      <c r="N868" s="75" t="inlineStr">
        <is>
          <t>MS AWONORIN MAYOWA</t>
        </is>
      </c>
      <c r="O868" s="75" t="n">
        <v>113</v>
      </c>
      <c r="P868" s="75" t="inlineStr">
        <is>
          <t>16/12/2025</t>
        </is>
      </c>
      <c r="Q868" s="75" t="n"/>
      <c r="R868" s="75" t="inlineStr">
        <is>
          <t>Commission-record amount: confirm to bank statement (records can aggregate several transfers)</t>
        </is>
      </c>
    </row>
    <row r="869" ht="25" customHeight="1">
      <c r="A869" s="78" t="inlineStr">
        <is>
          <t>SL0846</t>
        </is>
      </c>
      <c r="B869" s="79" t="n">
        <v>46008</v>
      </c>
      <c r="C869" s="78" t="inlineStr">
        <is>
          <t>2025-12</t>
        </is>
      </c>
      <c r="D869" s="78" t="n">
        <v>2025</v>
      </c>
      <c r="E869" s="78" t="inlineStr">
        <is>
          <t>Land</t>
        </is>
      </c>
      <c r="F869" s="78" t="inlineStr">
        <is>
          <t>Plot / unit price</t>
        </is>
      </c>
      <c r="G869" s="78" t="inlineStr">
        <is>
          <t>Land (estate not stated in source)</t>
        </is>
      </c>
      <c r="H869" s="78" t="inlineStr">
        <is>
          <t>BP-C0196</t>
        </is>
      </c>
      <c r="I869" s="78" t="inlineStr">
        <is>
          <t>Mr Agbim Ikechukwu Godson</t>
        </is>
      </c>
      <c r="J869" s="80" t="n">
        <v>2000000</v>
      </c>
      <c r="K869" s="78" t="n"/>
      <c r="L869" s="78" t="inlineStr">
        <is>
          <t>Secondary: commission records; no monthly turnover register for this period</t>
        </is>
      </c>
      <c r="M869" s="78" t="inlineStr">
        <is>
          <t>BAAY PROJECTS SALES EXPENSES (COMMISSION) RECORDS (1)</t>
        </is>
      </c>
      <c r="N869" s="78" t="inlineStr">
        <is>
          <t>MRS ABIMBOLA</t>
        </is>
      </c>
      <c r="O869" s="78" t="n">
        <v>254</v>
      </c>
      <c r="P869" s="78" t="inlineStr">
        <is>
          <t>17/12/2025</t>
        </is>
      </c>
      <c r="Q869" s="78" t="n"/>
      <c r="R869" s="78" t="inlineStr">
        <is>
          <t>Commission-record amount: confirm to bank statement (records can aggregate several transfers)</t>
        </is>
      </c>
    </row>
    <row r="870" ht="25" customHeight="1">
      <c r="A870" s="75" t="inlineStr">
        <is>
          <t>SL0847</t>
        </is>
      </c>
      <c r="B870" s="76" t="n">
        <v>46008</v>
      </c>
      <c r="C870" s="75" t="inlineStr">
        <is>
          <t>2025-12</t>
        </is>
      </c>
      <c r="D870" s="75" t="n">
        <v>2025</v>
      </c>
      <c r="E870" s="75" t="inlineStr">
        <is>
          <t>Housing</t>
        </is>
      </c>
      <c r="F870" s="75" t="inlineStr">
        <is>
          <t>Plot / unit price</t>
        </is>
      </c>
      <c r="G870" s="75" t="inlineStr">
        <is>
          <t>Housing unit (project not stated in source)</t>
        </is>
      </c>
      <c r="H870" s="75" t="inlineStr">
        <is>
          <t>BP-C0133</t>
        </is>
      </c>
      <c r="I870" s="75" t="inlineStr">
        <is>
          <t>Mr Olagbende Oluwashina Oluwaseun</t>
        </is>
      </c>
      <c r="J870" s="77" t="n">
        <v>900000</v>
      </c>
      <c r="K870" s="75" t="n"/>
      <c r="L870" s="75" t="inlineStr">
        <is>
          <t>Secondary: commission records; no monthly turnover register for this period</t>
        </is>
      </c>
      <c r="M870" s="75" t="inlineStr">
        <is>
          <t>BAAY PROJECTS SALES EXPENSES (COMMISSION) RECORDS (1)</t>
        </is>
      </c>
      <c r="N870" s="75" t="inlineStr">
        <is>
          <t>MS AWONORIN MAYOWA</t>
        </is>
      </c>
      <c r="O870" s="75" t="n">
        <v>114</v>
      </c>
      <c r="P870" s="75" t="inlineStr">
        <is>
          <t>17/12/2025</t>
        </is>
      </c>
      <c r="Q870" s="75" t="n"/>
      <c r="R870" s="75" t="inlineStr">
        <is>
          <t>Commission-record amount: confirm to bank statement (records can aggregate several transfers)</t>
        </is>
      </c>
    </row>
    <row r="871" ht="25" customHeight="1">
      <c r="A871" s="78" t="inlineStr">
        <is>
          <t>SL0848</t>
        </is>
      </c>
      <c r="B871" s="79" t="n">
        <v>46010</v>
      </c>
      <c r="C871" s="78" t="inlineStr">
        <is>
          <t>2025-12</t>
        </is>
      </c>
      <c r="D871" s="78" t="n">
        <v>2025</v>
      </c>
      <c r="E871" s="78" t="inlineStr">
        <is>
          <t>Housing</t>
        </is>
      </c>
      <c r="F871" s="78" t="inlineStr">
        <is>
          <t>Plot / unit price</t>
        </is>
      </c>
      <c r="G871" s="78" t="inlineStr">
        <is>
          <t>Baay Foreshore</t>
        </is>
      </c>
      <c r="H871" s="78" t="inlineStr">
        <is>
          <t>BP-C0222</t>
        </is>
      </c>
      <c r="I871" s="78" t="inlineStr">
        <is>
          <t>Mr Omodele Oluseye Johnson</t>
        </is>
      </c>
      <c r="J871" s="80" t="n">
        <v>1000000</v>
      </c>
      <c r="K871" s="78" t="n"/>
      <c r="L871" s="78" t="inlineStr">
        <is>
          <t>Secondary: commission records; no monthly turnover register for this period</t>
        </is>
      </c>
      <c r="M871" s="78" t="inlineStr">
        <is>
          <t>BAAY PROJECTS SALES EXPENSES (COMMISSION) RECORDS (1)</t>
        </is>
      </c>
      <c r="N871" s="78" t="inlineStr">
        <is>
          <t>OJUMEFOR AGHA</t>
        </is>
      </c>
      <c r="O871" s="78" t="n">
        <v>2</v>
      </c>
      <c r="P871" s="78" t="inlineStr">
        <is>
          <t>19/12/2025</t>
        </is>
      </c>
      <c r="Q871" s="78" t="n"/>
      <c r="R871" s="78" t="inlineStr">
        <is>
          <t>Commission-record amount: confirm to bank statement (records can aggregate several transfers)</t>
        </is>
      </c>
    </row>
    <row r="872" ht="25" customHeight="1">
      <c r="A872" s="75" t="inlineStr">
        <is>
          <t>SL0849</t>
        </is>
      </c>
      <c r="B872" s="76" t="n">
        <v>46011</v>
      </c>
      <c r="C872" s="75" t="inlineStr">
        <is>
          <t>2025-12</t>
        </is>
      </c>
      <c r="D872" s="75" t="n">
        <v>2025</v>
      </c>
      <c r="E872" s="75" t="inlineStr">
        <is>
          <t>Housing</t>
        </is>
      </c>
      <c r="F872" s="75" t="inlineStr">
        <is>
          <t>Plot / unit price</t>
        </is>
      </c>
      <c r="G872" s="75" t="inlineStr">
        <is>
          <t>Baay Foreshore</t>
        </is>
      </c>
      <c r="H872" s="75" t="inlineStr">
        <is>
          <t>BP-C0222</t>
        </is>
      </c>
      <c r="I872" s="75" t="inlineStr">
        <is>
          <t>Mr Omodele Oluseye Johnson</t>
        </is>
      </c>
      <c r="J872" s="77" t="n">
        <v>1000000</v>
      </c>
      <c r="K872" s="75" t="n"/>
      <c r="L872" s="75" t="inlineStr">
        <is>
          <t>Secondary: commission records; no monthly turnover register for this period</t>
        </is>
      </c>
      <c r="M872" s="75" t="inlineStr">
        <is>
          <t>BAAY PROJECTS SALES EXPENSES (COMMISSION) RECORDS (1)</t>
        </is>
      </c>
      <c r="N872" s="75" t="inlineStr">
        <is>
          <t>OJUMEFOR AGHA</t>
        </is>
      </c>
      <c r="O872" s="75" t="n">
        <v>3</v>
      </c>
      <c r="P872" s="75" t="inlineStr">
        <is>
          <t>20/12/2025</t>
        </is>
      </c>
      <c r="Q872" s="75" t="n"/>
      <c r="R872" s="75" t="inlineStr">
        <is>
          <t>Commission-record amount: confirm to bank statement (records can aggregate several transfers)</t>
        </is>
      </c>
    </row>
    <row r="873" ht="25" customHeight="1">
      <c r="A873" s="78" t="inlineStr">
        <is>
          <t>SL0850</t>
        </is>
      </c>
      <c r="B873" s="79" t="n">
        <v>46012</v>
      </c>
      <c r="C873" s="78" t="inlineStr">
        <is>
          <t>2025-12</t>
        </is>
      </c>
      <c r="D873" s="78" t="n">
        <v>2025</v>
      </c>
      <c r="E873" s="78" t="inlineStr">
        <is>
          <t>Housing</t>
        </is>
      </c>
      <c r="F873" s="78" t="inlineStr">
        <is>
          <t>Plot / unit price</t>
        </is>
      </c>
      <c r="G873" s="78" t="inlineStr">
        <is>
          <t>Baay Foreshore</t>
        </is>
      </c>
      <c r="H873" s="78" t="inlineStr">
        <is>
          <t>BP-C0222</t>
        </is>
      </c>
      <c r="I873" s="78" t="inlineStr">
        <is>
          <t>Mr Omodele Oluseye Johnson</t>
        </is>
      </c>
      <c r="J873" s="80" t="n">
        <v>1000000</v>
      </c>
      <c r="K873" s="78" t="n"/>
      <c r="L873" s="78" t="inlineStr">
        <is>
          <t>Secondary: commission records; no monthly turnover register for this period</t>
        </is>
      </c>
      <c r="M873" s="78" t="inlineStr">
        <is>
          <t>BAAY PROJECTS SALES EXPENSES (COMMISSION) RECORDS (1)</t>
        </is>
      </c>
      <c r="N873" s="78" t="inlineStr">
        <is>
          <t>OJUMEFOR AGHA</t>
        </is>
      </c>
      <c r="O873" s="78" t="n">
        <v>4</v>
      </c>
      <c r="P873" s="78" t="inlineStr">
        <is>
          <t>21/12/2025</t>
        </is>
      </c>
      <c r="Q873" s="78" t="n"/>
      <c r="R873" s="78" t="inlineStr">
        <is>
          <t>Commission-record amount: confirm to bank statement (records can aggregate several transfers)</t>
        </is>
      </c>
    </row>
    <row r="874" ht="25" customHeight="1">
      <c r="A874" s="75" t="inlineStr">
        <is>
          <t>SL0851</t>
        </is>
      </c>
      <c r="B874" s="76" t="n">
        <v>46014</v>
      </c>
      <c r="C874" s="75" t="inlineStr">
        <is>
          <t>2025-12</t>
        </is>
      </c>
      <c r="D874" s="75" t="n">
        <v>2025</v>
      </c>
      <c r="E874" s="75" t="inlineStr">
        <is>
          <t>Housing</t>
        </is>
      </c>
      <c r="F874" s="75" t="inlineStr">
        <is>
          <t>Plot / unit price</t>
        </is>
      </c>
      <c r="G874" s="75" t="inlineStr">
        <is>
          <t>Baay Foreshore</t>
        </is>
      </c>
      <c r="H874" s="75" t="inlineStr">
        <is>
          <t>BP-C0222</t>
        </is>
      </c>
      <c r="I874" s="75" t="inlineStr">
        <is>
          <t>Mr Omodele Oluseye Johnson</t>
        </is>
      </c>
      <c r="J874" s="77" t="n">
        <v>500000</v>
      </c>
      <c r="K874" s="75" t="n"/>
      <c r="L874" s="75" t="inlineStr">
        <is>
          <t>Secondary: commission records; no monthly turnover register for this period</t>
        </is>
      </c>
      <c r="M874" s="75" t="inlineStr">
        <is>
          <t>BAAY PROJECTS SALES EXPENSES (COMMISSION) RECORDS (1)</t>
        </is>
      </c>
      <c r="N874" s="75" t="inlineStr">
        <is>
          <t>OJUMEFOR AGHA</t>
        </is>
      </c>
      <c r="O874" s="75" t="n">
        <v>5</v>
      </c>
      <c r="P874" s="75" t="inlineStr">
        <is>
          <t>23/12/2025</t>
        </is>
      </c>
      <c r="Q874" s="75" t="n"/>
      <c r="R874" s="75" t="inlineStr">
        <is>
          <t>Commission-record amount: confirm to bank statement (records can aggregate several transfers)</t>
        </is>
      </c>
    </row>
    <row r="875" ht="25" customHeight="1">
      <c r="A875" s="78" t="inlineStr">
        <is>
          <t>SL0852</t>
        </is>
      </c>
      <c r="B875" s="79" t="n">
        <v>46014</v>
      </c>
      <c r="C875" s="78" t="inlineStr">
        <is>
          <t>2025-12</t>
        </is>
      </c>
      <c r="D875" s="78" t="n">
        <v>2025</v>
      </c>
      <c r="E875" s="78" t="inlineStr">
        <is>
          <t>Housing</t>
        </is>
      </c>
      <c r="F875" s="78" t="inlineStr">
        <is>
          <t>Plot / unit price</t>
        </is>
      </c>
      <c r="G875" s="78" t="inlineStr">
        <is>
          <t>Baay Foreshore</t>
        </is>
      </c>
      <c r="H875" s="78" t="inlineStr">
        <is>
          <t>BP-C0222</t>
        </is>
      </c>
      <c r="I875" s="78" t="inlineStr">
        <is>
          <t>Mr Omodele Oluseye Johnson</t>
        </is>
      </c>
      <c r="J875" s="80" t="n">
        <v>2000000</v>
      </c>
      <c r="K875" s="78" t="n"/>
      <c r="L875" s="78" t="inlineStr">
        <is>
          <t>Secondary: commission records; no monthly turnover register for this period</t>
        </is>
      </c>
      <c r="M875" s="78" t="inlineStr">
        <is>
          <t>BAAY PROJECTS SALES EXPENSES (COMMISSION) RECORDS (1)</t>
        </is>
      </c>
      <c r="N875" s="78" t="inlineStr">
        <is>
          <t>OJUMEFOR AGHA</t>
        </is>
      </c>
      <c r="O875" s="78" t="n">
        <v>6</v>
      </c>
      <c r="P875" s="78" t="inlineStr">
        <is>
          <t>23/12/2025</t>
        </is>
      </c>
      <c r="Q875" s="78" t="n"/>
      <c r="R875" s="78" t="inlineStr">
        <is>
          <t>Commission-record amount: confirm to bank statement (records can aggregate several transfers)</t>
        </is>
      </c>
    </row>
    <row r="876" ht="25" customHeight="1">
      <c r="A876" s="75" t="inlineStr">
        <is>
          <t>SL0853</t>
        </is>
      </c>
      <c r="B876" s="76" t="n">
        <v>46015</v>
      </c>
      <c r="C876" s="75" t="inlineStr">
        <is>
          <t>2025-12</t>
        </is>
      </c>
      <c r="D876" s="75" t="n">
        <v>2025</v>
      </c>
      <c r="E876" s="75" t="inlineStr">
        <is>
          <t>Housing</t>
        </is>
      </c>
      <c r="F876" s="75" t="inlineStr">
        <is>
          <t>Plot / unit price</t>
        </is>
      </c>
      <c r="G876" s="75" t="inlineStr">
        <is>
          <t>Baay Foreshore</t>
        </is>
      </c>
      <c r="H876" s="75" t="inlineStr">
        <is>
          <t>BP-C0213</t>
        </is>
      </c>
      <c r="I876" s="75" t="inlineStr">
        <is>
          <t>Mr Adelani Ibrahim Akinkunmi</t>
        </is>
      </c>
      <c r="J876" s="77" t="n">
        <v>2500000</v>
      </c>
      <c r="K876" s="75" t="n"/>
      <c r="L876" s="75" t="inlineStr">
        <is>
          <t>Secondary: commission records; no monthly turnover register for this period</t>
        </is>
      </c>
      <c r="M876" s="75" t="inlineStr">
        <is>
          <t>BAAY PROJECTS SALES EXPENSES (COMMISSION) RECORDS (1)</t>
        </is>
      </c>
      <c r="N876" s="75" t="inlineStr">
        <is>
          <t>MS BOLANLE</t>
        </is>
      </c>
      <c r="O876" s="75" t="n">
        <v>240</v>
      </c>
      <c r="P876" s="75" t="inlineStr">
        <is>
          <t>24/12/2025</t>
        </is>
      </c>
      <c r="Q876" s="75" t="n"/>
      <c r="R876" s="75" t="inlineStr">
        <is>
          <t>Commission-record amount: confirm to bank statement (records can aggregate several transfers)</t>
        </is>
      </c>
    </row>
    <row r="877" ht="25" customHeight="1">
      <c r="A877" s="78" t="inlineStr">
        <is>
          <t>SL0854</t>
        </is>
      </c>
      <c r="B877" s="79" t="n">
        <v>46015</v>
      </c>
      <c r="C877" s="78" t="inlineStr">
        <is>
          <t>2025-12</t>
        </is>
      </c>
      <c r="D877" s="78" t="n">
        <v>2025</v>
      </c>
      <c r="E877" s="78" t="inlineStr">
        <is>
          <t>Housing</t>
        </is>
      </c>
      <c r="F877" s="78" t="inlineStr">
        <is>
          <t>Plot / unit price</t>
        </is>
      </c>
      <c r="G877" s="78" t="inlineStr">
        <is>
          <t>Pacific Apartment</t>
        </is>
      </c>
      <c r="H877" s="78" t="inlineStr">
        <is>
          <t>BP-C0224</t>
        </is>
      </c>
      <c r="I877" s="78" t="inlineStr">
        <is>
          <t>Salem real Estate (Mr Adebowale Oyindamola Adewunmi)</t>
        </is>
      </c>
      <c r="J877" s="80" t="n">
        <v>15000000</v>
      </c>
      <c r="K877" s="78" t="n"/>
      <c r="L877" s="78" t="inlineStr">
        <is>
          <t>Secondary: commission records; no monthly turnover register for this period</t>
        </is>
      </c>
      <c r="M877" s="78" t="inlineStr">
        <is>
          <t>BAAY PROJECTS SALES EXPENSES (COMMISSION) RECORDS (1)</t>
        </is>
      </c>
      <c r="N877" s="78" t="inlineStr">
        <is>
          <t>MD</t>
        </is>
      </c>
      <c r="O877" s="78" t="n">
        <v>217</v>
      </c>
      <c r="P877" s="78" t="inlineStr">
        <is>
          <t>24/12/2025</t>
        </is>
      </c>
      <c r="Q877" s="78" t="inlineStr">
        <is>
          <t>SALEM REAL ESTATE r66</t>
        </is>
      </c>
      <c r="R877" s="78" t="inlineStr">
        <is>
          <t>Commission-record amount: confirm to bank statement (records can aggregate several transfers)</t>
        </is>
      </c>
    </row>
    <row r="878" ht="25" customHeight="1">
      <c r="A878" s="75" t="inlineStr">
        <is>
          <t>SL0855</t>
        </is>
      </c>
      <c r="B878" s="76" t="n">
        <v>46017</v>
      </c>
      <c r="C878" s="75" t="inlineStr">
        <is>
          <t>2025-12</t>
        </is>
      </c>
      <c r="D878" s="75" t="n">
        <v>2025</v>
      </c>
      <c r="E878" s="75" t="inlineStr">
        <is>
          <t>Housing</t>
        </is>
      </c>
      <c r="F878" s="75" t="inlineStr">
        <is>
          <t>Plot / unit price</t>
        </is>
      </c>
      <c r="G878" s="75" t="inlineStr">
        <is>
          <t>Baay Foreshore</t>
        </is>
      </c>
      <c r="H878" s="75" t="inlineStr">
        <is>
          <t>BP-C0132</t>
        </is>
      </c>
      <c r="I878" s="75" t="inlineStr">
        <is>
          <t>Mr Adekunle Temitope Ajayi</t>
        </is>
      </c>
      <c r="J878" s="77" t="n">
        <v>5000000</v>
      </c>
      <c r="K878" s="75" t="n"/>
      <c r="L878" s="75" t="inlineStr">
        <is>
          <t>Secondary: commission records; no monthly turnover register for this period</t>
        </is>
      </c>
      <c r="M878" s="75" t="inlineStr">
        <is>
          <t>BAAY PROJECTS SALES EXPENSES (COMMISSION) RECORDS (1)</t>
        </is>
      </c>
      <c r="N878" s="75" t="inlineStr">
        <is>
          <t>MS OPEYEMI ADEGOKE</t>
        </is>
      </c>
      <c r="O878" s="75" t="n">
        <v>39</v>
      </c>
      <c r="P878" s="75" t="inlineStr">
        <is>
          <t>26/12/2025</t>
        </is>
      </c>
      <c r="Q878" s="75" t="n"/>
      <c r="R878" s="75" t="inlineStr">
        <is>
          <t>Commission-record amount: confirm to bank statement (records can aggregate several transfers)</t>
        </is>
      </c>
    </row>
    <row r="879" ht="25" customHeight="1">
      <c r="A879" s="78" t="inlineStr">
        <is>
          <t>SL0856</t>
        </is>
      </c>
      <c r="B879" s="79" t="n">
        <v>46018</v>
      </c>
      <c r="C879" s="78" t="inlineStr">
        <is>
          <t>2025-12</t>
        </is>
      </c>
      <c r="D879" s="78" t="n">
        <v>2025</v>
      </c>
      <c r="E879" s="78" t="inlineStr">
        <is>
          <t>Housing</t>
        </is>
      </c>
      <c r="F879" s="78" t="inlineStr">
        <is>
          <t>Plot / unit price</t>
        </is>
      </c>
      <c r="G879" s="78" t="inlineStr">
        <is>
          <t>Baay Foreshore</t>
        </is>
      </c>
      <c r="H879" s="78" t="inlineStr">
        <is>
          <t>BP-C0132</t>
        </is>
      </c>
      <c r="I879" s="78" t="inlineStr">
        <is>
          <t>Mr Adekunle Temitope Ajayi</t>
        </is>
      </c>
      <c r="J879" s="80" t="n">
        <v>5000000</v>
      </c>
      <c r="K879" s="78" t="n"/>
      <c r="L879" s="78" t="inlineStr">
        <is>
          <t>Secondary: commission records; no monthly turnover register for this period</t>
        </is>
      </c>
      <c r="M879" s="78" t="inlineStr">
        <is>
          <t>BAAY PROJECTS SALES EXPENSES (COMMISSION) RECORDS (1)</t>
        </is>
      </c>
      <c r="N879" s="78" t="inlineStr">
        <is>
          <t>MS OPEYEMI ADEGOKE</t>
        </is>
      </c>
      <c r="O879" s="78" t="n">
        <v>40</v>
      </c>
      <c r="P879" s="78" t="inlineStr">
        <is>
          <t>27/12/2025</t>
        </is>
      </c>
      <c r="Q879" s="78" t="n"/>
      <c r="R879" s="78" t="inlineStr">
        <is>
          <t>Commission-record amount: confirm to bank statement (records can aggregate several transfers)</t>
        </is>
      </c>
    </row>
    <row r="880" ht="25" customHeight="1">
      <c r="A880" s="75" t="inlineStr">
        <is>
          <t>SL0857</t>
        </is>
      </c>
      <c r="B880" s="76" t="n">
        <v>46018</v>
      </c>
      <c r="C880" s="75" t="inlineStr">
        <is>
          <t>2025-12</t>
        </is>
      </c>
      <c r="D880" s="75" t="n">
        <v>2025</v>
      </c>
      <c r="E880" s="75" t="inlineStr">
        <is>
          <t>Housing</t>
        </is>
      </c>
      <c r="F880" s="75" t="inlineStr">
        <is>
          <t>Plot / unit price</t>
        </is>
      </c>
      <c r="G880" s="75" t="inlineStr">
        <is>
          <t>Baay Foreshore</t>
        </is>
      </c>
      <c r="H880" s="75" t="inlineStr">
        <is>
          <t>BP-C0214</t>
        </is>
      </c>
      <c r="I880" s="75" t="inlineStr">
        <is>
          <t>Mrs Taiwo Adeyinka</t>
        </is>
      </c>
      <c r="J880" s="77" t="n">
        <v>5000000</v>
      </c>
      <c r="K880" s="75" t="n"/>
      <c r="L880" s="75" t="inlineStr">
        <is>
          <t>Secondary: commission records; no monthly turnover register for this period</t>
        </is>
      </c>
      <c r="M880" s="75" t="inlineStr">
        <is>
          <t>BAAY PROJECTS SALES EXPENSES (COMMISSION) RECORDS (1)</t>
        </is>
      </c>
      <c r="N880" s="75" t="inlineStr">
        <is>
          <t>MS BOLANLE</t>
        </is>
      </c>
      <c r="O880" s="75" t="n">
        <v>241</v>
      </c>
      <c r="P880" s="75" t="inlineStr">
        <is>
          <t>27/12/2025</t>
        </is>
      </c>
      <c r="Q880" s="75" t="n"/>
      <c r="R880" s="75" t="inlineStr">
        <is>
          <t>Commission-record amount: confirm to bank statement (records can aggregate several transfers)</t>
        </is>
      </c>
    </row>
    <row r="881" ht="25" customHeight="1">
      <c r="A881" s="78" t="inlineStr">
        <is>
          <t>SL0858</t>
        </is>
      </c>
      <c r="B881" s="79" t="n">
        <v>46021</v>
      </c>
      <c r="C881" s="78" t="inlineStr">
        <is>
          <t>2025-12</t>
        </is>
      </c>
      <c r="D881" s="78" t="n">
        <v>2025</v>
      </c>
      <c r="E881" s="78" t="inlineStr">
        <is>
          <t>Housing</t>
        </is>
      </c>
      <c r="F881" s="78" t="inlineStr">
        <is>
          <t>Plot / unit price</t>
        </is>
      </c>
      <c r="G881" s="78" t="inlineStr">
        <is>
          <t>Baay Foreshore</t>
        </is>
      </c>
      <c r="H881" s="78" t="inlineStr">
        <is>
          <t>BP-C0219</t>
        </is>
      </c>
      <c r="I881" s="78" t="inlineStr">
        <is>
          <t>Mr Sunday Ali Patrick</t>
        </is>
      </c>
      <c r="J881" s="80" t="n">
        <v>5000000</v>
      </c>
      <c r="K881" s="78" t="n"/>
      <c r="L881" s="78" t="inlineStr">
        <is>
          <t>Secondary: commission records; no monthly turnover register for this period</t>
        </is>
      </c>
      <c r="M881" s="78" t="inlineStr">
        <is>
          <t>BAAY PROJECTS SALES EXPENSES (COMMISSION) RECORDS (1)</t>
        </is>
      </c>
      <c r="N881" s="78" t="inlineStr">
        <is>
          <t>MARKETING DEPT</t>
        </is>
      </c>
      <c r="O881" s="78" t="n">
        <v>24</v>
      </c>
      <c r="P881" s="78" t="inlineStr">
        <is>
          <t>30/12/2025</t>
        </is>
      </c>
      <c r="Q881" s="78" t="n"/>
      <c r="R881" s="78" t="inlineStr">
        <is>
          <t>Commission-record amount: confirm to bank statement (records can aggregate several transfers)</t>
        </is>
      </c>
    </row>
    <row r="882" ht="25" customHeight="1">
      <c r="A882" s="75" t="inlineStr">
        <is>
          <t>SL0859</t>
        </is>
      </c>
      <c r="B882" s="76" t="n">
        <v>46022</v>
      </c>
      <c r="C882" s="75" t="inlineStr">
        <is>
          <t>2025-12</t>
        </is>
      </c>
      <c r="D882" s="75" t="n">
        <v>2025</v>
      </c>
      <c r="E882" s="75" t="inlineStr">
        <is>
          <t>Housing</t>
        </is>
      </c>
      <c r="F882" s="75" t="inlineStr">
        <is>
          <t>Plot / unit price</t>
        </is>
      </c>
      <c r="G882" s="75" t="inlineStr">
        <is>
          <t>Baay Foreshore</t>
        </is>
      </c>
      <c r="H882" s="75" t="inlineStr">
        <is>
          <t>BP-C0222</t>
        </is>
      </c>
      <c r="I882" s="75" t="inlineStr">
        <is>
          <t>Mr Omodele Oluseye Johnson</t>
        </is>
      </c>
      <c r="J882" s="77" t="n">
        <v>10500000</v>
      </c>
      <c r="K882" s="75" t="n"/>
      <c r="L882" s="75" t="inlineStr">
        <is>
          <t>Secondary: commission records; no monthly turnover register for this period</t>
        </is>
      </c>
      <c r="M882" s="75" t="inlineStr">
        <is>
          <t>BAAY PROJECTS SALES EXPENSES (COMMISSION) RECORDS (1)</t>
        </is>
      </c>
      <c r="N882" s="75" t="inlineStr">
        <is>
          <t>OJUMEFOR AGHA</t>
        </is>
      </c>
      <c r="O882" s="75" t="n">
        <v>7</v>
      </c>
      <c r="P882" s="75" t="inlineStr">
        <is>
          <t>31/12/2025</t>
        </is>
      </c>
      <c r="Q882" s="75" t="n"/>
      <c r="R882" s="75" t="inlineStr">
        <is>
          <t>Commission-record amount: confirm to bank statement (records can aggregate several transfers)</t>
        </is>
      </c>
    </row>
    <row r="883" ht="25" customHeight="1">
      <c r="A883" s="78" t="n"/>
      <c r="B883" s="78" t="n"/>
      <c r="C883" s="78" t="n"/>
      <c r="D883" s="78" t="n"/>
      <c r="E883" s="78" t="n"/>
      <c r="F883" s="78" t="n"/>
      <c r="G883" s="78" t="n"/>
      <c r="H883" s="78" t="n"/>
      <c r="I883" s="78" t="inlineStr">
        <is>
          <t>Total</t>
        </is>
      </c>
      <c r="J883" s="80" t="n">
        <v>2584814000</v>
      </c>
      <c r="K883" s="78" t="n"/>
      <c r="L883" s="78" t="n"/>
      <c r="M883" s="78" t="n"/>
      <c r="N883" s="78" t="n"/>
      <c r="O883" s="78" t="n"/>
      <c r="P883" s="78" t="n"/>
      <c r="Q883" s="78" t="n"/>
      <c r="R883" s="78" t="n"/>
    </row>
    <row r="884"/>
    <row r="885"/>
    <row r="886">
      <c r="A886" s="2" t="inlineStr">
        <is>
          <t>CASH RECEIPTS TO IFRS 15 REVENUE CONTROL BRIDGE</t>
        </is>
      </c>
    </row>
    <row r="887">
      <c r="A887" s="72" t="inlineStr">
        <is>
          <t>The bridge prevents cash collections from being posted automatically as revenue.</t>
        </is>
      </c>
    </row>
    <row r="888"/>
    <row r="889">
      <c r="A889" s="73" t="inlineStr">
        <is>
          <t>Control line</t>
        </is>
      </c>
      <c r="B889" s="73" t="inlineStr">
        <is>
          <t>2023</t>
        </is>
      </c>
      <c r="C889" s="73" t="inlineStr">
        <is>
          <t>2024</t>
        </is>
      </c>
      <c r="D889" s="73" t="inlineStr">
        <is>
          <t>2025</t>
        </is>
      </c>
      <c r="E889" s="73" t="inlineStr">
        <is>
          <t>2023-2025</t>
        </is>
      </c>
      <c r="F889" s="73" t="inlineStr">
        <is>
          <t>Treatment</t>
        </is>
      </c>
    </row>
    <row r="890">
      <c r="A890" s="59" t="inlineStr">
        <is>
          <t>Customer receipts per accountant ledger</t>
        </is>
      </c>
      <c r="B890" s="81" t="n">
        <v>125620000</v>
      </c>
      <c r="C890" s="81" t="n">
        <v>594080600</v>
      </c>
      <c r="D890" s="81" t="n">
        <v>1865113400</v>
      </c>
      <c r="E890" s="81" t="n">
        <v>2584814000</v>
      </c>
      <c r="F890" s="59" t="inlineStr">
        <is>
          <t>Cash-receipt population</t>
        </is>
      </c>
    </row>
    <row r="891">
      <c r="A891" s="59" t="inlineStr">
        <is>
          <t>Revenue recognized in draft AFS</t>
        </is>
      </c>
      <c r="B891" s="81" t="n">
        <v>38500000</v>
      </c>
      <c r="C891" s="81" t="n">
        <v>64200000</v>
      </c>
      <c r="D891" s="81" t="n">
        <v>112500000</v>
      </c>
      <c r="E891" s="81" t="n">
        <v>215200000</v>
      </c>
      <c r="F891" s="59" t="inlineStr">
        <is>
          <t>IFRS 15 recognition basis</t>
        </is>
      </c>
    </row>
    <row r="892">
      <c r="A892" s="59" t="inlineStr">
        <is>
          <t>Receipt / recognition timing and classification control</t>
        </is>
      </c>
      <c r="B892" s="81" t="n">
        <v>87120000</v>
      </c>
      <c r="C892" s="81" t="n">
        <v>529880600</v>
      </c>
      <c r="D892" s="81" t="n">
        <v>1752613400</v>
      </c>
      <c r="E892" s="81" t="n">
        <v>2369614000</v>
      </c>
      <c r="F892" s="59" t="inlineStr">
        <is>
          <t>Not a plug: derived control difference pending contract-level allocation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4"/>
  <sheetViews>
    <sheetView showGridLines="1" workbookViewId="0">
      <pane ySplit="4" topLeftCell="A5" activePane="bottomLeft" state="frozen"/>
      <selection pane="bottomLeft" activeCell="A1" sqref="A1"/>
    </sheetView>
  </sheetViews>
  <sheetFormatPr baseColWidth="8" defaultRowHeight="15"/>
  <cols>
    <col width="90" customWidth="1" min="1" max="1"/>
    <col width="21" customWidth="1" min="2" max="2"/>
    <col width="19" customWidth="1" min="3" max="3"/>
    <col width="18" customWidth="1" min="4" max="4"/>
    <col width="19" customWidth="1" min="5" max="5"/>
    <col width="18" customWidth="1" min="6" max="6"/>
    <col width="19" customWidth="1" min="7" max="7"/>
    <col width="18" customWidth="1" min="8" max="8"/>
    <col width="19" customWidth="1" min="9" max="9"/>
  </cols>
  <sheetData>
    <row r="1">
      <c r="A1" s="1" t="inlineStr">
        <is>
          <t>BAAY PROJECTS LIMITED — PROPERTY, PLANT AND EQUIPMENT (IAS 16)</t>
        </is>
      </c>
    </row>
    <row r="2">
      <c r="A2" s="3" t="inlineStr">
        <is>
          <t>Schedule of Fixed Assets, Additions, Disposals &amp; Accumulated Depreciation (2023 - 2025)</t>
        </is>
      </c>
    </row>
    <row r="3"/>
    <row r="4">
      <c r="A4" s="4" t="inlineStr">
        <is>
          <t>Asset Category</t>
        </is>
      </c>
      <c r="B4" s="4" t="inlineStr">
        <is>
          <t>Depr Method &amp; Rate</t>
        </is>
      </c>
      <c r="C4" s="4" t="inlineStr">
        <is>
          <t>Cost 31-Dec-2022</t>
        </is>
      </c>
      <c r="D4" s="4" t="inlineStr">
        <is>
          <t>2023 Additions</t>
        </is>
      </c>
      <c r="E4" s="4" t="inlineStr">
        <is>
          <t>Cost 31-Dec-2023</t>
        </is>
      </c>
      <c r="F4" s="4" t="inlineStr">
        <is>
          <t>2024 Additions</t>
        </is>
      </c>
      <c r="G4" s="4" t="inlineStr">
        <is>
          <t>Cost 31-Dec-2024</t>
        </is>
      </c>
      <c r="H4" s="4" t="inlineStr">
        <is>
          <t>2025 Additions</t>
        </is>
      </c>
      <c r="I4" s="4" t="inlineStr">
        <is>
          <t>Cost 31-Dec-2025</t>
        </is>
      </c>
    </row>
    <row r="5">
      <c r="A5" s="8" t="inlineStr">
        <is>
          <t>Plant, Machinery &amp; Site Equipment</t>
        </is>
      </c>
      <c r="B5" s="10" t="inlineStr">
        <is>
          <t>Straight Line 20%</t>
        </is>
      </c>
      <c r="C5" s="28" t="n">
        <v>23850</v>
      </c>
      <c r="D5" s="28" t="n">
        <v>1800000</v>
      </c>
      <c r="E5" s="28" t="n">
        <v>1823850</v>
      </c>
      <c r="F5" s="28" t="n">
        <v>1200000</v>
      </c>
      <c r="G5" s="28" t="n">
        <v>3023850</v>
      </c>
      <c r="H5" s="28" t="n">
        <v>1600000</v>
      </c>
      <c r="I5" s="28" t="n">
        <v>4623850</v>
      </c>
    </row>
    <row r="6">
      <c r="A6" s="5" t="inlineStr">
        <is>
          <t>Motor Vehicles &amp; Logistics Fleet</t>
        </is>
      </c>
      <c r="B6" s="7" t="inlineStr">
        <is>
          <t>Straight Line 25%</t>
        </is>
      </c>
      <c r="C6" s="27" t="n">
        <v>0</v>
      </c>
      <c r="D6" s="27" t="n">
        <v>0</v>
      </c>
      <c r="E6" s="27" t="n">
        <v>0</v>
      </c>
      <c r="F6" s="27" t="n">
        <v>1500000</v>
      </c>
      <c r="G6" s="27" t="n">
        <v>1500000</v>
      </c>
      <c r="H6" s="27" t="n">
        <v>2000000</v>
      </c>
      <c r="I6" s="27" t="n">
        <v>3500000</v>
      </c>
    </row>
    <row r="7">
      <c r="A7" s="39" t="inlineStr">
        <is>
          <t>TOTAL PPE GROSS COST</t>
        </is>
      </c>
      <c r="B7" s="38" t="n"/>
      <c r="C7" s="41">
        <f>SUM(C5:C6)</f>
        <v/>
      </c>
      <c r="D7" s="41">
        <f>SUM(D5:D6)</f>
        <v/>
      </c>
      <c r="E7" s="41">
        <f>SUM(E5:E6)</f>
        <v/>
      </c>
      <c r="F7" s="41">
        <f>SUM(F5:F6)</f>
        <v/>
      </c>
      <c r="G7" s="41">
        <f>SUM(G5:G6)</f>
        <v/>
      </c>
      <c r="H7" s="41">
        <f>SUM(H5:H6)</f>
        <v/>
      </c>
      <c r="I7" s="41">
        <f>SUM(I5:I6)</f>
        <v/>
      </c>
    </row>
    <row r="8"/>
    <row r="9"/>
    <row r="10">
      <c r="A10" s="2" t="inlineStr">
        <is>
          <t>ACCUMULATED DEPRECIATION &amp; NET BOOK VALUE ROLL-FORWARD</t>
        </is>
      </c>
    </row>
    <row r="11">
      <c r="A11" s="4" t="inlineStr">
        <is>
          <t>Asset Category</t>
        </is>
      </c>
      <c r="B11" s="4" t="inlineStr">
        <is>
          <t>Accum Depr 2022</t>
        </is>
      </c>
      <c r="C11" s="4" t="inlineStr">
        <is>
          <t>2023 Depr</t>
        </is>
      </c>
      <c r="D11" s="4" t="inlineStr">
        <is>
          <t>Accum Depr 2023</t>
        </is>
      </c>
      <c r="E11" s="4" t="inlineStr">
        <is>
          <t>2024 Depr</t>
        </is>
      </c>
      <c r="F11" s="4" t="inlineStr">
        <is>
          <t>Accum Depr 2024</t>
        </is>
      </c>
      <c r="G11" s="4" t="inlineStr">
        <is>
          <t>2025 Depr</t>
        </is>
      </c>
      <c r="H11" s="4" t="inlineStr">
        <is>
          <t>Accum Depr 2025</t>
        </is>
      </c>
      <c r="I11" s="4" t="inlineStr">
        <is>
          <t>NBV 31-Dec-2025</t>
        </is>
      </c>
    </row>
    <row r="12">
      <c r="A12" s="5" t="inlineStr">
        <is>
          <t>Plant, Machinery &amp; Site Equipment</t>
        </is>
      </c>
      <c r="B12" s="27" t="n">
        <v>14310</v>
      </c>
      <c r="C12" s="27" t="n">
        <v>385000</v>
      </c>
      <c r="D12" s="27" t="n">
        <v>399310</v>
      </c>
      <c r="E12" s="27" t="n">
        <v>485000</v>
      </c>
      <c r="F12" s="27" t="n">
        <v>884310</v>
      </c>
      <c r="G12" s="27" t="n">
        <v>785000</v>
      </c>
      <c r="H12" s="27" t="n">
        <v>1669310</v>
      </c>
      <c r="I12" s="27" t="n">
        <v>2954540</v>
      </c>
    </row>
    <row r="13">
      <c r="A13" s="8" t="inlineStr">
        <is>
          <t>Motor Vehicles &amp; Logistics Fleet</t>
        </is>
      </c>
      <c r="B13" s="28" t="n">
        <v>0</v>
      </c>
      <c r="C13" s="28" t="n">
        <v>0</v>
      </c>
      <c r="D13" s="28" t="n">
        <v>0</v>
      </c>
      <c r="E13" s="28" t="n">
        <v>230000</v>
      </c>
      <c r="F13" s="28" t="n">
        <v>230000</v>
      </c>
      <c r="G13" s="28" t="n">
        <v>500000</v>
      </c>
      <c r="H13" s="28" t="n">
        <v>730000</v>
      </c>
      <c r="I13" s="28" t="n">
        <v>2770000</v>
      </c>
    </row>
    <row r="14">
      <c r="A14" s="39" t="inlineStr">
        <is>
          <t>TOTAL ACCUMULATED DEPRECIATION / NBV</t>
        </is>
      </c>
      <c r="B14" s="41">
        <f>SUM(B12:B13)</f>
        <v/>
      </c>
      <c r="C14" s="41">
        <f>SUM(C12:C13)</f>
        <v/>
      </c>
      <c r="D14" s="41">
        <f>SUM(D12:D13)</f>
        <v/>
      </c>
      <c r="E14" s="41">
        <f>SUM(E12:E13)</f>
        <v/>
      </c>
      <c r="F14" s="41">
        <f>SUM(F12:F13)</f>
        <v/>
      </c>
      <c r="G14" s="41">
        <f>SUM(G12:G13)</f>
        <v/>
      </c>
      <c r="H14" s="41">
        <f>SUM(H12:H13)</f>
        <v/>
      </c>
      <c r="I14" s="41">
        <f>SUM(I12:I13)</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253"/>
  <sheetViews>
    <sheetView showGridLines="1" workbookViewId="0">
      <pane ySplit="4" topLeftCell="A5" activePane="bottomLeft" state="frozen"/>
      <selection pane="bottomLeft" activeCell="A1" sqref="A1"/>
    </sheetView>
  </sheetViews>
  <sheetFormatPr baseColWidth="8" defaultRowHeight="15"/>
  <cols>
    <col width="28" customWidth="1" min="1" max="1"/>
    <col width="21" customWidth="1" min="2" max="2"/>
    <col width="15" customWidth="1" min="3" max="3"/>
    <col width="17" customWidth="1" min="4" max="4"/>
    <col width="21" customWidth="1" min="5" max="5"/>
    <col width="17" customWidth="1" min="6" max="6"/>
    <col width="21" customWidth="1" min="7" max="7"/>
    <col width="17" customWidth="1" min="8" max="8"/>
    <col width="25"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1" t="inlineStr">
        <is>
          <t>BAAY PROJECTS LIMITED — RECEIVABLES, IFRS 9 ECL &amp; TRADE PAYABLES</t>
        </is>
      </c>
    </row>
    <row r="2">
      <c r="A2" s="3" t="inlineStr">
        <is>
          <t>Aging Analysis, Simplified ECL Matrix, Customer Subscriptions &amp; Subcontractor Payables (2023 - 2025)</t>
        </is>
      </c>
    </row>
    <row r="3"/>
    <row r="4">
      <c r="A4" s="4" t="inlineStr">
        <is>
          <t>Aging Category</t>
        </is>
      </c>
      <c r="B4" s="4" t="inlineStr">
        <is>
          <t>Gross Balance 2023</t>
        </is>
      </c>
      <c r="C4" s="4" t="inlineStr">
        <is>
          <t>ECL Rate (%)</t>
        </is>
      </c>
      <c r="D4" s="4" t="inlineStr">
        <is>
          <t>2023 ECL (NGN)</t>
        </is>
      </c>
      <c r="E4" s="4" t="inlineStr">
        <is>
          <t>Gross Balance 2024</t>
        </is>
      </c>
      <c r="F4" s="4" t="inlineStr">
        <is>
          <t>2024 ECL (NGN)</t>
        </is>
      </c>
      <c r="G4" s="4" t="inlineStr">
        <is>
          <t>Gross Balance 2025</t>
        </is>
      </c>
      <c r="H4" s="4" t="inlineStr">
        <is>
          <t>2025 ECL (NGN)</t>
        </is>
      </c>
      <c r="I4" s="4" t="inlineStr">
        <is>
          <t>Net Balance 2025 (NGN)</t>
        </is>
      </c>
    </row>
    <row r="5">
      <c r="A5" s="8" t="inlineStr">
        <is>
          <t>0 - 30 Days (Current)</t>
        </is>
      </c>
      <c r="B5" s="28" t="n">
        <v>2150000</v>
      </c>
      <c r="C5" s="33" t="n">
        <v>0.01</v>
      </c>
      <c r="D5" s="28" t="n">
        <v>21500</v>
      </c>
      <c r="E5" s="28" t="n">
        <v>3400000</v>
      </c>
      <c r="F5" s="28" t="n">
        <v>34000</v>
      </c>
      <c r="G5" s="28" t="n">
        <v>5200000</v>
      </c>
      <c r="H5" s="28" t="n">
        <v>52000</v>
      </c>
      <c r="I5" s="28" t="n">
        <v>5148000</v>
      </c>
    </row>
    <row r="6">
      <c r="A6" s="5" t="inlineStr">
        <is>
          <t>31 - 90 Days (Past Due)</t>
        </is>
      </c>
      <c r="B6" s="27" t="n">
        <v>950000</v>
      </c>
      <c r="C6" s="36" t="n">
        <v>0.03</v>
      </c>
      <c r="D6" s="27" t="n">
        <v>28500</v>
      </c>
      <c r="E6" s="27" t="n">
        <v>1450000</v>
      </c>
      <c r="F6" s="27" t="n">
        <v>43500</v>
      </c>
      <c r="G6" s="27" t="n">
        <v>2300000</v>
      </c>
      <c r="H6" s="27" t="n">
        <v>69000</v>
      </c>
      <c r="I6" s="27" t="n">
        <v>2231000</v>
      </c>
    </row>
    <row r="7">
      <c r="A7" s="8" t="inlineStr">
        <is>
          <t>91 - 180 Days (Past Due)</t>
        </is>
      </c>
      <c r="B7" s="28" t="n">
        <v>350000</v>
      </c>
      <c r="C7" s="33" t="n">
        <v>0.07000000000000001</v>
      </c>
      <c r="D7" s="28" t="n">
        <v>24500</v>
      </c>
      <c r="E7" s="28" t="n">
        <v>550000</v>
      </c>
      <c r="F7" s="28" t="n">
        <v>38500</v>
      </c>
      <c r="G7" s="28" t="n">
        <v>950000</v>
      </c>
      <c r="H7" s="28" t="n">
        <v>66500</v>
      </c>
      <c r="I7" s="28" t="n">
        <v>883500</v>
      </c>
    </row>
    <row r="8">
      <c r="A8" s="5" t="inlineStr">
        <is>
          <t>181 - 360 Days (Past Due)</t>
        </is>
      </c>
      <c r="B8" s="27" t="n">
        <v>120000</v>
      </c>
      <c r="C8" s="36" t="n">
        <v>0.15</v>
      </c>
      <c r="D8" s="27" t="n">
        <v>18000</v>
      </c>
      <c r="E8" s="27" t="n">
        <v>250000</v>
      </c>
      <c r="F8" s="27" t="n">
        <v>37500</v>
      </c>
      <c r="G8" s="27" t="n">
        <v>450000</v>
      </c>
      <c r="H8" s="27" t="n">
        <v>67500</v>
      </c>
      <c r="I8" s="27" t="n">
        <v>382500</v>
      </c>
    </row>
    <row r="9">
      <c r="A9" s="8" t="inlineStr">
        <is>
          <t>&gt; 360 Days (Impaired)</t>
        </is>
      </c>
      <c r="B9" s="28" t="n">
        <v>80000</v>
      </c>
      <c r="C9" s="33" t="n">
        <v>0.25</v>
      </c>
      <c r="D9" s="28" t="n">
        <v>20000</v>
      </c>
      <c r="E9" s="28" t="n">
        <v>150000</v>
      </c>
      <c r="F9" s="28" t="n">
        <v>37500</v>
      </c>
      <c r="G9" s="28" t="n">
        <v>300000</v>
      </c>
      <c r="H9" s="28" t="n">
        <v>75000</v>
      </c>
      <c r="I9" s="28" t="n">
        <v>225000</v>
      </c>
    </row>
    <row r="10">
      <c r="A10" s="39" t="inlineStr">
        <is>
          <t>TOTAL TRADE RECEIVABLES &amp; ECL</t>
        </is>
      </c>
      <c r="B10" s="41">
        <f>SUM(B5:B9)</f>
        <v/>
      </c>
      <c r="C10" s="38" t="n"/>
      <c r="D10" s="41">
        <f>SUM(D5:D9)</f>
        <v/>
      </c>
      <c r="E10" s="41">
        <f>SUM(E5:E9)</f>
        <v/>
      </c>
      <c r="F10" s="41">
        <f>SUM(F5:F9)</f>
        <v/>
      </c>
      <c r="G10" s="41">
        <f>SUM(G5:G9)</f>
        <v/>
      </c>
      <c r="H10" s="41">
        <f>SUM(H5:H9)</f>
        <v/>
      </c>
      <c r="I10" s="41">
        <f>SUM(I5:I9)</f>
        <v/>
      </c>
    </row>
    <row r="11"/>
    <row r="12"/>
    <row r="13">
      <c r="A13" s="2" t="inlineStr">
        <is>
          <t>CUSTOMER MASTER &amp; CONFIRMATION POPULATION</t>
        </is>
      </c>
    </row>
    <row r="14">
      <c r="A14" s="72" t="inlineStr">
        <is>
          <t>All customer profiles, formula-derived receipts and review flags retained for audit selection.</t>
        </is>
      </c>
    </row>
    <row r="15"/>
    <row r="16" ht="32" customHeight="1">
      <c r="A16" s="74" t="inlineStr">
        <is>
          <t>Customer ID</t>
        </is>
      </c>
      <c r="B16" s="74" t="inlineStr">
        <is>
          <t>Customer name</t>
        </is>
      </c>
      <c r="C16" s="74" t="inlineStr">
        <is>
          <t>Phone</t>
        </is>
      </c>
      <c r="D16" s="74" t="inlineStr">
        <is>
          <t>Email</t>
        </is>
      </c>
      <c r="E16" s="74" t="inlineStr">
        <is>
          <t>Product line(s)</t>
        </is>
      </c>
      <c r="F16" s="74" t="inlineStr">
        <is>
          <t>Project(s)</t>
        </is>
      </c>
      <c r="G16" s="74" t="inlineStr">
        <is>
          <t>First subscription date (register)</t>
        </is>
      </c>
      <c r="H16" s="74" t="inlineStr">
        <is>
          <t>First receipt in ledger</t>
        </is>
      </c>
      <c r="I16" s="74" t="inlineStr">
        <is>
          <t>Contract value per register (₦)</t>
        </is>
      </c>
      <c r="J16" s="74" t="inlineStr">
        <is>
          <t>Paid to date per register (₦)</t>
        </is>
      </c>
      <c r="K16" s="74" t="inlineStr">
        <is>
          <t>Receipts 2023 (₦)</t>
        </is>
      </c>
      <c r="L16" s="74" t="inlineStr">
        <is>
          <t>Receipts 2024 (₦)</t>
        </is>
      </c>
      <c r="M16" s="74" t="inlineStr">
        <is>
          <t>Receipts 2025 (₦)</t>
        </is>
      </c>
      <c r="N16" s="74" t="inlineStr">
        <is>
          <t>Total receipts 2023-2025 (₦)</t>
        </is>
      </c>
      <c r="O16" s="74" t="inlineStr">
        <is>
          <t>Identified from</t>
        </is>
      </c>
      <c r="P16" s="74" t="inlineStr">
        <is>
          <t>Register status</t>
        </is>
      </c>
      <c r="Q16" s="74" t="inlineStr">
        <is>
          <t>Realtor / contact</t>
        </is>
      </c>
      <c r="R16" s="74" t="inlineStr">
        <is>
          <t>Review flag</t>
        </is>
      </c>
    </row>
    <row r="17" ht="25" customHeight="1">
      <c r="A17" s="78" t="inlineStr">
        <is>
          <t>BP-C0001</t>
        </is>
      </c>
      <c r="B17" s="78" t="inlineStr">
        <is>
          <t>Mr Meshack Osagie</t>
        </is>
      </c>
      <c r="C17" s="78" t="inlineStr">
        <is>
          <t>19179388590</t>
        </is>
      </c>
      <c r="D17" s="78" t="n"/>
      <c r="E17" s="78" t="inlineStr">
        <is>
          <t>Housing</t>
        </is>
      </c>
      <c r="F17" s="78" t="inlineStr">
        <is>
          <t>Pacific Court</t>
        </is>
      </c>
      <c r="G17" s="79" t="n">
        <v>44593</v>
      </c>
      <c r="H17" s="79" t="n"/>
      <c r="I17" s="80" t="n">
        <v>10500000</v>
      </c>
      <c r="J17" s="80" t="n">
        <v>0</v>
      </c>
      <c r="K17" s="80" t="n">
        <v>0</v>
      </c>
      <c r="L17" s="80" t="n">
        <v>0</v>
      </c>
      <c r="M17" s="80" t="n">
        <v>0</v>
      </c>
      <c r="N17" s="80" t="n">
        <v>0</v>
      </c>
      <c r="O17" s="78" t="inlineStr">
        <is>
          <t>Client register</t>
        </is>
      </c>
      <c r="P17" s="78" t="inlineStr">
        <is>
          <t>PAID</t>
        </is>
      </c>
      <c r="Q17" s="78" t="inlineStr">
        <is>
          <t>AKIN PHILIP</t>
        </is>
      </c>
      <c r="R17" s="78" t="n"/>
    </row>
    <row r="18" ht="25" customHeight="1">
      <c r="A18" s="75" t="inlineStr">
        <is>
          <t>BP-C0002</t>
        </is>
      </c>
      <c r="B18" s="75" t="inlineStr">
        <is>
          <t>Temidayo Oniosun</t>
        </is>
      </c>
      <c r="C18" s="75" t="inlineStr">
        <is>
          <t>13024078280</t>
        </is>
      </c>
      <c r="D18" s="75" t="inlineStr">
        <is>
          <t>SENT</t>
        </is>
      </c>
      <c r="E18" s="75" t="inlineStr">
        <is>
          <t>Housing</t>
        </is>
      </c>
      <c r="F18" s="75" t="inlineStr">
        <is>
          <t>Pacific Court</t>
        </is>
      </c>
      <c r="G18" s="76" t="n">
        <v>44652</v>
      </c>
      <c r="H18" s="76" t="n"/>
      <c r="I18" s="77" t="n">
        <v>52200000</v>
      </c>
      <c r="J18" s="77" t="n">
        <v>0</v>
      </c>
      <c r="K18" s="77" t="n">
        <v>0</v>
      </c>
      <c r="L18" s="77" t="n">
        <v>0</v>
      </c>
      <c r="M18" s="77" t="n">
        <v>0</v>
      </c>
      <c r="N18" s="77" t="n">
        <v>0</v>
      </c>
      <c r="O18" s="75" t="inlineStr">
        <is>
          <t>Client register</t>
        </is>
      </c>
      <c r="P18" s="75" t="inlineStr">
        <is>
          <t>PAID</t>
        </is>
      </c>
      <c r="Q18" s="75" t="inlineStr">
        <is>
          <t>MD</t>
        </is>
      </c>
      <c r="R18" s="75" t="n"/>
    </row>
    <row r="19" ht="25" customHeight="1">
      <c r="A19" s="78" t="inlineStr">
        <is>
          <t>BP-C0003</t>
        </is>
      </c>
      <c r="B19" s="78" t="inlineStr">
        <is>
          <t>Mrs Agbaje</t>
        </is>
      </c>
      <c r="C19" s="78" t="inlineStr">
        <is>
          <t>353(87)9217662</t>
        </is>
      </c>
      <c r="D19" s="78" t="n"/>
      <c r="E19" s="78" t="inlineStr">
        <is>
          <t>Housing</t>
        </is>
      </c>
      <c r="F19" s="78" t="inlineStr">
        <is>
          <t>Pacific Court</t>
        </is>
      </c>
      <c r="G19" s="79" t="n">
        <v>44713</v>
      </c>
      <c r="H19" s="79" t="n"/>
      <c r="I19" s="80" t="n">
        <v>63000000</v>
      </c>
      <c r="J19" s="80" t="n">
        <v>0</v>
      </c>
      <c r="K19" s="80" t="n">
        <v>0</v>
      </c>
      <c r="L19" s="80" t="n">
        <v>0</v>
      </c>
      <c r="M19" s="80" t="n">
        <v>0</v>
      </c>
      <c r="N19" s="80" t="n">
        <v>0</v>
      </c>
      <c r="O19" s="78" t="inlineStr">
        <is>
          <t>Client register</t>
        </is>
      </c>
      <c r="P19" s="78" t="inlineStr">
        <is>
          <t>PAID</t>
        </is>
      </c>
      <c r="Q19" s="78" t="inlineStr">
        <is>
          <t>MR BIOLA AKOSILE</t>
        </is>
      </c>
      <c r="R19" s="78" t="n"/>
    </row>
    <row r="20" ht="25" customHeight="1">
      <c r="A20" s="75" t="inlineStr">
        <is>
          <t>BP-C0004</t>
        </is>
      </c>
      <c r="B20" s="75" t="inlineStr">
        <is>
          <t>Mrs Kate</t>
        </is>
      </c>
      <c r="C20" s="75" t="n"/>
      <c r="D20" s="75" t="n"/>
      <c r="E20" s="75" t="inlineStr">
        <is>
          <t>Housing</t>
        </is>
      </c>
      <c r="F20" s="75" t="inlineStr">
        <is>
          <t>Pacific Court</t>
        </is>
      </c>
      <c r="G20" s="76" t="n">
        <v>44774</v>
      </c>
      <c r="H20" s="76" t="n"/>
      <c r="I20" s="77" t="n">
        <v>40000000</v>
      </c>
      <c r="J20" s="77" t="n">
        <v>0</v>
      </c>
      <c r="K20" s="77" t="n">
        <v>0</v>
      </c>
      <c r="L20" s="77" t="n">
        <v>0</v>
      </c>
      <c r="M20" s="77" t="n">
        <v>0</v>
      </c>
      <c r="N20" s="77" t="n">
        <v>0</v>
      </c>
      <c r="O20" s="75" t="inlineStr">
        <is>
          <t>Client register</t>
        </is>
      </c>
      <c r="P20" s="75" t="inlineStr">
        <is>
          <t>REFUND</t>
        </is>
      </c>
      <c r="Q20" s="75" t="inlineStr">
        <is>
          <t>MD</t>
        </is>
      </c>
      <c r="R20" s="75" t="n"/>
    </row>
    <row r="21" ht="25" customHeight="1">
      <c r="A21" s="78" t="inlineStr">
        <is>
          <t>BP-C0005</t>
        </is>
      </c>
      <c r="B21" s="78" t="inlineStr">
        <is>
          <t>Mrs Mo</t>
        </is>
      </c>
      <c r="C21" s="78" t="n"/>
      <c r="D21" s="78" t="inlineStr">
        <is>
          <t>SENT</t>
        </is>
      </c>
      <c r="E21" s="78" t="inlineStr">
        <is>
          <t>Housing</t>
        </is>
      </c>
      <c r="F21" s="78" t="inlineStr">
        <is>
          <t>Pacific Court</t>
        </is>
      </c>
      <c r="G21" s="79" t="n">
        <v>44896</v>
      </c>
      <c r="H21" s="79" t="n"/>
      <c r="I21" s="80" t="n">
        <v>47000000</v>
      </c>
      <c r="J21" s="80" t="n">
        <v>0</v>
      </c>
      <c r="K21" s="80" t="n">
        <v>0</v>
      </c>
      <c r="L21" s="80" t="n">
        <v>0</v>
      </c>
      <c r="M21" s="80" t="n">
        <v>0</v>
      </c>
      <c r="N21" s="80" t="n">
        <v>0</v>
      </c>
      <c r="O21" s="78" t="inlineStr">
        <is>
          <t>Client register</t>
        </is>
      </c>
      <c r="P21" s="78" t="inlineStr">
        <is>
          <t>PAID</t>
        </is>
      </c>
      <c r="Q21" s="78" t="inlineStr">
        <is>
          <t>MS YETUNDE ABISOYE</t>
        </is>
      </c>
      <c r="R21" s="78" t="n"/>
    </row>
    <row r="22" ht="25" customHeight="1">
      <c r="A22" s="75" t="inlineStr">
        <is>
          <t>BP-C0006</t>
        </is>
      </c>
      <c r="B22" s="75" t="inlineStr">
        <is>
          <t>Olasupo Oladimeji</t>
        </is>
      </c>
      <c r="C22" s="75" t="inlineStr">
        <is>
          <t>8086769111</t>
        </is>
      </c>
      <c r="D22" s="75" t="inlineStr">
        <is>
          <t>SENT</t>
        </is>
      </c>
      <c r="E22" s="75" t="inlineStr">
        <is>
          <t>Land</t>
        </is>
      </c>
      <c r="F22" s="75" t="inlineStr">
        <is>
          <t>Green City Phase 1 (Lantaba, Ketu-Epe); Land (estate not stated in source)</t>
        </is>
      </c>
      <c r="G22" s="76" t="n">
        <v>45288</v>
      </c>
      <c r="H22" s="76" t="n">
        <v>44957</v>
      </c>
      <c r="I22" s="77" t="n">
        <v>10000000</v>
      </c>
      <c r="J22" s="77" t="n">
        <v>10000000</v>
      </c>
      <c r="K22" s="77" t="n">
        <v>2894000</v>
      </c>
      <c r="L22" s="77" t="n">
        <v>8385000</v>
      </c>
      <c r="M22" s="77" t="n">
        <v>0</v>
      </c>
      <c r="N22" s="77" t="n">
        <v>11279000</v>
      </c>
      <c r="O22" s="75" t="inlineStr">
        <is>
          <t>Client register + Transaction records</t>
        </is>
      </c>
      <c r="P22" s="75" t="inlineStr">
        <is>
          <t>Bought</t>
        </is>
      </c>
      <c r="Q22" s="75" t="inlineStr">
        <is>
          <t>Ms Abimbola</t>
        </is>
      </c>
      <c r="R22" s="75" t="inlineStr">
        <is>
          <t>Receipts exceed register contract value: check for duplicate entries, extra plots or ancillary fees</t>
        </is>
      </c>
    </row>
    <row r="23" ht="25" customHeight="1">
      <c r="A23" s="78" t="inlineStr">
        <is>
          <t>BP-C0007</t>
        </is>
      </c>
      <c r="B23" s="78" t="inlineStr">
        <is>
          <t>Mrs Ero</t>
        </is>
      </c>
      <c r="C23" s="78" t="n"/>
      <c r="D23" s="78" t="inlineStr">
        <is>
          <t>SENT</t>
        </is>
      </c>
      <c r="E23" s="78" t="inlineStr">
        <is>
          <t>Housing</t>
        </is>
      </c>
      <c r="F23" s="78" t="inlineStr">
        <is>
          <t>Pacific Court</t>
        </is>
      </c>
      <c r="G23" s="79" t="n">
        <v>44958</v>
      </c>
      <c r="H23" s="79" t="n"/>
      <c r="I23" s="80" t="n">
        <v>600000000</v>
      </c>
      <c r="J23" s="80" t="n">
        <v>0</v>
      </c>
      <c r="K23" s="80" t="n">
        <v>0</v>
      </c>
      <c r="L23" s="80" t="n">
        <v>0</v>
      </c>
      <c r="M23" s="80" t="n">
        <v>0</v>
      </c>
      <c r="N23" s="80" t="n">
        <v>0</v>
      </c>
      <c r="O23" s="78" t="inlineStr">
        <is>
          <t>Client register</t>
        </is>
      </c>
      <c r="P23" s="78" t="inlineStr">
        <is>
          <t>PAID</t>
        </is>
      </c>
      <c r="Q23" s="78" t="inlineStr">
        <is>
          <t>PASTOR GABRIEL</t>
        </is>
      </c>
      <c r="R23" s="78" t="n"/>
    </row>
    <row r="24" ht="25" customHeight="1">
      <c r="A24" s="75" t="inlineStr">
        <is>
          <t>BP-C0008</t>
        </is>
      </c>
      <c r="B24" s="75" t="inlineStr">
        <is>
          <t>Mr Rasaq Roqeeb</t>
        </is>
      </c>
      <c r="C24" s="75" t="inlineStr">
        <is>
          <t>8102767531</t>
        </is>
      </c>
      <c r="D24" s="75" t="inlineStr">
        <is>
          <t>SENT</t>
        </is>
      </c>
      <c r="E24" s="75" t="inlineStr">
        <is>
          <t>Land</t>
        </is>
      </c>
      <c r="F24" s="75" t="inlineStr">
        <is>
          <t>Green City Phase 1 (Ketu-Epe); Green City Phase 1 (Lantaba, Ketu-Epe); Green City Phase 2 (Idobi, Ketu-Epe); Green City Phase 2 (Ketu-Epe)</t>
        </is>
      </c>
      <c r="G24" s="76" t="n">
        <v>44967</v>
      </c>
      <c r="H24" s="76" t="n">
        <v>45202</v>
      </c>
      <c r="I24" s="77" t="n">
        <v>3900000</v>
      </c>
      <c r="J24" s="77" t="n">
        <v>3900000</v>
      </c>
      <c r="K24" s="77" t="n">
        <v>500000</v>
      </c>
      <c r="L24" s="77" t="n">
        <v>1150000</v>
      </c>
      <c r="M24" s="77" t="n">
        <v>0</v>
      </c>
      <c r="N24" s="77" t="n">
        <v>1650000</v>
      </c>
      <c r="O24" s="75" t="inlineStr">
        <is>
          <t>Client register + Transaction records</t>
        </is>
      </c>
      <c r="P24" s="75" t="inlineStr">
        <is>
          <t>Bought</t>
        </is>
      </c>
      <c r="Q24" s="75" t="inlineStr">
        <is>
          <t>MD</t>
        </is>
      </c>
      <c r="R24" s="75" t="n"/>
    </row>
    <row r="25" ht="25" customHeight="1">
      <c r="A25" s="78" t="inlineStr">
        <is>
          <t>BP-C0009</t>
        </is>
      </c>
      <c r="B25" s="78" t="inlineStr">
        <is>
          <t>Miss Oji Blessing Mary</t>
        </is>
      </c>
      <c r="C25" s="78" t="inlineStr">
        <is>
          <t>971589650958</t>
        </is>
      </c>
      <c r="D25" s="78" t="inlineStr">
        <is>
          <t>ojiblexin@gmail.com</t>
        </is>
      </c>
      <c r="E25" s="78" t="inlineStr">
        <is>
          <t>Land</t>
        </is>
      </c>
      <c r="F25" s="78" t="inlineStr">
        <is>
          <t>Green City Phase 2 (Ketu-Epe); Green City Phase 3 (Omu-Epe); Land (estate not stated in source); Land: ancillary charges</t>
        </is>
      </c>
      <c r="G25" s="79" t="n">
        <v>45334</v>
      </c>
      <c r="H25" s="79" t="n">
        <v>44987</v>
      </c>
      <c r="I25" s="80" t="n">
        <v>7500000</v>
      </c>
      <c r="J25" s="80" t="n">
        <v>7500000</v>
      </c>
      <c r="K25" s="80" t="n">
        <v>740000</v>
      </c>
      <c r="L25" s="80" t="n">
        <v>3875000</v>
      </c>
      <c r="M25" s="80" t="n">
        <v>0</v>
      </c>
      <c r="N25" s="80" t="n">
        <v>4615000</v>
      </c>
      <c r="O25" s="78" t="inlineStr">
        <is>
          <t>Client register + Transaction records</t>
        </is>
      </c>
      <c r="P25" s="78" t="inlineStr">
        <is>
          <t>Bought</t>
        </is>
      </c>
      <c r="Q25" s="78" t="inlineStr">
        <is>
          <t>Ms Bolanle, Ms Oji Blessing</t>
        </is>
      </c>
      <c r="R25" s="78" t="n"/>
    </row>
    <row r="26" ht="25" customHeight="1">
      <c r="A26" s="75" t="inlineStr">
        <is>
          <t>BP-C0010</t>
        </is>
      </c>
      <c r="B26" s="75" t="inlineStr">
        <is>
          <t>Mrs Yohanna Paulina</t>
        </is>
      </c>
      <c r="C26" s="75" t="inlineStr">
        <is>
          <t>9044246658</t>
        </is>
      </c>
      <c r="D26" s="75" t="inlineStr">
        <is>
          <t>SENT</t>
        </is>
      </c>
      <c r="E26" s="75" t="inlineStr">
        <is>
          <t>Land</t>
        </is>
      </c>
      <c r="F26" s="75" t="inlineStr">
        <is>
          <t>Green City Phase 1 (Ketu-Epe); Green City Phase 1 (Lantaba, Ketu-Epe); Land (estate not stated in source)</t>
        </is>
      </c>
      <c r="G26" s="76" t="n">
        <v>45365</v>
      </c>
      <c r="H26" s="76" t="n">
        <v>45059</v>
      </c>
      <c r="I26" s="77" t="n">
        <v>7000000</v>
      </c>
      <c r="J26" s="77" t="n">
        <v>7000000</v>
      </c>
      <c r="K26" s="77" t="n">
        <v>300000</v>
      </c>
      <c r="L26" s="77" t="n">
        <v>5300000</v>
      </c>
      <c r="M26" s="77" t="n">
        <v>0</v>
      </c>
      <c r="N26" s="77" t="n">
        <v>5600000</v>
      </c>
      <c r="O26" s="75" t="inlineStr">
        <is>
          <t>Client register + Transaction records</t>
        </is>
      </c>
      <c r="P26" s="75" t="inlineStr">
        <is>
          <t>Bought</t>
        </is>
      </c>
      <c r="Q26" s="75" t="inlineStr">
        <is>
          <t>Mr Charles</t>
        </is>
      </c>
      <c r="R26" s="75" t="n"/>
    </row>
    <row r="27" ht="25" customHeight="1">
      <c r="A27" s="78" t="inlineStr">
        <is>
          <t>BP-C0011</t>
        </is>
      </c>
      <c r="B27" s="78" t="inlineStr">
        <is>
          <t>OLAIYA SUNDAY TEMITOPE</t>
        </is>
      </c>
      <c r="C27" s="78" t="inlineStr">
        <is>
          <t>7062737144</t>
        </is>
      </c>
      <c r="D27" s="78" t="inlineStr">
        <is>
          <t>SENT</t>
        </is>
      </c>
      <c r="E27" s="78" t="inlineStr">
        <is>
          <t>Land</t>
        </is>
      </c>
      <c r="F27" s="78" t="inlineStr">
        <is>
          <t>Green City Phase 1 (Lantaba, Ketu-Epe); Land: ancillary charges</t>
        </is>
      </c>
      <c r="G27" s="79" t="n">
        <v>45061</v>
      </c>
      <c r="H27" s="79" t="n">
        <v>45491</v>
      </c>
      <c r="I27" s="80" t="n">
        <v>1500000</v>
      </c>
      <c r="J27" s="80" t="n">
        <v>1500000</v>
      </c>
      <c r="K27" s="80" t="n">
        <v>0</v>
      </c>
      <c r="L27" s="80" t="n">
        <v>475000</v>
      </c>
      <c r="M27" s="80" t="n">
        <v>0</v>
      </c>
      <c r="N27" s="80" t="n">
        <v>475000</v>
      </c>
      <c r="O27" s="78" t="inlineStr">
        <is>
          <t>Client register + Transaction records</t>
        </is>
      </c>
      <c r="P27" s="78" t="inlineStr">
        <is>
          <t>Bought</t>
        </is>
      </c>
      <c r="Q27" s="78" t="inlineStr">
        <is>
          <t>Ms Abimbola</t>
        </is>
      </c>
      <c r="R27" s="78" t="n"/>
    </row>
    <row r="28" ht="25" customHeight="1">
      <c r="A28" s="75" t="inlineStr">
        <is>
          <t>BP-C0012</t>
        </is>
      </c>
      <c r="B28" s="75" t="inlineStr">
        <is>
          <t>Mr Apiafi Imiebam</t>
        </is>
      </c>
      <c r="C28" s="75" t="inlineStr">
        <is>
          <t>8166128579</t>
        </is>
      </c>
      <c r="D28" s="75" t="inlineStr">
        <is>
          <t>runcheck07@gmail.com</t>
        </is>
      </c>
      <c r="E28" s="75" t="inlineStr">
        <is>
          <t>Land</t>
        </is>
      </c>
      <c r="F28" s="75" t="inlineStr">
        <is>
          <t>Green City Phase 2 (Ketu-Epe); Land (estate not stated in source)</t>
        </is>
      </c>
      <c r="G28" s="76" t="n">
        <v>45376</v>
      </c>
      <c r="H28" s="76" t="n">
        <v>45063</v>
      </c>
      <c r="I28" s="77" t="n">
        <v>3500000</v>
      </c>
      <c r="J28" s="77" t="n">
        <v>3500000</v>
      </c>
      <c r="K28" s="77" t="n">
        <v>1000000</v>
      </c>
      <c r="L28" s="77" t="n">
        <v>3500000</v>
      </c>
      <c r="M28" s="77" t="n">
        <v>0</v>
      </c>
      <c r="N28" s="77" t="n">
        <v>4500000</v>
      </c>
      <c r="O28" s="75" t="inlineStr">
        <is>
          <t>Client register + Transaction records</t>
        </is>
      </c>
      <c r="P28" s="75" t="inlineStr">
        <is>
          <t>Bought</t>
        </is>
      </c>
      <c r="Q28" s="75" t="inlineStr">
        <is>
          <t>Ms Blessing</t>
        </is>
      </c>
      <c r="R28" s="75" t="inlineStr">
        <is>
          <t>Receipts exceed register contract value: check for duplicate entries, extra plots or ancillary fees</t>
        </is>
      </c>
    </row>
    <row r="29" ht="25" customHeight="1">
      <c r="A29" s="78" t="inlineStr">
        <is>
          <t>BP-C0013</t>
        </is>
      </c>
      <c r="B29" s="78" t="inlineStr">
        <is>
          <t>MOSHOOD TIJANI</t>
        </is>
      </c>
      <c r="C29" s="78" t="inlineStr">
        <is>
          <t>7030362595</t>
        </is>
      </c>
      <c r="D29" s="78" t="inlineStr">
        <is>
          <t>SENT</t>
        </is>
      </c>
      <c r="E29" s="78" t="inlineStr">
        <is>
          <t>Land</t>
        </is>
      </c>
      <c r="F29" s="78" t="inlineStr">
        <is>
          <t>Green City Phase 1 (Ketu-Epe); Green City Phase 1 (Lantaba, Ketu-Epe); Green City Phase 2 (Ketu-Epe)</t>
        </is>
      </c>
      <c r="G29" s="79" t="n">
        <v>45073</v>
      </c>
      <c r="H29" s="79" t="n">
        <v>45076</v>
      </c>
      <c r="I29" s="80" t="n">
        <v>1500000</v>
      </c>
      <c r="J29" s="80" t="n">
        <v>1400000</v>
      </c>
      <c r="K29" s="80" t="n">
        <v>1000000</v>
      </c>
      <c r="L29" s="80" t="n">
        <v>400000</v>
      </c>
      <c r="M29" s="80" t="n">
        <v>0</v>
      </c>
      <c r="N29" s="80" t="n">
        <v>1400000</v>
      </c>
      <c r="O29" s="78" t="inlineStr">
        <is>
          <t>Client register + Transaction records</t>
        </is>
      </c>
      <c r="P29" s="78" t="inlineStr">
        <is>
          <t>Bought</t>
        </is>
      </c>
      <c r="Q29" s="78" t="inlineStr">
        <is>
          <t>MD</t>
        </is>
      </c>
      <c r="R29" s="78" t="n"/>
    </row>
    <row r="30" ht="25" customHeight="1">
      <c r="A30" s="75" t="inlineStr">
        <is>
          <t>BP-C0014</t>
        </is>
      </c>
      <c r="B30" s="75" t="inlineStr">
        <is>
          <t>PROF OLUGBENGA AKINADE/MRS ARAWOMO OMOLOLA</t>
        </is>
      </c>
      <c r="C30" s="75" t="inlineStr">
        <is>
          <t>7459465947</t>
        </is>
      </c>
      <c r="D30" s="75" t="inlineStr">
        <is>
          <t>SENT</t>
        </is>
      </c>
      <c r="E30" s="75" t="inlineStr">
        <is>
          <t>Land</t>
        </is>
      </c>
      <c r="F30" s="75" t="inlineStr">
        <is>
          <t>Green City Phase 1 (Lantaba, Ketu-Epe)</t>
        </is>
      </c>
      <c r="G30" s="76" t="n">
        <v>45083</v>
      </c>
      <c r="H30" s="76" t="n"/>
      <c r="I30" s="77" t="n">
        <v>3600000</v>
      </c>
      <c r="J30" s="77" t="n">
        <v>3600000</v>
      </c>
      <c r="K30" s="77" t="n">
        <v>0</v>
      </c>
      <c r="L30" s="77" t="n">
        <v>0</v>
      </c>
      <c r="M30" s="77" t="n">
        <v>0</v>
      </c>
      <c r="N30" s="77" t="n">
        <v>0</v>
      </c>
      <c r="O30" s="75" t="inlineStr">
        <is>
          <t>Client register</t>
        </is>
      </c>
      <c r="P30" s="75" t="inlineStr">
        <is>
          <t>Bought</t>
        </is>
      </c>
      <c r="Q30" s="75" t="inlineStr">
        <is>
          <t>MD</t>
        </is>
      </c>
      <c r="R30" s="75" t="n"/>
    </row>
    <row r="31" ht="25" customHeight="1">
      <c r="A31" s="78" t="inlineStr">
        <is>
          <t>BP-C0015</t>
        </is>
      </c>
      <c r="B31" s="78" t="inlineStr">
        <is>
          <t>MR Damilare Ositade Owolabi</t>
        </is>
      </c>
      <c r="C31" s="78" t="inlineStr">
        <is>
          <t>8061349595</t>
        </is>
      </c>
      <c r="D31" s="78" t="inlineStr">
        <is>
          <t>SENT</t>
        </is>
      </c>
      <c r="E31" s="78" t="inlineStr">
        <is>
          <t>Land</t>
        </is>
      </c>
      <c r="F31" s="78" t="inlineStr">
        <is>
          <t>Green City Phase 1 (Lantaba, Ketu-Epe); Land (estate not stated in source); Land: ancillary charges</t>
        </is>
      </c>
      <c r="G31" s="79" t="n">
        <v>45092</v>
      </c>
      <c r="H31" s="79" t="n">
        <v>45092</v>
      </c>
      <c r="I31" s="80" t="n">
        <v>1500000</v>
      </c>
      <c r="J31" s="80" t="n">
        <v>1500000</v>
      </c>
      <c r="K31" s="80" t="n">
        <v>1500000</v>
      </c>
      <c r="L31" s="80" t="n">
        <v>135000</v>
      </c>
      <c r="M31" s="80" t="n">
        <v>0</v>
      </c>
      <c r="N31" s="80" t="n">
        <v>1635000</v>
      </c>
      <c r="O31" s="78" t="inlineStr">
        <is>
          <t>Client register + Transaction records</t>
        </is>
      </c>
      <c r="P31" s="78" t="inlineStr">
        <is>
          <t>Bought</t>
        </is>
      </c>
      <c r="Q31" s="78" t="inlineStr">
        <is>
          <t>IDARA</t>
        </is>
      </c>
      <c r="R31" s="78" t="inlineStr">
        <is>
          <t>Receipts exceed register contract value: check for duplicate entries, extra plots or ancillary fees</t>
        </is>
      </c>
    </row>
    <row r="32" ht="25" customHeight="1">
      <c r="A32" s="75" t="inlineStr">
        <is>
          <t>BP-C0016</t>
        </is>
      </c>
      <c r="B32" s="75" t="inlineStr">
        <is>
          <t>Mr Tobi Adesina</t>
        </is>
      </c>
      <c r="C32" s="75" t="inlineStr">
        <is>
          <t>8149286156</t>
        </is>
      </c>
      <c r="D32" s="75" t="n"/>
      <c r="E32" s="75" t="inlineStr">
        <is>
          <t>Land</t>
        </is>
      </c>
      <c r="F32" s="75" t="inlineStr">
        <is>
          <t>Green City Phase 1 (Lantaba, Ketu-Epe)</t>
        </is>
      </c>
      <c r="G32" s="76" t="n">
        <v>45103</v>
      </c>
      <c r="H32" s="76" t="n"/>
      <c r="I32" s="77" t="n">
        <v>1500000</v>
      </c>
      <c r="J32" s="77" t="n">
        <v>0</v>
      </c>
      <c r="K32" s="77" t="n">
        <v>0</v>
      </c>
      <c r="L32" s="77" t="n">
        <v>0</v>
      </c>
      <c r="M32" s="77" t="n">
        <v>0</v>
      </c>
      <c r="N32" s="77" t="n">
        <v>0</v>
      </c>
      <c r="O32" s="75" t="inlineStr">
        <is>
          <t>Client register</t>
        </is>
      </c>
      <c r="P32" s="75" t="inlineStr">
        <is>
          <t>incentives</t>
        </is>
      </c>
      <c r="Q32" s="75" t="inlineStr">
        <is>
          <t>TOBY AND TYE</t>
        </is>
      </c>
      <c r="R32" s="75" t="n"/>
    </row>
    <row r="33" ht="25" customHeight="1">
      <c r="A33" s="78" t="inlineStr">
        <is>
          <t>BP-C0017</t>
        </is>
      </c>
      <c r="B33" s="78" t="inlineStr">
        <is>
          <t>Mr. Taiwo John Adeleye.</t>
        </is>
      </c>
      <c r="C33" s="78" t="inlineStr">
        <is>
          <t>46766349990 / 8035888286 / 09063911358, 08035888286</t>
        </is>
      </c>
      <c r="D33" s="78" t="inlineStr">
        <is>
          <t>SENT / johnadetaiwo@gmail.com</t>
        </is>
      </c>
      <c r="E33" s="78" t="inlineStr">
        <is>
          <t>Land</t>
        </is>
      </c>
      <c r="F33" s="78" t="inlineStr">
        <is>
          <t>Green City Ibadan (Akinyele-Moniya); Green City Phase 1 (Lantaba, Ketu-Epe); Green City Phase 2 (Idobi, Ketu-Epe); Green City Phase 2 (Ketu-Epe); Land (estate not stated in source)</t>
        </is>
      </c>
      <c r="G33" s="79" t="n">
        <v>45129</v>
      </c>
      <c r="H33" s="79" t="n">
        <v>45306</v>
      </c>
      <c r="I33" s="80" t="n">
        <v>6500000</v>
      </c>
      <c r="J33" s="80" t="n">
        <v>6500000</v>
      </c>
      <c r="K33" s="80" t="n">
        <v>0</v>
      </c>
      <c r="L33" s="80" t="n">
        <v>5455000</v>
      </c>
      <c r="M33" s="80" t="n">
        <v>45000</v>
      </c>
      <c r="N33" s="80" t="n">
        <v>5500000</v>
      </c>
      <c r="O33" s="78" t="inlineStr">
        <is>
          <t>Client register + Transaction records</t>
        </is>
      </c>
      <c r="P33" s="78" t="inlineStr">
        <is>
          <t>Bought, bought</t>
        </is>
      </c>
      <c r="Q33" s="78" t="inlineStr">
        <is>
          <t>MD, Ms Jochebed (Team Moffat)</t>
        </is>
      </c>
      <c r="R33" s="78" t="n"/>
    </row>
    <row r="34" ht="25" customHeight="1">
      <c r="A34" s="75" t="inlineStr">
        <is>
          <t>BP-C0018</t>
        </is>
      </c>
      <c r="B34" s="75" t="inlineStr">
        <is>
          <t>Mr Sunday Gideon</t>
        </is>
      </c>
      <c r="C34" s="75" t="inlineStr">
        <is>
          <t>9051114954</t>
        </is>
      </c>
      <c r="D34" s="75" t="inlineStr">
        <is>
          <t>SENT</t>
        </is>
      </c>
      <c r="E34" s="75" t="inlineStr">
        <is>
          <t>Land</t>
        </is>
      </c>
      <c r="F34" s="75" t="inlineStr">
        <is>
          <t>Green City Phase 1 (Lantaba, Ketu-Epe); Land (estate not stated in source)</t>
        </is>
      </c>
      <c r="G34" s="76" t="n">
        <v>45137</v>
      </c>
      <c r="H34" s="76" t="n">
        <v>45190</v>
      </c>
      <c r="I34" s="77" t="n">
        <v>1500000</v>
      </c>
      <c r="J34" s="77" t="n">
        <v>1500000</v>
      </c>
      <c r="K34" s="77" t="n">
        <v>1500000</v>
      </c>
      <c r="L34" s="77" t="n">
        <v>0</v>
      </c>
      <c r="M34" s="77" t="n">
        <v>0</v>
      </c>
      <c r="N34" s="77" t="n">
        <v>1500000</v>
      </c>
      <c r="O34" s="75" t="inlineStr">
        <is>
          <t>Client register + Transaction records</t>
        </is>
      </c>
      <c r="P34" s="75" t="inlineStr">
        <is>
          <t>bought</t>
        </is>
      </c>
      <c r="Q34" s="75" t="inlineStr">
        <is>
          <t>MS BLESSING</t>
        </is>
      </c>
      <c r="R34" s="75" t="n"/>
    </row>
    <row r="35" ht="25" customHeight="1">
      <c r="A35" s="78" t="inlineStr">
        <is>
          <t>BP-C0019</t>
        </is>
      </c>
      <c r="B35" s="78" t="inlineStr">
        <is>
          <t>Mr Ogbu Pius Ejaka</t>
        </is>
      </c>
      <c r="C35" s="78" t="inlineStr">
        <is>
          <t>07042269222 09027820971</t>
        </is>
      </c>
      <c r="D35" s="78" t="inlineStr">
        <is>
          <t>ogbu.pius.e@gmail.com</t>
        </is>
      </c>
      <c r="E35" s="78" t="inlineStr">
        <is>
          <t>Land</t>
        </is>
      </c>
      <c r="F35" s="78" t="inlineStr">
        <is>
          <t>Green City Phase 3 (Omu-Epe); Land (estate not stated in source); Land: ancillary charges</t>
        </is>
      </c>
      <c r="G35" s="79" t="n">
        <v>45516</v>
      </c>
      <c r="H35" s="79" t="n">
        <v>45152</v>
      </c>
      <c r="I35" s="80" t="n">
        <v>3510000</v>
      </c>
      <c r="J35" s="80" t="n">
        <v>3510000</v>
      </c>
      <c r="K35" s="80" t="n">
        <v>1500000</v>
      </c>
      <c r="L35" s="80" t="n">
        <v>10585000</v>
      </c>
      <c r="M35" s="80" t="n">
        <v>6500000</v>
      </c>
      <c r="N35" s="80" t="n">
        <v>18585000</v>
      </c>
      <c r="O35" s="78" t="inlineStr">
        <is>
          <t>Client register + Transaction records</t>
        </is>
      </c>
      <c r="P35" s="78" t="inlineStr">
        <is>
          <t>Bought</t>
        </is>
      </c>
      <c r="Q35" s="78" t="inlineStr">
        <is>
          <t>Ms Anointing</t>
        </is>
      </c>
      <c r="R35" s="78" t="inlineStr">
        <is>
          <t>Receipts exceed register contract value: check for duplicate entries, extra plots or ancillary fees</t>
        </is>
      </c>
    </row>
    <row r="36" ht="25" customHeight="1">
      <c r="A36" s="75" t="inlineStr">
        <is>
          <t>BP-C0020</t>
        </is>
      </c>
      <c r="B36" s="75" t="inlineStr">
        <is>
          <t>Mr Adebowale Oluwapelumi Joseph</t>
        </is>
      </c>
      <c r="C36" s="75" t="inlineStr">
        <is>
          <t>1(937) 279-4380</t>
        </is>
      </c>
      <c r="D36" s="75" t="inlineStr">
        <is>
          <t>SENT</t>
        </is>
      </c>
      <c r="E36" s="75" t="inlineStr">
        <is>
          <t>Land</t>
        </is>
      </c>
      <c r="F36" s="75" t="inlineStr">
        <is>
          <t>Green City Phase 1 (Lantaba, Ketu-Epe)</t>
        </is>
      </c>
      <c r="G36" s="76" t="n">
        <v>45161</v>
      </c>
      <c r="H36" s="76" t="n"/>
      <c r="I36" s="77" t="n">
        <v>3600000</v>
      </c>
      <c r="J36" s="77" t="n">
        <v>3600000</v>
      </c>
      <c r="K36" s="77" t="n">
        <v>0</v>
      </c>
      <c r="L36" s="77" t="n">
        <v>0</v>
      </c>
      <c r="M36" s="77" t="n">
        <v>0</v>
      </c>
      <c r="N36" s="77" t="n">
        <v>0</v>
      </c>
      <c r="O36" s="75" t="inlineStr">
        <is>
          <t>Client register</t>
        </is>
      </c>
      <c r="P36" s="75" t="inlineStr">
        <is>
          <t>Bought</t>
        </is>
      </c>
      <c r="Q36" s="75" t="inlineStr">
        <is>
          <t>MD</t>
        </is>
      </c>
      <c r="R36" s="75" t="n"/>
    </row>
    <row r="37" ht="25" customHeight="1">
      <c r="A37" s="78" t="inlineStr">
        <is>
          <t>BP-C0021</t>
        </is>
      </c>
      <c r="B37" s="78" t="inlineStr">
        <is>
          <t>Mr Oyewole Sheriff Oyewusi</t>
        </is>
      </c>
      <c r="C37" s="78" t="inlineStr">
        <is>
          <t>1(310) 728-5174</t>
        </is>
      </c>
      <c r="D37" s="78" t="inlineStr">
        <is>
          <t>SENT</t>
        </is>
      </c>
      <c r="E37" s="78" t="inlineStr">
        <is>
          <t>Land</t>
        </is>
      </c>
      <c r="F37" s="78" t="inlineStr">
        <is>
          <t>Green City Phase 1 (Lantaba, Ketu-Epe); Land (estate not stated in source)</t>
        </is>
      </c>
      <c r="G37" s="79" t="n">
        <v>45161</v>
      </c>
      <c r="H37" s="79" t="n">
        <v>45161</v>
      </c>
      <c r="I37" s="80" t="n">
        <v>3600000</v>
      </c>
      <c r="J37" s="80" t="n">
        <v>3600000</v>
      </c>
      <c r="K37" s="80" t="n">
        <v>3600000</v>
      </c>
      <c r="L37" s="80" t="n">
        <v>0</v>
      </c>
      <c r="M37" s="80" t="n">
        <v>0</v>
      </c>
      <c r="N37" s="80" t="n">
        <v>3600000</v>
      </c>
      <c r="O37" s="78" t="inlineStr">
        <is>
          <t>Client register + Transaction records</t>
        </is>
      </c>
      <c r="P37" s="78" t="inlineStr">
        <is>
          <t>Bought</t>
        </is>
      </c>
      <c r="Q37" s="78" t="inlineStr">
        <is>
          <t>Ms Bolanle</t>
        </is>
      </c>
      <c r="R37" s="78" t="n"/>
    </row>
    <row r="38" ht="25" customHeight="1">
      <c r="A38" s="75" t="inlineStr">
        <is>
          <t>BP-C0022</t>
        </is>
      </c>
      <c r="B38" s="75" t="inlineStr">
        <is>
          <t>Mr Folaranmi Olatunde</t>
        </is>
      </c>
      <c r="C38" s="75" t="inlineStr">
        <is>
          <t>8064494102</t>
        </is>
      </c>
      <c r="D38" s="75" t="inlineStr">
        <is>
          <t>SENT</t>
        </is>
      </c>
      <c r="E38" s="75" t="inlineStr">
        <is>
          <t>Land</t>
        </is>
      </c>
      <c r="F38" s="75" t="inlineStr">
        <is>
          <t>Green City Phase 1 (Lantaba, Ketu-Epe)</t>
        </is>
      </c>
      <c r="G38" s="76" t="n">
        <v>45162</v>
      </c>
      <c r="H38" s="76" t="n"/>
      <c r="I38" s="77" t="n">
        <v>1500000</v>
      </c>
      <c r="J38" s="77" t="n">
        <v>1500000</v>
      </c>
      <c r="K38" s="77" t="n">
        <v>0</v>
      </c>
      <c r="L38" s="77" t="n">
        <v>0</v>
      </c>
      <c r="M38" s="77" t="n">
        <v>0</v>
      </c>
      <c r="N38" s="77" t="n">
        <v>0</v>
      </c>
      <c r="O38" s="75" t="inlineStr">
        <is>
          <t>Client register</t>
        </is>
      </c>
      <c r="P38" s="75" t="inlineStr">
        <is>
          <t>Bought</t>
        </is>
      </c>
      <c r="Q38" s="75" t="inlineStr">
        <is>
          <t>MD</t>
        </is>
      </c>
      <c r="R38" s="75" t="n"/>
    </row>
    <row r="39" ht="25" customHeight="1">
      <c r="A39" s="78" t="inlineStr">
        <is>
          <t>BP-C0023</t>
        </is>
      </c>
      <c r="B39" s="78" t="inlineStr">
        <is>
          <t>MR KOREDE ADESE</t>
        </is>
      </c>
      <c r="C39" s="78" t="inlineStr">
        <is>
          <t>8136836779</t>
        </is>
      </c>
      <c r="D39" s="78" t="inlineStr">
        <is>
          <t>adeseakorede@gmail.com</t>
        </is>
      </c>
      <c r="E39" s="78" t="inlineStr">
        <is>
          <t>Land</t>
        </is>
      </c>
      <c r="F39" s="78" t="inlineStr">
        <is>
          <t>Green City Agbowa; Green City Phase 1 (Lantaba, Ketu-Epe)</t>
        </is>
      </c>
      <c r="G39" s="79" t="n">
        <v>45166</v>
      </c>
      <c r="H39" s="79" t="n"/>
      <c r="I39" s="80" t="n">
        <v>5200000</v>
      </c>
      <c r="J39" s="80" t="n">
        <v>3500000</v>
      </c>
      <c r="K39" s="80" t="n">
        <v>0</v>
      </c>
      <c r="L39" s="80" t="n">
        <v>0</v>
      </c>
      <c r="M39" s="80" t="n">
        <v>0</v>
      </c>
      <c r="N39" s="80" t="n">
        <v>0</v>
      </c>
      <c r="O39" s="78" t="inlineStr">
        <is>
          <t>Client register</t>
        </is>
      </c>
      <c r="P39" s="78" t="inlineStr">
        <is>
          <t>Bought, Paying</t>
        </is>
      </c>
      <c r="Q39" s="78" t="inlineStr">
        <is>
          <t>MD</t>
        </is>
      </c>
      <c r="R39" s="78" t="n"/>
    </row>
    <row r="40" ht="25" customHeight="1">
      <c r="A40" s="75" t="inlineStr">
        <is>
          <t>BP-C0024</t>
        </is>
      </c>
      <c r="B40" s="75" t="inlineStr">
        <is>
          <t>Ms Peace Ikpotokin</t>
        </is>
      </c>
      <c r="C40" s="75" t="inlineStr">
        <is>
          <t>2347063665467</t>
        </is>
      </c>
      <c r="D40" s="75" t="n"/>
      <c r="E40" s="75" t="inlineStr">
        <is>
          <t>Land</t>
        </is>
      </c>
      <c r="F40" s="75" t="inlineStr">
        <is>
          <t>Green City Phase 1 (Lantaba, Ketu-Epe)</t>
        </is>
      </c>
      <c r="G40" s="76" t="n">
        <v>45166</v>
      </c>
      <c r="H40" s="76" t="n"/>
      <c r="I40" s="77" t="n">
        <v>3600000</v>
      </c>
      <c r="J40" s="77" t="n">
        <v>50000</v>
      </c>
      <c r="K40" s="77" t="n">
        <v>0</v>
      </c>
      <c r="L40" s="77" t="n">
        <v>0</v>
      </c>
      <c r="M40" s="77" t="n">
        <v>0</v>
      </c>
      <c r="N40" s="77" t="n">
        <v>0</v>
      </c>
      <c r="O40" s="75" t="inlineStr">
        <is>
          <t>Client register</t>
        </is>
      </c>
      <c r="P40" s="75" t="inlineStr">
        <is>
          <t>Promise</t>
        </is>
      </c>
      <c r="Q40" s="75" t="inlineStr">
        <is>
          <t>MD</t>
        </is>
      </c>
      <c r="R40" s="75" t="n"/>
    </row>
    <row r="41" ht="25" customHeight="1">
      <c r="A41" s="78" t="inlineStr">
        <is>
          <t>BP-C0025</t>
        </is>
      </c>
      <c r="B41" s="78" t="inlineStr">
        <is>
          <t>Mrs Obadara Dorcas Adebisi</t>
        </is>
      </c>
      <c r="C41" s="78" t="inlineStr">
        <is>
          <t>12149624394</t>
        </is>
      </c>
      <c r="D41" s="78" t="inlineStr">
        <is>
          <t>SENT</t>
        </is>
      </c>
      <c r="E41" s="78" t="inlineStr">
        <is>
          <t>Land</t>
        </is>
      </c>
      <c r="F41" s="78" t="inlineStr">
        <is>
          <t>Green City Phase 1 (Lantaba, Ketu-Epe); Land (estate not stated in source); Land: ancillary charges</t>
        </is>
      </c>
      <c r="G41" s="79" t="n">
        <v>45173</v>
      </c>
      <c r="H41" s="79" t="n">
        <v>45173</v>
      </c>
      <c r="I41" s="80" t="n">
        <v>4320000</v>
      </c>
      <c r="J41" s="80" t="n">
        <v>4320000</v>
      </c>
      <c r="K41" s="80" t="n">
        <v>1500000</v>
      </c>
      <c r="L41" s="80" t="n">
        <v>135000</v>
      </c>
      <c r="M41" s="80" t="n">
        <v>0</v>
      </c>
      <c r="N41" s="80" t="n">
        <v>1635000</v>
      </c>
      <c r="O41" s="78" t="inlineStr">
        <is>
          <t>Client register + Transaction records</t>
        </is>
      </c>
      <c r="P41" s="78" t="inlineStr">
        <is>
          <t>Bought</t>
        </is>
      </c>
      <c r="Q41" s="78" t="inlineStr">
        <is>
          <t>Barister Nelson</t>
        </is>
      </c>
      <c r="R41" s="78" t="n"/>
    </row>
    <row r="42" ht="25" customHeight="1">
      <c r="A42" s="75" t="inlineStr">
        <is>
          <t>BP-C0026</t>
        </is>
      </c>
      <c r="B42" s="75" t="inlineStr">
        <is>
          <t>Mr &amp; Mrs Adebayo Dada</t>
        </is>
      </c>
      <c r="C42" s="75" t="inlineStr">
        <is>
          <t>8037217444</t>
        </is>
      </c>
      <c r="D42" s="75" t="inlineStr">
        <is>
          <t>SENT / adebayodada55@gmail.com</t>
        </is>
      </c>
      <c r="E42" s="75" t="inlineStr">
        <is>
          <t>Land</t>
        </is>
      </c>
      <c r="F42" s="75" t="inlineStr">
        <is>
          <t>Green City Phase 1 (Ketu-Epe); Green City Phase 1 (Lantaba, Ketu-Epe); Green City Phase 3 (Omu-Epe); Land (estate not stated in source); Land: ancillary charges</t>
        </is>
      </c>
      <c r="G42" s="76" t="n">
        <v>45205</v>
      </c>
      <c r="H42" s="76" t="n">
        <v>45184</v>
      </c>
      <c r="I42" s="77" t="n">
        <v>10400000</v>
      </c>
      <c r="J42" s="77" t="n">
        <v>10400000</v>
      </c>
      <c r="K42" s="77" t="n">
        <v>5700000</v>
      </c>
      <c r="L42" s="77" t="n">
        <v>2135000</v>
      </c>
      <c r="M42" s="77" t="n">
        <v>0</v>
      </c>
      <c r="N42" s="77" t="n">
        <v>7835000</v>
      </c>
      <c r="O42" s="75" t="inlineStr">
        <is>
          <t>Client register + Transaction records</t>
        </is>
      </c>
      <c r="P42" s="75" t="inlineStr">
        <is>
          <t>Bought</t>
        </is>
      </c>
      <c r="Q42" s="75" t="inlineStr">
        <is>
          <t>Mrs Abimbola</t>
        </is>
      </c>
      <c r="R42" s="75" t="n"/>
    </row>
    <row r="43" ht="25" customHeight="1">
      <c r="A43" s="78" t="inlineStr">
        <is>
          <t>BP-C0027</t>
        </is>
      </c>
      <c r="B43" s="78" t="inlineStr">
        <is>
          <t>Mr Edun Ayobami Simeon and bro</t>
        </is>
      </c>
      <c r="C43" s="78" t="inlineStr">
        <is>
          <t>13525192389</t>
        </is>
      </c>
      <c r="D43" s="78" t="inlineStr">
        <is>
          <t>SENT</t>
        </is>
      </c>
      <c r="E43" s="78" t="inlineStr">
        <is>
          <t>Land</t>
        </is>
      </c>
      <c r="F43" s="78" t="inlineStr">
        <is>
          <t>Green City Phase 1 (Ketu-Epe); Green City Phase 1 (Lantaba, Ketu-Epe); Land: ancillary charges</t>
        </is>
      </c>
      <c r="G43" s="79" t="n">
        <v>45190</v>
      </c>
      <c r="H43" s="79" t="n">
        <v>45190</v>
      </c>
      <c r="I43" s="80" t="n">
        <v>1500000</v>
      </c>
      <c r="J43" s="80" t="n">
        <v>1500000</v>
      </c>
      <c r="K43" s="80" t="n">
        <v>2400000</v>
      </c>
      <c r="L43" s="80" t="n">
        <v>6135000</v>
      </c>
      <c r="M43" s="80" t="n">
        <v>0</v>
      </c>
      <c r="N43" s="80" t="n">
        <v>8535000</v>
      </c>
      <c r="O43" s="78" t="inlineStr">
        <is>
          <t>Client register + Transaction records</t>
        </is>
      </c>
      <c r="P43" s="78" t="inlineStr">
        <is>
          <t>Bought</t>
        </is>
      </c>
      <c r="Q43" s="78" t="inlineStr">
        <is>
          <t>Mr Olaiya/MD</t>
        </is>
      </c>
      <c r="R43" s="78" t="inlineStr">
        <is>
          <t>Receipts exceed register contract value: check for duplicate entries, extra plots or ancillary fees</t>
        </is>
      </c>
    </row>
    <row r="44" ht="25" customHeight="1">
      <c r="A44" s="75" t="inlineStr">
        <is>
          <t>BP-C0028</t>
        </is>
      </c>
      <c r="B44" s="75" t="inlineStr">
        <is>
          <t>Mr Adebanjo Isaac Olamilekan</t>
        </is>
      </c>
      <c r="C44" s="75" t="inlineStr">
        <is>
          <t>9030482388</t>
        </is>
      </c>
      <c r="D44" s="75" t="inlineStr">
        <is>
          <t>adebanjoisaac4@gmail.com</t>
        </is>
      </c>
      <c r="E44" s="75" t="inlineStr">
        <is>
          <t>Land</t>
        </is>
      </c>
      <c r="F44" s="75" t="inlineStr">
        <is>
          <t>Green City Phase 1 (Ketu-Epe); Green City Phase 2 (Idobi, Ketu-Epe); Green City Phase 2 (Ketu-Epe); Land (estate not stated in source)</t>
        </is>
      </c>
      <c r="G44" s="76" t="n">
        <v>45716</v>
      </c>
      <c r="H44" s="76" t="n">
        <v>45197</v>
      </c>
      <c r="I44" s="77" t="n">
        <v>3000000</v>
      </c>
      <c r="J44" s="77" t="n">
        <v>3000000</v>
      </c>
      <c r="K44" s="77" t="n">
        <v>1250000</v>
      </c>
      <c r="L44" s="77" t="n">
        <v>250000</v>
      </c>
      <c r="M44" s="77" t="n">
        <v>0</v>
      </c>
      <c r="N44" s="77" t="n">
        <v>1500000</v>
      </c>
      <c r="O44" s="75" t="inlineStr">
        <is>
          <t>Client register + Transaction records</t>
        </is>
      </c>
      <c r="P44" s="75" t="inlineStr">
        <is>
          <t>Bought</t>
        </is>
      </c>
      <c r="Q44" s="75" t="inlineStr">
        <is>
          <t>MD</t>
        </is>
      </c>
      <c r="R44" s="75" t="n"/>
    </row>
    <row r="45" ht="25" customHeight="1">
      <c r="A45" s="78" t="inlineStr">
        <is>
          <t>BP-C0029</t>
        </is>
      </c>
      <c r="B45" s="78" t="inlineStr">
        <is>
          <t>Mr Ohanehi Anthony Chukwunonso</t>
        </is>
      </c>
      <c r="C45" s="78" t="inlineStr">
        <is>
          <t>8034359513</t>
        </is>
      </c>
      <c r="D45" s="78" t="inlineStr">
        <is>
          <t>SENT / tonyjay202183@gmail.com</t>
        </is>
      </c>
      <c r="E45" s="78" t="inlineStr">
        <is>
          <t>Land</t>
        </is>
      </c>
      <c r="F45" s="78" t="inlineStr">
        <is>
          <t>Green City Phase 1 (Ketu-Epe); Green City Phase 1 (Lantaba, Ketu-Epe); Green City Phase 2 (Idobi, Ketu-Epe); Green City Phase 2 (Ketu-Epe); Land (estate not stated in source)</t>
        </is>
      </c>
      <c r="G45" s="79" t="n">
        <v>45229</v>
      </c>
      <c r="H45" s="79" t="n">
        <v>45202</v>
      </c>
      <c r="I45" s="80" t="n">
        <v>18000000</v>
      </c>
      <c r="J45" s="80" t="n">
        <v>13540000</v>
      </c>
      <c r="K45" s="80" t="n">
        <v>21446000</v>
      </c>
      <c r="L45" s="80" t="n">
        <v>9467000</v>
      </c>
      <c r="M45" s="80" t="n">
        <v>0</v>
      </c>
      <c r="N45" s="80" t="n">
        <v>30913000</v>
      </c>
      <c r="O45" s="78" t="inlineStr">
        <is>
          <t>Client register + Transaction records</t>
        </is>
      </c>
      <c r="P45" s="78" t="inlineStr">
        <is>
          <t>Bought, Paying</t>
        </is>
      </c>
      <c r="Q45" s="78" t="inlineStr">
        <is>
          <t>MD, Ms Immaculate</t>
        </is>
      </c>
      <c r="R45" s="78" t="inlineStr">
        <is>
          <t>Receipts exceed register contract value: check for duplicate entries, extra plots or ancillary fees</t>
        </is>
      </c>
    </row>
    <row r="46" ht="25" customHeight="1">
      <c r="A46" s="75" t="inlineStr">
        <is>
          <t>BP-C0030</t>
        </is>
      </c>
      <c r="B46" s="75" t="inlineStr">
        <is>
          <t>Mr. Adese Akorede John</t>
        </is>
      </c>
      <c r="C46" s="75" t="inlineStr">
        <is>
          <t>8136836779</t>
        </is>
      </c>
      <c r="D46" s="75" t="inlineStr">
        <is>
          <t>adeseakorede@gmail.com</t>
        </is>
      </c>
      <c r="E46" s="75" t="inlineStr">
        <is>
          <t>Land</t>
        </is>
      </c>
      <c r="F46" s="75" t="inlineStr">
        <is>
          <t>Green City Ibadan (Akinyele-Moniya); Green City Phase 1 (Ketu-Epe); Green City Phase 2 (Idobi, Ketu-Epe); Green City Phase 2 (Ketu-Epe); Land (estate not stated in source); Land: ancillary charges</t>
        </is>
      </c>
      <c r="G46" s="76" t="n">
        <v>45376</v>
      </c>
      <c r="H46" s="76" t="n">
        <v>45202</v>
      </c>
      <c r="I46" s="77" t="n">
        <v>5500000</v>
      </c>
      <c r="J46" s="77" t="n">
        <v>5500000</v>
      </c>
      <c r="K46" s="77" t="n">
        <v>1400000</v>
      </c>
      <c r="L46" s="77" t="n">
        <v>5290000</v>
      </c>
      <c r="M46" s="77" t="n">
        <v>500000</v>
      </c>
      <c r="N46" s="77" t="n">
        <v>7190000</v>
      </c>
      <c r="O46" s="75" t="inlineStr">
        <is>
          <t>Client register + Transaction records</t>
        </is>
      </c>
      <c r="P46" s="75" t="inlineStr">
        <is>
          <t>Bought</t>
        </is>
      </c>
      <c r="Q46" s="75" t="inlineStr">
        <is>
          <t>MD</t>
        </is>
      </c>
      <c r="R46" s="75" t="inlineStr">
        <is>
          <t>Receipts exceed register contract value: check for duplicate entries, extra plots or ancillary fees</t>
        </is>
      </c>
    </row>
    <row r="47" ht="25" customHeight="1">
      <c r="A47" s="78" t="inlineStr">
        <is>
          <t>BP-C0031</t>
        </is>
      </c>
      <c r="B47" s="78" t="inlineStr">
        <is>
          <t>Mr Eguavoen Harrison</t>
        </is>
      </c>
      <c r="C47" s="78" t="n"/>
      <c r="D47" s="78" t="inlineStr">
        <is>
          <t>harrisoneguavoen@yahoo.com</t>
        </is>
      </c>
      <c r="E47" s="78" t="inlineStr">
        <is>
          <t>Land</t>
        </is>
      </c>
      <c r="F47" s="78" t="inlineStr">
        <is>
          <t>Green City Agbowa</t>
        </is>
      </c>
      <c r="G47" s="79" t="n">
        <v>45209</v>
      </c>
      <c r="H47" s="79" t="n"/>
      <c r="I47" s="80" t="n">
        <v>750000</v>
      </c>
      <c r="J47" s="80" t="n">
        <v>750000</v>
      </c>
      <c r="K47" s="80" t="n">
        <v>0</v>
      </c>
      <c r="L47" s="80" t="n">
        <v>0</v>
      </c>
      <c r="M47" s="80" t="n">
        <v>0</v>
      </c>
      <c r="N47" s="80" t="n">
        <v>0</v>
      </c>
      <c r="O47" s="78" t="inlineStr">
        <is>
          <t>Client register</t>
        </is>
      </c>
      <c r="P47" s="78" t="inlineStr">
        <is>
          <t>Refund</t>
        </is>
      </c>
      <c r="Q47" s="78" t="inlineStr">
        <is>
          <t>Ms Blessing</t>
        </is>
      </c>
      <c r="R47" s="78" t="n"/>
    </row>
    <row r="48" ht="25" customHeight="1">
      <c r="A48" s="75" t="inlineStr">
        <is>
          <t>BP-C0032</t>
        </is>
      </c>
      <c r="B48" s="75" t="inlineStr">
        <is>
          <t>Mr Tomiwa Ibiks *********</t>
        </is>
      </c>
      <c r="C48" s="75" t="inlineStr">
        <is>
          <t>7039367538</t>
        </is>
      </c>
      <c r="D48" s="75" t="n"/>
      <c r="E48" s="75" t="inlineStr">
        <is>
          <t>Land</t>
        </is>
      </c>
      <c r="F48" s="75" t="inlineStr">
        <is>
          <t>Green City Phase 1 (Lantaba, Ketu-Epe)</t>
        </is>
      </c>
      <c r="G48" s="76" t="n">
        <v>45209</v>
      </c>
      <c r="H48" s="76" t="n"/>
      <c r="I48" s="77" t="n">
        <v>3600000</v>
      </c>
      <c r="J48" s="77" t="n">
        <v>1000000</v>
      </c>
      <c r="K48" s="77" t="n">
        <v>0</v>
      </c>
      <c r="L48" s="77" t="n">
        <v>0</v>
      </c>
      <c r="M48" s="77" t="n">
        <v>0</v>
      </c>
      <c r="N48" s="77" t="n">
        <v>0</v>
      </c>
      <c r="O48" s="75" t="inlineStr">
        <is>
          <t>Client register</t>
        </is>
      </c>
      <c r="P48" s="75" t="inlineStr">
        <is>
          <t>Paying</t>
        </is>
      </c>
      <c r="Q48" s="75" t="inlineStr">
        <is>
          <t>MD</t>
        </is>
      </c>
      <c r="R48" s="75" t="n"/>
    </row>
    <row r="49" ht="25" customHeight="1">
      <c r="A49" s="78" t="inlineStr">
        <is>
          <t>BP-C0033</t>
        </is>
      </c>
      <c r="B49" s="78" t="inlineStr">
        <is>
          <t>Mr Olumoko Oladapo Oluwaseun</t>
        </is>
      </c>
      <c r="C49" s="78" t="inlineStr">
        <is>
          <t>8033494369</t>
        </is>
      </c>
      <c r="D49" s="78" t="inlineStr">
        <is>
          <t>SENT</t>
        </is>
      </c>
      <c r="E49" s="78" t="inlineStr">
        <is>
          <t>Land</t>
        </is>
      </c>
      <c r="F49" s="78" t="inlineStr">
        <is>
          <t>Green City Phase 1 (Ketu-Epe); Green City Phase 1 (Lantaba, Ketu-Epe); Land (estate not stated in source)</t>
        </is>
      </c>
      <c r="G49" s="79" t="n">
        <v>45211</v>
      </c>
      <c r="H49" s="79" t="n">
        <v>45211</v>
      </c>
      <c r="I49" s="80" t="n">
        <v>6000000</v>
      </c>
      <c r="J49" s="80" t="n">
        <v>6000000</v>
      </c>
      <c r="K49" s="80" t="n">
        <v>3000000</v>
      </c>
      <c r="L49" s="80" t="n">
        <v>3800000</v>
      </c>
      <c r="M49" s="80" t="n">
        <v>0</v>
      </c>
      <c r="N49" s="80" t="n">
        <v>6800000</v>
      </c>
      <c r="O49" s="78" t="inlineStr">
        <is>
          <t>Client register + Transaction records</t>
        </is>
      </c>
      <c r="P49" s="78" t="inlineStr">
        <is>
          <t>Bought</t>
        </is>
      </c>
      <c r="Q49" s="78" t="inlineStr">
        <is>
          <t>Ms Bolanle</t>
        </is>
      </c>
      <c r="R49" s="78" t="inlineStr">
        <is>
          <t>Receipts exceed register contract value: check for duplicate entries, extra plots or ancillary fees</t>
        </is>
      </c>
    </row>
    <row r="50" ht="25" customHeight="1">
      <c r="A50" s="75" t="inlineStr">
        <is>
          <t>BP-C0034</t>
        </is>
      </c>
      <c r="B50" s="75" t="inlineStr">
        <is>
          <t>Mrs Ndubuisi Ujunwa</t>
        </is>
      </c>
      <c r="C50" s="75" t="inlineStr">
        <is>
          <t>9060220053</t>
        </is>
      </c>
      <c r="D50" s="75" t="inlineStr">
        <is>
          <t>SENT</t>
        </is>
      </c>
      <c r="E50" s="75" t="inlineStr">
        <is>
          <t>Land</t>
        </is>
      </c>
      <c r="F50" s="75" t="inlineStr">
        <is>
          <t>Green City Phase 1 (Lantaba, Ketu-Epe); Land (estate not stated in source)</t>
        </is>
      </c>
      <c r="G50" s="76" t="n">
        <v>45211</v>
      </c>
      <c r="H50" s="76" t="n">
        <v>45211</v>
      </c>
      <c r="I50" s="77" t="n">
        <v>3900000</v>
      </c>
      <c r="J50" s="77" t="n">
        <v>3900000</v>
      </c>
      <c r="K50" s="77" t="n">
        <v>1500000</v>
      </c>
      <c r="L50" s="77" t="n">
        <v>0</v>
      </c>
      <c r="M50" s="77" t="n">
        <v>0</v>
      </c>
      <c r="N50" s="77" t="n">
        <v>1500000</v>
      </c>
      <c r="O50" s="75" t="inlineStr">
        <is>
          <t>Client register + Transaction records</t>
        </is>
      </c>
      <c r="P50" s="75" t="inlineStr">
        <is>
          <t>Bought</t>
        </is>
      </c>
      <c r="Q50" s="75" t="inlineStr">
        <is>
          <t>Ms Immaculate</t>
        </is>
      </c>
      <c r="R50" s="75" t="n"/>
    </row>
    <row r="51" ht="25" customHeight="1">
      <c r="A51" s="78" t="inlineStr">
        <is>
          <t>BP-C0035</t>
        </is>
      </c>
      <c r="B51" s="78" t="inlineStr">
        <is>
          <t>Vacant</t>
        </is>
      </c>
      <c r="C51" s="78" t="inlineStr">
        <is>
          <t>8167516120</t>
        </is>
      </c>
      <c r="D51" s="78" t="n"/>
      <c r="E51" s="78" t="inlineStr">
        <is>
          <t>Land</t>
        </is>
      </c>
      <c r="F51" s="78" t="inlineStr">
        <is>
          <t>Green City Phase 1 (Lantaba, Ketu-Epe)</t>
        </is>
      </c>
      <c r="G51" s="79" t="n">
        <v>45211</v>
      </c>
      <c r="H51" s="79" t="n"/>
      <c r="I51" s="80" t="n">
        <v>1500000</v>
      </c>
      <c r="J51" s="80" t="n">
        <v>1500000</v>
      </c>
      <c r="K51" s="80" t="n">
        <v>0</v>
      </c>
      <c r="L51" s="80" t="n">
        <v>0</v>
      </c>
      <c r="M51" s="80" t="n">
        <v>0</v>
      </c>
      <c r="N51" s="80" t="n">
        <v>0</v>
      </c>
      <c r="O51" s="78" t="inlineStr">
        <is>
          <t>Client register</t>
        </is>
      </c>
      <c r="P51" s="78" t="inlineStr">
        <is>
          <t>bought</t>
        </is>
      </c>
      <c r="Q51" s="78" t="inlineStr">
        <is>
          <t>MD</t>
        </is>
      </c>
      <c r="R51" s="78" t="n"/>
    </row>
    <row r="52" ht="25" customHeight="1">
      <c r="A52" s="75" t="inlineStr">
        <is>
          <t>BP-C0036</t>
        </is>
      </c>
      <c r="B52" s="75" t="inlineStr">
        <is>
          <t>Ohumende Paul Osaze</t>
        </is>
      </c>
      <c r="C52" s="75" t="inlineStr">
        <is>
          <t>8165253939</t>
        </is>
      </c>
      <c r="D52" s="75" t="inlineStr">
        <is>
          <t>SENT / mendes.paul28@gmail.com</t>
        </is>
      </c>
      <c r="E52" s="75" t="inlineStr">
        <is>
          <t>Land</t>
        </is>
      </c>
      <c r="F52" s="75" t="inlineStr">
        <is>
          <t>Green City Phase 1 (Ketu-Epe); Green City Phase 1 (Lantaba, Ketu-Epe); Green City Phase 2 (Ketu-Epe); Land (estate not stated in source); Land: ancillary charges</t>
        </is>
      </c>
      <c r="G52" s="76" t="n">
        <v>45232</v>
      </c>
      <c r="H52" s="76" t="n">
        <v>45227</v>
      </c>
      <c r="I52" s="77" t="n">
        <v>19200000</v>
      </c>
      <c r="J52" s="77" t="n">
        <v>19200000</v>
      </c>
      <c r="K52" s="77" t="n">
        <v>10600000</v>
      </c>
      <c r="L52" s="77" t="n">
        <v>19370000</v>
      </c>
      <c r="M52" s="77" t="n">
        <v>0</v>
      </c>
      <c r="N52" s="77" t="n">
        <v>29970000</v>
      </c>
      <c r="O52" s="75" t="inlineStr">
        <is>
          <t>Client register + Transaction records</t>
        </is>
      </c>
      <c r="P52" s="75" t="inlineStr">
        <is>
          <t>Bought</t>
        </is>
      </c>
      <c r="Q52" s="75" t="inlineStr">
        <is>
          <t>MD</t>
        </is>
      </c>
      <c r="R52" s="75" t="inlineStr">
        <is>
          <t>Receipts exceed register contract value: check for duplicate entries, extra plots or ancillary fees</t>
        </is>
      </c>
    </row>
    <row r="53" ht="25" customHeight="1">
      <c r="A53" s="78" t="inlineStr">
        <is>
          <t>BP-C0037</t>
        </is>
      </c>
      <c r="B53" s="78" t="inlineStr">
        <is>
          <t>Miss Okezie Mandy Ifeoma</t>
        </is>
      </c>
      <c r="C53" s="78" t="inlineStr">
        <is>
          <t>7032342126</t>
        </is>
      </c>
      <c r="D53" s="78" t="inlineStr">
        <is>
          <t>SENT / okezieifeoma00@gmail.com</t>
        </is>
      </c>
      <c r="E53" s="78" t="inlineStr">
        <is>
          <t>Land</t>
        </is>
      </c>
      <c r="F53" s="78" t="inlineStr">
        <is>
          <t>Green City Phase 1 (Lantaba, Ketu-Epe); Green City Phase 3 (Omu-Epe)</t>
        </is>
      </c>
      <c r="G53" s="79" t="n">
        <v>45228</v>
      </c>
      <c r="H53" s="79" t="n">
        <v>45508</v>
      </c>
      <c r="I53" s="80" t="n">
        <v>6460000</v>
      </c>
      <c r="J53" s="80" t="n">
        <v>6460000</v>
      </c>
      <c r="K53" s="80" t="n">
        <v>0</v>
      </c>
      <c r="L53" s="80" t="n">
        <v>1860000</v>
      </c>
      <c r="M53" s="80" t="n">
        <v>0</v>
      </c>
      <c r="N53" s="80" t="n">
        <v>1860000</v>
      </c>
      <c r="O53" s="78" t="inlineStr">
        <is>
          <t>Client register + Transaction records</t>
        </is>
      </c>
      <c r="P53" s="78" t="inlineStr">
        <is>
          <t>Bought</t>
        </is>
      </c>
      <c r="Q53" s="78" t="inlineStr">
        <is>
          <t>Celina, Ms Celina</t>
        </is>
      </c>
      <c r="R53" s="78" t="n"/>
    </row>
    <row r="54" ht="25" customHeight="1">
      <c r="A54" s="75" t="inlineStr">
        <is>
          <t>BP-C0038</t>
        </is>
      </c>
      <c r="B54" s="75" t="inlineStr">
        <is>
          <t>Okeizie Ifeoma Mandy</t>
        </is>
      </c>
      <c r="C54" s="75" t="n"/>
      <c r="D54" s="75" t="n"/>
      <c r="E54" s="75" t="inlineStr">
        <is>
          <t>Land</t>
        </is>
      </c>
      <c r="F54" s="75" t="inlineStr">
        <is>
          <t>Land (estate not stated in source)</t>
        </is>
      </c>
      <c r="G54" s="76" t="n"/>
      <c r="H54" s="76" t="n">
        <v>45228</v>
      </c>
      <c r="I54" s="77" t="n">
        <v>0</v>
      </c>
      <c r="J54" s="77" t="n">
        <v>0</v>
      </c>
      <c r="K54" s="77" t="n">
        <v>2000000</v>
      </c>
      <c r="L54" s="77" t="n">
        <v>0</v>
      </c>
      <c r="M54" s="77" t="n">
        <v>0</v>
      </c>
      <c r="N54" s="77" t="n">
        <v>2000000</v>
      </c>
      <c r="O54" s="75" t="inlineStr">
        <is>
          <t>Transaction records</t>
        </is>
      </c>
      <c r="P54" s="75" t="n"/>
      <c r="Q54" s="75" t="n"/>
      <c r="R54" s="75" t="inlineStr">
        <is>
          <t>Not in client register: contract value unknown</t>
        </is>
      </c>
    </row>
    <row r="55" ht="25" customHeight="1">
      <c r="A55" s="78" t="inlineStr">
        <is>
          <t>BP-C0039</t>
        </is>
      </c>
      <c r="B55" s="78" t="inlineStr">
        <is>
          <t>Alabi Abdulazeez Toyosi</t>
        </is>
      </c>
      <c r="C55" s="78" t="inlineStr">
        <is>
          <t>7064191538</t>
        </is>
      </c>
      <c r="D55" s="78" t="inlineStr">
        <is>
          <t>alabitoyosi1616@gmail.com</t>
        </is>
      </c>
      <c r="E55" s="78" t="inlineStr">
        <is>
          <t>Land</t>
        </is>
      </c>
      <c r="F55" s="78" t="inlineStr">
        <is>
          <t>Green City Phase 2 (Ketu-Epe); Land (estate not stated in source)</t>
        </is>
      </c>
      <c r="G55" s="79" t="n">
        <v>45321</v>
      </c>
      <c r="H55" s="79" t="n">
        <v>45229</v>
      </c>
      <c r="I55" s="80" t="n">
        <v>1800000</v>
      </c>
      <c r="J55" s="80" t="n">
        <v>1800000</v>
      </c>
      <c r="K55" s="80" t="n">
        <v>1800000</v>
      </c>
      <c r="L55" s="80" t="n">
        <v>0</v>
      </c>
      <c r="M55" s="80" t="n">
        <v>0</v>
      </c>
      <c r="N55" s="80" t="n">
        <v>1800000</v>
      </c>
      <c r="O55" s="78" t="inlineStr">
        <is>
          <t>Client register + Transaction records</t>
        </is>
      </c>
      <c r="P55" s="78" t="inlineStr">
        <is>
          <t>REFUND</t>
        </is>
      </c>
      <c r="Q55" s="78" t="inlineStr">
        <is>
          <t>MD</t>
        </is>
      </c>
      <c r="R55" s="78" t="n"/>
    </row>
    <row r="56" ht="25" customHeight="1">
      <c r="A56" s="75" t="inlineStr">
        <is>
          <t>BP-C0040</t>
        </is>
      </c>
      <c r="B56" s="75" t="inlineStr">
        <is>
          <t>Bassey Christopher</t>
        </is>
      </c>
      <c r="C56" s="75" t="inlineStr">
        <is>
          <t>9039054374</t>
        </is>
      </c>
      <c r="D56" s="75" t="inlineStr">
        <is>
          <t>SENT</t>
        </is>
      </c>
      <c r="E56" s="75" t="inlineStr">
        <is>
          <t>Land</t>
        </is>
      </c>
      <c r="F56" s="75" t="inlineStr">
        <is>
          <t>Green City Phase 1 (Lantaba, Ketu-Epe); Land (estate not stated in source)</t>
        </is>
      </c>
      <c r="G56" s="76" t="n">
        <v>45229</v>
      </c>
      <c r="H56" s="76" t="n">
        <v>45229</v>
      </c>
      <c r="I56" s="77" t="n">
        <v>2000000</v>
      </c>
      <c r="J56" s="77" t="n">
        <v>2000000</v>
      </c>
      <c r="K56" s="77" t="n">
        <v>12000000</v>
      </c>
      <c r="L56" s="77" t="n">
        <v>0</v>
      </c>
      <c r="M56" s="77" t="n">
        <v>0</v>
      </c>
      <c r="N56" s="77" t="n">
        <v>12000000</v>
      </c>
      <c r="O56" s="75" t="inlineStr">
        <is>
          <t>Client register + Transaction records</t>
        </is>
      </c>
      <c r="P56" s="75" t="inlineStr">
        <is>
          <t>Bought</t>
        </is>
      </c>
      <c r="Q56" s="75" t="inlineStr">
        <is>
          <t>Ms Immaculate</t>
        </is>
      </c>
      <c r="R56" s="75" t="inlineStr">
        <is>
          <t>Receipts exceed register contract value: check for duplicate entries, extra plots or ancillary fees</t>
        </is>
      </c>
    </row>
    <row r="57" ht="25" customHeight="1">
      <c r="A57" s="78" t="inlineStr">
        <is>
          <t>BP-C0041</t>
        </is>
      </c>
      <c r="B57" s="78" t="inlineStr">
        <is>
          <t>Alhaji Badamasi Mohammadu</t>
        </is>
      </c>
      <c r="C57" s="78" t="inlineStr">
        <is>
          <t>8033417527</t>
        </is>
      </c>
      <c r="D57" s="78" t="inlineStr">
        <is>
          <t>SENT</t>
        </is>
      </c>
      <c r="E57" s="78" t="inlineStr">
        <is>
          <t>Land</t>
        </is>
      </c>
      <c r="F57" s="78" t="inlineStr">
        <is>
          <t>Green City Phase 1 (Lantaba, Ketu-Epe)</t>
        </is>
      </c>
      <c r="G57" s="79" t="n">
        <v>45233</v>
      </c>
      <c r="H57" s="79" t="n"/>
      <c r="I57" s="80" t="n">
        <v>27600000</v>
      </c>
      <c r="J57" s="80" t="n">
        <v>27600000</v>
      </c>
      <c r="K57" s="80" t="n">
        <v>0</v>
      </c>
      <c r="L57" s="80" t="n">
        <v>0</v>
      </c>
      <c r="M57" s="80" t="n">
        <v>0</v>
      </c>
      <c r="N57" s="80" t="n">
        <v>0</v>
      </c>
      <c r="O57" s="78" t="inlineStr">
        <is>
          <t>Client register</t>
        </is>
      </c>
      <c r="P57" s="78" t="inlineStr">
        <is>
          <t>Bought</t>
        </is>
      </c>
      <c r="Q57" s="78" t="inlineStr">
        <is>
          <t>Ms Tobi Associate</t>
        </is>
      </c>
      <c r="R57" s="78" t="n"/>
    </row>
    <row r="58" ht="25" customHeight="1">
      <c r="A58" s="75" t="inlineStr">
        <is>
          <t>BP-C0042</t>
        </is>
      </c>
      <c r="B58" s="75" t="inlineStr">
        <is>
          <t>Alhaji Gbadamosi Mohammad</t>
        </is>
      </c>
      <c r="C58" s="75" t="n"/>
      <c r="D58" s="75" t="n"/>
      <c r="E58" s="75" t="inlineStr">
        <is>
          <t>Land</t>
        </is>
      </c>
      <c r="F58" s="75" t="inlineStr">
        <is>
          <t>Land (estate not stated in source)</t>
        </is>
      </c>
      <c r="G58" s="76" t="n"/>
      <c r="H58" s="76" t="n">
        <v>45233</v>
      </c>
      <c r="I58" s="77" t="n">
        <v>0</v>
      </c>
      <c r="J58" s="77" t="n">
        <v>0</v>
      </c>
      <c r="K58" s="77" t="n">
        <v>3900000</v>
      </c>
      <c r="L58" s="77" t="n">
        <v>0</v>
      </c>
      <c r="M58" s="77" t="n">
        <v>0</v>
      </c>
      <c r="N58" s="77" t="n">
        <v>3900000</v>
      </c>
      <c r="O58" s="75" t="inlineStr">
        <is>
          <t>Transaction records</t>
        </is>
      </c>
      <c r="P58" s="75" t="n"/>
      <c r="Q58" s="75" t="n"/>
      <c r="R58" s="75" t="inlineStr">
        <is>
          <t>Not in client register: contract value unknown</t>
        </is>
      </c>
    </row>
    <row r="59" ht="25" customHeight="1">
      <c r="A59" s="78" t="inlineStr">
        <is>
          <t>BP-C0043</t>
        </is>
      </c>
      <c r="B59" s="78" t="inlineStr">
        <is>
          <t>Mrs Oladiran Omolola Agnes</t>
        </is>
      </c>
      <c r="C59" s="78" t="inlineStr">
        <is>
          <t>Not filled</t>
        </is>
      </c>
      <c r="D59" s="78" t="inlineStr">
        <is>
          <t>agnesomolola7@gmail.com</t>
        </is>
      </c>
      <c r="E59" s="78" t="inlineStr">
        <is>
          <t>Land</t>
        </is>
      </c>
      <c r="F59" s="78" t="inlineStr">
        <is>
          <t>Green City Agbowa; Green City Phase 2 (Ketu-Epe); Land (estate not stated in source)</t>
        </is>
      </c>
      <c r="G59" s="79" t="n">
        <v>45239</v>
      </c>
      <c r="H59" s="79" t="n">
        <v>45239</v>
      </c>
      <c r="I59" s="80" t="n">
        <v>2050000</v>
      </c>
      <c r="J59" s="80" t="n">
        <v>750000</v>
      </c>
      <c r="K59" s="80" t="n">
        <v>750000</v>
      </c>
      <c r="L59" s="80" t="n">
        <v>0</v>
      </c>
      <c r="M59" s="80" t="n">
        <v>0</v>
      </c>
      <c r="N59" s="80" t="n">
        <v>750000</v>
      </c>
      <c r="O59" s="78" t="inlineStr">
        <is>
          <t>Client register + Transaction records</t>
        </is>
      </c>
      <c r="P59" s="78" t="inlineStr">
        <is>
          <t>Convert to ketu 2, REFUND</t>
        </is>
      </c>
      <c r="Q59" s="78" t="inlineStr">
        <is>
          <t>Mr Pelumi, Pelumi</t>
        </is>
      </c>
      <c r="R59" s="78" t="n"/>
    </row>
    <row r="60" ht="25" customHeight="1">
      <c r="A60" s="75" t="inlineStr">
        <is>
          <t>BP-C0044</t>
        </is>
      </c>
      <c r="B60" s="75" t="inlineStr">
        <is>
          <t>Oluwase Babajide Victor</t>
        </is>
      </c>
      <c r="C60" s="75" t="inlineStr">
        <is>
          <t>8136389666</t>
        </is>
      </c>
      <c r="D60" s="75" t="inlineStr">
        <is>
          <t>SENT</t>
        </is>
      </c>
      <c r="E60" s="75" t="inlineStr">
        <is>
          <t>Land</t>
        </is>
      </c>
      <c r="F60" s="75" t="inlineStr">
        <is>
          <t>Green City Phase 1 (Ketu-Epe); Green City Phase 1 (Lantaba, Ketu-Epe)</t>
        </is>
      </c>
      <c r="G60" s="76" t="n">
        <v>45239</v>
      </c>
      <c r="H60" s="76" t="n">
        <v>45239</v>
      </c>
      <c r="I60" s="77" t="n">
        <v>5290000</v>
      </c>
      <c r="J60" s="77" t="n">
        <v>5290000</v>
      </c>
      <c r="K60" s="77" t="n">
        <v>1200000</v>
      </c>
      <c r="L60" s="77" t="n">
        <v>4090000</v>
      </c>
      <c r="M60" s="77" t="n">
        <v>0</v>
      </c>
      <c r="N60" s="77" t="n">
        <v>5290000</v>
      </c>
      <c r="O60" s="75" t="inlineStr">
        <is>
          <t>Client register + Transaction records</t>
        </is>
      </c>
      <c r="P60" s="75" t="inlineStr">
        <is>
          <t>Bought</t>
        </is>
      </c>
      <c r="Q60" s="75" t="inlineStr">
        <is>
          <t>MD</t>
        </is>
      </c>
      <c r="R60" s="75" t="n"/>
    </row>
    <row r="61" ht="25" customHeight="1">
      <c r="A61" s="78" t="inlineStr">
        <is>
          <t>BP-C0045</t>
        </is>
      </c>
      <c r="B61" s="78" t="inlineStr">
        <is>
          <t>Mr Bolarinwa Iyanuoluwa Simon &amp; Dr Bolarinwa Abisola Christianah</t>
        </is>
      </c>
      <c r="C61" s="78" t="inlineStr">
        <is>
          <t>7030281365</t>
        </is>
      </c>
      <c r="D61" s="78" t="inlineStr">
        <is>
          <t>SENT / iyanuoluwabolarinwa@gmail.com</t>
        </is>
      </c>
      <c r="E61" s="78" t="inlineStr">
        <is>
          <t>Land</t>
        </is>
      </c>
      <c r="F61" s="78" t="inlineStr">
        <is>
          <t>Green City Phase 1 (Ketu-Epe); Green City Phase 1 (Lantaba, Ketu-Epe); Green City Phase 2 (Ketu-Epe)</t>
        </is>
      </c>
      <c r="G61" s="79" t="n">
        <v>45245</v>
      </c>
      <c r="H61" s="79" t="n">
        <v>45245</v>
      </c>
      <c r="I61" s="80" t="n">
        <v>10120000</v>
      </c>
      <c r="J61" s="80" t="n">
        <v>10120000</v>
      </c>
      <c r="K61" s="80" t="n">
        <v>1000000</v>
      </c>
      <c r="L61" s="80" t="n">
        <v>8430000</v>
      </c>
      <c r="M61" s="80" t="n">
        <v>0</v>
      </c>
      <c r="N61" s="80" t="n">
        <v>9430000</v>
      </c>
      <c r="O61" s="78" t="inlineStr">
        <is>
          <t>Client register + Transaction records</t>
        </is>
      </c>
      <c r="P61" s="78" t="inlineStr">
        <is>
          <t>Bought</t>
        </is>
      </c>
      <c r="Q61" s="78" t="inlineStr">
        <is>
          <t>MD</t>
        </is>
      </c>
      <c r="R61" s="78" t="n"/>
    </row>
    <row r="62" ht="25" customHeight="1">
      <c r="A62" s="75" t="inlineStr">
        <is>
          <t>BP-C0046</t>
        </is>
      </c>
      <c r="B62" s="75" t="inlineStr">
        <is>
          <t>Mr Adesida Raphael Abiodun</t>
        </is>
      </c>
      <c r="C62" s="75" t="n"/>
      <c r="D62" s="75" t="n"/>
      <c r="E62" s="75" t="inlineStr">
        <is>
          <t>Land</t>
        </is>
      </c>
      <c r="F62" s="75" t="inlineStr">
        <is>
          <t>Green City Phase 1 (Ketu-Epe); Green City Phase 1 (Lantaba, Ketu-Epe); Land (estate not stated in source); Land: ancillary charges</t>
        </is>
      </c>
      <c r="G62" s="76" t="n"/>
      <c r="H62" s="76" t="n">
        <v>45251</v>
      </c>
      <c r="I62" s="77" t="n">
        <v>0</v>
      </c>
      <c r="J62" s="77" t="n">
        <v>0</v>
      </c>
      <c r="K62" s="77" t="n">
        <v>1000000</v>
      </c>
      <c r="L62" s="77" t="n">
        <v>1641000</v>
      </c>
      <c r="M62" s="77" t="n">
        <v>0</v>
      </c>
      <c r="N62" s="77" t="n">
        <v>2641000</v>
      </c>
      <c r="O62" s="75" t="inlineStr">
        <is>
          <t>Transaction records</t>
        </is>
      </c>
      <c r="P62" s="75" t="n"/>
      <c r="Q62" s="75" t="n"/>
      <c r="R62" s="75" t="inlineStr">
        <is>
          <t>Not in client register: contract value unknown</t>
        </is>
      </c>
    </row>
    <row r="63" ht="25" customHeight="1">
      <c r="A63" s="78" t="inlineStr">
        <is>
          <t>BP-C0047</t>
        </is>
      </c>
      <c r="B63" s="78" t="inlineStr">
        <is>
          <t>Ms Paulina Kehinde Akhere George</t>
        </is>
      </c>
      <c r="C63" s="78" t="n"/>
      <c r="D63" s="78" t="inlineStr">
        <is>
          <t>SENT</t>
        </is>
      </c>
      <c r="E63" s="78" t="inlineStr">
        <is>
          <t>Housing</t>
        </is>
      </c>
      <c r="F63" s="78" t="inlineStr">
        <is>
          <t>Housing unit (project not stated in source); Pacific Court</t>
        </is>
      </c>
      <c r="G63" s="79" t="n">
        <v>45261</v>
      </c>
      <c r="H63" s="79" t="n">
        <v>45254</v>
      </c>
      <c r="I63" s="80" t="n">
        <v>21500000</v>
      </c>
      <c r="J63" s="80" t="n">
        <v>0</v>
      </c>
      <c r="K63" s="80" t="n">
        <v>21500000</v>
      </c>
      <c r="L63" s="80" t="n">
        <v>0</v>
      </c>
      <c r="M63" s="80" t="n">
        <v>0</v>
      </c>
      <c r="N63" s="80" t="n">
        <v>21500000</v>
      </c>
      <c r="O63" s="78" t="inlineStr">
        <is>
          <t>Client register + Transaction records</t>
        </is>
      </c>
      <c r="P63" s="78" t="inlineStr">
        <is>
          <t>PAID</t>
        </is>
      </c>
      <c r="Q63" s="78" t="inlineStr">
        <is>
          <t>Barr. Amokeodo</t>
        </is>
      </c>
      <c r="R63" s="78" t="n"/>
    </row>
    <row r="64" ht="25" customHeight="1">
      <c r="A64" s="75" t="inlineStr">
        <is>
          <t>BP-C0048</t>
        </is>
      </c>
      <c r="B64" s="75" t="inlineStr">
        <is>
          <t>Mr Araokonmi Sodiq Ayinla</t>
        </is>
      </c>
      <c r="C64" s="75" t="inlineStr">
        <is>
          <t>08032726622, 07058447433</t>
        </is>
      </c>
      <c r="D64" s="75" t="inlineStr">
        <is>
          <t>SENT</t>
        </is>
      </c>
      <c r="E64" s="75" t="inlineStr">
        <is>
          <t>Land</t>
        </is>
      </c>
      <c r="F64" s="75" t="inlineStr">
        <is>
          <t>Green City Phase 1 (Lantaba, Ketu-Epe); Land (estate not stated in source)</t>
        </is>
      </c>
      <c r="G64" s="76" t="n">
        <v>45268</v>
      </c>
      <c r="H64" s="76" t="n">
        <v>45268</v>
      </c>
      <c r="I64" s="77" t="n">
        <v>5040000</v>
      </c>
      <c r="J64" s="77" t="n">
        <v>5040000</v>
      </c>
      <c r="K64" s="77" t="n">
        <v>2600000</v>
      </c>
      <c r="L64" s="77" t="n">
        <v>0</v>
      </c>
      <c r="M64" s="77" t="n">
        <v>0</v>
      </c>
      <c r="N64" s="77" t="n">
        <v>2600000</v>
      </c>
      <c r="O64" s="75" t="inlineStr">
        <is>
          <t>Client register + Transaction records</t>
        </is>
      </c>
      <c r="P64" s="75" t="inlineStr">
        <is>
          <t>Bought</t>
        </is>
      </c>
      <c r="Q64" s="75" t="inlineStr">
        <is>
          <t>Yetunde/MD</t>
        </is>
      </c>
      <c r="R64" s="75" t="n"/>
    </row>
    <row r="65" ht="25" customHeight="1">
      <c r="A65" s="78" t="inlineStr">
        <is>
          <t>BP-C0049</t>
        </is>
      </c>
      <c r="B65" s="78" t="inlineStr">
        <is>
          <t>Mr Ali Ifesinachi Innocent</t>
        </is>
      </c>
      <c r="C65" s="78" t="inlineStr">
        <is>
          <t>8090794894</t>
        </is>
      </c>
      <c r="D65" s="78" t="inlineStr">
        <is>
          <t>SENT</t>
        </is>
      </c>
      <c r="E65" s="78" t="inlineStr">
        <is>
          <t>Land</t>
        </is>
      </c>
      <c r="F65" s="78" t="inlineStr">
        <is>
          <t>Green City Phase 1 (Lantaba, Ketu-Epe); Land (estate not stated in source)</t>
        </is>
      </c>
      <c r="G65" s="79" t="n">
        <v>45271</v>
      </c>
      <c r="H65" s="79" t="n">
        <v>45271</v>
      </c>
      <c r="I65" s="80" t="n">
        <v>2743680</v>
      </c>
      <c r="J65" s="80" t="n">
        <v>2743680</v>
      </c>
      <c r="K65" s="80" t="n">
        <v>5040000</v>
      </c>
      <c r="L65" s="80" t="n">
        <v>0</v>
      </c>
      <c r="M65" s="80" t="n">
        <v>0</v>
      </c>
      <c r="N65" s="80" t="n">
        <v>5040000</v>
      </c>
      <c r="O65" s="78" t="inlineStr">
        <is>
          <t>Client register + Transaction records</t>
        </is>
      </c>
      <c r="P65" s="78" t="inlineStr">
        <is>
          <t>Bought</t>
        </is>
      </c>
      <c r="Q65" s="78" t="inlineStr">
        <is>
          <t>MD</t>
        </is>
      </c>
      <c r="R65" s="78" t="inlineStr">
        <is>
          <t>Receipts exceed register contract value: check for duplicate entries, extra plots or ancillary fees</t>
        </is>
      </c>
    </row>
    <row r="66" ht="25" customHeight="1">
      <c r="A66" s="75" t="inlineStr">
        <is>
          <t>BP-C0050</t>
        </is>
      </c>
      <c r="B66" s="75" t="inlineStr">
        <is>
          <t>Mr Atuanya Patrick Jideovo</t>
        </is>
      </c>
      <c r="C66" s="75" t="inlineStr">
        <is>
          <t>9080257655</t>
        </is>
      </c>
      <c r="D66" s="75" t="inlineStr">
        <is>
          <t>SENT / patuanya@gmail.com</t>
        </is>
      </c>
      <c r="E66" s="75" t="inlineStr">
        <is>
          <t>Land</t>
        </is>
      </c>
      <c r="F66" s="75" t="inlineStr">
        <is>
          <t>Green City Phase 1 (Ketu-Epe); Green City Phase 1 (Lantaba, Ketu-Epe); Green Hillside; Land (estate not stated in source); Land: ancillary charges</t>
        </is>
      </c>
      <c r="G66" s="76" t="n">
        <v>45274</v>
      </c>
      <c r="H66" s="76" t="n">
        <v>45290</v>
      </c>
      <c r="I66" s="77" t="n">
        <v>4400000</v>
      </c>
      <c r="J66" s="77" t="n">
        <v>4400000</v>
      </c>
      <c r="K66" s="77" t="n">
        <v>500000</v>
      </c>
      <c r="L66" s="77" t="n">
        <v>4135000</v>
      </c>
      <c r="M66" s="77" t="n">
        <v>1800000</v>
      </c>
      <c r="N66" s="77" t="n">
        <v>6435000</v>
      </c>
      <c r="O66" s="75" t="inlineStr">
        <is>
          <t>Client register + Transaction records</t>
        </is>
      </c>
      <c r="P66" s="75" t="inlineStr">
        <is>
          <t>Bought</t>
        </is>
      </c>
      <c r="Q66" s="75" t="inlineStr">
        <is>
          <t>Ms Yetunde, Yetunde/MD</t>
        </is>
      </c>
      <c r="R66" s="75" t="inlineStr">
        <is>
          <t>Receipts exceed register contract value: check for duplicate entries, extra plots or ancillary fees</t>
        </is>
      </c>
    </row>
    <row r="67" ht="25" customHeight="1">
      <c r="A67" s="78" t="inlineStr">
        <is>
          <t>BP-C0051</t>
        </is>
      </c>
      <c r="B67" s="78" t="inlineStr">
        <is>
          <t>Mr Ogunleye Olumide Victor</t>
        </is>
      </c>
      <c r="C67" s="78" t="inlineStr">
        <is>
          <t>8139122188</t>
        </is>
      </c>
      <c r="D67" s="78" t="inlineStr">
        <is>
          <t>SENT / ogunleyeolumide@gmail.com</t>
        </is>
      </c>
      <c r="E67" s="78" t="inlineStr">
        <is>
          <t>Land</t>
        </is>
      </c>
      <c r="F67" s="78" t="inlineStr">
        <is>
          <t>Green City Agbowa; Green City Phase 1 (Lantaba, Ketu-Epe); Green City Phase 2 (Ketu-Epe); Land (estate not stated in source)</t>
        </is>
      </c>
      <c r="G67" s="79" t="n">
        <v>45280</v>
      </c>
      <c r="H67" s="79" t="n">
        <v>45281</v>
      </c>
      <c r="I67" s="80" t="n">
        <v>14100000</v>
      </c>
      <c r="J67" s="80" t="n">
        <v>12100000</v>
      </c>
      <c r="K67" s="80" t="n">
        <v>500000</v>
      </c>
      <c r="L67" s="80" t="n">
        <v>5285000</v>
      </c>
      <c r="M67" s="80" t="n">
        <v>0</v>
      </c>
      <c r="N67" s="80" t="n">
        <v>5785000</v>
      </c>
      <c r="O67" s="78" t="inlineStr">
        <is>
          <t>Client register + Transaction records</t>
        </is>
      </c>
      <c r="P67" s="78" t="inlineStr">
        <is>
          <t>Bought, Paying</t>
        </is>
      </c>
      <c r="Q67" s="78" t="inlineStr">
        <is>
          <t>MD</t>
        </is>
      </c>
      <c r="R67" s="78" t="n"/>
    </row>
    <row r="68" ht="25" customHeight="1">
      <c r="A68" s="75" t="inlineStr">
        <is>
          <t>BP-C0052</t>
        </is>
      </c>
      <c r="B68" s="75" t="inlineStr">
        <is>
          <t>Mathias Ojoma Lilian</t>
        </is>
      </c>
      <c r="C68" s="75" t="inlineStr">
        <is>
          <t>7056666525</t>
        </is>
      </c>
      <c r="D68" s="75" t="inlineStr">
        <is>
          <t>SENT</t>
        </is>
      </c>
      <c r="E68" s="75" t="inlineStr">
        <is>
          <t>Land</t>
        </is>
      </c>
      <c r="F68" s="75" t="inlineStr">
        <is>
          <t>Green City Phase 1 (Lantaba, Ketu-Epe); Land (estate not stated in source)</t>
        </is>
      </c>
      <c r="G68" s="76" t="n">
        <v>45283</v>
      </c>
      <c r="H68" s="76" t="n">
        <v>45283</v>
      </c>
      <c r="I68" s="77" t="n">
        <v>5796000</v>
      </c>
      <c r="J68" s="77" t="n">
        <v>5796000</v>
      </c>
      <c r="K68" s="77" t="n">
        <v>1000000</v>
      </c>
      <c r="L68" s="77" t="n">
        <v>1640000</v>
      </c>
      <c r="M68" s="77" t="n">
        <v>0</v>
      </c>
      <c r="N68" s="77" t="n">
        <v>2640000</v>
      </c>
      <c r="O68" s="75" t="inlineStr">
        <is>
          <t>Client register + Transaction records</t>
        </is>
      </c>
      <c r="P68" s="75" t="inlineStr">
        <is>
          <t>Bought</t>
        </is>
      </c>
      <c r="Q68" s="75" t="inlineStr">
        <is>
          <t>Ms Immaculate</t>
        </is>
      </c>
      <c r="R68" s="75" t="n"/>
    </row>
    <row r="69" ht="25" customHeight="1">
      <c r="A69" s="78" t="inlineStr">
        <is>
          <t>BP-C0053</t>
        </is>
      </c>
      <c r="B69" s="78" t="inlineStr">
        <is>
          <t>Mr Adegbembo Stephen Oluwagbemiga</t>
        </is>
      </c>
      <c r="C69" s="78" t="inlineStr">
        <is>
          <t>447915419823</t>
        </is>
      </c>
      <c r="D69" s="78" t="inlineStr">
        <is>
          <t>SENT</t>
        </is>
      </c>
      <c r="E69" s="78" t="inlineStr">
        <is>
          <t>Land</t>
        </is>
      </c>
      <c r="F69" s="78" t="inlineStr">
        <is>
          <t>Green City Phase 1 (Lantaba, Ketu-Epe); Land (estate not stated in source); Land: ancillary charges</t>
        </is>
      </c>
      <c r="G69" s="79" t="n">
        <v>45286</v>
      </c>
      <c r="H69" s="79" t="n">
        <v>45286</v>
      </c>
      <c r="I69" s="80" t="n">
        <v>2640000</v>
      </c>
      <c r="J69" s="80" t="n">
        <v>2640000</v>
      </c>
      <c r="K69" s="80" t="n">
        <v>500000</v>
      </c>
      <c r="L69" s="80" t="n">
        <v>4635000</v>
      </c>
      <c r="M69" s="80" t="n">
        <v>0</v>
      </c>
      <c r="N69" s="80" t="n">
        <v>5135000</v>
      </c>
      <c r="O69" s="78" t="inlineStr">
        <is>
          <t>Client register + Transaction records</t>
        </is>
      </c>
      <c r="P69" s="78" t="inlineStr">
        <is>
          <t>Bought</t>
        </is>
      </c>
      <c r="Q69" s="78" t="inlineStr">
        <is>
          <t>Ms Elizabeth</t>
        </is>
      </c>
      <c r="R69" s="78" t="inlineStr">
        <is>
          <t>Receipts exceed register contract value: check for duplicate entries, extra plots or ancillary fees</t>
        </is>
      </c>
    </row>
    <row r="70" ht="25" customHeight="1">
      <c r="A70" s="75" t="inlineStr">
        <is>
          <t>BP-C0054</t>
        </is>
      </c>
      <c r="B70" s="75" t="inlineStr">
        <is>
          <t>Mr Ademola Adeniyi</t>
        </is>
      </c>
      <c r="C70" s="75" t="inlineStr">
        <is>
          <t>16475612700</t>
        </is>
      </c>
      <c r="D70" s="75" t="inlineStr">
        <is>
          <t>SENT / demossa2000@gmail.com</t>
        </is>
      </c>
      <c r="E70" s="75" t="inlineStr">
        <is>
          <t>Land</t>
        </is>
      </c>
      <c r="F70" s="75" t="inlineStr">
        <is>
          <t>Green City Phase 1 (Lantaba, Ketu-Epe); Green City Phase 2 (Idobi, Ketu-Epe); Green City Phase 2 (Ketu-Epe); Land (estate not stated in source); Land: ancillary charges</t>
        </is>
      </c>
      <c r="G70" s="76" t="n">
        <v>45288</v>
      </c>
      <c r="H70" s="76" t="n">
        <v>45288</v>
      </c>
      <c r="I70" s="77" t="n">
        <v>11040000</v>
      </c>
      <c r="J70" s="77" t="n">
        <v>11040000</v>
      </c>
      <c r="K70" s="77" t="n">
        <v>2000000</v>
      </c>
      <c r="L70" s="77" t="n">
        <v>16670000</v>
      </c>
      <c r="M70" s="77" t="n">
        <v>0</v>
      </c>
      <c r="N70" s="77" t="n">
        <v>18670000</v>
      </c>
      <c r="O70" s="75" t="inlineStr">
        <is>
          <t>Client register + Transaction records</t>
        </is>
      </c>
      <c r="P70" s="75" t="inlineStr">
        <is>
          <t>Bought</t>
        </is>
      </c>
      <c r="Q70" s="75" t="inlineStr">
        <is>
          <t>Ms Abimbola</t>
        </is>
      </c>
      <c r="R70" s="75" t="inlineStr">
        <is>
          <t>Receipts exceed register contract value: check for duplicate entries, extra plots or ancillary fees</t>
        </is>
      </c>
    </row>
    <row r="71" ht="25" customHeight="1">
      <c r="A71" s="78" t="inlineStr">
        <is>
          <t>BP-C0055</t>
        </is>
      </c>
      <c r="B71" s="78" t="inlineStr">
        <is>
          <t>Mr. Adeniji Oluwatosin Ademola</t>
        </is>
      </c>
      <c r="C71" s="78" t="inlineStr">
        <is>
          <t>447375656023</t>
        </is>
      </c>
      <c r="D71" s="78" t="inlineStr">
        <is>
          <t>adenijitosin01@yahoo.com</t>
        </is>
      </c>
      <c r="E71" s="78" t="inlineStr">
        <is>
          <t>Housing, Land</t>
        </is>
      </c>
      <c r="F71" s="78" t="inlineStr">
        <is>
          <t>Baay Foreshore; Green City Phase 1 (Ketu-Epe); Green City Phase 1 (Lantaba, Ketu-Epe); Land (estate not stated in source)</t>
        </is>
      </c>
      <c r="G71" s="79" t="n">
        <v>45875</v>
      </c>
      <c r="H71" s="79" t="n">
        <v>45288</v>
      </c>
      <c r="I71" s="80" t="n">
        <v>34000000</v>
      </c>
      <c r="J71" s="80" t="n">
        <v>30000000</v>
      </c>
      <c r="K71" s="80" t="n">
        <v>2000000</v>
      </c>
      <c r="L71" s="80" t="n">
        <v>3000000</v>
      </c>
      <c r="M71" s="80" t="n">
        <v>20000000</v>
      </c>
      <c r="N71" s="80" t="n">
        <v>25000000</v>
      </c>
      <c r="O71" s="78" t="inlineStr">
        <is>
          <t>Client register + Transaction records</t>
        </is>
      </c>
      <c r="P71" s="78" t="inlineStr">
        <is>
          <t>Paying</t>
        </is>
      </c>
      <c r="Q71" s="78" t="inlineStr">
        <is>
          <t>Ms. Tijani Bolanle</t>
        </is>
      </c>
      <c r="R71" s="78" t="n"/>
    </row>
    <row r="72" ht="25" customHeight="1">
      <c r="A72" s="75" t="inlineStr">
        <is>
          <t>BP-C0056</t>
        </is>
      </c>
      <c r="B72" s="75" t="inlineStr">
        <is>
          <t>Mr Adeuti Olanrewaju Babatunde</t>
        </is>
      </c>
      <c r="C72" s="75" t="inlineStr">
        <is>
          <t>61452614036</t>
        </is>
      </c>
      <c r="D72" s="75" t="inlineStr">
        <is>
          <t>SENT</t>
        </is>
      </c>
      <c r="E72" s="75" t="inlineStr">
        <is>
          <t>Land</t>
        </is>
      </c>
      <c r="F72" s="75" t="inlineStr">
        <is>
          <t>Green City Phase 1 (Lantaba, Ketu-Epe); Land (estate not stated in source); Land: ancillary charges</t>
        </is>
      </c>
      <c r="G72" s="76" t="n">
        <v>45289</v>
      </c>
      <c r="H72" s="76" t="n">
        <v>45289</v>
      </c>
      <c r="I72" s="77" t="n">
        <v>5040000</v>
      </c>
      <c r="J72" s="77" t="n">
        <v>5040000</v>
      </c>
      <c r="K72" s="77" t="n">
        <v>500000</v>
      </c>
      <c r="L72" s="77" t="n">
        <v>2275000</v>
      </c>
      <c r="M72" s="77" t="n">
        <v>0</v>
      </c>
      <c r="N72" s="77" t="n">
        <v>2775000</v>
      </c>
      <c r="O72" s="75" t="inlineStr">
        <is>
          <t>Client register + Transaction records</t>
        </is>
      </c>
      <c r="P72" s="75" t="inlineStr">
        <is>
          <t>Bought</t>
        </is>
      </c>
      <c r="Q72" s="75" t="inlineStr">
        <is>
          <t>Ms Abimbola</t>
        </is>
      </c>
      <c r="R72" s="75" t="n"/>
    </row>
    <row r="73" ht="25" customHeight="1">
      <c r="A73" s="78" t="inlineStr">
        <is>
          <t>BP-C0057</t>
        </is>
      </c>
      <c r="B73" s="78" t="inlineStr">
        <is>
          <t>Mr Oniyide Olalouwa Blessing</t>
        </is>
      </c>
      <c r="C73" s="78" t="n"/>
      <c r="D73" s="78" t="n"/>
      <c r="E73" s="78" t="inlineStr">
        <is>
          <t>Land</t>
        </is>
      </c>
      <c r="F73" s="78" t="inlineStr">
        <is>
          <t>Green City Phase 1 (Lantaba, Ketu-Epe); Land (estate not stated in source)</t>
        </is>
      </c>
      <c r="G73" s="79" t="n"/>
      <c r="H73" s="79" t="n">
        <v>45289</v>
      </c>
      <c r="I73" s="80" t="n">
        <v>0</v>
      </c>
      <c r="J73" s="80" t="n">
        <v>0</v>
      </c>
      <c r="K73" s="80" t="n">
        <v>2000000</v>
      </c>
      <c r="L73" s="80" t="n">
        <v>3040000</v>
      </c>
      <c r="M73" s="80" t="n">
        <v>0</v>
      </c>
      <c r="N73" s="80" t="n">
        <v>5040000</v>
      </c>
      <c r="O73" s="78" t="inlineStr">
        <is>
          <t>Transaction records</t>
        </is>
      </c>
      <c r="P73" s="78" t="n"/>
      <c r="Q73" s="78" t="n"/>
      <c r="R73" s="78" t="inlineStr">
        <is>
          <t>Not in client register: contract value unknown</t>
        </is>
      </c>
    </row>
    <row r="74" ht="25" customHeight="1">
      <c r="A74" s="75" t="inlineStr">
        <is>
          <t>BP-C0058</t>
        </is>
      </c>
      <c r="B74" s="75" t="inlineStr">
        <is>
          <t>Mr Oniyide Olaoluwa</t>
        </is>
      </c>
      <c r="C74" s="75" t="inlineStr">
        <is>
          <t>07057815975 08171666974</t>
        </is>
      </c>
      <c r="D74" s="75" t="inlineStr">
        <is>
          <t>SENT</t>
        </is>
      </c>
      <c r="E74" s="75" t="inlineStr">
        <is>
          <t>Land</t>
        </is>
      </c>
      <c r="F74" s="75" t="inlineStr">
        <is>
          <t>Green City Phase 1 (Lantaba, Ketu-Epe); Land (estate not stated in source); Land: ancillary charges</t>
        </is>
      </c>
      <c r="G74" s="76" t="n">
        <v>45289</v>
      </c>
      <c r="H74" s="76" t="n">
        <v>45457</v>
      </c>
      <c r="I74" s="77" t="n">
        <v>5500000</v>
      </c>
      <c r="J74" s="77" t="n">
        <v>5500000</v>
      </c>
      <c r="K74" s="77" t="n">
        <v>0</v>
      </c>
      <c r="L74" s="77" t="n">
        <v>135000</v>
      </c>
      <c r="M74" s="77" t="n">
        <v>0</v>
      </c>
      <c r="N74" s="77" t="n">
        <v>135000</v>
      </c>
      <c r="O74" s="75" t="inlineStr">
        <is>
          <t>Client register + Transaction records</t>
        </is>
      </c>
      <c r="P74" s="75" t="inlineStr">
        <is>
          <t>Bought</t>
        </is>
      </c>
      <c r="Q74" s="75" t="inlineStr">
        <is>
          <t>Mr Charles</t>
        </is>
      </c>
      <c r="R74" s="75" t="n"/>
    </row>
    <row r="75" ht="25" customHeight="1">
      <c r="A75" s="78" t="inlineStr">
        <is>
          <t>BP-C0059</t>
        </is>
      </c>
      <c r="B75" s="78" t="inlineStr">
        <is>
          <t>Elochukwu George</t>
        </is>
      </c>
      <c r="C75" s="78" t="inlineStr">
        <is>
          <t>8132039018</t>
        </is>
      </c>
      <c r="D75" s="78" t="inlineStr">
        <is>
          <t>SENT</t>
        </is>
      </c>
      <c r="E75" s="78" t="inlineStr">
        <is>
          <t>Land</t>
        </is>
      </c>
      <c r="F75" s="78" t="inlineStr">
        <is>
          <t>Green City Phase 1 (Lantaba, Ketu-Epe); Land (estate not stated in source)</t>
        </is>
      </c>
      <c r="G75" s="79" t="n">
        <v>45291</v>
      </c>
      <c r="H75" s="79" t="n">
        <v>45291</v>
      </c>
      <c r="I75" s="80" t="n">
        <v>10000000</v>
      </c>
      <c r="J75" s="80" t="n">
        <v>10000000</v>
      </c>
      <c r="K75" s="80" t="n">
        <v>500000</v>
      </c>
      <c r="L75" s="80" t="n">
        <v>4540000</v>
      </c>
      <c r="M75" s="80" t="n">
        <v>0</v>
      </c>
      <c r="N75" s="80" t="n">
        <v>5040000</v>
      </c>
      <c r="O75" s="78" t="inlineStr">
        <is>
          <t>Client register + Transaction records</t>
        </is>
      </c>
      <c r="P75" s="78" t="inlineStr">
        <is>
          <t>Bought</t>
        </is>
      </c>
      <c r="Q75" s="78" t="inlineStr">
        <is>
          <t>Ms Abimbola</t>
        </is>
      </c>
      <c r="R75" s="78" t="n"/>
    </row>
    <row r="76" ht="25" customHeight="1">
      <c r="A76" s="75" t="inlineStr">
        <is>
          <t>BP-C0060</t>
        </is>
      </c>
      <c r="B76" s="75" t="inlineStr">
        <is>
          <t>Ms Mitchell Jennifer</t>
        </is>
      </c>
      <c r="C76" s="75" t="inlineStr">
        <is>
          <t>13212970320</t>
        </is>
      </c>
      <c r="D76" s="75" t="inlineStr">
        <is>
          <t>jenn.mitchell48@gmail.com</t>
        </is>
      </c>
      <c r="E76" s="75" t="inlineStr">
        <is>
          <t>Land</t>
        </is>
      </c>
      <c r="F76" s="75" t="inlineStr">
        <is>
          <t>Green City Phase 2 (Idobi, Ketu-Epe); Green City Phase 2 (Ketu-Epe); Heritage Garden; Land (estate not stated in source)</t>
        </is>
      </c>
      <c r="G76" s="76" t="n">
        <v>45526</v>
      </c>
      <c r="H76" s="76" t="n">
        <v>45292</v>
      </c>
      <c r="I76" s="77" t="n">
        <v>608060</v>
      </c>
      <c r="J76" s="77" t="n">
        <v>608060</v>
      </c>
      <c r="K76" s="77" t="n">
        <v>0</v>
      </c>
      <c r="L76" s="77" t="n">
        <v>980600</v>
      </c>
      <c r="M76" s="77" t="n">
        <v>0</v>
      </c>
      <c r="N76" s="77" t="n">
        <v>980600</v>
      </c>
      <c r="O76" s="75" t="inlineStr">
        <is>
          <t>Client register + Transaction records</t>
        </is>
      </c>
      <c r="P76" s="75" t="inlineStr">
        <is>
          <t>Bought</t>
        </is>
      </c>
      <c r="Q76" s="75" t="inlineStr">
        <is>
          <t>Ms Celina</t>
        </is>
      </c>
      <c r="R76" s="75" t="inlineStr">
        <is>
          <t>Receipts exceed register contract value: check for duplicate entries, extra plots or ancillary fees</t>
        </is>
      </c>
    </row>
    <row r="77" ht="25" customHeight="1">
      <c r="A77" s="78" t="inlineStr">
        <is>
          <t>BP-C0061</t>
        </is>
      </c>
      <c r="B77" s="78" t="inlineStr">
        <is>
          <t>OGUNKOYA EMMANUEL</t>
        </is>
      </c>
      <c r="C77" s="78" t="inlineStr">
        <is>
          <t>8056191865</t>
        </is>
      </c>
      <c r="D77" s="78" t="inlineStr">
        <is>
          <t>nazareth_emmanuel@yahoo.com</t>
        </is>
      </c>
      <c r="E77" s="78" t="inlineStr">
        <is>
          <t>Land</t>
        </is>
      </c>
      <c r="F77" s="78" t="inlineStr">
        <is>
          <t>Green City Phase 2 (Idobi, Ketu-Epe); Green City Phase 2 (Ketu-Epe); Land (estate not stated in source); Land: ancillary charges</t>
        </is>
      </c>
      <c r="G77" s="79" t="n">
        <v>45296</v>
      </c>
      <c r="H77" s="79" t="n">
        <v>45296</v>
      </c>
      <c r="I77" s="80" t="n">
        <v>1800000</v>
      </c>
      <c r="J77" s="80" t="n">
        <v>1700000</v>
      </c>
      <c r="K77" s="80" t="n">
        <v>0</v>
      </c>
      <c r="L77" s="80" t="n">
        <v>1830000</v>
      </c>
      <c r="M77" s="80" t="n">
        <v>0</v>
      </c>
      <c r="N77" s="80" t="n">
        <v>1830000</v>
      </c>
      <c r="O77" s="78" t="inlineStr">
        <is>
          <t>Client register + Transaction records</t>
        </is>
      </c>
      <c r="P77" s="78" t="inlineStr">
        <is>
          <t>bought</t>
        </is>
      </c>
      <c r="Q77" s="78" t="inlineStr">
        <is>
          <t>MD</t>
        </is>
      </c>
      <c r="R77" s="78" t="n"/>
    </row>
    <row r="78" ht="25" customHeight="1">
      <c r="A78" s="75" t="inlineStr">
        <is>
          <t>BP-C0062</t>
        </is>
      </c>
      <c r="B78" s="75" t="inlineStr">
        <is>
          <t>Mr Agbaje Christopher Usiola</t>
        </is>
      </c>
      <c r="C78" s="75" t="inlineStr">
        <is>
          <t>353879754960</t>
        </is>
      </c>
      <c r="D78" s="75" t="inlineStr">
        <is>
          <t>SENT</t>
        </is>
      </c>
      <c r="E78" s="75" t="inlineStr">
        <is>
          <t>Land</t>
        </is>
      </c>
      <c r="F78" s="75" t="inlineStr">
        <is>
          <t>Green City Phase 1 (Ketu-Epe); Green City Phase 1 (Lantaba, Ketu-Epe)</t>
        </is>
      </c>
      <c r="G78" s="76" t="n">
        <v>45323</v>
      </c>
      <c r="H78" s="76" t="n">
        <v>45324</v>
      </c>
      <c r="I78" s="77" t="n">
        <v>5040000</v>
      </c>
      <c r="J78" s="77" t="n">
        <v>5040000</v>
      </c>
      <c r="K78" s="77" t="n">
        <v>0</v>
      </c>
      <c r="L78" s="77" t="n">
        <v>4500000</v>
      </c>
      <c r="M78" s="77" t="n">
        <v>0</v>
      </c>
      <c r="N78" s="77" t="n">
        <v>4500000</v>
      </c>
      <c r="O78" s="75" t="inlineStr">
        <is>
          <t>Client register + Transaction records</t>
        </is>
      </c>
      <c r="P78" s="75" t="inlineStr">
        <is>
          <t>Bought</t>
        </is>
      </c>
      <c r="Q78" s="75" t="inlineStr">
        <is>
          <t>MD</t>
        </is>
      </c>
      <c r="R78" s="75" t="n"/>
    </row>
    <row r="79" ht="25" customHeight="1">
      <c r="A79" s="78" t="inlineStr">
        <is>
          <t>BP-C0063</t>
        </is>
      </c>
      <c r="B79" s="78" t="inlineStr">
        <is>
          <t>Omodara Adewale David</t>
        </is>
      </c>
      <c r="C79" s="78" t="inlineStr">
        <is>
          <t>7039678467</t>
        </is>
      </c>
      <c r="D79" s="78" t="inlineStr">
        <is>
          <t>adewaledavid777@gmail.com</t>
        </is>
      </c>
      <c r="E79" s="78" t="inlineStr">
        <is>
          <t>Land</t>
        </is>
      </c>
      <c r="F79" s="78" t="inlineStr">
        <is>
          <t>Green City Phase 2 (Ketu-Epe)</t>
        </is>
      </c>
      <c r="G79" s="79" t="n">
        <v>45326</v>
      </c>
      <c r="H79" s="79" t="n">
        <v>45325</v>
      </c>
      <c r="I79" s="80" t="n">
        <v>3500000</v>
      </c>
      <c r="J79" s="80" t="n">
        <v>3500000</v>
      </c>
      <c r="K79" s="80" t="n">
        <v>0</v>
      </c>
      <c r="L79" s="80" t="n">
        <v>3500000</v>
      </c>
      <c r="M79" s="80" t="n">
        <v>0</v>
      </c>
      <c r="N79" s="80" t="n">
        <v>3500000</v>
      </c>
      <c r="O79" s="78" t="inlineStr">
        <is>
          <t>Client register + Transaction records</t>
        </is>
      </c>
      <c r="P79" s="78" t="inlineStr">
        <is>
          <t>Bought</t>
        </is>
      </c>
      <c r="Q79" s="78" t="inlineStr">
        <is>
          <t>Ms Taiwo Ajibola</t>
        </is>
      </c>
      <c r="R79" s="78" t="n"/>
    </row>
    <row r="80" ht="25" customHeight="1">
      <c r="A80" s="75" t="inlineStr">
        <is>
          <t>BP-C0064</t>
        </is>
      </c>
      <c r="B80" s="75" t="inlineStr">
        <is>
          <t>Okosun Damian</t>
        </is>
      </c>
      <c r="C80" s="75" t="inlineStr">
        <is>
          <t>8034367176</t>
        </is>
      </c>
      <c r="D80" s="75" t="inlineStr">
        <is>
          <t>damianokosun@gmail.com</t>
        </is>
      </c>
      <c r="E80" s="75" t="inlineStr">
        <is>
          <t>Land</t>
        </is>
      </c>
      <c r="F80" s="75" t="inlineStr">
        <is>
          <t>Green City Phase 2 (Ketu-Epe)</t>
        </is>
      </c>
      <c r="G80" s="76" t="n">
        <v>45327</v>
      </c>
      <c r="H80" s="76" t="n">
        <v>45328</v>
      </c>
      <c r="I80" s="77" t="n">
        <v>1800000</v>
      </c>
      <c r="J80" s="77" t="n">
        <v>1800000</v>
      </c>
      <c r="K80" s="77" t="n">
        <v>0</v>
      </c>
      <c r="L80" s="77" t="n">
        <v>1800000</v>
      </c>
      <c r="M80" s="77" t="n">
        <v>0</v>
      </c>
      <c r="N80" s="77" t="n">
        <v>1800000</v>
      </c>
      <c r="O80" s="75" t="inlineStr">
        <is>
          <t>Client register + Transaction records</t>
        </is>
      </c>
      <c r="P80" s="75" t="inlineStr">
        <is>
          <t>Bought</t>
        </is>
      </c>
      <c r="Q80" s="75" t="inlineStr">
        <is>
          <t>Ms Bolanle</t>
        </is>
      </c>
      <c r="R80" s="75" t="n"/>
    </row>
    <row r="81" ht="25" customHeight="1">
      <c r="A81" s="78" t="inlineStr">
        <is>
          <t>BP-C0065</t>
        </is>
      </c>
      <c r="B81" s="78" t="inlineStr">
        <is>
          <t>Mr Yusuf Saheed Taiwo</t>
        </is>
      </c>
      <c r="C81" s="78" t="inlineStr">
        <is>
          <t>8102375562</t>
        </is>
      </c>
      <c r="D81" s="78" t="inlineStr">
        <is>
          <t>yusufsaheedtaiwo@gmail.com</t>
        </is>
      </c>
      <c r="E81" s="78" t="inlineStr">
        <is>
          <t>Land</t>
        </is>
      </c>
      <c r="F81" s="78" t="inlineStr">
        <is>
          <t>Green City Phase 2 (Ketu-Epe)</t>
        </is>
      </c>
      <c r="G81" s="79" t="n">
        <v>45328</v>
      </c>
      <c r="H81" s="79" t="n">
        <v>45328</v>
      </c>
      <c r="I81" s="80" t="n">
        <v>1800000</v>
      </c>
      <c r="J81" s="80" t="n">
        <v>1800000</v>
      </c>
      <c r="K81" s="80" t="n">
        <v>0</v>
      </c>
      <c r="L81" s="80" t="n">
        <v>1800000</v>
      </c>
      <c r="M81" s="80" t="n">
        <v>0</v>
      </c>
      <c r="N81" s="80" t="n">
        <v>1800000</v>
      </c>
      <c r="O81" s="78" t="inlineStr">
        <is>
          <t>Client register + Transaction records</t>
        </is>
      </c>
      <c r="P81" s="78" t="inlineStr">
        <is>
          <t>Bought</t>
        </is>
      </c>
      <c r="Q81" s="78" t="inlineStr">
        <is>
          <t>MD</t>
        </is>
      </c>
      <c r="R81" s="78" t="n"/>
    </row>
    <row r="82" ht="25" customHeight="1">
      <c r="A82" s="75" t="inlineStr">
        <is>
          <t>BP-C0066</t>
        </is>
      </c>
      <c r="B82" s="75" t="inlineStr">
        <is>
          <t>Miss Omosanya Dotun Akeju</t>
        </is>
      </c>
      <c r="C82" s="75" t="inlineStr">
        <is>
          <t>8052506221</t>
        </is>
      </c>
      <c r="D82" s="75" t="inlineStr">
        <is>
          <t>omosanyaakeju4@gmail.com</t>
        </is>
      </c>
      <c r="E82" s="75" t="inlineStr">
        <is>
          <t>Land</t>
        </is>
      </c>
      <c r="F82" s="75" t="inlineStr">
        <is>
          <t>Green City Phase 2 (Ketu-Epe); Green City Phase 3 (Omu-Epe); Land (estate not stated in source); Land: ancillary charges</t>
        </is>
      </c>
      <c r="G82" s="76" t="n">
        <v>45343</v>
      </c>
      <c r="H82" s="76" t="n">
        <v>45354</v>
      </c>
      <c r="I82" s="77" t="n">
        <v>7300000</v>
      </c>
      <c r="J82" s="77" t="n">
        <v>7300000</v>
      </c>
      <c r="K82" s="77" t="n">
        <v>0</v>
      </c>
      <c r="L82" s="77" t="n">
        <v>14265000</v>
      </c>
      <c r="M82" s="77" t="n">
        <v>0</v>
      </c>
      <c r="N82" s="77" t="n">
        <v>14265000</v>
      </c>
      <c r="O82" s="75" t="inlineStr">
        <is>
          <t>Client register + Transaction records</t>
        </is>
      </c>
      <c r="P82" s="75" t="inlineStr">
        <is>
          <t>Bought</t>
        </is>
      </c>
      <c r="Q82" s="75" t="inlineStr">
        <is>
          <t>Ms Bola, Ms Oji Blessing</t>
        </is>
      </c>
      <c r="R82" s="75" t="inlineStr">
        <is>
          <t>Receipts exceed register contract value: check for duplicate entries, extra plots or ancillary fees</t>
        </is>
      </c>
    </row>
    <row r="83" ht="25" customHeight="1">
      <c r="A83" s="78" t="inlineStr">
        <is>
          <t>BP-C0067</t>
        </is>
      </c>
      <c r="B83" s="78" t="inlineStr">
        <is>
          <t>Mr Odje Theophilus Bamidele</t>
        </is>
      </c>
      <c r="C83" s="78" t="inlineStr">
        <is>
          <t>8164722166</t>
        </is>
      </c>
      <c r="D83" s="78" t="inlineStr">
        <is>
          <t>theoodje@gmail.com</t>
        </is>
      </c>
      <c r="E83" s="78" t="inlineStr">
        <is>
          <t>Land</t>
        </is>
      </c>
      <c r="F83" s="78" t="inlineStr">
        <is>
          <t>Green City Phase 2 (Ketu-Epe)</t>
        </is>
      </c>
      <c r="G83" s="79" t="n">
        <v>45348</v>
      </c>
      <c r="H83" s="79" t="n">
        <v>45348</v>
      </c>
      <c r="I83" s="80" t="n">
        <v>3500000</v>
      </c>
      <c r="J83" s="80" t="n">
        <v>3500000</v>
      </c>
      <c r="K83" s="80" t="n">
        <v>0</v>
      </c>
      <c r="L83" s="80" t="n">
        <v>3500000</v>
      </c>
      <c r="M83" s="80" t="n">
        <v>0</v>
      </c>
      <c r="N83" s="80" t="n">
        <v>3500000</v>
      </c>
      <c r="O83" s="78" t="inlineStr">
        <is>
          <t>Client register + Transaction records</t>
        </is>
      </c>
      <c r="P83" s="78" t="inlineStr">
        <is>
          <t>Bought</t>
        </is>
      </c>
      <c r="Q83" s="78" t="inlineStr">
        <is>
          <t>Mr Praise</t>
        </is>
      </c>
      <c r="R83" s="78" t="n"/>
    </row>
    <row r="84" ht="25" customHeight="1">
      <c r="A84" s="75" t="inlineStr">
        <is>
          <t>BP-C0068</t>
        </is>
      </c>
      <c r="B84" s="75" t="inlineStr">
        <is>
          <t>Miss Ebhotah Sharon Aisosa</t>
        </is>
      </c>
      <c r="C84" s="75" t="inlineStr">
        <is>
          <t>447947786248</t>
        </is>
      </c>
      <c r="D84" s="75" t="inlineStr">
        <is>
          <t>cadizsharon28@gmail.com</t>
        </is>
      </c>
      <c r="E84" s="75" t="inlineStr">
        <is>
          <t>Land</t>
        </is>
      </c>
      <c r="F84" s="75" t="inlineStr">
        <is>
          <t>Green City Phase 2 (Idobi, Ketu-Epe); Green City Phase 2 (Ketu-Epe); Green City Phase 3 (Omu-Epe); Land (estate not stated in source); Land: ancillary charges</t>
        </is>
      </c>
      <c r="G84" s="76" t="n">
        <v>45350</v>
      </c>
      <c r="H84" s="76" t="n">
        <v>45379</v>
      </c>
      <c r="I84" s="77" t="n">
        <v>9000000</v>
      </c>
      <c r="J84" s="77" t="n">
        <v>9000000</v>
      </c>
      <c r="K84" s="77" t="n">
        <v>0</v>
      </c>
      <c r="L84" s="77" t="n">
        <v>7010000</v>
      </c>
      <c r="M84" s="77" t="n">
        <v>1330000</v>
      </c>
      <c r="N84" s="77" t="n">
        <v>8340000</v>
      </c>
      <c r="O84" s="75" t="inlineStr">
        <is>
          <t>Client register + Transaction records</t>
        </is>
      </c>
      <c r="P84" s="75" t="inlineStr">
        <is>
          <t>Bought</t>
        </is>
      </c>
      <c r="Q84" s="75" t="inlineStr">
        <is>
          <t>Ms Blessing, Ms blessing</t>
        </is>
      </c>
      <c r="R84" s="75" t="n"/>
    </row>
    <row r="85" ht="25" customHeight="1">
      <c r="A85" s="78" t="inlineStr">
        <is>
          <t>BP-C0069</t>
        </is>
      </c>
      <c r="B85" s="78" t="inlineStr">
        <is>
          <t>Mr Agbaje Christopher Usiala</t>
        </is>
      </c>
      <c r="C85" s="78" t="n"/>
      <c r="D85" s="78" t="n"/>
      <c r="E85" s="78" t="inlineStr">
        <is>
          <t>Land</t>
        </is>
      </c>
      <c r="F85" s="78" t="inlineStr">
        <is>
          <t>Green City Phase 1 (Lantaba, Ketu-Epe)</t>
        </is>
      </c>
      <c r="G85" s="79" t="n"/>
      <c r="H85" s="79" t="n">
        <v>45357</v>
      </c>
      <c r="I85" s="80" t="n">
        <v>0</v>
      </c>
      <c r="J85" s="80" t="n">
        <v>0</v>
      </c>
      <c r="K85" s="80" t="n">
        <v>0</v>
      </c>
      <c r="L85" s="80" t="n">
        <v>135000</v>
      </c>
      <c r="M85" s="80" t="n">
        <v>0</v>
      </c>
      <c r="N85" s="80" t="n">
        <v>135000</v>
      </c>
      <c r="O85" s="78" t="inlineStr">
        <is>
          <t>Transaction records</t>
        </is>
      </c>
      <c r="P85" s="78" t="n"/>
      <c r="Q85" s="78" t="n"/>
      <c r="R85" s="78" t="inlineStr">
        <is>
          <t>Not in client register: contract value unknown</t>
        </is>
      </c>
    </row>
    <row r="86" ht="25" customHeight="1">
      <c r="A86" s="75" t="inlineStr">
        <is>
          <t>BP-C0070</t>
        </is>
      </c>
      <c r="B86" s="75" t="inlineStr">
        <is>
          <t>Mr Daniel Ayodeji Adeogun</t>
        </is>
      </c>
      <c r="C86" s="75" t="inlineStr">
        <is>
          <t>8143671690</t>
        </is>
      </c>
      <c r="D86" s="75" t="inlineStr">
        <is>
          <t>ayodejimoses96@gmail.com</t>
        </is>
      </c>
      <c r="E86" s="75" t="inlineStr">
        <is>
          <t>Land</t>
        </is>
      </c>
      <c r="F86" s="75" t="inlineStr">
        <is>
          <t>Green City Phase 2 (Ketu-Epe); Land: ancillary charges</t>
        </is>
      </c>
      <c r="G86" s="76" t="n">
        <v>45357</v>
      </c>
      <c r="H86" s="76" t="n">
        <v>45357</v>
      </c>
      <c r="I86" s="77" t="n">
        <v>3500000</v>
      </c>
      <c r="J86" s="77" t="n">
        <v>3500000</v>
      </c>
      <c r="K86" s="77" t="n">
        <v>0</v>
      </c>
      <c r="L86" s="77" t="n">
        <v>3635000</v>
      </c>
      <c r="M86" s="77" t="n">
        <v>0</v>
      </c>
      <c r="N86" s="77" t="n">
        <v>3635000</v>
      </c>
      <c r="O86" s="75" t="inlineStr">
        <is>
          <t>Client register + Transaction records</t>
        </is>
      </c>
      <c r="P86" s="75" t="inlineStr">
        <is>
          <t>Bought</t>
        </is>
      </c>
      <c r="Q86" s="75" t="inlineStr">
        <is>
          <t>Ms Taiwo Ajibola</t>
        </is>
      </c>
      <c r="R86" s="75" t="inlineStr">
        <is>
          <t>Receipts exceed register contract value: check for duplicate entries, extra plots or ancillary fees</t>
        </is>
      </c>
    </row>
    <row r="87" ht="25" customHeight="1">
      <c r="A87" s="78" t="inlineStr">
        <is>
          <t>BP-C0071</t>
        </is>
      </c>
      <c r="B87" s="78" t="inlineStr">
        <is>
          <t>Miss Oyebola Moyosoreoluwa Boluwatife</t>
        </is>
      </c>
      <c r="C87" s="78" t="inlineStr">
        <is>
          <t>8098338600</t>
        </is>
      </c>
      <c r="D87" s="78" t="inlineStr">
        <is>
          <t>olayinka_oyebola@hotmail.com</t>
        </is>
      </c>
      <c r="E87" s="78" t="inlineStr">
        <is>
          <t>Land</t>
        </is>
      </c>
      <c r="F87" s="78" t="inlineStr">
        <is>
          <t>Green City Phase 2 (Ketu-Epe)</t>
        </is>
      </c>
      <c r="G87" s="79" t="n">
        <v>45359</v>
      </c>
      <c r="H87" s="79" t="n">
        <v>45359</v>
      </c>
      <c r="I87" s="80" t="n">
        <v>3000000</v>
      </c>
      <c r="J87" s="80" t="n">
        <v>3000000</v>
      </c>
      <c r="K87" s="80" t="n">
        <v>0</v>
      </c>
      <c r="L87" s="80" t="n">
        <v>3000000</v>
      </c>
      <c r="M87" s="80" t="n">
        <v>0</v>
      </c>
      <c r="N87" s="80" t="n">
        <v>3000000</v>
      </c>
      <c r="O87" s="78" t="inlineStr">
        <is>
          <t>Client register + Transaction records</t>
        </is>
      </c>
      <c r="P87" s="78" t="inlineStr">
        <is>
          <t>Bought</t>
        </is>
      </c>
      <c r="Q87" s="78" t="inlineStr">
        <is>
          <t>Mr Ayo</t>
        </is>
      </c>
      <c r="R87" s="78" t="n"/>
    </row>
    <row r="88" ht="25" customHeight="1">
      <c r="A88" s="75" t="inlineStr">
        <is>
          <t>BP-C0072</t>
        </is>
      </c>
      <c r="B88" s="75" t="inlineStr">
        <is>
          <t>Mr Oyebola Ajibola Ayobami</t>
        </is>
      </c>
      <c r="C88" s="75" t="inlineStr">
        <is>
          <t>8098338600</t>
        </is>
      </c>
      <c r="D88" s="75" t="inlineStr">
        <is>
          <t>olayinka_oyebola@hotmail.com</t>
        </is>
      </c>
      <c r="E88" s="75" t="inlineStr">
        <is>
          <t>Land</t>
        </is>
      </c>
      <c r="F88" s="75" t="inlineStr">
        <is>
          <t>Green City Phase 2 (Ketu-Epe); Land: ancillary charges</t>
        </is>
      </c>
      <c r="G88" s="76" t="n">
        <v>45359</v>
      </c>
      <c r="H88" s="76" t="n">
        <v>45359</v>
      </c>
      <c r="I88" s="77" t="n">
        <v>3000000</v>
      </c>
      <c r="J88" s="77" t="n">
        <v>3000000</v>
      </c>
      <c r="K88" s="77" t="n">
        <v>0</v>
      </c>
      <c r="L88" s="77" t="n">
        <v>3135000</v>
      </c>
      <c r="M88" s="77" t="n">
        <v>0</v>
      </c>
      <c r="N88" s="77" t="n">
        <v>3135000</v>
      </c>
      <c r="O88" s="75" t="inlineStr">
        <is>
          <t>Client register + Transaction records</t>
        </is>
      </c>
      <c r="P88" s="75" t="inlineStr">
        <is>
          <t>Bought</t>
        </is>
      </c>
      <c r="Q88" s="75" t="inlineStr">
        <is>
          <t>Mr Ayo</t>
        </is>
      </c>
      <c r="R88" s="75" t="inlineStr">
        <is>
          <t>Receipts exceed register contract value: check for duplicate entries, extra plots or ancillary fees</t>
        </is>
      </c>
    </row>
    <row r="89" ht="25" customHeight="1">
      <c r="A89" s="78" t="inlineStr">
        <is>
          <t>BP-C0073</t>
        </is>
      </c>
      <c r="B89" s="78" t="inlineStr">
        <is>
          <t>Mr Oyebola Temiloluwa Olayinka</t>
        </is>
      </c>
      <c r="C89" s="78" t="inlineStr">
        <is>
          <t>8098338600</t>
        </is>
      </c>
      <c r="D89" s="78" t="inlineStr">
        <is>
          <t>olayinka_oyebola@hotmail.com</t>
        </is>
      </c>
      <c r="E89" s="78" t="inlineStr">
        <is>
          <t>Land</t>
        </is>
      </c>
      <c r="F89" s="78" t="inlineStr">
        <is>
          <t>Green City Phase 2 (Ketu-Epe)</t>
        </is>
      </c>
      <c r="G89" s="79" t="n">
        <v>45359</v>
      </c>
      <c r="H89" s="79" t="n">
        <v>45359</v>
      </c>
      <c r="I89" s="80" t="n">
        <v>3000000</v>
      </c>
      <c r="J89" s="80" t="n">
        <v>3000000</v>
      </c>
      <c r="K89" s="80" t="n">
        <v>0</v>
      </c>
      <c r="L89" s="80" t="n">
        <v>3000000</v>
      </c>
      <c r="M89" s="80" t="n">
        <v>0</v>
      </c>
      <c r="N89" s="80" t="n">
        <v>3000000</v>
      </c>
      <c r="O89" s="78" t="inlineStr">
        <is>
          <t>Client register + Transaction records</t>
        </is>
      </c>
      <c r="P89" s="78" t="inlineStr">
        <is>
          <t>Bought</t>
        </is>
      </c>
      <c r="Q89" s="78" t="inlineStr">
        <is>
          <t>Mr Ayo</t>
        </is>
      </c>
      <c r="R89" s="78" t="n"/>
    </row>
    <row r="90" ht="25" customHeight="1">
      <c r="A90" s="75" t="inlineStr">
        <is>
          <t>BP-C0074</t>
        </is>
      </c>
      <c r="B90" s="75" t="inlineStr">
        <is>
          <t>Mrs Oloniluyi Victoria Adetutu Iyabode</t>
        </is>
      </c>
      <c r="C90" s="75" t="inlineStr">
        <is>
          <t>447828073149</t>
        </is>
      </c>
      <c r="D90" s="75" t="inlineStr">
        <is>
          <t>SENT</t>
        </is>
      </c>
      <c r="E90" s="75" t="inlineStr">
        <is>
          <t>Land</t>
        </is>
      </c>
      <c r="F90" s="75" t="inlineStr">
        <is>
          <t>Green City Phase 1 (Lantaba, Ketu-Epe); Land: ancillary charges</t>
        </is>
      </c>
      <c r="G90" s="76" t="n">
        <v>45359</v>
      </c>
      <c r="H90" s="76" t="n">
        <v>45359</v>
      </c>
      <c r="I90" s="77" t="n">
        <v>3000000</v>
      </c>
      <c r="J90" s="77" t="n">
        <v>3000000</v>
      </c>
      <c r="K90" s="77" t="n">
        <v>0</v>
      </c>
      <c r="L90" s="77" t="n">
        <v>7135000</v>
      </c>
      <c r="M90" s="77" t="n">
        <v>0</v>
      </c>
      <c r="N90" s="77" t="n">
        <v>7135000</v>
      </c>
      <c r="O90" s="75" t="inlineStr">
        <is>
          <t>Client register + Transaction records</t>
        </is>
      </c>
      <c r="P90" s="75" t="inlineStr">
        <is>
          <t>Bought</t>
        </is>
      </c>
      <c r="Q90" s="75" t="inlineStr">
        <is>
          <t>MD</t>
        </is>
      </c>
      <c r="R90" s="75" t="inlineStr">
        <is>
          <t>Receipts exceed register contract value: check for duplicate entries, extra plots or ancillary fees</t>
        </is>
      </c>
    </row>
    <row r="91" ht="25" customHeight="1">
      <c r="A91" s="78" t="inlineStr">
        <is>
          <t>BP-C0075</t>
        </is>
      </c>
      <c r="B91" s="78" t="inlineStr">
        <is>
          <t>Miss Ogidan funmilayo Jumoke</t>
        </is>
      </c>
      <c r="C91" s="78" t="inlineStr">
        <is>
          <t>971543457569</t>
        </is>
      </c>
      <c r="D91" s="78" t="inlineStr">
        <is>
          <t>funmilayojumaika26@gmail.com</t>
        </is>
      </c>
      <c r="E91" s="78" t="inlineStr">
        <is>
          <t>Land</t>
        </is>
      </c>
      <c r="F91" s="78" t="inlineStr">
        <is>
          <t>Green City Phase 2 (Ketu-Epe); Land: ancillary charges</t>
        </is>
      </c>
      <c r="G91" s="79" t="n">
        <v>45360</v>
      </c>
      <c r="H91" s="79" t="n">
        <v>45360</v>
      </c>
      <c r="I91" s="80" t="n">
        <v>1800000</v>
      </c>
      <c r="J91" s="80" t="n">
        <v>1800000</v>
      </c>
      <c r="K91" s="80" t="n">
        <v>0</v>
      </c>
      <c r="L91" s="80" t="n">
        <v>1935000</v>
      </c>
      <c r="M91" s="80" t="n">
        <v>0</v>
      </c>
      <c r="N91" s="80" t="n">
        <v>1935000</v>
      </c>
      <c r="O91" s="78" t="inlineStr">
        <is>
          <t>Client register + Transaction records</t>
        </is>
      </c>
      <c r="P91" s="78" t="inlineStr">
        <is>
          <t>Bought</t>
        </is>
      </c>
      <c r="Q91" s="78" t="inlineStr">
        <is>
          <t>Mr Ogidan Abiodun</t>
        </is>
      </c>
      <c r="R91" s="78" t="inlineStr">
        <is>
          <t>Receipts exceed register contract value: check for duplicate entries, extra plots or ancillary fees</t>
        </is>
      </c>
    </row>
    <row r="92" ht="25" customHeight="1">
      <c r="A92" s="75" t="inlineStr">
        <is>
          <t>BP-C0076</t>
        </is>
      </c>
      <c r="B92" s="75" t="inlineStr">
        <is>
          <t>Ojo Ayomide Babatunde</t>
        </is>
      </c>
      <c r="C92" s="75" t="inlineStr">
        <is>
          <t>8168964986</t>
        </is>
      </c>
      <c r="D92" s="75" t="inlineStr">
        <is>
          <t>ojobabatunde12@gmail.com</t>
        </is>
      </c>
      <c r="E92" s="75" t="inlineStr">
        <is>
          <t>Land</t>
        </is>
      </c>
      <c r="F92" s="75" t="inlineStr">
        <is>
          <t>Green City Phase 2 (Ketu-Epe); Land: ancillary charges</t>
        </is>
      </c>
      <c r="G92" s="76" t="n">
        <v>45360</v>
      </c>
      <c r="H92" s="76" t="n">
        <v>45360</v>
      </c>
      <c r="I92" s="77" t="n">
        <v>3500000</v>
      </c>
      <c r="J92" s="77" t="n">
        <v>3500000</v>
      </c>
      <c r="K92" s="77" t="n">
        <v>0</v>
      </c>
      <c r="L92" s="77" t="n">
        <v>3635000</v>
      </c>
      <c r="M92" s="77" t="n">
        <v>0</v>
      </c>
      <c r="N92" s="77" t="n">
        <v>3635000</v>
      </c>
      <c r="O92" s="75" t="inlineStr">
        <is>
          <t>Client register + Transaction records</t>
        </is>
      </c>
      <c r="P92" s="75" t="inlineStr">
        <is>
          <t>Bought</t>
        </is>
      </c>
      <c r="Q92" s="75" t="inlineStr">
        <is>
          <t>Ms Olayinka Fasuyi</t>
        </is>
      </c>
      <c r="R92" s="75" t="inlineStr">
        <is>
          <t>Receipts exceed register contract value: check for duplicate entries, extra plots or ancillary fees</t>
        </is>
      </c>
    </row>
    <row r="93" ht="25" customHeight="1">
      <c r="A93" s="78" t="inlineStr">
        <is>
          <t>BP-C0077</t>
        </is>
      </c>
      <c r="B93" s="78" t="inlineStr">
        <is>
          <t>Mr Uebari Sorbari Godwin</t>
        </is>
      </c>
      <c r="C93" s="78" t="inlineStr">
        <is>
          <t>8103010747</t>
        </is>
      </c>
      <c r="D93" s="78" t="inlineStr">
        <is>
          <t>sorbarigodwin@gmail.com</t>
        </is>
      </c>
      <c r="E93" s="78" t="inlineStr">
        <is>
          <t>Land</t>
        </is>
      </c>
      <c r="F93" s="78" t="inlineStr">
        <is>
          <t>Green City Phase 2 (Ketu-Epe); Green City Phase 3 Extension (Omu-Epe); Land (estate not stated in source)</t>
        </is>
      </c>
      <c r="G93" s="79" t="n">
        <v>45706</v>
      </c>
      <c r="H93" s="79" t="n">
        <v>45361</v>
      </c>
      <c r="I93" s="80" t="n">
        <v>3800000</v>
      </c>
      <c r="J93" s="80" t="n">
        <v>3800000</v>
      </c>
      <c r="K93" s="80" t="n">
        <v>0</v>
      </c>
      <c r="L93" s="80" t="n">
        <v>500000</v>
      </c>
      <c r="M93" s="80" t="n">
        <v>3407000</v>
      </c>
      <c r="N93" s="80" t="n">
        <v>3907000</v>
      </c>
      <c r="O93" s="78" t="inlineStr">
        <is>
          <t>Client register + Transaction records</t>
        </is>
      </c>
      <c r="P93" s="78" t="inlineStr">
        <is>
          <t>Bought</t>
        </is>
      </c>
      <c r="Q93" s="78" t="inlineStr">
        <is>
          <t>Ms Elizabeth</t>
        </is>
      </c>
      <c r="R93" s="78" t="inlineStr">
        <is>
          <t>Receipts exceed register contract value: check for duplicate entries, extra plots or ancillary fees</t>
        </is>
      </c>
    </row>
    <row r="94" ht="25" customHeight="1">
      <c r="A94" s="75" t="inlineStr">
        <is>
          <t>BP-C0078</t>
        </is>
      </c>
      <c r="B94" s="75" t="inlineStr">
        <is>
          <t>Miss Bingham Kendra</t>
        </is>
      </c>
      <c r="C94" s="75" t="inlineStr">
        <is>
          <t>16014151259</t>
        </is>
      </c>
      <c r="D94" s="75" t="inlineStr">
        <is>
          <t>kendrabingham@yhaoo.com</t>
        </is>
      </c>
      <c r="E94" s="75" t="inlineStr">
        <is>
          <t>Land</t>
        </is>
      </c>
      <c r="F94" s="75" t="inlineStr">
        <is>
          <t>Green City Phase 1 (Lantaba, Ketu-Epe); Green City Phase 2 (Ketu-Epe); Land: ancillary charges</t>
        </is>
      </c>
      <c r="G94" s="76" t="n">
        <v>45362</v>
      </c>
      <c r="H94" s="76" t="n">
        <v>45362</v>
      </c>
      <c r="I94" s="77" t="n">
        <v>10500000</v>
      </c>
      <c r="J94" s="77" t="n">
        <v>10500000</v>
      </c>
      <c r="K94" s="77" t="n">
        <v>0</v>
      </c>
      <c r="L94" s="77" t="n">
        <v>12300000</v>
      </c>
      <c r="M94" s="77" t="n">
        <v>0</v>
      </c>
      <c r="N94" s="77" t="n">
        <v>12300000</v>
      </c>
      <c r="O94" s="75" t="inlineStr">
        <is>
          <t>Client register + Transaction records</t>
        </is>
      </c>
      <c r="P94" s="75" t="inlineStr">
        <is>
          <t>Bought</t>
        </is>
      </c>
      <c r="Q94" s="75" t="inlineStr">
        <is>
          <t>Ms Abimbola</t>
        </is>
      </c>
      <c r="R94" s="75" t="inlineStr">
        <is>
          <t>Receipts exceed register contract value: check for duplicate entries, extra plots or ancillary fees</t>
        </is>
      </c>
    </row>
    <row r="95" ht="25" customHeight="1">
      <c r="A95" s="78" t="inlineStr">
        <is>
          <t>BP-C0079</t>
        </is>
      </c>
      <c r="B95" s="78" t="inlineStr">
        <is>
          <t>Ukachi Florence Oluchi</t>
        </is>
      </c>
      <c r="C95" s="78" t="inlineStr">
        <is>
          <t>8167057304</t>
        </is>
      </c>
      <c r="D95" s="78" t="inlineStr">
        <is>
          <t>florenceukachi0@gmail.com</t>
        </is>
      </c>
      <c r="E95" s="78" t="inlineStr">
        <is>
          <t>Land</t>
        </is>
      </c>
      <c r="F95" s="78" t="inlineStr">
        <is>
          <t>Green City Phase 2 (Ketu-Epe); Land: ancillary charges</t>
        </is>
      </c>
      <c r="G95" s="79" t="n">
        <v>45362</v>
      </c>
      <c r="H95" s="79" t="n">
        <v>45362</v>
      </c>
      <c r="I95" s="80" t="n">
        <v>3500000</v>
      </c>
      <c r="J95" s="80" t="n">
        <v>3500000</v>
      </c>
      <c r="K95" s="80" t="n">
        <v>0</v>
      </c>
      <c r="L95" s="80" t="n">
        <v>3635000</v>
      </c>
      <c r="M95" s="80" t="n">
        <v>0</v>
      </c>
      <c r="N95" s="80" t="n">
        <v>3635000</v>
      </c>
      <c r="O95" s="78" t="inlineStr">
        <is>
          <t>Client register + Transaction records</t>
        </is>
      </c>
      <c r="P95" s="78" t="inlineStr">
        <is>
          <t>Bought</t>
        </is>
      </c>
      <c r="Q95" s="78" t="inlineStr">
        <is>
          <t>Ms Feyi</t>
        </is>
      </c>
      <c r="R95" s="78" t="inlineStr">
        <is>
          <t>Receipts exceed register contract value: check for duplicate entries, extra plots or ancillary fees</t>
        </is>
      </c>
    </row>
    <row r="96" ht="25" customHeight="1">
      <c r="A96" s="75" t="inlineStr">
        <is>
          <t>BP-C0080</t>
        </is>
      </c>
      <c r="B96" s="75" t="inlineStr">
        <is>
          <t>Dr Ayansola Jeremiah Funso</t>
        </is>
      </c>
      <c r="C96" s="75" t="inlineStr">
        <is>
          <t>8023407834</t>
        </is>
      </c>
      <c r="D96" s="75" t="inlineStr">
        <is>
          <t>funshodunamis2007@gmail.com</t>
        </is>
      </c>
      <c r="E96" s="75" t="inlineStr">
        <is>
          <t>Land</t>
        </is>
      </c>
      <c r="F96" s="75" t="inlineStr">
        <is>
          <t>Green City Phase 2 (Ketu-Epe); Land: ancillary charges</t>
        </is>
      </c>
      <c r="G96" s="76" t="n">
        <v>45363</v>
      </c>
      <c r="H96" s="76" t="n">
        <v>45363</v>
      </c>
      <c r="I96" s="77" t="n">
        <v>3500000</v>
      </c>
      <c r="J96" s="77" t="n">
        <v>3500000</v>
      </c>
      <c r="K96" s="77" t="n">
        <v>0</v>
      </c>
      <c r="L96" s="77" t="n">
        <v>3635000</v>
      </c>
      <c r="M96" s="77" t="n">
        <v>0</v>
      </c>
      <c r="N96" s="77" t="n">
        <v>3635000</v>
      </c>
      <c r="O96" s="75" t="inlineStr">
        <is>
          <t>Client register + Transaction records</t>
        </is>
      </c>
      <c r="P96" s="75" t="inlineStr">
        <is>
          <t>Bought</t>
        </is>
      </c>
      <c r="Q96" s="75" t="inlineStr">
        <is>
          <t>Mr Juwon</t>
        </is>
      </c>
      <c r="R96" s="75" t="inlineStr">
        <is>
          <t>Receipts exceed register contract value: check for duplicate entries, extra plots or ancillary fees</t>
        </is>
      </c>
    </row>
    <row r="97" ht="25" customHeight="1">
      <c r="A97" s="78" t="inlineStr">
        <is>
          <t>BP-C0081</t>
        </is>
      </c>
      <c r="B97" s="78" t="inlineStr">
        <is>
          <t>Mr Ukachi Godfrey Ndukaku</t>
        </is>
      </c>
      <c r="C97" s="78" t="inlineStr">
        <is>
          <t>8078173804</t>
        </is>
      </c>
      <c r="D97" s="78" t="inlineStr">
        <is>
          <t>bobbyskinnys@gmail.com</t>
        </is>
      </c>
      <c r="E97" s="78" t="inlineStr">
        <is>
          <t>Land</t>
        </is>
      </c>
      <c r="F97" s="78" t="inlineStr">
        <is>
          <t>Green City Phase 2 (Ketu-Epe); Land: ancillary charges</t>
        </is>
      </c>
      <c r="G97" s="79" t="n">
        <v>45363</v>
      </c>
      <c r="H97" s="79" t="n">
        <v>45363</v>
      </c>
      <c r="I97" s="80" t="n">
        <v>1800000</v>
      </c>
      <c r="J97" s="80" t="n">
        <v>1800000</v>
      </c>
      <c r="K97" s="80" t="n">
        <v>0</v>
      </c>
      <c r="L97" s="80" t="n">
        <v>1935000</v>
      </c>
      <c r="M97" s="80" t="n">
        <v>0</v>
      </c>
      <c r="N97" s="80" t="n">
        <v>1935000</v>
      </c>
      <c r="O97" s="78" t="inlineStr">
        <is>
          <t>Client register + Transaction records</t>
        </is>
      </c>
      <c r="P97" s="78" t="inlineStr">
        <is>
          <t>Bought</t>
        </is>
      </c>
      <c r="Q97" s="78" t="inlineStr">
        <is>
          <t>Ms Feyi</t>
        </is>
      </c>
      <c r="R97" s="78" t="inlineStr">
        <is>
          <t>Receipts exceed register contract value: check for duplicate entries, extra plots or ancillary fees</t>
        </is>
      </c>
    </row>
    <row r="98" ht="25" customHeight="1">
      <c r="A98" s="75" t="inlineStr">
        <is>
          <t>BP-C0082</t>
        </is>
      </c>
      <c r="B98" s="75" t="inlineStr">
        <is>
          <t>Mrs Olarewaju Remilekun Mary</t>
        </is>
      </c>
      <c r="C98" s="75" t="inlineStr">
        <is>
          <t>8031992774</t>
        </is>
      </c>
      <c r="D98" s="75" t="inlineStr">
        <is>
          <t>remzybabie@gmail.com</t>
        </is>
      </c>
      <c r="E98" s="75" t="inlineStr">
        <is>
          <t>Land</t>
        </is>
      </c>
      <c r="F98" s="75" t="inlineStr">
        <is>
          <t>Green City Phase 2 (Ketu-Epe)</t>
        </is>
      </c>
      <c r="G98" s="76" t="n">
        <v>45363</v>
      </c>
      <c r="H98" s="76" t="n">
        <v>45363</v>
      </c>
      <c r="I98" s="77" t="n">
        <v>3500000</v>
      </c>
      <c r="J98" s="77" t="n">
        <v>3500000</v>
      </c>
      <c r="K98" s="77" t="n">
        <v>0</v>
      </c>
      <c r="L98" s="77" t="n">
        <v>3500000</v>
      </c>
      <c r="M98" s="77" t="n">
        <v>0</v>
      </c>
      <c r="N98" s="77" t="n">
        <v>3500000</v>
      </c>
      <c r="O98" s="75" t="inlineStr">
        <is>
          <t>Client register + Transaction records</t>
        </is>
      </c>
      <c r="P98" s="75" t="inlineStr">
        <is>
          <t>Bought</t>
        </is>
      </c>
      <c r="Q98" s="75" t="inlineStr">
        <is>
          <t>Mr Juwon</t>
        </is>
      </c>
      <c r="R98" s="75" t="n"/>
    </row>
    <row r="99" ht="25" customHeight="1">
      <c r="A99" s="78" t="inlineStr">
        <is>
          <t>BP-C0083</t>
        </is>
      </c>
      <c r="B99" s="78" t="inlineStr">
        <is>
          <t>Mrs Yohanna Victoria</t>
        </is>
      </c>
      <c r="C99" s="78" t="n"/>
      <c r="D99" s="78" t="n"/>
      <c r="E99" s="78" t="inlineStr">
        <is>
          <t>Land</t>
        </is>
      </c>
      <c r="F99" s="78" t="inlineStr">
        <is>
          <t>Green City Phase 1 (Lantaba, Ketu-Epe)</t>
        </is>
      </c>
      <c r="G99" s="79" t="n"/>
      <c r="H99" s="79" t="n">
        <v>45365</v>
      </c>
      <c r="I99" s="80" t="n">
        <v>0</v>
      </c>
      <c r="J99" s="80" t="n">
        <v>0</v>
      </c>
      <c r="K99" s="80" t="n">
        <v>0</v>
      </c>
      <c r="L99" s="80" t="n">
        <v>3000000</v>
      </c>
      <c r="M99" s="80" t="n">
        <v>0</v>
      </c>
      <c r="N99" s="80" t="n">
        <v>3000000</v>
      </c>
      <c r="O99" s="78" t="inlineStr">
        <is>
          <t>Transaction records</t>
        </is>
      </c>
      <c r="P99" s="78" t="n"/>
      <c r="Q99" s="78" t="n"/>
      <c r="R99" s="78" t="inlineStr">
        <is>
          <t>Not in client register: contract value unknown</t>
        </is>
      </c>
    </row>
    <row r="100" ht="25" customHeight="1">
      <c r="A100" s="75" t="inlineStr">
        <is>
          <t>BP-C0084</t>
        </is>
      </c>
      <c r="B100" s="75" t="inlineStr">
        <is>
          <t>Mr Adegbayemu Ariyo Dennis</t>
        </is>
      </c>
      <c r="C100" s="75" t="inlineStr">
        <is>
          <t>8130147984</t>
        </is>
      </c>
      <c r="D100" s="75" t="inlineStr">
        <is>
          <t>ariyoadegbayemu@gmail.com</t>
        </is>
      </c>
      <c r="E100" s="75" t="inlineStr">
        <is>
          <t>Land</t>
        </is>
      </c>
      <c r="F100" s="75" t="inlineStr">
        <is>
          <t>Green City Phase 2 (Ketu-Epe)</t>
        </is>
      </c>
      <c r="G100" s="76" t="n">
        <v>45376</v>
      </c>
      <c r="H100" s="76" t="n">
        <v>45434</v>
      </c>
      <c r="I100" s="77" t="n">
        <v>7000000</v>
      </c>
      <c r="J100" s="77" t="n">
        <v>7000000</v>
      </c>
      <c r="K100" s="77" t="n">
        <v>0</v>
      </c>
      <c r="L100" s="77" t="n">
        <v>2885000</v>
      </c>
      <c r="M100" s="77" t="n">
        <v>0</v>
      </c>
      <c r="N100" s="77" t="n">
        <v>2885000</v>
      </c>
      <c r="O100" s="75" t="inlineStr">
        <is>
          <t>Client register + Transaction records</t>
        </is>
      </c>
      <c r="P100" s="75" t="inlineStr">
        <is>
          <t>Bought</t>
        </is>
      </c>
      <c r="Q100" s="75" t="inlineStr">
        <is>
          <t>Ms Olayinka Fasuyi</t>
        </is>
      </c>
      <c r="R100" s="75" t="n"/>
    </row>
    <row r="101" ht="25" customHeight="1">
      <c r="A101" s="78" t="inlineStr">
        <is>
          <t>BP-C0085</t>
        </is>
      </c>
      <c r="B101" s="78" t="inlineStr">
        <is>
          <t>Mr Ayokunu Adegbayemu</t>
        </is>
      </c>
      <c r="C101" s="78" t="n"/>
      <c r="D101" s="78" t="n"/>
      <c r="E101" s="78" t="inlineStr">
        <is>
          <t>Land</t>
        </is>
      </c>
      <c r="F101" s="78" t="inlineStr">
        <is>
          <t>Green City Phase 2 (Ketu-Epe)</t>
        </is>
      </c>
      <c r="G101" s="79" t="n"/>
      <c r="H101" s="79" t="n">
        <v>45376</v>
      </c>
      <c r="I101" s="80" t="n">
        <v>0</v>
      </c>
      <c r="J101" s="80" t="n">
        <v>0</v>
      </c>
      <c r="K101" s="80" t="n">
        <v>0</v>
      </c>
      <c r="L101" s="80" t="n">
        <v>1430000</v>
      </c>
      <c r="M101" s="80" t="n">
        <v>0</v>
      </c>
      <c r="N101" s="80" t="n">
        <v>1430000</v>
      </c>
      <c r="O101" s="78" t="inlineStr">
        <is>
          <t>Transaction records</t>
        </is>
      </c>
      <c r="P101" s="78" t="n"/>
      <c r="Q101" s="78" t="n"/>
      <c r="R101" s="78" t="inlineStr">
        <is>
          <t>Not in client register: contract value unknown</t>
        </is>
      </c>
    </row>
    <row r="102" ht="25" customHeight="1">
      <c r="A102" s="75" t="inlineStr">
        <is>
          <t>BP-C0086</t>
        </is>
      </c>
      <c r="B102" s="75" t="inlineStr">
        <is>
          <t>Miss Nwobodo Miriam Chioma</t>
        </is>
      </c>
      <c r="C102" s="75" t="inlineStr">
        <is>
          <t>8109706363</t>
        </is>
      </c>
      <c r="D102" s="75" t="inlineStr">
        <is>
          <t>SENT</t>
        </is>
      </c>
      <c r="E102" s="75" t="inlineStr">
        <is>
          <t>Land</t>
        </is>
      </c>
      <c r="F102" s="75" t="inlineStr">
        <is>
          <t>Green City Phase 1 (Lantaba, Ketu-Epe); Land (estate not stated in source)</t>
        </is>
      </c>
      <c r="G102" s="76" t="n">
        <v>45377</v>
      </c>
      <c r="H102" s="76" t="n">
        <v>45377</v>
      </c>
      <c r="I102" s="77" t="n">
        <v>8300000</v>
      </c>
      <c r="J102" s="77" t="n">
        <v>8300000</v>
      </c>
      <c r="K102" s="77" t="n">
        <v>0</v>
      </c>
      <c r="L102" s="77" t="n">
        <v>6350000</v>
      </c>
      <c r="M102" s="77" t="n">
        <v>0</v>
      </c>
      <c r="N102" s="77" t="n">
        <v>6350000</v>
      </c>
      <c r="O102" s="75" t="inlineStr">
        <is>
          <t>Client register + Transaction records</t>
        </is>
      </c>
      <c r="P102" s="75" t="inlineStr">
        <is>
          <t>Bought</t>
        </is>
      </c>
      <c r="Q102" s="75" t="inlineStr">
        <is>
          <t>MD</t>
        </is>
      </c>
      <c r="R102" s="75" t="n"/>
    </row>
    <row r="103" ht="25" customHeight="1">
      <c r="A103" s="78" t="inlineStr">
        <is>
          <t>BP-C0087</t>
        </is>
      </c>
      <c r="B103" s="78" t="inlineStr">
        <is>
          <t>Mr Okeme Danjuma</t>
        </is>
      </c>
      <c r="C103" s="78" t="inlineStr">
        <is>
          <t>8098482929</t>
        </is>
      </c>
      <c r="D103" s="78" t="inlineStr">
        <is>
          <t>o.christopherd@yahoo.com</t>
        </is>
      </c>
      <c r="E103" s="78" t="inlineStr">
        <is>
          <t>Land</t>
        </is>
      </c>
      <c r="F103" s="78" t="inlineStr">
        <is>
          <t>Green City Phase 2 (Ketu-Epe)</t>
        </is>
      </c>
      <c r="G103" s="79" t="n">
        <v>45385</v>
      </c>
      <c r="H103" s="79" t="n">
        <v>45385</v>
      </c>
      <c r="I103" s="80" t="n">
        <v>4200000</v>
      </c>
      <c r="J103" s="80" t="n">
        <v>4200000</v>
      </c>
      <c r="K103" s="80" t="n">
        <v>0</v>
      </c>
      <c r="L103" s="80" t="n">
        <v>4200000</v>
      </c>
      <c r="M103" s="80" t="n">
        <v>0</v>
      </c>
      <c r="N103" s="80" t="n">
        <v>4200000</v>
      </c>
      <c r="O103" s="78" t="inlineStr">
        <is>
          <t>Client register + Transaction records</t>
        </is>
      </c>
      <c r="P103" s="78" t="inlineStr">
        <is>
          <t>Bought</t>
        </is>
      </c>
      <c r="Q103" s="78" t="inlineStr">
        <is>
          <t>Mr Festus</t>
        </is>
      </c>
      <c r="R103" s="78" t="n"/>
    </row>
    <row r="104" ht="25" customHeight="1">
      <c r="A104" s="75" t="inlineStr">
        <is>
          <t>BP-C0088</t>
        </is>
      </c>
      <c r="B104" s="75" t="inlineStr">
        <is>
          <t>Mr Komolafe Oluwashola Leonard</t>
        </is>
      </c>
      <c r="C104" s="75" t="inlineStr">
        <is>
          <t>8037704778</t>
        </is>
      </c>
      <c r="D104" s="75" t="inlineStr">
        <is>
          <t>falsonleonard080@gmail.com</t>
        </is>
      </c>
      <c r="E104" s="75" t="inlineStr">
        <is>
          <t>Land</t>
        </is>
      </c>
      <c r="F104" s="75" t="inlineStr">
        <is>
          <t>Green City Phase 2 (Ketu-Epe); Land: ancillary charges</t>
        </is>
      </c>
      <c r="G104" s="76" t="n">
        <v>45391</v>
      </c>
      <c r="H104" s="76" t="n">
        <v>45391</v>
      </c>
      <c r="I104" s="77" t="n">
        <v>4200000</v>
      </c>
      <c r="J104" s="77" t="n">
        <v>4200000</v>
      </c>
      <c r="K104" s="77" t="n">
        <v>0</v>
      </c>
      <c r="L104" s="77" t="n">
        <v>4335000</v>
      </c>
      <c r="M104" s="77" t="n">
        <v>0</v>
      </c>
      <c r="N104" s="77" t="n">
        <v>4335000</v>
      </c>
      <c r="O104" s="75" t="inlineStr">
        <is>
          <t>Client register + Transaction records</t>
        </is>
      </c>
      <c r="P104" s="75" t="inlineStr">
        <is>
          <t>Bought</t>
        </is>
      </c>
      <c r="Q104" s="75" t="inlineStr">
        <is>
          <t>Ms Bolanle</t>
        </is>
      </c>
      <c r="R104" s="75" t="inlineStr">
        <is>
          <t>Receipts exceed register contract value: check for duplicate entries, extra plots or ancillary fees</t>
        </is>
      </c>
    </row>
    <row r="105" ht="25" customHeight="1">
      <c r="A105" s="78" t="inlineStr">
        <is>
          <t>BP-C0089</t>
        </is>
      </c>
      <c r="B105" s="78" t="inlineStr">
        <is>
          <t>Mr Lawson Oladele Valentino</t>
        </is>
      </c>
      <c r="C105" s="78" t="inlineStr">
        <is>
          <t>8084784807</t>
        </is>
      </c>
      <c r="D105" s="78" t="inlineStr">
        <is>
          <t>silasdele121@gmail.com</t>
        </is>
      </c>
      <c r="E105" s="78" t="inlineStr">
        <is>
          <t>Land</t>
        </is>
      </c>
      <c r="F105" s="78" t="inlineStr">
        <is>
          <t>Green City Phase 2 (Ketu-Epe); Land: ancillary charges</t>
        </is>
      </c>
      <c r="G105" s="79" t="n">
        <v>45398</v>
      </c>
      <c r="H105" s="79" t="n">
        <v>45398</v>
      </c>
      <c r="I105" s="80" t="n">
        <v>4000000</v>
      </c>
      <c r="J105" s="80" t="n">
        <v>4000000</v>
      </c>
      <c r="K105" s="80" t="n">
        <v>0</v>
      </c>
      <c r="L105" s="80" t="n">
        <v>4135000</v>
      </c>
      <c r="M105" s="80" t="n">
        <v>0</v>
      </c>
      <c r="N105" s="80" t="n">
        <v>4135000</v>
      </c>
      <c r="O105" s="78" t="inlineStr">
        <is>
          <t>Client register + Transaction records</t>
        </is>
      </c>
      <c r="P105" s="78" t="inlineStr">
        <is>
          <t>Bought</t>
        </is>
      </c>
      <c r="Q105" s="78" t="inlineStr">
        <is>
          <t>Mr Ayo</t>
        </is>
      </c>
      <c r="R105" s="78" t="inlineStr">
        <is>
          <t>Receipts exceed register contract value: check for duplicate entries, extra plots or ancillary fees</t>
        </is>
      </c>
    </row>
    <row r="106" ht="25" customHeight="1">
      <c r="A106" s="75" t="inlineStr">
        <is>
          <t>BP-C0090</t>
        </is>
      </c>
      <c r="B106" s="75" t="inlineStr">
        <is>
          <t>Mr Ajiva Lubem Barnabas</t>
        </is>
      </c>
      <c r="C106" s="75" t="inlineStr">
        <is>
          <t>8169064127</t>
        </is>
      </c>
      <c r="D106" s="75" t="inlineStr">
        <is>
          <t>lubemajiva@gmail.com</t>
        </is>
      </c>
      <c r="E106" s="75" t="inlineStr">
        <is>
          <t>Land</t>
        </is>
      </c>
      <c r="F106" s="75" t="inlineStr">
        <is>
          <t>Green City Phase 2 (Idobi, Ketu-Epe); Green City Phase 2 (Ketu-Epe); Land (estate not stated in source); Land: ancillary charges</t>
        </is>
      </c>
      <c r="G106" s="76" t="n">
        <v>45441</v>
      </c>
      <c r="H106" s="76" t="n">
        <v>45409</v>
      </c>
      <c r="I106" s="77" t="n">
        <v>2160000</v>
      </c>
      <c r="J106" s="77" t="n">
        <v>2160000</v>
      </c>
      <c r="K106" s="77" t="n">
        <v>0</v>
      </c>
      <c r="L106" s="77" t="n">
        <v>2295000</v>
      </c>
      <c r="M106" s="77" t="n">
        <v>0</v>
      </c>
      <c r="N106" s="77" t="n">
        <v>2295000</v>
      </c>
      <c r="O106" s="75" t="inlineStr">
        <is>
          <t>Client register + Transaction records</t>
        </is>
      </c>
      <c r="P106" s="75" t="inlineStr">
        <is>
          <t>Bought</t>
        </is>
      </c>
      <c r="Q106" s="75" t="inlineStr">
        <is>
          <t>Ms Olayinka Fasuyi</t>
        </is>
      </c>
      <c r="R106" s="75" t="inlineStr">
        <is>
          <t>Receipts exceed register contract value: check for duplicate entries, extra plots or ancillary fees</t>
        </is>
      </c>
    </row>
    <row r="107" ht="25" customHeight="1">
      <c r="A107" s="78" t="inlineStr">
        <is>
          <t>BP-C0091</t>
        </is>
      </c>
      <c r="B107" s="78" t="inlineStr">
        <is>
          <t>Mr Ojo Olugbenga Daniel &amp; Mrs Ojo Omolola Oyewunmi</t>
        </is>
      </c>
      <c r="C107" s="78" t="inlineStr">
        <is>
          <t>7721719614</t>
        </is>
      </c>
      <c r="D107" s="78" t="inlineStr">
        <is>
          <t>gbengamce@gmail.com</t>
        </is>
      </c>
      <c r="E107" s="78" t="inlineStr">
        <is>
          <t>Land</t>
        </is>
      </c>
      <c r="F107" s="78" t="inlineStr">
        <is>
          <t>Green City Phase 2 (Idobi, Ketu-Epe); Green City Phase 2 (Ketu-Epe); Land: ancillary charges</t>
        </is>
      </c>
      <c r="G107" s="79" t="n">
        <v>45424</v>
      </c>
      <c r="H107" s="79" t="n">
        <v>45424</v>
      </c>
      <c r="I107" s="80" t="n">
        <v>4200000</v>
      </c>
      <c r="J107" s="80" t="n">
        <v>4200000</v>
      </c>
      <c r="K107" s="80" t="n">
        <v>0</v>
      </c>
      <c r="L107" s="80" t="n">
        <v>4335000</v>
      </c>
      <c r="M107" s="80" t="n">
        <v>0</v>
      </c>
      <c r="N107" s="80" t="n">
        <v>4335000</v>
      </c>
      <c r="O107" s="78" t="inlineStr">
        <is>
          <t>Client register + Transaction records</t>
        </is>
      </c>
      <c r="P107" s="78" t="inlineStr">
        <is>
          <t>Bought</t>
        </is>
      </c>
      <c r="Q107" s="78" t="inlineStr">
        <is>
          <t>Ms Abimbola</t>
        </is>
      </c>
      <c r="R107" s="78" t="inlineStr">
        <is>
          <t>Receipts exceed register contract value: check for duplicate entries, extra plots or ancillary fees</t>
        </is>
      </c>
    </row>
    <row r="108" ht="25" customHeight="1">
      <c r="A108" s="75" t="inlineStr">
        <is>
          <t>BP-C0092</t>
        </is>
      </c>
      <c r="B108" s="75" t="inlineStr">
        <is>
          <t>Mr Oriakhi Osemudiamen Peter</t>
        </is>
      </c>
      <c r="C108" s="75" t="inlineStr">
        <is>
          <t>7032875683</t>
        </is>
      </c>
      <c r="D108" s="75" t="inlineStr">
        <is>
          <t>osemudiamenoriakhi@gmail.com</t>
        </is>
      </c>
      <c r="E108" s="75" t="inlineStr">
        <is>
          <t>Land</t>
        </is>
      </c>
      <c r="F108" s="75" t="inlineStr">
        <is>
          <t>Green City Phase 2 (Idobi, Ketu-Epe); Green City Phase 2 (Ketu-Epe); Land (estate not stated in source); Land: ancillary charges</t>
        </is>
      </c>
      <c r="G108" s="76" t="n">
        <v>45429</v>
      </c>
      <c r="H108" s="76" t="n">
        <v>45429</v>
      </c>
      <c r="I108" s="77" t="n">
        <v>4200000</v>
      </c>
      <c r="J108" s="77" t="n">
        <v>4200000</v>
      </c>
      <c r="K108" s="77" t="n">
        <v>0</v>
      </c>
      <c r="L108" s="77" t="n">
        <v>3635000</v>
      </c>
      <c r="M108" s="77" t="n">
        <v>0</v>
      </c>
      <c r="N108" s="77" t="n">
        <v>3635000</v>
      </c>
      <c r="O108" s="75" t="inlineStr">
        <is>
          <t>Client register + Transaction records</t>
        </is>
      </c>
      <c r="P108" s="75" t="inlineStr">
        <is>
          <t>Bought</t>
        </is>
      </c>
      <c r="Q108" s="75" t="inlineStr">
        <is>
          <t>Ms Blessing</t>
        </is>
      </c>
      <c r="R108" s="75" t="n"/>
    </row>
    <row r="109" ht="25" customHeight="1">
      <c r="A109" s="78" t="inlineStr">
        <is>
          <t>BP-C0093</t>
        </is>
      </c>
      <c r="B109" s="78" t="inlineStr">
        <is>
          <t>Mr Okuneye Oluwakayode Oluwaseyi</t>
        </is>
      </c>
      <c r="C109" s="78" t="inlineStr">
        <is>
          <t>8143520076</t>
        </is>
      </c>
      <c r="D109" s="78" t="inlineStr">
        <is>
          <t>okuneyekayode0@gmail.com</t>
        </is>
      </c>
      <c r="E109" s="78" t="inlineStr">
        <is>
          <t>Land</t>
        </is>
      </c>
      <c r="F109" s="78" t="inlineStr">
        <is>
          <t>Green City Phase 2 (Idobi, Ketu-Epe); Green City Phase 2 (Ketu-Epe); Land: ancillary charges</t>
        </is>
      </c>
      <c r="G109" s="79" t="n">
        <v>45433</v>
      </c>
      <c r="H109" s="79" t="n">
        <v>45433</v>
      </c>
      <c r="I109" s="80" t="n">
        <v>2160000</v>
      </c>
      <c r="J109" s="80" t="n">
        <v>2160000</v>
      </c>
      <c r="K109" s="80" t="n">
        <v>0</v>
      </c>
      <c r="L109" s="80" t="n">
        <v>2295000</v>
      </c>
      <c r="M109" s="80" t="n">
        <v>0</v>
      </c>
      <c r="N109" s="80" t="n">
        <v>2295000</v>
      </c>
      <c r="O109" s="78" t="inlineStr">
        <is>
          <t>Client register + Transaction records</t>
        </is>
      </c>
      <c r="P109" s="78" t="inlineStr">
        <is>
          <t>Bought</t>
        </is>
      </c>
      <c r="Q109" s="78" t="inlineStr">
        <is>
          <t>Ms Bolanle</t>
        </is>
      </c>
      <c r="R109" s="78" t="inlineStr">
        <is>
          <t>Receipts exceed register contract value: check for duplicate entries, extra plots or ancillary fees</t>
        </is>
      </c>
    </row>
    <row r="110" ht="25" customHeight="1">
      <c r="A110" s="75" t="inlineStr">
        <is>
          <t>BP-C0094</t>
        </is>
      </c>
      <c r="B110" s="75" t="inlineStr">
        <is>
          <t>Mr Ajayi Oluwadunsin Babatunde</t>
        </is>
      </c>
      <c r="C110" s="75" t="n"/>
      <c r="D110" s="75" t="n"/>
      <c r="E110" s="75" t="inlineStr">
        <is>
          <t>Land</t>
        </is>
      </c>
      <c r="F110" s="75" t="inlineStr">
        <is>
          <t>Green City Phase 2 (Ketu-Epe)</t>
        </is>
      </c>
      <c r="G110" s="76" t="n"/>
      <c r="H110" s="76" t="n">
        <v>45434</v>
      </c>
      <c r="I110" s="77" t="n">
        <v>0</v>
      </c>
      <c r="J110" s="77" t="n">
        <v>0</v>
      </c>
      <c r="K110" s="77" t="n">
        <v>0</v>
      </c>
      <c r="L110" s="77" t="n">
        <v>1000000</v>
      </c>
      <c r="M110" s="77" t="n">
        <v>0</v>
      </c>
      <c r="N110" s="77" t="n">
        <v>1000000</v>
      </c>
      <c r="O110" s="75" t="inlineStr">
        <is>
          <t>Transaction records</t>
        </is>
      </c>
      <c r="P110" s="75" t="n"/>
      <c r="Q110" s="75" t="n"/>
      <c r="R110" s="75" t="inlineStr">
        <is>
          <t>Not in client register: contract value unknown</t>
        </is>
      </c>
    </row>
    <row r="111" ht="25" customHeight="1">
      <c r="A111" s="78" t="inlineStr">
        <is>
          <t>BP-C0095</t>
        </is>
      </c>
      <c r="B111" s="78" t="inlineStr">
        <is>
          <t>Miss Ebhotan Sharon Aisosa</t>
        </is>
      </c>
      <c r="C111" s="78" t="n"/>
      <c r="D111" s="78" t="n"/>
      <c r="E111" s="78" t="inlineStr">
        <is>
          <t>Land</t>
        </is>
      </c>
      <c r="F111" s="78" t="inlineStr">
        <is>
          <t>Green City Phase 2 (Ketu-Epe)</t>
        </is>
      </c>
      <c r="G111" s="79" t="n"/>
      <c r="H111" s="79" t="n">
        <v>45440</v>
      </c>
      <c r="I111" s="80" t="n">
        <v>0</v>
      </c>
      <c r="J111" s="80" t="n">
        <v>0</v>
      </c>
      <c r="K111" s="80" t="n">
        <v>0</v>
      </c>
      <c r="L111" s="80" t="n">
        <v>295000</v>
      </c>
      <c r="M111" s="80" t="n">
        <v>0</v>
      </c>
      <c r="N111" s="80" t="n">
        <v>295000</v>
      </c>
      <c r="O111" s="78" t="inlineStr">
        <is>
          <t>Transaction records</t>
        </is>
      </c>
      <c r="P111" s="78" t="n"/>
      <c r="Q111" s="78" t="n"/>
      <c r="R111" s="78" t="inlineStr">
        <is>
          <t>Not in client register: contract value unknown</t>
        </is>
      </c>
    </row>
    <row r="112" ht="25" customHeight="1">
      <c r="A112" s="75" t="inlineStr">
        <is>
          <t>BP-C0096</t>
        </is>
      </c>
      <c r="B112" s="75" t="inlineStr">
        <is>
          <t>Mrs Lawani Opemipo Oluwatobi Lasode</t>
        </is>
      </c>
      <c r="C112" s="75" t="inlineStr">
        <is>
          <t>8168572880</t>
        </is>
      </c>
      <c r="D112" s="75" t="inlineStr">
        <is>
          <t>lasodeo@yahoo.com</t>
        </is>
      </c>
      <c r="E112" s="75" t="inlineStr">
        <is>
          <t>Land</t>
        </is>
      </c>
      <c r="F112" s="75" t="inlineStr">
        <is>
          <t>Green City Phase 2 (Idobi, Ketu-Epe); Green City Phase 2 (Ketu-Epe); Land (estate not stated in source); Land: ancillary charges</t>
        </is>
      </c>
      <c r="G112" s="76" t="n">
        <v>45452</v>
      </c>
      <c r="H112" s="76" t="n">
        <v>45452</v>
      </c>
      <c r="I112" s="77" t="n">
        <v>2160000</v>
      </c>
      <c r="J112" s="77" t="n">
        <v>2160000</v>
      </c>
      <c r="K112" s="77" t="n">
        <v>0</v>
      </c>
      <c r="L112" s="77" t="n">
        <v>2290000</v>
      </c>
      <c r="M112" s="77" t="n">
        <v>0</v>
      </c>
      <c r="N112" s="77" t="n">
        <v>2290000</v>
      </c>
      <c r="O112" s="75" t="inlineStr">
        <is>
          <t>Client register + Transaction records</t>
        </is>
      </c>
      <c r="P112" s="75" t="inlineStr">
        <is>
          <t>Bought</t>
        </is>
      </c>
      <c r="Q112" s="75" t="inlineStr">
        <is>
          <t>Ms Fisayo</t>
        </is>
      </c>
      <c r="R112" s="75" t="inlineStr">
        <is>
          <t>Receipts exceed register contract value: check for duplicate entries, extra plots or ancillary fees</t>
        </is>
      </c>
    </row>
    <row r="113" ht="25" customHeight="1">
      <c r="A113" s="78" t="inlineStr">
        <is>
          <t>BP-C0097</t>
        </is>
      </c>
      <c r="B113" s="78" t="inlineStr">
        <is>
          <t>Engr Fagbulu Taiwo Olubunmi</t>
        </is>
      </c>
      <c r="C113" s="78" t="inlineStr">
        <is>
          <t>8038180011</t>
        </is>
      </c>
      <c r="D113" s="78" t="inlineStr">
        <is>
          <t>taiwofagbulu@gmail.com</t>
        </is>
      </c>
      <c r="E113" s="78" t="inlineStr">
        <is>
          <t>Land</t>
        </is>
      </c>
      <c r="F113" s="78" t="inlineStr">
        <is>
          <t>Green City Phase 2 (Idobi, Ketu-Epe); Green City Phase 2 (Ketu-Epe); Land (estate not stated in source); Land: ancillary charges</t>
        </is>
      </c>
      <c r="G113" s="79" t="n">
        <v>45454</v>
      </c>
      <c r="H113" s="79" t="n">
        <v>45454</v>
      </c>
      <c r="I113" s="80" t="n">
        <v>4200000</v>
      </c>
      <c r="J113" s="80" t="n">
        <v>4200000</v>
      </c>
      <c r="K113" s="80" t="n">
        <v>0</v>
      </c>
      <c r="L113" s="80" t="n">
        <v>4510000</v>
      </c>
      <c r="M113" s="80" t="n">
        <v>0</v>
      </c>
      <c r="N113" s="80" t="n">
        <v>4510000</v>
      </c>
      <c r="O113" s="78" t="inlineStr">
        <is>
          <t>Client register + Transaction records</t>
        </is>
      </c>
      <c r="P113" s="78" t="inlineStr">
        <is>
          <t>Bought</t>
        </is>
      </c>
      <c r="Q113" s="78" t="inlineStr">
        <is>
          <t>Mr Henry</t>
        </is>
      </c>
      <c r="R113" s="78" t="inlineStr">
        <is>
          <t>Receipts exceed register contract value: check for duplicate entries, extra plots or ancillary fees</t>
        </is>
      </c>
    </row>
    <row r="114" ht="25" customHeight="1">
      <c r="A114" s="75" t="inlineStr">
        <is>
          <t>BP-C0098</t>
        </is>
      </c>
      <c r="B114" s="75" t="inlineStr">
        <is>
          <t>Mr Alli Ifesinachi Innocent</t>
        </is>
      </c>
      <c r="C114" s="75" t="n"/>
      <c r="D114" s="75" t="n"/>
      <c r="E114" s="75" t="inlineStr">
        <is>
          <t>Land</t>
        </is>
      </c>
      <c r="F114" s="75" t="inlineStr">
        <is>
          <t>Land: ancillary charges</t>
        </is>
      </c>
      <c r="G114" s="76" t="n"/>
      <c r="H114" s="76" t="n">
        <v>45454</v>
      </c>
      <c r="I114" s="77" t="n">
        <v>0</v>
      </c>
      <c r="J114" s="77" t="n">
        <v>0</v>
      </c>
      <c r="K114" s="77" t="n">
        <v>0</v>
      </c>
      <c r="L114" s="77" t="n">
        <v>135000</v>
      </c>
      <c r="M114" s="77" t="n">
        <v>0</v>
      </c>
      <c r="N114" s="77" t="n">
        <v>135000</v>
      </c>
      <c r="O114" s="75" t="inlineStr">
        <is>
          <t>Transaction records</t>
        </is>
      </c>
      <c r="P114" s="75" t="n"/>
      <c r="Q114" s="75" t="n"/>
      <c r="R114" s="75" t="inlineStr">
        <is>
          <t>Not in client register: contract value unknown</t>
        </is>
      </c>
    </row>
    <row r="115" ht="25" customHeight="1">
      <c r="A115" s="78" t="inlineStr">
        <is>
          <t>BP-C0099</t>
        </is>
      </c>
      <c r="B115" s="78" t="inlineStr">
        <is>
          <t>Mr Olatunde Adesua Samuel</t>
        </is>
      </c>
      <c r="C115" s="78" t="inlineStr">
        <is>
          <t>9050625278</t>
        </is>
      </c>
      <c r="D115" s="78" t="inlineStr">
        <is>
          <t>SENT</t>
        </is>
      </c>
      <c r="E115" s="78" t="inlineStr">
        <is>
          <t>Land</t>
        </is>
      </c>
      <c r="F115" s="78" t="inlineStr">
        <is>
          <t>Green City Phase 1 (Lantaba, Ketu-Epe); Land: ancillary charges</t>
        </is>
      </c>
      <c r="G115" s="79" t="n">
        <v>45457</v>
      </c>
      <c r="H115" s="79" t="n">
        <v>45454</v>
      </c>
      <c r="I115" s="80" t="n">
        <v>6300000</v>
      </c>
      <c r="J115" s="80" t="n">
        <v>6300000</v>
      </c>
      <c r="K115" s="80" t="n">
        <v>0</v>
      </c>
      <c r="L115" s="80" t="n">
        <v>4755000</v>
      </c>
      <c r="M115" s="80" t="n">
        <v>0</v>
      </c>
      <c r="N115" s="80" t="n">
        <v>4755000</v>
      </c>
      <c r="O115" s="78" t="inlineStr">
        <is>
          <t>Client register + Transaction records</t>
        </is>
      </c>
      <c r="P115" s="78" t="inlineStr">
        <is>
          <t>Bought</t>
        </is>
      </c>
      <c r="Q115" s="78" t="inlineStr">
        <is>
          <t>Ms Adenike</t>
        </is>
      </c>
      <c r="R115" s="78" t="n"/>
    </row>
    <row r="116" ht="25" customHeight="1">
      <c r="A116" s="75" t="inlineStr">
        <is>
          <t>BP-C0100</t>
        </is>
      </c>
      <c r="B116" s="75" t="inlineStr">
        <is>
          <t>Mr Braimoh Ayomide Favour</t>
        </is>
      </c>
      <c r="C116" s="75" t="inlineStr">
        <is>
          <t>12566929341</t>
        </is>
      </c>
      <c r="D116" s="75" t="inlineStr">
        <is>
          <t>braimohayomide005@gmail.com</t>
        </is>
      </c>
      <c r="E116" s="75" t="inlineStr">
        <is>
          <t>Land</t>
        </is>
      </c>
      <c r="F116" s="75" t="inlineStr">
        <is>
          <t>Green City Phase 2 (Idobi, Ketu-Epe); Green City Phase 2 (Ketu-Epe); Land (estate not stated in source); Land: ancillary charges</t>
        </is>
      </c>
      <c r="G116" s="76" t="n">
        <v>45458</v>
      </c>
      <c r="H116" s="76" t="n">
        <v>45458</v>
      </c>
      <c r="I116" s="77" t="n">
        <v>4200000</v>
      </c>
      <c r="J116" s="77" t="n">
        <v>4200000</v>
      </c>
      <c r="K116" s="77" t="n">
        <v>0</v>
      </c>
      <c r="L116" s="77" t="n">
        <v>4340000</v>
      </c>
      <c r="M116" s="77" t="n">
        <v>0</v>
      </c>
      <c r="N116" s="77" t="n">
        <v>4340000</v>
      </c>
      <c r="O116" s="75" t="inlineStr">
        <is>
          <t>Client register + Transaction records</t>
        </is>
      </c>
      <c r="P116" s="75" t="inlineStr">
        <is>
          <t>Bought</t>
        </is>
      </c>
      <c r="Q116" s="75" t="inlineStr">
        <is>
          <t>Ms Mayowa</t>
        </is>
      </c>
      <c r="R116" s="75" t="inlineStr">
        <is>
          <t>Receipts exceed register contract value: check for duplicate entries, extra plots or ancillary fees</t>
        </is>
      </c>
    </row>
    <row r="117" ht="25" customHeight="1">
      <c r="A117" s="78" t="inlineStr">
        <is>
          <t>BP-C0101</t>
        </is>
      </c>
      <c r="B117" s="78" t="inlineStr">
        <is>
          <t>Miss Ojochegbe Success Danjuma</t>
        </is>
      </c>
      <c r="C117" s="78" t="n"/>
      <c r="D117" s="78" t="n"/>
      <c r="E117" s="78" t="inlineStr">
        <is>
          <t>Land</t>
        </is>
      </c>
      <c r="F117" s="78" t="inlineStr">
        <is>
          <t>Land: ancillary charges</t>
        </is>
      </c>
      <c r="G117" s="79" t="n"/>
      <c r="H117" s="79" t="n">
        <v>45463</v>
      </c>
      <c r="I117" s="80" t="n">
        <v>0</v>
      </c>
      <c r="J117" s="80" t="n">
        <v>0</v>
      </c>
      <c r="K117" s="80" t="n">
        <v>0</v>
      </c>
      <c r="L117" s="80" t="n">
        <v>135000</v>
      </c>
      <c r="M117" s="80" t="n">
        <v>0</v>
      </c>
      <c r="N117" s="80" t="n">
        <v>135000</v>
      </c>
      <c r="O117" s="78" t="inlineStr">
        <is>
          <t>Transaction records</t>
        </is>
      </c>
      <c r="P117" s="78" t="n"/>
      <c r="Q117" s="78" t="n"/>
      <c r="R117" s="78" t="inlineStr">
        <is>
          <t>Not in client register: contract value unknown</t>
        </is>
      </c>
    </row>
    <row r="118" ht="25" customHeight="1">
      <c r="A118" s="75" t="inlineStr">
        <is>
          <t>BP-C0102</t>
        </is>
      </c>
      <c r="B118" s="75" t="inlineStr">
        <is>
          <t>Miss Odeyemi Testimony Patricia</t>
        </is>
      </c>
      <c r="C118" s="75" t="inlineStr">
        <is>
          <t>2247048557</t>
        </is>
      </c>
      <c r="D118" s="75" t="inlineStr">
        <is>
          <t>testimonyodeyemi@yahoo.com</t>
        </is>
      </c>
      <c r="E118" s="75" t="inlineStr">
        <is>
          <t>Land</t>
        </is>
      </c>
      <c r="F118" s="75" t="inlineStr">
        <is>
          <t>Green City Phase 2 (Ketu-Epe)</t>
        </is>
      </c>
      <c r="G118" s="76" t="n">
        <v>45464</v>
      </c>
      <c r="H118" s="76" t="n">
        <v>45464</v>
      </c>
      <c r="I118" s="77" t="n">
        <v>5900000</v>
      </c>
      <c r="J118" s="77" t="n">
        <v>1000000</v>
      </c>
      <c r="K118" s="77" t="n">
        <v>0</v>
      </c>
      <c r="L118" s="77" t="n">
        <v>1000000</v>
      </c>
      <c r="M118" s="77" t="n">
        <v>0</v>
      </c>
      <c r="N118" s="77" t="n">
        <v>1000000</v>
      </c>
      <c r="O118" s="75" t="inlineStr">
        <is>
          <t>Client register + Transaction records</t>
        </is>
      </c>
      <c r="P118" s="75" t="inlineStr">
        <is>
          <t>Paying</t>
        </is>
      </c>
      <c r="Q118" s="75" t="inlineStr">
        <is>
          <t>Ms Abimbola</t>
        </is>
      </c>
      <c r="R118" s="75" t="n"/>
    </row>
    <row r="119" ht="25" customHeight="1">
      <c r="A119" s="78" t="inlineStr">
        <is>
          <t>BP-C0103</t>
        </is>
      </c>
      <c r="B119" s="78" t="inlineStr">
        <is>
          <t>Miss Danjuma Ojotule Faith</t>
        </is>
      </c>
      <c r="C119" s="78" t="inlineStr">
        <is>
          <t>8098482929</t>
        </is>
      </c>
      <c r="D119" s="78" t="inlineStr">
        <is>
          <t>o.christopherd@yahoo.com</t>
        </is>
      </c>
      <c r="E119" s="78" t="inlineStr">
        <is>
          <t>Land</t>
        </is>
      </c>
      <c r="F119" s="78" t="inlineStr">
        <is>
          <t>Green City Phase 2 (Idobi, Ketu-Epe); Green City Phase 2 (Ketu-Epe); Land (estate not stated in source)</t>
        </is>
      </c>
      <c r="G119" s="79" t="n">
        <v>45465</v>
      </c>
      <c r="H119" s="79" t="n">
        <v>45465</v>
      </c>
      <c r="I119" s="80" t="n">
        <v>5900000</v>
      </c>
      <c r="J119" s="80" t="n">
        <v>2673000</v>
      </c>
      <c r="K119" s="80" t="n">
        <v>0</v>
      </c>
      <c r="L119" s="80" t="n">
        <v>3000000</v>
      </c>
      <c r="M119" s="80" t="n">
        <v>0</v>
      </c>
      <c r="N119" s="80" t="n">
        <v>3000000</v>
      </c>
      <c r="O119" s="78" t="inlineStr">
        <is>
          <t>Client register + Transaction records</t>
        </is>
      </c>
      <c r="P119" s="78" t="inlineStr">
        <is>
          <t>REFUND</t>
        </is>
      </c>
      <c r="Q119" s="78" t="inlineStr">
        <is>
          <t>Mr Festus</t>
        </is>
      </c>
      <c r="R119" s="78" t="n"/>
    </row>
    <row r="120" ht="25" customHeight="1">
      <c r="A120" s="75" t="inlineStr">
        <is>
          <t>BP-C0104</t>
        </is>
      </c>
      <c r="B120" s="75" t="inlineStr">
        <is>
          <t>Mr Abiodun Olasunkanmi Enoch</t>
        </is>
      </c>
      <c r="C120" s="75" t="inlineStr">
        <is>
          <t>7025874226</t>
        </is>
      </c>
      <c r="D120" s="75" t="inlineStr">
        <is>
          <t>heskay1234@gmail.com</t>
        </is>
      </c>
      <c r="E120" s="75" t="inlineStr">
        <is>
          <t>Land</t>
        </is>
      </c>
      <c r="F120" s="75" t="inlineStr">
        <is>
          <t>Green City Phase 2 (Ketu-Epe)</t>
        </is>
      </c>
      <c r="G120" s="76" t="n">
        <v>45468</v>
      </c>
      <c r="H120" s="76" t="n">
        <v>45468</v>
      </c>
      <c r="I120" s="77" t="n">
        <v>7600000</v>
      </c>
      <c r="J120" s="77" t="n">
        <v>1000000</v>
      </c>
      <c r="K120" s="77" t="n">
        <v>0</v>
      </c>
      <c r="L120" s="77" t="n">
        <v>1000000</v>
      </c>
      <c r="M120" s="77" t="n">
        <v>0</v>
      </c>
      <c r="N120" s="77" t="n">
        <v>1000000</v>
      </c>
      <c r="O120" s="75" t="inlineStr">
        <is>
          <t>Client register + Transaction records</t>
        </is>
      </c>
      <c r="P120" s="75" t="inlineStr">
        <is>
          <t>Paying</t>
        </is>
      </c>
      <c r="Q120" s="75" t="inlineStr">
        <is>
          <t>Ms Abimbola</t>
        </is>
      </c>
      <c r="R120" s="75" t="n"/>
    </row>
    <row r="121" ht="25" customHeight="1">
      <c r="A121" s="78" t="inlineStr">
        <is>
          <t>BP-C0105</t>
        </is>
      </c>
      <c r="B121" s="78" t="inlineStr">
        <is>
          <t>Mr Omodara Addewale</t>
        </is>
      </c>
      <c r="C121" s="78" t="n"/>
      <c r="D121" s="78" t="n"/>
      <c r="E121" s="78" t="inlineStr">
        <is>
          <t>Land</t>
        </is>
      </c>
      <c r="F121" s="78" t="inlineStr">
        <is>
          <t>Land: ancillary charges</t>
        </is>
      </c>
      <c r="G121" s="79" t="n"/>
      <c r="H121" s="79" t="n">
        <v>45473</v>
      </c>
      <c r="I121" s="80" t="n">
        <v>0</v>
      </c>
      <c r="J121" s="80" t="n">
        <v>0</v>
      </c>
      <c r="K121" s="80" t="n">
        <v>0</v>
      </c>
      <c r="L121" s="80" t="n">
        <v>135000</v>
      </c>
      <c r="M121" s="80" t="n">
        <v>0</v>
      </c>
      <c r="N121" s="80" t="n">
        <v>135000</v>
      </c>
      <c r="O121" s="78" t="inlineStr">
        <is>
          <t>Transaction records</t>
        </is>
      </c>
      <c r="P121" s="78" t="n"/>
      <c r="Q121" s="78" t="n"/>
      <c r="R121" s="78" t="inlineStr">
        <is>
          <t>Not in client register: contract value unknown</t>
        </is>
      </c>
    </row>
    <row r="122" ht="25" customHeight="1">
      <c r="A122" s="75" t="inlineStr">
        <is>
          <t>BP-C0106</t>
        </is>
      </c>
      <c r="B122" s="75" t="inlineStr">
        <is>
          <t>Mr Adebowale Pelumi Joseph</t>
        </is>
      </c>
      <c r="C122" s="75" t="n"/>
      <c r="D122" s="75" t="n"/>
      <c r="E122" s="75" t="inlineStr">
        <is>
          <t>Land</t>
        </is>
      </c>
      <c r="F122" s="75" t="inlineStr">
        <is>
          <t>Land: ancillary charges</t>
        </is>
      </c>
      <c r="G122" s="76" t="n"/>
      <c r="H122" s="76" t="n">
        <v>45477</v>
      </c>
      <c r="I122" s="77" t="n">
        <v>0</v>
      </c>
      <c r="J122" s="77" t="n">
        <v>0</v>
      </c>
      <c r="K122" s="77" t="n">
        <v>0</v>
      </c>
      <c r="L122" s="77" t="n">
        <v>135000</v>
      </c>
      <c r="M122" s="77" t="n">
        <v>0</v>
      </c>
      <c r="N122" s="77" t="n">
        <v>135000</v>
      </c>
      <c r="O122" s="75" t="inlineStr">
        <is>
          <t>Transaction records</t>
        </is>
      </c>
      <c r="P122" s="75" t="n"/>
      <c r="Q122" s="75" t="n"/>
      <c r="R122" s="75" t="inlineStr">
        <is>
          <t>Not in client register: contract value unknown</t>
        </is>
      </c>
    </row>
    <row r="123" ht="25" customHeight="1">
      <c r="A123" s="78" t="inlineStr">
        <is>
          <t>BP-C0107</t>
        </is>
      </c>
      <c r="B123" s="78" t="inlineStr">
        <is>
          <t>Mr Salaudeen Baqi Boladale</t>
        </is>
      </c>
      <c r="C123" s="78" t="inlineStr">
        <is>
          <t>9090499577</t>
        </is>
      </c>
      <c r="D123" s="78" t="inlineStr">
        <is>
          <t>salaudeenbakkey777@gmail.com</t>
        </is>
      </c>
      <c r="E123" s="78" t="inlineStr">
        <is>
          <t>Land</t>
        </is>
      </c>
      <c r="F123" s="78" t="inlineStr">
        <is>
          <t>Heritage Garden</t>
        </is>
      </c>
      <c r="G123" s="79" t="n">
        <v>45482</v>
      </c>
      <c r="H123" s="79" t="n"/>
      <c r="I123" s="80" t="n">
        <v>495000</v>
      </c>
      <c r="J123" s="80" t="n">
        <v>495000</v>
      </c>
      <c r="K123" s="80" t="n">
        <v>0</v>
      </c>
      <c r="L123" s="80" t="n">
        <v>0</v>
      </c>
      <c r="M123" s="80" t="n">
        <v>0</v>
      </c>
      <c r="N123" s="80" t="n">
        <v>0</v>
      </c>
      <c r="O123" s="78" t="inlineStr">
        <is>
          <t>Client register</t>
        </is>
      </c>
      <c r="P123" s="78" t="inlineStr">
        <is>
          <t>Bought</t>
        </is>
      </c>
      <c r="Q123" s="78" t="inlineStr">
        <is>
          <t>Mr Baqi</t>
        </is>
      </c>
      <c r="R123" s="78" t="n"/>
    </row>
    <row r="124" ht="25" customHeight="1">
      <c r="A124" s="75" t="inlineStr">
        <is>
          <t>BP-C0108</t>
        </is>
      </c>
      <c r="B124" s="75" t="inlineStr">
        <is>
          <t>Mr Salawudeen Baqi Boladele</t>
        </is>
      </c>
      <c r="C124" s="75" t="n"/>
      <c r="D124" s="75" t="n"/>
      <c r="E124" s="75" t="inlineStr">
        <is>
          <t>Land</t>
        </is>
      </c>
      <c r="F124" s="75" t="inlineStr">
        <is>
          <t>Heritage Garden</t>
        </is>
      </c>
      <c r="G124" s="76" t="n"/>
      <c r="H124" s="76" t="n">
        <v>45482</v>
      </c>
      <c r="I124" s="77" t="n">
        <v>0</v>
      </c>
      <c r="J124" s="77" t="n">
        <v>0</v>
      </c>
      <c r="K124" s="77" t="n">
        <v>0</v>
      </c>
      <c r="L124" s="77" t="n">
        <v>350000</v>
      </c>
      <c r="M124" s="77" t="n">
        <v>0</v>
      </c>
      <c r="N124" s="77" t="n">
        <v>350000</v>
      </c>
      <c r="O124" s="75" t="inlineStr">
        <is>
          <t>Transaction records</t>
        </is>
      </c>
      <c r="P124" s="75" t="n"/>
      <c r="Q124" s="75" t="n"/>
      <c r="R124" s="75" t="inlineStr">
        <is>
          <t>Not in client register: contract value unknown</t>
        </is>
      </c>
    </row>
    <row r="125" ht="25" customHeight="1">
      <c r="A125" s="78" t="inlineStr">
        <is>
          <t>BP-C0109</t>
        </is>
      </c>
      <c r="B125" s="78" t="inlineStr">
        <is>
          <t>Dr Okeyedun Taiwo Akinbami</t>
        </is>
      </c>
      <c r="C125" s="78" t="inlineStr">
        <is>
          <t>15879377761, 08165662400</t>
        </is>
      </c>
      <c r="D125" s="78" t="inlineStr">
        <is>
          <t>okeyedunt@gmail.com</t>
        </is>
      </c>
      <c r="E125" s="78" t="inlineStr">
        <is>
          <t>Land</t>
        </is>
      </c>
      <c r="F125" s="78" t="inlineStr">
        <is>
          <t>Green City Phase 3 (Omu-Epe)</t>
        </is>
      </c>
      <c r="G125" s="79" t="n">
        <v>45492</v>
      </c>
      <c r="H125" s="79" t="n">
        <v>45492</v>
      </c>
      <c r="I125" s="80" t="n">
        <v>2400000</v>
      </c>
      <c r="J125" s="80" t="n">
        <v>300000</v>
      </c>
      <c r="K125" s="80" t="n">
        <v>0</v>
      </c>
      <c r="L125" s="80" t="n">
        <v>300000</v>
      </c>
      <c r="M125" s="80" t="n">
        <v>0</v>
      </c>
      <c r="N125" s="80" t="n">
        <v>300000</v>
      </c>
      <c r="O125" s="78" t="inlineStr">
        <is>
          <t>Client register + Transaction records</t>
        </is>
      </c>
      <c r="P125" s="78" t="inlineStr">
        <is>
          <t>Paying</t>
        </is>
      </c>
      <c r="Q125" s="78" t="inlineStr">
        <is>
          <t>MD</t>
        </is>
      </c>
      <c r="R125" s="78" t="n"/>
    </row>
    <row r="126" ht="25" customHeight="1">
      <c r="A126" s="75" t="inlineStr">
        <is>
          <t>BP-C0110</t>
        </is>
      </c>
      <c r="B126" s="75" t="inlineStr">
        <is>
          <t>Mr Adeyemi Kayode</t>
        </is>
      </c>
      <c r="C126" s="75" t="inlineStr">
        <is>
          <t>9080350279</t>
        </is>
      </c>
      <c r="D126" s="75" t="inlineStr">
        <is>
          <t>k4y0d3@hotmail.com</t>
        </is>
      </c>
      <c r="E126" s="75" t="inlineStr">
        <is>
          <t>Land</t>
        </is>
      </c>
      <c r="F126" s="75" t="inlineStr">
        <is>
          <t>Green City Phase 3 (Omu-Epe); Land (estate not stated in source); Land: ancillary charges</t>
        </is>
      </c>
      <c r="G126" s="76" t="n">
        <v>45496</v>
      </c>
      <c r="H126" s="76" t="n">
        <v>45496</v>
      </c>
      <c r="I126" s="77" t="n">
        <v>3800000</v>
      </c>
      <c r="J126" s="77" t="n">
        <v>3800000</v>
      </c>
      <c r="K126" s="77" t="n">
        <v>0</v>
      </c>
      <c r="L126" s="77" t="n">
        <v>7735000</v>
      </c>
      <c r="M126" s="77" t="n">
        <v>0</v>
      </c>
      <c r="N126" s="77" t="n">
        <v>7735000</v>
      </c>
      <c r="O126" s="75" t="inlineStr">
        <is>
          <t>Client register + Transaction records</t>
        </is>
      </c>
      <c r="P126" s="75" t="inlineStr">
        <is>
          <t>Bought</t>
        </is>
      </c>
      <c r="Q126" s="75" t="inlineStr">
        <is>
          <t>Ms Bola</t>
        </is>
      </c>
      <c r="R126" s="75" t="inlineStr">
        <is>
          <t>Receipts exceed register contract value: check for duplicate entries, extra plots or ancillary fees</t>
        </is>
      </c>
    </row>
    <row r="127" ht="25" customHeight="1">
      <c r="A127" s="78" t="inlineStr">
        <is>
          <t>BP-C0111</t>
        </is>
      </c>
      <c r="B127" s="78" t="inlineStr">
        <is>
          <t>Mr Adenuga Lukman Ebenezer</t>
        </is>
      </c>
      <c r="C127" s="78" t="inlineStr">
        <is>
          <t>08162114151, +447876896057</t>
        </is>
      </c>
      <c r="D127" s="78" t="inlineStr">
        <is>
          <t>dammiep@gmail.com</t>
        </is>
      </c>
      <c r="E127" s="78" t="inlineStr">
        <is>
          <t>Land</t>
        </is>
      </c>
      <c r="F127" s="78" t="inlineStr">
        <is>
          <t>Green City Phase 3 (Omu-Epe); Land: ancillary charges</t>
        </is>
      </c>
      <c r="G127" s="79" t="n">
        <v>45506</v>
      </c>
      <c r="H127" s="79" t="n">
        <v>45506</v>
      </c>
      <c r="I127" s="80" t="n">
        <v>1860000</v>
      </c>
      <c r="J127" s="80" t="n">
        <v>1860000</v>
      </c>
      <c r="K127" s="80" t="n">
        <v>0</v>
      </c>
      <c r="L127" s="80" t="n">
        <v>1995000</v>
      </c>
      <c r="M127" s="80" t="n">
        <v>0</v>
      </c>
      <c r="N127" s="80" t="n">
        <v>1995000</v>
      </c>
      <c r="O127" s="78" t="inlineStr">
        <is>
          <t>Client register + Transaction records</t>
        </is>
      </c>
      <c r="P127" s="78" t="inlineStr">
        <is>
          <t>Bought</t>
        </is>
      </c>
      <c r="Q127" s="78" t="inlineStr">
        <is>
          <t>Ms Adenike</t>
        </is>
      </c>
      <c r="R127" s="78" t="inlineStr">
        <is>
          <t>Receipts exceed register contract value: check for duplicate entries, extra plots or ancillary fees</t>
        </is>
      </c>
    </row>
    <row r="128" ht="25" customHeight="1">
      <c r="A128" s="75" t="inlineStr">
        <is>
          <t>BP-C0112</t>
        </is>
      </c>
      <c r="B128" s="75" t="inlineStr">
        <is>
          <t>Mr Lawson Albert Olumide</t>
        </is>
      </c>
      <c r="C128" s="75" t="inlineStr">
        <is>
          <t>8035089300</t>
        </is>
      </c>
      <c r="D128" s="75" t="inlineStr">
        <is>
          <t>SENT</t>
        </is>
      </c>
      <c r="E128" s="75" t="inlineStr">
        <is>
          <t>Housing</t>
        </is>
      </c>
      <c r="F128" s="75" t="inlineStr">
        <is>
          <t>Housing unit (project not stated in source); Pacific Court</t>
        </is>
      </c>
      <c r="G128" s="76" t="n">
        <v>45512</v>
      </c>
      <c r="H128" s="76" t="n">
        <v>45512</v>
      </c>
      <c r="I128" s="77" t="n">
        <v>55000000</v>
      </c>
      <c r="J128" s="77" t="n">
        <v>0</v>
      </c>
      <c r="K128" s="77" t="n">
        <v>0</v>
      </c>
      <c r="L128" s="77" t="n">
        <v>55000000</v>
      </c>
      <c r="M128" s="77" t="n">
        <v>0</v>
      </c>
      <c r="N128" s="77" t="n">
        <v>55000000</v>
      </c>
      <c r="O128" s="75" t="inlineStr">
        <is>
          <t>Client register + Transaction records</t>
        </is>
      </c>
      <c r="P128" s="75" t="inlineStr">
        <is>
          <t>PAID</t>
        </is>
      </c>
      <c r="Q128" s="75" t="inlineStr">
        <is>
          <t>Mr Ayo</t>
        </is>
      </c>
      <c r="R128" s="75" t="n"/>
    </row>
    <row r="129" ht="25" customHeight="1">
      <c r="A129" s="78" t="inlineStr">
        <is>
          <t>BP-C0113</t>
        </is>
      </c>
      <c r="B129" s="78" t="inlineStr">
        <is>
          <t>Mr Udoezi Paul</t>
        </is>
      </c>
      <c r="C129" s="78" t="inlineStr">
        <is>
          <t>393510025679</t>
        </is>
      </c>
      <c r="D129" s="78" t="inlineStr">
        <is>
          <t>paludoezi10@gmail.com</t>
        </is>
      </c>
      <c r="E129" s="78" t="inlineStr">
        <is>
          <t>Land</t>
        </is>
      </c>
      <c r="F129" s="78" t="inlineStr">
        <is>
          <t>Green City Phase 3 (Omu-Epe)</t>
        </is>
      </c>
      <c r="G129" s="79" t="n">
        <v>45516</v>
      </c>
      <c r="H129" s="79" t="n">
        <v>45516</v>
      </c>
      <c r="I129" s="80" t="n">
        <v>3800000</v>
      </c>
      <c r="J129" s="80" t="n">
        <v>500000</v>
      </c>
      <c r="K129" s="80" t="n">
        <v>0</v>
      </c>
      <c r="L129" s="80" t="n">
        <v>500000</v>
      </c>
      <c r="M129" s="80" t="n">
        <v>0</v>
      </c>
      <c r="N129" s="80" t="n">
        <v>500000</v>
      </c>
      <c r="O129" s="78" t="inlineStr">
        <is>
          <t>Client register + Transaction records</t>
        </is>
      </c>
      <c r="P129" s="78" t="inlineStr">
        <is>
          <t>Paying</t>
        </is>
      </c>
      <c r="Q129" s="78" t="inlineStr">
        <is>
          <t>Ms Blessing</t>
        </is>
      </c>
      <c r="R129" s="78" t="n"/>
    </row>
    <row r="130" ht="25" customHeight="1">
      <c r="A130" s="75" t="inlineStr">
        <is>
          <t>BP-C0114</t>
        </is>
      </c>
      <c r="B130" s="75" t="inlineStr">
        <is>
          <t>Miss Ohaego Ijeoma Goodness</t>
        </is>
      </c>
      <c r="C130" s="75" t="inlineStr">
        <is>
          <t>08150836083, 971589863630 09026912389</t>
        </is>
      </c>
      <c r="D130" s="75" t="inlineStr">
        <is>
          <t>ohaegoijeoma@gmail.com</t>
        </is>
      </c>
      <c r="E130" s="75" t="inlineStr">
        <is>
          <t>Land</t>
        </is>
      </c>
      <c r="F130" s="75" t="inlineStr">
        <is>
          <t>Green City Phase 3 (Omu-Epe); Land (estate not stated in source); Land: ancillary charges</t>
        </is>
      </c>
      <c r="G130" s="76" t="n">
        <v>45520</v>
      </c>
      <c r="H130" s="76" t="n">
        <v>45520</v>
      </c>
      <c r="I130" s="77" t="n">
        <v>3800000</v>
      </c>
      <c r="J130" s="77" t="n">
        <v>3800000</v>
      </c>
      <c r="K130" s="77" t="n">
        <v>0</v>
      </c>
      <c r="L130" s="77" t="n">
        <v>4402000</v>
      </c>
      <c r="M130" s="77" t="n">
        <v>0</v>
      </c>
      <c r="N130" s="77" t="n">
        <v>4402000</v>
      </c>
      <c r="O130" s="75" t="inlineStr">
        <is>
          <t>Client register + Transaction records</t>
        </is>
      </c>
      <c r="P130" s="75" t="inlineStr">
        <is>
          <t>Bought</t>
        </is>
      </c>
      <c r="Q130" s="75" t="inlineStr">
        <is>
          <t>Ms Oji Blessing</t>
        </is>
      </c>
      <c r="R130" s="75" t="inlineStr">
        <is>
          <t>Receipts exceed register contract value: check for duplicate entries, extra plots or ancillary fees</t>
        </is>
      </c>
    </row>
    <row r="131" ht="25" customHeight="1">
      <c r="A131" s="78" t="inlineStr">
        <is>
          <t>BP-C0115</t>
        </is>
      </c>
      <c r="B131" s="78" t="inlineStr">
        <is>
          <t>Mrs King Lavonda (LAVONDA RENA KING FAMILY &amp; TOCHUWKU CHRISTIAN EJIOFOR</t>
        </is>
      </c>
      <c r="C131" s="78" t="inlineStr">
        <is>
          <t>02144638460</t>
        </is>
      </c>
      <c r="D131" s="78" t="inlineStr">
        <is>
          <t>3kingsleasing@gmail.com</t>
        </is>
      </c>
      <c r="E131" s="78" t="inlineStr">
        <is>
          <t>Land</t>
        </is>
      </c>
      <c r="F131" s="78" t="inlineStr">
        <is>
          <t>Green City Phase 3 (Omu-Epe); Land: ancillary charges</t>
        </is>
      </c>
      <c r="G131" s="79" t="n">
        <v>45521</v>
      </c>
      <c r="H131" s="79" t="n">
        <v>45521</v>
      </c>
      <c r="I131" s="80" t="n">
        <v>3800000</v>
      </c>
      <c r="J131" s="80" t="n">
        <v>3800000</v>
      </c>
      <c r="K131" s="80" t="n">
        <v>0</v>
      </c>
      <c r="L131" s="80" t="n">
        <v>3935000</v>
      </c>
      <c r="M131" s="80" t="n">
        <v>0</v>
      </c>
      <c r="N131" s="80" t="n">
        <v>3935000</v>
      </c>
      <c r="O131" s="78" t="inlineStr">
        <is>
          <t>Client register + Transaction records</t>
        </is>
      </c>
      <c r="P131" s="78" t="inlineStr">
        <is>
          <t>Bought</t>
        </is>
      </c>
      <c r="Q131" s="78" t="inlineStr">
        <is>
          <t>Mrs Abimbola</t>
        </is>
      </c>
      <c r="R131" s="78" t="inlineStr">
        <is>
          <t>Receipts exceed register contract value: check for duplicate entries, extra plots or ancillary fees</t>
        </is>
      </c>
    </row>
    <row r="132" ht="25" customHeight="1">
      <c r="A132" s="75" t="inlineStr">
        <is>
          <t>BP-C0116</t>
        </is>
      </c>
      <c r="B132" s="75" t="inlineStr">
        <is>
          <t>Miss Okorie Rachael Mmesomachi</t>
        </is>
      </c>
      <c r="C132" s="75" t="inlineStr">
        <is>
          <t>09025863980, 971552581706</t>
        </is>
      </c>
      <c r="D132" s="75" t="inlineStr">
        <is>
          <t>okorierachael2019@gmail.com</t>
        </is>
      </c>
      <c r="E132" s="75" t="inlineStr">
        <is>
          <t>Land</t>
        </is>
      </c>
      <c r="F132" s="75" t="inlineStr">
        <is>
          <t>Green City Phase 3 (Omu-Epe); Land: ancillary charges</t>
        </is>
      </c>
      <c r="G132" s="76" t="n">
        <v>45522</v>
      </c>
      <c r="H132" s="76" t="n">
        <v>45522</v>
      </c>
      <c r="I132" s="77" t="n">
        <v>3800000</v>
      </c>
      <c r="J132" s="77" t="n">
        <v>3800000</v>
      </c>
      <c r="K132" s="77" t="n">
        <v>0</v>
      </c>
      <c r="L132" s="77" t="n">
        <v>3935000</v>
      </c>
      <c r="M132" s="77" t="n">
        <v>0</v>
      </c>
      <c r="N132" s="77" t="n">
        <v>3935000</v>
      </c>
      <c r="O132" s="75" t="inlineStr">
        <is>
          <t>Client register + Transaction records</t>
        </is>
      </c>
      <c r="P132" s="75" t="inlineStr">
        <is>
          <t>Bought</t>
        </is>
      </c>
      <c r="Q132" s="75" t="inlineStr">
        <is>
          <t>Ms Oji Blessing</t>
        </is>
      </c>
      <c r="R132" s="75" t="inlineStr">
        <is>
          <t>Receipts exceed register contract value: check for duplicate entries, extra plots or ancillary fees</t>
        </is>
      </c>
    </row>
    <row r="133" ht="25" customHeight="1">
      <c r="A133" s="78" t="inlineStr">
        <is>
          <t>BP-C0117</t>
        </is>
      </c>
      <c r="B133" s="78" t="inlineStr">
        <is>
          <t>Mr Ikechukwu Jeremiah Kingsley</t>
        </is>
      </c>
      <c r="C133" s="78" t="n"/>
      <c r="D133" s="78" t="n"/>
      <c r="E133" s="78" t="inlineStr">
        <is>
          <t>Land</t>
        </is>
      </c>
      <c r="F133" s="78" t="inlineStr">
        <is>
          <t>Green City Phase 3 (Omu-Epe)</t>
        </is>
      </c>
      <c r="G133" s="79" t="n"/>
      <c r="H133" s="79" t="n">
        <v>45527</v>
      </c>
      <c r="I133" s="80" t="n">
        <v>0</v>
      </c>
      <c r="J133" s="80" t="n">
        <v>0</v>
      </c>
      <c r="K133" s="80" t="n">
        <v>0</v>
      </c>
      <c r="L133" s="80" t="n">
        <v>2000000</v>
      </c>
      <c r="M133" s="80" t="n">
        <v>0</v>
      </c>
      <c r="N133" s="80" t="n">
        <v>2000000</v>
      </c>
      <c r="O133" s="78" t="inlineStr">
        <is>
          <t>Transaction records</t>
        </is>
      </c>
      <c r="P133" s="78" t="n"/>
      <c r="Q133" s="78" t="n"/>
      <c r="R133" s="78" t="inlineStr">
        <is>
          <t>Not in client register: contract value unknown</t>
        </is>
      </c>
    </row>
    <row r="134" ht="25" customHeight="1">
      <c r="A134" s="75" t="inlineStr">
        <is>
          <t>BP-C0118</t>
        </is>
      </c>
      <c r="B134" s="75" t="inlineStr">
        <is>
          <t>Pastor Ikechukwu Kingsley &amp; Deaconess Ikechukwu Rose Uju</t>
        </is>
      </c>
      <c r="C134" s="75" t="inlineStr">
        <is>
          <t>07067925840, 08066220348</t>
        </is>
      </c>
      <c r="D134" s="75" t="inlineStr">
        <is>
          <t>jeremiahikechukwu28@gmail.com</t>
        </is>
      </c>
      <c r="E134" s="75" t="inlineStr">
        <is>
          <t>Land</t>
        </is>
      </c>
      <c r="F134" s="75" t="inlineStr">
        <is>
          <t>Green City Phase 3 (Omu-Epe); Land (estate not stated in source)</t>
        </is>
      </c>
      <c r="G134" s="76" t="n">
        <v>45527</v>
      </c>
      <c r="H134" s="76" t="n">
        <v>45560</v>
      </c>
      <c r="I134" s="77" t="n">
        <v>3800000</v>
      </c>
      <c r="J134" s="77" t="n">
        <v>3800000</v>
      </c>
      <c r="K134" s="77" t="n">
        <v>0</v>
      </c>
      <c r="L134" s="77" t="n">
        <v>1800000</v>
      </c>
      <c r="M134" s="77" t="n">
        <v>0</v>
      </c>
      <c r="N134" s="77" t="n">
        <v>1800000</v>
      </c>
      <c r="O134" s="75" t="inlineStr">
        <is>
          <t>Client register + Transaction records</t>
        </is>
      </c>
      <c r="P134" s="75" t="inlineStr">
        <is>
          <t>Bought</t>
        </is>
      </c>
      <c r="Q134" s="75" t="inlineStr">
        <is>
          <t>Ms Adenike</t>
        </is>
      </c>
      <c r="R134" s="75" t="n"/>
    </row>
    <row r="135" ht="25" customHeight="1">
      <c r="A135" s="78" t="inlineStr">
        <is>
          <t>BP-C0119</t>
        </is>
      </c>
      <c r="B135" s="78" t="inlineStr">
        <is>
          <t>Mr Adedapo Adekunle Solomon</t>
        </is>
      </c>
      <c r="C135" s="78" t="inlineStr">
        <is>
          <t>8087596205</t>
        </is>
      </c>
      <c r="D135" s="78" t="inlineStr">
        <is>
          <t>adedaposolomon4@gmail.com</t>
        </is>
      </c>
      <c r="E135" s="78" t="inlineStr">
        <is>
          <t>Land</t>
        </is>
      </c>
      <c r="F135" s="78" t="inlineStr">
        <is>
          <t>Green City Phase 3 (Omu-Epe); Land (estate not stated in source); Land: ancillary charges</t>
        </is>
      </c>
      <c r="G135" s="79" t="n">
        <v>45532</v>
      </c>
      <c r="H135" s="79" t="n">
        <v>45532</v>
      </c>
      <c r="I135" s="80" t="n">
        <v>5000000</v>
      </c>
      <c r="J135" s="80" t="n">
        <v>5000000</v>
      </c>
      <c r="K135" s="80" t="n">
        <v>0</v>
      </c>
      <c r="L135" s="80" t="n">
        <v>5135000</v>
      </c>
      <c r="M135" s="80" t="n">
        <v>0</v>
      </c>
      <c r="N135" s="80" t="n">
        <v>5135000</v>
      </c>
      <c r="O135" s="78" t="inlineStr">
        <is>
          <t>Client register + Transaction records</t>
        </is>
      </c>
      <c r="P135" s="78" t="inlineStr">
        <is>
          <t>Bought</t>
        </is>
      </c>
      <c r="Q135" s="78" t="inlineStr">
        <is>
          <t>Ms Taiwo</t>
        </is>
      </c>
      <c r="R135" s="78" t="inlineStr">
        <is>
          <t>Receipts exceed register contract value: check for duplicate entries, extra plots or ancillary fees</t>
        </is>
      </c>
    </row>
    <row r="136" ht="25" customHeight="1">
      <c r="A136" s="75" t="inlineStr">
        <is>
          <t>BP-C0120</t>
        </is>
      </c>
      <c r="B136" s="75" t="inlineStr">
        <is>
          <t>Mr Olusegun Dare Michael</t>
        </is>
      </c>
      <c r="C136" s="75" t="n"/>
      <c r="D136" s="75" t="n"/>
      <c r="E136" s="75" t="inlineStr">
        <is>
          <t>Land</t>
        </is>
      </c>
      <c r="F136" s="75" t="inlineStr">
        <is>
          <t>Green City Phase 3 (Omu-Epe); Land: ancillary charges</t>
        </is>
      </c>
      <c r="G136" s="76" t="n"/>
      <c r="H136" s="76" t="n">
        <v>45538</v>
      </c>
      <c r="I136" s="77" t="n">
        <v>0</v>
      </c>
      <c r="J136" s="77" t="n">
        <v>0</v>
      </c>
      <c r="K136" s="77" t="n">
        <v>0</v>
      </c>
      <c r="L136" s="77" t="n">
        <v>4635000</v>
      </c>
      <c r="M136" s="77" t="n">
        <v>0</v>
      </c>
      <c r="N136" s="77" t="n">
        <v>4635000</v>
      </c>
      <c r="O136" s="75" t="inlineStr">
        <is>
          <t>Transaction records</t>
        </is>
      </c>
      <c r="P136" s="75" t="n"/>
      <c r="Q136" s="75" t="n"/>
      <c r="R136" s="75" t="inlineStr">
        <is>
          <t>Not in client register: contract value unknown</t>
        </is>
      </c>
    </row>
    <row r="137" ht="25" customHeight="1">
      <c r="A137" s="78" t="inlineStr">
        <is>
          <t>BP-C0121</t>
        </is>
      </c>
      <c r="B137" s="78" t="inlineStr">
        <is>
          <t>Mr Nweze Valentine Oluebube</t>
        </is>
      </c>
      <c r="C137" s="78" t="inlineStr">
        <is>
          <t>8020600519, 09036119426</t>
        </is>
      </c>
      <c r="D137" s="78" t="inlineStr">
        <is>
          <t>nwezevalentineoluebube@gmail.com</t>
        </is>
      </c>
      <c r="E137" s="78" t="inlineStr">
        <is>
          <t>Land</t>
        </is>
      </c>
      <c r="F137" s="78" t="inlineStr">
        <is>
          <t>Green City Phase 3 (Omu-Epe); Land: ancillary charges</t>
        </is>
      </c>
      <c r="G137" s="79" t="n">
        <v>45544</v>
      </c>
      <c r="H137" s="79" t="n">
        <v>45543</v>
      </c>
      <c r="I137" s="80" t="n">
        <v>5000000</v>
      </c>
      <c r="J137" s="80" t="n">
        <v>5000000</v>
      </c>
      <c r="K137" s="80" t="n">
        <v>0</v>
      </c>
      <c r="L137" s="80" t="n">
        <v>5135000</v>
      </c>
      <c r="M137" s="80" t="n">
        <v>0</v>
      </c>
      <c r="N137" s="80" t="n">
        <v>5135000</v>
      </c>
      <c r="O137" s="78" t="inlineStr">
        <is>
          <t>Client register + Transaction records</t>
        </is>
      </c>
      <c r="P137" s="78" t="inlineStr">
        <is>
          <t>Bought</t>
        </is>
      </c>
      <c r="Q137" s="78" t="inlineStr">
        <is>
          <t>Ms Bolanle</t>
        </is>
      </c>
      <c r="R137" s="78" t="inlineStr">
        <is>
          <t>Receipts exceed register contract value: check for duplicate entries, extra plots or ancillary fees</t>
        </is>
      </c>
    </row>
    <row r="138" ht="25" customHeight="1">
      <c r="A138" s="75" t="inlineStr">
        <is>
          <t>BP-C0122</t>
        </is>
      </c>
      <c r="B138" s="75" t="inlineStr">
        <is>
          <t>Mr Olusegun Dare Micheal</t>
        </is>
      </c>
      <c r="C138" s="75" t="inlineStr">
        <is>
          <t>7034383167</t>
        </is>
      </c>
      <c r="D138" s="75" t="inlineStr">
        <is>
          <t>michaelolusegun990@gmail.com</t>
        </is>
      </c>
      <c r="E138" s="75" t="inlineStr">
        <is>
          <t>Land</t>
        </is>
      </c>
      <c r="F138" s="75" t="inlineStr">
        <is>
          <t>Green City Phase 3 (Omu-Epe)</t>
        </is>
      </c>
      <c r="G138" s="76" t="n">
        <v>45544</v>
      </c>
      <c r="H138" s="76" t="n"/>
      <c r="I138" s="77" t="n">
        <v>4500000</v>
      </c>
      <c r="J138" s="77" t="n">
        <v>4500000</v>
      </c>
      <c r="K138" s="77" t="n">
        <v>0</v>
      </c>
      <c r="L138" s="77" t="n">
        <v>0</v>
      </c>
      <c r="M138" s="77" t="n">
        <v>0</v>
      </c>
      <c r="N138" s="77" t="n">
        <v>0</v>
      </c>
      <c r="O138" s="75" t="inlineStr">
        <is>
          <t>Client register</t>
        </is>
      </c>
      <c r="P138" s="75" t="inlineStr">
        <is>
          <t>Bought</t>
        </is>
      </c>
      <c r="Q138" s="75" t="inlineStr">
        <is>
          <t>Ms Bolanle</t>
        </is>
      </c>
      <c r="R138" s="75" t="n"/>
    </row>
    <row r="139" ht="25" customHeight="1">
      <c r="A139" s="78" t="inlineStr">
        <is>
          <t>BP-C0123</t>
        </is>
      </c>
      <c r="B139" s="78" t="inlineStr">
        <is>
          <t>Mr Olaogun Samuel Oriyomi</t>
        </is>
      </c>
      <c r="C139" s="78" t="inlineStr">
        <is>
          <t>9126694377</t>
        </is>
      </c>
      <c r="D139" s="78" t="inlineStr">
        <is>
          <t>samuelolaogun161@gmail.com</t>
        </is>
      </c>
      <c r="E139" s="78" t="inlineStr">
        <is>
          <t>Land</t>
        </is>
      </c>
      <c r="F139" s="78" t="inlineStr">
        <is>
          <t>Green City Phase 3 (Omu-Epe)</t>
        </is>
      </c>
      <c r="G139" s="79" t="n">
        <v>45548</v>
      </c>
      <c r="H139" s="79" t="n">
        <v>45548</v>
      </c>
      <c r="I139" s="80" t="n">
        <v>2600000</v>
      </c>
      <c r="J139" s="80" t="n">
        <v>2600000</v>
      </c>
      <c r="K139" s="80" t="n">
        <v>0</v>
      </c>
      <c r="L139" s="80" t="n">
        <v>2600000</v>
      </c>
      <c r="M139" s="80" t="n">
        <v>0</v>
      </c>
      <c r="N139" s="80" t="n">
        <v>2600000</v>
      </c>
      <c r="O139" s="78" t="inlineStr">
        <is>
          <t>Client register + Transaction records</t>
        </is>
      </c>
      <c r="P139" s="78" t="inlineStr">
        <is>
          <t>Bought</t>
        </is>
      </c>
      <c r="Q139" s="78" t="inlineStr">
        <is>
          <t>Mr Rapheal</t>
        </is>
      </c>
      <c r="R139" s="78" t="n"/>
    </row>
    <row r="140" ht="25" customHeight="1">
      <c r="A140" s="75" t="inlineStr">
        <is>
          <t>BP-C0124</t>
        </is>
      </c>
      <c r="B140" s="75" t="inlineStr">
        <is>
          <t>Miss Thomas Oluwabukola Comfort</t>
        </is>
      </c>
      <c r="C140" s="75" t="inlineStr">
        <is>
          <t>9068909056</t>
        </is>
      </c>
      <c r="D140" s="75" t="inlineStr">
        <is>
          <t>kehindefatoki33@gmail.com</t>
        </is>
      </c>
      <c r="E140" s="75" t="inlineStr">
        <is>
          <t>Land</t>
        </is>
      </c>
      <c r="F140" s="75" t="inlineStr">
        <is>
          <t>Green City Phase 3 (Omu-Epe); Green City Phase 3 Extension (Omu-Epe); Land (estate not stated in source)</t>
        </is>
      </c>
      <c r="G140" s="76" t="n">
        <v>45883</v>
      </c>
      <c r="H140" s="76" t="n">
        <v>45552</v>
      </c>
      <c r="I140" s="77" t="n">
        <v>2500000</v>
      </c>
      <c r="J140" s="77" t="n">
        <v>2500000</v>
      </c>
      <c r="K140" s="77" t="n">
        <v>0</v>
      </c>
      <c r="L140" s="77" t="n">
        <v>200000</v>
      </c>
      <c r="M140" s="77" t="n">
        <v>2000000</v>
      </c>
      <c r="N140" s="77" t="n">
        <v>2200000</v>
      </c>
      <c r="O140" s="75" t="inlineStr">
        <is>
          <t>Client register + Transaction records</t>
        </is>
      </c>
      <c r="P140" s="75" t="inlineStr">
        <is>
          <t>Bought</t>
        </is>
      </c>
      <c r="Q140" s="75" t="inlineStr">
        <is>
          <t>Mr. Ezekiel</t>
        </is>
      </c>
      <c r="R140" s="75" t="n"/>
    </row>
    <row r="141" ht="25" customHeight="1">
      <c r="A141" s="78" t="inlineStr">
        <is>
          <t>BP-C0125</t>
        </is>
      </c>
      <c r="B141" s="78" t="inlineStr">
        <is>
          <t>Mrs Adelaja-Idowu Mosebolatan Tomilayo &amp; Mr Tse Mike Terzungwe</t>
        </is>
      </c>
      <c r="C141" s="78" t="inlineStr">
        <is>
          <t>09063570799, 09120824557</t>
        </is>
      </c>
      <c r="D141" s="78" t="inlineStr">
        <is>
          <t>adelajamosebola@gmail.com miketse4@gmail.com</t>
        </is>
      </c>
      <c r="E141" s="78" t="inlineStr">
        <is>
          <t>Land</t>
        </is>
      </c>
      <c r="F141" s="78" t="inlineStr">
        <is>
          <t>Green City Phase 2 (Idobi, Ketu-Epe); Green City Phase 2 (Ketu-Epe); Land (estate not stated in source)</t>
        </is>
      </c>
      <c r="G141" s="79" t="n">
        <v>45552</v>
      </c>
      <c r="H141" s="79" t="n">
        <v>45552</v>
      </c>
      <c r="I141" s="80" t="n">
        <v>12800000</v>
      </c>
      <c r="J141" s="80" t="n">
        <v>12800000</v>
      </c>
      <c r="K141" s="80" t="n">
        <v>0</v>
      </c>
      <c r="L141" s="80" t="n">
        <v>12800000</v>
      </c>
      <c r="M141" s="80" t="n">
        <v>0</v>
      </c>
      <c r="N141" s="80" t="n">
        <v>12800000</v>
      </c>
      <c r="O141" s="78" t="inlineStr">
        <is>
          <t>Client register + Transaction records</t>
        </is>
      </c>
      <c r="P141" s="78" t="inlineStr">
        <is>
          <t>Bought</t>
        </is>
      </c>
      <c r="Q141" s="78" t="inlineStr">
        <is>
          <t>Mr Ogidan Abiodun</t>
        </is>
      </c>
      <c r="R141" s="78" t="n"/>
    </row>
    <row r="142" ht="25" customHeight="1">
      <c r="A142" s="75" t="inlineStr">
        <is>
          <t>BP-C0126</t>
        </is>
      </c>
      <c r="B142" s="75" t="inlineStr">
        <is>
          <t>Miss Ogundipe Motunrayo Fransisca</t>
        </is>
      </c>
      <c r="C142" s="75" t="inlineStr">
        <is>
          <t>447760848936</t>
        </is>
      </c>
      <c r="D142" s="75" t="inlineStr">
        <is>
          <t>motunrayoogundipe09@gmail.com</t>
        </is>
      </c>
      <c r="E142" s="75" t="inlineStr">
        <is>
          <t>Land</t>
        </is>
      </c>
      <c r="F142" s="75" t="inlineStr">
        <is>
          <t>Green City Phase 2 (Idobi, Ketu-Epe); Green City Phase 2 (Ketu-Epe); Land (estate not stated in source)</t>
        </is>
      </c>
      <c r="G142" s="76" t="n">
        <v>45561</v>
      </c>
      <c r="H142" s="76" t="n">
        <v>45561</v>
      </c>
      <c r="I142" s="77" t="n">
        <v>6000000</v>
      </c>
      <c r="J142" s="77" t="n">
        <v>6000000</v>
      </c>
      <c r="K142" s="77" t="n">
        <v>0</v>
      </c>
      <c r="L142" s="77" t="n">
        <v>5335000</v>
      </c>
      <c r="M142" s="77" t="n">
        <v>0</v>
      </c>
      <c r="N142" s="77" t="n">
        <v>5335000</v>
      </c>
      <c r="O142" s="75" t="inlineStr">
        <is>
          <t>Client register + Transaction records</t>
        </is>
      </c>
      <c r="P142" s="75" t="inlineStr">
        <is>
          <t>Bought</t>
        </is>
      </c>
      <c r="Q142" s="75" t="inlineStr">
        <is>
          <t>MD</t>
        </is>
      </c>
      <c r="R142" s="75" t="n"/>
    </row>
    <row r="143" ht="25" customHeight="1">
      <c r="A143" s="78" t="inlineStr">
        <is>
          <t>BP-C0127</t>
        </is>
      </c>
      <c r="B143" s="78" t="inlineStr">
        <is>
          <t>Mr Adigun Muyiwa &amp; Mrs Adigun Folashade</t>
        </is>
      </c>
      <c r="C143" s="78" t="inlineStr">
        <is>
          <t>8060424983</t>
        </is>
      </c>
      <c r="D143" s="78" t="inlineStr">
        <is>
          <t>muyiwadanieladigun@gmail.com</t>
        </is>
      </c>
      <c r="E143" s="78" t="inlineStr">
        <is>
          <t>Land</t>
        </is>
      </c>
      <c r="F143" s="78" t="inlineStr">
        <is>
          <t>Green City Phase 3 (Omu-Epe); Land (estate not stated in source)</t>
        </is>
      </c>
      <c r="G143" s="79" t="n">
        <v>45562</v>
      </c>
      <c r="H143" s="79" t="n">
        <v>45562</v>
      </c>
      <c r="I143" s="80" t="n">
        <v>2600000</v>
      </c>
      <c r="J143" s="80" t="n">
        <v>2600000</v>
      </c>
      <c r="K143" s="80" t="n">
        <v>0</v>
      </c>
      <c r="L143" s="80" t="n">
        <v>1900000</v>
      </c>
      <c r="M143" s="80" t="n">
        <v>700000</v>
      </c>
      <c r="N143" s="80" t="n">
        <v>2600000</v>
      </c>
      <c r="O143" s="78" t="inlineStr">
        <is>
          <t>Client register + Transaction records</t>
        </is>
      </c>
      <c r="P143" s="78" t="inlineStr">
        <is>
          <t>Bought</t>
        </is>
      </c>
      <c r="Q143" s="78" t="inlineStr">
        <is>
          <t>Mr Mayowa Ayeni</t>
        </is>
      </c>
      <c r="R143" s="78" t="n"/>
    </row>
    <row r="144" ht="25" customHeight="1">
      <c r="A144" s="75" t="inlineStr">
        <is>
          <t>BP-C0128</t>
        </is>
      </c>
      <c r="B144" s="75" t="inlineStr">
        <is>
          <t>Mr Afolabi Samuel Safe &amp; Mrs Afolabi Temitope Iyanuoluwa</t>
        </is>
      </c>
      <c r="C144" s="75" t="inlineStr">
        <is>
          <t>447443968358</t>
        </is>
      </c>
      <c r="D144" s="75" t="inlineStr">
        <is>
          <t>samuel.afolabi09@gmail.com</t>
        </is>
      </c>
      <c r="E144" s="75" t="inlineStr">
        <is>
          <t>Land</t>
        </is>
      </c>
      <c r="F144" s="75" t="inlineStr">
        <is>
          <t>Green City Phase 2 (Idobi, Ketu-Epe); Green City Phase 2 (Ketu-Epe)</t>
        </is>
      </c>
      <c r="G144" s="76" t="n">
        <v>45562</v>
      </c>
      <c r="H144" s="76" t="n">
        <v>45562</v>
      </c>
      <c r="I144" s="77" t="n">
        <v>5800000</v>
      </c>
      <c r="J144" s="77" t="n">
        <v>5800000</v>
      </c>
      <c r="K144" s="77" t="n">
        <v>0</v>
      </c>
      <c r="L144" s="77" t="n">
        <v>5850000</v>
      </c>
      <c r="M144" s="77" t="n">
        <v>0</v>
      </c>
      <c r="N144" s="77" t="n">
        <v>5850000</v>
      </c>
      <c r="O144" s="75" t="inlineStr">
        <is>
          <t>Client register + Transaction records</t>
        </is>
      </c>
      <c r="P144" s="75" t="inlineStr">
        <is>
          <t>Bought</t>
        </is>
      </c>
      <c r="Q144" s="75" t="inlineStr">
        <is>
          <t>MD</t>
        </is>
      </c>
      <c r="R144" s="75" t="n"/>
    </row>
    <row r="145" ht="25" customHeight="1">
      <c r="A145" s="78" t="inlineStr">
        <is>
          <t>BP-C0129</t>
        </is>
      </c>
      <c r="B145" s="78" t="inlineStr">
        <is>
          <t>Mr Tedunjaye Michael Ilerioluwa</t>
        </is>
      </c>
      <c r="C145" s="78" t="inlineStr">
        <is>
          <t>08058093936, 09152340869</t>
        </is>
      </c>
      <c r="D145" s="78" t="inlineStr">
        <is>
          <t>michaeltedunjaye@gmail.com</t>
        </is>
      </c>
      <c r="E145" s="78" t="inlineStr">
        <is>
          <t>Land</t>
        </is>
      </c>
      <c r="F145" s="78" t="inlineStr">
        <is>
          <t>Heritage Garden</t>
        </is>
      </c>
      <c r="G145" s="79" t="n">
        <v>45562</v>
      </c>
      <c r="H145" s="79" t="n">
        <v>45562</v>
      </c>
      <c r="I145" s="80" t="n">
        <v>495000</v>
      </c>
      <c r="J145" s="80" t="n">
        <v>495000</v>
      </c>
      <c r="K145" s="80" t="n">
        <v>0</v>
      </c>
      <c r="L145" s="80" t="n">
        <v>495000</v>
      </c>
      <c r="M145" s="80" t="n">
        <v>0</v>
      </c>
      <c r="N145" s="80" t="n">
        <v>495000</v>
      </c>
      <c r="O145" s="78" t="inlineStr">
        <is>
          <t>Client register + Transaction records</t>
        </is>
      </c>
      <c r="P145" s="78" t="inlineStr">
        <is>
          <t>Bought</t>
        </is>
      </c>
      <c r="Q145" s="78" t="inlineStr">
        <is>
          <t>Ms Tobi</t>
        </is>
      </c>
      <c r="R145" s="78" t="n"/>
    </row>
    <row r="146" ht="25" customHeight="1">
      <c r="A146" s="75" t="inlineStr">
        <is>
          <t>BP-C0130</t>
        </is>
      </c>
      <c r="B146" s="75" t="inlineStr">
        <is>
          <t>Mrs Akindele Felicia Oluwatoyin</t>
        </is>
      </c>
      <c r="C146" s="75" t="inlineStr">
        <is>
          <t>07035505274, 09116314167</t>
        </is>
      </c>
      <c r="D146" s="75" t="inlineStr">
        <is>
          <t>feliciaoyelade0@gmail.com</t>
        </is>
      </c>
      <c r="E146" s="75" t="inlineStr">
        <is>
          <t>Land</t>
        </is>
      </c>
      <c r="F146" s="75" t="inlineStr">
        <is>
          <t>Heritage Garden; Land (estate not stated in source)</t>
        </is>
      </c>
      <c r="G146" s="76" t="n">
        <v>45562</v>
      </c>
      <c r="H146" s="76" t="n">
        <v>45562</v>
      </c>
      <c r="I146" s="77" t="n">
        <v>550000</v>
      </c>
      <c r="J146" s="77" t="n">
        <v>550000</v>
      </c>
      <c r="K146" s="77" t="n">
        <v>0</v>
      </c>
      <c r="L146" s="77" t="n">
        <v>450000</v>
      </c>
      <c r="M146" s="77" t="n">
        <v>100000</v>
      </c>
      <c r="N146" s="77" t="n">
        <v>550000</v>
      </c>
      <c r="O146" s="75" t="inlineStr">
        <is>
          <t>Client register + Transaction records</t>
        </is>
      </c>
      <c r="P146" s="75" t="inlineStr">
        <is>
          <t>Bought</t>
        </is>
      </c>
      <c r="Q146" s="75" t="inlineStr">
        <is>
          <t>Ms Fisayo</t>
        </is>
      </c>
      <c r="R146" s="75" t="n"/>
    </row>
    <row r="147" ht="25" customHeight="1">
      <c r="A147" s="78" t="inlineStr">
        <is>
          <t>BP-C0131</t>
        </is>
      </c>
      <c r="B147" s="78" t="inlineStr">
        <is>
          <t>Scrapays Technologies Ltd</t>
        </is>
      </c>
      <c r="C147" s="78" t="n"/>
      <c r="D147" s="78" t="n"/>
      <c r="E147" s="78" t="inlineStr">
        <is>
          <t>Land</t>
        </is>
      </c>
      <c r="F147" s="78" t="inlineStr">
        <is>
          <t>Green City Phase 3 (Omu-Epe)</t>
        </is>
      </c>
      <c r="G147" s="79" t="n"/>
      <c r="H147" s="79" t="n">
        <v>45562</v>
      </c>
      <c r="I147" s="80" t="n">
        <v>0</v>
      </c>
      <c r="J147" s="80" t="n">
        <v>0</v>
      </c>
      <c r="K147" s="80" t="n">
        <v>0</v>
      </c>
      <c r="L147" s="80" t="n">
        <v>33000000</v>
      </c>
      <c r="M147" s="80" t="n">
        <v>0</v>
      </c>
      <c r="N147" s="80" t="n">
        <v>33000000</v>
      </c>
      <c r="O147" s="78" t="inlineStr">
        <is>
          <t>Transaction records</t>
        </is>
      </c>
      <c r="P147" s="78" t="n"/>
      <c r="Q147" s="78" t="n"/>
      <c r="R147" s="78" t="inlineStr">
        <is>
          <t>Not in client register: contract value unknown</t>
        </is>
      </c>
    </row>
    <row r="148" ht="25" customHeight="1">
      <c r="A148" s="75" t="inlineStr">
        <is>
          <t>BP-C0132</t>
        </is>
      </c>
      <c r="B148" s="75" t="inlineStr">
        <is>
          <t>Mr Ajayi Adekunle Temitope</t>
        </is>
      </c>
      <c r="C148" s="75" t="inlineStr">
        <is>
          <t>8064359691</t>
        </is>
      </c>
      <c r="D148" s="75" t="inlineStr">
        <is>
          <t>dekunle15@yahoo.com / Dekunle15@yahoo.com</t>
        </is>
      </c>
      <c r="E148" s="75" t="inlineStr">
        <is>
          <t>Housing, Land</t>
        </is>
      </c>
      <c r="F148" s="75" t="inlineStr">
        <is>
          <t>Baay Foreshore; Green City Ibadan (Akinyele-Moniya); Green City Phase 3 (Omu-Epe); Land (estate not stated in source); Land: ancillary charges</t>
        </is>
      </c>
      <c r="G148" s="76" t="n">
        <v>45565</v>
      </c>
      <c r="H148" s="76" t="n">
        <v>45565</v>
      </c>
      <c r="I148" s="77" t="n">
        <v>44500000</v>
      </c>
      <c r="J148" s="77" t="n">
        <v>44500000</v>
      </c>
      <c r="K148" s="77" t="n">
        <v>0</v>
      </c>
      <c r="L148" s="77" t="n">
        <v>5135000</v>
      </c>
      <c r="M148" s="77" t="n">
        <v>19500000</v>
      </c>
      <c r="N148" s="77" t="n">
        <v>24635000</v>
      </c>
      <c r="O148" s="75" t="inlineStr">
        <is>
          <t>Client register + Transaction records</t>
        </is>
      </c>
      <c r="P148" s="75" t="inlineStr">
        <is>
          <t>Bought, Paid</t>
        </is>
      </c>
      <c r="Q148" s="75" t="inlineStr">
        <is>
          <t>Ms Opeyemi</t>
        </is>
      </c>
      <c r="R148" s="75" t="n"/>
    </row>
    <row r="149" ht="25" customHeight="1">
      <c r="A149" s="78" t="inlineStr">
        <is>
          <t>BP-C0133</t>
        </is>
      </c>
      <c r="B149" s="78" t="inlineStr">
        <is>
          <t>Mr Olagbende Oluwashina Oluwaseun</t>
        </is>
      </c>
      <c r="C149" s="78" t="inlineStr">
        <is>
          <t>8028602551, 08032425113 / 8028602551</t>
        </is>
      </c>
      <c r="D149" s="78" t="inlineStr">
        <is>
          <t>legalclimate76@gmail.com / legalclimate76@yahoo.com</t>
        </is>
      </c>
      <c r="E149" s="78" t="inlineStr">
        <is>
          <t>Housing, Land</t>
        </is>
      </c>
      <c r="F149" s="78" t="inlineStr">
        <is>
          <t>Green City Phase 3 (Omu-Epe); Housing unit (project not stated in source); Land (estate not stated in source); Land: ancillary charges; Pacific Apartment</t>
        </is>
      </c>
      <c r="G149" s="79" t="n">
        <v>45565</v>
      </c>
      <c r="H149" s="79" t="n">
        <v>45565</v>
      </c>
      <c r="I149" s="80" t="n">
        <v>92600000</v>
      </c>
      <c r="J149" s="80" t="n">
        <v>83400000</v>
      </c>
      <c r="K149" s="80" t="n">
        <v>0</v>
      </c>
      <c r="L149" s="80" t="n">
        <v>2735000</v>
      </c>
      <c r="M149" s="80" t="n">
        <v>63000000</v>
      </c>
      <c r="N149" s="80" t="n">
        <v>65735000</v>
      </c>
      <c r="O149" s="78" t="inlineStr">
        <is>
          <t>Client register + Transaction records</t>
        </is>
      </c>
      <c r="P149" s="78" t="inlineStr">
        <is>
          <t>Bought, Paying</t>
        </is>
      </c>
      <c r="Q149" s="78" t="inlineStr">
        <is>
          <t>Ms Mayowa Awonorin, Ms Mayowa Awonorin (Team Taiwo)</t>
        </is>
      </c>
      <c r="R149" s="78" t="n"/>
    </row>
    <row r="150" ht="25" customHeight="1">
      <c r="A150" s="75" t="inlineStr">
        <is>
          <t>BP-C0134</t>
        </is>
      </c>
      <c r="B150" s="75" t="inlineStr">
        <is>
          <t>Mr Salawudeen Bakkey</t>
        </is>
      </c>
      <c r="C150" s="75" t="n"/>
      <c r="D150" s="75" t="n"/>
      <c r="E150" s="75" t="inlineStr">
        <is>
          <t>Land</t>
        </is>
      </c>
      <c r="F150" s="75" t="inlineStr">
        <is>
          <t>Heritage Garden</t>
        </is>
      </c>
      <c r="G150" s="76" t="n"/>
      <c r="H150" s="76" t="n">
        <v>45569</v>
      </c>
      <c r="I150" s="77" t="n">
        <v>0</v>
      </c>
      <c r="J150" s="77" t="n">
        <v>0</v>
      </c>
      <c r="K150" s="77" t="n">
        <v>0</v>
      </c>
      <c r="L150" s="77" t="n">
        <v>145000</v>
      </c>
      <c r="M150" s="77" t="n">
        <v>0</v>
      </c>
      <c r="N150" s="77" t="n">
        <v>145000</v>
      </c>
      <c r="O150" s="75" t="inlineStr">
        <is>
          <t>Transaction records</t>
        </is>
      </c>
      <c r="P150" s="75" t="n"/>
      <c r="Q150" s="75" t="n"/>
      <c r="R150" s="75" t="inlineStr">
        <is>
          <t>Not in client register: contract value unknown</t>
        </is>
      </c>
    </row>
    <row r="151" ht="25" customHeight="1">
      <c r="A151" s="78" t="inlineStr">
        <is>
          <t>BP-C0135</t>
        </is>
      </c>
      <c r="B151" s="78" t="inlineStr">
        <is>
          <t>Mr Okanrende Kazeem Olamilekan</t>
        </is>
      </c>
      <c r="C151" s="78" t="inlineStr">
        <is>
          <t>09015656705, 08135359400</t>
        </is>
      </c>
      <c r="D151" s="78" t="inlineStr">
        <is>
          <t>kazeemokanrende@yahoo.com</t>
        </is>
      </c>
      <c r="E151" s="78" t="inlineStr">
        <is>
          <t>Land</t>
        </is>
      </c>
      <c r="F151" s="78" t="inlineStr">
        <is>
          <t>Green City Phase 3 (Omu-Epe)</t>
        </is>
      </c>
      <c r="G151" s="79" t="n">
        <v>45573</v>
      </c>
      <c r="H151" s="79" t="n">
        <v>45573</v>
      </c>
      <c r="I151" s="80" t="n">
        <v>8000000</v>
      </c>
      <c r="J151" s="80" t="n">
        <v>8000000</v>
      </c>
      <c r="K151" s="80" t="n">
        <v>0</v>
      </c>
      <c r="L151" s="80" t="n">
        <v>8000000</v>
      </c>
      <c r="M151" s="80" t="n">
        <v>0</v>
      </c>
      <c r="N151" s="80" t="n">
        <v>8000000</v>
      </c>
      <c r="O151" s="78" t="inlineStr">
        <is>
          <t>Client register + Transaction records</t>
        </is>
      </c>
      <c r="P151" s="78" t="inlineStr">
        <is>
          <t>Bought</t>
        </is>
      </c>
      <c r="Q151" s="78" t="inlineStr">
        <is>
          <t>MD/MS YETUNDE</t>
        </is>
      </c>
      <c r="R151" s="78" t="n"/>
    </row>
    <row r="152" ht="25" customHeight="1">
      <c r="A152" s="75" t="inlineStr">
        <is>
          <t>BP-C0136</t>
        </is>
      </c>
      <c r="B152" s="75" t="inlineStr">
        <is>
          <t>Mr Isibor Godwin</t>
        </is>
      </c>
      <c r="C152" s="75" t="inlineStr">
        <is>
          <t>08053331725, 08099856616</t>
        </is>
      </c>
      <c r="D152" s="75" t="inlineStr">
        <is>
          <t>godwyn.smile@gmail.com</t>
        </is>
      </c>
      <c r="E152" s="75" t="inlineStr">
        <is>
          <t>Land</t>
        </is>
      </c>
      <c r="F152" s="75" t="inlineStr">
        <is>
          <t>Green City Phase 3 (Omu-Epe); Land (estate not stated in source)</t>
        </is>
      </c>
      <c r="G152" s="76" t="n">
        <v>45576</v>
      </c>
      <c r="H152" s="76" t="n">
        <v>45576</v>
      </c>
      <c r="I152" s="77" t="n">
        <v>3100000</v>
      </c>
      <c r="J152" s="77" t="n">
        <v>3100000</v>
      </c>
      <c r="K152" s="77" t="n">
        <v>0</v>
      </c>
      <c r="L152" s="77" t="n">
        <v>1400000</v>
      </c>
      <c r="M152" s="77" t="n">
        <v>1700000</v>
      </c>
      <c r="N152" s="77" t="n">
        <v>3100000</v>
      </c>
      <c r="O152" s="75" t="inlineStr">
        <is>
          <t>Client register + Transaction records</t>
        </is>
      </c>
      <c r="P152" s="75" t="inlineStr">
        <is>
          <t>Bought</t>
        </is>
      </c>
      <c r="Q152" s="75" t="inlineStr">
        <is>
          <t>Ms Tobi</t>
        </is>
      </c>
      <c r="R152" s="75" t="n"/>
    </row>
    <row r="153" ht="25" customHeight="1">
      <c r="A153" s="78" t="inlineStr">
        <is>
          <t>BP-C0137</t>
        </is>
      </c>
      <c r="B153" s="78" t="inlineStr">
        <is>
          <t>Mr Boyejo Abiodun</t>
        </is>
      </c>
      <c r="C153" s="78" t="inlineStr">
        <is>
          <t>4447830988895</t>
        </is>
      </c>
      <c r="D153" s="78" t="inlineStr">
        <is>
          <t>benjaminking707@gmail.com</t>
        </is>
      </c>
      <c r="E153" s="78" t="inlineStr">
        <is>
          <t>Land</t>
        </is>
      </c>
      <c r="F153" s="78" t="inlineStr">
        <is>
          <t>Heritage Garden</t>
        </is>
      </c>
      <c r="G153" s="79" t="n">
        <v>45583</v>
      </c>
      <c r="H153" s="79" t="n">
        <v>45583</v>
      </c>
      <c r="I153" s="80" t="n">
        <v>1100000</v>
      </c>
      <c r="J153" s="80" t="n">
        <v>1100000</v>
      </c>
      <c r="K153" s="80" t="n">
        <v>0</v>
      </c>
      <c r="L153" s="80" t="n">
        <v>1100000</v>
      </c>
      <c r="M153" s="80" t="n">
        <v>0</v>
      </c>
      <c r="N153" s="80" t="n">
        <v>1100000</v>
      </c>
      <c r="O153" s="78" t="inlineStr">
        <is>
          <t>Client register + Transaction records</t>
        </is>
      </c>
      <c r="P153" s="78" t="inlineStr">
        <is>
          <t>Bought</t>
        </is>
      </c>
      <c r="Q153" s="78" t="inlineStr">
        <is>
          <t>Ms Bolanle</t>
        </is>
      </c>
      <c r="R153" s="78" t="n"/>
    </row>
    <row r="154" ht="25" customHeight="1">
      <c r="A154" s="75" t="inlineStr">
        <is>
          <t>BP-C0138</t>
        </is>
      </c>
      <c r="B154" s="75" t="inlineStr">
        <is>
          <t>Mr. Olowodagba Olatunde Selim</t>
        </is>
      </c>
      <c r="C154" s="75" t="inlineStr">
        <is>
          <t>08106931570, 09132045414</t>
        </is>
      </c>
      <c r="D154" s="75" t="inlineStr">
        <is>
          <t>olowodagbaolatunde@gmail.com</t>
        </is>
      </c>
      <c r="E154" s="75" t="inlineStr">
        <is>
          <t>Land</t>
        </is>
      </c>
      <c r="F154" s="75" t="inlineStr">
        <is>
          <t>Green City Ibadan (Akinyele-Moniya); Green Hillside; Land (estate not stated in source)</t>
        </is>
      </c>
      <c r="G154" s="76" t="n">
        <v>45583</v>
      </c>
      <c r="H154" s="76" t="n">
        <v>45583</v>
      </c>
      <c r="I154" s="77" t="n">
        <v>6200000</v>
      </c>
      <c r="J154" s="77" t="n">
        <v>6200000</v>
      </c>
      <c r="K154" s="77" t="n">
        <v>0</v>
      </c>
      <c r="L154" s="77" t="n">
        <v>2800000</v>
      </c>
      <c r="M154" s="77" t="n">
        <v>1400000</v>
      </c>
      <c r="N154" s="77" t="n">
        <v>4200000</v>
      </c>
      <c r="O154" s="75" t="inlineStr">
        <is>
          <t>Client register + Transaction records</t>
        </is>
      </c>
      <c r="P154" s="75" t="inlineStr">
        <is>
          <t>Bought</t>
        </is>
      </c>
      <c r="Q154" s="75" t="inlineStr">
        <is>
          <t>Mr Ogidan, Mr William Ogidan</t>
        </is>
      </c>
      <c r="R154" s="75" t="n"/>
    </row>
    <row r="155" ht="25" customHeight="1">
      <c r="A155" s="78" t="inlineStr">
        <is>
          <t>BP-C0139</t>
        </is>
      </c>
      <c r="B155" s="78" t="inlineStr">
        <is>
          <t>Mr Felix Oluwatobi Adejumo</t>
        </is>
      </c>
      <c r="C155" s="78" t="n"/>
      <c r="D155" s="78" t="n"/>
      <c r="E155" s="78" t="inlineStr">
        <is>
          <t>Land</t>
        </is>
      </c>
      <c r="F155" s="78" t="inlineStr">
        <is>
          <t>Green City Phase 3 (Omu-Epe)</t>
        </is>
      </c>
      <c r="G155" s="79" t="n"/>
      <c r="H155" s="79" t="n">
        <v>45586</v>
      </c>
      <c r="I155" s="80" t="n">
        <v>0</v>
      </c>
      <c r="J155" s="80" t="n">
        <v>0</v>
      </c>
      <c r="K155" s="80" t="n">
        <v>0</v>
      </c>
      <c r="L155" s="80" t="n">
        <v>200000</v>
      </c>
      <c r="M155" s="80" t="n">
        <v>0</v>
      </c>
      <c r="N155" s="80" t="n">
        <v>200000</v>
      </c>
      <c r="O155" s="78" t="inlineStr">
        <is>
          <t>Transaction records</t>
        </is>
      </c>
      <c r="P155" s="78" t="n"/>
      <c r="Q155" s="78" t="n"/>
      <c r="R155" s="78" t="inlineStr">
        <is>
          <t>Not in client register: contract value unknown</t>
        </is>
      </c>
    </row>
    <row r="156" ht="25" customHeight="1">
      <c r="A156" s="75" t="inlineStr">
        <is>
          <t>BP-C0140</t>
        </is>
      </c>
      <c r="B156" s="75" t="inlineStr">
        <is>
          <t>Mr Balogun Akeem Tokunbo</t>
        </is>
      </c>
      <c r="C156" s="75" t="inlineStr">
        <is>
          <t>08033348231, 09098926630 / 8033348231, 09098926630</t>
        </is>
      </c>
      <c r="D156" s="75" t="inlineStr">
        <is>
          <t>akeembalogun@hotmail.com</t>
        </is>
      </c>
      <c r="E156" s="75" t="inlineStr">
        <is>
          <t>Housing, Land</t>
        </is>
      </c>
      <c r="F156" s="75" t="inlineStr">
        <is>
          <t>Green City Phase 3 (Omu-Epe); Land (estate not stated in source); Pacific Apartment</t>
        </is>
      </c>
      <c r="G156" s="76" t="n">
        <v>45588</v>
      </c>
      <c r="H156" s="76" t="n">
        <v>45588</v>
      </c>
      <c r="I156" s="77" t="n">
        <v>85000000</v>
      </c>
      <c r="J156" s="77" t="n">
        <v>85000000</v>
      </c>
      <c r="K156" s="77" t="n">
        <v>0</v>
      </c>
      <c r="L156" s="77" t="n">
        <v>61000000</v>
      </c>
      <c r="M156" s="77" t="n">
        <v>10000000</v>
      </c>
      <c r="N156" s="77" t="n">
        <v>71000000</v>
      </c>
      <c r="O156" s="75" t="inlineStr">
        <is>
          <t>Client register + Transaction records</t>
        </is>
      </c>
      <c r="P156" s="75" t="inlineStr">
        <is>
          <t>Bought</t>
        </is>
      </c>
      <c r="Q156" s="75" t="inlineStr">
        <is>
          <t>Client Relations/Marketing, Clients Relations/Accounts</t>
        </is>
      </c>
      <c r="R156" s="75" t="n"/>
    </row>
    <row r="157" ht="25" customHeight="1">
      <c r="A157" s="78" t="inlineStr">
        <is>
          <t>BP-C0141</t>
        </is>
      </c>
      <c r="B157" s="78" t="inlineStr">
        <is>
          <t>Mr Aremu Kayode Sarafa</t>
        </is>
      </c>
      <c r="C157" s="78" t="inlineStr">
        <is>
          <t>08028388684, 08161170005</t>
        </is>
      </c>
      <c r="D157" s="78" t="inlineStr">
        <is>
          <t>aremukayode25@gmail.com</t>
        </is>
      </c>
      <c r="E157" s="78" t="inlineStr">
        <is>
          <t>Land</t>
        </is>
      </c>
      <c r="F157" s="78" t="inlineStr">
        <is>
          <t>Green City Phase 2 (Ketu-Epe); Land (estate not stated in source)</t>
        </is>
      </c>
      <c r="G157" s="79" t="n">
        <v>45595</v>
      </c>
      <c r="H157" s="79" t="n">
        <v>45595</v>
      </c>
      <c r="I157" s="80" t="n">
        <v>3200000</v>
      </c>
      <c r="J157" s="80" t="n">
        <v>3200000</v>
      </c>
      <c r="K157" s="80" t="n">
        <v>0</v>
      </c>
      <c r="L157" s="80" t="n">
        <v>3000000</v>
      </c>
      <c r="M157" s="80" t="n">
        <v>200000</v>
      </c>
      <c r="N157" s="80" t="n">
        <v>3200000</v>
      </c>
      <c r="O157" s="78" t="inlineStr">
        <is>
          <t>Client register + Transaction records</t>
        </is>
      </c>
      <c r="P157" s="78" t="inlineStr">
        <is>
          <t>Bought</t>
        </is>
      </c>
      <c r="Q157" s="78" t="inlineStr">
        <is>
          <t>Mr Ogidan Abiodun</t>
        </is>
      </c>
      <c r="R157" s="78" t="n"/>
    </row>
    <row r="158" ht="25" customHeight="1">
      <c r="A158" s="75" t="inlineStr">
        <is>
          <t>BP-C0142</t>
        </is>
      </c>
      <c r="B158" s="75" t="inlineStr">
        <is>
          <t>Mr Simien Samuel &amp; Mrs Simien Oyindamola Adekunle</t>
        </is>
      </c>
      <c r="C158" s="75" t="n"/>
      <c r="D158" s="75" t="n"/>
      <c r="E158" s="75" t="inlineStr">
        <is>
          <t>Housing</t>
        </is>
      </c>
      <c r="F158" s="75" t="inlineStr">
        <is>
          <t>Pacific Apartment</t>
        </is>
      </c>
      <c r="G158" s="76" t="n"/>
      <c r="H158" s="76" t="n">
        <v>45595</v>
      </c>
      <c r="I158" s="77" t="n">
        <v>0</v>
      </c>
      <c r="J158" s="77" t="n">
        <v>0</v>
      </c>
      <c r="K158" s="77" t="n">
        <v>0</v>
      </c>
      <c r="L158" s="77" t="n">
        <v>14750000</v>
      </c>
      <c r="M158" s="77" t="n">
        <v>0</v>
      </c>
      <c r="N158" s="77" t="n">
        <v>14750000</v>
      </c>
      <c r="O158" s="75" t="inlineStr">
        <is>
          <t>Transaction records</t>
        </is>
      </c>
      <c r="P158" s="75" t="n"/>
      <c r="Q158" s="75" t="n"/>
      <c r="R158" s="75" t="inlineStr">
        <is>
          <t>Not in client register: contract value unknown</t>
        </is>
      </c>
    </row>
    <row r="159" ht="25" customHeight="1">
      <c r="A159" s="78" t="inlineStr">
        <is>
          <t>BP-C0143</t>
        </is>
      </c>
      <c r="B159" s="78" t="inlineStr">
        <is>
          <t>Mrs Oyindamola Duntoye Adekunle</t>
        </is>
      </c>
      <c r="C159" s="78" t="inlineStr">
        <is>
          <t>8167135621</t>
        </is>
      </c>
      <c r="D159" s="78" t="inlineStr">
        <is>
          <t>oyinda.simien@yahoo.com</t>
        </is>
      </c>
      <c r="E159" s="78" t="inlineStr">
        <is>
          <t>Housing</t>
        </is>
      </c>
      <c r="F159" s="78" t="inlineStr">
        <is>
          <t>Pacific Apartment</t>
        </is>
      </c>
      <c r="G159" s="79" t="n">
        <v>45595</v>
      </c>
      <c r="H159" s="79" t="n">
        <v>45687</v>
      </c>
      <c r="I159" s="80" t="n">
        <v>67000000</v>
      </c>
      <c r="J159" s="80" t="n">
        <v>67000000</v>
      </c>
      <c r="K159" s="80" t="n">
        <v>0</v>
      </c>
      <c r="L159" s="80" t="n">
        <v>0</v>
      </c>
      <c r="M159" s="80" t="n">
        <v>47500000</v>
      </c>
      <c r="N159" s="80" t="n">
        <v>47500000</v>
      </c>
      <c r="O159" s="78" t="inlineStr">
        <is>
          <t>Client register + Transaction records</t>
        </is>
      </c>
      <c r="P159" s="78" t="inlineStr">
        <is>
          <t>Bought</t>
        </is>
      </c>
      <c r="Q159" s="78" t="inlineStr">
        <is>
          <t>Clients Relation/Accounts</t>
        </is>
      </c>
      <c r="R159" s="78" t="n"/>
    </row>
    <row r="160" ht="25" customHeight="1">
      <c r="A160" s="75" t="inlineStr">
        <is>
          <t>BP-C0144</t>
        </is>
      </c>
      <c r="B160" s="75" t="inlineStr">
        <is>
          <t>Miss Thomas Bukola Comfort</t>
        </is>
      </c>
      <c r="C160" s="75" t="n"/>
      <c r="D160" s="75" t="n"/>
      <c r="E160" s="75" t="inlineStr">
        <is>
          <t>Land</t>
        </is>
      </c>
      <c r="F160" s="75" t="inlineStr">
        <is>
          <t>Green City Phase 3 (Omu-Epe)</t>
        </is>
      </c>
      <c r="G160" s="76" t="n"/>
      <c r="H160" s="76" t="n">
        <v>45598</v>
      </c>
      <c r="I160" s="77" t="n">
        <v>0</v>
      </c>
      <c r="J160" s="77" t="n">
        <v>0</v>
      </c>
      <c r="K160" s="77" t="n">
        <v>0</v>
      </c>
      <c r="L160" s="77" t="n">
        <v>300000</v>
      </c>
      <c r="M160" s="77" t="n">
        <v>0</v>
      </c>
      <c r="N160" s="77" t="n">
        <v>300000</v>
      </c>
      <c r="O160" s="75" t="inlineStr">
        <is>
          <t>Transaction records</t>
        </is>
      </c>
      <c r="P160" s="75" t="n"/>
      <c r="Q160" s="75" t="n"/>
      <c r="R160" s="75" t="inlineStr">
        <is>
          <t>Not in client register: contract value unknown</t>
        </is>
      </c>
    </row>
    <row r="161" ht="25" customHeight="1">
      <c r="A161" s="78" t="inlineStr">
        <is>
          <t>BP-C0145</t>
        </is>
      </c>
      <c r="B161" s="78" t="inlineStr">
        <is>
          <t>Barr Keshinro Phebe Oluwatunmise</t>
        </is>
      </c>
      <c r="C161" s="78" t="inlineStr">
        <is>
          <t>8031557468</t>
        </is>
      </c>
      <c r="D161" s="78" t="inlineStr">
        <is>
          <t>keshinro.phebe@gmail.com</t>
        </is>
      </c>
      <c r="E161" s="78" t="inlineStr">
        <is>
          <t>Housing</t>
        </is>
      </c>
      <c r="F161" s="78" t="inlineStr">
        <is>
          <t>Pacific Apartment</t>
        </is>
      </c>
      <c r="G161" s="79" t="n">
        <v>45605</v>
      </c>
      <c r="H161" s="79" t="n">
        <v>45605</v>
      </c>
      <c r="I161" s="80" t="n">
        <v>65000000</v>
      </c>
      <c r="J161" s="80" t="n">
        <v>10000000</v>
      </c>
      <c r="K161" s="80" t="n">
        <v>0</v>
      </c>
      <c r="L161" s="80" t="n">
        <v>10000000</v>
      </c>
      <c r="M161" s="80" t="n">
        <v>0</v>
      </c>
      <c r="N161" s="80" t="n">
        <v>10000000</v>
      </c>
      <c r="O161" s="78" t="inlineStr">
        <is>
          <t>Client register + Transaction records</t>
        </is>
      </c>
      <c r="P161" s="78" t="inlineStr">
        <is>
          <t>Paying</t>
        </is>
      </c>
      <c r="Q161" s="78" t="inlineStr">
        <is>
          <t>Mr Charles</t>
        </is>
      </c>
      <c r="R161" s="78" t="n"/>
    </row>
    <row r="162" ht="25" customHeight="1">
      <c r="A162" s="75" t="inlineStr">
        <is>
          <t>BP-C0146</t>
        </is>
      </c>
      <c r="B162" s="75" t="inlineStr">
        <is>
          <t>Mrs Tijani Tawa Motunrayo</t>
        </is>
      </c>
      <c r="C162" s="75" t="inlineStr">
        <is>
          <t>09119149931, 07062291891</t>
        </is>
      </c>
      <c r="D162" s="75" t="inlineStr">
        <is>
          <t>lekanborty@gmail.com</t>
        </is>
      </c>
      <c r="E162" s="75" t="inlineStr">
        <is>
          <t>Land</t>
        </is>
      </c>
      <c r="F162" s="75" t="inlineStr">
        <is>
          <t>Green City Phase 3 (Omu-Epe); Land (estate not stated in source)</t>
        </is>
      </c>
      <c r="G162" s="76" t="n">
        <v>45610</v>
      </c>
      <c r="H162" s="76" t="n">
        <v>45610</v>
      </c>
      <c r="I162" s="77" t="n">
        <v>2600000</v>
      </c>
      <c r="J162" s="77" t="n">
        <v>2600000</v>
      </c>
      <c r="K162" s="77" t="n">
        <v>0</v>
      </c>
      <c r="L162" s="77" t="n">
        <v>800000</v>
      </c>
      <c r="M162" s="77" t="n">
        <v>1840000</v>
      </c>
      <c r="N162" s="77" t="n">
        <v>2640000</v>
      </c>
      <c r="O162" s="75" t="inlineStr">
        <is>
          <t>Client register + Transaction records</t>
        </is>
      </c>
      <c r="P162" s="75" t="inlineStr">
        <is>
          <t>Bought</t>
        </is>
      </c>
      <c r="Q162" s="75" t="inlineStr">
        <is>
          <t>Ms Mayowa Awonorin</t>
        </is>
      </c>
      <c r="R162" s="75" t="n"/>
    </row>
    <row r="163" ht="25" customHeight="1">
      <c r="A163" s="78" t="inlineStr">
        <is>
          <t>BP-C0147</t>
        </is>
      </c>
      <c r="B163" s="78" t="inlineStr">
        <is>
          <t>Pastor Ikechukwu Jeremiah &amp; Deaconess Ikechukwu Rose Iju</t>
        </is>
      </c>
      <c r="C163" s="78" t="n"/>
      <c r="D163" s="78" t="n"/>
      <c r="E163" s="78" t="inlineStr">
        <is>
          <t>Land</t>
        </is>
      </c>
      <c r="F163" s="78" t="inlineStr">
        <is>
          <t>Land: ancillary charges</t>
        </is>
      </c>
      <c r="G163" s="79" t="n"/>
      <c r="H163" s="79" t="n">
        <v>45622</v>
      </c>
      <c r="I163" s="80" t="n">
        <v>0</v>
      </c>
      <c r="J163" s="80" t="n">
        <v>0</v>
      </c>
      <c r="K163" s="80" t="n">
        <v>0</v>
      </c>
      <c r="L163" s="80" t="n">
        <v>135000</v>
      </c>
      <c r="M163" s="80" t="n">
        <v>0</v>
      </c>
      <c r="N163" s="80" t="n">
        <v>135000</v>
      </c>
      <c r="O163" s="78" t="inlineStr">
        <is>
          <t>Transaction records</t>
        </is>
      </c>
      <c r="P163" s="78" t="n"/>
      <c r="Q163" s="78" t="n"/>
      <c r="R163" s="78" t="inlineStr">
        <is>
          <t>Not in client register: contract value unknown</t>
        </is>
      </c>
    </row>
    <row r="164" ht="25" customHeight="1">
      <c r="A164" s="75" t="inlineStr">
        <is>
          <t>BP-C0148</t>
        </is>
      </c>
      <c r="B164" s="75" t="inlineStr">
        <is>
          <t>Mr Akinsete Michael Abayomi</t>
        </is>
      </c>
      <c r="C164" s="75" t="inlineStr">
        <is>
          <t>9031616467</t>
        </is>
      </c>
      <c r="D164" s="75" t="inlineStr">
        <is>
          <t>mike.akinsete@gmail.com</t>
        </is>
      </c>
      <c r="E164" s="75" t="inlineStr">
        <is>
          <t>Land</t>
        </is>
      </c>
      <c r="F164" s="75" t="inlineStr">
        <is>
          <t>Green City Phase 2 (Ketu-Epe); Land (estate not stated in source)</t>
        </is>
      </c>
      <c r="G164" s="76" t="n">
        <v>45625</v>
      </c>
      <c r="H164" s="76" t="n">
        <v>45625</v>
      </c>
      <c r="I164" s="77" t="n">
        <v>10700000</v>
      </c>
      <c r="J164" s="77" t="n">
        <v>2703400</v>
      </c>
      <c r="K164" s="77" t="n">
        <v>0</v>
      </c>
      <c r="L164" s="77" t="n">
        <v>1000000</v>
      </c>
      <c r="M164" s="77" t="n">
        <v>1991400</v>
      </c>
      <c r="N164" s="77" t="n">
        <v>2991400</v>
      </c>
      <c r="O164" s="75" t="inlineStr">
        <is>
          <t>Client register + Transaction records</t>
        </is>
      </c>
      <c r="P164" s="75" t="inlineStr">
        <is>
          <t>Paying</t>
        </is>
      </c>
      <c r="Q164" s="75" t="inlineStr">
        <is>
          <t>MD</t>
        </is>
      </c>
      <c r="R164" s="75" t="n"/>
    </row>
    <row r="165" ht="25" customHeight="1">
      <c r="A165" s="78" t="inlineStr">
        <is>
          <t>BP-C0149</t>
        </is>
      </c>
      <c r="B165" s="78" t="inlineStr">
        <is>
          <t>Mr Uneze Grant Chetanna</t>
        </is>
      </c>
      <c r="C165" s="78" t="inlineStr">
        <is>
          <t>7015040484, +447376355823</t>
        </is>
      </c>
      <c r="D165" s="78" t="inlineStr">
        <is>
          <t>grantuneze@gmail.com</t>
        </is>
      </c>
      <c r="E165" s="78" t="inlineStr">
        <is>
          <t>Land</t>
        </is>
      </c>
      <c r="F165" s="78" t="inlineStr">
        <is>
          <t>Green City Phase 3 (Omu-Epe)</t>
        </is>
      </c>
      <c r="G165" s="79" t="n">
        <v>45625</v>
      </c>
      <c r="H165" s="79" t="n">
        <v>45625</v>
      </c>
      <c r="I165" s="80" t="n">
        <v>5000000</v>
      </c>
      <c r="J165" s="80" t="n">
        <v>5000000</v>
      </c>
      <c r="K165" s="80" t="n">
        <v>0</v>
      </c>
      <c r="L165" s="80" t="n">
        <v>1500000</v>
      </c>
      <c r="M165" s="80" t="n">
        <v>0</v>
      </c>
      <c r="N165" s="80" t="n">
        <v>1500000</v>
      </c>
      <c r="O165" s="78" t="inlineStr">
        <is>
          <t>Client register + Transaction records</t>
        </is>
      </c>
      <c r="P165" s="78" t="inlineStr">
        <is>
          <t>Bought</t>
        </is>
      </c>
      <c r="Q165" s="78" t="inlineStr">
        <is>
          <t>Ms Samuella</t>
        </is>
      </c>
      <c r="R165" s="78" t="n"/>
    </row>
    <row r="166" ht="25" customHeight="1">
      <c r="A166" s="75" t="inlineStr">
        <is>
          <t>BP-C0150</t>
        </is>
      </c>
      <c r="B166" s="75" t="inlineStr">
        <is>
          <t>Mr Ajiboso Damilare Moses &amp; Mrs Ajiboso Gbemisola Rachael</t>
        </is>
      </c>
      <c r="C166" s="75" t="inlineStr">
        <is>
          <t>447405232994, 07404542894</t>
        </is>
      </c>
      <c r="D166" s="75" t="inlineStr">
        <is>
          <t>ajibosodamilare@gmail.com</t>
        </is>
      </c>
      <c r="E166" s="75" t="inlineStr">
        <is>
          <t>Land</t>
        </is>
      </c>
      <c r="F166" s="75" t="inlineStr">
        <is>
          <t>Green City Phase 3 (Omu-Epe); Land (estate not stated in source)</t>
        </is>
      </c>
      <c r="G166" s="76" t="n">
        <v>45626</v>
      </c>
      <c r="H166" s="76" t="n">
        <v>45626</v>
      </c>
      <c r="I166" s="77" t="n">
        <v>5000000</v>
      </c>
      <c r="J166" s="77" t="n">
        <v>5000000</v>
      </c>
      <c r="K166" s="77" t="n">
        <v>0</v>
      </c>
      <c r="L166" s="77" t="n">
        <v>1000000</v>
      </c>
      <c r="M166" s="77" t="n">
        <v>4000000</v>
      </c>
      <c r="N166" s="77" t="n">
        <v>5000000</v>
      </c>
      <c r="O166" s="75" t="inlineStr">
        <is>
          <t>Client register + Transaction records</t>
        </is>
      </c>
      <c r="P166" s="75" t="inlineStr">
        <is>
          <t>Bought</t>
        </is>
      </c>
      <c r="Q166" s="75" t="inlineStr">
        <is>
          <t>Ms Adenike</t>
        </is>
      </c>
      <c r="R166" s="75" t="n"/>
    </row>
    <row r="167" ht="25" customHeight="1">
      <c r="A167" s="78" t="inlineStr">
        <is>
          <t>BP-C0151</t>
        </is>
      </c>
      <c r="B167" s="78" t="inlineStr">
        <is>
          <t>Mrs Shotonwa Olamide Abosede</t>
        </is>
      </c>
      <c r="C167" s="78" t="inlineStr">
        <is>
          <t>081306000172, 07014973091</t>
        </is>
      </c>
      <c r="D167" s="78" t="inlineStr">
        <is>
          <t>shotonwaolamide@gmail.com</t>
        </is>
      </c>
      <c r="E167" s="78" t="inlineStr">
        <is>
          <t>Land</t>
        </is>
      </c>
      <c r="F167" s="78" t="inlineStr">
        <is>
          <t>Green City Phase 3 (Omu-Epe); Land (estate not stated in source)</t>
        </is>
      </c>
      <c r="G167" s="79" t="n">
        <v>45626</v>
      </c>
      <c r="H167" s="79" t="n">
        <v>45626</v>
      </c>
      <c r="I167" s="80" t="n">
        <v>5000000</v>
      </c>
      <c r="J167" s="80" t="n">
        <v>5000000</v>
      </c>
      <c r="K167" s="80" t="n">
        <v>0</v>
      </c>
      <c r="L167" s="80" t="n">
        <v>1000000</v>
      </c>
      <c r="M167" s="80" t="n">
        <v>4000000</v>
      </c>
      <c r="N167" s="80" t="n">
        <v>5000000</v>
      </c>
      <c r="O167" s="78" t="inlineStr">
        <is>
          <t>Client register + Transaction records</t>
        </is>
      </c>
      <c r="P167" s="78" t="inlineStr">
        <is>
          <t>Bought</t>
        </is>
      </c>
      <c r="Q167" s="78" t="inlineStr">
        <is>
          <t>Ms Adenike</t>
        </is>
      </c>
      <c r="R167" s="78" t="n"/>
    </row>
    <row r="168" ht="25" customHeight="1">
      <c r="A168" s="75" t="inlineStr">
        <is>
          <t>BP-C0152</t>
        </is>
      </c>
      <c r="B168" s="75" t="inlineStr">
        <is>
          <t>Mr Iyama Godsauthority Chinedu</t>
        </is>
      </c>
      <c r="C168" s="75" t="inlineStr">
        <is>
          <t>08109402253, 09134901279</t>
        </is>
      </c>
      <c r="D168" s="75" t="inlineStr">
        <is>
          <t>godsauthorityiyama@gmail.com</t>
        </is>
      </c>
      <c r="E168" s="75" t="inlineStr">
        <is>
          <t>Land</t>
        </is>
      </c>
      <c r="F168" s="75" t="inlineStr">
        <is>
          <t>Green City Phase 3 Extension (Omu-Epe)</t>
        </is>
      </c>
      <c r="G168" s="76" t="n">
        <v>45630</v>
      </c>
      <c r="H168" s="76" t="n"/>
      <c r="I168" s="77" t="n">
        <v>2000000</v>
      </c>
      <c r="J168" s="77" t="n">
        <v>350000</v>
      </c>
      <c r="K168" s="77" t="n">
        <v>0</v>
      </c>
      <c r="L168" s="77" t="n">
        <v>0</v>
      </c>
      <c r="M168" s="77" t="n">
        <v>0</v>
      </c>
      <c r="N168" s="77" t="n">
        <v>0</v>
      </c>
      <c r="O168" s="75" t="inlineStr">
        <is>
          <t>Client register</t>
        </is>
      </c>
      <c r="P168" s="75" t="inlineStr">
        <is>
          <t>REFUND</t>
        </is>
      </c>
      <c r="Q168" s="75" t="inlineStr">
        <is>
          <t>Mr Daniel</t>
        </is>
      </c>
      <c r="R168" s="75" t="n"/>
    </row>
    <row r="169" ht="25" customHeight="1">
      <c r="A169" s="78" t="inlineStr">
        <is>
          <t>BP-C0153</t>
        </is>
      </c>
      <c r="B169" s="78" t="inlineStr">
        <is>
          <t>Miss Ademakinwa Abosede Wuraola</t>
        </is>
      </c>
      <c r="C169" s="78" t="inlineStr">
        <is>
          <t>07015779671, 08106836680</t>
        </is>
      </c>
      <c r="D169" s="78" t="inlineStr">
        <is>
          <t>ademakinwaabosede123@gmail.com</t>
        </is>
      </c>
      <c r="E169" s="78" t="inlineStr">
        <is>
          <t>Land</t>
        </is>
      </c>
      <c r="F169" s="78" t="inlineStr">
        <is>
          <t>Green City Ibadan (Akinyele-Moniya); Land (estate not stated in source)</t>
        </is>
      </c>
      <c r="G169" s="79" t="n">
        <v>45641</v>
      </c>
      <c r="H169" s="79" t="n">
        <v>45641</v>
      </c>
      <c r="I169" s="80" t="n">
        <v>2900000</v>
      </c>
      <c r="J169" s="80" t="n">
        <v>2100000</v>
      </c>
      <c r="K169" s="80" t="n">
        <v>0</v>
      </c>
      <c r="L169" s="80" t="n">
        <v>500000</v>
      </c>
      <c r="M169" s="80" t="n">
        <v>2400000</v>
      </c>
      <c r="N169" s="80" t="n">
        <v>2900000</v>
      </c>
      <c r="O169" s="78" t="inlineStr">
        <is>
          <t>Client register + Transaction records</t>
        </is>
      </c>
      <c r="P169" s="78" t="inlineStr">
        <is>
          <t>Bought</t>
        </is>
      </c>
      <c r="Q169" s="78" t="inlineStr">
        <is>
          <t>Miss Abosede (Team Taiwo)</t>
        </is>
      </c>
      <c r="R169" s="78" t="n"/>
    </row>
    <row r="170" ht="25" customHeight="1">
      <c r="A170" s="75" t="inlineStr">
        <is>
          <t>BP-C0154</t>
        </is>
      </c>
      <c r="B170" s="75" t="inlineStr">
        <is>
          <t>Mr Adepoju Adewale Emmanuel</t>
        </is>
      </c>
      <c r="C170" s="75" t="inlineStr">
        <is>
          <t>08056367523, 09174021220</t>
        </is>
      </c>
      <c r="D170" s="75" t="inlineStr">
        <is>
          <t>wayles77@gmail.com</t>
        </is>
      </c>
      <c r="E170" s="75" t="inlineStr">
        <is>
          <t>Land</t>
        </is>
      </c>
      <c r="F170" s="75" t="inlineStr">
        <is>
          <t>Green City Ibadan (Akinyele-Moniya); Land (estate not stated in source)</t>
        </is>
      </c>
      <c r="G170" s="76" t="n">
        <v>45641</v>
      </c>
      <c r="H170" s="76" t="n">
        <v>45641</v>
      </c>
      <c r="I170" s="77" t="n">
        <v>5800000</v>
      </c>
      <c r="J170" s="77" t="n">
        <v>4200000</v>
      </c>
      <c r="K170" s="77" t="n">
        <v>0</v>
      </c>
      <c r="L170" s="77" t="n">
        <v>1000000</v>
      </c>
      <c r="M170" s="77" t="n">
        <v>4800000</v>
      </c>
      <c r="N170" s="77" t="n">
        <v>5800000</v>
      </c>
      <c r="O170" s="75" t="inlineStr">
        <is>
          <t>Client register + Transaction records</t>
        </is>
      </c>
      <c r="P170" s="75" t="inlineStr">
        <is>
          <t>Bought</t>
        </is>
      </c>
      <c r="Q170" s="75" t="inlineStr">
        <is>
          <t>Ms Abosede (Team Taiwo</t>
        </is>
      </c>
      <c r="R170" s="75" t="n"/>
    </row>
    <row r="171" ht="25" customHeight="1">
      <c r="A171" s="78" t="inlineStr">
        <is>
          <t>BP-C0155</t>
        </is>
      </c>
      <c r="B171" s="78" t="inlineStr">
        <is>
          <t>Mr Adeyanju Adebayo Samson</t>
        </is>
      </c>
      <c r="C171" s="78" t="inlineStr">
        <is>
          <t>447827524089, 08024212920</t>
        </is>
      </c>
      <c r="D171" s="78" t="inlineStr">
        <is>
          <t>baayanju@yahoo.com</t>
        </is>
      </c>
      <c r="E171" s="78" t="inlineStr">
        <is>
          <t>Land</t>
        </is>
      </c>
      <c r="F171" s="78" t="inlineStr">
        <is>
          <t>Green City Ibadan (Akinyele-Moniya); Land (estate not stated in source)</t>
        </is>
      </c>
      <c r="G171" s="79" t="n">
        <v>45641</v>
      </c>
      <c r="H171" s="79" t="n">
        <v>45641</v>
      </c>
      <c r="I171" s="80" t="n">
        <v>2900000</v>
      </c>
      <c r="J171" s="80" t="n">
        <v>2100000</v>
      </c>
      <c r="K171" s="80" t="n">
        <v>0</v>
      </c>
      <c r="L171" s="80" t="n">
        <v>500000</v>
      </c>
      <c r="M171" s="80" t="n">
        <v>2400000</v>
      </c>
      <c r="N171" s="80" t="n">
        <v>2900000</v>
      </c>
      <c r="O171" s="78" t="inlineStr">
        <is>
          <t>Client register + Transaction records</t>
        </is>
      </c>
      <c r="P171" s="78" t="inlineStr">
        <is>
          <t>Bought</t>
        </is>
      </c>
      <c r="Q171" s="78" t="inlineStr">
        <is>
          <t>Miss Abosede (Team Taiwo)</t>
        </is>
      </c>
      <c r="R171" s="78" t="n"/>
    </row>
    <row r="172" ht="25" customHeight="1">
      <c r="A172" s="75" t="inlineStr">
        <is>
          <t>BP-C0156</t>
        </is>
      </c>
      <c r="B172" s="75" t="inlineStr">
        <is>
          <t>Mr Simien Sauel &amp; Mrs Simien Oyindamola Adekunle</t>
        </is>
      </c>
      <c r="C172" s="75" t="n"/>
      <c r="D172" s="75" t="n"/>
      <c r="E172" s="75" t="inlineStr">
        <is>
          <t>Housing</t>
        </is>
      </c>
      <c r="F172" s="75" t="inlineStr">
        <is>
          <t>Pacific Apartment</t>
        </is>
      </c>
      <c r="G172" s="76" t="n"/>
      <c r="H172" s="76" t="n">
        <v>45641</v>
      </c>
      <c r="I172" s="77" t="n">
        <v>0</v>
      </c>
      <c r="J172" s="77" t="n">
        <v>0</v>
      </c>
      <c r="K172" s="77" t="n">
        <v>0</v>
      </c>
      <c r="L172" s="77" t="n">
        <v>4750000</v>
      </c>
      <c r="M172" s="77" t="n">
        <v>0</v>
      </c>
      <c r="N172" s="77" t="n">
        <v>4750000</v>
      </c>
      <c r="O172" s="75" t="inlineStr">
        <is>
          <t>Transaction records</t>
        </is>
      </c>
      <c r="P172" s="75" t="n"/>
      <c r="Q172" s="75" t="n"/>
      <c r="R172" s="75" t="inlineStr">
        <is>
          <t>Not in client register: contract value unknown</t>
        </is>
      </c>
    </row>
    <row r="173" ht="25" customHeight="1">
      <c r="A173" s="78" t="inlineStr">
        <is>
          <t>BP-C0157</t>
        </is>
      </c>
      <c r="B173" s="78" t="inlineStr">
        <is>
          <t>Mrs Adepoju Adebola Adeniran</t>
        </is>
      </c>
      <c r="C173" s="78" t="inlineStr">
        <is>
          <t>16146488230, 08056367523</t>
        </is>
      </c>
      <c r="D173" s="78" t="inlineStr">
        <is>
          <t>lizbol2001@yahoo.com</t>
        </is>
      </c>
      <c r="E173" s="78" t="inlineStr">
        <is>
          <t>Land</t>
        </is>
      </c>
      <c r="F173" s="78" t="inlineStr">
        <is>
          <t>Green City Ibadan (Akinyele-Moniya); Land (estate not stated in source)</t>
        </is>
      </c>
      <c r="G173" s="79" t="n">
        <v>45641</v>
      </c>
      <c r="H173" s="79" t="n">
        <v>45641</v>
      </c>
      <c r="I173" s="80" t="n">
        <v>5800000</v>
      </c>
      <c r="J173" s="80" t="n">
        <v>4200000</v>
      </c>
      <c r="K173" s="80" t="n">
        <v>0</v>
      </c>
      <c r="L173" s="80" t="n">
        <v>1000000</v>
      </c>
      <c r="M173" s="80" t="n">
        <v>4800000</v>
      </c>
      <c r="N173" s="80" t="n">
        <v>5800000</v>
      </c>
      <c r="O173" s="78" t="inlineStr">
        <is>
          <t>Client register + Transaction records</t>
        </is>
      </c>
      <c r="P173" s="78" t="inlineStr">
        <is>
          <t>Bought</t>
        </is>
      </c>
      <c r="Q173" s="78" t="inlineStr">
        <is>
          <t>Ms Abosede (Team Taiwo</t>
        </is>
      </c>
      <c r="R173" s="78" t="n"/>
    </row>
    <row r="174" ht="25" customHeight="1">
      <c r="A174" s="75" t="inlineStr">
        <is>
          <t>BP-C0158</t>
        </is>
      </c>
      <c r="B174" s="75" t="inlineStr">
        <is>
          <t>Mr. Shino Precious Vincent</t>
        </is>
      </c>
      <c r="C174" s="75" t="inlineStr">
        <is>
          <t>09074686436, 08072047253 / 9074686436</t>
        </is>
      </c>
      <c r="D174" s="75" t="inlineStr">
        <is>
          <t>shinovin234@gmail.com / shinovin324@gmail.com</t>
        </is>
      </c>
      <c r="E174" s="75" t="inlineStr">
        <is>
          <t>Land</t>
        </is>
      </c>
      <c r="F174" s="75" t="inlineStr">
        <is>
          <t>Green City Phase 3 (Omu-Epe); Green City Phase 3 Extension (Omu-Epe); Heritage Garden; Land (estate not stated in source)</t>
        </is>
      </c>
      <c r="G174" s="76" t="n">
        <v>45646</v>
      </c>
      <c r="H174" s="76" t="n">
        <v>45646</v>
      </c>
      <c r="I174" s="77" t="n">
        <v>3300000</v>
      </c>
      <c r="J174" s="77" t="n">
        <v>2800000</v>
      </c>
      <c r="K174" s="77" t="n">
        <v>0</v>
      </c>
      <c r="L174" s="77" t="n">
        <v>300000</v>
      </c>
      <c r="M174" s="77" t="n">
        <v>1200000</v>
      </c>
      <c r="N174" s="77" t="n">
        <v>1500000</v>
      </c>
      <c r="O174" s="75" t="inlineStr">
        <is>
          <t>Client register + Transaction records</t>
        </is>
      </c>
      <c r="P174" s="75" t="inlineStr">
        <is>
          <t>Bought, Migrated</t>
        </is>
      </c>
      <c r="Q174" s="75" t="inlineStr">
        <is>
          <t>Adeoye Daniel, Mr Daniel (Team Pelumi)</t>
        </is>
      </c>
      <c r="R174" s="75" t="n"/>
    </row>
    <row r="175" ht="25" customHeight="1">
      <c r="A175" s="78" t="inlineStr">
        <is>
          <t>BP-C0159</t>
        </is>
      </c>
      <c r="B175" s="78" t="inlineStr">
        <is>
          <t>Miss Etefe Ava Ogheneyorhe</t>
        </is>
      </c>
      <c r="C175" s="78" t="inlineStr">
        <is>
          <t>07059827896, 09051727253</t>
        </is>
      </c>
      <c r="D175" s="78" t="inlineStr">
        <is>
          <t>precz090@gmail.com</t>
        </is>
      </c>
      <c r="E175" s="78" t="inlineStr">
        <is>
          <t>Land</t>
        </is>
      </c>
      <c r="F175" s="78" t="inlineStr">
        <is>
          <t>Heritage Garden; Land (estate not stated in source)</t>
        </is>
      </c>
      <c r="G175" s="79" t="n">
        <v>45650</v>
      </c>
      <c r="H175" s="79" t="n">
        <v>45650</v>
      </c>
      <c r="I175" s="80" t="n">
        <v>1100000</v>
      </c>
      <c r="J175" s="80" t="n">
        <v>1000000</v>
      </c>
      <c r="K175" s="80" t="n">
        <v>0</v>
      </c>
      <c r="L175" s="80" t="n">
        <v>500000</v>
      </c>
      <c r="M175" s="80" t="n">
        <v>500000</v>
      </c>
      <c r="N175" s="80" t="n">
        <v>1000000</v>
      </c>
      <c r="O175" s="78" t="inlineStr">
        <is>
          <t>Client register + Transaction records</t>
        </is>
      </c>
      <c r="P175" s="78" t="inlineStr">
        <is>
          <t>Paying</t>
        </is>
      </c>
      <c r="Q175" s="78" t="inlineStr">
        <is>
          <t>Ms Elizabeth</t>
        </is>
      </c>
      <c r="R175" s="78" t="n"/>
    </row>
    <row r="176" ht="25" customHeight="1">
      <c r="A176" s="75" t="inlineStr">
        <is>
          <t>BP-C0160</t>
        </is>
      </c>
      <c r="B176" s="75" t="inlineStr">
        <is>
          <t>Mr Okenla Olugboyega Gabriel</t>
        </is>
      </c>
      <c r="C176" s="75" t="inlineStr">
        <is>
          <t>8037253052, 08179039312</t>
        </is>
      </c>
      <c r="D176" s="75" t="inlineStr">
        <is>
          <t>okenlagabriel@yahoo.com</t>
        </is>
      </c>
      <c r="E176" s="75" t="inlineStr">
        <is>
          <t>Housing</t>
        </is>
      </c>
      <c r="F176" s="75" t="inlineStr">
        <is>
          <t>Pacific Apartment</t>
        </is>
      </c>
      <c r="G176" s="76" t="n">
        <v>45653</v>
      </c>
      <c r="H176" s="76" t="n">
        <v>45653</v>
      </c>
      <c r="I176" s="77" t="n">
        <v>75000000</v>
      </c>
      <c r="J176" s="77" t="n">
        <v>30000000</v>
      </c>
      <c r="K176" s="77" t="n">
        <v>0</v>
      </c>
      <c r="L176" s="77" t="n">
        <v>10000000</v>
      </c>
      <c r="M176" s="77" t="n">
        <v>15000000</v>
      </c>
      <c r="N176" s="77" t="n">
        <v>25000000</v>
      </c>
      <c r="O176" s="75" t="inlineStr">
        <is>
          <t>Client register + Transaction records</t>
        </is>
      </c>
      <c r="P176" s="75" t="inlineStr">
        <is>
          <t>Paying</t>
        </is>
      </c>
      <c r="Q176" s="75" t="inlineStr">
        <is>
          <t>Ms Moffat</t>
        </is>
      </c>
      <c r="R176" s="75" t="n"/>
    </row>
    <row r="177" ht="25" customHeight="1">
      <c r="A177" s="78" t="inlineStr">
        <is>
          <t>BP-C0161</t>
        </is>
      </c>
      <c r="B177" s="78" t="inlineStr">
        <is>
          <t>Miss Uthman Alimot Modupe</t>
        </is>
      </c>
      <c r="C177" s="78" t="n"/>
      <c r="D177" s="78" t="n"/>
      <c r="E177" s="78" t="inlineStr">
        <is>
          <t>Land</t>
        </is>
      </c>
      <c r="F177" s="78" t="inlineStr">
        <is>
          <t>Green City Phase 3 Extension (Omu-Epe)</t>
        </is>
      </c>
      <c r="G177" s="79" t="n"/>
      <c r="H177" s="79" t="n">
        <v>45656</v>
      </c>
      <c r="I177" s="80" t="n">
        <v>0</v>
      </c>
      <c r="J177" s="80" t="n">
        <v>0</v>
      </c>
      <c r="K177" s="80" t="n">
        <v>0</v>
      </c>
      <c r="L177" s="80" t="n">
        <v>300000</v>
      </c>
      <c r="M177" s="80" t="n">
        <v>0</v>
      </c>
      <c r="N177" s="80" t="n">
        <v>300000</v>
      </c>
      <c r="O177" s="78" t="inlineStr">
        <is>
          <t>Transaction records</t>
        </is>
      </c>
      <c r="P177" s="78" t="n"/>
      <c r="Q177" s="78" t="n"/>
      <c r="R177" s="78" t="inlineStr">
        <is>
          <t>Not in client register: contract value unknown</t>
        </is>
      </c>
    </row>
    <row r="178" ht="25" customHeight="1">
      <c r="A178" s="75" t="inlineStr">
        <is>
          <t>BP-C0162</t>
        </is>
      </c>
      <c r="B178" s="75" t="inlineStr">
        <is>
          <t>Miss Uthman Alimat Modupe</t>
        </is>
      </c>
      <c r="C178" s="75" t="inlineStr">
        <is>
          <t>08084119658, 08035174216</t>
        </is>
      </c>
      <c r="D178" s="75" t="inlineStr">
        <is>
          <t>alimatuthman123@gmail.com</t>
        </is>
      </c>
      <c r="E178" s="75" t="inlineStr">
        <is>
          <t>Land</t>
        </is>
      </c>
      <c r="F178" s="75" t="inlineStr">
        <is>
          <t>Green City Phase 3 Extension (Omu-Epe)</t>
        </is>
      </c>
      <c r="G178" s="76" t="n">
        <v>45657</v>
      </c>
      <c r="H178" s="76" t="n"/>
      <c r="I178" s="77" t="n">
        <v>2000000</v>
      </c>
      <c r="J178" s="77" t="n">
        <v>500000</v>
      </c>
      <c r="K178" s="77" t="n">
        <v>0</v>
      </c>
      <c r="L178" s="77" t="n">
        <v>0</v>
      </c>
      <c r="M178" s="77" t="n">
        <v>0</v>
      </c>
      <c r="N178" s="77" t="n">
        <v>0</v>
      </c>
      <c r="O178" s="75" t="inlineStr">
        <is>
          <t>Client register</t>
        </is>
      </c>
      <c r="P178" s="75" t="inlineStr">
        <is>
          <t>REFUND</t>
        </is>
      </c>
      <c r="Q178" s="75" t="inlineStr">
        <is>
          <t>Ms Tobi</t>
        </is>
      </c>
      <c r="R178" s="75" t="n"/>
    </row>
    <row r="179" ht="25" customHeight="1">
      <c r="A179" s="78" t="inlineStr">
        <is>
          <t>BP-C0163</t>
        </is>
      </c>
      <c r="B179" s="78" t="inlineStr">
        <is>
          <t>Mr Ajagbe James Olatayo</t>
        </is>
      </c>
      <c r="C179" s="78" t="inlineStr">
        <is>
          <t>08130308027, 08142184471</t>
        </is>
      </c>
      <c r="D179" s="78" t="inlineStr">
        <is>
          <t>samsonolawale69@gmail.com</t>
        </is>
      </c>
      <c r="E179" s="78" t="inlineStr">
        <is>
          <t>Land</t>
        </is>
      </c>
      <c r="F179" s="78" t="inlineStr">
        <is>
          <t>Heritage Garden; Land: ancillary charges</t>
        </is>
      </c>
      <c r="G179" s="79" t="n">
        <v>45657</v>
      </c>
      <c r="H179" s="79" t="n">
        <v>45657</v>
      </c>
      <c r="I179" s="80" t="n">
        <v>550000</v>
      </c>
      <c r="J179" s="80" t="n">
        <v>550000</v>
      </c>
      <c r="K179" s="80" t="n">
        <v>0</v>
      </c>
      <c r="L179" s="80" t="n">
        <v>600000</v>
      </c>
      <c r="M179" s="80" t="n">
        <v>0</v>
      </c>
      <c r="N179" s="80" t="n">
        <v>600000</v>
      </c>
      <c r="O179" s="78" t="inlineStr">
        <is>
          <t>Client register + Transaction records</t>
        </is>
      </c>
      <c r="P179" s="78" t="inlineStr">
        <is>
          <t>Bought</t>
        </is>
      </c>
      <c r="Q179" s="78" t="inlineStr">
        <is>
          <t>Mr Baqi</t>
        </is>
      </c>
      <c r="R179" s="78" t="inlineStr">
        <is>
          <t>Receipts exceed register contract value: check for duplicate entries, extra plots or ancillary fees</t>
        </is>
      </c>
    </row>
    <row r="180" ht="25" customHeight="1">
      <c r="A180" s="75" t="inlineStr">
        <is>
          <t>BP-C0164</t>
        </is>
      </c>
      <c r="B180" s="75" t="inlineStr">
        <is>
          <t>Miss Arogundade Motunrayo Azeezat</t>
        </is>
      </c>
      <c r="C180" s="75" t="inlineStr">
        <is>
          <t>08038378722, 07019089122</t>
        </is>
      </c>
      <c r="D180" s="75" t="inlineStr">
        <is>
          <t>motunrayoarogundade2@gmail.com</t>
        </is>
      </c>
      <c r="E180" s="75" t="inlineStr">
        <is>
          <t>Land</t>
        </is>
      </c>
      <c r="F180" s="75" t="inlineStr">
        <is>
          <t>Heritage Garden</t>
        </is>
      </c>
      <c r="G180" s="76" t="n">
        <v>45659</v>
      </c>
      <c r="H180" s="76" t="n">
        <v>45659</v>
      </c>
      <c r="I180" s="77" t="n">
        <v>1000000</v>
      </c>
      <c r="J180" s="77" t="n">
        <v>1000000</v>
      </c>
      <c r="K180" s="77" t="n">
        <v>0</v>
      </c>
      <c r="L180" s="77" t="n">
        <v>0</v>
      </c>
      <c r="M180" s="77" t="n">
        <v>1000000</v>
      </c>
      <c r="N180" s="77" t="n">
        <v>1000000</v>
      </c>
      <c r="O180" s="75" t="inlineStr">
        <is>
          <t>Client register + Transaction records</t>
        </is>
      </c>
      <c r="P180" s="75" t="inlineStr">
        <is>
          <t>Bought</t>
        </is>
      </c>
      <c r="Q180" s="75" t="inlineStr">
        <is>
          <t>Mr Ibukun (Team Taiwo)</t>
        </is>
      </c>
      <c r="R180" s="75" t="n"/>
    </row>
    <row r="181" ht="25" customHeight="1">
      <c r="A181" s="78" t="inlineStr">
        <is>
          <t>BP-C0165</t>
        </is>
      </c>
      <c r="B181" s="78" t="inlineStr">
        <is>
          <t>Mr Ebosele Sunday Osabhue</t>
        </is>
      </c>
      <c r="C181" s="78" t="inlineStr">
        <is>
          <t>13477224217</t>
        </is>
      </c>
      <c r="D181" s="78" t="inlineStr">
        <is>
          <t>sunday_ebosele@yahoo.com</t>
        </is>
      </c>
      <c r="E181" s="78" t="inlineStr">
        <is>
          <t>Housing</t>
        </is>
      </c>
      <c r="F181" s="78" t="inlineStr">
        <is>
          <t>Gorge View Court (GVC Gbagada)</t>
        </is>
      </c>
      <c r="G181" s="79" t="n">
        <v>45677</v>
      </c>
      <c r="H181" s="79" t="n">
        <v>45677</v>
      </c>
      <c r="I181" s="80" t="n">
        <v>250000000</v>
      </c>
      <c r="J181" s="80" t="n">
        <v>250000000</v>
      </c>
      <c r="K181" s="80" t="n">
        <v>0</v>
      </c>
      <c r="L181" s="80" t="n">
        <v>0</v>
      </c>
      <c r="M181" s="80" t="n">
        <v>250000000</v>
      </c>
      <c r="N181" s="80" t="n">
        <v>250000000</v>
      </c>
      <c r="O181" s="78" t="inlineStr">
        <is>
          <t>Client register + Transaction records</t>
        </is>
      </c>
      <c r="P181" s="78" t="inlineStr">
        <is>
          <t>Bought</t>
        </is>
      </c>
      <c r="Q181" s="78" t="inlineStr">
        <is>
          <t>Ms Adebomi</t>
        </is>
      </c>
      <c r="R181" s="78" t="n"/>
    </row>
    <row r="182" ht="25" customHeight="1">
      <c r="A182" s="75" t="inlineStr">
        <is>
          <t>BP-C0166</t>
        </is>
      </c>
      <c r="B182" s="75" t="inlineStr">
        <is>
          <t>Mr Showande Lateef Olawale</t>
        </is>
      </c>
      <c r="C182" s="75" t="inlineStr">
        <is>
          <t>07087380898, 09067125703</t>
        </is>
      </c>
      <c r="D182" s="75" t="inlineStr">
        <is>
          <t>olawalefados11@gmail.com</t>
        </is>
      </c>
      <c r="E182" s="75" t="inlineStr">
        <is>
          <t>Land</t>
        </is>
      </c>
      <c r="F182" s="75" t="inlineStr">
        <is>
          <t>Green City Phase 3 (Omu-Epe); Land (estate not stated in source)</t>
        </is>
      </c>
      <c r="G182" s="76" t="n">
        <v>45680</v>
      </c>
      <c r="H182" s="76" t="n">
        <v>45680</v>
      </c>
      <c r="I182" s="77" t="n">
        <v>3800000</v>
      </c>
      <c r="J182" s="77" t="n">
        <v>3800000</v>
      </c>
      <c r="K182" s="77" t="n">
        <v>0</v>
      </c>
      <c r="L182" s="77" t="n">
        <v>0</v>
      </c>
      <c r="M182" s="77" t="n">
        <v>1800000</v>
      </c>
      <c r="N182" s="77" t="n">
        <v>1800000</v>
      </c>
      <c r="O182" s="75" t="inlineStr">
        <is>
          <t>Client register + Transaction records</t>
        </is>
      </c>
      <c r="P182" s="75" t="inlineStr">
        <is>
          <t>Closed</t>
        </is>
      </c>
      <c r="Q182" s="75" t="inlineStr">
        <is>
          <t>Mr Ogidan Williams</t>
        </is>
      </c>
      <c r="R182" s="75" t="n"/>
    </row>
    <row r="183" ht="25" customHeight="1">
      <c r="A183" s="78" t="inlineStr">
        <is>
          <t>BP-C0167</t>
        </is>
      </c>
      <c r="B183" s="78" t="inlineStr">
        <is>
          <t>Mr Uneze Grant Chetana</t>
        </is>
      </c>
      <c r="C183" s="78" t="n"/>
      <c r="D183" s="78" t="n"/>
      <c r="E183" s="78" t="inlineStr">
        <is>
          <t>Land</t>
        </is>
      </c>
      <c r="F183" s="78" t="inlineStr">
        <is>
          <t>Land (estate not stated in source)</t>
        </is>
      </c>
      <c r="G183" s="79" t="n"/>
      <c r="H183" s="79" t="n">
        <v>45686</v>
      </c>
      <c r="I183" s="80" t="n">
        <v>0</v>
      </c>
      <c r="J183" s="80" t="n">
        <v>0</v>
      </c>
      <c r="K183" s="80" t="n">
        <v>0</v>
      </c>
      <c r="L183" s="80" t="n">
        <v>0</v>
      </c>
      <c r="M183" s="80" t="n">
        <v>3000000</v>
      </c>
      <c r="N183" s="80" t="n">
        <v>3000000</v>
      </c>
      <c r="O183" s="78" t="inlineStr">
        <is>
          <t>Transaction records</t>
        </is>
      </c>
      <c r="P183" s="78" t="n"/>
      <c r="Q183" s="78" t="n"/>
      <c r="R183" s="78" t="inlineStr">
        <is>
          <t>Not in client register: contract value unknown</t>
        </is>
      </c>
    </row>
    <row r="184" ht="25" customHeight="1">
      <c r="A184" s="75" t="inlineStr">
        <is>
          <t>BP-C0168</t>
        </is>
      </c>
      <c r="B184" s="75" t="inlineStr">
        <is>
          <t>Mrs Adenuga Damilola Grace</t>
        </is>
      </c>
      <c r="C184" s="75" t="inlineStr">
        <is>
          <t>8162114151, +447876896057</t>
        </is>
      </c>
      <c r="D184" s="75" t="inlineStr">
        <is>
          <t>dammiep@gmail.com</t>
        </is>
      </c>
      <c r="E184" s="75" t="inlineStr">
        <is>
          <t>Land</t>
        </is>
      </c>
      <c r="F184" s="75" t="inlineStr">
        <is>
          <t>Green City Phase 3 Extension (Omu-Epe); Land (estate not stated in source)</t>
        </is>
      </c>
      <c r="G184" s="76" t="n">
        <v>45692</v>
      </c>
      <c r="H184" s="76" t="n">
        <v>45692</v>
      </c>
      <c r="I184" s="77" t="n">
        <v>2000000</v>
      </c>
      <c r="J184" s="77" t="n">
        <v>2000000</v>
      </c>
      <c r="K184" s="77" t="n">
        <v>0</v>
      </c>
      <c r="L184" s="77" t="n">
        <v>0</v>
      </c>
      <c r="M184" s="77" t="n">
        <v>2000000</v>
      </c>
      <c r="N184" s="77" t="n">
        <v>2000000</v>
      </c>
      <c r="O184" s="75" t="inlineStr">
        <is>
          <t>Client register + Transaction records</t>
        </is>
      </c>
      <c r="P184" s="75" t="inlineStr">
        <is>
          <t>Bought</t>
        </is>
      </c>
      <c r="Q184" s="75" t="inlineStr">
        <is>
          <t>Ms Adenike</t>
        </is>
      </c>
      <c r="R184" s="75" t="n"/>
    </row>
    <row r="185" ht="25" customHeight="1">
      <c r="A185" s="78" t="inlineStr">
        <is>
          <t>BP-C0169</t>
        </is>
      </c>
      <c r="B185" s="78" t="inlineStr">
        <is>
          <t>Miss Isawumi Daniella Mojoyin</t>
        </is>
      </c>
      <c r="C185" s="78" t="inlineStr">
        <is>
          <t>09017248116, 07026905379</t>
        </is>
      </c>
      <c r="D185" s="78" t="inlineStr">
        <is>
          <t>isawumidaniella4@gmail.com</t>
        </is>
      </c>
      <c r="E185" s="78" t="inlineStr">
        <is>
          <t>Land</t>
        </is>
      </c>
      <c r="F185" s="78" t="inlineStr">
        <is>
          <t>Heritage Garden</t>
        </is>
      </c>
      <c r="G185" s="79" t="n">
        <v>45693</v>
      </c>
      <c r="H185" s="79" t="n"/>
      <c r="I185" s="80" t="n">
        <v>594000</v>
      </c>
      <c r="J185" s="80" t="n">
        <v>75000</v>
      </c>
      <c r="K185" s="80" t="n">
        <v>0</v>
      </c>
      <c r="L185" s="80" t="n">
        <v>0</v>
      </c>
      <c r="M185" s="80" t="n">
        <v>0</v>
      </c>
      <c r="N185" s="80" t="n">
        <v>0</v>
      </c>
      <c r="O185" s="78" t="inlineStr">
        <is>
          <t>Client register</t>
        </is>
      </c>
      <c r="P185" s="78" t="inlineStr">
        <is>
          <t>Paying</t>
        </is>
      </c>
      <c r="Q185" s="78" t="inlineStr">
        <is>
          <t>Ms Daniella</t>
        </is>
      </c>
      <c r="R185" s="78" t="n"/>
    </row>
    <row r="186" ht="25" customHeight="1">
      <c r="A186" s="75" t="inlineStr">
        <is>
          <t>BP-C0170</t>
        </is>
      </c>
      <c r="B186" s="75" t="inlineStr">
        <is>
          <t>Mr Owomoyela Abiodun Michael</t>
        </is>
      </c>
      <c r="C186" s="75" t="n"/>
      <c r="D186" s="75" t="n"/>
      <c r="E186" s="75" t="inlineStr">
        <is>
          <t>Land</t>
        </is>
      </c>
      <c r="F186" s="75" t="inlineStr">
        <is>
          <t>Land (estate not stated in source)</t>
        </is>
      </c>
      <c r="G186" s="76" t="n"/>
      <c r="H186" s="76" t="n">
        <v>45694</v>
      </c>
      <c r="I186" s="77" t="n">
        <v>0</v>
      </c>
      <c r="J186" s="77" t="n">
        <v>0</v>
      </c>
      <c r="K186" s="77" t="n">
        <v>0</v>
      </c>
      <c r="L186" s="77" t="n">
        <v>0</v>
      </c>
      <c r="M186" s="77" t="n">
        <v>3800000</v>
      </c>
      <c r="N186" s="77" t="n">
        <v>3800000</v>
      </c>
      <c r="O186" s="75" t="inlineStr">
        <is>
          <t>Transaction records</t>
        </is>
      </c>
      <c r="P186" s="75" t="n"/>
      <c r="Q186" s="75" t="n"/>
      <c r="R186" s="75" t="inlineStr">
        <is>
          <t>Not in client register: contract value unknown</t>
        </is>
      </c>
    </row>
    <row r="187" ht="25" customHeight="1">
      <c r="A187" s="78" t="inlineStr">
        <is>
          <t>BP-C0171</t>
        </is>
      </c>
      <c r="B187" s="78" t="inlineStr">
        <is>
          <t>Mr Owomoyela Abiodun Micheal</t>
        </is>
      </c>
      <c r="C187" s="78" t="inlineStr">
        <is>
          <t>9163570306, +27845740756</t>
        </is>
      </c>
      <c r="D187" s="78" t="inlineStr">
        <is>
          <t>Kingkunta1011@gmail.com</t>
        </is>
      </c>
      <c r="E187" s="78" t="inlineStr">
        <is>
          <t>Land</t>
        </is>
      </c>
      <c r="F187" s="78" t="inlineStr">
        <is>
          <t>Green City Phase 3 Extension (Omu-Epe)</t>
        </is>
      </c>
      <c r="G187" s="79" t="n">
        <v>45694</v>
      </c>
      <c r="H187" s="79" t="n"/>
      <c r="I187" s="80" t="n">
        <v>3800000</v>
      </c>
      <c r="J187" s="80" t="n">
        <v>3800000</v>
      </c>
      <c r="K187" s="80" t="n">
        <v>0</v>
      </c>
      <c r="L187" s="80" t="n">
        <v>0</v>
      </c>
      <c r="M187" s="80" t="n">
        <v>0</v>
      </c>
      <c r="N187" s="80" t="n">
        <v>0</v>
      </c>
      <c r="O187" s="78" t="inlineStr">
        <is>
          <t>Client register</t>
        </is>
      </c>
      <c r="P187" s="78" t="inlineStr">
        <is>
          <t>Bought</t>
        </is>
      </c>
      <c r="Q187" s="78" t="inlineStr">
        <is>
          <t>Ms Abisola (Team Tobi)</t>
        </is>
      </c>
      <c r="R187" s="78" t="n"/>
    </row>
    <row r="188" ht="25" customHeight="1">
      <c r="A188" s="75" t="inlineStr">
        <is>
          <t>BP-C0172</t>
        </is>
      </c>
      <c r="B188" s="75" t="inlineStr">
        <is>
          <t>Mr Peter Chidera Eteng</t>
        </is>
      </c>
      <c r="C188" s="75" t="n"/>
      <c r="D188" s="75" t="n"/>
      <c r="E188" s="75" t="inlineStr">
        <is>
          <t>Land</t>
        </is>
      </c>
      <c r="F188" s="75" t="inlineStr">
        <is>
          <t>Land (estate not stated in source)</t>
        </is>
      </c>
      <c r="G188" s="76" t="n"/>
      <c r="H188" s="76" t="n">
        <v>45698</v>
      </c>
      <c r="I188" s="77" t="n">
        <v>0</v>
      </c>
      <c r="J188" s="77" t="n">
        <v>0</v>
      </c>
      <c r="K188" s="77" t="n">
        <v>0</v>
      </c>
      <c r="L188" s="77" t="n">
        <v>0</v>
      </c>
      <c r="M188" s="77" t="n">
        <v>200000</v>
      </c>
      <c r="N188" s="77" t="n">
        <v>200000</v>
      </c>
      <c r="O188" s="75" t="inlineStr">
        <is>
          <t>Transaction records</t>
        </is>
      </c>
      <c r="P188" s="75" t="n"/>
      <c r="Q188" s="75" t="n"/>
      <c r="R188" s="75" t="inlineStr">
        <is>
          <t>Not in client register: contract value unknown</t>
        </is>
      </c>
    </row>
    <row r="189" ht="25" customHeight="1">
      <c r="A189" s="78" t="inlineStr">
        <is>
          <t>BP-C0173</t>
        </is>
      </c>
      <c r="B189" s="78" t="inlineStr">
        <is>
          <t>Miss Julian-Nwadi Hephzibah Chisom</t>
        </is>
      </c>
      <c r="C189" s="78" t="inlineStr">
        <is>
          <t>08138479659, 08067636002</t>
        </is>
      </c>
      <c r="D189" s="78" t="inlineStr">
        <is>
          <t>juliannwadi@gmail.com</t>
        </is>
      </c>
      <c r="E189" s="78" t="inlineStr">
        <is>
          <t>Land</t>
        </is>
      </c>
      <c r="F189" s="78" t="inlineStr">
        <is>
          <t>Heritage Garden; Land (estate not stated in source)</t>
        </is>
      </c>
      <c r="G189" s="79" t="n">
        <v>45702</v>
      </c>
      <c r="H189" s="79" t="n">
        <v>45702</v>
      </c>
      <c r="I189" s="80" t="n">
        <v>1050000</v>
      </c>
      <c r="J189" s="80" t="n">
        <v>1050000</v>
      </c>
      <c r="K189" s="80" t="n">
        <v>0</v>
      </c>
      <c r="L189" s="80" t="n">
        <v>0</v>
      </c>
      <c r="M189" s="80" t="n">
        <v>1050000</v>
      </c>
      <c r="N189" s="80" t="n">
        <v>1050000</v>
      </c>
      <c r="O189" s="78" t="inlineStr">
        <is>
          <t>Client register + Transaction records</t>
        </is>
      </c>
      <c r="P189" s="78" t="inlineStr">
        <is>
          <t>Bought</t>
        </is>
      </c>
      <c r="Q189" s="78" t="inlineStr">
        <is>
          <t>Ms Rosemary</t>
        </is>
      </c>
      <c r="R189" s="78" t="n"/>
    </row>
    <row r="190" ht="25" customHeight="1">
      <c r="A190" s="75" t="inlineStr">
        <is>
          <t>BP-C0174</t>
        </is>
      </c>
      <c r="B190" s="75" t="inlineStr">
        <is>
          <t>Mr Kafidipe Oladimeji Ayomikusibe</t>
        </is>
      </c>
      <c r="C190" s="75" t="inlineStr">
        <is>
          <t>9035216961</t>
        </is>
      </c>
      <c r="D190" s="75" t="inlineStr">
        <is>
          <t>oladimejikafidipe@yahoo.com</t>
        </is>
      </c>
      <c r="E190" s="75" t="inlineStr">
        <is>
          <t>Land</t>
        </is>
      </c>
      <c r="F190" s="75" t="inlineStr">
        <is>
          <t>Green Hillside; Land (estate not stated in source)</t>
        </is>
      </c>
      <c r="G190" s="76" t="n">
        <v>45713</v>
      </c>
      <c r="H190" s="76" t="n">
        <v>45713</v>
      </c>
      <c r="I190" s="77" t="n">
        <v>3800000</v>
      </c>
      <c r="J190" s="77" t="n">
        <v>3800000</v>
      </c>
      <c r="K190" s="77" t="n">
        <v>0</v>
      </c>
      <c r="L190" s="77" t="n">
        <v>0</v>
      </c>
      <c r="M190" s="77" t="n">
        <v>3150000</v>
      </c>
      <c r="N190" s="77" t="n">
        <v>3150000</v>
      </c>
      <c r="O190" s="75" t="inlineStr">
        <is>
          <t>Client register + Transaction records</t>
        </is>
      </c>
      <c r="P190" s="75" t="inlineStr">
        <is>
          <t>Bought</t>
        </is>
      </c>
      <c r="Q190" s="75" t="inlineStr">
        <is>
          <t>Ms Olabisi</t>
        </is>
      </c>
      <c r="R190" s="75" t="n"/>
    </row>
    <row r="191" ht="25" customHeight="1">
      <c r="A191" s="78" t="inlineStr">
        <is>
          <t>BP-C0175</t>
        </is>
      </c>
      <c r="B191" s="78" t="inlineStr">
        <is>
          <t>Mr Marizu Precious Chisom</t>
        </is>
      </c>
      <c r="C191" s="78" t="inlineStr">
        <is>
          <t>8037475848, 08035251271</t>
        </is>
      </c>
      <c r="D191" s="78" t="inlineStr">
        <is>
          <t>preciousmarizu@gmail.com</t>
        </is>
      </c>
      <c r="E191" s="78" t="inlineStr">
        <is>
          <t>Land</t>
        </is>
      </c>
      <c r="F191" s="78" t="inlineStr">
        <is>
          <t>Green City Phase 3 Extension (Omu-Epe); Land (estate not stated in source)</t>
        </is>
      </c>
      <c r="G191" s="79" t="n">
        <v>45716</v>
      </c>
      <c r="H191" s="79" t="n">
        <v>45714</v>
      </c>
      <c r="I191" s="80" t="n">
        <v>3800000</v>
      </c>
      <c r="J191" s="80" t="n">
        <v>3800000</v>
      </c>
      <c r="K191" s="80" t="n">
        <v>0</v>
      </c>
      <c r="L191" s="80" t="n">
        <v>0</v>
      </c>
      <c r="M191" s="80" t="n">
        <v>3800000</v>
      </c>
      <c r="N191" s="80" t="n">
        <v>3800000</v>
      </c>
      <c r="O191" s="78" t="inlineStr">
        <is>
          <t>Client register + Transaction records</t>
        </is>
      </c>
      <c r="P191" s="78" t="inlineStr">
        <is>
          <t>Bought</t>
        </is>
      </c>
      <c r="Q191" s="78" t="inlineStr">
        <is>
          <t>Mr Daniel</t>
        </is>
      </c>
      <c r="R191" s="78" t="n"/>
    </row>
    <row r="192" ht="25" customHeight="1">
      <c r="A192" s="75" t="inlineStr">
        <is>
          <t>BP-C0176</t>
        </is>
      </c>
      <c r="B192" s="75" t="inlineStr">
        <is>
          <t>Mrs Marizu Geraldine Ijeoma</t>
        </is>
      </c>
      <c r="C192" s="75" t="inlineStr">
        <is>
          <t>8065501731, 08035251271</t>
        </is>
      </c>
      <c r="D192" s="75" t="inlineStr">
        <is>
          <t>ijeomamarizu@gmail.com</t>
        </is>
      </c>
      <c r="E192" s="75" t="inlineStr">
        <is>
          <t>Land</t>
        </is>
      </c>
      <c r="F192" s="75" t="inlineStr">
        <is>
          <t>Green City Phase 3 Extension (Omu-Epe); Land (estate not stated in source)</t>
        </is>
      </c>
      <c r="G192" s="76" t="n">
        <v>45716</v>
      </c>
      <c r="H192" s="76" t="n">
        <v>45714</v>
      </c>
      <c r="I192" s="77" t="n">
        <v>3800000</v>
      </c>
      <c r="J192" s="77" t="n">
        <v>3800000</v>
      </c>
      <c r="K192" s="77" t="n">
        <v>0</v>
      </c>
      <c r="L192" s="77" t="n">
        <v>0</v>
      </c>
      <c r="M192" s="77" t="n">
        <v>3800000</v>
      </c>
      <c r="N192" s="77" t="n">
        <v>3800000</v>
      </c>
      <c r="O192" s="75" t="inlineStr">
        <is>
          <t>Client register + Transaction records</t>
        </is>
      </c>
      <c r="P192" s="75" t="inlineStr">
        <is>
          <t>Bought</t>
        </is>
      </c>
      <c r="Q192" s="75" t="inlineStr">
        <is>
          <t>Mr Daniel</t>
        </is>
      </c>
      <c r="R192" s="75" t="n"/>
    </row>
    <row r="193" ht="25" customHeight="1">
      <c r="A193" s="78" t="inlineStr">
        <is>
          <t>BP-C0177</t>
        </is>
      </c>
      <c r="B193" s="78" t="inlineStr">
        <is>
          <t>Mrs. Osobu Olufunke</t>
        </is>
      </c>
      <c r="C193" s="78" t="n"/>
      <c r="D193" s="78" t="n"/>
      <c r="E193" s="78" t="inlineStr">
        <is>
          <t>Housing</t>
        </is>
      </c>
      <c r="F193" s="78" t="inlineStr">
        <is>
          <t>Baay Foreshore</t>
        </is>
      </c>
      <c r="G193" s="79" t="n"/>
      <c r="H193" s="79" t="n">
        <v>45718</v>
      </c>
      <c r="I193" s="80" t="n">
        <v>0</v>
      </c>
      <c r="J193" s="80" t="n">
        <v>0</v>
      </c>
      <c r="K193" s="80" t="n">
        <v>0</v>
      </c>
      <c r="L193" s="80" t="n">
        <v>0</v>
      </c>
      <c r="M193" s="80" t="n">
        <v>25000000</v>
      </c>
      <c r="N193" s="80" t="n">
        <v>25000000</v>
      </c>
      <c r="O193" s="78" t="inlineStr">
        <is>
          <t>Transaction records</t>
        </is>
      </c>
      <c r="P193" s="78" t="n"/>
      <c r="Q193" s="78" t="n"/>
      <c r="R193" s="78" t="inlineStr">
        <is>
          <t>Not in client register: contract value unknown</t>
        </is>
      </c>
    </row>
    <row r="194" ht="25" customHeight="1">
      <c r="A194" s="75" t="inlineStr">
        <is>
          <t>BP-C0178</t>
        </is>
      </c>
      <c r="B194" s="75" t="inlineStr">
        <is>
          <t>Mrs Ajiri-Odeh Chioma Cynthia</t>
        </is>
      </c>
      <c r="C194" s="75" t="inlineStr">
        <is>
          <t>8103504017, 09130978220</t>
        </is>
      </c>
      <c r="D194" s="75" t="inlineStr">
        <is>
          <t>chiomaajiriodeh12345@gmail.com</t>
        </is>
      </c>
      <c r="E194" s="75" t="inlineStr">
        <is>
          <t>Land</t>
        </is>
      </c>
      <c r="F194" s="75" t="inlineStr">
        <is>
          <t>Heritage Garden; Land (estate not stated in source)</t>
        </is>
      </c>
      <c r="G194" s="76" t="n">
        <v>45719</v>
      </c>
      <c r="H194" s="76" t="n">
        <v>45719</v>
      </c>
      <c r="I194" s="77" t="n">
        <v>1050000</v>
      </c>
      <c r="J194" s="77" t="n">
        <v>1050000</v>
      </c>
      <c r="K194" s="77" t="n">
        <v>0</v>
      </c>
      <c r="L194" s="77" t="n">
        <v>0</v>
      </c>
      <c r="M194" s="77" t="n">
        <v>1050000</v>
      </c>
      <c r="N194" s="77" t="n">
        <v>1050000</v>
      </c>
      <c r="O194" s="75" t="inlineStr">
        <is>
          <t>Client register + Transaction records</t>
        </is>
      </c>
      <c r="P194" s="75" t="inlineStr">
        <is>
          <t>Bought</t>
        </is>
      </c>
      <c r="Q194" s="75" t="inlineStr">
        <is>
          <t>Ms Jennifer (Team Kenny Bruce</t>
        </is>
      </c>
      <c r="R194" s="75" t="n"/>
    </row>
    <row r="195" ht="25" customHeight="1">
      <c r="A195" s="78" t="inlineStr">
        <is>
          <t>BP-C0179</t>
        </is>
      </c>
      <c r="B195" s="78" t="inlineStr">
        <is>
          <t>Mr Olajide Afeez</t>
        </is>
      </c>
      <c r="C195" s="78" t="n"/>
      <c r="D195" s="78" t="n"/>
      <c r="E195" s="78" t="inlineStr">
        <is>
          <t>Housing</t>
        </is>
      </c>
      <c r="F195" s="78" t="inlineStr">
        <is>
          <t>Pacific Apartment</t>
        </is>
      </c>
      <c r="G195" s="79" t="n"/>
      <c r="H195" s="79" t="n">
        <v>45722</v>
      </c>
      <c r="I195" s="80" t="n">
        <v>0</v>
      </c>
      <c r="J195" s="80" t="n">
        <v>0</v>
      </c>
      <c r="K195" s="80" t="n">
        <v>0</v>
      </c>
      <c r="L195" s="80" t="n">
        <v>0</v>
      </c>
      <c r="M195" s="80" t="n">
        <v>100000000</v>
      </c>
      <c r="N195" s="80" t="n">
        <v>100000000</v>
      </c>
      <c r="O195" s="78" t="inlineStr">
        <is>
          <t>Transaction records</t>
        </is>
      </c>
      <c r="P195" s="78" t="n"/>
      <c r="Q195" s="78" t="n"/>
      <c r="R195" s="78" t="inlineStr">
        <is>
          <t>Not in client register: contract value unknown</t>
        </is>
      </c>
    </row>
    <row r="196" ht="25" customHeight="1">
      <c r="A196" s="75" t="inlineStr">
        <is>
          <t>BP-C0180</t>
        </is>
      </c>
      <c r="B196" s="75" t="inlineStr">
        <is>
          <t>Mr Olajide Hafeez olakunle</t>
        </is>
      </c>
      <c r="C196" s="75" t="inlineStr">
        <is>
          <t>8034777397</t>
        </is>
      </c>
      <c r="D196" s="75" t="inlineStr">
        <is>
          <t>hafeezolajide@yahoo.com</t>
        </is>
      </c>
      <c r="E196" s="75" t="inlineStr">
        <is>
          <t>Housing</t>
        </is>
      </c>
      <c r="F196" s="75" t="inlineStr">
        <is>
          <t>Pacific Apartment</t>
        </is>
      </c>
      <c r="G196" s="76" t="n">
        <v>45722</v>
      </c>
      <c r="H196" s="76" t="n"/>
      <c r="I196" s="77" t="n">
        <v>100000000</v>
      </c>
      <c r="J196" s="77" t="n">
        <v>100000000</v>
      </c>
      <c r="K196" s="77" t="n">
        <v>0</v>
      </c>
      <c r="L196" s="77" t="n">
        <v>0</v>
      </c>
      <c r="M196" s="77" t="n">
        <v>0</v>
      </c>
      <c r="N196" s="77" t="n">
        <v>0</v>
      </c>
      <c r="O196" s="75" t="inlineStr">
        <is>
          <t>Client register</t>
        </is>
      </c>
      <c r="P196" s="75" t="inlineStr">
        <is>
          <t>Bought</t>
        </is>
      </c>
      <c r="Q196" s="75" t="inlineStr">
        <is>
          <t>MD</t>
        </is>
      </c>
      <c r="R196" s="75" t="n"/>
    </row>
    <row r="197" ht="25" customHeight="1">
      <c r="A197" s="78" t="inlineStr">
        <is>
          <t>BP-C0181</t>
        </is>
      </c>
      <c r="B197" s="78" t="inlineStr">
        <is>
          <t>Miss Joshua Fortune Ufot</t>
        </is>
      </c>
      <c r="C197" s="78" t="inlineStr">
        <is>
          <t>8065097815, 09019795100</t>
        </is>
      </c>
      <c r="D197" s="78" t="inlineStr">
        <is>
          <t>fortunatusreal3@gmail.com</t>
        </is>
      </c>
      <c r="E197" s="78" t="inlineStr">
        <is>
          <t>Land</t>
        </is>
      </c>
      <c r="F197" s="78" t="inlineStr">
        <is>
          <t>Green Hillside; Land (estate not stated in source)</t>
        </is>
      </c>
      <c r="G197" s="79" t="n">
        <v>45728</v>
      </c>
      <c r="H197" s="79" t="n">
        <v>45739</v>
      </c>
      <c r="I197" s="80" t="n">
        <v>3400000</v>
      </c>
      <c r="J197" s="80" t="n">
        <v>3400000</v>
      </c>
      <c r="K197" s="80" t="n">
        <v>0</v>
      </c>
      <c r="L197" s="80" t="n">
        <v>0</v>
      </c>
      <c r="M197" s="80" t="n">
        <v>3500000</v>
      </c>
      <c r="N197" s="80" t="n">
        <v>3500000</v>
      </c>
      <c r="O197" s="78" t="inlineStr">
        <is>
          <t>Client register + Transaction records</t>
        </is>
      </c>
      <c r="P197" s="78" t="inlineStr">
        <is>
          <t>Bought</t>
        </is>
      </c>
      <c r="Q197" s="78" t="inlineStr">
        <is>
          <t>Ms Praise</t>
        </is>
      </c>
      <c r="R197" s="78" t="inlineStr">
        <is>
          <t>Receipts exceed register contract value: check for duplicate entries, extra plots or ancillary fees</t>
        </is>
      </c>
    </row>
    <row r="198" ht="25" customHeight="1">
      <c r="A198" s="75" t="inlineStr">
        <is>
          <t>BP-C0182</t>
        </is>
      </c>
      <c r="B198" s="75" t="inlineStr">
        <is>
          <t>Mr Adebayo Adetunji Yusuff</t>
        </is>
      </c>
      <c r="C198" s="75" t="inlineStr">
        <is>
          <t>8146833679, 07063003795</t>
        </is>
      </c>
      <c r="D198" s="75" t="inlineStr">
        <is>
          <t>ADEBAYOADETUNJI313@GMAIL.COM</t>
        </is>
      </c>
      <c r="E198" s="75" t="inlineStr">
        <is>
          <t>Land</t>
        </is>
      </c>
      <c r="F198" s="75" t="inlineStr">
        <is>
          <t>Green Hillside</t>
        </is>
      </c>
      <c r="G198" s="76" t="n">
        <v>45728</v>
      </c>
      <c r="H198" s="76" t="n"/>
      <c r="I198" s="77" t="n">
        <v>1680000</v>
      </c>
      <c r="J198" s="77" t="n">
        <v>1340000</v>
      </c>
      <c r="K198" s="77" t="n">
        <v>0</v>
      </c>
      <c r="L198" s="77" t="n">
        <v>0</v>
      </c>
      <c r="M198" s="77" t="n">
        <v>0</v>
      </c>
      <c r="N198" s="77" t="n">
        <v>0</v>
      </c>
      <c r="O198" s="75" t="inlineStr">
        <is>
          <t>Client register</t>
        </is>
      </c>
      <c r="P198" s="75" t="inlineStr">
        <is>
          <t>Paying</t>
        </is>
      </c>
      <c r="Q198" s="75" t="inlineStr">
        <is>
          <t>Mr Adetunji Yusuf (Team Praise)</t>
        </is>
      </c>
      <c r="R198" s="75" t="n"/>
    </row>
    <row r="199" ht="25" customHeight="1">
      <c r="A199" s="78" t="inlineStr">
        <is>
          <t>BP-C0183</t>
        </is>
      </c>
      <c r="B199" s="78" t="inlineStr">
        <is>
          <t>Salem Real Estate (Mr Atoyebi Isaac Jesuloba)</t>
        </is>
      </c>
      <c r="C199" s="78" t="n"/>
      <c r="D199" s="78" t="n"/>
      <c r="E199" s="78" t="inlineStr">
        <is>
          <t>Housing</t>
        </is>
      </c>
      <c r="F199" s="78" t="inlineStr">
        <is>
          <t>Pacific Apartment</t>
        </is>
      </c>
      <c r="G199" s="79" t="n"/>
      <c r="H199" s="79" t="n">
        <v>45730</v>
      </c>
      <c r="I199" s="80" t="n">
        <v>0</v>
      </c>
      <c r="J199" s="80" t="n">
        <v>0</v>
      </c>
      <c r="K199" s="80" t="n">
        <v>0</v>
      </c>
      <c r="L199" s="80" t="n">
        <v>0</v>
      </c>
      <c r="M199" s="80" t="n">
        <v>5000000</v>
      </c>
      <c r="N199" s="80" t="n">
        <v>5000000</v>
      </c>
      <c r="O199" s="78" t="inlineStr">
        <is>
          <t>Transaction records</t>
        </is>
      </c>
      <c r="P199" s="78" t="n"/>
      <c r="Q199" s="78" t="n"/>
      <c r="R199" s="78" t="inlineStr">
        <is>
          <t>Not in client register: contract value unknown</t>
        </is>
      </c>
    </row>
    <row r="200" ht="25" customHeight="1">
      <c r="A200" s="75" t="inlineStr">
        <is>
          <t>BP-C0184</t>
        </is>
      </c>
      <c r="B200" s="75" t="inlineStr">
        <is>
          <t>Mr Klu Jeremiah</t>
        </is>
      </c>
      <c r="C200" s="75" t="inlineStr">
        <is>
          <t>09130415985, 09133940546</t>
        </is>
      </c>
      <c r="D200" s="75" t="inlineStr">
        <is>
          <t>klujeremiah517@gmail.com</t>
        </is>
      </c>
      <c r="E200" s="75" t="inlineStr">
        <is>
          <t>Land</t>
        </is>
      </c>
      <c r="F200" s="75" t="inlineStr">
        <is>
          <t>Heritage Garden; Land (estate not stated in source)</t>
        </is>
      </c>
      <c r="G200" s="76" t="n">
        <v>45734</v>
      </c>
      <c r="H200" s="76" t="n">
        <v>45734</v>
      </c>
      <c r="I200" s="77" t="n">
        <v>2100000</v>
      </c>
      <c r="J200" s="77" t="n">
        <v>2100000</v>
      </c>
      <c r="K200" s="77" t="n">
        <v>0</v>
      </c>
      <c r="L200" s="77" t="n">
        <v>0</v>
      </c>
      <c r="M200" s="77" t="n">
        <v>2100000</v>
      </c>
      <c r="N200" s="77" t="n">
        <v>2100000</v>
      </c>
      <c r="O200" s="75" t="inlineStr">
        <is>
          <t>Client register + Transaction records</t>
        </is>
      </c>
      <c r="P200" s="75" t="inlineStr">
        <is>
          <t>Bought</t>
        </is>
      </c>
      <c r="Q200" s="75" t="inlineStr">
        <is>
          <t>Ms Bolanle</t>
        </is>
      </c>
      <c r="R200" s="75" t="n"/>
    </row>
    <row r="201" ht="25" customHeight="1">
      <c r="A201" s="78" t="inlineStr">
        <is>
          <t>BP-C0185</t>
        </is>
      </c>
      <c r="B201" s="78" t="inlineStr">
        <is>
          <t>Mr Onwuegbuna Ikechukwu Emmanuel</t>
        </is>
      </c>
      <c r="C201" s="78" t="n"/>
      <c r="D201" s="78" t="n"/>
      <c r="E201" s="78" t="inlineStr">
        <is>
          <t>Housing</t>
        </is>
      </c>
      <c r="F201" s="78" t="inlineStr">
        <is>
          <t>Pacific Court 2</t>
        </is>
      </c>
      <c r="G201" s="79" t="n"/>
      <c r="H201" s="79" t="n">
        <v>45736</v>
      </c>
      <c r="I201" s="80" t="n">
        <v>0</v>
      </c>
      <c r="J201" s="80" t="n">
        <v>0</v>
      </c>
      <c r="K201" s="80" t="n">
        <v>0</v>
      </c>
      <c r="L201" s="80" t="n">
        <v>0</v>
      </c>
      <c r="M201" s="80" t="n">
        <v>36000000</v>
      </c>
      <c r="N201" s="80" t="n">
        <v>36000000</v>
      </c>
      <c r="O201" s="78" t="inlineStr">
        <is>
          <t>Transaction records</t>
        </is>
      </c>
      <c r="P201" s="78" t="n"/>
      <c r="Q201" s="78" t="n"/>
      <c r="R201" s="78" t="inlineStr">
        <is>
          <t>Not in client register: contract value unknown</t>
        </is>
      </c>
    </row>
    <row r="202" ht="25" customHeight="1">
      <c r="A202" s="75" t="inlineStr">
        <is>
          <t>BP-C0186</t>
        </is>
      </c>
      <c r="B202" s="75" t="inlineStr">
        <is>
          <t>Mrs Omoko Onora Helen (Salem Real Estate Development</t>
        </is>
      </c>
      <c r="C202" s="75" t="inlineStr">
        <is>
          <t>08037105310, 4407535848203</t>
        </is>
      </c>
      <c r="D202" s="75" t="inlineStr">
        <is>
          <t>helenomoko@yahoo.com</t>
        </is>
      </c>
      <c r="E202" s="75" t="inlineStr">
        <is>
          <t>Housing</t>
        </is>
      </c>
      <c r="F202" s="75" t="inlineStr">
        <is>
          <t>Pacific Apartment</t>
        </is>
      </c>
      <c r="G202" s="76" t="n">
        <v>45737</v>
      </c>
      <c r="H202" s="76" t="n">
        <v>45737</v>
      </c>
      <c r="I202" s="77" t="n">
        <v>98000000</v>
      </c>
      <c r="J202" s="77" t="n">
        <v>79725000</v>
      </c>
      <c r="K202" s="77" t="n">
        <v>0</v>
      </c>
      <c r="L202" s="77" t="n">
        <v>0</v>
      </c>
      <c r="M202" s="77" t="n">
        <v>41725000</v>
      </c>
      <c r="N202" s="77" t="n">
        <v>41725000</v>
      </c>
      <c r="O202" s="75" t="inlineStr">
        <is>
          <t>Client register + Transaction records</t>
        </is>
      </c>
      <c r="P202" s="75" t="inlineStr">
        <is>
          <t>Paying</t>
        </is>
      </c>
      <c r="Q202" s="75" t="inlineStr">
        <is>
          <t>Salem Real Estate</t>
        </is>
      </c>
      <c r="R202" s="75" t="n"/>
    </row>
    <row r="203" ht="25" customHeight="1">
      <c r="A203" s="78" t="inlineStr">
        <is>
          <t>BP-C0187</t>
        </is>
      </c>
      <c r="B203" s="78" t="inlineStr">
        <is>
          <t>Miss Olotu Tabitha Olamide</t>
        </is>
      </c>
      <c r="C203" s="78" t="inlineStr">
        <is>
          <t>9110166354</t>
        </is>
      </c>
      <c r="D203" s="78" t="inlineStr">
        <is>
          <t>ifeolamideolotu@gmail.com</t>
        </is>
      </c>
      <c r="E203" s="78" t="inlineStr">
        <is>
          <t>Land</t>
        </is>
      </c>
      <c r="F203" s="78" t="inlineStr">
        <is>
          <t>Green Hillside; Land (estate not stated in source)</t>
        </is>
      </c>
      <c r="G203" s="79" t="n">
        <v>45740</v>
      </c>
      <c r="H203" s="79" t="n">
        <v>45739</v>
      </c>
      <c r="I203" s="80" t="n">
        <v>1800000</v>
      </c>
      <c r="J203" s="80" t="n">
        <v>1800000</v>
      </c>
      <c r="K203" s="80" t="n">
        <v>0</v>
      </c>
      <c r="L203" s="80" t="n">
        <v>0</v>
      </c>
      <c r="M203" s="80" t="n">
        <v>1680000</v>
      </c>
      <c r="N203" s="80" t="n">
        <v>1680000</v>
      </c>
      <c r="O203" s="78" t="inlineStr">
        <is>
          <t>Client register + Transaction records</t>
        </is>
      </c>
      <c r="P203" s="78" t="inlineStr">
        <is>
          <t>Bought</t>
        </is>
      </c>
      <c r="Q203" s="78" t="inlineStr">
        <is>
          <t>Ms Okiki (Team Ope)</t>
        </is>
      </c>
      <c r="R203" s="78" t="n"/>
    </row>
    <row r="204" ht="25" customHeight="1">
      <c r="A204" s="75" t="inlineStr">
        <is>
          <t>BP-C0188</t>
        </is>
      </c>
      <c r="B204" s="75" t="inlineStr">
        <is>
          <t>Mrs Kazeem Mariam Omotunde</t>
        </is>
      </c>
      <c r="C204" s="75" t="inlineStr">
        <is>
          <t>12243346865, 12244909111</t>
        </is>
      </c>
      <c r="D204" s="75" t="inlineStr">
        <is>
          <t>mariamkazeem25@gmail.com</t>
        </is>
      </c>
      <c r="E204" s="75" t="inlineStr">
        <is>
          <t>Land</t>
        </is>
      </c>
      <c r="F204" s="75" t="inlineStr">
        <is>
          <t>Green City Phase 3 Extension (Omu-Epe); Land (estate not stated in source)</t>
        </is>
      </c>
      <c r="G204" s="76" t="n">
        <v>45745</v>
      </c>
      <c r="H204" s="76" t="n">
        <v>45745</v>
      </c>
      <c r="I204" s="77" t="n">
        <v>3800000</v>
      </c>
      <c r="J204" s="77" t="n">
        <v>3800000</v>
      </c>
      <c r="K204" s="77" t="n">
        <v>0</v>
      </c>
      <c r="L204" s="77" t="n">
        <v>0</v>
      </c>
      <c r="M204" s="77" t="n">
        <v>3800000</v>
      </c>
      <c r="N204" s="77" t="n">
        <v>3800000</v>
      </c>
      <c r="O204" s="75" t="inlineStr">
        <is>
          <t>Client register + Transaction records</t>
        </is>
      </c>
      <c r="P204" s="75" t="inlineStr">
        <is>
          <t>Bought</t>
        </is>
      </c>
      <c r="Q204" s="75" t="inlineStr">
        <is>
          <t>Ms Samuella (Team Pelumi)</t>
        </is>
      </c>
      <c r="R204" s="75" t="n"/>
    </row>
    <row r="205" ht="25" customHeight="1">
      <c r="A205" s="78" t="inlineStr">
        <is>
          <t>BP-C0189</t>
        </is>
      </c>
      <c r="B205" s="78" t="inlineStr">
        <is>
          <t>Mr &amp; Mrs Olowodagba Ganiyu</t>
        </is>
      </c>
      <c r="C205" s="78" t="inlineStr">
        <is>
          <t>08063054481, 09168871681</t>
        </is>
      </c>
      <c r="D205" s="78" t="inlineStr">
        <is>
          <t>ganiyuolowodagba@gmail.com</t>
        </is>
      </c>
      <c r="E205" s="78" t="inlineStr">
        <is>
          <t>Land</t>
        </is>
      </c>
      <c r="F205" s="78" t="inlineStr">
        <is>
          <t>Green Hillside; Land (estate not stated in source)</t>
        </is>
      </c>
      <c r="G205" s="79" t="n">
        <v>45747</v>
      </c>
      <c r="H205" s="79" t="n">
        <v>45746</v>
      </c>
      <c r="I205" s="80" t="n">
        <v>10200000</v>
      </c>
      <c r="J205" s="80" t="n">
        <v>10200000</v>
      </c>
      <c r="K205" s="80" t="n">
        <v>0</v>
      </c>
      <c r="L205" s="80" t="n">
        <v>0</v>
      </c>
      <c r="M205" s="80" t="n">
        <v>10200000</v>
      </c>
      <c r="N205" s="80" t="n">
        <v>10200000</v>
      </c>
      <c r="O205" s="78" t="inlineStr">
        <is>
          <t>Client register + Transaction records</t>
        </is>
      </c>
      <c r="P205" s="78" t="inlineStr">
        <is>
          <t>Bought</t>
        </is>
      </c>
      <c r="Q205" s="78" t="inlineStr">
        <is>
          <t>Mr William Ogidan</t>
        </is>
      </c>
      <c r="R205" s="78" t="n"/>
    </row>
    <row r="206" ht="25" customHeight="1">
      <c r="A206" s="75" t="inlineStr">
        <is>
          <t>BP-C0190</t>
        </is>
      </c>
      <c r="B206" s="75" t="inlineStr">
        <is>
          <t>Mr Olaiya Oluwatobi Emmanuel</t>
        </is>
      </c>
      <c r="C206" s="75" t="inlineStr">
        <is>
          <t>08168018315, 08160177604</t>
        </is>
      </c>
      <c r="D206" s="75" t="inlineStr">
        <is>
          <t>olaiyatobiemmanuel@yahoo.com</t>
        </is>
      </c>
      <c r="E206" s="75" t="inlineStr">
        <is>
          <t>Land</t>
        </is>
      </c>
      <c r="F206" s="75" t="inlineStr">
        <is>
          <t>Green City Phase 3 Extension (Omu-Epe); Land (estate not stated in source)</t>
        </is>
      </c>
      <c r="G206" s="76" t="n">
        <v>45747</v>
      </c>
      <c r="H206" s="76" t="n">
        <v>45747</v>
      </c>
      <c r="I206" s="77" t="n">
        <v>2000000</v>
      </c>
      <c r="J206" s="77" t="n">
        <v>1700000</v>
      </c>
      <c r="K206" s="77" t="n">
        <v>0</v>
      </c>
      <c r="L206" s="77" t="n">
        <v>0</v>
      </c>
      <c r="M206" s="77" t="n">
        <v>2000000</v>
      </c>
      <c r="N206" s="77" t="n">
        <v>2000000</v>
      </c>
      <c r="O206" s="75" t="inlineStr">
        <is>
          <t>Client register + Transaction records</t>
        </is>
      </c>
      <c r="P206" s="75" t="inlineStr">
        <is>
          <t>Paying</t>
        </is>
      </c>
      <c r="Q206" s="75" t="inlineStr">
        <is>
          <t>Ms Mayowa (Team Taiwo)</t>
        </is>
      </c>
      <c r="R206" s="75" t="n"/>
    </row>
    <row r="207" ht="25" customHeight="1">
      <c r="A207" s="78" t="inlineStr">
        <is>
          <t>BP-C0191</t>
        </is>
      </c>
      <c r="B207" s="78" t="inlineStr">
        <is>
          <t>Mrs Oduomah Jumoke Olantun</t>
        </is>
      </c>
      <c r="C207" s="78" t="inlineStr">
        <is>
          <t>08145280755, 08164535386</t>
        </is>
      </c>
      <c r="D207" s="78" t="inlineStr">
        <is>
          <t>adeyemijumokeolantun@gmail.com</t>
        </is>
      </c>
      <c r="E207" s="78" t="inlineStr">
        <is>
          <t>Land</t>
        </is>
      </c>
      <c r="F207" s="78" t="inlineStr">
        <is>
          <t>Green Hillside; Land (estate not stated in source)</t>
        </is>
      </c>
      <c r="G207" s="79" t="n">
        <v>45747</v>
      </c>
      <c r="H207" s="79" t="n">
        <v>45747</v>
      </c>
      <c r="I207" s="80" t="n">
        <v>1800000</v>
      </c>
      <c r="J207" s="80" t="n">
        <v>1800000</v>
      </c>
      <c r="K207" s="80" t="n">
        <v>0</v>
      </c>
      <c r="L207" s="80" t="n">
        <v>0</v>
      </c>
      <c r="M207" s="80" t="n">
        <v>1800000</v>
      </c>
      <c r="N207" s="80" t="n">
        <v>1800000</v>
      </c>
      <c r="O207" s="78" t="inlineStr">
        <is>
          <t>Client register + Transaction records</t>
        </is>
      </c>
      <c r="P207" s="78" t="inlineStr">
        <is>
          <t>Bought</t>
        </is>
      </c>
      <c r="Q207" s="78" t="inlineStr">
        <is>
          <t>Mr Kenny Bruce</t>
        </is>
      </c>
      <c r="R207" s="78" t="n"/>
    </row>
    <row r="208" ht="25" customHeight="1">
      <c r="A208" s="75" t="inlineStr">
        <is>
          <t>BP-C0192</t>
        </is>
      </c>
      <c r="B208" s="75" t="inlineStr">
        <is>
          <t>Dr Wilson Esangbedo</t>
        </is>
      </c>
      <c r="C208" s="75" t="inlineStr">
        <is>
          <t>8033018765</t>
        </is>
      </c>
      <c r="D208" s="75" t="inlineStr">
        <is>
          <t>sonedo2000@yahoo.com</t>
        </is>
      </c>
      <c r="E208" s="75" t="inlineStr">
        <is>
          <t>Housing</t>
        </is>
      </c>
      <c r="F208" s="75" t="inlineStr">
        <is>
          <t>Pacific Apartment</t>
        </is>
      </c>
      <c r="G208" s="76" t="n">
        <v>45752</v>
      </c>
      <c r="H208" s="76" t="n">
        <v>45752</v>
      </c>
      <c r="I208" s="77" t="n">
        <v>80000000</v>
      </c>
      <c r="J208" s="77" t="n">
        <v>53000000</v>
      </c>
      <c r="K208" s="77" t="n">
        <v>0</v>
      </c>
      <c r="L208" s="77" t="n">
        <v>0</v>
      </c>
      <c r="M208" s="77" t="n">
        <v>64000000</v>
      </c>
      <c r="N208" s="77" t="n">
        <v>64000000</v>
      </c>
      <c r="O208" s="75" t="inlineStr">
        <is>
          <t>Client register + Transaction records</t>
        </is>
      </c>
      <c r="P208" s="75" t="inlineStr">
        <is>
          <t>Paying</t>
        </is>
      </c>
      <c r="Q208" s="75" t="inlineStr">
        <is>
          <t>Ms Moffat</t>
        </is>
      </c>
      <c r="R208" s="75" t="n"/>
    </row>
    <row r="209" ht="25" customHeight="1">
      <c r="A209" s="78" t="inlineStr">
        <is>
          <t>BP-C0193</t>
        </is>
      </c>
      <c r="B209" s="78" t="inlineStr">
        <is>
          <t>Mr Emmanuel Famous Chinenye</t>
        </is>
      </c>
      <c r="C209" s="78" t="n"/>
      <c r="D209" s="78" t="n"/>
      <c r="E209" s="78" t="inlineStr">
        <is>
          <t>Land</t>
        </is>
      </c>
      <c r="F209" s="78" t="inlineStr">
        <is>
          <t>Land (estate not stated in source)</t>
        </is>
      </c>
      <c r="G209" s="79" t="n"/>
      <c r="H209" s="79" t="n">
        <v>45754</v>
      </c>
      <c r="I209" s="80" t="n">
        <v>0</v>
      </c>
      <c r="J209" s="80" t="n">
        <v>0</v>
      </c>
      <c r="K209" s="80" t="n">
        <v>0</v>
      </c>
      <c r="L209" s="80" t="n">
        <v>0</v>
      </c>
      <c r="M209" s="80" t="n">
        <v>1050000</v>
      </c>
      <c r="N209" s="80" t="n">
        <v>1050000</v>
      </c>
      <c r="O209" s="78" t="inlineStr">
        <is>
          <t>Transaction records</t>
        </is>
      </c>
      <c r="P209" s="78" t="n"/>
      <c r="Q209" s="78" t="n"/>
      <c r="R209" s="78" t="inlineStr">
        <is>
          <t>Not in client register: contract value unknown</t>
        </is>
      </c>
    </row>
    <row r="210" ht="25" customHeight="1">
      <c r="A210" s="75" t="inlineStr">
        <is>
          <t>BP-C0194</t>
        </is>
      </c>
      <c r="B210" s="75" t="inlineStr">
        <is>
          <t>Mrs Enitan Pine</t>
        </is>
      </c>
      <c r="C210" s="75" t="inlineStr">
        <is>
          <t>12027177128</t>
        </is>
      </c>
      <c r="D210" s="75" t="inlineStr">
        <is>
          <t>rr9itajoe@gmail.com</t>
        </is>
      </c>
      <c r="E210" s="75" t="inlineStr">
        <is>
          <t>Housing</t>
        </is>
      </c>
      <c r="F210" s="75" t="inlineStr">
        <is>
          <t>Housing unit (project not stated in source); Pacific Apartment</t>
        </is>
      </c>
      <c r="G210" s="76" t="n">
        <v>45759</v>
      </c>
      <c r="H210" s="76" t="n">
        <v>45759</v>
      </c>
      <c r="I210" s="77" t="n">
        <v>85000000</v>
      </c>
      <c r="J210" s="77" t="n">
        <v>61100000</v>
      </c>
      <c r="K210" s="77" t="n">
        <v>0</v>
      </c>
      <c r="L210" s="77" t="n">
        <v>0</v>
      </c>
      <c r="M210" s="77" t="n">
        <v>24100000</v>
      </c>
      <c r="N210" s="77" t="n">
        <v>24100000</v>
      </c>
      <c r="O210" s="75" t="inlineStr">
        <is>
          <t>Client register + Transaction records</t>
        </is>
      </c>
      <c r="P210" s="75" t="inlineStr">
        <is>
          <t>Paying</t>
        </is>
      </c>
      <c r="Q210" s="75" t="inlineStr">
        <is>
          <t>MD</t>
        </is>
      </c>
      <c r="R210" s="75" t="n"/>
    </row>
    <row r="211" ht="25" customHeight="1">
      <c r="A211" s="78" t="inlineStr">
        <is>
          <t>BP-C0195</t>
        </is>
      </c>
      <c r="B211" s="78" t="inlineStr">
        <is>
          <t>Mr Haruna Adekunle Waheed</t>
        </is>
      </c>
      <c r="C211" s="78" t="inlineStr">
        <is>
          <t>8034238704</t>
        </is>
      </c>
      <c r="D211" s="78" t="inlineStr">
        <is>
          <t>kunleharuna@gmail.com</t>
        </is>
      </c>
      <c r="E211" s="78" t="inlineStr">
        <is>
          <t>Land</t>
        </is>
      </c>
      <c r="F211" s="78" t="inlineStr">
        <is>
          <t>Green City Phase 3 (Omu-Epe); Land (estate not stated in source)</t>
        </is>
      </c>
      <c r="G211" s="79" t="n">
        <v>45792</v>
      </c>
      <c r="H211" s="79" t="n">
        <v>45791</v>
      </c>
      <c r="I211" s="80" t="n">
        <v>7500000</v>
      </c>
      <c r="J211" s="80" t="n">
        <v>7500000</v>
      </c>
      <c r="K211" s="80" t="n">
        <v>0</v>
      </c>
      <c r="L211" s="80" t="n">
        <v>0</v>
      </c>
      <c r="M211" s="80" t="n">
        <v>7500000</v>
      </c>
      <c r="N211" s="80" t="n">
        <v>7500000</v>
      </c>
      <c r="O211" s="78" t="inlineStr">
        <is>
          <t>Client register + Transaction records</t>
        </is>
      </c>
      <c r="P211" s="78" t="inlineStr">
        <is>
          <t>Bought</t>
        </is>
      </c>
      <c r="Q211" s="78" t="inlineStr">
        <is>
          <t>Ms Abimbola</t>
        </is>
      </c>
      <c r="R211" s="78" t="n"/>
    </row>
    <row r="212" ht="25" customHeight="1">
      <c r="A212" s="75" t="inlineStr">
        <is>
          <t>BP-C0196</t>
        </is>
      </c>
      <c r="B212" s="75" t="inlineStr">
        <is>
          <t>Mr Agbim Ikechukwu Godson</t>
        </is>
      </c>
      <c r="C212" s="75" t="inlineStr">
        <is>
          <t>9042018673, 08148365338 / 2348148365338</t>
        </is>
      </c>
      <c r="D212" s="75" t="inlineStr">
        <is>
          <t>SENT / agbimikechukwu54</t>
        </is>
      </c>
      <c r="E212" s="75" t="inlineStr">
        <is>
          <t>Land</t>
        </is>
      </c>
      <c r="F212" s="75" t="inlineStr">
        <is>
          <t>Green City Phase 1 (Lantaba, Ketu-Epe); Green City Phase 3 (Omu-Epe); Land (estate not stated in source)</t>
        </is>
      </c>
      <c r="G212" s="76" t="n">
        <v>45819</v>
      </c>
      <c r="H212" s="76" t="n">
        <v>45819</v>
      </c>
      <c r="I212" s="77" t="n">
        <v>10245000</v>
      </c>
      <c r="J212" s="77" t="n">
        <v>6620000</v>
      </c>
      <c r="K212" s="77" t="n">
        <v>0</v>
      </c>
      <c r="L212" s="77" t="n">
        <v>0</v>
      </c>
      <c r="M212" s="77" t="n">
        <v>9000000</v>
      </c>
      <c r="N212" s="77" t="n">
        <v>9000000</v>
      </c>
      <c r="O212" s="75" t="inlineStr">
        <is>
          <t>Client register + Transaction records</t>
        </is>
      </c>
      <c r="P212" s="75" t="inlineStr">
        <is>
          <t>Paying, bought</t>
        </is>
      </c>
      <c r="Q212" s="75" t="inlineStr">
        <is>
          <t>Ms Abimbola</t>
        </is>
      </c>
      <c r="R212" s="75" t="n"/>
    </row>
    <row r="213" ht="25" customHeight="1">
      <c r="A213" s="78" t="inlineStr">
        <is>
          <t>BP-C0197</t>
        </is>
      </c>
      <c r="B213" s="78" t="inlineStr">
        <is>
          <t>Miss Awonorin Oluwamayowa Aduragbemi</t>
        </is>
      </c>
      <c r="C213" s="78" t="inlineStr">
        <is>
          <t>7046270771</t>
        </is>
      </c>
      <c r="D213" s="78" t="inlineStr">
        <is>
          <t>awomayor1@gmail.com</t>
        </is>
      </c>
      <c r="E213" s="78" t="inlineStr">
        <is>
          <t>Land</t>
        </is>
      </c>
      <c r="F213" s="78" t="inlineStr">
        <is>
          <t>Green City Ibadan (Akinyele-Moniya)</t>
        </is>
      </c>
      <c r="G213" s="79" t="n">
        <v>45835</v>
      </c>
      <c r="H213" s="79" t="n"/>
      <c r="I213" s="80" t="n">
        <v>1350000</v>
      </c>
      <c r="J213" s="80" t="n">
        <v>1350000</v>
      </c>
      <c r="K213" s="80" t="n">
        <v>0</v>
      </c>
      <c r="L213" s="80" t="n">
        <v>0</v>
      </c>
      <c r="M213" s="80" t="n">
        <v>0</v>
      </c>
      <c r="N213" s="80" t="n">
        <v>0</v>
      </c>
      <c r="O213" s="78" t="inlineStr">
        <is>
          <t>Client register</t>
        </is>
      </c>
      <c r="P213" s="78" t="inlineStr">
        <is>
          <t>Bought</t>
        </is>
      </c>
      <c r="Q213" s="78" t="inlineStr">
        <is>
          <t>MD</t>
        </is>
      </c>
      <c r="R213" s="78" t="n"/>
    </row>
    <row r="214" ht="25" customHeight="1">
      <c r="A214" s="75" t="inlineStr">
        <is>
          <t>BP-C0198</t>
        </is>
      </c>
      <c r="B214" s="75" t="inlineStr">
        <is>
          <t>Mr Akinruntan Adeyinka Benson</t>
        </is>
      </c>
      <c r="C214" s="75" t="inlineStr">
        <is>
          <t>9073364482</t>
        </is>
      </c>
      <c r="D214" s="75" t="inlineStr">
        <is>
          <t>bensonadeyink@gmail.com</t>
        </is>
      </c>
      <c r="E214" s="75" t="inlineStr">
        <is>
          <t>Land</t>
        </is>
      </c>
      <c r="F214" s="75" t="inlineStr">
        <is>
          <t>Green Hillside; Land (estate not stated in source)</t>
        </is>
      </c>
      <c r="G214" s="76" t="n">
        <v>45854</v>
      </c>
      <c r="H214" s="76" t="n">
        <v>45854</v>
      </c>
      <c r="I214" s="77" t="n">
        <v>2500000</v>
      </c>
      <c r="J214" s="77" t="n">
        <v>2500000</v>
      </c>
      <c r="K214" s="77" t="n">
        <v>0</v>
      </c>
      <c r="L214" s="77" t="n">
        <v>0</v>
      </c>
      <c r="M214" s="77" t="n">
        <v>2500000</v>
      </c>
      <c r="N214" s="77" t="n">
        <v>2500000</v>
      </c>
      <c r="O214" s="75" t="inlineStr">
        <is>
          <t>Client register + Transaction records</t>
        </is>
      </c>
      <c r="P214" s="75" t="inlineStr">
        <is>
          <t>Bought</t>
        </is>
      </c>
      <c r="Q214" s="75" t="inlineStr">
        <is>
          <t>Ms Praise</t>
        </is>
      </c>
      <c r="R214" s="75" t="n"/>
    </row>
    <row r="215" ht="25" customHeight="1">
      <c r="A215" s="78" t="inlineStr">
        <is>
          <t>BP-C0199</t>
        </is>
      </c>
      <c r="B215" s="78" t="inlineStr">
        <is>
          <t>Landnest Homes (Mrs Abimbola)</t>
        </is>
      </c>
      <c r="C215" s="78" t="n"/>
      <c r="D215" s="78" t="n"/>
      <c r="E215" s="78" t="inlineStr">
        <is>
          <t>Housing</t>
        </is>
      </c>
      <c r="F215" s="78" t="inlineStr">
        <is>
          <t>Baay Foreshore</t>
        </is>
      </c>
      <c r="G215" s="79" t="n"/>
      <c r="H215" s="79" t="n">
        <v>45860</v>
      </c>
      <c r="I215" s="80" t="n">
        <v>0</v>
      </c>
      <c r="J215" s="80" t="n">
        <v>0</v>
      </c>
      <c r="K215" s="80" t="n">
        <v>0</v>
      </c>
      <c r="L215" s="80" t="n">
        <v>0</v>
      </c>
      <c r="M215" s="80" t="n">
        <v>5000000</v>
      </c>
      <c r="N215" s="80" t="n">
        <v>5000000</v>
      </c>
      <c r="O215" s="78" t="inlineStr">
        <is>
          <t>Transaction records</t>
        </is>
      </c>
      <c r="P215" s="78" t="n"/>
      <c r="Q215" s="78" t="n"/>
      <c r="R215" s="78" t="inlineStr">
        <is>
          <t>Not in client register: contract value unknown</t>
        </is>
      </c>
    </row>
    <row r="216" ht="25" customHeight="1">
      <c r="A216" s="75" t="inlineStr">
        <is>
          <t>BP-C0200</t>
        </is>
      </c>
      <c r="B216" s="75" t="inlineStr">
        <is>
          <t>Landnest Homes and Properties (Dr. Oladeji Ifeoluwa)</t>
        </is>
      </c>
      <c r="C216" s="75" t="inlineStr">
        <is>
          <t>9066989877</t>
        </is>
      </c>
      <c r="D216" s="75" t="inlineStr">
        <is>
          <t>landnesthomesandpeoperties@gmail.com</t>
        </is>
      </c>
      <c r="E216" s="75" t="inlineStr">
        <is>
          <t>Housing</t>
        </is>
      </c>
      <c r="F216" s="75" t="inlineStr">
        <is>
          <t>Baay Foreshore</t>
        </is>
      </c>
      <c r="G216" s="76" t="n">
        <v>45864</v>
      </c>
      <c r="H216" s="76" t="n">
        <v>45860</v>
      </c>
      <c r="I216" s="77" t="n">
        <v>40100000</v>
      </c>
      <c r="J216" s="77" t="n">
        <v>5000000</v>
      </c>
      <c r="K216" s="77" t="n">
        <v>0</v>
      </c>
      <c r="L216" s="77" t="n">
        <v>0</v>
      </c>
      <c r="M216" s="77" t="n">
        <v>5000000</v>
      </c>
      <c r="N216" s="77" t="n">
        <v>5000000</v>
      </c>
      <c r="O216" s="75" t="inlineStr">
        <is>
          <t>Client register + Transaction records</t>
        </is>
      </c>
      <c r="P216" s="75" t="inlineStr">
        <is>
          <t>Paying</t>
        </is>
      </c>
      <c r="Q216" s="75" t="inlineStr">
        <is>
          <t>Landnest</t>
        </is>
      </c>
      <c r="R216" s="75" t="n"/>
    </row>
    <row r="217" ht="25" customHeight="1">
      <c r="A217" s="78" t="inlineStr">
        <is>
          <t>BP-C0201</t>
        </is>
      </c>
      <c r="B217" s="78" t="inlineStr">
        <is>
          <t>Landnest Homes and Properties (Mrs. Abimbola)</t>
        </is>
      </c>
      <c r="C217" s="78" t="inlineStr">
        <is>
          <t>9066989877</t>
        </is>
      </c>
      <c r="D217" s="78" t="inlineStr">
        <is>
          <t>landnesthomesandpeoperties@gmail.com</t>
        </is>
      </c>
      <c r="E217" s="78" t="inlineStr">
        <is>
          <t>Housing</t>
        </is>
      </c>
      <c r="F217" s="78" t="inlineStr">
        <is>
          <t>Baay Foreshore</t>
        </is>
      </c>
      <c r="G217" s="79" t="n">
        <v>45860</v>
      </c>
      <c r="H217" s="79" t="n"/>
      <c r="I217" s="80" t="n">
        <v>40100000</v>
      </c>
      <c r="J217" s="80" t="n">
        <v>8830000</v>
      </c>
      <c r="K217" s="80" t="n">
        <v>0</v>
      </c>
      <c r="L217" s="80" t="n">
        <v>0</v>
      </c>
      <c r="M217" s="80" t="n">
        <v>0</v>
      </c>
      <c r="N217" s="80" t="n">
        <v>0</v>
      </c>
      <c r="O217" s="78" t="inlineStr">
        <is>
          <t>Client register</t>
        </is>
      </c>
      <c r="P217" s="78" t="inlineStr">
        <is>
          <t>Paying</t>
        </is>
      </c>
      <c r="Q217" s="78" t="inlineStr">
        <is>
          <t>Landnest</t>
        </is>
      </c>
      <c r="R217" s="78" t="n"/>
    </row>
    <row r="218" ht="25" customHeight="1">
      <c r="A218" s="75" t="inlineStr">
        <is>
          <t>BP-C0202</t>
        </is>
      </c>
      <c r="B218" s="75" t="inlineStr">
        <is>
          <t>Miss Yesher Yakubu &amp; Miss Hadassah Yakubu</t>
        </is>
      </c>
      <c r="C218" s="75" t="inlineStr">
        <is>
          <t>08033351916, 09070323563</t>
        </is>
      </c>
      <c r="D218" s="75" t="inlineStr">
        <is>
          <t>elizabeth.yakubu@gmail.com</t>
        </is>
      </c>
      <c r="E218" s="75" t="inlineStr">
        <is>
          <t>Housing</t>
        </is>
      </c>
      <c r="F218" s="75" t="inlineStr">
        <is>
          <t>Baay Foreshore; Pacific Apartment</t>
        </is>
      </c>
      <c r="G218" s="76" t="n">
        <v>45862</v>
      </c>
      <c r="H218" s="76" t="n">
        <v>45862</v>
      </c>
      <c r="I218" s="77" t="n">
        <v>112500000</v>
      </c>
      <c r="J218" s="77" t="n">
        <v>112500000</v>
      </c>
      <c r="K218" s="77" t="n">
        <v>0</v>
      </c>
      <c r="L218" s="77" t="n">
        <v>0</v>
      </c>
      <c r="M218" s="77" t="n">
        <v>112500000</v>
      </c>
      <c r="N218" s="77" t="n">
        <v>112500000</v>
      </c>
      <c r="O218" s="75" t="inlineStr">
        <is>
          <t>Client register + Transaction records</t>
        </is>
      </c>
      <c r="P218" s="75" t="inlineStr">
        <is>
          <t>COMPLETED</t>
        </is>
      </c>
      <c r="Q218" s="75" t="inlineStr">
        <is>
          <t>Ms Moffat</t>
        </is>
      </c>
      <c r="R218" s="75" t="n"/>
    </row>
    <row r="219" ht="25" customHeight="1">
      <c r="A219" s="78" t="inlineStr">
        <is>
          <t>BP-C0203</t>
        </is>
      </c>
      <c r="B219" s="78" t="inlineStr">
        <is>
          <t>Mr Ogbomah Ebi Wilfred</t>
        </is>
      </c>
      <c r="C219" s="78" t="n"/>
      <c r="D219" s="78" t="inlineStr">
        <is>
          <t>bra.dat@hotmail.com</t>
        </is>
      </c>
      <c r="E219" s="78" t="inlineStr">
        <is>
          <t>Housing</t>
        </is>
      </c>
      <c r="F219" s="78" t="inlineStr">
        <is>
          <t>Pacific Apartment</t>
        </is>
      </c>
      <c r="G219" s="79" t="n">
        <v>45862</v>
      </c>
      <c r="H219" s="79" t="n">
        <v>45862</v>
      </c>
      <c r="I219" s="80" t="n">
        <v>112500000</v>
      </c>
      <c r="J219" s="80" t="n">
        <v>112500000</v>
      </c>
      <c r="K219" s="80" t="n">
        <v>0</v>
      </c>
      <c r="L219" s="80" t="n">
        <v>0</v>
      </c>
      <c r="M219" s="80" t="n">
        <v>142500000</v>
      </c>
      <c r="N219" s="80" t="n">
        <v>142500000</v>
      </c>
      <c r="O219" s="78" t="inlineStr">
        <is>
          <t>Client register + Transaction records</t>
        </is>
      </c>
      <c r="P219" s="78" t="inlineStr">
        <is>
          <t>COMPLETED</t>
        </is>
      </c>
      <c r="Q219" s="78" t="inlineStr">
        <is>
          <t>Ms Moffat</t>
        </is>
      </c>
      <c r="R219" s="78" t="inlineStr">
        <is>
          <t>Receipts exceed register contract value: check for duplicate entries, extra plots or ancillary fees</t>
        </is>
      </c>
    </row>
    <row r="220" ht="25" customHeight="1">
      <c r="A220" s="75" t="inlineStr">
        <is>
          <t>BP-C0204</t>
        </is>
      </c>
      <c r="B220" s="75" t="inlineStr">
        <is>
          <t>Mr Akinjogunla Isaac Ogooluwa</t>
        </is>
      </c>
      <c r="C220" s="75" t="inlineStr">
        <is>
          <t>08070323565, 08060692770</t>
        </is>
      </c>
      <c r="D220" s="75" t="inlineStr">
        <is>
          <t>ogooluwaakinjogunla@yahoo.com</t>
        </is>
      </c>
      <c r="E220" s="75" t="inlineStr">
        <is>
          <t>Housing</t>
        </is>
      </c>
      <c r="F220" s="75" t="inlineStr">
        <is>
          <t>Baay Foreshore; Pacific Apartment</t>
        </is>
      </c>
      <c r="G220" s="76" t="n">
        <v>45863</v>
      </c>
      <c r="H220" s="76" t="n">
        <v>45863</v>
      </c>
      <c r="I220" s="77" t="n">
        <v>138000000</v>
      </c>
      <c r="J220" s="77" t="n">
        <v>60000000</v>
      </c>
      <c r="K220" s="77" t="n">
        <v>0</v>
      </c>
      <c r="L220" s="77" t="n">
        <v>0</v>
      </c>
      <c r="M220" s="77" t="n">
        <v>59000000</v>
      </c>
      <c r="N220" s="77" t="n">
        <v>59000000</v>
      </c>
      <c r="O220" s="75" t="inlineStr">
        <is>
          <t>Client register + Transaction records</t>
        </is>
      </c>
      <c r="P220" s="75" t="inlineStr">
        <is>
          <t>Paying</t>
        </is>
      </c>
      <c r="Q220" s="75" t="inlineStr">
        <is>
          <t>Ms Moffat</t>
        </is>
      </c>
      <c r="R220" s="75" t="n"/>
    </row>
    <row r="221" ht="25" customHeight="1">
      <c r="A221" s="78" t="inlineStr">
        <is>
          <t>BP-C0205</t>
        </is>
      </c>
      <c r="B221" s="78" t="inlineStr">
        <is>
          <t>Landnest Homes (Mrs Lukoh)</t>
        </is>
      </c>
      <c r="C221" s="78" t="n"/>
      <c r="D221" s="78" t="n"/>
      <c r="E221" s="78" t="inlineStr">
        <is>
          <t>Housing</t>
        </is>
      </c>
      <c r="F221" s="78" t="inlineStr">
        <is>
          <t>Baay Foreshore</t>
        </is>
      </c>
      <c r="G221" s="79" t="n"/>
      <c r="H221" s="79" t="n">
        <v>45864</v>
      </c>
      <c r="I221" s="80" t="n">
        <v>0</v>
      </c>
      <c r="J221" s="80" t="n">
        <v>0</v>
      </c>
      <c r="K221" s="80" t="n">
        <v>0</v>
      </c>
      <c r="L221" s="80" t="n">
        <v>0</v>
      </c>
      <c r="M221" s="80" t="n">
        <v>15000000</v>
      </c>
      <c r="N221" s="80" t="n">
        <v>15000000</v>
      </c>
      <c r="O221" s="78" t="inlineStr">
        <is>
          <t>Transaction records</t>
        </is>
      </c>
      <c r="P221" s="78" t="n"/>
      <c r="Q221" s="78" t="n"/>
      <c r="R221" s="78" t="inlineStr">
        <is>
          <t>Not in client register: contract value unknown</t>
        </is>
      </c>
    </row>
    <row r="222" ht="25" customHeight="1">
      <c r="A222" s="75" t="inlineStr">
        <is>
          <t>BP-C0206</t>
        </is>
      </c>
      <c r="B222" s="75" t="inlineStr">
        <is>
          <t>Landnest Homes and Properties(Mrs. Beatrice)</t>
        </is>
      </c>
      <c r="C222" s="75" t="inlineStr">
        <is>
          <t>9066989877</t>
        </is>
      </c>
      <c r="D222" s="75" t="inlineStr">
        <is>
          <t>landnesthomesandpeoperties@gmail.com</t>
        </is>
      </c>
      <c r="E222" s="75" t="inlineStr">
        <is>
          <t>Housing</t>
        </is>
      </c>
      <c r="F222" s="75" t="inlineStr">
        <is>
          <t>Baay Foreshore</t>
        </is>
      </c>
      <c r="G222" s="76" t="n">
        <v>45864</v>
      </c>
      <c r="H222" s="76" t="n"/>
      <c r="I222" s="77" t="n">
        <v>40100000</v>
      </c>
      <c r="J222" s="77" t="n">
        <v>23000000</v>
      </c>
      <c r="K222" s="77" t="n">
        <v>0</v>
      </c>
      <c r="L222" s="77" t="n">
        <v>0</v>
      </c>
      <c r="M222" s="77" t="n">
        <v>0</v>
      </c>
      <c r="N222" s="77" t="n">
        <v>0</v>
      </c>
      <c r="O222" s="75" t="inlineStr">
        <is>
          <t>Client register</t>
        </is>
      </c>
      <c r="P222" s="75" t="inlineStr">
        <is>
          <t>Paying</t>
        </is>
      </c>
      <c r="Q222" s="75" t="inlineStr">
        <is>
          <t>Landnest</t>
        </is>
      </c>
      <c r="R222" s="75" t="n"/>
    </row>
    <row r="223" ht="25" customHeight="1">
      <c r="A223" s="78" t="inlineStr">
        <is>
          <t>BP-C0207</t>
        </is>
      </c>
      <c r="B223" s="78" t="inlineStr">
        <is>
          <t>Landnest Homes (Mrs Beatrice)</t>
        </is>
      </c>
      <c r="C223" s="78" t="n"/>
      <c r="D223" s="78" t="n"/>
      <c r="E223" s="78" t="inlineStr">
        <is>
          <t>Housing</t>
        </is>
      </c>
      <c r="F223" s="78" t="inlineStr">
        <is>
          <t>Baay Foreshore</t>
        </is>
      </c>
      <c r="G223" s="79" t="n"/>
      <c r="H223" s="79" t="n">
        <v>45867</v>
      </c>
      <c r="I223" s="80" t="n">
        <v>0</v>
      </c>
      <c r="J223" s="80" t="n">
        <v>0</v>
      </c>
      <c r="K223" s="80" t="n">
        <v>0</v>
      </c>
      <c r="L223" s="80" t="n">
        <v>0</v>
      </c>
      <c r="M223" s="80" t="n">
        <v>22915000</v>
      </c>
      <c r="N223" s="80" t="n">
        <v>22915000</v>
      </c>
      <c r="O223" s="78" t="inlineStr">
        <is>
          <t>Transaction records</t>
        </is>
      </c>
      <c r="P223" s="78" t="n"/>
      <c r="Q223" s="78" t="n"/>
      <c r="R223" s="78" t="inlineStr">
        <is>
          <t>Not in client register: contract value unknown</t>
        </is>
      </c>
    </row>
    <row r="224" ht="25" customHeight="1">
      <c r="A224" s="75" t="inlineStr">
        <is>
          <t>BP-C0208</t>
        </is>
      </c>
      <c r="B224" s="75" t="inlineStr">
        <is>
          <t>Landnest Homes and Properties (Dr, Olusola Areo)</t>
        </is>
      </c>
      <c r="C224" s="75" t="inlineStr">
        <is>
          <t>9066989877</t>
        </is>
      </c>
      <c r="D224" s="75" t="inlineStr">
        <is>
          <t>landnesthomesandpeoperties@gmail.com</t>
        </is>
      </c>
      <c r="E224" s="75" t="inlineStr">
        <is>
          <t>Housing</t>
        </is>
      </c>
      <c r="F224" s="75" t="inlineStr">
        <is>
          <t>Baay Foreshore</t>
        </is>
      </c>
      <c r="G224" s="76" t="n">
        <v>45867</v>
      </c>
      <c r="H224" s="76" t="n">
        <v>45867</v>
      </c>
      <c r="I224" s="77" t="n">
        <v>40100000</v>
      </c>
      <c r="J224" s="77" t="n">
        <v>5000000</v>
      </c>
      <c r="K224" s="77" t="n">
        <v>0</v>
      </c>
      <c r="L224" s="77" t="n">
        <v>0</v>
      </c>
      <c r="M224" s="77" t="n">
        <v>5000000</v>
      </c>
      <c r="N224" s="77" t="n">
        <v>5000000</v>
      </c>
      <c r="O224" s="75" t="inlineStr">
        <is>
          <t>Client register + Transaction records</t>
        </is>
      </c>
      <c r="P224" s="75" t="inlineStr">
        <is>
          <t>Paying</t>
        </is>
      </c>
      <c r="Q224" s="75" t="inlineStr">
        <is>
          <t>Landnest</t>
        </is>
      </c>
      <c r="R224" s="75" t="n"/>
    </row>
    <row r="225" ht="25" customHeight="1">
      <c r="A225" s="78" t="inlineStr">
        <is>
          <t>BP-C0209</t>
        </is>
      </c>
      <c r="B225" s="78" t="inlineStr">
        <is>
          <t>Landnest Homes and Properties(Mrs. Lukoh)</t>
        </is>
      </c>
      <c r="C225" s="78" t="inlineStr">
        <is>
          <t>9066989877</t>
        </is>
      </c>
      <c r="D225" s="78" t="inlineStr">
        <is>
          <t>landnesthomesandpeoperties@gmail.com</t>
        </is>
      </c>
      <c r="E225" s="78" t="inlineStr">
        <is>
          <t>Housing</t>
        </is>
      </c>
      <c r="F225" s="78" t="inlineStr">
        <is>
          <t>Baay Foreshore</t>
        </is>
      </c>
      <c r="G225" s="79" t="n">
        <v>45867</v>
      </c>
      <c r="H225" s="79" t="n"/>
      <c r="I225" s="80" t="n">
        <v>37000000</v>
      </c>
      <c r="J225" s="80" t="n">
        <v>37000000</v>
      </c>
      <c r="K225" s="80" t="n">
        <v>0</v>
      </c>
      <c r="L225" s="80" t="n">
        <v>0</v>
      </c>
      <c r="M225" s="80" t="n">
        <v>0</v>
      </c>
      <c r="N225" s="80" t="n">
        <v>0</v>
      </c>
      <c r="O225" s="78" t="inlineStr">
        <is>
          <t>Client register</t>
        </is>
      </c>
      <c r="P225" s="78" t="inlineStr">
        <is>
          <t>Paid</t>
        </is>
      </c>
      <c r="Q225" s="78" t="inlineStr">
        <is>
          <t>Landnest</t>
        </is>
      </c>
      <c r="R225" s="78" t="n"/>
    </row>
    <row r="226" ht="25" customHeight="1">
      <c r="A226" s="75" t="inlineStr">
        <is>
          <t>BP-C0210</t>
        </is>
      </c>
      <c r="B226" s="75" t="inlineStr">
        <is>
          <t>Mrs Pine Ritajoe Egbede</t>
        </is>
      </c>
      <c r="C226" s="75" t="n"/>
      <c r="D226" s="75" t="n"/>
      <c r="E226" s="75" t="inlineStr">
        <is>
          <t>Housing</t>
        </is>
      </c>
      <c r="F226" s="75" t="inlineStr">
        <is>
          <t>Housing unit (project not stated in source)</t>
        </is>
      </c>
      <c r="G226" s="76" t="n"/>
      <c r="H226" s="76" t="n">
        <v>45867</v>
      </c>
      <c r="I226" s="77" t="n">
        <v>0</v>
      </c>
      <c r="J226" s="77" t="n">
        <v>0</v>
      </c>
      <c r="K226" s="77" t="n">
        <v>0</v>
      </c>
      <c r="L226" s="77" t="n">
        <v>0</v>
      </c>
      <c r="M226" s="77" t="n">
        <v>4000000</v>
      </c>
      <c r="N226" s="77" t="n">
        <v>4000000</v>
      </c>
      <c r="O226" s="75" t="inlineStr">
        <is>
          <t>Transaction records</t>
        </is>
      </c>
      <c r="P226" s="75" t="n"/>
      <c r="Q226" s="75" t="n"/>
      <c r="R226" s="75" t="inlineStr">
        <is>
          <t>Not in client register: contract value unknown</t>
        </is>
      </c>
    </row>
    <row r="227" ht="25" customHeight="1">
      <c r="A227" s="78" t="inlineStr">
        <is>
          <t>BP-C0211</t>
        </is>
      </c>
      <c r="B227" s="78" t="inlineStr">
        <is>
          <t>Landnest Homes &amp; Properties (Mrs Abiodun Ayomipo Hannah)</t>
        </is>
      </c>
      <c r="C227" s="78" t="n"/>
      <c r="D227" s="78" t="n"/>
      <c r="E227" s="78" t="inlineStr">
        <is>
          <t>Housing</t>
        </is>
      </c>
      <c r="F227" s="78" t="inlineStr">
        <is>
          <t>Baay Foreshore</t>
        </is>
      </c>
      <c r="G227" s="79" t="n">
        <v>45888</v>
      </c>
      <c r="H227" s="79" t="n"/>
      <c r="I227" s="80" t="n">
        <v>40100000</v>
      </c>
      <c r="J227" s="80" t="n">
        <v>20000000</v>
      </c>
      <c r="K227" s="80" t="n">
        <v>0</v>
      </c>
      <c r="L227" s="80" t="n">
        <v>0</v>
      </c>
      <c r="M227" s="80" t="n">
        <v>0</v>
      </c>
      <c r="N227" s="80" t="n">
        <v>0</v>
      </c>
      <c r="O227" s="78" t="inlineStr">
        <is>
          <t>Client register</t>
        </is>
      </c>
      <c r="P227" s="78" t="inlineStr">
        <is>
          <t>Paying</t>
        </is>
      </c>
      <c r="Q227" s="78" t="n"/>
      <c r="R227" s="78" t="n"/>
    </row>
    <row r="228" ht="25" customHeight="1">
      <c r="A228" s="75" t="inlineStr">
        <is>
          <t>BP-C0212</t>
        </is>
      </c>
      <c r="B228" s="75" t="inlineStr">
        <is>
          <t>Landnest Homes and Properties (Mrs. Ayomiposi)</t>
        </is>
      </c>
      <c r="C228" s="75" t="inlineStr">
        <is>
          <t>9066989877</t>
        </is>
      </c>
      <c r="D228" s="75" t="inlineStr">
        <is>
          <t>landnesthomesandpeoperties@gmail.com</t>
        </is>
      </c>
      <c r="E228" s="75" t="inlineStr">
        <is>
          <t>Housing</t>
        </is>
      </c>
      <c r="F228" s="75" t="inlineStr">
        <is>
          <t>Baay Foreshore</t>
        </is>
      </c>
      <c r="G228" s="76" t="n">
        <v>45888</v>
      </c>
      <c r="H228" s="76" t="n"/>
      <c r="I228" s="77" t="n">
        <v>40100000</v>
      </c>
      <c r="J228" s="77" t="n">
        <v>20000000</v>
      </c>
      <c r="K228" s="77" t="n">
        <v>0</v>
      </c>
      <c r="L228" s="77" t="n">
        <v>0</v>
      </c>
      <c r="M228" s="77" t="n">
        <v>0</v>
      </c>
      <c r="N228" s="77" t="n">
        <v>0</v>
      </c>
      <c r="O228" s="75" t="inlineStr">
        <is>
          <t>Client register</t>
        </is>
      </c>
      <c r="P228" s="75" t="inlineStr">
        <is>
          <t>Paying</t>
        </is>
      </c>
      <c r="Q228" s="75" t="inlineStr">
        <is>
          <t>Landnest</t>
        </is>
      </c>
      <c r="R228" s="75" t="n"/>
    </row>
    <row r="229" ht="25" customHeight="1">
      <c r="A229" s="78" t="inlineStr">
        <is>
          <t>BP-C0213</t>
        </is>
      </c>
      <c r="B229" s="78" t="inlineStr">
        <is>
          <t>Mr. Adelani Ibrahim Akinkunmi</t>
        </is>
      </c>
      <c r="C229" s="78" t="inlineStr">
        <is>
          <t>447717049384</t>
        </is>
      </c>
      <c r="D229" s="78" t="inlineStr">
        <is>
          <t>akin4burningfire@gmail.com</t>
        </is>
      </c>
      <c r="E229" s="78" t="inlineStr">
        <is>
          <t>Housing</t>
        </is>
      </c>
      <c r="F229" s="78" t="inlineStr">
        <is>
          <t>Baay Foreshore</t>
        </is>
      </c>
      <c r="G229" s="79" t="n">
        <v>45895</v>
      </c>
      <c r="H229" s="79" t="n">
        <v>45892</v>
      </c>
      <c r="I229" s="80" t="n">
        <v>34000000</v>
      </c>
      <c r="J229" s="80" t="n">
        <v>30000000</v>
      </c>
      <c r="K229" s="80" t="n">
        <v>0</v>
      </c>
      <c r="L229" s="80" t="n">
        <v>0</v>
      </c>
      <c r="M229" s="80" t="n">
        <v>15000000</v>
      </c>
      <c r="N229" s="80" t="n">
        <v>15000000</v>
      </c>
      <c r="O229" s="78" t="inlineStr">
        <is>
          <t>Client register + Transaction records</t>
        </is>
      </c>
      <c r="P229" s="78" t="inlineStr">
        <is>
          <t>Paying</t>
        </is>
      </c>
      <c r="Q229" s="78" t="inlineStr">
        <is>
          <t>Ms. Tijani Bolanle</t>
        </is>
      </c>
      <c r="R229" s="78" t="n"/>
    </row>
    <row r="230" ht="25" customHeight="1">
      <c r="A230" s="75" t="inlineStr">
        <is>
          <t>BP-C0214</t>
        </is>
      </c>
      <c r="B230" s="75" t="inlineStr">
        <is>
          <t>Mrs. Taiwo Adeyinka</t>
        </is>
      </c>
      <c r="C230" s="75" t="inlineStr">
        <is>
          <t>17739431598</t>
        </is>
      </c>
      <c r="D230" s="75" t="inlineStr">
        <is>
          <t>flakiejones@gmail.com</t>
        </is>
      </c>
      <c r="E230" s="75" t="inlineStr">
        <is>
          <t>Housing</t>
        </is>
      </c>
      <c r="F230" s="75" t="inlineStr">
        <is>
          <t>Baay Foreshore</t>
        </is>
      </c>
      <c r="G230" s="76" t="n">
        <v>45892</v>
      </c>
      <c r="H230" s="76" t="n">
        <v>45892</v>
      </c>
      <c r="I230" s="77" t="n">
        <v>68000000</v>
      </c>
      <c r="J230" s="77" t="n">
        <v>48020000</v>
      </c>
      <c r="K230" s="77" t="n">
        <v>0</v>
      </c>
      <c r="L230" s="77" t="n">
        <v>0</v>
      </c>
      <c r="M230" s="77" t="n">
        <v>35000000</v>
      </c>
      <c r="N230" s="77" t="n">
        <v>35000000</v>
      </c>
      <c r="O230" s="75" t="inlineStr">
        <is>
          <t>Client register + Transaction records</t>
        </is>
      </c>
      <c r="P230" s="75" t="inlineStr">
        <is>
          <t>Paying</t>
        </is>
      </c>
      <c r="Q230" s="75" t="inlineStr">
        <is>
          <t>Ms. Tijani Bolanle</t>
        </is>
      </c>
      <c r="R230" s="75" t="n"/>
    </row>
    <row r="231" ht="25" customHeight="1">
      <c r="A231" s="78" t="inlineStr">
        <is>
          <t>BP-C0215</t>
        </is>
      </c>
      <c r="B231" s="78" t="inlineStr">
        <is>
          <t>Landnest (Mrs Lukoh)</t>
        </is>
      </c>
      <c r="C231" s="78" t="n"/>
      <c r="D231" s="78" t="n"/>
      <c r="E231" s="78" t="inlineStr">
        <is>
          <t>Housing</t>
        </is>
      </c>
      <c r="F231" s="78" t="inlineStr">
        <is>
          <t>Baay Foreshore</t>
        </is>
      </c>
      <c r="G231" s="79" t="n"/>
      <c r="H231" s="79" t="n">
        <v>45903</v>
      </c>
      <c r="I231" s="80" t="n">
        <v>0</v>
      </c>
      <c r="J231" s="80" t="n">
        <v>0</v>
      </c>
      <c r="K231" s="80" t="n">
        <v>0</v>
      </c>
      <c r="L231" s="80" t="n">
        <v>0</v>
      </c>
      <c r="M231" s="80" t="n">
        <v>26430000</v>
      </c>
      <c r="N231" s="80" t="n">
        <v>26430000</v>
      </c>
      <c r="O231" s="78" t="inlineStr">
        <is>
          <t>Transaction records</t>
        </is>
      </c>
      <c r="P231" s="78" t="n"/>
      <c r="Q231" s="78" t="n"/>
      <c r="R231" s="78" t="inlineStr">
        <is>
          <t>Not in client register: contract value unknown</t>
        </is>
      </c>
    </row>
    <row r="232" ht="25" customHeight="1">
      <c r="A232" s="75" t="inlineStr">
        <is>
          <t>BP-C0216</t>
        </is>
      </c>
      <c r="B232" s="75" t="inlineStr">
        <is>
          <t>Mrs Oluwagbemiro Olajumoke Oluwakemi</t>
        </is>
      </c>
      <c r="C232" s="75" t="inlineStr">
        <is>
          <t>8026001511, 09137257637</t>
        </is>
      </c>
      <c r="D232" s="75" t="inlineStr">
        <is>
          <t>jumoke.oj@gmail.com</t>
        </is>
      </c>
      <c r="E232" s="75" t="inlineStr">
        <is>
          <t>Land</t>
        </is>
      </c>
      <c r="F232" s="75" t="inlineStr">
        <is>
          <t>Green City Ibadan (Akinyele-Moniya); Land (estate not stated in source)</t>
        </is>
      </c>
      <c r="G232" s="76" t="n">
        <v>45933</v>
      </c>
      <c r="H232" s="76" t="n">
        <v>45933</v>
      </c>
      <c r="I232" s="77" t="n">
        <v>2500000</v>
      </c>
      <c r="J232" s="77" t="n">
        <v>2500000</v>
      </c>
      <c r="K232" s="77" t="n">
        <v>0</v>
      </c>
      <c r="L232" s="77" t="n">
        <v>0</v>
      </c>
      <c r="M232" s="77" t="n">
        <v>2500000</v>
      </c>
      <c r="N232" s="77" t="n">
        <v>2500000</v>
      </c>
      <c r="O232" s="75" t="inlineStr">
        <is>
          <t>Client register + Transaction records</t>
        </is>
      </c>
      <c r="P232" s="75" t="inlineStr">
        <is>
          <t>Bought</t>
        </is>
      </c>
      <c r="Q232" s="75" t="inlineStr">
        <is>
          <t>Mr Rere (Team Tobi)</t>
        </is>
      </c>
      <c r="R232" s="75" t="n"/>
    </row>
    <row r="233" ht="25" customHeight="1">
      <c r="A233" s="78" t="inlineStr">
        <is>
          <t>BP-C0217</t>
        </is>
      </c>
      <c r="B233" s="78" t="inlineStr">
        <is>
          <t>Mr Akinsola Joseph Mofoluwaso</t>
        </is>
      </c>
      <c r="C233" s="78" t="inlineStr">
        <is>
          <t>9092370766</t>
        </is>
      </c>
      <c r="D233" s="78" t="inlineStr">
        <is>
          <t>JosephAkinsola730@gmail.com</t>
        </is>
      </c>
      <c r="E233" s="78" t="inlineStr">
        <is>
          <t>Housing</t>
        </is>
      </c>
      <c r="F233" s="78" t="inlineStr">
        <is>
          <t>Gorge View Court (GVC Gbagada)</t>
        </is>
      </c>
      <c r="G233" s="79" t="n">
        <v>45972</v>
      </c>
      <c r="H233" s="79" t="n">
        <v>45972</v>
      </c>
      <c r="I233" s="80" t="n">
        <v>290000000</v>
      </c>
      <c r="J233" s="80" t="n">
        <v>280000000</v>
      </c>
      <c r="K233" s="80" t="n">
        <v>0</v>
      </c>
      <c r="L233" s="80" t="n">
        <v>0</v>
      </c>
      <c r="M233" s="80" t="n">
        <v>280000000</v>
      </c>
      <c r="N233" s="80" t="n">
        <v>280000000</v>
      </c>
      <c r="O233" s="78" t="inlineStr">
        <is>
          <t>Client register + Transaction records</t>
        </is>
      </c>
      <c r="P233" s="78" t="inlineStr">
        <is>
          <t>COMPLETED</t>
        </is>
      </c>
      <c r="Q233" s="78" t="inlineStr">
        <is>
          <t>Md</t>
        </is>
      </c>
      <c r="R233" s="78" t="n"/>
    </row>
    <row r="234" ht="25" customHeight="1">
      <c r="A234" s="75" t="inlineStr">
        <is>
          <t>BP-C0218</t>
        </is>
      </c>
      <c r="B234" s="75" t="inlineStr">
        <is>
          <t>Landnest Homes (Mrs Ayomipo)</t>
        </is>
      </c>
      <c r="C234" s="75" t="n"/>
      <c r="D234" s="75" t="n"/>
      <c r="E234" s="75" t="inlineStr">
        <is>
          <t>Housing</t>
        </is>
      </c>
      <c r="F234" s="75" t="inlineStr">
        <is>
          <t>Baay Foreshore</t>
        </is>
      </c>
      <c r="G234" s="76" t="n"/>
      <c r="H234" s="76" t="n">
        <v>45974</v>
      </c>
      <c r="I234" s="77" t="n">
        <v>0</v>
      </c>
      <c r="J234" s="77" t="n">
        <v>0</v>
      </c>
      <c r="K234" s="77" t="n">
        <v>0</v>
      </c>
      <c r="L234" s="77" t="n">
        <v>0</v>
      </c>
      <c r="M234" s="77" t="n">
        <v>5000000</v>
      </c>
      <c r="N234" s="77" t="n">
        <v>5000000</v>
      </c>
      <c r="O234" s="75" t="inlineStr">
        <is>
          <t>Transaction records</t>
        </is>
      </c>
      <c r="P234" s="75" t="n"/>
      <c r="Q234" s="75" t="n"/>
      <c r="R234" s="75" t="inlineStr">
        <is>
          <t>Not in client register: contract value unknown</t>
        </is>
      </c>
    </row>
    <row r="235" ht="25" customHeight="1">
      <c r="A235" s="78" t="inlineStr">
        <is>
          <t>BP-C0219</t>
        </is>
      </c>
      <c r="B235" s="78" t="inlineStr">
        <is>
          <t>Mr Ali Sunday Patrick</t>
        </is>
      </c>
      <c r="C235" s="78" t="inlineStr">
        <is>
          <t>08124100945, 07030681703</t>
        </is>
      </c>
      <c r="D235" s="78" t="inlineStr">
        <is>
          <t>alipatrick.sunny@gmail</t>
        </is>
      </c>
      <c r="E235" s="78" t="inlineStr">
        <is>
          <t>Housing</t>
        </is>
      </c>
      <c r="F235" s="78" t="inlineStr">
        <is>
          <t>Baay Foreshore</t>
        </is>
      </c>
      <c r="G235" s="79" t="n">
        <v>45982</v>
      </c>
      <c r="H235" s="79" t="n">
        <v>45982</v>
      </c>
      <c r="I235" s="80" t="n">
        <v>36720000</v>
      </c>
      <c r="J235" s="80" t="n">
        <v>34720000</v>
      </c>
      <c r="K235" s="80" t="n">
        <v>0</v>
      </c>
      <c r="L235" s="80" t="n">
        <v>0</v>
      </c>
      <c r="M235" s="80" t="n">
        <v>10000000</v>
      </c>
      <c r="N235" s="80" t="n">
        <v>10000000</v>
      </c>
      <c r="O235" s="78" t="inlineStr">
        <is>
          <t>Client register + Transaction records</t>
        </is>
      </c>
      <c r="P235" s="78" t="inlineStr">
        <is>
          <t>Paying</t>
        </is>
      </c>
      <c r="Q235" s="78" t="inlineStr">
        <is>
          <t>Ms Braimoh Anointing</t>
        </is>
      </c>
      <c r="R235" s="78" t="n"/>
    </row>
    <row r="236" ht="25" customHeight="1">
      <c r="A236" s="75" t="inlineStr">
        <is>
          <t>BP-C0220</t>
        </is>
      </c>
      <c r="B236" s="75" t="inlineStr">
        <is>
          <t>Mr Ayeni Mayowa &amp; Mrs Ayeni Olumide Ibitayo Mercy</t>
        </is>
      </c>
      <c r="C236" s="75" t="inlineStr">
        <is>
          <t>08029932902, 07045113528</t>
        </is>
      </c>
      <c r="D236" s="75" t="inlineStr">
        <is>
          <t>slimmayo2015@gmail.com</t>
        </is>
      </c>
      <c r="E236" s="75" t="inlineStr">
        <is>
          <t>Land</t>
        </is>
      </c>
      <c r="F236" s="75" t="inlineStr">
        <is>
          <t>Heritage Garden; Land (estate not stated in source)</t>
        </is>
      </c>
      <c r="G236" s="76" t="n">
        <v>45996</v>
      </c>
      <c r="H236" s="76" t="n">
        <v>45996</v>
      </c>
      <c r="I236" s="77" t="n">
        <v>1050000</v>
      </c>
      <c r="J236" s="77" t="n">
        <v>1050000</v>
      </c>
      <c r="K236" s="77" t="n">
        <v>0</v>
      </c>
      <c r="L236" s="77" t="n">
        <v>0</v>
      </c>
      <c r="M236" s="77" t="n">
        <v>1050000</v>
      </c>
      <c r="N236" s="77" t="n">
        <v>1050000</v>
      </c>
      <c r="O236" s="75" t="inlineStr">
        <is>
          <t>Client register + Transaction records</t>
        </is>
      </c>
      <c r="P236" s="75" t="inlineStr">
        <is>
          <t>Bought</t>
        </is>
      </c>
      <c r="Q236" s="75" t="inlineStr">
        <is>
          <t>Mayowa Ayeni</t>
        </is>
      </c>
      <c r="R236" s="75" t="n"/>
    </row>
    <row r="237" ht="25" customHeight="1">
      <c r="A237" s="78" t="inlineStr">
        <is>
          <t>BP-C0221</t>
        </is>
      </c>
      <c r="B237" s="78" t="inlineStr">
        <is>
          <t>Mr Opeodu Ayodele &amp; Mr Daisi Omokoya</t>
        </is>
      </c>
      <c r="C237" s="78" t="n"/>
      <c r="D237" s="78" t="n"/>
      <c r="E237" s="78" t="inlineStr">
        <is>
          <t>Housing</t>
        </is>
      </c>
      <c r="F237" s="78" t="inlineStr">
        <is>
          <t>Gorge View Court (GVC Gbagada)</t>
        </is>
      </c>
      <c r="G237" s="79" t="n"/>
      <c r="H237" s="79" t="n">
        <v>46001</v>
      </c>
      <c r="I237" s="80" t="n">
        <v>0</v>
      </c>
      <c r="J237" s="80" t="n">
        <v>0</v>
      </c>
      <c r="K237" s="80" t="n">
        <v>0</v>
      </c>
      <c r="L237" s="80" t="n">
        <v>0</v>
      </c>
      <c r="M237" s="80" t="n">
        <v>250000000</v>
      </c>
      <c r="N237" s="80" t="n">
        <v>250000000</v>
      </c>
      <c r="O237" s="78" t="inlineStr">
        <is>
          <t>Transaction records</t>
        </is>
      </c>
      <c r="P237" s="78" t="n"/>
      <c r="Q237" s="78" t="n"/>
      <c r="R237" s="78" t="inlineStr">
        <is>
          <t>Not in client register: contract value unknown</t>
        </is>
      </c>
    </row>
    <row r="238" ht="25" customHeight="1">
      <c r="A238" s="75" t="inlineStr">
        <is>
          <t>BP-C0222</t>
        </is>
      </c>
      <c r="B238" s="75" t="inlineStr">
        <is>
          <t>Mr Omodele Oluseye Johnson</t>
        </is>
      </c>
      <c r="C238" s="75" t="inlineStr">
        <is>
          <t>61403063455</t>
        </is>
      </c>
      <c r="D238" s="75" t="inlineStr">
        <is>
          <t>Johnsonomodele72@gmail.com</t>
        </is>
      </c>
      <c r="E238" s="75" t="inlineStr">
        <is>
          <t>Housing</t>
        </is>
      </c>
      <c r="F238" s="75" t="inlineStr">
        <is>
          <t>Baay Foreshore</t>
        </is>
      </c>
      <c r="G238" s="76" t="n">
        <v>46010</v>
      </c>
      <c r="H238" s="76" t="n">
        <v>46010</v>
      </c>
      <c r="I238" s="77" t="n">
        <v>38000000</v>
      </c>
      <c r="J238" s="77" t="n">
        <v>38000000</v>
      </c>
      <c r="K238" s="77" t="n">
        <v>0</v>
      </c>
      <c r="L238" s="77" t="n">
        <v>0</v>
      </c>
      <c r="M238" s="77" t="n">
        <v>16000000</v>
      </c>
      <c r="N238" s="77" t="n">
        <v>16000000</v>
      </c>
      <c r="O238" s="75" t="inlineStr">
        <is>
          <t>Client register + Transaction records</t>
        </is>
      </c>
      <c r="P238" s="75" t="inlineStr">
        <is>
          <t>Paid</t>
        </is>
      </c>
      <c r="Q238" s="75" t="inlineStr">
        <is>
          <t>Ms Ojumefor</t>
        </is>
      </c>
      <c r="R238" s="75" t="n"/>
    </row>
    <row r="239" ht="25" customHeight="1">
      <c r="A239" s="78" t="inlineStr">
        <is>
          <t>BP-C0223</t>
        </is>
      </c>
      <c r="B239" s="78" t="inlineStr">
        <is>
          <t>Mr Ojediran Oluwatosin James</t>
        </is>
      </c>
      <c r="C239" s="78" t="inlineStr">
        <is>
          <t>8037063770</t>
        </is>
      </c>
      <c r="D239" s="78" t="inlineStr">
        <is>
          <t>tosinojediran14@gmail.com</t>
        </is>
      </c>
      <c r="E239" s="78" t="inlineStr">
        <is>
          <t>Land</t>
        </is>
      </c>
      <c r="F239" s="78" t="inlineStr">
        <is>
          <t>Green City Phase 3 Extension (Omu-Epe)</t>
        </is>
      </c>
      <c r="G239" s="79" t="n">
        <v>46013</v>
      </c>
      <c r="H239" s="79" t="n"/>
      <c r="I239" s="80" t="n">
        <v>2250000</v>
      </c>
      <c r="J239" s="80" t="n">
        <v>2250000</v>
      </c>
      <c r="K239" s="80" t="n">
        <v>0</v>
      </c>
      <c r="L239" s="80" t="n">
        <v>0</v>
      </c>
      <c r="M239" s="80" t="n">
        <v>0</v>
      </c>
      <c r="N239" s="80" t="n">
        <v>0</v>
      </c>
      <c r="O239" s="78" t="inlineStr">
        <is>
          <t>Client register</t>
        </is>
      </c>
      <c r="P239" s="78" t="inlineStr">
        <is>
          <t>Paying</t>
        </is>
      </c>
      <c r="Q239" s="78" t="inlineStr">
        <is>
          <t>MD</t>
        </is>
      </c>
      <c r="R239" s="78" t="n"/>
    </row>
    <row r="240" ht="25" customHeight="1">
      <c r="A240" s="75" t="inlineStr">
        <is>
          <t>BP-C0224</t>
        </is>
      </c>
      <c r="B240" s="75" t="inlineStr">
        <is>
          <t>Mr Adebowale Oyindamola Adewunmi</t>
        </is>
      </c>
      <c r="C240" s="75" t="inlineStr">
        <is>
          <t>8119910961</t>
        </is>
      </c>
      <c r="D240" s="75" t="inlineStr">
        <is>
          <t>oyindamolaadebowale@gmail.com</t>
        </is>
      </c>
      <c r="E240" s="75" t="inlineStr">
        <is>
          <t>Housing</t>
        </is>
      </c>
      <c r="F240" s="75" t="inlineStr">
        <is>
          <t>Pacific Apartment</t>
        </is>
      </c>
      <c r="G240" s="76" t="n">
        <v>46015</v>
      </c>
      <c r="H240" s="76" t="n">
        <v>46015</v>
      </c>
      <c r="I240" s="77" t="n">
        <v>142000000</v>
      </c>
      <c r="J240" s="77" t="n">
        <v>15000000</v>
      </c>
      <c r="K240" s="77" t="n">
        <v>0</v>
      </c>
      <c r="L240" s="77" t="n">
        <v>0</v>
      </c>
      <c r="M240" s="77" t="n">
        <v>15000000</v>
      </c>
      <c r="N240" s="77" t="n">
        <v>15000000</v>
      </c>
      <c r="O240" s="75" t="inlineStr">
        <is>
          <t>Client register + Transaction records</t>
        </is>
      </c>
      <c r="P240" s="75" t="inlineStr">
        <is>
          <t>Paying</t>
        </is>
      </c>
      <c r="Q240" s="75" t="inlineStr">
        <is>
          <t>Salem Real Estate</t>
        </is>
      </c>
      <c r="R240" s="75" t="n"/>
    </row>
    <row r="241" ht="25" customHeight="1">
      <c r="A241" s="78" t="inlineStr">
        <is>
          <t>BP-C0225</t>
        </is>
      </c>
      <c r="B241" s="78" t="inlineStr">
        <is>
          <t>Mr Akinsode Adebowale Peter</t>
        </is>
      </c>
      <c r="C241" s="78" t="inlineStr">
        <is>
          <t>12405348198</t>
        </is>
      </c>
      <c r="D241" s="78" t="inlineStr">
        <is>
          <t>peterakinsode@gmail.com</t>
        </is>
      </c>
      <c r="E241" s="78" t="inlineStr">
        <is>
          <t>Housing</t>
        </is>
      </c>
      <c r="F241" s="78" t="inlineStr">
        <is>
          <t>Baay Foreshore</t>
        </is>
      </c>
      <c r="G241" s="79" t="n">
        <v>46015</v>
      </c>
      <c r="H241" s="79" t="n"/>
      <c r="I241" s="80" t="n">
        <v>38000000</v>
      </c>
      <c r="J241" s="80" t="n">
        <v>2500000</v>
      </c>
      <c r="K241" s="80" t="n">
        <v>0</v>
      </c>
      <c r="L241" s="80" t="n">
        <v>0</v>
      </c>
      <c r="M241" s="80" t="n">
        <v>0</v>
      </c>
      <c r="N241" s="80" t="n">
        <v>0</v>
      </c>
      <c r="O241" s="78" t="inlineStr">
        <is>
          <t>Client register</t>
        </is>
      </c>
      <c r="P241" s="78" t="inlineStr">
        <is>
          <t>Paying</t>
        </is>
      </c>
      <c r="Q241" s="78" t="inlineStr">
        <is>
          <t>Ms Wuraola</t>
        </is>
      </c>
      <c r="R241" s="78" t="n"/>
    </row>
    <row r="242" ht="25" customHeight="1">
      <c r="A242" s="75" t="inlineStr">
        <is>
          <t>BP-C0226</t>
        </is>
      </c>
      <c r="B242" s="75" t="inlineStr">
        <is>
          <t>Agbaje Achristopher</t>
        </is>
      </c>
      <c r="C242" s="75" t="n"/>
      <c r="D242" s="75" t="n"/>
      <c r="E242" s="75" t="inlineStr">
        <is>
          <t>Land</t>
        </is>
      </c>
      <c r="F242" s="75" t="inlineStr">
        <is>
          <t>Land (estate not stated in source)</t>
        </is>
      </c>
      <c r="G242" s="76" t="n"/>
      <c r="H242" s="76" t="n"/>
      <c r="I242" s="77" t="n">
        <v>0</v>
      </c>
      <c r="J242" s="77" t="n">
        <v>0</v>
      </c>
      <c r="K242" s="77" t="n">
        <v>0</v>
      </c>
      <c r="L242" s="77" t="n">
        <v>0</v>
      </c>
      <c r="M242" s="77" t="n">
        <v>0</v>
      </c>
      <c r="N242" s="77" t="n">
        <v>0</v>
      </c>
      <c r="O242" s="75" t="inlineStr">
        <is>
          <t>Commission records only (exceptions tab)</t>
        </is>
      </c>
      <c r="P242" s="75" t="n"/>
      <c r="Q242" s="75" t="n"/>
      <c r="R242" s="75" t="n"/>
    </row>
    <row r="243" ht="25" customHeight="1">
      <c r="A243" s="78" t="inlineStr">
        <is>
          <t>BP-C0227</t>
        </is>
      </c>
      <c r="B243" s="78" t="inlineStr">
        <is>
          <t>Mitchel Jennifer</t>
        </is>
      </c>
      <c r="C243" s="78" t="n"/>
      <c r="D243" s="78" t="n"/>
      <c r="E243" s="78" t="inlineStr">
        <is>
          <t>Land</t>
        </is>
      </c>
      <c r="F243" s="78" t="inlineStr">
        <is>
          <t>Land (estate not stated in source)</t>
        </is>
      </c>
      <c r="G243" s="79" t="n"/>
      <c r="H243" s="79" t="n"/>
      <c r="I243" s="80" t="n">
        <v>0</v>
      </c>
      <c r="J243" s="80" t="n">
        <v>0</v>
      </c>
      <c r="K243" s="80" t="n">
        <v>0</v>
      </c>
      <c r="L243" s="80" t="n">
        <v>0</v>
      </c>
      <c r="M243" s="80" t="n">
        <v>0</v>
      </c>
      <c r="N243" s="80" t="n">
        <v>0</v>
      </c>
      <c r="O243" s="78" t="inlineStr">
        <is>
          <t>Commission records only (exceptions tab)</t>
        </is>
      </c>
      <c r="P243" s="78" t="n"/>
      <c r="Q243" s="78" t="n"/>
      <c r="R243" s="78" t="n"/>
    </row>
    <row r="244" ht="25" customHeight="1">
      <c r="A244" s="75" t="inlineStr">
        <is>
          <t>BP-C0228</t>
        </is>
      </c>
      <c r="B244" s="75" t="inlineStr">
        <is>
          <t>Mr Adegbembo Oluwagbemiga Adesin</t>
        </is>
      </c>
      <c r="C244" s="75" t="n"/>
      <c r="D244" s="75" t="n"/>
      <c r="E244" s="75" t="inlineStr">
        <is>
          <t>Land</t>
        </is>
      </c>
      <c r="F244" s="75" t="inlineStr">
        <is>
          <t>Land (estate not stated in source)</t>
        </is>
      </c>
      <c r="G244" s="76" t="n"/>
      <c r="H244" s="76" t="n"/>
      <c r="I244" s="77" t="n">
        <v>0</v>
      </c>
      <c r="J244" s="77" t="n">
        <v>0</v>
      </c>
      <c r="K244" s="77" t="n">
        <v>0</v>
      </c>
      <c r="L244" s="77" t="n">
        <v>0</v>
      </c>
      <c r="M244" s="77" t="n">
        <v>0</v>
      </c>
      <c r="N244" s="77" t="n">
        <v>0</v>
      </c>
      <c r="O244" s="75" t="inlineStr">
        <is>
          <t>Commission records only (exceptions tab)</t>
        </is>
      </c>
      <c r="P244" s="75" t="n"/>
      <c r="Q244" s="75" t="n"/>
      <c r="R244" s="75" t="n"/>
    </row>
    <row r="245" ht="25" customHeight="1">
      <c r="A245" s="78" t="inlineStr">
        <is>
          <t>BP-C0229</t>
        </is>
      </c>
      <c r="B245" s="78" t="inlineStr">
        <is>
          <t>Mr Adeyanju/Mr Adepoju &amp; Mrs Adepoju</t>
        </is>
      </c>
      <c r="C245" s="78" t="n"/>
      <c r="D245" s="78" t="n"/>
      <c r="E245" s="78" t="inlineStr">
        <is>
          <t>Land</t>
        </is>
      </c>
      <c r="F245" s="78" t="inlineStr">
        <is>
          <t>Land (estate not stated in source)</t>
        </is>
      </c>
      <c r="G245" s="79" t="n"/>
      <c r="H245" s="79" t="n"/>
      <c r="I245" s="80" t="n">
        <v>0</v>
      </c>
      <c r="J245" s="80" t="n">
        <v>0</v>
      </c>
      <c r="K245" s="80" t="n">
        <v>0</v>
      </c>
      <c r="L245" s="80" t="n">
        <v>0</v>
      </c>
      <c r="M245" s="80" t="n">
        <v>0</v>
      </c>
      <c r="N245" s="80" t="n">
        <v>0</v>
      </c>
      <c r="O245" s="78" t="inlineStr">
        <is>
          <t>Commission records only (exceptions tab)</t>
        </is>
      </c>
      <c r="P245" s="78" t="n"/>
      <c r="Q245" s="78" t="n"/>
      <c r="R245" s="78" t="n"/>
    </row>
    <row r="246" ht="25" customHeight="1">
      <c r="A246" s="75" t="inlineStr">
        <is>
          <t>BP-C0230</t>
        </is>
      </c>
      <c r="B246" s="75" t="inlineStr">
        <is>
          <t>Mr Jude</t>
        </is>
      </c>
      <c r="C246" s="75" t="inlineStr">
        <is>
          <t>44794473337</t>
        </is>
      </c>
      <c r="D246" s="75" t="n"/>
      <c r="E246" s="75" t="inlineStr">
        <is>
          <t>Housing</t>
        </is>
      </c>
      <c r="F246" s="75" t="inlineStr">
        <is>
          <t>Pacific Court</t>
        </is>
      </c>
      <c r="G246" s="76" t="n"/>
      <c r="H246" s="76" t="n"/>
      <c r="I246" s="77" t="n">
        <v>0</v>
      </c>
      <c r="J246" s="77" t="n">
        <v>0</v>
      </c>
      <c r="K246" s="77" t="n">
        <v>0</v>
      </c>
      <c r="L246" s="77" t="n">
        <v>0</v>
      </c>
      <c r="M246" s="77" t="n">
        <v>0</v>
      </c>
      <c r="N246" s="77" t="n">
        <v>0</v>
      </c>
      <c r="O246" s="75" t="inlineStr">
        <is>
          <t>Client register</t>
        </is>
      </c>
      <c r="P246" s="75" t="inlineStr">
        <is>
          <t>ALMOST BOUGHT</t>
        </is>
      </c>
      <c r="Q246" s="75" t="n"/>
      <c r="R246" s="75" t="n"/>
    </row>
    <row r="247" ht="25" customHeight="1">
      <c r="A247" s="78" t="inlineStr">
        <is>
          <t>BP-C0231</t>
        </is>
      </c>
      <c r="B247" s="78" t="inlineStr">
        <is>
          <t>Mr Ojo Ayomidde</t>
        </is>
      </c>
      <c r="C247" s="78" t="n"/>
      <c r="D247" s="78" t="n"/>
      <c r="E247" s="78" t="inlineStr">
        <is>
          <t>Land</t>
        </is>
      </c>
      <c r="F247" s="78" t="inlineStr">
        <is>
          <t>Land (estate not stated in source)</t>
        </is>
      </c>
      <c r="G247" s="79" t="n"/>
      <c r="H247" s="79" t="n"/>
      <c r="I247" s="80" t="n">
        <v>0</v>
      </c>
      <c r="J247" s="80" t="n">
        <v>0</v>
      </c>
      <c r="K247" s="80" t="n">
        <v>0</v>
      </c>
      <c r="L247" s="80" t="n">
        <v>0</v>
      </c>
      <c r="M247" s="80" t="n">
        <v>0</v>
      </c>
      <c r="N247" s="80" t="n">
        <v>0</v>
      </c>
      <c r="O247" s="78" t="inlineStr">
        <is>
          <t>Commission records only (exceptions tab)</t>
        </is>
      </c>
      <c r="P247" s="78" t="n"/>
      <c r="Q247" s="78" t="n"/>
      <c r="R247" s="78" t="n"/>
    </row>
    <row r="248" ht="25" customHeight="1">
      <c r="A248" s="75" t="inlineStr">
        <is>
          <t>BP-C0232</t>
        </is>
      </c>
      <c r="B248" s="75" t="inlineStr">
        <is>
          <t>Mrs Adefila Oluwabukola Ibukunoluwa</t>
        </is>
      </c>
      <c r="C248" s="75" t="inlineStr">
        <is>
          <t>08084349239, 07037742021</t>
        </is>
      </c>
      <c r="D248" s="75" t="inlineStr">
        <is>
          <t>damselibk@yahoo.com</t>
        </is>
      </c>
      <c r="E248" s="75" t="inlineStr">
        <is>
          <t>Housing</t>
        </is>
      </c>
      <c r="F248" s="75" t="inlineStr">
        <is>
          <t>Pacific Apartment</t>
        </is>
      </c>
      <c r="G248" s="76" t="n"/>
      <c r="H248" s="76" t="n"/>
      <c r="I248" s="77" t="n">
        <v>105000000</v>
      </c>
      <c r="J248" s="77" t="n">
        <v>4001141</v>
      </c>
      <c r="K248" s="77" t="n">
        <v>0</v>
      </c>
      <c r="L248" s="77" t="n">
        <v>0</v>
      </c>
      <c r="M248" s="77" t="n">
        <v>0</v>
      </c>
      <c r="N248" s="77" t="n">
        <v>0</v>
      </c>
      <c r="O248" s="75" t="inlineStr">
        <is>
          <t>Client register</t>
        </is>
      </c>
      <c r="P248" s="75" t="inlineStr">
        <is>
          <t>Paying</t>
        </is>
      </c>
      <c r="Q248" s="75" t="inlineStr">
        <is>
          <t>MD</t>
        </is>
      </c>
      <c r="R248" s="75" t="n"/>
    </row>
    <row r="249" ht="25" customHeight="1">
      <c r="A249" s="78" t="inlineStr">
        <is>
          <t>BP-C0233</t>
        </is>
      </c>
      <c r="B249" s="78" t="inlineStr">
        <is>
          <t>Mrs and Mr Bidemi</t>
        </is>
      </c>
      <c r="C249" s="78" t="inlineStr">
        <is>
          <t>13147759807</t>
        </is>
      </c>
      <c r="D249" s="78" t="n"/>
      <c r="E249" s="78" t="inlineStr">
        <is>
          <t>Housing</t>
        </is>
      </c>
      <c r="F249" s="78" t="inlineStr">
        <is>
          <t>Pacific Court</t>
        </is>
      </c>
      <c r="G249" s="79" t="n"/>
      <c r="H249" s="79" t="n"/>
      <c r="I249" s="80" t="n">
        <v>0</v>
      </c>
      <c r="J249" s="80" t="n">
        <v>0</v>
      </c>
      <c r="K249" s="80" t="n">
        <v>0</v>
      </c>
      <c r="L249" s="80" t="n">
        <v>0</v>
      </c>
      <c r="M249" s="80" t="n">
        <v>0</v>
      </c>
      <c r="N249" s="80" t="n">
        <v>0</v>
      </c>
      <c r="O249" s="78" t="inlineStr">
        <is>
          <t>Client register</t>
        </is>
      </c>
      <c r="P249" s="78" t="inlineStr">
        <is>
          <t>ALMOST BOUGHT</t>
        </is>
      </c>
      <c r="Q249" s="78" t="n"/>
      <c r="R249" s="78" t="n"/>
    </row>
    <row r="250" ht="25" customHeight="1">
      <c r="A250" s="75" t="inlineStr">
        <is>
          <t>BP-C0234</t>
        </is>
      </c>
      <c r="B250" s="75" t="inlineStr">
        <is>
          <t>Okorie Rachael Mmesoma</t>
        </is>
      </c>
      <c r="C250" s="75" t="n"/>
      <c r="D250" s="75" t="n"/>
      <c r="E250" s="75" t="inlineStr">
        <is>
          <t>Land</t>
        </is>
      </c>
      <c r="F250" s="75" t="inlineStr">
        <is>
          <t>Land (estate not stated in source)</t>
        </is>
      </c>
      <c r="G250" s="76" t="n"/>
      <c r="H250" s="76" t="n"/>
      <c r="I250" s="77" t="n">
        <v>0</v>
      </c>
      <c r="J250" s="77" t="n">
        <v>0</v>
      </c>
      <c r="K250" s="77" t="n">
        <v>0</v>
      </c>
      <c r="L250" s="77" t="n">
        <v>0</v>
      </c>
      <c r="M250" s="77" t="n">
        <v>0</v>
      </c>
      <c r="N250" s="77" t="n">
        <v>0</v>
      </c>
      <c r="O250" s="75" t="inlineStr">
        <is>
          <t>Commission records only (exceptions tab)</t>
        </is>
      </c>
      <c r="P250" s="75" t="n"/>
      <c r="Q250" s="75" t="n"/>
      <c r="R250" s="75" t="n"/>
    </row>
    <row r="251" ht="25" customHeight="1">
      <c r="A251" s="78" t="inlineStr">
        <is>
          <t>BP-C0235</t>
        </is>
      </c>
      <c r="B251" s="78" t="inlineStr">
        <is>
          <t>Sharon Aisosa Ebholah</t>
        </is>
      </c>
      <c r="C251" s="78" t="n"/>
      <c r="D251" s="78" t="n"/>
      <c r="E251" s="78" t="inlineStr">
        <is>
          <t>Land</t>
        </is>
      </c>
      <c r="F251" s="78" t="inlineStr">
        <is>
          <t>Land (estate not stated in source)</t>
        </is>
      </c>
      <c r="G251" s="79" t="n"/>
      <c r="H251" s="79" t="n"/>
      <c r="I251" s="80" t="n">
        <v>0</v>
      </c>
      <c r="J251" s="80" t="n">
        <v>0</v>
      </c>
      <c r="K251" s="80" t="n">
        <v>0</v>
      </c>
      <c r="L251" s="80" t="n">
        <v>0</v>
      </c>
      <c r="M251" s="80" t="n">
        <v>0</v>
      </c>
      <c r="N251" s="80" t="n">
        <v>0</v>
      </c>
      <c r="O251" s="78" t="inlineStr">
        <is>
          <t>Commission records only (exceptions tab)</t>
        </is>
      </c>
      <c r="P251" s="78" t="n"/>
      <c r="Q251" s="78" t="n"/>
      <c r="R251" s="78" t="n"/>
    </row>
    <row r="252" ht="25" customHeight="1">
      <c r="A252" s="75" t="inlineStr">
        <is>
          <t>BP-C0236</t>
        </is>
      </c>
      <c r="B252" s="75" t="inlineStr">
        <is>
          <t>Yusuff Saheed</t>
        </is>
      </c>
      <c r="C252" s="75" t="n"/>
      <c r="D252" s="75" t="n"/>
      <c r="E252" s="75" t="inlineStr">
        <is>
          <t>Land</t>
        </is>
      </c>
      <c r="F252" s="75" t="inlineStr">
        <is>
          <t>Land (estate not stated in source)</t>
        </is>
      </c>
      <c r="G252" s="76" t="n"/>
      <c r="H252" s="76" t="n"/>
      <c r="I252" s="77" t="n">
        <v>0</v>
      </c>
      <c r="J252" s="77" t="n">
        <v>0</v>
      </c>
      <c r="K252" s="77" t="n">
        <v>0</v>
      </c>
      <c r="L252" s="77" t="n">
        <v>0</v>
      </c>
      <c r="M252" s="77" t="n">
        <v>0</v>
      </c>
      <c r="N252" s="77" t="n">
        <v>0</v>
      </c>
      <c r="O252" s="75" t="inlineStr">
        <is>
          <t>Commission records only (exceptions tab)</t>
        </is>
      </c>
      <c r="P252" s="75" t="n"/>
      <c r="Q252" s="75" t="n"/>
      <c r="R252" s="75" t="n"/>
    </row>
    <row r="253" ht="25" customHeight="1">
      <c r="A253" s="78" t="n"/>
      <c r="B253" s="78" t="inlineStr">
        <is>
          <t>Total</t>
        </is>
      </c>
      <c r="C253" s="78" t="n"/>
      <c r="D253" s="78" t="n"/>
      <c r="E253" s="78" t="n"/>
      <c r="F253" s="78" t="n"/>
      <c r="G253" s="78" t="n"/>
      <c r="H253" s="78" t="n"/>
      <c r="I253" s="80" t="n">
        <v>4016366740</v>
      </c>
      <c r="J253" s="80" t="n">
        <v>2349775281</v>
      </c>
      <c r="K253" s="80" t="n">
        <v>125620000</v>
      </c>
      <c r="L253" s="80" t="n">
        <v>594080600</v>
      </c>
      <c r="M253" s="80" t="n">
        <v>1865113400</v>
      </c>
      <c r="N253" s="80" t="n">
        <v>2584814000</v>
      </c>
      <c r="O253" s="78" t="n"/>
      <c r="P253" s="78" t="n"/>
      <c r="Q253" s="78" t="n"/>
      <c r="R253" s="78"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22"/>
  <sheetViews>
    <sheetView showGridLines="1" workbookViewId="0">
      <pane ySplit="4" topLeftCell="A5" activePane="bottomLeft" state="frozen"/>
      <selection pane="bottomLeft" activeCell="A1" sqref="A1"/>
    </sheetView>
  </sheetViews>
  <sheetFormatPr baseColWidth="8" defaultRowHeight="15"/>
  <cols>
    <col width="97" customWidth="1" min="1" max="1"/>
    <col width="35" customWidth="1" min="2" max="2"/>
    <col width="54" customWidth="1" min="3" max="3"/>
    <col width="21" customWidth="1" min="4" max="4"/>
    <col width="34" customWidth="1" min="5" max="5"/>
    <col width="13" customWidth="1" min="6" max="6"/>
    <col width="13" customWidth="1" min="7" max="7"/>
  </cols>
  <sheetData>
    <row r="1">
      <c r="A1" s="1" t="inlineStr">
        <is>
          <t>BAAY PROJECTS LIMITED — RELATED PARTIES (IAS 24) &amp; EQUITY ROLL-FORWARD</t>
        </is>
      </c>
    </row>
    <row r="2">
      <c r="A2" s="3" t="inlineStr">
        <is>
          <t>Director Financing, Key Management Compensation &amp; Statement of Changes in Equity (2022 - 2025)</t>
        </is>
      </c>
    </row>
    <row r="3"/>
    <row r="4">
      <c r="A4" s="4" t="inlineStr">
        <is>
          <t>Transaction / Entity Line</t>
        </is>
      </c>
      <c r="B4" s="4" t="inlineStr">
        <is>
          <t>Related Party Name &amp; Designation</t>
        </is>
      </c>
      <c r="C4" s="4" t="inlineStr">
        <is>
          <t>Relationship Basis</t>
        </is>
      </c>
      <c r="D4" s="4" t="inlineStr">
        <is>
          <t>2022 (NGN)</t>
        </is>
      </c>
      <c r="E4" s="4" t="inlineStr">
        <is>
          <t>2023 (NGN)</t>
        </is>
      </c>
      <c r="F4" s="4" t="inlineStr">
        <is>
          <t>2024 (NGN)</t>
        </is>
      </c>
      <c r="G4" s="4" t="inlineStr">
        <is>
          <t>2025 (NGN)</t>
        </is>
      </c>
    </row>
    <row r="5">
      <c r="A5" s="8" t="inlineStr">
        <is>
          <t>Director Financing Loan (Opening)</t>
        </is>
      </c>
      <c r="B5" s="9" t="inlineStr">
        <is>
          <t>Adegoke Segun Babatunde</t>
        </is>
      </c>
      <c r="C5" s="10" t="inlineStr">
        <is>
          <t>Director / 80% Shareholder per current CAC register</t>
        </is>
      </c>
      <c r="D5" s="28" t="n">
        <v>0</v>
      </c>
      <c r="E5" s="28" t="n">
        <v>0</v>
      </c>
      <c r="F5" s="28" t="n">
        <v>4500000</v>
      </c>
      <c r="G5" s="28" t="n">
        <v>5800000</v>
      </c>
    </row>
    <row r="6">
      <c r="A6" s="5" t="inlineStr">
        <is>
          <t>New Direct Advances Injected</t>
        </is>
      </c>
      <c r="B6" s="6" t="inlineStr">
        <is>
          <t>Adegoke Segun Babatunde</t>
        </is>
      </c>
      <c r="C6" s="7" t="inlineStr">
        <is>
          <t>Project Liquidity Support</t>
        </is>
      </c>
      <c r="D6" s="27" t="n">
        <v>0</v>
      </c>
      <c r="E6" s="27" t="n">
        <v>4500000</v>
      </c>
      <c r="F6" s="27" t="n">
        <v>1300000</v>
      </c>
      <c r="G6" s="27" t="n">
        <v>1700000</v>
      </c>
    </row>
    <row r="7">
      <c r="A7" s="8" t="inlineStr">
        <is>
          <t>Repayments to Director</t>
        </is>
      </c>
      <c r="B7" s="9" t="inlineStr">
        <is>
          <t>Adegoke Segun Babatunde</t>
        </is>
      </c>
      <c r="C7" s="10" t="inlineStr">
        <is>
          <t>Cash Reimbursement</t>
        </is>
      </c>
      <c r="D7" s="28" t="n">
        <v>0</v>
      </c>
      <c r="E7" s="28" t="n">
        <v>0</v>
      </c>
      <c r="F7" s="28" t="n">
        <v>0</v>
      </c>
      <c r="G7" s="28" t="n">
        <v>0</v>
      </c>
    </row>
    <row r="8">
      <c r="A8" s="5" t="inlineStr">
        <is>
          <t>Director Project Loan (Closing SFP)</t>
        </is>
      </c>
      <c r="B8" s="6" t="inlineStr">
        <is>
          <t>Adegoke Segun Babatunde</t>
        </is>
      </c>
      <c r="C8" s="7" t="inlineStr">
        <is>
          <t>Unsecured, Interest-Free, Subordinated</t>
        </is>
      </c>
      <c r="D8" s="27" t="n">
        <v>0</v>
      </c>
      <c r="E8" s="27" t="n">
        <v>4500000</v>
      </c>
      <c r="F8" s="27" t="n">
        <v>5800000</v>
      </c>
      <c r="G8" s="27" t="n">
        <v>7500000</v>
      </c>
    </row>
    <row r="9">
      <c r="A9" s="8" t="inlineStr">
        <is>
          <t>Executive Directors' Remuneration</t>
        </is>
      </c>
      <c r="B9" s="9" t="inlineStr">
        <is>
          <t>Engr. &amp; Mrs. Goke</t>
        </is>
      </c>
      <c r="C9" s="10" t="inlineStr">
        <is>
          <t>Key Management Personnel</t>
        </is>
      </c>
      <c r="D9" s="28" t="n">
        <v>0</v>
      </c>
      <c r="E9" s="28" t="n">
        <v>1800000</v>
      </c>
      <c r="F9" s="28" t="n">
        <v>2400000</v>
      </c>
      <c r="G9" s="28" t="n">
        <v>3600000</v>
      </c>
    </row>
    <row r="10"/>
    <row r="11"/>
    <row r="12">
      <c r="A12" s="2" t="inlineStr">
        <is>
          <t>STATEMENT OF CHANGES IN EQUITY ROLL-FORWARD (2022 - 2025)</t>
        </is>
      </c>
    </row>
    <row r="13">
      <c r="A13" s="4" t="inlineStr">
        <is>
          <t>Equity Component</t>
        </is>
      </c>
      <c r="B13" s="4" t="inlineStr">
        <is>
          <t>Share Capital (NGN)</t>
        </is>
      </c>
      <c r="C13" s="4" t="inlineStr">
        <is>
          <t>Retained Earnings (NGN)</t>
        </is>
      </c>
      <c r="D13" s="4" t="inlineStr">
        <is>
          <t>Total Equity (NGN)</t>
        </is>
      </c>
      <c r="E13" s="4" t="inlineStr">
        <is>
          <t>Statutory Reference</t>
        </is>
      </c>
    </row>
    <row r="14">
      <c r="A14" s="5" t="inlineStr">
        <is>
          <t>Balance as at 1 January 2022</t>
        </is>
      </c>
      <c r="B14" s="27" t="n">
        <v>1000000</v>
      </c>
      <c r="C14" s="27" t="n">
        <v>0</v>
      </c>
      <c r="D14" s="19" t="n">
        <v>1000000</v>
      </c>
      <c r="E14" s="7" t="inlineStr">
        <is>
          <t>Incorporation &amp; Opening</t>
        </is>
      </c>
    </row>
    <row r="15">
      <c r="A15" s="8" t="inlineStr">
        <is>
          <t>Profit for the Year 2022 (Audited)</t>
        </is>
      </c>
      <c r="B15" s="28" t="n">
        <v>0</v>
      </c>
      <c r="C15" s="28" t="n">
        <v>2361708</v>
      </c>
      <c r="D15" s="17" t="n">
        <v>2361708</v>
      </c>
      <c r="E15" s="10" t="inlineStr">
        <is>
          <t>2022 Audited AFS</t>
        </is>
      </c>
    </row>
    <row r="16">
      <c r="A16" s="5" t="inlineStr">
        <is>
          <t>Balance as at 31 December 2022</t>
        </is>
      </c>
      <c r="B16" s="27" t="n">
        <v>1000000</v>
      </c>
      <c r="C16" s="27" t="n">
        <v>2361708</v>
      </c>
      <c r="D16" s="19" t="n">
        <v>3361708</v>
      </c>
      <c r="E16" s="7" t="inlineStr">
        <is>
          <t>Audited Balance Sheet</t>
        </is>
      </c>
    </row>
    <row r="17">
      <c r="A17" s="8" t="inlineStr">
        <is>
          <t>Profit for the Year 2023 (Draft AFS)</t>
        </is>
      </c>
      <c r="B17" s="28" t="n">
        <v>0</v>
      </c>
      <c r="C17" s="28" t="n">
        <v>5600235</v>
      </c>
      <c r="D17" s="17" t="n">
        <v>5600235</v>
      </c>
      <c r="E17" s="10" t="inlineStr">
        <is>
          <t>Statement of Profit or Loss</t>
        </is>
      </c>
    </row>
    <row r="18">
      <c r="A18" s="5" t="inlineStr">
        <is>
          <t>Balance as at 31 December 2023</t>
        </is>
      </c>
      <c r="B18" s="27" t="n">
        <v>1000000</v>
      </c>
      <c r="C18" s="27" t="n">
        <v>7961943</v>
      </c>
      <c r="D18" s="19" t="n">
        <v>8961943</v>
      </c>
      <c r="E18" s="7" t="inlineStr">
        <is>
          <t>Statement of Financial Position</t>
        </is>
      </c>
    </row>
    <row r="19">
      <c r="A19" s="8" t="inlineStr">
        <is>
          <t>Profit for the Year 2024 (Draft AFS)</t>
        </is>
      </c>
      <c r="B19" s="28" t="n">
        <v>0</v>
      </c>
      <c r="C19" s="28" t="n">
        <v>5514775</v>
      </c>
      <c r="D19" s="17" t="n">
        <v>5514775</v>
      </c>
      <c r="E19" s="10" t="inlineStr">
        <is>
          <t>Statement of Profit or Loss</t>
        </is>
      </c>
    </row>
    <row r="20">
      <c r="A20" s="5" t="inlineStr">
        <is>
          <t>Balance as at 31 December 2024</t>
        </is>
      </c>
      <c r="B20" s="27" t="n">
        <v>1000000</v>
      </c>
      <c r="C20" s="27" t="n">
        <v>13476718</v>
      </c>
      <c r="D20" s="19" t="n">
        <v>14476718</v>
      </c>
      <c r="E20" s="7" t="inlineStr">
        <is>
          <t>Statement of Financial Position</t>
        </is>
      </c>
    </row>
    <row r="21">
      <c r="A21" s="8" t="inlineStr">
        <is>
          <t>Profit for the Year 2025 (Draft AFS)</t>
        </is>
      </c>
      <c r="B21" s="28" t="n">
        <v>0</v>
      </c>
      <c r="C21" s="28" t="n">
        <v>8802370</v>
      </c>
      <c r="D21" s="17" t="n">
        <v>8802370</v>
      </c>
      <c r="E21" s="10" t="inlineStr">
        <is>
          <t>Statement of Profit or Loss</t>
        </is>
      </c>
    </row>
    <row r="22">
      <c r="A22" s="5" t="inlineStr">
        <is>
          <t>Balance as at 31 December 2025</t>
        </is>
      </c>
      <c r="B22" s="27" t="n">
        <v>1000000</v>
      </c>
      <c r="C22" s="27" t="n">
        <v>22279088</v>
      </c>
      <c r="D22" s="19" t="n">
        <v>23279088</v>
      </c>
      <c r="E22" s="7" t="inlineStr">
        <is>
          <t>Statement of Financial Position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14"/>
  <sheetViews>
    <sheetView showGridLines="1" workbookViewId="0">
      <pane ySplit="4" topLeftCell="A5" activePane="bottomLeft" state="frozen"/>
      <selection pane="bottomLeft" activeCell="A1" sqref="A1"/>
    </sheetView>
  </sheetViews>
  <sheetFormatPr baseColWidth="8" defaultRowHeight="15"/>
  <cols>
    <col width="100" customWidth="1" min="1" max="1"/>
    <col width="50" customWidth="1" min="2" max="2"/>
    <col width="49" customWidth="1" min="3" max="3"/>
    <col width="41" customWidth="1" min="4" max="4"/>
    <col width="63" customWidth="1" min="5" max="5"/>
    <col width="52" customWidth="1" min="6" max="6"/>
    <col width="68" customWidth="1" min="7" max="7"/>
    <col width="61" customWidth="1" min="8" max="8"/>
    <col width="48" customWidth="1" min="9" max="9"/>
    <col width="46" customWidth="1" min="10" max="10"/>
  </cols>
  <sheetData>
    <row r="1">
      <c r="A1" s="1" t="inlineStr">
        <is>
          <t>BAAY PROJECTS LIMITED — STATUTORY NIGERIAN TAX LAW MATRIX</t>
        </is>
      </c>
    </row>
    <row r="2">
      <c r="A2" s="3" t="inlineStr">
        <is>
          <t>Governing Acts, Sections, Amendments, Effective Dates, Thresholds &amp; Statutory Authority Reference</t>
        </is>
      </c>
    </row>
    <row r="3"/>
    <row r="4">
      <c r="A4" s="4" t="inlineStr">
        <is>
          <t>Tax Head / Statutory Levy</t>
        </is>
      </c>
      <c r="B4" s="4" t="inlineStr">
        <is>
          <t>Governing Primary Act &amp; Section</t>
        </is>
      </c>
      <c r="C4" s="4" t="inlineStr">
        <is>
          <t>Key Amending Legislation</t>
        </is>
      </c>
      <c r="D4" s="4" t="inlineStr">
        <is>
          <t>Commencement / Effective Date</t>
        </is>
      </c>
      <c r="E4" s="4" t="inlineStr">
        <is>
          <t>Basis Period &amp; YOA Alignment</t>
        </is>
      </c>
      <c r="F4" s="4" t="inlineStr">
        <is>
          <t>Tax Base / Statutory Base</t>
        </is>
      </c>
      <c r="G4" s="4" t="inlineStr">
        <is>
          <t>Statutory Rates &amp; Thresholds</t>
        </is>
      </c>
      <c r="H4" s="4" t="inlineStr">
        <is>
          <t>Exemptions / Reliefs</t>
        </is>
      </c>
      <c r="I4" s="4" t="inlineStr">
        <is>
          <t>Filing &amp; Remittance Deadline</t>
        </is>
      </c>
      <c r="J4" s="4" t="inlineStr">
        <is>
          <t>Competent Tax Authority</t>
        </is>
      </c>
    </row>
    <row r="5">
      <c r="A5" s="8" t="inlineStr">
        <is>
          <t>Companies Income Tax (CIT)</t>
        </is>
      </c>
      <c r="B5" s="9" t="inlineStr">
        <is>
          <t>CITA CAP C21 LFN 2004, Sec 40</t>
        </is>
      </c>
      <c r="C5" s="9" t="inlineStr">
        <is>
          <t>Finance Acts 2019, 2020, 2021, 2023</t>
        </is>
      </c>
      <c r="D5" s="10" t="inlineStr">
        <is>
          <t>Continuous (Amended annually)</t>
        </is>
      </c>
      <c r="E5" s="9" t="inlineStr">
        <is>
          <t>Preceding Year Basis (FY23-&gt;YOA24, FY24-&gt;YOA25, FY25-&gt;YOA26)</t>
        </is>
      </c>
      <c r="F5" s="9" t="inlineStr">
        <is>
          <t>Taxable Profit (Adjusted for non-allowables &amp; CA)</t>
        </is>
      </c>
      <c r="G5" s="8" t="inlineStr">
        <is>
          <t>Small (&lt;=25m): 0%; Medium (&gt;25m-100m): 20%; Large (&gt;100m): 30%</t>
        </is>
      </c>
      <c r="H5" s="10" t="inlineStr">
        <is>
          <t>Small business complete exemption (0% rate)</t>
        </is>
      </c>
      <c r="I5" s="9" t="inlineStr">
        <is>
          <t>6 months post financial year-end (30 June)</t>
        </is>
      </c>
      <c r="J5" s="8" t="inlineStr">
        <is>
          <t>Federal Inland Revenue Service (FIRS)</t>
        </is>
      </c>
    </row>
    <row r="6">
      <c r="A6" s="5" t="inlineStr">
        <is>
          <t>Tertiary Education Tax (TET)</t>
        </is>
      </c>
      <c r="B6" s="6" t="inlineStr">
        <is>
          <t>TETFA 2011, Sec 1(2)</t>
        </is>
      </c>
      <c r="C6" s="6" t="inlineStr">
        <is>
          <t>Finance Act 2021 (2.5%), Finance Act 2023 (3%)</t>
        </is>
      </c>
      <c r="D6" s="7" t="inlineStr">
        <is>
          <t>1 September 2023 for FA 2023 3% rate</t>
        </is>
      </c>
      <c r="E6" s="6" t="inlineStr">
        <is>
          <t>Accounting periods ending on/after 1-Sep-2023</t>
        </is>
      </c>
      <c r="F6" s="6" t="inlineStr">
        <is>
          <t>Assessable Profit (PBT + Disallowables before CA)</t>
        </is>
      </c>
      <c r="G6" s="5" t="inlineStr">
        <is>
          <t>3% of Assessable Profit (increased from 2.5%)</t>
        </is>
      </c>
      <c r="H6" s="7" t="inlineStr">
        <is>
          <t>Small companies (Turnover &lt;= ₦25m) exempt</t>
        </is>
      </c>
      <c r="I6" s="6" t="inlineStr">
        <is>
          <t>Concurrent with CIT return (30 June)</t>
        </is>
      </c>
      <c r="J6" s="5" t="inlineStr">
        <is>
          <t>Federal Inland Revenue Service (FIRS)</t>
        </is>
      </c>
    </row>
    <row r="7">
      <c r="A7" s="8" t="inlineStr">
        <is>
          <t>Minimum Tax</t>
        </is>
      </c>
      <c r="B7" s="9" t="inlineStr">
        <is>
          <t>CITA CAP C21 LFN 2004, Sec 33</t>
        </is>
      </c>
      <c r="C7" s="9" t="inlineStr">
        <is>
          <t>Finance Acts 2019, 2020, 2021</t>
        </is>
      </c>
      <c r="D7" s="10" t="inlineStr">
        <is>
          <t>Effective 1 January 2020</t>
        </is>
      </c>
      <c r="E7" s="9" t="inlineStr">
        <is>
          <t>Basis period corresponding to YOA</t>
        </is>
      </c>
      <c r="F7" s="9" t="inlineStr">
        <is>
          <t>Gross Turnover less Franked Investment Income</t>
        </is>
      </c>
      <c r="G7" s="8" t="inlineStr">
        <is>
          <t>0.5% of Gross Turnover</t>
        </is>
      </c>
      <c r="H7" s="10" t="inlineStr">
        <is>
          <t>Small companies, first 4 calendar years of commencement</t>
        </is>
      </c>
      <c r="I7" s="9" t="inlineStr">
        <is>
          <t>Concurrent with CIT return (30 June)</t>
        </is>
      </c>
      <c r="J7" s="8" t="inlineStr">
        <is>
          <t>Federal Inland Revenue Service (FIRS)</t>
        </is>
      </c>
    </row>
    <row r="8">
      <c r="A8" s="5" t="inlineStr">
        <is>
          <t>Value Added Tax (VAT)</t>
        </is>
      </c>
      <c r="B8" s="6" t="inlineStr">
        <is>
          <t>Value Added Tax Act CAP V1 LFN 2004</t>
        </is>
      </c>
      <c r="C8" s="6" t="inlineStr">
        <is>
          <t>Finance Acts 2019 (7.5%), 2020</t>
        </is>
      </c>
      <c r="D8" s="7" t="inlineStr">
        <is>
          <t>1 February 2020 for 7.5% standard rate</t>
        </is>
      </c>
      <c r="E8" s="6" t="inlineStr">
        <is>
          <t>Monthly transaction date (Tax Point)</t>
        </is>
      </c>
      <c r="F8" s="6" t="inlineStr">
        <is>
          <t>Value of Taxable Goods &amp; Services Supplied</t>
        </is>
      </c>
      <c r="G8" s="5" t="inlineStr">
        <is>
          <t>7.5% Standard Rate on taxable supplies</t>
        </is>
      </c>
      <c r="H8" s="7" t="inlineStr">
        <is>
          <t>Sale of bare land and residential properties exempt</t>
        </is>
      </c>
      <c r="I8" s="6" t="inlineStr">
        <is>
          <t>21st day of month following transaction</t>
        </is>
      </c>
      <c r="J8" s="5" t="inlineStr">
        <is>
          <t>Federal Inland Revenue Service (FIRS)</t>
        </is>
      </c>
    </row>
    <row r="9">
      <c r="A9" s="8" t="inlineStr">
        <is>
          <t>Withholding Tax (Client Deductions)</t>
        </is>
      </c>
      <c r="B9" s="9" t="inlineStr">
        <is>
          <t>CITA Sec 81 / PITA Sec 73</t>
        </is>
      </c>
      <c r="C9" s="9" t="inlineStr">
        <is>
          <t>Deduction of Tax at Source Regs 2024</t>
        </is>
      </c>
      <c r="D9" s="10" t="inlineStr">
        <is>
          <t>1 Jan 2025 (Gazetted 2024 Regulations)</t>
        </is>
      </c>
      <c r="E9" s="9" t="inlineStr">
        <is>
          <t>Date of payment or credit by client</t>
        </is>
      </c>
      <c r="F9" s="9" t="inlineStr">
        <is>
          <t>Gross contract / invoice billing amount</t>
        </is>
      </c>
      <c r="G9" s="8" t="inlineStr">
        <is>
          <t>5% on Construction contracts; 2% for building under 2024 Regs</t>
        </is>
      </c>
      <c r="H9" s="10" t="inlineStr">
        <is>
          <t>Reimbursables and exempt contracts</t>
        </is>
      </c>
      <c r="I9" s="9" t="inlineStr">
        <is>
          <t>Credit note offset against CIT liability</t>
        </is>
      </c>
      <c r="J9" s="8" t="inlineStr">
        <is>
          <t>Federal Inland Revenue Service (FIRS)</t>
        </is>
      </c>
    </row>
    <row r="10">
      <c r="A10" s="5" t="inlineStr">
        <is>
          <t>Withholding Tax (Vendor Deductions)</t>
        </is>
      </c>
      <c r="B10" s="6" t="inlineStr">
        <is>
          <t>CITA Sec 81 / PITA Sec 73</t>
        </is>
      </c>
      <c r="C10" s="6" t="inlineStr">
        <is>
          <t>Deduction of Tax at Source Regs 2024</t>
        </is>
      </c>
      <c r="D10" s="7" t="inlineStr">
        <is>
          <t>1 Jan 2025 (Gazetted 2024 Regulations)</t>
        </is>
      </c>
      <c r="E10" s="6" t="inlineStr">
        <is>
          <t>Date of payment to suppliers / subcontractors</t>
        </is>
      </c>
      <c r="F10" s="6" t="inlineStr">
        <is>
          <t>Gross payment to vendors and subcontractors</t>
        </is>
      </c>
      <c r="G10" s="5" t="inlineStr">
        <is>
          <t>2023-2024: 5% Construction; 2025: 2% Resident Building, 5% Others</t>
        </is>
      </c>
      <c r="H10" s="7" t="inlineStr">
        <is>
          <t>Small vendors below statutory threshold</t>
        </is>
      </c>
      <c r="I10" s="6" t="inlineStr">
        <is>
          <t>21st day of month following deduction</t>
        </is>
      </c>
      <c r="J10" s="5" t="inlineStr">
        <is>
          <t>FIRS (Corporate) / State IRS (Individuals)</t>
        </is>
      </c>
    </row>
    <row r="11">
      <c r="A11" s="8" t="inlineStr">
        <is>
          <t>Police Trust Fund (PTF) Levy</t>
        </is>
      </c>
      <c r="B11" s="9" t="inlineStr">
        <is>
          <t>Nigeria Police Trust Fund Act 2019, Sec 4(1)(b)</t>
        </is>
      </c>
      <c r="C11" s="9" t="inlineStr">
        <is>
          <t>NPTF Act 2019 Gazette No. 119 Vol. 106</t>
        </is>
      </c>
      <c r="D11" s="10" t="inlineStr">
        <is>
          <t>24 June 2019 (6-year initial period)</t>
        </is>
      </c>
      <c r="E11" s="9" t="inlineStr">
        <is>
          <t>Net profit of the financial year</t>
        </is>
      </c>
      <c r="F11" s="9" t="inlineStr">
        <is>
          <t>Net Profit (Profit Before Tax)</t>
        </is>
      </c>
      <c r="G11" s="8" t="inlineStr">
        <is>
          <t>0.005% (0.00005) of Net Profit</t>
        </is>
      </c>
      <c r="H11" s="10" t="inlineStr">
        <is>
          <t>No statutory threshold exemption</t>
        </is>
      </c>
      <c r="I11" s="9" t="inlineStr">
        <is>
          <t>Concurrent with CIT return (30 June)</t>
        </is>
      </c>
      <c r="J11" s="8" t="inlineStr">
        <is>
          <t>Federal Inland Revenue Service (FIRS)</t>
        </is>
      </c>
    </row>
    <row r="12">
      <c r="A12" s="5" t="inlineStr">
        <is>
          <t>NASENI Development Levy</t>
        </is>
      </c>
      <c r="B12" s="6" t="inlineStr">
        <is>
          <t>NASENI Act CAP N3 LFN 2004, Sec 20(2)(a)</t>
        </is>
      </c>
      <c r="C12" s="6" t="inlineStr">
        <is>
          <t>Finance Act 2021</t>
        </is>
      </c>
      <c r="D12" s="7" t="inlineStr">
        <is>
          <t>1 January 2022</t>
        </is>
      </c>
      <c r="E12" s="6" t="inlineStr">
        <is>
          <t>Basis period with turnover &gt; ₦100m</t>
        </is>
      </c>
      <c r="F12" s="6" t="inlineStr">
        <is>
          <t>Profit Before Tax (PBT)</t>
        </is>
      </c>
      <c r="G12" s="5" t="inlineStr">
        <is>
          <t>0.25% of Profit Before Tax</t>
        </is>
      </c>
      <c r="H12" s="7" t="inlineStr">
        <is>
          <t>Companies with turnover below ₦100,000,000 exempt</t>
        </is>
      </c>
      <c r="I12" s="6" t="inlineStr">
        <is>
          <t>Concurrent with CIT return (30 June)</t>
        </is>
      </c>
      <c r="J12" s="5" t="inlineStr">
        <is>
          <t>Federal Inland Revenue Service (FIRS)</t>
        </is>
      </c>
    </row>
    <row r="13">
      <c r="A13" s="8" t="inlineStr">
        <is>
          <t>Personal Income Tax / PAYE</t>
        </is>
      </c>
      <c r="B13" s="9" t="inlineStr">
        <is>
          <t>PITA CAP P8 LFN 2004, Sec 81</t>
        </is>
      </c>
      <c r="C13" s="9" t="inlineStr">
        <is>
          <t>Finance Acts 2019, 2020</t>
        </is>
      </c>
      <c r="D13" s="10" t="inlineStr">
        <is>
          <t>Continuous (Graduated Bands)</t>
        </is>
      </c>
      <c r="E13" s="9" t="inlineStr">
        <is>
          <t>Monthly employee remuneration</t>
        </is>
      </c>
      <c r="F13" s="9" t="inlineStr">
        <is>
          <t>Gross emoluments less Consolidated Relief (CRA)</t>
        </is>
      </c>
      <c r="G13" s="8" t="inlineStr">
        <is>
          <t>Graduated scale from 7% to 24%; Minimum tax 1%</t>
        </is>
      </c>
      <c r="H13" s="10" t="inlineStr">
        <is>
          <t>Employees earning &lt;= National Minimum Wage exempt</t>
        </is>
      </c>
      <c r="I13" s="9" t="inlineStr">
        <is>
          <t>10th day of month following payroll deduction</t>
        </is>
      </c>
      <c r="J13" s="8" t="inlineStr">
        <is>
          <t>Lagos State Internal Revenue Service (LIRS)</t>
        </is>
      </c>
    </row>
    <row r="14">
      <c r="A14" s="5" t="inlineStr">
        <is>
          <t>Capital Gains Tax (CGT)</t>
        </is>
      </c>
      <c r="B14" s="6" t="inlineStr">
        <is>
          <t>CGTA CAP C1 LFN 2004, Sec 2</t>
        </is>
      </c>
      <c r="C14" s="6" t="inlineStr">
        <is>
          <t>Finance Acts 2020, 2021</t>
        </is>
      </c>
      <c r="D14" s="7" t="inlineStr">
        <is>
          <t>Continuous</t>
        </is>
      </c>
      <c r="E14" s="6" t="inlineStr">
        <is>
          <t>Date of capital asset disposal</t>
        </is>
      </c>
      <c r="F14" s="6" t="inlineStr">
        <is>
          <t>Net chargeable gain on disposal of capital assets</t>
        </is>
      </c>
      <c r="G14" s="5" t="inlineStr">
        <is>
          <t>10% of Chargeable Gain</t>
        </is>
      </c>
      <c r="H14" s="7" t="inlineStr">
        <is>
          <t>Ordinary trading stock (IAS 2 land resale) exempt from CGT</t>
        </is>
      </c>
      <c r="I14" s="6" t="inlineStr">
        <is>
          <t>Concurrent with annual tax return</t>
        </is>
      </c>
      <c r="J14" s="5" t="inlineStr">
        <is>
          <t>Federal Inland Revenue Service (FIRS)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24"/>
  <sheetViews>
    <sheetView showGridLines="1" workbookViewId="0">
      <pane ySplit="4" topLeftCell="A5" activePane="bottomLeft" state="frozen"/>
      <selection pane="bottomLeft" activeCell="A1" sqref="A1"/>
    </sheetView>
  </sheetViews>
  <sheetFormatPr baseColWidth="8" defaultRowHeight="15"/>
  <cols>
    <col width="73" customWidth="1" min="1" max="1"/>
    <col width="44" customWidth="1" min="2" max="2"/>
    <col width="30" customWidth="1" min="3" max="3"/>
    <col width="30" customWidth="1" min="4" max="4"/>
    <col width="30" customWidth="1" min="5" max="5"/>
    <col width="29" customWidth="1" min="6" max="6"/>
  </cols>
  <sheetData>
    <row r="1">
      <c r="A1" s="1" t="inlineStr">
        <is>
          <t>BAAY PROJECTS LIMITED — CIT, TET &amp; MINIMUM TAX COMPUTATIONS</t>
        </is>
      </c>
    </row>
    <row r="2">
      <c r="A2" s="3" t="inlineStr">
        <is>
          <t>Statutory Tax Computations for Years of Assessment 2024, 2025 and 2026</t>
        </is>
      </c>
    </row>
    <row r="3"/>
    <row r="4">
      <c r="A4" s="4" t="inlineStr">
        <is>
          <t>Tax Computation Line Item</t>
        </is>
      </c>
      <c r="B4" s="4" t="inlineStr">
        <is>
          <t>Statutory Rule / Formula</t>
        </is>
      </c>
      <c r="C4" s="4" t="inlineStr">
        <is>
          <t>FY 2023 / YOA 2024 (NGN)</t>
        </is>
      </c>
      <c r="D4" s="4" t="inlineStr">
        <is>
          <t>FY 2024 / YOA 2025 (NGN)</t>
        </is>
      </c>
      <c r="E4" s="4" t="inlineStr">
        <is>
          <t>FY 2025 / YOA 2026 (NGN)</t>
        </is>
      </c>
      <c r="F4" s="4" t="inlineStr">
        <is>
          <t>Applicable Tax Legislation</t>
        </is>
      </c>
    </row>
    <row r="5">
      <c r="A5" s="9" t="inlineStr">
        <is>
          <t>Gross Statutory Turnover</t>
        </is>
      </c>
      <c r="B5" s="10" t="inlineStr">
        <is>
          <t>IFRS 15 Revenue</t>
        </is>
      </c>
      <c r="C5" s="22" t="n">
        <v>38500000</v>
      </c>
      <c r="D5" s="22" t="n">
        <v>64200000</v>
      </c>
      <c r="E5" s="22" t="n">
        <v>112500000</v>
      </c>
      <c r="F5" s="9" t="inlineStr">
        <is>
          <t>Statutory Turnover Test</t>
        </is>
      </c>
    </row>
    <row r="6">
      <c r="A6" s="6" t="inlineStr">
        <is>
          <t>Company Size Classification</t>
        </is>
      </c>
      <c r="B6" s="7" t="inlineStr">
        <is>
          <t>Turnover Band Test</t>
        </is>
      </c>
      <c r="C6" s="29" t="inlineStr">
        <is>
          <t>Medium Company (20% CIT)</t>
        </is>
      </c>
      <c r="D6" s="29" t="inlineStr">
        <is>
          <t>Medium Company (20% CIT)</t>
        </is>
      </c>
      <c r="E6" s="29" t="inlineStr">
        <is>
          <t>Large Company (30% CIT)</t>
        </is>
      </c>
      <c r="F6" s="6" t="inlineStr">
        <is>
          <t>CITA Section 40</t>
        </is>
      </c>
    </row>
    <row r="7">
      <c r="A7" s="9" t="inlineStr">
        <is>
          <t>Profit Before Taxation (PBT)</t>
        </is>
      </c>
      <c r="B7" s="10" t="inlineStr">
        <is>
          <t>Per Statement of Profit or Loss</t>
        </is>
      </c>
      <c r="C7" s="22" t="n">
        <v>7300000</v>
      </c>
      <c r="D7" s="22" t="n">
        <v>12500000</v>
      </c>
      <c r="E7" s="22" t="n">
        <v>22600000</v>
      </c>
      <c r="F7" s="9" t="inlineStr">
        <is>
          <t>Accounting PBT</t>
        </is>
      </c>
    </row>
    <row r="8">
      <c r="A8" s="6" t="inlineStr">
        <is>
          <t>Add: Disallowable Expenses &amp; Adjustments</t>
        </is>
      </c>
      <c r="B8" s="7" t="inlineStr">
        <is>
          <t>Add-Back Schedule</t>
        </is>
      </c>
      <c r="C8" s="6" t="n"/>
      <c r="D8" s="6" t="n"/>
      <c r="E8" s="6" t="n"/>
      <c r="F8" s="6" t="inlineStr">
        <is>
          <t>CITA Section 27</t>
        </is>
      </c>
    </row>
    <row r="9">
      <c r="A9" s="9" t="inlineStr">
        <is>
          <t xml:space="preserve">  - Depreciation Expense (IAS 16)</t>
        </is>
      </c>
      <c r="B9" s="10" t="inlineStr">
        <is>
          <t>Non-Allowable Depreciation</t>
        </is>
      </c>
      <c r="C9" s="22" t="n">
        <v>385000</v>
      </c>
      <c r="D9" s="22" t="n">
        <v>715000</v>
      </c>
      <c r="E9" s="22" t="n">
        <v>1285000</v>
      </c>
      <c r="F9" s="9" t="inlineStr">
        <is>
          <t>CITA Sec 27(f)</t>
        </is>
      </c>
    </row>
    <row r="10">
      <c r="A10" s="6" t="inlineStr">
        <is>
          <t xml:space="preserve">  - IFRS 9 ECL Impairment Allowance</t>
        </is>
      </c>
      <c r="B10" s="7" t="inlineStr">
        <is>
          <t>General Provision Add-Back</t>
        </is>
      </c>
      <c r="C10" s="21" t="n">
        <v>185000</v>
      </c>
      <c r="D10" s="21" t="n">
        <v>260000</v>
      </c>
      <c r="E10" s="21" t="n">
        <v>395000</v>
      </c>
      <c r="F10" s="6" t="inlineStr">
        <is>
          <t>CITA Sec 27(a)</t>
        </is>
      </c>
    </row>
    <row r="11">
      <c r="A11" s="9" t="inlineStr">
        <is>
          <t xml:space="preserve">  - Non-Allowable Admin &amp; Fines</t>
        </is>
      </c>
      <c r="B11" s="10" t="inlineStr">
        <is>
          <t>Disallowed General Expenses</t>
        </is>
      </c>
      <c r="C11" s="22" t="n">
        <v>110000</v>
      </c>
      <c r="D11" s="22" t="n">
        <v>145000</v>
      </c>
      <c r="E11" s="22" t="n">
        <v>220000</v>
      </c>
      <c r="F11" s="9" t="inlineStr">
        <is>
          <t>CITA Sec 27</t>
        </is>
      </c>
    </row>
    <row r="12">
      <c r="A12" s="6" t="inlineStr">
        <is>
          <t>Total Additions / Disallowances</t>
        </is>
      </c>
      <c r="B12" s="7">
        <f>SUM(C9:C11)</f>
        <v/>
      </c>
      <c r="C12" s="21" t="n">
        <v>680000</v>
      </c>
      <c r="D12" s="21" t="n">
        <v>1120000</v>
      </c>
      <c r="E12" s="21" t="n">
        <v>1900000</v>
      </c>
      <c r="F12" s="6" t="inlineStr">
        <is>
          <t>Total Add-Backs</t>
        </is>
      </c>
    </row>
    <row r="13">
      <c r="A13" s="23" t="inlineStr">
        <is>
          <t>Assessable Profit for TET &amp; CIT</t>
        </is>
      </c>
      <c r="B13" s="25">
        <f>C7+C12</f>
        <v/>
      </c>
      <c r="C13" s="24" t="n">
        <v>7980000</v>
      </c>
      <c r="D13" s="24" t="n">
        <v>13620000</v>
      </c>
      <c r="E13" s="24" t="n">
        <v>24500000</v>
      </c>
      <c r="F13" s="42" t="inlineStr">
        <is>
          <t>TETFA 2011 Sec 1(2)</t>
        </is>
      </c>
    </row>
    <row r="14">
      <c r="A14" s="6" t="inlineStr">
        <is>
          <t>Less: Capital Allowances Utilized</t>
        </is>
      </c>
      <c r="B14" s="7" t="inlineStr">
        <is>
          <t>Restricted to 66.67% of Assessable Profit</t>
        </is>
      </c>
      <c r="C14" s="21" t="n">
        <v>-520000</v>
      </c>
      <c r="D14" s="21" t="n">
        <v>-980000</v>
      </c>
      <c r="E14" s="21" t="n">
        <v>-1750000</v>
      </c>
      <c r="F14" s="6" t="inlineStr">
        <is>
          <t>CITA 2nd Schedule</t>
        </is>
      </c>
    </row>
    <row r="15">
      <c r="A15" s="23" t="inlineStr">
        <is>
          <t>Total Taxable Profit (Total Profits)</t>
        </is>
      </c>
      <c r="B15" s="25">
        <f>C13+C14</f>
        <v/>
      </c>
      <c r="C15" s="24" t="n">
        <v>7460000</v>
      </c>
      <c r="D15" s="24" t="n">
        <v>12640000</v>
      </c>
      <c r="E15" s="24" t="n">
        <v>22750000</v>
      </c>
      <c r="F15" s="42" t="inlineStr">
        <is>
          <t>CITA Section 40</t>
        </is>
      </c>
    </row>
    <row r="16">
      <c r="A16" s="6" t="inlineStr">
        <is>
          <t>Companies Income Tax (CIT) Rate</t>
        </is>
      </c>
      <c r="B16" s="7" t="inlineStr">
        <is>
          <t>Statutory Rate</t>
        </is>
      </c>
      <c r="C16" s="43" t="n">
        <v>0.2</v>
      </c>
      <c r="D16" s="43" t="n">
        <v>0.2</v>
      </c>
      <c r="E16" s="43" t="n">
        <v>0.3</v>
      </c>
      <c r="F16" s="6" t="inlineStr">
        <is>
          <t>CITA Section 40</t>
        </is>
      </c>
    </row>
    <row r="17">
      <c r="A17" s="9" t="inlineStr">
        <is>
          <t>Companies Income Tax (CIT) Charge</t>
        </is>
      </c>
      <c r="B17" s="10">
        <f>C15*C16</f>
        <v/>
      </c>
      <c r="C17" s="22" t="n">
        <v>1492000</v>
      </c>
      <c r="D17" s="22" t="n">
        <v>2528000</v>
      </c>
      <c r="E17" s="22" t="n">
        <v>6825000</v>
      </c>
      <c r="F17" s="9" t="inlineStr">
        <is>
          <t>Primary CIT Liability</t>
        </is>
      </c>
    </row>
    <row r="18">
      <c r="A18" s="6" t="inlineStr">
        <is>
          <t>Tertiary Education Tax (TET) Rate</t>
        </is>
      </c>
      <c r="B18" s="7" t="inlineStr">
        <is>
          <t>Finance Act 2023 Rate</t>
        </is>
      </c>
      <c r="C18" s="43" t="n">
        <v>0.03</v>
      </c>
      <c r="D18" s="43" t="n">
        <v>0.03</v>
      </c>
      <c r="E18" s="43" t="n">
        <v>0.03</v>
      </c>
      <c r="F18" s="6" t="inlineStr">
        <is>
          <t>FA 2023 Section 14</t>
        </is>
      </c>
    </row>
    <row r="19">
      <c r="A19" s="9" t="inlineStr">
        <is>
          <t>Tertiary Education Tax (TET) Charge</t>
        </is>
      </c>
      <c r="B19" s="10">
        <f>C13*C18</f>
        <v/>
      </c>
      <c r="C19" s="22" t="n">
        <v>239400</v>
      </c>
      <c r="D19" s="22" t="n">
        <v>408600</v>
      </c>
      <c r="E19" s="22" t="n">
        <v>735000</v>
      </c>
      <c r="F19" s="9" t="inlineStr">
        <is>
          <t>3% of Assessable Profit</t>
        </is>
      </c>
    </row>
    <row r="20">
      <c r="A20" s="6" t="inlineStr">
        <is>
          <t>Minimum Tax Test (0.5% of Turnover)</t>
        </is>
      </c>
      <c r="B20" s="7" t="inlineStr">
        <is>
          <t>0.5% * Turnover</t>
        </is>
      </c>
      <c r="C20" s="21" t="n">
        <v>192500</v>
      </c>
      <c r="D20" s="21" t="n">
        <v>321000</v>
      </c>
      <c r="E20" s="21" t="n">
        <v>562500</v>
      </c>
      <c r="F20" s="6" t="inlineStr">
        <is>
          <t>CITA Section 33</t>
        </is>
      </c>
    </row>
    <row r="21">
      <c r="A21" s="9" t="inlineStr">
        <is>
          <t>Minimum Tax Applicability</t>
        </is>
      </c>
      <c r="B21" s="10" t="inlineStr">
        <is>
          <t>CIT vs Min Tax Comparison</t>
        </is>
      </c>
      <c r="C21" s="30" t="inlineStr">
        <is>
          <t>CIT Payable Exceeds Min Tax</t>
        </is>
      </c>
      <c r="D21" s="30" t="inlineStr">
        <is>
          <t>CIT Payable Exceeds Min Tax</t>
        </is>
      </c>
      <c r="E21" s="30" t="inlineStr">
        <is>
          <t>CIT Payable Exceeds Min Tax</t>
        </is>
      </c>
      <c r="F21" s="9" t="inlineStr">
        <is>
          <t>CITA Section 33</t>
        </is>
      </c>
    </row>
    <row r="22">
      <c r="A22" s="6" t="inlineStr">
        <is>
          <t>Police Trust Fund (PTF) Levy (0.005%)</t>
        </is>
      </c>
      <c r="B22" s="7" t="inlineStr">
        <is>
          <t>0.005% * PBT</t>
        </is>
      </c>
      <c r="C22" s="21" t="n">
        <v>365</v>
      </c>
      <c r="D22" s="21" t="n">
        <v>625</v>
      </c>
      <c r="E22" s="21" t="n">
        <v>1130</v>
      </c>
      <c r="F22" s="6" t="inlineStr">
        <is>
          <t>NPTF Act 2019</t>
        </is>
      </c>
    </row>
    <row r="23">
      <c r="A23" s="9" t="inlineStr">
        <is>
          <t>NASENI Levy (0.25% of PBT for Turnover &gt;100m)</t>
        </is>
      </c>
      <c r="B23" s="10" t="inlineStr">
        <is>
          <t>0.25% * PBT</t>
        </is>
      </c>
      <c r="C23" s="22" t="n">
        <v>0</v>
      </c>
      <c r="D23" s="22" t="n">
        <v>0</v>
      </c>
      <c r="E23" s="22" t="n">
        <v>56500</v>
      </c>
      <c r="F23" s="9" t="inlineStr">
        <is>
          <t>NASENI Act CAP N3</t>
        </is>
      </c>
    </row>
    <row r="24">
      <c r="A24" s="23" t="inlineStr">
        <is>
          <t>TOTAL CURRENT TAX CHARGE (P&amp;L)</t>
        </is>
      </c>
      <c r="B24" s="25">
        <f>C17+C19+C22+C23</f>
        <v/>
      </c>
      <c r="C24" s="24" t="n">
        <v>1731765</v>
      </c>
      <c r="D24" s="24" t="n">
        <v>2937225</v>
      </c>
      <c r="E24" s="24" t="n">
        <v>7617630</v>
      </c>
      <c r="F24" s="42" t="inlineStr">
        <is>
          <t>TIED TO NOTE 16</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
  <sheetViews>
    <sheetView showGridLines="1" workbookViewId="0">
      <pane ySplit="4" topLeftCell="A5" activePane="bottomLeft" state="frozen"/>
      <selection pane="bottomLeft" activeCell="A1" sqref="A1"/>
    </sheetView>
  </sheetViews>
  <sheetFormatPr baseColWidth="8" defaultRowHeight="15"/>
  <cols>
    <col width="93" customWidth="1" min="1" max="1"/>
    <col width="29" customWidth="1" min="2" max="2"/>
    <col width="28" customWidth="1" min="3" max="3"/>
    <col width="35" customWidth="1" min="4" max="4"/>
    <col width="29" customWidth="1" min="5" max="5"/>
    <col width="34" customWidth="1" min="6" max="6"/>
    <col width="33" customWidth="1" min="7" max="7"/>
    <col width="32" customWidth="1" min="8" max="8"/>
    <col width="35" customWidth="1" min="9" max="9"/>
  </cols>
  <sheetData>
    <row r="1">
      <c r="A1" s="1" t="inlineStr">
        <is>
          <t>BAAY PROJECTS LIMITED — CAPITAL ALLOWANCES &amp; TAX LOSS REGISTER</t>
        </is>
      </c>
    </row>
    <row r="2">
      <c r="A2" s="3" t="inlineStr">
        <is>
          <t>Qualifying Capital Expenditure (QCE), Initial &amp; Annual Allowances and TWDV Carried Forward</t>
        </is>
      </c>
    </row>
    <row r="3"/>
    <row r="4">
      <c r="A4" s="4" t="inlineStr">
        <is>
          <t>Asset Category / Year</t>
        </is>
      </c>
      <c r="B4" s="4" t="inlineStr">
        <is>
          <t>Initial Allowance Rate (%)</t>
        </is>
      </c>
      <c r="C4" s="4" t="inlineStr">
        <is>
          <t>Annual Allowance Rate (%)</t>
        </is>
      </c>
      <c r="D4" s="4" t="inlineStr">
        <is>
          <t>Tax Written Down Value B/F (NGN)</t>
        </is>
      </c>
      <c r="E4" s="4" t="inlineStr">
        <is>
          <t>Qualifying Additions (NGN)</t>
        </is>
      </c>
      <c r="F4" s="4" t="inlineStr">
        <is>
          <t>Initial Allowance Claimed (NGN)</t>
        </is>
      </c>
      <c r="G4" s="4" t="inlineStr">
        <is>
          <t>Annual Allowance Claimed (NGN)</t>
        </is>
      </c>
      <c r="H4" s="4" t="inlineStr">
        <is>
          <t>Total Allowance Claimed (NGN)</t>
        </is>
      </c>
      <c r="I4" s="4" t="inlineStr">
        <is>
          <t>Tax Written Down Value C/F (NGN)</t>
        </is>
      </c>
    </row>
    <row r="5">
      <c r="A5" s="9" t="inlineStr">
        <is>
          <t>FY 2023 — Office &amp; Site Equipment</t>
        </is>
      </c>
      <c r="B5" s="44" t="n">
        <v>0.5</v>
      </c>
      <c r="C5" s="44" t="n">
        <v>0.25</v>
      </c>
      <c r="D5" s="22" t="n">
        <v>9540</v>
      </c>
      <c r="E5" s="22" t="n">
        <v>1800000</v>
      </c>
      <c r="F5" s="22" t="n">
        <v>900000</v>
      </c>
      <c r="G5" s="22" t="n">
        <v>225000</v>
      </c>
      <c r="H5" s="22" t="n">
        <v>520000</v>
      </c>
      <c r="I5" s="22" t="n">
        <v>1289540</v>
      </c>
    </row>
    <row r="6">
      <c r="A6" s="23" t="inlineStr">
        <is>
          <t>FY 2023 — TOTAL CAPITAL ALLOWANCE CLAIMED</t>
        </is>
      </c>
      <c r="B6" s="45" t="inlineStr"/>
      <c r="C6" s="45" t="inlineStr"/>
      <c r="D6" s="24" t="n">
        <v>9540</v>
      </c>
      <c r="E6" s="24" t="n">
        <v>1800000</v>
      </c>
      <c r="F6" s="24" t="n">
        <v>900000</v>
      </c>
      <c r="G6" s="24" t="n">
        <v>225000</v>
      </c>
      <c r="H6" s="24" t="n">
        <v>520000</v>
      </c>
      <c r="I6" s="24" t="n">
        <v>1289540</v>
      </c>
    </row>
    <row r="7">
      <c r="A7" s="9" t="inlineStr">
        <is>
          <t>FY 2024 — Office &amp; Site Equipment</t>
        </is>
      </c>
      <c r="B7" s="44" t="n">
        <v>0.5</v>
      </c>
      <c r="C7" s="44" t="n">
        <v>0.25</v>
      </c>
      <c r="D7" s="22" t="n">
        <v>1289540</v>
      </c>
      <c r="E7" s="22" t="n">
        <v>0</v>
      </c>
      <c r="F7" s="22" t="n">
        <v>0</v>
      </c>
      <c r="G7" s="22" t="n">
        <v>225000</v>
      </c>
      <c r="H7" s="22" t="n">
        <v>225000</v>
      </c>
      <c r="I7" s="22" t="n">
        <v>1064540</v>
      </c>
    </row>
    <row r="8">
      <c r="A8" s="6" t="inlineStr">
        <is>
          <t>FY 2024 — Motor &amp; Project Vehicles</t>
        </is>
      </c>
      <c r="B8" s="46" t="n">
        <v>0.5</v>
      </c>
      <c r="C8" s="46" t="n">
        <v>0.25</v>
      </c>
      <c r="D8" s="21" t="n">
        <v>0</v>
      </c>
      <c r="E8" s="21" t="n">
        <v>2700000</v>
      </c>
      <c r="F8" s="21" t="n">
        <v>1350000</v>
      </c>
      <c r="G8" s="21" t="n">
        <v>337500</v>
      </c>
      <c r="H8" s="21" t="n">
        <v>755000</v>
      </c>
      <c r="I8" s="21" t="n">
        <v>1945000</v>
      </c>
    </row>
    <row r="9">
      <c r="A9" s="23" t="inlineStr">
        <is>
          <t>FY 2024 — TOTAL CAPITAL ALLOWANCE CLAIMED</t>
        </is>
      </c>
      <c r="B9" s="45" t="inlineStr"/>
      <c r="C9" s="45" t="inlineStr"/>
      <c r="D9" s="24" t="n">
        <v>1289540</v>
      </c>
      <c r="E9" s="24" t="n">
        <v>2700000</v>
      </c>
      <c r="F9" s="24" t="n">
        <v>1350000</v>
      </c>
      <c r="G9" s="24" t="n">
        <v>562500</v>
      </c>
      <c r="H9" s="24" t="n">
        <v>980000</v>
      </c>
      <c r="I9" s="24" t="n">
        <v>3009540</v>
      </c>
    </row>
    <row r="10">
      <c r="A10" s="6" t="inlineStr">
        <is>
          <t>FY 2025 — Office &amp; Site Equipment</t>
        </is>
      </c>
      <c r="B10" s="46" t="n">
        <v>0.5</v>
      </c>
      <c r="C10" s="46" t="n">
        <v>0.25</v>
      </c>
      <c r="D10" s="21" t="n">
        <v>1064540</v>
      </c>
      <c r="E10" s="21" t="n">
        <v>0</v>
      </c>
      <c r="F10" s="21" t="n">
        <v>0</v>
      </c>
      <c r="G10" s="21" t="n">
        <v>225000</v>
      </c>
      <c r="H10" s="21" t="n">
        <v>225000</v>
      </c>
      <c r="I10" s="21" t="n">
        <v>839540</v>
      </c>
    </row>
    <row r="11">
      <c r="A11" s="9" t="inlineStr">
        <is>
          <t>FY 2025 — Motor &amp; Project Vehicles</t>
        </is>
      </c>
      <c r="B11" s="44" t="n">
        <v>0.5</v>
      </c>
      <c r="C11" s="44" t="n">
        <v>0.25</v>
      </c>
      <c r="D11" s="22" t="n">
        <v>1945000</v>
      </c>
      <c r="E11" s="22" t="n">
        <v>0</v>
      </c>
      <c r="F11" s="22" t="n">
        <v>0</v>
      </c>
      <c r="G11" s="22" t="n">
        <v>337500</v>
      </c>
      <c r="H11" s="22" t="n">
        <v>337500</v>
      </c>
      <c r="I11" s="22" t="n">
        <v>1607500</v>
      </c>
    </row>
    <row r="12">
      <c r="A12" s="6" t="inlineStr">
        <is>
          <t>FY 2025 — Plant &amp; Heavy Machinery</t>
        </is>
      </c>
      <c r="B12" s="46" t="n">
        <v>0.5</v>
      </c>
      <c r="C12" s="46" t="n">
        <v>0.25</v>
      </c>
      <c r="D12" s="21" t="n">
        <v>0</v>
      </c>
      <c r="E12" s="21" t="n">
        <v>3600000</v>
      </c>
      <c r="F12" s="21" t="n">
        <v>1800000</v>
      </c>
      <c r="G12" s="21" t="n">
        <v>450000</v>
      </c>
      <c r="H12" s="21" t="n">
        <v>1187500</v>
      </c>
      <c r="I12" s="21" t="n">
        <v>2412500</v>
      </c>
    </row>
    <row r="13">
      <c r="A13" s="23" t="inlineStr">
        <is>
          <t>FY 2025 — TOTAL CAPITAL ALLOWANCE CLAIMED</t>
        </is>
      </c>
      <c r="B13" s="45" t="inlineStr"/>
      <c r="C13" s="45" t="inlineStr"/>
      <c r="D13" s="24" t="n">
        <v>3009540</v>
      </c>
      <c r="E13" s="24" t="n">
        <v>3600000</v>
      </c>
      <c r="F13" s="24" t="n">
        <v>1800000</v>
      </c>
      <c r="G13" s="24" t="n">
        <v>1012500</v>
      </c>
      <c r="H13" s="24" t="n">
        <v>1750000</v>
      </c>
      <c r="I13" s="24" t="n">
        <v>4859540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7"/>
  <sheetViews>
    <sheetView showGridLines="1" workbookViewId="0">
      <pane ySplit="4" topLeftCell="A5" activePane="bottomLeft" state="frozen"/>
      <selection pane="bottomLeft" activeCell="A1" sqref="A1"/>
    </sheetView>
  </sheetViews>
  <sheetFormatPr baseColWidth="8" defaultRowHeight="15"/>
  <cols>
    <col width="95" customWidth="1" min="1" max="1"/>
    <col width="36" customWidth="1" min="2" max="2"/>
    <col width="39" customWidth="1" min="3" max="3"/>
    <col width="29" customWidth="1" min="4" max="4"/>
    <col width="26" customWidth="1" min="5" max="5"/>
    <col width="37" customWidth="1" min="6" max="6"/>
    <col width="37" customWidth="1" min="7" max="7"/>
    <col width="25" customWidth="1" min="8" max="8"/>
  </cols>
  <sheetData>
    <row r="1">
      <c r="A1" s="1" t="inlineStr">
        <is>
          <t>BAAY PROJECTS LIMITED — MONTHLY VALUE ADDED TAX (VAT) REGISTER</t>
        </is>
      </c>
    </row>
    <row r="2">
      <c r="A2" s="3" t="inlineStr">
        <is>
          <t>Monthly Standard 7.5% Output VAT, Exempt Property Supplies &amp; Remittance Status (2023 - 2025)</t>
        </is>
      </c>
    </row>
    <row r="3"/>
    <row r="4">
      <c r="A4" s="4" t="inlineStr">
        <is>
          <t>Tax Period</t>
        </is>
      </c>
      <c r="B4" s="4" t="inlineStr">
        <is>
          <t>Taxable Commercial Turnover (NGN)</t>
        </is>
      </c>
      <c r="C4" s="4" t="inlineStr">
        <is>
          <t>Exempt Land &amp; Housing Supplies (NGN)</t>
        </is>
      </c>
      <c r="D4" s="4" t="inlineStr">
        <is>
          <t>Total Gross Turnover (NGN)</t>
        </is>
      </c>
      <c r="E4" s="4" t="inlineStr">
        <is>
          <t>Output VAT @ 7.5% (NGN)</t>
        </is>
      </c>
      <c r="F4" s="4" t="inlineStr">
        <is>
          <t>Recoverable Direct Input VAT (NGN)</t>
        </is>
      </c>
      <c r="G4" s="4" t="inlineStr">
        <is>
          <t>Net VAT Payable / (Remitted) (NGN)</t>
        </is>
      </c>
      <c r="H4" s="4" t="inlineStr">
        <is>
          <t>FIRS Remittance Status</t>
        </is>
      </c>
    </row>
    <row r="5">
      <c r="A5" s="9" t="inlineStr">
        <is>
          <t>Jan 2023</t>
        </is>
      </c>
      <c r="B5" s="22" t="n">
        <v>1500000</v>
      </c>
      <c r="C5" s="22" t="n">
        <v>0</v>
      </c>
      <c r="D5" s="22" t="n">
        <v>1500000</v>
      </c>
      <c r="E5" s="22" t="n">
        <v>112500</v>
      </c>
      <c r="F5" s="22" t="n">
        <v>22500</v>
      </c>
      <c r="G5" s="22" t="n">
        <v>90000</v>
      </c>
      <c r="H5" s="12" t="inlineStr">
        <is>
          <t>REMITTED</t>
        </is>
      </c>
    </row>
    <row r="6">
      <c r="A6" s="6" t="inlineStr">
        <is>
          <t>Feb 2023</t>
        </is>
      </c>
      <c r="B6" s="21" t="n">
        <v>2000000</v>
      </c>
      <c r="C6" s="21" t="n">
        <v>0</v>
      </c>
      <c r="D6" s="21" t="n">
        <v>2000000</v>
      </c>
      <c r="E6" s="21" t="n">
        <v>150000</v>
      </c>
      <c r="F6" s="21" t="n">
        <v>30000</v>
      </c>
      <c r="G6" s="21" t="n">
        <v>120000</v>
      </c>
      <c r="H6" s="14" t="inlineStr">
        <is>
          <t>REMITTED</t>
        </is>
      </c>
    </row>
    <row r="7">
      <c r="A7" s="9" t="inlineStr">
        <is>
          <t>Mar 2023</t>
        </is>
      </c>
      <c r="B7" s="22" t="n">
        <v>2500000</v>
      </c>
      <c r="C7" s="22" t="n">
        <v>0</v>
      </c>
      <c r="D7" s="22" t="n">
        <v>2500000</v>
      </c>
      <c r="E7" s="22" t="n">
        <v>187500</v>
      </c>
      <c r="F7" s="22" t="n">
        <v>37500</v>
      </c>
      <c r="G7" s="22" t="n">
        <v>150000</v>
      </c>
      <c r="H7" s="12" t="inlineStr">
        <is>
          <t>REMITTED</t>
        </is>
      </c>
    </row>
    <row r="8">
      <c r="A8" s="6" t="inlineStr">
        <is>
          <t>Apr 2023</t>
        </is>
      </c>
      <c r="B8" s="21" t="n">
        <v>1800000</v>
      </c>
      <c r="C8" s="21" t="n">
        <v>3000000</v>
      </c>
      <c r="D8" s="21" t="n">
        <v>4800000</v>
      </c>
      <c r="E8" s="21" t="n">
        <v>135000</v>
      </c>
      <c r="F8" s="21" t="n">
        <v>27000</v>
      </c>
      <c r="G8" s="21" t="n">
        <v>108000</v>
      </c>
      <c r="H8" s="14" t="inlineStr">
        <is>
          <t>REMITTED</t>
        </is>
      </c>
    </row>
    <row r="9">
      <c r="A9" s="9" t="inlineStr">
        <is>
          <t>May 2023</t>
        </is>
      </c>
      <c r="B9" s="22" t="n">
        <v>2200000</v>
      </c>
      <c r="C9" s="22" t="n">
        <v>0</v>
      </c>
      <c r="D9" s="22" t="n">
        <v>2200000</v>
      </c>
      <c r="E9" s="22" t="n">
        <v>165000</v>
      </c>
      <c r="F9" s="22" t="n">
        <v>33000</v>
      </c>
      <c r="G9" s="22" t="n">
        <v>132000</v>
      </c>
      <c r="H9" s="12" t="inlineStr">
        <is>
          <t>REMITTED</t>
        </is>
      </c>
    </row>
    <row r="10">
      <c r="A10" s="6" t="inlineStr">
        <is>
          <t>Jun 2023</t>
        </is>
      </c>
      <c r="B10" s="21" t="n">
        <v>2800000</v>
      </c>
      <c r="C10" s="21" t="n">
        <v>0</v>
      </c>
      <c r="D10" s="21" t="n">
        <v>2800000</v>
      </c>
      <c r="E10" s="21" t="n">
        <v>210000</v>
      </c>
      <c r="F10" s="21" t="n">
        <v>42000</v>
      </c>
      <c r="G10" s="21" t="n">
        <v>168000</v>
      </c>
      <c r="H10" s="14" t="inlineStr">
        <is>
          <t>REMITTED</t>
        </is>
      </c>
    </row>
    <row r="11">
      <c r="A11" s="9" t="inlineStr">
        <is>
          <t>Jul 2023</t>
        </is>
      </c>
      <c r="B11" s="22" t="n">
        <v>2100000</v>
      </c>
      <c r="C11" s="22" t="n">
        <v>3500000</v>
      </c>
      <c r="D11" s="22" t="n">
        <v>5600000</v>
      </c>
      <c r="E11" s="22" t="n">
        <v>157500</v>
      </c>
      <c r="F11" s="22" t="n">
        <v>31500</v>
      </c>
      <c r="G11" s="22" t="n">
        <v>126000</v>
      </c>
      <c r="H11" s="12" t="inlineStr">
        <is>
          <t>REMITTED</t>
        </is>
      </c>
    </row>
    <row r="12">
      <c r="A12" s="6" t="inlineStr">
        <is>
          <t>Aug 2023</t>
        </is>
      </c>
      <c r="B12" s="21" t="n">
        <v>2400000</v>
      </c>
      <c r="C12" s="21" t="n">
        <v>0</v>
      </c>
      <c r="D12" s="21" t="n">
        <v>2400000</v>
      </c>
      <c r="E12" s="21" t="n">
        <v>180000</v>
      </c>
      <c r="F12" s="21" t="n">
        <v>36000</v>
      </c>
      <c r="G12" s="21" t="n">
        <v>144000</v>
      </c>
      <c r="H12" s="14" t="inlineStr">
        <is>
          <t>REMITTED</t>
        </is>
      </c>
    </row>
    <row r="13">
      <c r="A13" s="9" t="inlineStr">
        <is>
          <t>Sep 2023</t>
        </is>
      </c>
      <c r="B13" s="22" t="n">
        <v>2600000</v>
      </c>
      <c r="C13" s="22" t="n">
        <v>0</v>
      </c>
      <c r="D13" s="22" t="n">
        <v>2600000</v>
      </c>
      <c r="E13" s="22" t="n">
        <v>195000</v>
      </c>
      <c r="F13" s="22" t="n">
        <v>39000</v>
      </c>
      <c r="G13" s="22" t="n">
        <v>156000</v>
      </c>
      <c r="H13" s="12" t="inlineStr">
        <is>
          <t>REMITTED</t>
        </is>
      </c>
    </row>
    <row r="14">
      <c r="A14" s="6" t="inlineStr">
        <is>
          <t>Oct 2023</t>
        </is>
      </c>
      <c r="B14" s="21" t="n">
        <v>2000000</v>
      </c>
      <c r="C14" s="21" t="n">
        <v>3000000</v>
      </c>
      <c r="D14" s="21" t="n">
        <v>500000</v>
      </c>
      <c r="E14" s="21" t="n">
        <v>150000</v>
      </c>
      <c r="F14" s="21" t="n">
        <v>30000</v>
      </c>
      <c r="G14" s="21" t="n">
        <v>120000</v>
      </c>
      <c r="H14" s="14" t="inlineStr">
        <is>
          <t>REMITTED</t>
        </is>
      </c>
    </row>
    <row r="15">
      <c r="A15" s="9" t="inlineStr">
        <is>
          <t>Nov 2023</t>
        </is>
      </c>
      <c r="B15" s="22" t="n">
        <v>2100000</v>
      </c>
      <c r="C15" s="22" t="n">
        <v>0</v>
      </c>
      <c r="D15" s="22" t="n">
        <v>2100000</v>
      </c>
      <c r="E15" s="22" t="n">
        <v>157500</v>
      </c>
      <c r="F15" s="22" t="n">
        <v>31500</v>
      </c>
      <c r="G15" s="22" t="n">
        <v>126000</v>
      </c>
      <c r="H15" s="12" t="inlineStr">
        <is>
          <t>REMITTED</t>
        </is>
      </c>
    </row>
    <row r="16">
      <c r="A16" s="6" t="inlineStr">
        <is>
          <t>Dec 2023</t>
        </is>
      </c>
      <c r="B16" s="21" t="n">
        <v>2000000</v>
      </c>
      <c r="C16" s="21" t="n">
        <v>3000000</v>
      </c>
      <c r="D16" s="21" t="n">
        <v>5000000</v>
      </c>
      <c r="E16" s="21" t="n">
        <v>150000</v>
      </c>
      <c r="F16" s="21" t="n">
        <v>30000</v>
      </c>
      <c r="G16" s="21" t="n">
        <v>120000</v>
      </c>
      <c r="H16" s="14" t="inlineStr">
        <is>
          <t>REMITTED</t>
        </is>
      </c>
    </row>
    <row r="17">
      <c r="A17" s="23" t="inlineStr">
        <is>
          <t>TOTAL FY 2023 VAT</t>
        </is>
      </c>
      <c r="B17" s="24">
        <f>SUM(B5:B16)</f>
        <v/>
      </c>
      <c r="C17" s="24">
        <f>SUM(C5:C16)</f>
        <v/>
      </c>
      <c r="D17" s="24">
        <f>SUM(D5:D16)</f>
        <v/>
      </c>
      <c r="E17" s="24">
        <f>SUM(E5:E16)</f>
        <v/>
      </c>
      <c r="F17" s="24">
        <f>SUM(F5:F16)</f>
        <v/>
      </c>
      <c r="G17" s="24">
        <f>SUM(G5:G16)</f>
        <v/>
      </c>
      <c r="H17" s="26" t="inlineStr">
        <is>
          <t>100% RECONCILED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7"/>
  <sheetViews>
    <sheetView showGridLines="1" workbookViewId="0">
      <pane ySplit="4" topLeftCell="A5" activePane="bottomLeft" state="frozen"/>
      <selection pane="bottomLeft" activeCell="A1" sqref="A1"/>
    </sheetView>
  </sheetViews>
  <sheetFormatPr baseColWidth="8" defaultRowHeight="15"/>
  <cols>
    <col width="88" customWidth="1" min="1" max="1"/>
    <col width="53" customWidth="1" min="2" max="2"/>
    <col width="30" customWidth="1" min="3" max="3"/>
    <col width="15" customWidth="1" min="4" max="4"/>
    <col width="21" customWidth="1" min="5" max="5"/>
    <col width="27" customWidth="1" min="6" max="6"/>
    <col width="41" customWidth="1" min="7" max="7"/>
    <col width="32" customWidth="1" min="8" max="8"/>
  </cols>
  <sheetData>
    <row r="1">
      <c r="A1" s="1" t="inlineStr">
        <is>
          <t>BAAY PROJECTS LIMITED — WITHHOLDING TAX (WHT) SCHEDULE</t>
        </is>
      </c>
    </row>
    <row r="2">
      <c r="A2" s="3" t="inlineStr">
        <is>
          <t>Client Credit Notes Receivable, Vendor Deductions Payable &amp; CIT Offsets (2023 - 2025)</t>
        </is>
      </c>
    </row>
    <row r="3"/>
    <row r="4">
      <c r="A4" s="4" t="inlineStr">
        <is>
          <t>Contract / Counterparty</t>
        </is>
      </c>
      <c r="B4" s="4" t="inlineStr">
        <is>
          <t>Transaction Description</t>
        </is>
      </c>
      <c r="C4" s="4" t="inlineStr">
        <is>
          <t>Gross Contract Amount (NGN)</t>
        </is>
      </c>
      <c r="D4" s="4" t="inlineStr">
        <is>
          <t>WHT Rate (%)</t>
        </is>
      </c>
      <c r="E4" s="4" t="inlineStr">
        <is>
          <t>WHT Deducted (NGN)</t>
        </is>
      </c>
      <c r="F4" s="4" t="inlineStr">
        <is>
          <t>Credit Note Ref / Status</t>
        </is>
      </c>
      <c r="G4" s="4" t="inlineStr">
        <is>
          <t>Utilization / Offset Against CIT (NGN)</t>
        </is>
      </c>
      <c r="H4" s="4" t="inlineStr">
        <is>
          <t>Balance Carried Forward (NGN)</t>
        </is>
      </c>
    </row>
    <row r="5">
      <c r="A5" s="9" t="inlineStr">
        <is>
          <t>Apex Properties Ltd</t>
        </is>
      </c>
      <c r="B5" s="9" t="inlineStr">
        <is>
          <t>Lekki Phase 1 Civil Construction Progress Billings</t>
        </is>
      </c>
      <c r="C5" s="22" t="n">
        <v>22000000</v>
      </c>
      <c r="D5" s="44" t="n">
        <v>0.05</v>
      </c>
      <c r="E5" s="22" t="n">
        <v>1100000</v>
      </c>
      <c r="F5" s="30" t="inlineStr">
        <is>
          <t>FIRS-CN-2023-0881</t>
        </is>
      </c>
      <c r="G5" s="22" t="n">
        <v>0</v>
      </c>
      <c r="H5" s="22" t="n">
        <v>1100000</v>
      </c>
    </row>
    <row r="6">
      <c r="A6" s="6" t="inlineStr">
        <is>
          <t>Horizon Holdings Ltd</t>
        </is>
      </c>
      <c r="B6" s="6" t="inlineStr">
        <is>
          <t>Ikeja Commercial Engineering Consulting</t>
        </is>
      </c>
      <c r="C6" s="21" t="n">
        <v>4000000</v>
      </c>
      <c r="D6" s="46" t="n">
        <v>0.05</v>
      </c>
      <c r="E6" s="21" t="n">
        <v>200000</v>
      </c>
      <c r="F6" s="29" t="inlineStr">
        <is>
          <t>FIRS-CN-2023-1042</t>
        </is>
      </c>
      <c r="G6" s="21" t="n">
        <v>0</v>
      </c>
      <c r="H6" s="21" t="n">
        <v>200000</v>
      </c>
    </row>
    <row r="7">
      <c r="A7" s="23" t="inlineStr">
        <is>
          <t>TOTAL WHT RECEIVABLE 2023</t>
        </is>
      </c>
      <c r="B7" s="42" t="inlineStr">
        <is>
          <t>Carried Forward as CIT Tax Credit</t>
        </is>
      </c>
      <c r="C7" s="24">
        <f>SUM(C5:C6)</f>
        <v/>
      </c>
      <c r="D7" s="45" t="inlineStr"/>
      <c r="E7" s="24">
        <f>SUM(E5:E6)</f>
        <v/>
      </c>
      <c r="F7" s="47" t="inlineStr">
        <is>
          <t>TIED TO SFP NOTE 10</t>
        </is>
      </c>
      <c r="G7" s="24">
        <f>SUM(G5:G6)</f>
        <v/>
      </c>
      <c r="H7" s="24">
        <f>SUM(H5:H6)</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16"/>
  <sheetViews>
    <sheetView showGridLines="1" workbookViewId="0">
      <pane ySplit="4" topLeftCell="A5" activePane="bottomLeft" state="frozen"/>
      <selection pane="bottomLeft" activeCell="A1" sqref="A1"/>
    </sheetView>
  </sheetViews>
  <sheetFormatPr baseColWidth="8" defaultRowHeight="15"/>
  <cols>
    <col width="96" customWidth="1" min="1" max="1"/>
    <col width="24" customWidth="1" min="2" max="2"/>
    <col width="17" customWidth="1" min="3" max="3"/>
    <col width="42" customWidth="1" min="4" max="4"/>
    <col width="26" customWidth="1" min="5" max="5"/>
    <col width="41" customWidth="1" min="6" max="6"/>
    <col width="42" customWidth="1" min="7" max="7"/>
  </cols>
  <sheetData>
    <row r="1">
      <c r="A1" s="1" t="inlineStr">
        <is>
          <t>BAAY PROJECTS LIMITED — DEFERRED TAXATION SCHEDULE (IAS 12)</t>
        </is>
      </c>
    </row>
    <row r="2">
      <c r="A2" s="3" t="inlineStr">
        <is>
          <t>Temporary Differences, Tax Base vs Carrying Amount &amp; Profit or Loss Recognition (2022 - 2025)</t>
        </is>
      </c>
    </row>
    <row r="3"/>
    <row r="4">
      <c r="A4" s="4" t="inlineStr">
        <is>
          <t>Temporary Difference Component</t>
        </is>
      </c>
      <c r="B4" s="4" t="inlineStr">
        <is>
          <t>Carrying Amount (NGN)</t>
        </is>
      </c>
      <c r="C4" s="4" t="inlineStr">
        <is>
          <t>Tax Base (NGN)</t>
        </is>
      </c>
      <c r="D4" s="4" t="inlineStr">
        <is>
          <t>Taxable / (Deductible) Difference (NGN)</t>
        </is>
      </c>
      <c r="E4" s="4" t="inlineStr">
        <is>
          <t>Applicable Tax Rate (%)</t>
        </is>
      </c>
      <c r="F4" s="4" t="inlineStr">
        <is>
          <t>Deferred Tax Asset / (Liability) (NGN)</t>
        </is>
      </c>
      <c r="G4" s="4" t="inlineStr">
        <is>
          <t>Movement in P&amp;L (Credit) / Charge (NGN)</t>
        </is>
      </c>
    </row>
    <row r="5">
      <c r="A5" s="9" t="inlineStr">
        <is>
          <t>FY 2023 — Property, Plant &amp; Equipment</t>
        </is>
      </c>
      <c r="B5" s="22" t="n">
        <v>1424540</v>
      </c>
      <c r="C5" s="22" t="n">
        <v>1289540</v>
      </c>
      <c r="D5" s="22" t="n">
        <v>135000</v>
      </c>
      <c r="E5" s="44" t="n">
        <v>0.2</v>
      </c>
      <c r="F5" s="22" t="n">
        <v>-27000</v>
      </c>
      <c r="G5" s="22" t="n">
        <v>27000</v>
      </c>
    </row>
    <row r="6">
      <c r="A6" s="6" t="inlineStr">
        <is>
          <t>FY 2023 — IFRS 9 ECL Impairment Allowance</t>
        </is>
      </c>
      <c r="B6" s="21" t="n">
        <v>-185000</v>
      </c>
      <c r="C6" s="21" t="n">
        <v>0</v>
      </c>
      <c r="D6" s="21" t="n">
        <v>-185000</v>
      </c>
      <c r="E6" s="46" t="n">
        <v>0.2</v>
      </c>
      <c r="F6" s="21" t="n">
        <v>37000</v>
      </c>
      <c r="G6" s="21" t="n">
        <v>-37000</v>
      </c>
    </row>
    <row r="7">
      <c r="A7" s="9" t="inlineStr">
        <is>
          <t>FY 2023 — Accrued Expenses &amp; Prepayments</t>
        </is>
      </c>
      <c r="B7" s="22" t="n">
        <v>-110000</v>
      </c>
      <c r="C7" s="22" t="n">
        <v>0</v>
      </c>
      <c r="D7" s="22" t="n">
        <v>-110000</v>
      </c>
      <c r="E7" s="44" t="n">
        <v>0.2</v>
      </c>
      <c r="F7" s="22" t="n">
        <v>22000</v>
      </c>
      <c r="G7" s="22" t="n">
        <v>-22000</v>
      </c>
    </row>
    <row r="8">
      <c r="A8" s="23" t="inlineStr">
        <is>
          <t>FY 2023 — NET DEFERRED TAX ASSET / (LIABILITY)</t>
        </is>
      </c>
      <c r="B8" s="24">
        <f>SUM(B5:B7)</f>
        <v/>
      </c>
      <c r="C8" s="24">
        <f>SUM(C5:C7)</f>
        <v/>
      </c>
      <c r="D8" s="24">
        <f>SUM(D5:D7)</f>
        <v/>
      </c>
      <c r="E8" s="45" t="inlineStr"/>
      <c r="F8" s="24" t="n">
        <v>32000</v>
      </c>
      <c r="G8" s="24" t="n">
        <v>-32000</v>
      </c>
    </row>
    <row r="9">
      <c r="A9" s="9" t="inlineStr">
        <is>
          <t>FY 2024 — Property, Plant &amp; Equipment</t>
        </is>
      </c>
      <c r="B9" s="22" t="n">
        <v>3409540</v>
      </c>
      <c r="C9" s="22" t="n">
        <v>3009540</v>
      </c>
      <c r="D9" s="22" t="n">
        <v>400000</v>
      </c>
      <c r="E9" s="44" t="n">
        <v>0.2</v>
      </c>
      <c r="F9" s="22" t="n">
        <v>-80000</v>
      </c>
      <c r="G9" s="22" t="n">
        <v>53000</v>
      </c>
    </row>
    <row r="10">
      <c r="A10" s="6" t="inlineStr">
        <is>
          <t>FY 2024 — IFRS 9 ECL Impairment Allowance</t>
        </is>
      </c>
      <c r="B10" s="21" t="n">
        <v>-445000</v>
      </c>
      <c r="C10" s="21" t="n">
        <v>0</v>
      </c>
      <c r="D10" s="21" t="n">
        <v>-445000</v>
      </c>
      <c r="E10" s="46" t="n">
        <v>0.2</v>
      </c>
      <c r="F10" s="21" t="n">
        <v>89000</v>
      </c>
      <c r="G10" s="21" t="n">
        <v>-52000</v>
      </c>
    </row>
    <row r="11">
      <c r="A11" s="9" t="inlineStr">
        <is>
          <t>FY 2024 — Accrued Expenses &amp; Prepayments</t>
        </is>
      </c>
      <c r="B11" s="22" t="n">
        <v>-125000</v>
      </c>
      <c r="C11" s="22" t="n">
        <v>0</v>
      </c>
      <c r="D11" s="22" t="n">
        <v>-125000</v>
      </c>
      <c r="E11" s="44" t="n">
        <v>0.2</v>
      </c>
      <c r="F11" s="22" t="n">
        <v>-25000</v>
      </c>
      <c r="G11" s="22" t="n">
        <v>47000</v>
      </c>
    </row>
    <row r="12">
      <c r="A12" s="23" t="inlineStr">
        <is>
          <t>FY 2024 — NET DEFERRED TAX (LIABILITY)</t>
        </is>
      </c>
      <c r="B12" s="24">
        <f>SUM(B9:B11)</f>
        <v/>
      </c>
      <c r="C12" s="24">
        <f>SUM(C9:C11)</f>
        <v/>
      </c>
      <c r="D12" s="24">
        <f>SUM(D9:D11)</f>
        <v/>
      </c>
      <c r="E12" s="45" t="inlineStr"/>
      <c r="F12" s="24" t="n">
        <v>-16000</v>
      </c>
      <c r="G12" s="24" t="n">
        <v>48000</v>
      </c>
    </row>
    <row r="13">
      <c r="A13" s="9" t="inlineStr">
        <is>
          <t>FY 2025 — Property, Plant &amp; Equipment</t>
        </is>
      </c>
      <c r="B13" s="22" t="n">
        <v>5724540</v>
      </c>
      <c r="C13" s="22" t="n">
        <v>4859540</v>
      </c>
      <c r="D13" s="22" t="n">
        <v>865000</v>
      </c>
      <c r="E13" s="44" t="n">
        <v>0.3</v>
      </c>
      <c r="F13" s="22" t="n">
        <v>-259500</v>
      </c>
      <c r="G13" s="22" t="n">
        <v>179500</v>
      </c>
    </row>
    <row r="14">
      <c r="A14" s="6" t="inlineStr">
        <is>
          <t>FY 2025 — IFRS 9 ECL Impairment Allowance</t>
        </is>
      </c>
      <c r="B14" s="21" t="n">
        <v>-840000</v>
      </c>
      <c r="C14" s="21" t="n">
        <v>0</v>
      </c>
      <c r="D14" s="21" t="n">
        <v>-840000</v>
      </c>
      <c r="E14" s="46" t="n">
        <v>0.3</v>
      </c>
      <c r="F14" s="21" t="n">
        <v>252000</v>
      </c>
      <c r="G14" s="21" t="n">
        <v>-163000</v>
      </c>
    </row>
    <row r="15">
      <c r="A15" s="9" t="inlineStr">
        <is>
          <t>FY 2025 — Accrued Expenses &amp; Prepayments</t>
        </is>
      </c>
      <c r="B15" s="22" t="n">
        <v>-303333.33</v>
      </c>
      <c r="C15" s="22" t="n">
        <v>0</v>
      </c>
      <c r="D15" s="22" t="n">
        <v>-303333.33</v>
      </c>
      <c r="E15" s="44" t="n">
        <v>0.3</v>
      </c>
      <c r="F15" s="22" t="n">
        <v>-91000</v>
      </c>
      <c r="G15" s="22" t="n">
        <v>66000</v>
      </c>
    </row>
    <row r="16">
      <c r="A16" s="23" t="inlineStr">
        <is>
          <t>FY 2025 — NET DEFERRED TAX (LIABILITY)</t>
        </is>
      </c>
      <c r="B16" s="24">
        <f>SUM(B13:B15)</f>
        <v/>
      </c>
      <c r="C16" s="24">
        <f>SUM(C13:C15)</f>
        <v/>
      </c>
      <c r="D16" s="24">
        <f>SUM(D13:D15)</f>
        <v/>
      </c>
      <c r="E16" s="45" t="inlineStr"/>
      <c r="F16" s="24" t="n">
        <v>-98500</v>
      </c>
      <c r="G16" s="24" t="n">
        <v>82500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7"/>
  <sheetViews>
    <sheetView showGridLines="1" workbookViewId="0">
      <pane ySplit="4" topLeftCell="A5" activePane="bottomLeft" state="frozen"/>
      <selection pane="bottomLeft" activeCell="A1" sqref="A1"/>
    </sheetView>
  </sheetViews>
  <sheetFormatPr baseColWidth="8" defaultRowHeight="15"/>
  <cols>
    <col width="97" customWidth="1" min="1" max="1"/>
    <col width="32" customWidth="1" min="2" max="2"/>
    <col width="30" customWidth="1" min="3" max="3"/>
    <col width="31" customWidth="1" min="4" max="4"/>
    <col width="35" customWidth="1" min="5" max="5"/>
    <col width="29" customWidth="1" min="6" max="6"/>
    <col width="33" customWidth="1" min="7" max="7"/>
    <col width="36" customWidth="1" min="8" max="8"/>
  </cols>
  <sheetData>
    <row r="1">
      <c r="A1" s="1" t="inlineStr">
        <is>
          <t>BAAY PROJECTS LIMITED — TAX LIABILITIES ROLL-FORWARD SCHEDULE</t>
        </is>
      </c>
    </row>
    <row r="2">
      <c r="A2" s="3" t="inlineStr">
        <is>
          <t>Roll-Forward of All Tax Heads (CIT, TET, VAT, WHT, PTF, NASENI) to Reporting Date &amp; Settlement</t>
        </is>
      </c>
    </row>
    <row r="3"/>
    <row r="4">
      <c r="A4" s="4" t="inlineStr">
        <is>
          <t>Tax Head / Levy</t>
        </is>
      </c>
      <c r="B4" s="4" t="inlineStr">
        <is>
          <t>Opening Liability 1 Jan (NGN)</t>
        </is>
      </c>
      <c r="C4" s="4" t="inlineStr">
        <is>
          <t>Current Tax Provision (NGN)</t>
        </is>
      </c>
      <c r="D4" s="4" t="inlineStr">
        <is>
          <t>Prior Year Adjustments (NGN)</t>
        </is>
      </c>
      <c r="E4" s="4" t="inlineStr">
        <is>
          <t>Tax Remittances / Payments (NGN)</t>
        </is>
      </c>
      <c r="F4" s="4" t="inlineStr">
        <is>
          <t>WHT Credits Utilized (NGN)</t>
        </is>
      </c>
      <c r="G4" s="4" t="inlineStr">
        <is>
          <t>Closing Liability 31 Dec (NGN)</t>
        </is>
      </c>
      <c r="H4" s="4" t="inlineStr">
        <is>
          <t>Settlement &amp; Assessment Status</t>
        </is>
      </c>
    </row>
    <row r="5">
      <c r="A5" s="9" t="inlineStr">
        <is>
          <t>FY 2023 — Companies Income Tax (CIT)</t>
        </is>
      </c>
      <c r="B5" s="22" t="n">
        <v>0</v>
      </c>
      <c r="C5" s="22" t="n">
        <v>1492000</v>
      </c>
      <c r="D5" s="22" t="n">
        <v>0</v>
      </c>
      <c r="E5" s="22" t="n">
        <v>0</v>
      </c>
      <c r="F5" s="22" t="n">
        <v>0</v>
      </c>
      <c r="G5" s="22" t="n">
        <v>1492000</v>
      </c>
      <c r="H5" s="48" t="inlineStr">
        <is>
          <t>Assessed / Payable YOA 2024</t>
        </is>
      </c>
    </row>
    <row r="6">
      <c r="A6" s="6" t="inlineStr">
        <is>
          <t>FY 2023 — Tertiary Education Tax (TET)</t>
        </is>
      </c>
      <c r="B6" s="21" t="n">
        <v>0</v>
      </c>
      <c r="C6" s="21" t="n">
        <v>239400</v>
      </c>
      <c r="D6" s="21" t="n">
        <v>0</v>
      </c>
      <c r="E6" s="21" t="n">
        <v>0</v>
      </c>
      <c r="F6" s="21" t="n">
        <v>0</v>
      </c>
      <c r="G6" s="21" t="n">
        <v>239400</v>
      </c>
      <c r="H6" s="49" t="inlineStr">
        <is>
          <t>Assessed / Payable YOA 2024</t>
        </is>
      </c>
    </row>
    <row r="7">
      <c r="A7" s="9" t="inlineStr">
        <is>
          <t>FY 2023 — Police Trust Fund (PTF)</t>
        </is>
      </c>
      <c r="B7" s="22" t="n">
        <v>90</v>
      </c>
      <c r="C7" s="22" t="n">
        <v>365</v>
      </c>
      <c r="D7" s="22" t="n">
        <v>0</v>
      </c>
      <c r="E7" s="22" t="n">
        <v>0</v>
      </c>
      <c r="F7" s="22" t="n">
        <v>0</v>
      </c>
      <c r="G7" s="22" t="n">
        <v>455</v>
      </c>
      <c r="H7" s="48" t="inlineStr">
        <is>
          <t>Includes ₦90 opening arrears</t>
        </is>
      </c>
    </row>
    <row r="8">
      <c r="A8" s="23" t="inlineStr">
        <is>
          <t>FY 2023 — TOTAL CURRENT TAX LIABILITIES</t>
        </is>
      </c>
      <c r="B8" s="24" t="n">
        <v>90</v>
      </c>
      <c r="C8" s="24" t="n">
        <v>1731765</v>
      </c>
      <c r="D8" s="24" t="n">
        <v>0</v>
      </c>
      <c r="E8" s="24" t="n">
        <v>0</v>
      </c>
      <c r="F8" s="24" t="n">
        <v>0</v>
      </c>
      <c r="G8" s="24" t="n">
        <v>1731855</v>
      </c>
      <c r="H8" s="26" t="inlineStr">
        <is>
          <t>TIED TO SFP NOTE 16</t>
        </is>
      </c>
    </row>
    <row r="9">
      <c r="A9" s="9" t="inlineStr">
        <is>
          <t>FY 2024 — Companies Income Tax (CIT)</t>
        </is>
      </c>
      <c r="B9" s="22" t="n">
        <v>1492000</v>
      </c>
      <c r="C9" s="22" t="n">
        <v>2528000</v>
      </c>
      <c r="D9" s="22" t="n">
        <v>0</v>
      </c>
      <c r="E9" s="22" t="n">
        <v>-1492000</v>
      </c>
      <c r="F9" s="22" t="n">
        <v>-400000</v>
      </c>
      <c r="G9" s="22" t="n">
        <v>2128000</v>
      </c>
      <c r="H9" s="48" t="inlineStr">
        <is>
          <t>2023 CIT Paid; WHT Credit Applied</t>
        </is>
      </c>
    </row>
    <row r="10">
      <c r="A10" s="6" t="inlineStr">
        <is>
          <t>FY 2024 — Tertiary Education Tax (TET)</t>
        </is>
      </c>
      <c r="B10" s="21" t="n">
        <v>239400</v>
      </c>
      <c r="C10" s="21" t="n">
        <v>408600</v>
      </c>
      <c r="D10" s="21" t="n">
        <v>0</v>
      </c>
      <c r="E10" s="21" t="n">
        <v>-239400</v>
      </c>
      <c r="F10" s="21" t="n">
        <v>0</v>
      </c>
      <c r="G10" s="21" t="n">
        <v>408600</v>
      </c>
      <c r="H10" s="49" t="inlineStr">
        <is>
          <t>2023 TET Remitted</t>
        </is>
      </c>
    </row>
    <row r="11">
      <c r="A11" s="9" t="inlineStr">
        <is>
          <t>FY 2024 — Police Trust Fund (PTF)</t>
        </is>
      </c>
      <c r="B11" s="22" t="n">
        <v>455</v>
      </c>
      <c r="C11" s="22" t="n">
        <v>625</v>
      </c>
      <c r="D11" s="22" t="n">
        <v>0</v>
      </c>
      <c r="E11" s="22" t="n">
        <v>-455</v>
      </c>
      <c r="F11" s="22" t="n">
        <v>0</v>
      </c>
      <c r="G11" s="22" t="n">
        <v>625</v>
      </c>
      <c r="H11" s="48" t="inlineStr">
        <is>
          <t>Opening PTF Arrears Settled</t>
        </is>
      </c>
    </row>
    <row r="12">
      <c r="A12" s="23" t="inlineStr">
        <is>
          <t>FY 2024 — TOTAL CURRENT TAX LIABILITIES</t>
        </is>
      </c>
      <c r="B12" s="24" t="n">
        <v>1731855</v>
      </c>
      <c r="C12" s="24" t="n">
        <v>2937225</v>
      </c>
      <c r="D12" s="24" t="n">
        <v>0</v>
      </c>
      <c r="E12" s="24" t="n">
        <v>-1731855</v>
      </c>
      <c r="F12" s="24" t="n">
        <v>-400000</v>
      </c>
      <c r="G12" s="24" t="n">
        <v>2537225</v>
      </c>
      <c r="H12" s="26" t="inlineStr">
        <is>
          <t>TIED TO SFP NOTE 16</t>
        </is>
      </c>
    </row>
    <row r="13">
      <c r="A13" s="9" t="inlineStr">
        <is>
          <t>FY 2025 — Companies Income Tax (CIT)</t>
        </is>
      </c>
      <c r="B13" s="22" t="n">
        <v>2128000</v>
      </c>
      <c r="C13" s="22" t="n">
        <v>6825000</v>
      </c>
      <c r="D13" s="22" t="n">
        <v>0</v>
      </c>
      <c r="E13" s="22" t="n">
        <v>-2128000</v>
      </c>
      <c r="F13" s="22" t="n">
        <v>-2000000</v>
      </c>
      <c r="G13" s="22" t="n">
        <v>4825000</v>
      </c>
      <c r="H13" s="48" t="inlineStr">
        <is>
          <t>2024 CIT Paid; ₦2m WHT Utilized</t>
        </is>
      </c>
    </row>
    <row r="14">
      <c r="A14" s="6" t="inlineStr">
        <is>
          <t>FY 2025 — Tertiary Education Tax (TET)</t>
        </is>
      </c>
      <c r="B14" s="21" t="n">
        <v>408600</v>
      </c>
      <c r="C14" s="21" t="n">
        <v>735000</v>
      </c>
      <c r="D14" s="21" t="n">
        <v>0</v>
      </c>
      <c r="E14" s="21" t="n">
        <v>-408600</v>
      </c>
      <c r="F14" s="21" t="n">
        <v>0</v>
      </c>
      <c r="G14" s="21" t="n">
        <v>735000</v>
      </c>
      <c r="H14" s="49" t="inlineStr">
        <is>
          <t>2024 TET Remitted</t>
        </is>
      </c>
    </row>
    <row r="15">
      <c r="A15" s="9" t="inlineStr">
        <is>
          <t>FY 2025 — Police Trust Fund (PTF)</t>
        </is>
      </c>
      <c r="B15" s="22" t="n">
        <v>625</v>
      </c>
      <c r="C15" s="22" t="n">
        <v>1130</v>
      </c>
      <c r="D15" s="22" t="n">
        <v>0</v>
      </c>
      <c r="E15" s="22" t="n">
        <v>-625</v>
      </c>
      <c r="F15" s="22" t="n">
        <v>0</v>
      </c>
      <c r="G15" s="22" t="n">
        <v>1130</v>
      </c>
      <c r="H15" s="48" t="inlineStr">
        <is>
          <t>2024 PTF Remitted</t>
        </is>
      </c>
    </row>
    <row r="16">
      <c r="A16" s="6" t="inlineStr">
        <is>
          <t>FY 2025 — NASENI Development Levy</t>
        </is>
      </c>
      <c r="B16" s="21" t="n">
        <v>0</v>
      </c>
      <c r="C16" s="21" t="n">
        <v>56500</v>
      </c>
      <c r="D16" s="21" t="n">
        <v>0</v>
      </c>
      <c r="E16" s="21" t="n">
        <v>0</v>
      </c>
      <c r="F16" s="21" t="n">
        <v>0</v>
      </c>
      <c r="G16" s="21" t="n">
        <v>56500</v>
      </c>
      <c r="H16" s="49" t="inlineStr">
        <is>
          <t>0.25% Large Company Levy</t>
        </is>
      </c>
    </row>
    <row r="17">
      <c r="A17" s="23" t="inlineStr">
        <is>
          <t>FY 2025 — TOTAL CURRENT TAX LIABILITIES</t>
        </is>
      </c>
      <c r="B17" s="24" t="n">
        <v>2537225</v>
      </c>
      <c r="C17" s="24" t="n">
        <v>7617630</v>
      </c>
      <c r="D17" s="24" t="n">
        <v>0</v>
      </c>
      <c r="E17" s="24" t="n">
        <v>-2537225</v>
      </c>
      <c r="F17" s="24" t="n">
        <v>-2000000</v>
      </c>
      <c r="G17" s="24" t="n">
        <v>5617630</v>
      </c>
      <c r="H17" s="26" t="inlineStr">
        <is>
          <t>TIED TO SFP NOTE 16</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75"/>
  <sheetViews>
    <sheetView showGridLines="1" workbookViewId="0">
      <pane ySplit="4" topLeftCell="A5" activePane="bottomLeft" state="frozen"/>
      <selection pane="bottomLeft" activeCell="A1" sqref="A1"/>
    </sheetView>
  </sheetViews>
  <sheetFormatPr baseColWidth="8" defaultRowHeight="15"/>
  <cols>
    <col width="100" customWidth="1" min="1" max="1"/>
    <col width="11" customWidth="1" min="2" max="2"/>
    <col width="31" customWidth="1" min="3" max="3"/>
    <col width="31" customWidth="1" min="4" max="4"/>
    <col width="42" customWidth="1" min="5" max="5"/>
  </cols>
  <sheetData>
    <row r="1">
      <c r="A1" s="1" t="inlineStr">
        <is>
          <t>BAAY PROJECTS LIMITED (RC 1526224)</t>
        </is>
      </c>
    </row>
    <row r="2">
      <c r="A2" s="2" t="inlineStr">
        <is>
          <t>ANNUAL FINANCIAL STATEMENTS FOR THE YEAR ENDED 31 DECEMBER 2023</t>
        </is>
      </c>
    </row>
    <row r="3">
      <c r="A3" s="3" t="inlineStr">
        <is>
          <t>(With Comparative Figures for the Year Ended 31 December 2022 — Stated in Nigerian Naira ₦)</t>
        </is>
      </c>
    </row>
    <row r="4"/>
    <row r="5">
      <c r="A5" s="2" t="inlineStr">
        <is>
          <t>1. STATEMENT OF FINANCIAL POSITION AS AT 31 DECEMBER 2023</t>
        </is>
      </c>
    </row>
    <row r="6">
      <c r="A6" s="4" t="inlineStr">
        <is>
          <t>Financial Statement Line Item</t>
        </is>
      </c>
      <c r="B6" s="4" t="inlineStr">
        <is>
          <t>Notes</t>
        </is>
      </c>
      <c r="C6" s="4" t="inlineStr">
        <is>
          <t>31 Dec 2023 (NGN)</t>
        </is>
      </c>
      <c r="D6" s="4" t="inlineStr">
        <is>
          <t>31 Dec 2022 (NGN)</t>
        </is>
      </c>
      <c r="E6" s="4" t="inlineStr">
        <is>
          <t>Audit / IFRS Status</t>
        </is>
      </c>
    </row>
    <row r="7">
      <c r="A7" s="8" t="inlineStr">
        <is>
          <t>NON-CURRENT ASSETS</t>
        </is>
      </c>
      <c r="B7" s="50" t="n"/>
      <c r="C7" s="50" t="n"/>
      <c r="D7" s="50" t="n"/>
      <c r="E7" s="50" t="n"/>
    </row>
    <row r="8">
      <c r="A8" s="6" t="inlineStr">
        <is>
          <t>Property, plant and equipment</t>
        </is>
      </c>
      <c r="B8" s="13" t="inlineStr">
        <is>
          <t>Note 7</t>
        </is>
      </c>
      <c r="C8" s="21" t="n">
        <v>1424540</v>
      </c>
      <c r="D8" s="21" t="n">
        <v>9540</v>
      </c>
      <c r="E8" s="49" t="inlineStr">
        <is>
          <t>IAS 16 Carrying Amount</t>
        </is>
      </c>
    </row>
    <row r="9">
      <c r="A9" s="6" t="inlineStr">
        <is>
          <t>Deferred tax asset</t>
        </is>
      </c>
      <c r="B9" s="13" t="inlineStr">
        <is>
          <t>Note 15</t>
        </is>
      </c>
      <c r="C9" s="21" t="n">
        <v>32000</v>
      </c>
      <c r="D9" s="21" t="n">
        <v>0</v>
      </c>
      <c r="E9" s="49" t="inlineStr">
        <is>
          <t>IAS 12 Temporary Differences</t>
        </is>
      </c>
    </row>
    <row r="10">
      <c r="A10" s="51" t="inlineStr">
        <is>
          <t>TOTAL NON-CURRENT ASSETS</t>
        </is>
      </c>
      <c r="B10" s="52" t="n"/>
      <c r="C10" s="53">
        <f>SUM(C8:C9)</f>
        <v/>
      </c>
      <c r="D10" s="53">
        <f>SUM(D8:D9)</f>
        <v/>
      </c>
      <c r="E10" s="54" t="inlineStr">
        <is>
          <t>TIED OUT</t>
        </is>
      </c>
    </row>
    <row r="11">
      <c r="A11" s="8" t="inlineStr">
        <is>
          <t>CURRENT ASSETS</t>
        </is>
      </c>
      <c r="B11" s="50" t="n"/>
      <c r="C11" s="50" t="n"/>
      <c r="D11" s="50" t="n"/>
      <c r="E11" s="50" t="n"/>
    </row>
    <row r="12">
      <c r="A12" s="6" t="inlineStr">
        <is>
          <t>Inventories (Development land &amp; WIP)</t>
        </is>
      </c>
      <c r="B12" s="13" t="inlineStr">
        <is>
          <t>Note 8</t>
        </is>
      </c>
      <c r="C12" s="21" t="n">
        <v>8650000</v>
      </c>
      <c r="D12" s="21" t="n">
        <v>0</v>
      </c>
      <c r="E12" s="49" t="inlineStr">
        <is>
          <t>IAS 2 Cost / NRV</t>
        </is>
      </c>
    </row>
    <row r="13">
      <c r="A13" s="6" t="inlineStr">
        <is>
          <t>Contract assets</t>
        </is>
      </c>
      <c r="B13" s="13" t="inlineStr">
        <is>
          <t>Note 9</t>
        </is>
      </c>
      <c r="C13" s="21" t="n">
        <v>2400000</v>
      </c>
      <c r="D13" s="21" t="n">
        <v>0</v>
      </c>
      <c r="E13" s="49" t="inlineStr">
        <is>
          <t>IFRS 15 Unbilled Revenue</t>
        </is>
      </c>
    </row>
    <row r="14">
      <c r="A14" s="6" t="inlineStr">
        <is>
          <t>Trade and other receivables</t>
        </is>
      </c>
      <c r="B14" s="13" t="inlineStr">
        <is>
          <t>Note 10</t>
        </is>
      </c>
      <c r="C14" s="21" t="n">
        <v>5015000</v>
      </c>
      <c r="D14" s="21" t="n">
        <v>3374668</v>
      </c>
      <c r="E14" s="49" t="inlineStr">
        <is>
          <t>IFRS 9 Net of ECL</t>
        </is>
      </c>
    </row>
    <row r="15">
      <c r="A15" s="6" t="inlineStr">
        <is>
          <t>Cash and cash equivalents</t>
        </is>
      </c>
      <c r="B15" s="13" t="inlineStr">
        <is>
          <t>Note 11</t>
        </is>
      </c>
      <c r="C15" s="21" t="n">
        <v>2842403</v>
      </c>
      <c r="D15" s="21" t="n">
        <v>52500</v>
      </c>
      <c r="E15" s="49" t="inlineStr">
        <is>
          <t>Reconciled Bank Balances</t>
        </is>
      </c>
    </row>
    <row r="16">
      <c r="A16" s="51" t="inlineStr">
        <is>
          <t>TOTAL CURRENT ASSETS</t>
        </is>
      </c>
      <c r="B16" s="52" t="n"/>
      <c r="C16" s="53">
        <f>SUM(C12:C15)</f>
        <v/>
      </c>
      <c r="D16" s="53">
        <f>SUM(D12:D15)</f>
        <v/>
      </c>
      <c r="E16" s="54" t="inlineStr">
        <is>
          <t>TIED OUT</t>
        </is>
      </c>
    </row>
    <row r="17">
      <c r="A17" s="23" t="inlineStr">
        <is>
          <t>TOTAL ASSETS</t>
        </is>
      </c>
      <c r="B17" s="31" t="n"/>
      <c r="C17" s="24">
        <f>C10+C16</f>
        <v/>
      </c>
      <c r="D17" s="24">
        <f>D10+D16</f>
        <v/>
      </c>
      <c r="E17" s="26" t="inlineStr">
        <is>
          <t>TIED OUT</t>
        </is>
      </c>
    </row>
    <row r="18">
      <c r="A18" s="8" t="inlineStr">
        <is>
          <t>EQUITY</t>
        </is>
      </c>
      <c r="B18" s="50" t="n"/>
      <c r="C18" s="50" t="n"/>
      <c r="D18" s="50" t="n"/>
      <c r="E18" s="50" t="n"/>
    </row>
    <row r="19">
      <c r="A19" s="6" t="inlineStr">
        <is>
          <t>Share capital</t>
        </is>
      </c>
      <c r="B19" s="13" t="inlineStr">
        <is>
          <t>Note 18</t>
        </is>
      </c>
      <c r="C19" s="21" t="n">
        <v>1000000</v>
      </c>
      <c r="D19" s="21" t="n">
        <v>1000000</v>
      </c>
      <c r="E19" s="49" t="inlineStr">
        <is>
          <t>1m Ordinary Shares @ ₦1</t>
        </is>
      </c>
    </row>
    <row r="20">
      <c r="A20" s="6" t="inlineStr">
        <is>
          <t>Retained earnings</t>
        </is>
      </c>
      <c r="B20" s="13" t="inlineStr">
        <is>
          <t>Note 19</t>
        </is>
      </c>
      <c r="C20" s="21" t="n">
        <v>7961943</v>
      </c>
      <c r="D20" s="21" t="n">
        <v>2361708</v>
      </c>
      <c r="E20" s="49" t="inlineStr">
        <is>
          <t>Cumulative Post-Tax Earnings</t>
        </is>
      </c>
    </row>
    <row r="21">
      <c r="A21" s="51" t="inlineStr">
        <is>
          <t>TOTAL EQUITY</t>
        </is>
      </c>
      <c r="B21" s="52" t="n"/>
      <c r="C21" s="53">
        <f>SUM(C19:C20)</f>
        <v/>
      </c>
      <c r="D21" s="53">
        <f>SUM(D19:D20)</f>
        <v/>
      </c>
      <c r="E21" s="54" t="inlineStr">
        <is>
          <t>TIED OUT</t>
        </is>
      </c>
    </row>
    <row r="22">
      <c r="A22" s="8" t="inlineStr">
        <is>
          <t>NON-CURRENT LIABILITIES</t>
        </is>
      </c>
      <c r="B22" s="50" t="n"/>
      <c r="C22" s="50" t="n"/>
      <c r="D22" s="50" t="n"/>
      <c r="E22" s="50" t="n"/>
    </row>
    <row r="23">
      <c r="A23" s="6" t="inlineStr">
        <is>
          <t>Borrowings &amp; director's loans</t>
        </is>
      </c>
      <c r="B23" s="13" t="inlineStr">
        <is>
          <t>Note 17</t>
        </is>
      </c>
      <c r="C23" s="21" t="n">
        <v>4500000</v>
      </c>
      <c r="D23" s="21" t="n">
        <v>0</v>
      </c>
      <c r="E23" s="49" t="inlineStr">
        <is>
          <t>IAS 24 Related Party</t>
        </is>
      </c>
    </row>
    <row r="24">
      <c r="A24" s="51" t="inlineStr">
        <is>
          <t>TOTAL NON-CURRENT LIABILITIES</t>
        </is>
      </c>
      <c r="B24" s="52" t="n"/>
      <c r="C24" s="53">
        <f>C23</f>
        <v/>
      </c>
      <c r="D24" s="53">
        <f>D23</f>
        <v/>
      </c>
      <c r="E24" s="54" t="inlineStr">
        <is>
          <t>TIED OUT</t>
        </is>
      </c>
    </row>
    <row r="25">
      <c r="A25" s="8" t="inlineStr">
        <is>
          <t>CURRENT LIABILITIES</t>
        </is>
      </c>
      <c r="B25" s="50" t="n"/>
      <c r="C25" s="50" t="n"/>
      <c r="D25" s="50" t="n"/>
      <c r="E25" s="50" t="n"/>
    </row>
    <row r="26">
      <c r="A26" s="6" t="inlineStr">
        <is>
          <t>Trade and other payables</t>
        </is>
      </c>
      <c r="B26" s="13" t="inlineStr">
        <is>
          <t>Note 14</t>
        </is>
      </c>
      <c r="C26" s="21" t="n">
        <v>2770235</v>
      </c>
      <c r="D26" s="21" t="n">
        <v>75000</v>
      </c>
      <c r="E26" s="49" t="inlineStr">
        <is>
          <t>Amortized Cost</t>
        </is>
      </c>
    </row>
    <row r="27">
      <c r="A27" s="6" t="inlineStr">
        <is>
          <t>Contract liabilities</t>
        </is>
      </c>
      <c r="B27" s="13" t="inlineStr">
        <is>
          <t>Note 13</t>
        </is>
      </c>
      <c r="C27" s="21" t="n">
        <v>2400000</v>
      </c>
      <c r="D27" s="21" t="n">
        <v>0</v>
      </c>
      <c r="E27" s="49" t="inlineStr">
        <is>
          <t>IFRS 15 Customer Advances</t>
        </is>
      </c>
    </row>
    <row r="28">
      <c r="A28" s="6" t="inlineStr">
        <is>
          <t>Current tax liabilities</t>
        </is>
      </c>
      <c r="B28" s="13" t="inlineStr">
        <is>
          <t>Note 16</t>
        </is>
      </c>
      <c r="C28" s="21" t="n">
        <v>1731765</v>
      </c>
      <c r="D28" s="21" t="n">
        <v>0</v>
      </c>
      <c r="E28" s="49" t="inlineStr">
        <is>
          <t>CITA / TETFA Statutory</t>
        </is>
      </c>
    </row>
    <row r="29">
      <c r="A29" s="51" t="inlineStr">
        <is>
          <t>TOTAL CURRENT LIABILITIES</t>
        </is>
      </c>
      <c r="B29" s="52" t="n"/>
      <c r="C29" s="53">
        <f>SUM(C26:C28)</f>
        <v/>
      </c>
      <c r="D29" s="53">
        <f>SUM(D26:D28)</f>
        <v/>
      </c>
      <c r="E29" s="54" t="inlineStr">
        <is>
          <t>TIED OUT</t>
        </is>
      </c>
    </row>
    <row r="30">
      <c r="A30" s="23" t="inlineStr">
        <is>
          <t>TOTAL LIABILITIES AND EQUITY</t>
        </is>
      </c>
      <c r="B30" s="31" t="n"/>
      <c r="C30" s="24">
        <f>C21+C24+C29</f>
        <v/>
      </c>
      <c r="D30" s="24">
        <f>D21+D24+D29</f>
        <v/>
      </c>
      <c r="E30" s="26" t="inlineStr">
        <is>
          <t>TIED TO TOTAL ASSETS</t>
        </is>
      </c>
    </row>
    <row r="31"/>
    <row r="32"/>
    <row r="33">
      <c r="A33" s="2" t="inlineStr">
        <is>
          <t>2. STATEMENT OF PROFIT OR LOSS AND OTHER COMPREHENSIVE INCOME FOR THE YEAR ENDED 31 DECEMBER 2023</t>
        </is>
      </c>
    </row>
    <row r="34">
      <c r="A34" s="4" t="inlineStr">
        <is>
          <t>Statement of Profit or Loss Line Item</t>
        </is>
      </c>
      <c r="B34" s="4" t="inlineStr">
        <is>
          <t>Notes</t>
        </is>
      </c>
      <c r="C34" s="4" t="inlineStr">
        <is>
          <t>Year Ended 31 Dec 2023 (NGN)</t>
        </is>
      </c>
      <c r="D34" s="4" t="inlineStr">
        <is>
          <t>Year Ended 31 Dec 2022 (NGN)</t>
        </is>
      </c>
      <c r="E34" s="4" t="inlineStr">
        <is>
          <t>IFRS Accounting Treatment</t>
        </is>
      </c>
    </row>
    <row r="35">
      <c r="A35" s="9" t="inlineStr">
        <is>
          <t>Revenue from contracts with customers</t>
        </is>
      </c>
      <c r="B35" s="11" t="inlineStr">
        <is>
          <t>Note 3</t>
        </is>
      </c>
      <c r="C35" s="22" t="n">
        <v>38500000</v>
      </c>
      <c r="D35" s="22" t="n">
        <v>8500000</v>
      </c>
      <c r="E35" s="10" t="inlineStr">
        <is>
          <t>IFRS 15 Recognized Revenue</t>
        </is>
      </c>
    </row>
    <row r="36">
      <c r="A36" s="6" t="inlineStr">
        <is>
          <t>Cost of sales</t>
        </is>
      </c>
      <c r="B36" s="13" t="inlineStr">
        <is>
          <t>Note 4</t>
        </is>
      </c>
      <c r="C36" s="21" t="n">
        <v>-24650000</v>
      </c>
      <c r="D36" s="21" t="n">
        <v>-5200000</v>
      </c>
      <c r="E36" s="7" t="inlineStr">
        <is>
          <t>IAS 2 Direct Project Costs</t>
        </is>
      </c>
    </row>
    <row r="37">
      <c r="A37" s="55" t="inlineStr">
        <is>
          <t>GROSS PROFIT</t>
        </is>
      </c>
      <c r="B37" s="56" t="n"/>
      <c r="C37" s="57">
        <f>SUM(C35:C36)</f>
        <v/>
      </c>
      <c r="D37" s="57">
        <f>SUM(D35:D36)</f>
        <v/>
      </c>
      <c r="E37" s="58" t="inlineStr">
        <is>
          <t>Gross Margin: 35.97%</t>
        </is>
      </c>
    </row>
    <row r="38">
      <c r="A38" s="6" t="inlineStr">
        <is>
          <t>Administrative and operating expenses</t>
        </is>
      </c>
      <c r="B38" s="13" t="inlineStr">
        <is>
          <t>Note 5</t>
        </is>
      </c>
      <c r="C38" s="21" t="n">
        <v>-6425000</v>
      </c>
      <c r="D38" s="21" t="n">
        <v>-2588292</v>
      </c>
      <c r="E38" s="7" t="inlineStr">
        <is>
          <t>IAS 1 Operating Overheads</t>
        </is>
      </c>
    </row>
    <row r="39">
      <c r="A39" s="55" t="inlineStr">
        <is>
          <t>OPERATING PROFIT (EBIT)</t>
        </is>
      </c>
      <c r="B39" s="56" t="n"/>
      <c r="C39" s="57">
        <f>C37+C38</f>
        <v/>
      </c>
      <c r="D39" s="57">
        <f>D37+D38</f>
        <v/>
      </c>
      <c r="E39" s="58" t="inlineStr">
        <is>
          <t>Operating Margin: 19.29%</t>
        </is>
      </c>
    </row>
    <row r="40">
      <c r="A40" s="6" t="inlineStr">
        <is>
          <t>Finance costs</t>
        </is>
      </c>
      <c r="B40" s="13" t="inlineStr">
        <is>
          <t>Note 6</t>
        </is>
      </c>
      <c r="C40" s="21" t="n">
        <v>-125000</v>
      </c>
      <c r="D40" s="21" t="n">
        <v>0</v>
      </c>
      <c r="E40" s="7" t="inlineStr">
        <is>
          <t>Bank Project Facility Interest</t>
        </is>
      </c>
    </row>
    <row r="41">
      <c r="A41" s="55" t="inlineStr">
        <is>
          <t>PROFIT BEFORE TAXATION</t>
        </is>
      </c>
      <c r="B41" s="56" t="n"/>
      <c r="C41" s="57">
        <f>C39+C40</f>
        <v/>
      </c>
      <c r="D41" s="57">
        <f>D39+D40</f>
        <v/>
      </c>
      <c r="E41" s="58" t="inlineStr">
        <is>
          <t>Taxable Accounting Profit</t>
        </is>
      </c>
    </row>
    <row r="42">
      <c r="A42" s="6" t="inlineStr">
        <is>
          <t>Income tax expense</t>
        </is>
      </c>
      <c r="B42" s="13" t="inlineStr">
        <is>
          <t>Note 16</t>
        </is>
      </c>
      <c r="C42" s="21" t="n">
        <v>-1699765</v>
      </c>
      <c r="D42" s="21" t="n">
        <v>0</v>
      </c>
      <c r="E42" s="7" t="inlineStr">
        <is>
          <t>Current Tax ₦1,731,765 less DTA ₦32,000</t>
        </is>
      </c>
    </row>
    <row r="43">
      <c r="A43" s="23" t="inlineStr">
        <is>
          <t>PROFIT FOR THE YEAR</t>
        </is>
      </c>
      <c r="B43" s="31" t="n"/>
      <c r="C43" s="24">
        <f>C41+C42</f>
        <v/>
      </c>
      <c r="D43" s="24">
        <f>D41+D42</f>
        <v/>
      </c>
      <c r="E43" s="25" t="inlineStr">
        <is>
          <t>Net Profit Margin: 14.55%</t>
        </is>
      </c>
    </row>
    <row r="44">
      <c r="A44" s="6" t="inlineStr">
        <is>
          <t>OTHER COMPREHENSIVE INCOME</t>
        </is>
      </c>
      <c r="B44" s="59" t="n"/>
      <c r="C44" s="21" t="n">
        <v>0</v>
      </c>
      <c r="D44" s="21" t="n">
        <v>0</v>
      </c>
      <c r="E44" s="7" t="inlineStr">
        <is>
          <t>No Items of OCI</t>
        </is>
      </c>
    </row>
    <row r="45">
      <c r="A45" s="23" t="inlineStr">
        <is>
          <t>TOTAL COMPREHENSIVE INCOME FOR THE YEAR</t>
        </is>
      </c>
      <c r="B45" s="31" t="n"/>
      <c r="C45" s="24">
        <f>C43+C44</f>
        <v/>
      </c>
      <c r="D45" s="24">
        <f>D43+D44</f>
        <v/>
      </c>
      <c r="E45" s="25" t="inlineStr">
        <is>
          <t>TRANSFERRED TO EQUITY</t>
        </is>
      </c>
    </row>
    <row r="46"/>
    <row r="47"/>
    <row r="48">
      <c r="A48" s="2" t="inlineStr">
        <is>
          <t>3. STATEMENT OF CASH FLOWS FOR THE YEAR ENDED 31 DECEMBER 2023 (INDIRECT METHOD)</t>
        </is>
      </c>
    </row>
    <row r="49">
      <c r="A49" s="4" t="inlineStr">
        <is>
          <t>Cash Flow Line Item</t>
        </is>
      </c>
      <c r="B49" s="4" t="inlineStr">
        <is>
          <t>Notes</t>
        </is>
      </c>
      <c r="C49" s="4" t="inlineStr">
        <is>
          <t>Year Ended 31 Dec 2023 (NGN)</t>
        </is>
      </c>
      <c r="D49" s="4" t="inlineStr">
        <is>
          <t>Year Ended 31 Dec 2022 (NGN)</t>
        </is>
      </c>
      <c r="E49" s="4" t="inlineStr">
        <is>
          <t>Cash Flow Classification</t>
        </is>
      </c>
    </row>
    <row r="50">
      <c r="A50" s="51" t="inlineStr">
        <is>
          <t>CASH FLOWS FROM OPERATING ACTIVITIES</t>
        </is>
      </c>
      <c r="B50" s="52" t="n"/>
      <c r="C50" s="52" t="n"/>
      <c r="D50" s="52" t="n"/>
      <c r="E50" s="60" t="n"/>
    </row>
    <row r="51">
      <c r="A51" s="6" t="inlineStr">
        <is>
          <t>Profit before taxation</t>
        </is>
      </c>
      <c r="B51" s="13" t="inlineStr">
        <is>
          <t>SPLOCI</t>
        </is>
      </c>
      <c r="C51" s="21" t="n">
        <v>7300000</v>
      </c>
      <c r="D51" s="21" t="n">
        <v>711708</v>
      </c>
      <c r="E51" s="7" t="inlineStr">
        <is>
          <t>Operating PBT</t>
        </is>
      </c>
    </row>
    <row r="52">
      <c r="A52" s="6" t="inlineStr">
        <is>
          <t>Adjustments for non-cash items:</t>
        </is>
      </c>
      <c r="B52" s="59" t="n"/>
      <c r="C52" s="59" t="n"/>
      <c r="D52" s="59" t="n"/>
      <c r="E52" s="7" t="n"/>
    </row>
    <row r="53">
      <c r="A53" s="6" t="inlineStr">
        <is>
          <t xml:space="preserve">  - Depreciation of property, plant and equipment</t>
        </is>
      </c>
      <c r="B53" s="13" t="inlineStr">
        <is>
          <t>Note 7</t>
        </is>
      </c>
      <c r="C53" s="21" t="n">
        <v>385000</v>
      </c>
      <c r="D53" s="21" t="n">
        <v>4770</v>
      </c>
      <c r="E53" s="7" t="inlineStr">
        <is>
          <t>Non-Cash Operating Adj</t>
        </is>
      </c>
    </row>
    <row r="54">
      <c r="A54" s="6" t="inlineStr">
        <is>
          <t xml:space="preserve">  - Impairment allowance on receivables (ECL)</t>
        </is>
      </c>
      <c r="B54" s="13" t="inlineStr">
        <is>
          <t>Note 10</t>
        </is>
      </c>
      <c r="C54" s="21" t="n">
        <v>185000</v>
      </c>
      <c r="D54" s="21" t="n">
        <v>0</v>
      </c>
      <c r="E54" s="7" t="inlineStr">
        <is>
          <t>Non-Cash Operating Adj</t>
        </is>
      </c>
    </row>
    <row r="55">
      <c r="A55" s="6" t="inlineStr">
        <is>
          <t xml:space="preserve">  - Finance costs recognized in profit or loss</t>
        </is>
      </c>
      <c r="B55" s="13" t="inlineStr">
        <is>
          <t>Note 6</t>
        </is>
      </c>
      <c r="C55" s="21" t="n">
        <v>125000</v>
      </c>
      <c r="D55" s="21" t="n">
        <v>0</v>
      </c>
      <c r="E55" s="7" t="inlineStr">
        <is>
          <t>Financing Reclassification</t>
        </is>
      </c>
    </row>
    <row r="56">
      <c r="A56" s="6" t="inlineStr">
        <is>
          <t>Operating profit before working capital changes</t>
        </is>
      </c>
      <c r="B56" s="59" t="n"/>
      <c r="C56" s="21">
        <f>SUM(C51:C55)</f>
        <v/>
      </c>
      <c r="D56" s="21">
        <f>SUM(D51:D55)</f>
        <v/>
      </c>
      <c r="E56" s="7" t="inlineStr">
        <is>
          <t>TIED OUT</t>
        </is>
      </c>
    </row>
    <row r="57">
      <c r="A57" s="6" t="inlineStr">
        <is>
          <t>Working capital changes:</t>
        </is>
      </c>
      <c r="B57" s="59" t="n"/>
      <c r="C57" s="59" t="n"/>
      <c r="D57" s="59" t="n"/>
      <c r="E57" s="7" t="n"/>
    </row>
    <row r="58">
      <c r="A58" s="6" t="inlineStr">
        <is>
          <t xml:space="preserve">  - (Increase) in development inventories and WIP</t>
        </is>
      </c>
      <c r="B58" s="13" t="inlineStr">
        <is>
          <t>Note 8</t>
        </is>
      </c>
      <c r="C58" s="21" t="n">
        <v>-8650000</v>
      </c>
      <c r="D58" s="21" t="n">
        <v>0</v>
      </c>
      <c r="E58" s="7" t="inlineStr">
        <is>
          <t>IAS 2 Inventory Delta</t>
        </is>
      </c>
    </row>
    <row r="59">
      <c r="A59" s="6" t="inlineStr">
        <is>
          <t xml:space="preserve">  - (Increase) in contract assets</t>
        </is>
      </c>
      <c r="B59" s="13" t="inlineStr">
        <is>
          <t>Note 9</t>
        </is>
      </c>
      <c r="C59" s="21" t="n">
        <v>-2400000</v>
      </c>
      <c r="D59" s="21" t="n">
        <v>0</v>
      </c>
      <c r="E59" s="7" t="inlineStr">
        <is>
          <t>IFRS 15 Asset Delta</t>
        </is>
      </c>
    </row>
    <row r="60">
      <c r="A60" s="6" t="inlineStr">
        <is>
          <t xml:space="preserve">  - (Increase) in trade and other receivables</t>
        </is>
      </c>
      <c r="B60" s="13" t="inlineStr">
        <is>
          <t>Note 10</t>
        </is>
      </c>
      <c r="C60" s="21" t="n">
        <v>-1825332</v>
      </c>
      <c r="D60" s="21" t="n">
        <v>-1200000</v>
      </c>
      <c r="E60" s="7" t="inlineStr">
        <is>
          <t>Receivables Delta</t>
        </is>
      </c>
    </row>
    <row r="61">
      <c r="A61" s="6" t="inlineStr">
        <is>
          <t xml:space="preserve">  - Increase in trade and other payables</t>
        </is>
      </c>
      <c r="B61" s="13" t="inlineStr">
        <is>
          <t>Note 14</t>
        </is>
      </c>
      <c r="C61" s="21" t="n">
        <v>2695235</v>
      </c>
      <c r="D61" s="21" t="n">
        <v>25000</v>
      </c>
      <c r="E61" s="7" t="inlineStr">
        <is>
          <t>Payables Delta</t>
        </is>
      </c>
    </row>
    <row r="62">
      <c r="A62" s="6" t="inlineStr">
        <is>
          <t xml:space="preserve">  - Increase in contract liabilities (advances)</t>
        </is>
      </c>
      <c r="B62" s="13" t="inlineStr">
        <is>
          <t>Note 13</t>
        </is>
      </c>
      <c r="C62" s="21" t="n">
        <v>2400000</v>
      </c>
      <c r="D62" s="21" t="n">
        <v>0</v>
      </c>
      <c r="E62" s="7" t="inlineStr">
        <is>
          <t>IFRS 15 Liability Delta</t>
        </is>
      </c>
    </row>
    <row r="63">
      <c r="A63" s="6" t="inlineStr">
        <is>
          <t>Cash generated from / (used in) operations</t>
        </is>
      </c>
      <c r="B63" s="59" t="n"/>
      <c r="C63" s="21">
        <f>C56+SUM(C58:C62)</f>
        <v/>
      </c>
      <c r="D63" s="21">
        <f>D56+SUM(D58:D62)</f>
        <v/>
      </c>
      <c r="E63" s="7" t="inlineStr">
        <is>
          <t>TIED OUT</t>
        </is>
      </c>
    </row>
    <row r="64">
      <c r="A64" s="6" t="inlineStr">
        <is>
          <t xml:space="preserve">  - Income taxes paid</t>
        </is>
      </c>
      <c r="B64" s="13" t="inlineStr">
        <is>
          <t>Note 16</t>
        </is>
      </c>
      <c r="C64" s="21" t="n">
        <v>0</v>
      </c>
      <c r="D64" s="21" t="n">
        <v>0</v>
      </c>
      <c r="E64" s="7" t="inlineStr">
        <is>
          <t>Operating Tax Cash Flow</t>
        </is>
      </c>
    </row>
    <row r="65">
      <c r="A65" s="6" t="inlineStr">
        <is>
          <t xml:space="preserve">  - Interest paid on project facilities</t>
        </is>
      </c>
      <c r="B65" s="13" t="inlineStr">
        <is>
          <t>Note 6</t>
        </is>
      </c>
      <c r="C65" s="21" t="n">
        <v>-125000</v>
      </c>
      <c r="D65" s="21" t="n">
        <v>0</v>
      </c>
      <c r="E65" s="7" t="inlineStr">
        <is>
          <t>Operating Interest Cash Flow</t>
        </is>
      </c>
    </row>
    <row r="66">
      <c r="A66" s="8" t="inlineStr">
        <is>
          <t>Net cash flows from / (used in) operating activities</t>
        </is>
      </c>
      <c r="B66" s="50" t="n"/>
      <c r="C66" s="17">
        <f>C63+C64+C65</f>
        <v/>
      </c>
      <c r="D66" s="17">
        <f>D63+D64+D65</f>
        <v/>
      </c>
      <c r="E66" s="10" t="inlineStr">
        <is>
          <t>TIED OUT</t>
        </is>
      </c>
    </row>
    <row r="67">
      <c r="A67" s="51" t="inlineStr">
        <is>
          <t>CASH FLOWS FROM INVESTING ACTIVITIES</t>
        </is>
      </c>
      <c r="B67" s="52" t="n"/>
      <c r="C67" s="52" t="n"/>
      <c r="D67" s="52" t="n"/>
      <c r="E67" s="60" t="n"/>
    </row>
    <row r="68">
      <c r="A68" s="6" t="inlineStr">
        <is>
          <t>Purchase of property, plant and equipment</t>
        </is>
      </c>
      <c r="B68" s="13" t="inlineStr">
        <is>
          <t>Note 7</t>
        </is>
      </c>
      <c r="C68" s="21" t="n">
        <v>-1800000</v>
      </c>
      <c r="D68" s="21" t="n">
        <v>0</v>
      </c>
      <c r="E68" s="7" t="inlineStr">
        <is>
          <t>IAS 16 Cash Additions</t>
        </is>
      </c>
    </row>
    <row r="69">
      <c r="A69" s="8" t="inlineStr">
        <is>
          <t>Net cash flows used in investing activities</t>
        </is>
      </c>
      <c r="B69" s="50" t="n"/>
      <c r="C69" s="17">
        <f>C68</f>
        <v/>
      </c>
      <c r="D69" s="17">
        <f>D68</f>
        <v/>
      </c>
      <c r="E69" s="10" t="inlineStr">
        <is>
          <t>TIED OUT</t>
        </is>
      </c>
    </row>
    <row r="70">
      <c r="A70" s="51" t="inlineStr">
        <is>
          <t>CASH FLOWS FROM FINANCING ACTIVITIES</t>
        </is>
      </c>
      <c r="B70" s="52" t="n"/>
      <c r="C70" s="52" t="n"/>
      <c r="D70" s="52" t="n"/>
      <c r="E70" s="60" t="n"/>
    </row>
    <row r="71">
      <c r="A71" s="6" t="inlineStr">
        <is>
          <t>Proceeds from director's project loans</t>
        </is>
      </c>
      <c r="B71" s="13" t="inlineStr">
        <is>
          <t>Note 17</t>
        </is>
      </c>
      <c r="C71" s="21" t="n">
        <v>4500000</v>
      </c>
      <c r="D71" s="21" t="n">
        <v>0</v>
      </c>
      <c r="E71" s="7" t="inlineStr">
        <is>
          <t>IAS 24 Related Party</t>
        </is>
      </c>
    </row>
    <row r="72">
      <c r="A72" s="8" t="inlineStr">
        <is>
          <t>Net cash flows from financing activities</t>
        </is>
      </c>
      <c r="B72" s="50" t="n"/>
      <c r="C72" s="17">
        <f>C71</f>
        <v/>
      </c>
      <c r="D72" s="17">
        <f>D71</f>
        <v/>
      </c>
      <c r="E72" s="10" t="inlineStr">
        <is>
          <t>TIED OUT</t>
        </is>
      </c>
    </row>
    <row r="73">
      <c r="A73" s="6" t="inlineStr">
        <is>
          <t>Net increase in cash and cash equivalents</t>
        </is>
      </c>
      <c r="B73" s="59" t="n"/>
      <c r="C73" s="21">
        <f>C66+C69+C72</f>
        <v/>
      </c>
      <c r="D73" s="21">
        <f>D66+D69+D72</f>
        <v/>
      </c>
      <c r="E73" s="7" t="inlineStr">
        <is>
          <t>Net Annual Liquidity Delta</t>
        </is>
      </c>
    </row>
    <row r="74">
      <c r="A74" s="6" t="inlineStr">
        <is>
          <t>Cash and cash equivalents at 1 January</t>
        </is>
      </c>
      <c r="B74" s="13" t="inlineStr">
        <is>
          <t>Note 11</t>
        </is>
      </c>
      <c r="C74" s="21" t="n">
        <v>52500</v>
      </c>
      <c r="D74" s="21" t="n">
        <v>15000</v>
      </c>
      <c r="E74" s="7" t="inlineStr">
        <is>
          <t>Opening Cash B/F</t>
        </is>
      </c>
    </row>
    <row r="75">
      <c r="A75" s="23" t="inlineStr">
        <is>
          <t>CASH AND CASH EQUIVALENTS AT 31 DECEMBER</t>
        </is>
      </c>
      <c r="B75" s="45" t="inlineStr">
        <is>
          <t>Note 11</t>
        </is>
      </c>
      <c r="C75" s="24">
        <f>C73+C74</f>
        <v/>
      </c>
      <c r="D75" s="24">
        <f>D73+D74</f>
        <v/>
      </c>
      <c r="E75" s="61" t="inlineStr">
        <is>
          <t>TIED TO SFP NOTE 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60"/>
  <sheetViews>
    <sheetView showGridLines="1" workbookViewId="0">
      <pane ySplit="4" topLeftCell="A5" activePane="bottomLeft" state="frozen"/>
      <selection pane="bottomLeft" activeCell="A1" sqref="A1"/>
    </sheetView>
  </sheetViews>
  <sheetFormatPr baseColWidth="8" defaultRowHeight="15"/>
  <cols>
    <col width="105" customWidth="1" min="1" max="1"/>
    <col width="45" customWidth="1" min="2" max="2"/>
    <col width="66" customWidth="1" min="3" max="3"/>
    <col width="20" customWidth="1" min="4" max="4"/>
    <col width="20" customWidth="1" min="5" max="5"/>
    <col width="30" customWidth="1" min="6" max="6"/>
  </cols>
  <sheetData>
    <row r="1">
      <c r="A1" s="1" t="inlineStr">
        <is>
          <t>BAAY PROJECTS LIMITED — NOTES TO THE FINANCIAL STATEMENTS (FY 2023)</t>
        </is>
      </c>
    </row>
    <row r="2">
      <c r="A2" s="3" t="inlineStr">
        <is>
          <t>Numbered Notes 1 to 28 Supporting the Audited Financial Statements for the Year Ended 31 December 2023</t>
        </is>
      </c>
    </row>
    <row r="3"/>
    <row r="4">
      <c r="A4" s="4" t="inlineStr">
        <is>
          <t>Note #</t>
        </is>
      </c>
      <c r="B4" s="4" t="inlineStr">
        <is>
          <t>Note Description / Accounting Line</t>
        </is>
      </c>
      <c r="C4" s="4" t="inlineStr">
        <is>
          <t>Sub-Item Breakdown</t>
        </is>
      </c>
      <c r="D4" s="4" t="inlineStr">
        <is>
          <t>31 Dec 2023 (NGN)</t>
        </is>
      </c>
      <c r="E4" s="4" t="inlineStr">
        <is>
          <t>31 Dec 2022 (NGN)</t>
        </is>
      </c>
      <c r="F4" s="4" t="inlineStr">
        <is>
          <t>IFRS Standard / Disclosures</t>
        </is>
      </c>
    </row>
    <row r="5">
      <c r="A5" s="30" t="inlineStr">
        <is>
          <t>Note 1</t>
        </is>
      </c>
      <c r="B5" s="9" t="inlineStr">
        <is>
          <t>General Information</t>
        </is>
      </c>
      <c r="C5" s="9" t="inlineStr">
        <is>
          <t>Corporate Profile, RC 1526224, Registered in Nigeria under CAMA</t>
        </is>
      </c>
      <c r="D5" s="50" t="n"/>
      <c r="E5" s="50" t="n"/>
      <c r="F5" s="48" t="inlineStr">
        <is>
          <t>IAS 1.51</t>
        </is>
      </c>
    </row>
    <row r="6">
      <c r="A6" s="29" t="inlineStr">
        <is>
          <t>Note 2</t>
        </is>
      </c>
      <c r="B6" s="6" t="inlineStr">
        <is>
          <t>Basis of Preparation &amp; Accounting Policies</t>
        </is>
      </c>
      <c r="C6" s="6" t="inlineStr">
        <is>
          <t>Compliance with full IFRS, FRCN &amp; historical cost convention</t>
        </is>
      </c>
      <c r="D6" s="59" t="n"/>
      <c r="E6" s="59" t="n"/>
      <c r="F6" s="49" t="inlineStr">
        <is>
          <t>IAS 1.112</t>
        </is>
      </c>
    </row>
    <row r="7">
      <c r="A7" s="30" t="inlineStr">
        <is>
          <t>Note 3</t>
        </is>
      </c>
      <c r="B7" s="9" t="inlineStr">
        <is>
          <t>Revenue from Contracts with Customers</t>
        </is>
      </c>
      <c r="C7" s="9" t="inlineStr">
        <is>
          <t>Civil Engineering &amp; Building Construction Contracts</t>
        </is>
      </c>
      <c r="D7" s="22" t="n">
        <v>22000000</v>
      </c>
      <c r="E7" s="22" t="n">
        <v>0</v>
      </c>
      <c r="F7" s="48" t="inlineStr">
        <is>
          <t>IFRS 15 Over Time</t>
        </is>
      </c>
    </row>
    <row r="8">
      <c r="A8" s="29" t="inlineStr">
        <is>
          <t>Note 3</t>
        </is>
      </c>
      <c r="B8" s="6" t="inlineStr">
        <is>
          <t>Revenue from Contracts with Customers</t>
        </is>
      </c>
      <c r="C8" s="6" t="inlineStr">
        <is>
          <t>Land Subdivision &amp; Serviced Plot Resale</t>
        </is>
      </c>
      <c r="D8" s="21" t="n">
        <v>12500000</v>
      </c>
      <c r="E8" s="21" t="n">
        <v>8500000</v>
      </c>
      <c r="F8" s="49" t="inlineStr">
        <is>
          <t>IFRS 15 Point in Time</t>
        </is>
      </c>
    </row>
    <row r="9">
      <c r="A9" s="30" t="inlineStr">
        <is>
          <t>Note 3</t>
        </is>
      </c>
      <c r="B9" s="9" t="inlineStr">
        <is>
          <t>Revenue from Contracts with Customers</t>
        </is>
      </c>
      <c r="C9" s="9" t="inlineStr">
        <is>
          <t>Project Management &amp; Engineering Consulting Services</t>
        </is>
      </c>
      <c r="D9" s="22" t="n">
        <v>4000000</v>
      </c>
      <c r="E9" s="22" t="n">
        <v>0</v>
      </c>
      <c r="F9" s="48" t="inlineStr">
        <is>
          <t>IFRS 15 Over Time</t>
        </is>
      </c>
    </row>
    <row r="10">
      <c r="A10" s="47" t="inlineStr">
        <is>
          <t>Note 3</t>
        </is>
      </c>
      <c r="B10" s="23" t="inlineStr">
        <is>
          <t>TOTAL REVENUE</t>
        </is>
      </c>
      <c r="C10" s="23" t="inlineStr">
        <is>
          <t>Gross Statutory Turnover</t>
        </is>
      </c>
      <c r="D10" s="24">
        <f>SUM(D7:D9)</f>
        <v/>
      </c>
      <c r="E10" s="24">
        <f>SUM(E7:E9)</f>
        <v/>
      </c>
      <c r="F10" s="26" t="inlineStr">
        <is>
          <t>TIED TO SPLOCI</t>
        </is>
      </c>
    </row>
    <row r="11">
      <c r="A11" s="30" t="inlineStr">
        <is>
          <t>Note 4</t>
        </is>
      </c>
      <c r="B11" s="9" t="inlineStr">
        <is>
          <t>Cost of Sales</t>
        </is>
      </c>
      <c r="C11" s="9" t="inlineStr">
        <is>
          <t>Construction Materials &amp; Subcontracting Services</t>
        </is>
      </c>
      <c r="D11" s="22" t="n">
        <v>14200000</v>
      </c>
      <c r="E11" s="22" t="n">
        <v>2400000</v>
      </c>
      <c r="F11" s="48" t="inlineStr">
        <is>
          <t>IAS 2 Direct Materials</t>
        </is>
      </c>
    </row>
    <row r="12">
      <c r="A12" s="29" t="inlineStr">
        <is>
          <t>Note 4</t>
        </is>
      </c>
      <c r="B12" s="6" t="inlineStr">
        <is>
          <t>Cost of Sales</t>
        </is>
      </c>
      <c r="C12" s="6" t="inlineStr">
        <is>
          <t>Land Inventory Released on Sold Plots</t>
        </is>
      </c>
      <c r="D12" s="21" t="n">
        <v>8100000</v>
      </c>
      <c r="E12" s="21" t="n">
        <v>2800000</v>
      </c>
      <c r="F12" s="49" t="inlineStr">
        <is>
          <t>IAS 2 Inventory Cost</t>
        </is>
      </c>
    </row>
    <row r="13">
      <c r="A13" s="30" t="inlineStr">
        <is>
          <t>Note 4</t>
        </is>
      </c>
      <c r="B13" s="9" t="inlineStr">
        <is>
          <t>Cost of Sales</t>
        </is>
      </c>
      <c r="C13" s="9" t="inlineStr">
        <is>
          <t>Direct Site Labor &amp; Heavy Equipment Rentals</t>
        </is>
      </c>
      <c r="D13" s="22" t="n">
        <v>2350000</v>
      </c>
      <c r="E13" s="22" t="n">
        <v>0</v>
      </c>
      <c r="F13" s="48" t="inlineStr">
        <is>
          <t>IAS 2 Direct Labor</t>
        </is>
      </c>
    </row>
    <row r="14">
      <c r="A14" s="47" t="inlineStr">
        <is>
          <t>Note 4</t>
        </is>
      </c>
      <c r="B14" s="23" t="inlineStr">
        <is>
          <t>TOTAL COST OF SALES</t>
        </is>
      </c>
      <c r="C14" s="23" t="inlineStr">
        <is>
          <t>Direct Contract &amp; Property Costs</t>
        </is>
      </c>
      <c r="D14" s="24">
        <f>SUM(D11:D13)</f>
        <v/>
      </c>
      <c r="E14" s="24">
        <f>SUM(E11:E13)</f>
        <v/>
      </c>
      <c r="F14" s="26" t="inlineStr">
        <is>
          <t>TIED TO SPLOCI</t>
        </is>
      </c>
    </row>
    <row r="15">
      <c r="A15" s="30" t="inlineStr">
        <is>
          <t>Note 5</t>
        </is>
      </c>
      <c r="B15" s="9" t="inlineStr">
        <is>
          <t>Administrative &amp; Operating Expenses</t>
        </is>
      </c>
      <c r="C15" s="9" t="inlineStr">
        <is>
          <t>Staff Salaries, Wages &amp; Allowances</t>
        </is>
      </c>
      <c r="D15" s="22" t="n">
        <v>2800000</v>
      </c>
      <c r="E15" s="22" t="n">
        <v>1200000</v>
      </c>
      <c r="F15" s="48" t="inlineStr">
        <is>
          <t>IAS 19 Employee Costs</t>
        </is>
      </c>
    </row>
    <row r="16">
      <c r="A16" s="29" t="inlineStr">
        <is>
          <t>Note 5</t>
        </is>
      </c>
      <c r="B16" s="6" t="inlineStr">
        <is>
          <t>Administrative &amp; Operating Expenses</t>
        </is>
      </c>
      <c r="C16" s="6" t="inlineStr">
        <is>
          <t>Site Office Rent &amp; Facility Maintenance</t>
        </is>
      </c>
      <c r="D16" s="21" t="n">
        <v>950000</v>
      </c>
      <c r="E16" s="21" t="n">
        <v>450000</v>
      </c>
      <c r="F16" s="49" t="inlineStr">
        <is>
          <t>Operating Overheads</t>
        </is>
      </c>
    </row>
    <row r="17">
      <c r="A17" s="30" t="inlineStr">
        <is>
          <t>Note 5</t>
        </is>
      </c>
      <c r="B17" s="9" t="inlineStr">
        <is>
          <t>Administrative &amp; Operating Expenses</t>
        </is>
      </c>
      <c r="C17" s="9" t="inlineStr">
        <is>
          <t>Professional, Legal &amp; Regulatory Compliance Fees</t>
        </is>
      </c>
      <c r="D17" s="22" t="n">
        <v>650000</v>
      </c>
      <c r="E17" s="22" t="n">
        <v>300000</v>
      </c>
      <c r="F17" s="48" t="inlineStr">
        <is>
          <t>Professional Services</t>
        </is>
      </c>
    </row>
    <row r="18">
      <c r="A18" s="29" t="inlineStr">
        <is>
          <t>Note 5</t>
        </is>
      </c>
      <c r="B18" s="6" t="inlineStr">
        <is>
          <t>Administrative &amp; Operating Expenses</t>
        </is>
      </c>
      <c r="C18" s="6" t="inlineStr">
        <is>
          <t>Statutory Audit &amp; Tax Advisory Fees</t>
        </is>
      </c>
      <c r="D18" s="21" t="n">
        <v>350000</v>
      </c>
      <c r="E18" s="21" t="n">
        <v>50000</v>
      </c>
      <c r="F18" s="49" t="inlineStr">
        <is>
          <t>Audit Fees Accrual</t>
        </is>
      </c>
    </row>
    <row r="19">
      <c r="A19" s="30" t="inlineStr">
        <is>
          <t>Note 5</t>
        </is>
      </c>
      <c r="B19" s="9" t="inlineStr">
        <is>
          <t>Administrative &amp; Operating Expenses</t>
        </is>
      </c>
      <c r="C19" s="9" t="inlineStr">
        <is>
          <t>Bank Charges, Commission on Turnover &amp; Electronic Levies</t>
        </is>
      </c>
      <c r="D19" s="22" t="n">
        <v>285000</v>
      </c>
      <c r="E19" s="22" t="n">
        <v>85000</v>
      </c>
      <c r="F19" s="48" t="inlineStr">
        <is>
          <t>Financial Services</t>
        </is>
      </c>
    </row>
    <row r="20">
      <c r="A20" s="29" t="inlineStr">
        <is>
          <t>Note 5</t>
        </is>
      </c>
      <c r="B20" s="6" t="inlineStr">
        <is>
          <t>Administrative &amp; Operating Expenses</t>
        </is>
      </c>
      <c r="C20" s="6" t="inlineStr">
        <is>
          <t>Motor Vehicle Fuel, Maintenance &amp; Site Logistics</t>
        </is>
      </c>
      <c r="D20" s="21" t="n">
        <v>420000</v>
      </c>
      <c r="E20" s="21" t="n">
        <v>180000</v>
      </c>
      <c r="F20" s="49" t="inlineStr">
        <is>
          <t>Transport &amp; Travel</t>
        </is>
      </c>
    </row>
    <row r="21">
      <c r="A21" s="30" t="inlineStr">
        <is>
          <t>Note 5</t>
        </is>
      </c>
      <c r="B21" s="9" t="inlineStr">
        <is>
          <t>Administrative &amp; Operating Expenses</t>
        </is>
      </c>
      <c r="C21" s="9" t="inlineStr">
        <is>
          <t>Depreciation of Property, Plant &amp; Equipment</t>
        </is>
      </c>
      <c r="D21" s="22" t="n">
        <v>385000</v>
      </c>
      <c r="E21" s="22" t="n">
        <v>4770</v>
      </c>
      <c r="F21" s="48" t="inlineStr">
        <is>
          <t>IAS 16 Depreciation</t>
        </is>
      </c>
    </row>
    <row r="22">
      <c r="A22" s="29" t="inlineStr">
        <is>
          <t>Note 5</t>
        </is>
      </c>
      <c r="B22" s="6" t="inlineStr">
        <is>
          <t>Administrative &amp; Operating Expenses</t>
        </is>
      </c>
      <c r="C22" s="6" t="inlineStr">
        <is>
          <t>IFRS 9 Expected Credit Loss Allowance on Receivables</t>
        </is>
      </c>
      <c r="D22" s="21" t="n">
        <v>185000</v>
      </c>
      <c r="E22" s="21" t="n">
        <v>0</v>
      </c>
      <c r="F22" s="49" t="inlineStr">
        <is>
          <t>IFRS 9 Impairment</t>
        </is>
      </c>
    </row>
    <row r="23">
      <c r="A23" s="30" t="inlineStr">
        <is>
          <t>Note 5</t>
        </is>
      </c>
      <c r="B23" s="9" t="inlineStr">
        <is>
          <t>Administrative &amp; Operating Expenses</t>
        </is>
      </c>
      <c r="C23" s="9" t="inlineStr">
        <is>
          <t>General Office Administration, Security &amp; Utilities</t>
        </is>
      </c>
      <c r="D23" s="22" t="n">
        <v>400000</v>
      </c>
      <c r="E23" s="22" t="n">
        <v>318522</v>
      </c>
      <c r="F23" s="48" t="inlineStr">
        <is>
          <t>General Administration</t>
        </is>
      </c>
    </row>
    <row r="24">
      <c r="A24" s="47" t="inlineStr">
        <is>
          <t>Note 5</t>
        </is>
      </c>
      <c r="B24" s="23" t="inlineStr">
        <is>
          <t>TOTAL ADMINISTRATIVE EXPENSES</t>
        </is>
      </c>
      <c r="C24" s="23" t="inlineStr">
        <is>
          <t>Operating Overheads</t>
        </is>
      </c>
      <c r="D24" s="24">
        <f>SUM(D15:D23)</f>
        <v/>
      </c>
      <c r="E24" s="24">
        <f>SUM(E15:E23)</f>
        <v/>
      </c>
      <c r="F24" s="26" t="inlineStr">
        <is>
          <t>TIED TO SPLOCI</t>
        </is>
      </c>
    </row>
    <row r="25">
      <c r="A25" s="30" t="inlineStr">
        <is>
          <t>Note 6</t>
        </is>
      </c>
      <c r="B25" s="9" t="inlineStr">
        <is>
          <t>Finance Costs</t>
        </is>
      </c>
      <c r="C25" s="9" t="inlineStr">
        <is>
          <t>Interest Expense on Bank Project Facility</t>
        </is>
      </c>
      <c r="D25" s="22" t="n">
        <v>125000</v>
      </c>
      <c r="E25" s="22" t="n">
        <v>0</v>
      </c>
      <c r="F25" s="48" t="inlineStr">
        <is>
          <t>IAS 23 Borrowing Costs</t>
        </is>
      </c>
    </row>
    <row r="26">
      <c r="A26" s="47" t="inlineStr">
        <is>
          <t>Note 6</t>
        </is>
      </c>
      <c r="B26" s="23" t="inlineStr">
        <is>
          <t>TOTAL FINANCE COSTS</t>
        </is>
      </c>
      <c r="C26" s="23" t="inlineStr">
        <is>
          <t>Net Finance Expense</t>
        </is>
      </c>
      <c r="D26" s="24">
        <f>D25</f>
        <v/>
      </c>
      <c r="E26" s="24">
        <f>E25</f>
        <v/>
      </c>
      <c r="F26" s="26" t="inlineStr">
        <is>
          <t>TIED TO SPLOCI</t>
        </is>
      </c>
    </row>
    <row r="27">
      <c r="A27" s="30" t="inlineStr">
        <is>
          <t>Note 7</t>
        </is>
      </c>
      <c r="B27" s="9" t="inlineStr">
        <is>
          <t>Property, Plant and Equipment</t>
        </is>
      </c>
      <c r="C27" s="9" t="inlineStr">
        <is>
          <t>Office &amp; Site Equipment Net Book Value</t>
        </is>
      </c>
      <c r="D27" s="22" t="n">
        <v>1424540</v>
      </c>
      <c r="E27" s="22" t="n">
        <v>9540</v>
      </c>
      <c r="F27" s="48" t="inlineStr">
        <is>
          <t>IAS 16 Carrying Amount</t>
        </is>
      </c>
    </row>
    <row r="28">
      <c r="A28" s="47" t="inlineStr">
        <is>
          <t>Note 7</t>
        </is>
      </c>
      <c r="B28" s="23" t="inlineStr">
        <is>
          <t>TOTAL PROPERTY, PLANT AND EQUIPMENT</t>
        </is>
      </c>
      <c r="C28" s="23" t="inlineStr">
        <is>
          <t>Gross Cost ₦1,823,850 less Acc Dep ₦399,310</t>
        </is>
      </c>
      <c r="D28" s="24">
        <f>D27</f>
        <v/>
      </c>
      <c r="E28" s="24">
        <f>E27</f>
        <v/>
      </c>
      <c r="F28" s="26" t="inlineStr">
        <is>
          <t>TIED TO SFP</t>
        </is>
      </c>
    </row>
    <row r="29">
      <c r="A29" s="30" t="inlineStr">
        <is>
          <t>Note 8</t>
        </is>
      </c>
      <c r="B29" s="9" t="inlineStr">
        <is>
          <t>Inventories</t>
        </is>
      </c>
      <c r="C29" s="9" t="inlineStr">
        <is>
          <t>Land Held for Resale (Epe Scheme 1)</t>
        </is>
      </c>
      <c r="D29" s="22" t="n">
        <v>5400000</v>
      </c>
      <c r="E29" s="22" t="n">
        <v>0</v>
      </c>
      <c r="F29" s="48" t="inlineStr">
        <is>
          <t>IAS 2 Lower of Cost/NRV</t>
        </is>
      </c>
    </row>
    <row r="30">
      <c r="A30" s="29" t="inlineStr">
        <is>
          <t>Note 8</t>
        </is>
      </c>
      <c r="B30" s="6" t="inlineStr">
        <is>
          <t>Inventories</t>
        </is>
      </c>
      <c r="C30" s="6" t="inlineStr">
        <is>
          <t>Construction Work-in-Progress (Lekki Phase 1)</t>
        </is>
      </c>
      <c r="D30" s="21" t="n">
        <v>3250000</v>
      </c>
      <c r="E30" s="21" t="n">
        <v>0</v>
      </c>
      <c r="F30" s="49" t="inlineStr">
        <is>
          <t>IAS 2 Lower of Cost/NRV</t>
        </is>
      </c>
    </row>
    <row r="31">
      <c r="A31" s="47" t="inlineStr">
        <is>
          <t>Note 8</t>
        </is>
      </c>
      <c r="B31" s="23" t="inlineStr">
        <is>
          <t>TOTAL INVENTORIES</t>
        </is>
      </c>
      <c r="C31" s="23" t="inlineStr">
        <is>
          <t>Development Land &amp; WIP</t>
        </is>
      </c>
      <c r="D31" s="24">
        <f>SUM(D29:D30)</f>
        <v/>
      </c>
      <c r="E31" s="24">
        <f>SUM(E29:E30)</f>
        <v/>
      </c>
      <c r="F31" s="26" t="inlineStr">
        <is>
          <t>TIED TO SFP</t>
        </is>
      </c>
    </row>
    <row r="32">
      <c r="A32" s="29" t="inlineStr">
        <is>
          <t>Note 9</t>
        </is>
      </c>
      <c r="B32" s="6" t="inlineStr">
        <is>
          <t>Contract Assets</t>
        </is>
      </c>
      <c r="C32" s="6" t="inlineStr">
        <is>
          <t>Unbilled Certified Construction Revenue</t>
        </is>
      </c>
      <c r="D32" s="21" t="n">
        <v>2400000</v>
      </c>
      <c r="E32" s="21" t="n">
        <v>0</v>
      </c>
      <c r="F32" s="49" t="inlineStr">
        <is>
          <t>IFRS 15 Unbilled Asset</t>
        </is>
      </c>
    </row>
    <row r="33">
      <c r="A33" s="47" t="inlineStr">
        <is>
          <t>Note 9</t>
        </is>
      </c>
      <c r="B33" s="23" t="inlineStr">
        <is>
          <t>TOTAL CONTRACT ASSETS</t>
        </is>
      </c>
      <c r="C33" s="23" t="inlineStr">
        <is>
          <t>Net Contract Assets</t>
        </is>
      </c>
      <c r="D33" s="24">
        <f>D32</f>
        <v/>
      </c>
      <c r="E33" s="24">
        <f>E32</f>
        <v/>
      </c>
      <c r="F33" s="26" t="inlineStr">
        <is>
          <t>TIED TO SFP</t>
        </is>
      </c>
    </row>
    <row r="34">
      <c r="A34" s="29" t="inlineStr">
        <is>
          <t>Note 10</t>
        </is>
      </c>
      <c r="B34" s="6" t="inlineStr">
        <is>
          <t>Trade and Other Receivables</t>
        </is>
      </c>
      <c r="C34" s="6" t="inlineStr">
        <is>
          <t>Gross Trade Receivables from Construction &amp; Land Clients</t>
        </is>
      </c>
      <c r="D34" s="21" t="n">
        <v>3650000</v>
      </c>
      <c r="E34" s="21" t="n">
        <v>2850000</v>
      </c>
      <c r="F34" s="49" t="inlineStr">
        <is>
          <t>Amortized Cost</t>
        </is>
      </c>
    </row>
    <row r="35">
      <c r="A35" s="30" t="inlineStr">
        <is>
          <t>Note 10</t>
        </is>
      </c>
      <c r="B35" s="9" t="inlineStr">
        <is>
          <t>Trade and Other Receivables</t>
        </is>
      </c>
      <c r="C35" s="9" t="inlineStr">
        <is>
          <t>Less: Allowance for Expected Credit Losses (IFRS 9)</t>
        </is>
      </c>
      <c r="D35" s="22" t="n">
        <v>-185000</v>
      </c>
      <c r="E35" s="22" t="n">
        <v>0</v>
      </c>
      <c r="F35" s="48" t="inlineStr">
        <is>
          <t>IFRS 9 ECL Provision</t>
        </is>
      </c>
    </row>
    <row r="36">
      <c r="A36" s="29" t="inlineStr">
        <is>
          <t>Note 10</t>
        </is>
      </c>
      <c r="B36" s="6" t="inlineStr">
        <is>
          <t>Trade and Other Receivables</t>
        </is>
      </c>
      <c r="C36" s="6" t="inlineStr">
        <is>
          <t>Withholding Tax (WHT) Credit Notes Receivable</t>
        </is>
      </c>
      <c r="D36" s="21" t="n">
        <v>1100000</v>
      </c>
      <c r="E36" s="21" t="n">
        <v>0</v>
      </c>
      <c r="F36" s="49" t="inlineStr">
        <is>
          <t>FIRS Credit Notes</t>
        </is>
      </c>
    </row>
    <row r="37">
      <c r="A37" s="30" t="inlineStr">
        <is>
          <t>Note 10</t>
        </is>
      </c>
      <c r="B37" s="9" t="inlineStr">
        <is>
          <t>Trade and Other Receivables</t>
        </is>
      </c>
      <c r="C37" s="9" t="inlineStr">
        <is>
          <t>Prepayments &amp; Site Advances to Suppliers</t>
        </is>
      </c>
      <c r="D37" s="22" t="n">
        <v>450000</v>
      </c>
      <c r="E37" s="22" t="n">
        <v>524668</v>
      </c>
      <c r="F37" s="48" t="inlineStr">
        <is>
          <t>Operating Prepayments</t>
        </is>
      </c>
    </row>
    <row r="38">
      <c r="A38" s="47" t="inlineStr">
        <is>
          <t>Note 10</t>
        </is>
      </c>
      <c r="B38" s="23" t="inlineStr">
        <is>
          <t>TOTAL TRADE AND OTHER RECEIVABLES</t>
        </is>
      </c>
      <c r="C38" s="23" t="inlineStr">
        <is>
          <t>Net Trade &amp; Other Receivables</t>
        </is>
      </c>
      <c r="D38" s="24">
        <f>SUM(D34:D37)</f>
        <v/>
      </c>
      <c r="E38" s="24">
        <f>SUM(E34:E37)</f>
        <v/>
      </c>
      <c r="F38" s="26" t="inlineStr">
        <is>
          <t>TIED TO SFP</t>
        </is>
      </c>
    </row>
    <row r="39">
      <c r="A39" s="30" t="inlineStr">
        <is>
          <t>Note 11</t>
        </is>
      </c>
      <c r="B39" s="9" t="inlineStr">
        <is>
          <t>Cash and Cash Equivalents</t>
        </is>
      </c>
      <c r="C39" s="9" t="inlineStr">
        <is>
          <t>Providus Bank Plc (A/C 5400281942)</t>
        </is>
      </c>
      <c r="D39" s="22" t="n">
        <v>2215820</v>
      </c>
      <c r="E39" s="22" t="n">
        <v>52500</v>
      </c>
      <c r="F39" s="48" t="inlineStr">
        <is>
          <t>Primary Operating A/C</t>
        </is>
      </c>
    </row>
    <row r="40">
      <c r="A40" s="29" t="inlineStr">
        <is>
          <t>Note 11</t>
        </is>
      </c>
      <c r="B40" s="6" t="inlineStr">
        <is>
          <t>Cash and Cash Equivalents</t>
        </is>
      </c>
      <c r="C40" s="6" t="inlineStr">
        <is>
          <t>First Bank of Nigeria Limited (A/C 2034891102)</t>
        </is>
      </c>
      <c r="D40" s="21" t="n">
        <v>512410</v>
      </c>
      <c r="E40" s="21" t="n">
        <v>0</v>
      </c>
      <c r="F40" s="49" t="inlineStr">
        <is>
          <t>Site Collection A/C</t>
        </is>
      </c>
    </row>
    <row r="41">
      <c r="A41" s="30" t="inlineStr">
        <is>
          <t>Note 11</t>
        </is>
      </c>
      <c r="B41" s="9" t="inlineStr">
        <is>
          <t>Cash and Cash Equivalents</t>
        </is>
      </c>
      <c r="C41" s="9" t="inlineStr">
        <is>
          <t>Sterling Bank Plc (A/C 0078451290)</t>
        </is>
      </c>
      <c r="D41" s="22" t="n">
        <v>114173</v>
      </c>
      <c r="E41" s="22" t="n">
        <v>0</v>
      </c>
      <c r="F41" s="48" t="inlineStr">
        <is>
          <t>Disbursement A/C</t>
        </is>
      </c>
    </row>
    <row r="42">
      <c r="A42" s="47" t="inlineStr">
        <is>
          <t>Note 11</t>
        </is>
      </c>
      <c r="B42" s="23" t="inlineStr">
        <is>
          <t>TOTAL CASH AND CASH EQUIVALENTS</t>
        </is>
      </c>
      <c r="C42" s="23" t="inlineStr">
        <is>
          <t>Reconciled Cash Balances</t>
        </is>
      </c>
      <c r="D42" s="24">
        <f>SUM(D39:D41)</f>
        <v/>
      </c>
      <c r="E42" s="24">
        <f>SUM(E39:E41)</f>
        <v/>
      </c>
      <c r="F42" s="26" t="inlineStr">
        <is>
          <t>TIED TO SFP</t>
        </is>
      </c>
    </row>
    <row r="43">
      <c r="A43" s="30" t="inlineStr">
        <is>
          <t>Note 13</t>
        </is>
      </c>
      <c r="B43" s="9" t="inlineStr">
        <is>
          <t>Contract Liabilities</t>
        </is>
      </c>
      <c r="C43" s="9" t="inlineStr">
        <is>
          <t>Customer Mobilization Advances &amp; Off-Plan Deposits</t>
        </is>
      </c>
      <c r="D43" s="22" t="n">
        <v>2400000</v>
      </c>
      <c r="E43" s="22" t="n">
        <v>0</v>
      </c>
      <c r="F43" s="48" t="inlineStr">
        <is>
          <t>IFRS 15 Advances</t>
        </is>
      </c>
    </row>
    <row r="44">
      <c r="A44" s="47" t="inlineStr">
        <is>
          <t>Note 13</t>
        </is>
      </c>
      <c r="B44" s="23" t="inlineStr">
        <is>
          <t>TOTAL CONTRACT LIABILITIES</t>
        </is>
      </c>
      <c r="C44" s="23" t="inlineStr">
        <is>
          <t>Performance Obligations Due</t>
        </is>
      </c>
      <c r="D44" s="24">
        <f>D43</f>
        <v/>
      </c>
      <c r="E44" s="24">
        <f>E43</f>
        <v/>
      </c>
      <c r="F44" s="26" t="inlineStr">
        <is>
          <t>TIED TO SFP</t>
        </is>
      </c>
    </row>
    <row r="45">
      <c r="A45" s="30" t="inlineStr">
        <is>
          <t>Note 14</t>
        </is>
      </c>
      <c r="B45" s="9" t="inlineStr">
        <is>
          <t>Trade and Other Payables</t>
        </is>
      </c>
      <c r="C45" s="9" t="inlineStr">
        <is>
          <t>Trade Payables - Subcontractors &amp; Materials</t>
        </is>
      </c>
      <c r="D45" s="22" t="n">
        <v>2150000</v>
      </c>
      <c r="E45" s="22" t="n">
        <v>25000</v>
      </c>
      <c r="F45" s="48" t="inlineStr">
        <is>
          <t>Trade Creditors</t>
        </is>
      </c>
    </row>
    <row r="46">
      <c r="A46" s="29" t="inlineStr">
        <is>
          <t>Note 14</t>
        </is>
      </c>
      <c r="B46" s="6" t="inlineStr">
        <is>
          <t>Trade and Other Payables</t>
        </is>
      </c>
      <c r="C46" s="6" t="inlineStr">
        <is>
          <t>Accrued Statutory Audit &amp; Professional Fees</t>
        </is>
      </c>
      <c r="D46" s="21" t="n">
        <v>375000</v>
      </c>
      <c r="E46" s="21" t="n">
        <v>50000</v>
      </c>
      <c r="F46" s="49" t="inlineStr">
        <is>
          <t>Audit Accrual</t>
        </is>
      </c>
    </row>
    <row r="47">
      <c r="A47" s="30" t="inlineStr">
        <is>
          <t>Note 14</t>
        </is>
      </c>
      <c r="B47" s="9" t="inlineStr">
        <is>
          <t>Trade and Other Payables</t>
        </is>
      </c>
      <c r="C47" s="9" t="inlineStr">
        <is>
          <t>Other Accrued Operating Expenses &amp; Sundry Creditors</t>
        </is>
      </c>
      <c r="D47" s="22" t="n">
        <v>245235</v>
      </c>
      <c r="E47" s="22" t="n">
        <v>0</v>
      </c>
      <c r="F47" s="48" t="inlineStr">
        <is>
          <t>Sundry Accruals</t>
        </is>
      </c>
    </row>
    <row r="48">
      <c r="A48" s="47" t="inlineStr">
        <is>
          <t>Note 14</t>
        </is>
      </c>
      <c r="B48" s="23" t="inlineStr">
        <is>
          <t>TOTAL TRADE AND OTHER PAYABLES</t>
        </is>
      </c>
      <c r="C48" s="23" t="inlineStr">
        <is>
          <t>Current Operating Liabilities</t>
        </is>
      </c>
      <c r="D48" s="24">
        <f>SUM(D45:D47)</f>
        <v/>
      </c>
      <c r="E48" s="24">
        <f>SUM(E45:E47)</f>
        <v/>
      </c>
      <c r="F48" s="26" t="inlineStr">
        <is>
          <t>TIED TO SFP</t>
        </is>
      </c>
    </row>
    <row r="49">
      <c r="A49" s="30" t="inlineStr">
        <is>
          <t>Note 15</t>
        </is>
      </c>
      <c r="B49" s="9" t="inlineStr">
        <is>
          <t>Deferred Taxation</t>
        </is>
      </c>
      <c r="C49" s="9" t="inlineStr">
        <is>
          <t>Deferred Tax Asset / (Liability) Closing Balance</t>
        </is>
      </c>
      <c r="D49" s="22" t="n">
        <v>32000</v>
      </c>
      <c r="E49" s="22" t="n">
        <v>0</v>
      </c>
      <c r="F49" s="48" t="inlineStr">
        <is>
          <t>IAS 12 Net Asset</t>
        </is>
      </c>
    </row>
    <row r="50">
      <c r="A50" s="47" t="inlineStr">
        <is>
          <t>Note 15</t>
        </is>
      </c>
      <c r="B50" s="23" t="inlineStr">
        <is>
          <t>TOTAL DEFERRED TAXATION</t>
        </is>
      </c>
      <c r="C50" s="23" t="inlineStr">
        <is>
          <t>Recognized in Statement of Financial Position</t>
        </is>
      </c>
      <c r="D50" s="24">
        <f>D49</f>
        <v/>
      </c>
      <c r="E50" s="24">
        <f>E49</f>
        <v/>
      </c>
      <c r="F50" s="26" t="inlineStr">
        <is>
          <t>TIED TO SFP</t>
        </is>
      </c>
    </row>
    <row r="51">
      <c r="A51" s="30" t="inlineStr">
        <is>
          <t>Note 16</t>
        </is>
      </c>
      <c r="B51" s="9" t="inlineStr">
        <is>
          <t>Current Taxation</t>
        </is>
      </c>
      <c r="C51" s="9" t="inlineStr">
        <is>
          <t>Companies Income Tax (CIT) Provision</t>
        </is>
      </c>
      <c r="D51" s="22" t="n">
        <v>1492000</v>
      </c>
      <c r="E51" s="22" t="n">
        <v>0</v>
      </c>
      <c r="F51" s="48" t="inlineStr">
        <is>
          <t>20% CIT Medium Co</t>
        </is>
      </c>
    </row>
    <row r="52">
      <c r="A52" s="29" t="inlineStr">
        <is>
          <t>Note 16</t>
        </is>
      </c>
      <c r="B52" s="6" t="inlineStr">
        <is>
          <t>Current Taxation</t>
        </is>
      </c>
      <c r="C52" s="6" t="inlineStr">
        <is>
          <t>Tertiary Education Tax (TET) Provision</t>
        </is>
      </c>
      <c r="D52" s="21" t="n">
        <v>239400</v>
      </c>
      <c r="E52" s="21" t="n">
        <v>0</v>
      </c>
      <c r="F52" s="49" t="inlineStr">
        <is>
          <t>3% TETFA Rate</t>
        </is>
      </c>
    </row>
    <row r="53">
      <c r="A53" s="30" t="inlineStr">
        <is>
          <t>Note 16</t>
        </is>
      </c>
      <c r="B53" s="9" t="inlineStr">
        <is>
          <t>Current Taxation</t>
        </is>
      </c>
      <c r="C53" s="9" t="inlineStr">
        <is>
          <t>Police Trust Fund (PTF) Levy Provision</t>
        </is>
      </c>
      <c r="D53" s="22" t="n">
        <v>365</v>
      </c>
      <c r="E53" s="22" t="n">
        <v>0</v>
      </c>
      <c r="F53" s="48" t="inlineStr">
        <is>
          <t>0.005% of PBT</t>
        </is>
      </c>
    </row>
    <row r="54">
      <c r="A54" s="47" t="inlineStr">
        <is>
          <t>Note 16</t>
        </is>
      </c>
      <c r="B54" s="23" t="inlineStr">
        <is>
          <t>TOTAL CURRENT TAX LIABILITIES</t>
        </is>
      </c>
      <c r="C54" s="23" t="inlineStr">
        <is>
          <t>Statutory Current Tax Payable</t>
        </is>
      </c>
      <c r="D54" s="24">
        <f>SUM(D51:D53)</f>
        <v/>
      </c>
      <c r="E54" s="24">
        <f>SUM(E51:E53)</f>
        <v/>
      </c>
      <c r="F54" s="26" t="inlineStr">
        <is>
          <t>TIED TO SFP</t>
        </is>
      </c>
    </row>
    <row r="55">
      <c r="A55" s="30" t="inlineStr">
        <is>
          <t>Note 17</t>
        </is>
      </c>
      <c r="B55" s="9" t="inlineStr">
        <is>
          <t>Borrowings &amp; Director's Loans</t>
        </is>
      </c>
      <c r="C55" s="9" t="inlineStr">
        <is>
          <t>Director Project Loan (Adegoke Segun Babatunde)</t>
        </is>
      </c>
      <c r="D55" s="22" t="n">
        <v>4500000</v>
      </c>
      <c r="E55" s="22" t="n">
        <v>0</v>
      </c>
      <c r="F55" s="48" t="inlineStr">
        <is>
          <t>IAS 24 Related Party</t>
        </is>
      </c>
    </row>
    <row r="56">
      <c r="A56" s="47" t="inlineStr">
        <is>
          <t>Note 17</t>
        </is>
      </c>
      <c r="B56" s="23" t="inlineStr">
        <is>
          <t>TOTAL BORROWINGS</t>
        </is>
      </c>
      <c r="C56" s="23" t="inlineStr">
        <is>
          <t>Non-Current Project Funding</t>
        </is>
      </c>
      <c r="D56" s="24">
        <f>D55</f>
        <v/>
      </c>
      <c r="E56" s="24">
        <f>E55</f>
        <v/>
      </c>
      <c r="F56" s="26" t="inlineStr">
        <is>
          <t>TIED TO SFP</t>
        </is>
      </c>
    </row>
    <row r="57">
      <c r="A57" s="30" t="inlineStr">
        <is>
          <t>Note 18</t>
        </is>
      </c>
      <c r="B57" s="9" t="inlineStr">
        <is>
          <t>Share Capital</t>
        </is>
      </c>
      <c r="C57" s="9" t="inlineStr">
        <is>
          <t>1,000,000 Ordinary Shares of ₦1.00 each</t>
        </is>
      </c>
      <c r="D57" s="22" t="n">
        <v>1000000</v>
      </c>
      <c r="E57" s="22" t="n">
        <v>1000000</v>
      </c>
      <c r="F57" s="48" t="inlineStr">
        <is>
          <t>Authorized &amp; Issued</t>
        </is>
      </c>
    </row>
    <row r="58">
      <c r="A58" s="47" t="inlineStr">
        <is>
          <t>Note 18</t>
        </is>
      </c>
      <c r="B58" s="23" t="inlineStr">
        <is>
          <t>TOTAL SHARE CAPITAL</t>
        </is>
      </c>
      <c r="C58" s="23" t="inlineStr">
        <is>
          <t>Fully Issued and Paid Up</t>
        </is>
      </c>
      <c r="D58" s="24">
        <f>D57</f>
        <v/>
      </c>
      <c r="E58" s="24">
        <f>E57</f>
        <v/>
      </c>
      <c r="F58" s="26" t="inlineStr">
        <is>
          <t>TIED TO SFP</t>
        </is>
      </c>
    </row>
    <row r="59">
      <c r="A59" s="30" t="inlineStr">
        <is>
          <t>Note 19</t>
        </is>
      </c>
      <c r="B59" s="9" t="inlineStr">
        <is>
          <t>Retained Earnings</t>
        </is>
      </c>
      <c r="C59" s="9" t="inlineStr">
        <is>
          <t>Cumulative Retained Earnings Carried Forward</t>
        </is>
      </c>
      <c r="D59" s="22" t="n">
        <v>7961943</v>
      </c>
      <c r="E59" s="22" t="n">
        <v>2361708</v>
      </c>
      <c r="F59" s="48" t="inlineStr">
        <is>
          <t>SOCE Roll-Forward</t>
        </is>
      </c>
    </row>
    <row r="60">
      <c r="A60" s="47" t="inlineStr">
        <is>
          <t>Note 19</t>
        </is>
      </c>
      <c r="B60" s="23" t="inlineStr">
        <is>
          <t>TOTAL RETAINED EARNINGS</t>
        </is>
      </c>
      <c r="C60" s="23" t="inlineStr">
        <is>
          <t>Accumulated Earnings</t>
        </is>
      </c>
      <c r="D60" s="24">
        <f>D59</f>
        <v/>
      </c>
      <c r="E60" s="24">
        <f>E59</f>
        <v/>
      </c>
      <c r="F60" s="26" t="inlineStr">
        <is>
          <t>TIED TO SFP</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76"/>
  <sheetViews>
    <sheetView showGridLines="1" workbookViewId="0">
      <pane ySplit="4" topLeftCell="A5" activePane="bottomLeft" state="frozen"/>
      <selection pane="bottomLeft" activeCell="A1" sqref="A1"/>
    </sheetView>
  </sheetViews>
  <sheetFormatPr baseColWidth="8" defaultRowHeight="15"/>
  <cols>
    <col width="100" customWidth="1" min="1" max="1"/>
    <col width="11" customWidth="1" min="2" max="2"/>
    <col width="31" customWidth="1" min="3" max="3"/>
    <col width="31" customWidth="1" min="4" max="4"/>
    <col width="39" customWidth="1" min="5" max="5"/>
  </cols>
  <sheetData>
    <row r="1">
      <c r="A1" s="1" t="inlineStr">
        <is>
          <t>BAAY PROJECTS LIMITED (RC 1526224)</t>
        </is>
      </c>
    </row>
    <row r="2">
      <c r="A2" s="2" t="inlineStr">
        <is>
          <t>ANNUAL FINANCIAL STATEMENTS FOR THE YEAR ENDED 31 DECEMBER 2024</t>
        </is>
      </c>
    </row>
    <row r="3">
      <c r="A3" s="3" t="inlineStr">
        <is>
          <t>(With Comparative Figures for the Year Ended 31 December 2023 — Stated in Nigerian Naira ₦)</t>
        </is>
      </c>
    </row>
    <row r="4"/>
    <row r="5">
      <c r="A5" s="2" t="inlineStr">
        <is>
          <t>1. STATEMENT OF FINANCIAL POSITION AS AT 31 DECEMBER 2024</t>
        </is>
      </c>
    </row>
    <row r="6">
      <c r="A6" s="4" t="inlineStr">
        <is>
          <t>Financial Statement Line Item</t>
        </is>
      </c>
      <c r="B6" s="4" t="inlineStr">
        <is>
          <t>Notes</t>
        </is>
      </c>
      <c r="C6" s="4" t="inlineStr">
        <is>
          <t>31 Dec 2024 (NGN)</t>
        </is>
      </c>
      <c r="D6" s="4" t="inlineStr">
        <is>
          <t>31 Dec 2023 (NGN)</t>
        </is>
      </c>
      <c r="E6" s="4" t="inlineStr">
        <is>
          <t>Audit / IFRS Status</t>
        </is>
      </c>
    </row>
    <row r="7">
      <c r="A7" s="8" t="inlineStr">
        <is>
          <t>NON-CURRENT ASSETS</t>
        </is>
      </c>
      <c r="B7" s="50" t="n"/>
      <c r="C7" s="50" t="n"/>
      <c r="D7" s="50" t="n"/>
      <c r="E7" s="50" t="n"/>
    </row>
    <row r="8">
      <c r="A8" s="6" t="inlineStr">
        <is>
          <t>Property, plant and equipment</t>
        </is>
      </c>
      <c r="B8" s="13" t="inlineStr">
        <is>
          <t>Note 7</t>
        </is>
      </c>
      <c r="C8" s="21" t="n">
        <v>3409540</v>
      </c>
      <c r="D8" s="21" t="n">
        <v>1424540</v>
      </c>
      <c r="E8" s="49" t="inlineStr">
        <is>
          <t>IAS 16 Carrying Amount</t>
        </is>
      </c>
    </row>
    <row r="9">
      <c r="A9" s="6" t="inlineStr">
        <is>
          <t>Deferred tax asset</t>
        </is>
      </c>
      <c r="B9" s="13" t="inlineStr">
        <is>
          <t>Note 15</t>
        </is>
      </c>
      <c r="C9" s="21" t="n">
        <v>0</v>
      </c>
      <c r="D9" s="21" t="n">
        <v>32000</v>
      </c>
      <c r="E9" s="49" t="inlineStr">
        <is>
          <t>IAS 12 Temporary Differences</t>
        </is>
      </c>
    </row>
    <row r="10">
      <c r="A10" s="51" t="inlineStr">
        <is>
          <t>TOTAL NON-CURRENT ASSETS</t>
        </is>
      </c>
      <c r="B10" s="52" t="n"/>
      <c r="C10" s="53">
        <f>SUM(C8:C9)</f>
        <v/>
      </c>
      <c r="D10" s="53">
        <f>SUM(D8:D9)</f>
        <v/>
      </c>
      <c r="E10" s="54" t="inlineStr">
        <is>
          <t>TIED OUT</t>
        </is>
      </c>
    </row>
    <row r="11">
      <c r="A11" s="8" t="inlineStr">
        <is>
          <t>CURRENT ASSETS</t>
        </is>
      </c>
      <c r="B11" s="50" t="n"/>
      <c r="C11" s="50" t="n"/>
      <c r="D11" s="50" t="n"/>
      <c r="E11" s="50" t="n"/>
    </row>
    <row r="12">
      <c r="A12" s="6" t="inlineStr">
        <is>
          <t>Inventories (Development land &amp; WIP)</t>
        </is>
      </c>
      <c r="B12" s="13" t="inlineStr">
        <is>
          <t>Note 8</t>
        </is>
      </c>
      <c r="C12" s="21" t="n">
        <v>13800000</v>
      </c>
      <c r="D12" s="21" t="n">
        <v>8650000</v>
      </c>
      <c r="E12" s="49" t="inlineStr">
        <is>
          <t>IAS 2 Cost / NRV</t>
        </is>
      </c>
    </row>
    <row r="13">
      <c r="A13" s="6" t="inlineStr">
        <is>
          <t>Contract assets</t>
        </is>
      </c>
      <c r="B13" s="13" t="inlineStr">
        <is>
          <t>Note 9</t>
        </is>
      </c>
      <c r="C13" s="21" t="n">
        <v>4150000</v>
      </c>
      <c r="D13" s="21" t="n">
        <v>2400000</v>
      </c>
      <c r="E13" s="49" t="inlineStr">
        <is>
          <t>IFRS 15 Unbilled Revenue</t>
        </is>
      </c>
    </row>
    <row r="14">
      <c r="A14" s="6" t="inlineStr">
        <is>
          <t>Trade and other receivables</t>
        </is>
      </c>
      <c r="B14" s="13" t="inlineStr">
        <is>
          <t>Note 10</t>
        </is>
      </c>
      <c r="C14" s="21" t="n">
        <v>8685000</v>
      </c>
      <c r="D14" s="21" t="n">
        <v>5015000</v>
      </c>
      <c r="E14" s="49" t="inlineStr">
        <is>
          <t>IFRS 9 Net of ECL</t>
        </is>
      </c>
    </row>
    <row r="15">
      <c r="A15" s="6" t="inlineStr">
        <is>
          <t>Cash and cash equivalents</t>
        </is>
      </c>
      <c r="B15" s="13" t="inlineStr">
        <is>
          <t>Note 11</t>
        </is>
      </c>
      <c r="C15" s="21" t="n">
        <v>5142678</v>
      </c>
      <c r="D15" s="21" t="n">
        <v>2842403</v>
      </c>
      <c r="E15" s="49" t="inlineStr">
        <is>
          <t>Reconciled Bank Balances</t>
        </is>
      </c>
    </row>
    <row r="16">
      <c r="A16" s="51" t="inlineStr">
        <is>
          <t>TOTAL CURRENT ASSETS</t>
        </is>
      </c>
      <c r="B16" s="52" t="n"/>
      <c r="C16" s="53">
        <f>SUM(C12:C15)</f>
        <v/>
      </c>
      <c r="D16" s="53">
        <f>SUM(D12:D15)</f>
        <v/>
      </c>
      <c r="E16" s="54" t="inlineStr">
        <is>
          <t>TIED OUT</t>
        </is>
      </c>
    </row>
    <row r="17">
      <c r="A17" s="23" t="inlineStr">
        <is>
          <t>TOTAL ASSETS</t>
        </is>
      </c>
      <c r="B17" s="31" t="n"/>
      <c r="C17" s="24">
        <f>C10+C16</f>
        <v/>
      </c>
      <c r="D17" s="24">
        <f>D10+D16</f>
        <v/>
      </c>
      <c r="E17" s="26" t="inlineStr">
        <is>
          <t>TIED OUT</t>
        </is>
      </c>
    </row>
    <row r="18">
      <c r="A18" s="8" t="inlineStr">
        <is>
          <t>EQUITY</t>
        </is>
      </c>
      <c r="B18" s="50" t="n"/>
      <c r="C18" s="50" t="n"/>
      <c r="D18" s="50" t="n"/>
      <c r="E18" s="50" t="n"/>
    </row>
    <row r="19">
      <c r="A19" s="6" t="inlineStr">
        <is>
          <t>Share capital</t>
        </is>
      </c>
      <c r="B19" s="13" t="inlineStr">
        <is>
          <t>Note 18</t>
        </is>
      </c>
      <c r="C19" s="21" t="n">
        <v>1000000</v>
      </c>
      <c r="D19" s="21" t="n">
        <v>1000000</v>
      </c>
      <c r="E19" s="49" t="inlineStr">
        <is>
          <t>1m Ordinary Shares @ ₦1</t>
        </is>
      </c>
    </row>
    <row r="20">
      <c r="A20" s="6" t="inlineStr">
        <is>
          <t>Retained earnings</t>
        </is>
      </c>
      <c r="B20" s="13" t="inlineStr">
        <is>
          <t>Note 19</t>
        </is>
      </c>
      <c r="C20" s="21" t="n">
        <v>17476718</v>
      </c>
      <c r="D20" s="21" t="n">
        <v>7961943</v>
      </c>
      <c r="E20" s="49" t="inlineStr">
        <is>
          <t>Cumulative Post-Tax Earnings</t>
        </is>
      </c>
    </row>
    <row r="21">
      <c r="A21" s="51" t="inlineStr">
        <is>
          <t>TOTAL EQUITY</t>
        </is>
      </c>
      <c r="B21" s="52" t="n"/>
      <c r="C21" s="53">
        <f>SUM(C19:C20)</f>
        <v/>
      </c>
      <c r="D21" s="53">
        <f>SUM(D19:D20)</f>
        <v/>
      </c>
      <c r="E21" s="54" t="inlineStr">
        <is>
          <t>TIED OUT</t>
        </is>
      </c>
    </row>
    <row r="22">
      <c r="A22" s="8" t="inlineStr">
        <is>
          <t>NON-CURRENT LIABILITIES</t>
        </is>
      </c>
      <c r="B22" s="50" t="n"/>
      <c r="C22" s="50" t="n"/>
      <c r="D22" s="50" t="n"/>
      <c r="E22" s="50" t="n"/>
    </row>
    <row r="23">
      <c r="A23" s="6" t="inlineStr">
        <is>
          <t>Borrowings &amp; director's loans</t>
        </is>
      </c>
      <c r="B23" s="13" t="inlineStr">
        <is>
          <t>Note 17</t>
        </is>
      </c>
      <c r="C23" s="21" t="n">
        <v>5800000</v>
      </c>
      <c r="D23" s="21" t="n">
        <v>4500000</v>
      </c>
      <c r="E23" s="49" t="inlineStr">
        <is>
          <t>IAS 24 Related Party</t>
        </is>
      </c>
    </row>
    <row r="24">
      <c r="A24" s="6" t="inlineStr">
        <is>
          <t>Deferred tax liability</t>
        </is>
      </c>
      <c r="B24" s="13" t="inlineStr">
        <is>
          <t>Note 15</t>
        </is>
      </c>
      <c r="C24" s="21" t="n">
        <v>16000</v>
      </c>
      <c r="D24" s="21" t="n">
        <v>0</v>
      </c>
      <c r="E24" s="49" t="inlineStr">
        <is>
          <t>IAS 12 Temporary Differences</t>
        </is>
      </c>
    </row>
    <row r="25">
      <c r="A25" s="51" t="inlineStr">
        <is>
          <t>TOTAL NON-CURRENT LIABILITIES</t>
        </is>
      </c>
      <c r="B25" s="52" t="n"/>
      <c r="C25" s="53">
        <f>SUM(C23:C24)</f>
        <v/>
      </c>
      <c r="D25" s="53">
        <f>SUM(D23:D24)</f>
        <v/>
      </c>
      <c r="E25" s="54" t="inlineStr">
        <is>
          <t>TIED OUT</t>
        </is>
      </c>
    </row>
    <row r="26">
      <c r="A26" s="8" t="inlineStr">
        <is>
          <t>CURRENT LIABILITIES</t>
        </is>
      </c>
      <c r="B26" s="50" t="n"/>
      <c r="C26" s="50" t="n"/>
      <c r="D26" s="50" t="n"/>
      <c r="E26" s="50" t="n"/>
    </row>
    <row r="27">
      <c r="A27" s="6" t="inlineStr">
        <is>
          <t>Trade and other payables</t>
        </is>
      </c>
      <c r="B27" s="13" t="inlineStr">
        <is>
          <t>Note 14</t>
        </is>
      </c>
      <c r="C27" s="21" t="n">
        <v>4825500</v>
      </c>
      <c r="D27" s="21" t="n">
        <v>2770235</v>
      </c>
      <c r="E27" s="49" t="inlineStr">
        <is>
          <t>Amortized Cost</t>
        </is>
      </c>
    </row>
    <row r="28">
      <c r="A28" s="6" t="inlineStr">
        <is>
          <t>Contract liabilities</t>
        </is>
      </c>
      <c r="B28" s="13" t="inlineStr">
        <is>
          <t>Note 13</t>
        </is>
      </c>
      <c r="C28" s="21" t="n">
        <v>3600000</v>
      </c>
      <c r="D28" s="21" t="n">
        <v>2400000</v>
      </c>
      <c r="E28" s="49" t="inlineStr">
        <is>
          <t>IFRS 15 Customer Advances</t>
        </is>
      </c>
    </row>
    <row r="29">
      <c r="A29" s="6" t="inlineStr">
        <is>
          <t>Current tax liabilities</t>
        </is>
      </c>
      <c r="B29" s="13" t="inlineStr">
        <is>
          <t>Note 16</t>
        </is>
      </c>
      <c r="C29" s="21" t="n">
        <v>2469000</v>
      </c>
      <c r="D29" s="21" t="n">
        <v>1731765</v>
      </c>
      <c r="E29" s="49" t="inlineStr">
        <is>
          <t>CITA / TETFA Statutory</t>
        </is>
      </c>
    </row>
    <row r="30">
      <c r="A30" s="51" t="inlineStr">
        <is>
          <t>TOTAL CURRENT LIABILITIES</t>
        </is>
      </c>
      <c r="B30" s="52" t="n"/>
      <c r="C30" s="53">
        <f>SUM(C27:C29)</f>
        <v/>
      </c>
      <c r="D30" s="53">
        <f>SUM(D27:D29)</f>
        <v/>
      </c>
      <c r="E30" s="54" t="inlineStr">
        <is>
          <t>TIED OUT</t>
        </is>
      </c>
    </row>
    <row r="31">
      <c r="A31" s="23" t="inlineStr">
        <is>
          <t>TOTAL LIABILITIES AND EQUITY</t>
        </is>
      </c>
      <c r="B31" s="31" t="n"/>
      <c r="C31" s="24">
        <f>C21+C25+C30</f>
        <v/>
      </c>
      <c r="D31" s="24">
        <f>D21+D25+D30</f>
        <v/>
      </c>
      <c r="E31" s="26" t="inlineStr">
        <is>
          <t>TIED TO TOTAL ASSETS</t>
        </is>
      </c>
    </row>
    <row r="32"/>
    <row r="33"/>
    <row r="34">
      <c r="A34" s="2" t="inlineStr">
        <is>
          <t>2. STATEMENT OF PROFIT OR LOSS AND OTHER COMPREHENSIVE INCOME FOR THE YEAR ENDED 31 DECEMBER 2024</t>
        </is>
      </c>
    </row>
    <row r="35">
      <c r="A35" s="4" t="inlineStr">
        <is>
          <t>Statement of Profit or Loss Line Item</t>
        </is>
      </c>
      <c r="B35" s="4" t="inlineStr">
        <is>
          <t>Notes</t>
        </is>
      </c>
      <c r="C35" s="4" t="inlineStr">
        <is>
          <t>Year Ended 31 Dec 2024 (NGN)</t>
        </is>
      </c>
      <c r="D35" s="4" t="inlineStr">
        <is>
          <t>Year Ended 31 Dec 2023 (NGN)</t>
        </is>
      </c>
      <c r="E35" s="4" t="inlineStr">
        <is>
          <t>IFRS Accounting Treatment</t>
        </is>
      </c>
    </row>
    <row r="36">
      <c r="A36" s="6" t="inlineStr">
        <is>
          <t>Revenue from contracts with customers</t>
        </is>
      </c>
      <c r="B36" s="13" t="inlineStr">
        <is>
          <t>Note 3</t>
        </is>
      </c>
      <c r="C36" s="21" t="n">
        <v>64200000</v>
      </c>
      <c r="D36" s="21" t="n">
        <v>38500000</v>
      </c>
      <c r="E36" s="7" t="inlineStr">
        <is>
          <t>IFRS 15 Recognized Revenue</t>
        </is>
      </c>
    </row>
    <row r="37">
      <c r="A37" s="9" t="inlineStr">
        <is>
          <t>Cost of sales</t>
        </is>
      </c>
      <c r="B37" s="11" t="inlineStr">
        <is>
          <t>Note 4</t>
        </is>
      </c>
      <c r="C37" s="22" t="n">
        <v>-41500000</v>
      </c>
      <c r="D37" s="22" t="n">
        <v>-24650000</v>
      </c>
      <c r="E37" s="10" t="inlineStr">
        <is>
          <t>IAS 2 Direct Project Costs</t>
        </is>
      </c>
    </row>
    <row r="38">
      <c r="A38" s="55" t="inlineStr">
        <is>
          <t>GROSS PROFIT</t>
        </is>
      </c>
      <c r="B38" s="56" t="n"/>
      <c r="C38" s="57">
        <f>SUM(C36:C37)</f>
        <v/>
      </c>
      <c r="D38" s="57">
        <f>SUM(D36:D37)</f>
        <v/>
      </c>
      <c r="E38" s="58" t="inlineStr">
        <is>
          <t>Gross Margin: 35.36%</t>
        </is>
      </c>
    </row>
    <row r="39">
      <c r="A39" s="9" t="inlineStr">
        <is>
          <t>Administrative and operating expenses</t>
        </is>
      </c>
      <c r="B39" s="11" t="inlineStr">
        <is>
          <t>Note 5</t>
        </is>
      </c>
      <c r="C39" s="22" t="n">
        <v>-9850000</v>
      </c>
      <c r="D39" s="22" t="n">
        <v>-6425000</v>
      </c>
      <c r="E39" s="10" t="inlineStr">
        <is>
          <t>IAS 1 Operating Overheads</t>
        </is>
      </c>
    </row>
    <row r="40">
      <c r="A40" s="55" t="inlineStr">
        <is>
          <t>OPERATING PROFIT (EBIT)</t>
        </is>
      </c>
      <c r="B40" s="56" t="n"/>
      <c r="C40" s="57">
        <f>C38+C39</f>
        <v/>
      </c>
      <c r="D40" s="57">
        <f>D38+D39</f>
        <v/>
      </c>
      <c r="E40" s="58" t="inlineStr">
        <is>
          <t>Operating Margin: 20.02%</t>
        </is>
      </c>
    </row>
    <row r="41">
      <c r="A41" s="9" t="inlineStr">
        <is>
          <t>Finance costs</t>
        </is>
      </c>
      <c r="B41" s="11" t="inlineStr">
        <is>
          <t>Note 6</t>
        </is>
      </c>
      <c r="C41" s="22" t="n">
        <v>-350000</v>
      </c>
      <c r="D41" s="22" t="n">
        <v>-125000</v>
      </c>
      <c r="E41" s="10" t="inlineStr">
        <is>
          <t>Bank Project Facility Interest</t>
        </is>
      </c>
    </row>
    <row r="42">
      <c r="A42" s="55" t="inlineStr">
        <is>
          <t>PROFIT BEFORE TAXATION</t>
        </is>
      </c>
      <c r="B42" s="56" t="n"/>
      <c r="C42" s="57">
        <f>C40+C41</f>
        <v/>
      </c>
      <c r="D42" s="57">
        <f>D40+D41</f>
        <v/>
      </c>
      <c r="E42" s="58" t="inlineStr">
        <is>
          <t>Taxable Accounting Profit</t>
        </is>
      </c>
    </row>
    <row r="43">
      <c r="A43" s="9" t="inlineStr">
        <is>
          <t>Income tax expense</t>
        </is>
      </c>
      <c r="B43" s="11" t="inlineStr">
        <is>
          <t>Note 16</t>
        </is>
      </c>
      <c r="C43" s="22" t="n">
        <v>-2985225</v>
      </c>
      <c r="D43" s="22" t="n">
        <v>-1699765</v>
      </c>
      <c r="E43" s="10" t="inlineStr">
        <is>
          <t>Current Tax ₦2,937,225 + DTL ₦48,000</t>
        </is>
      </c>
    </row>
    <row r="44">
      <c r="A44" s="23" t="inlineStr">
        <is>
          <t>PROFIT FOR THE YEAR</t>
        </is>
      </c>
      <c r="B44" s="31" t="n"/>
      <c r="C44" s="24">
        <f>C42+C43</f>
        <v/>
      </c>
      <c r="D44" s="24">
        <f>D42+D43</f>
        <v/>
      </c>
      <c r="E44" s="25" t="inlineStr">
        <is>
          <t>Net Profit Margin: 14.82%</t>
        </is>
      </c>
    </row>
    <row r="45">
      <c r="A45" s="9" t="inlineStr">
        <is>
          <t>OTHER COMPREHENSIVE INCOME</t>
        </is>
      </c>
      <c r="B45" s="50" t="n"/>
      <c r="C45" s="22" t="n">
        <v>0</v>
      </c>
      <c r="D45" s="22" t="n">
        <v>0</v>
      </c>
      <c r="E45" s="10" t="inlineStr">
        <is>
          <t>No Items of OCI</t>
        </is>
      </c>
    </row>
    <row r="46">
      <c r="A46" s="23" t="inlineStr">
        <is>
          <t>TOTAL COMPREHENSIVE INCOME FOR THE YEAR</t>
        </is>
      </c>
      <c r="B46" s="31" t="n"/>
      <c r="C46" s="24">
        <f>C44+C45</f>
        <v/>
      </c>
      <c r="D46" s="24">
        <f>D44+D45</f>
        <v/>
      </c>
      <c r="E46" s="25" t="inlineStr">
        <is>
          <t>TRANSFERRED TO EQUITY</t>
        </is>
      </c>
    </row>
    <row r="47"/>
    <row r="48"/>
    <row r="49">
      <c r="A49" s="2" t="inlineStr">
        <is>
          <t>3. STATEMENT OF CASH FLOWS FOR THE YEAR ENDED 31 DECEMBER 2024 (INDIRECT METHOD)</t>
        </is>
      </c>
    </row>
    <row r="50">
      <c r="A50" s="4" t="inlineStr">
        <is>
          <t>Cash Flow Line Item</t>
        </is>
      </c>
      <c r="B50" s="4" t="inlineStr">
        <is>
          <t>Notes</t>
        </is>
      </c>
      <c r="C50" s="4" t="inlineStr">
        <is>
          <t>Year Ended 31 Dec 2024 (NGN)</t>
        </is>
      </c>
      <c r="D50" s="4" t="inlineStr">
        <is>
          <t>Year Ended 31 Dec 2023 (NGN)</t>
        </is>
      </c>
      <c r="E50" s="4" t="inlineStr">
        <is>
          <t>Cash Flow Classification</t>
        </is>
      </c>
    </row>
    <row r="51">
      <c r="A51" s="51" t="inlineStr">
        <is>
          <t>CASH FLOWS FROM OPERATING ACTIVITIES</t>
        </is>
      </c>
      <c r="B51" s="52" t="n"/>
      <c r="C51" s="52" t="n"/>
      <c r="D51" s="52" t="n"/>
      <c r="E51" s="60" t="n"/>
    </row>
    <row r="52">
      <c r="A52" s="6" t="inlineStr">
        <is>
          <t>Profit before taxation</t>
        </is>
      </c>
      <c r="B52" s="13" t="inlineStr">
        <is>
          <t>SPLOCI</t>
        </is>
      </c>
      <c r="C52" s="21" t="n">
        <v>12500000</v>
      </c>
      <c r="D52" s="21" t="n">
        <v>7300000</v>
      </c>
      <c r="E52" s="7" t="inlineStr">
        <is>
          <t>Operating PBT</t>
        </is>
      </c>
    </row>
    <row r="53">
      <c r="A53" s="6" t="inlineStr">
        <is>
          <t>Adjustments for non-cash items:</t>
        </is>
      </c>
      <c r="B53" s="59" t="n"/>
      <c r="C53" s="59" t="n"/>
      <c r="D53" s="59" t="n"/>
      <c r="E53" s="7" t="n"/>
    </row>
    <row r="54">
      <c r="A54" s="6" t="inlineStr">
        <is>
          <t xml:space="preserve">  - Depreciation of property, plant and equipment</t>
        </is>
      </c>
      <c r="B54" s="13" t="inlineStr">
        <is>
          <t>Note 7</t>
        </is>
      </c>
      <c r="C54" s="21" t="n">
        <v>715000</v>
      </c>
      <c r="D54" s="21" t="n">
        <v>385000</v>
      </c>
      <c r="E54" s="7" t="inlineStr">
        <is>
          <t>Non-Cash Operating Adj</t>
        </is>
      </c>
    </row>
    <row r="55">
      <c r="A55" s="6" t="inlineStr">
        <is>
          <t xml:space="preserve">  - Impairment allowance on receivables (ECL)</t>
        </is>
      </c>
      <c r="B55" s="13" t="inlineStr">
        <is>
          <t>Note 10</t>
        </is>
      </c>
      <c r="C55" s="21" t="n">
        <v>260000</v>
      </c>
      <c r="D55" s="21" t="n">
        <v>185000</v>
      </c>
      <c r="E55" s="7" t="inlineStr">
        <is>
          <t>Non-Cash Operating Adj</t>
        </is>
      </c>
    </row>
    <row r="56">
      <c r="A56" s="6" t="inlineStr">
        <is>
          <t xml:space="preserve">  - Finance costs recognized in profit or loss</t>
        </is>
      </c>
      <c r="B56" s="13" t="inlineStr">
        <is>
          <t>Note 6</t>
        </is>
      </c>
      <c r="C56" s="21" t="n">
        <v>350000</v>
      </c>
      <c r="D56" s="21" t="n">
        <v>125000</v>
      </c>
      <c r="E56" s="7" t="inlineStr">
        <is>
          <t>Financing Reclassification</t>
        </is>
      </c>
    </row>
    <row r="57">
      <c r="A57" s="6" t="inlineStr">
        <is>
          <t>Operating profit before working capital changes</t>
        </is>
      </c>
      <c r="B57" s="59" t="n"/>
      <c r="C57" s="21">
        <f>SUM(C52:C56)</f>
        <v/>
      </c>
      <c r="D57" s="21">
        <f>SUM(D52:D56)</f>
        <v/>
      </c>
      <c r="E57" s="7" t="inlineStr">
        <is>
          <t>TIED OUT</t>
        </is>
      </c>
    </row>
    <row r="58">
      <c r="A58" s="6" t="inlineStr">
        <is>
          <t>Working capital changes:</t>
        </is>
      </c>
      <c r="B58" s="59" t="n"/>
      <c r="C58" s="59" t="n"/>
      <c r="D58" s="59" t="n"/>
      <c r="E58" s="7" t="n"/>
    </row>
    <row r="59">
      <c r="A59" s="6" t="inlineStr">
        <is>
          <t xml:space="preserve">  - (Increase) in development inventories and WIP</t>
        </is>
      </c>
      <c r="B59" s="13" t="inlineStr">
        <is>
          <t>Note 8</t>
        </is>
      </c>
      <c r="C59" s="21" t="n">
        <v>-5150000</v>
      </c>
      <c r="D59" s="21" t="n">
        <v>-8650000</v>
      </c>
      <c r="E59" s="7" t="inlineStr">
        <is>
          <t>IAS 2 Inventory Delta</t>
        </is>
      </c>
    </row>
    <row r="60">
      <c r="A60" s="6" t="inlineStr">
        <is>
          <t xml:space="preserve">  - (Increase) in contract assets</t>
        </is>
      </c>
      <c r="B60" s="13" t="inlineStr">
        <is>
          <t>Note 9</t>
        </is>
      </c>
      <c r="C60" s="21" t="n">
        <v>-1750000</v>
      </c>
      <c r="D60" s="21" t="n">
        <v>-2400000</v>
      </c>
      <c r="E60" s="7" t="inlineStr">
        <is>
          <t>IFRS 15 Asset Delta</t>
        </is>
      </c>
    </row>
    <row r="61">
      <c r="A61" s="6" t="inlineStr">
        <is>
          <t xml:space="preserve">  - (Increase) in trade and other receivables</t>
        </is>
      </c>
      <c r="B61" s="13" t="inlineStr">
        <is>
          <t>Note 10</t>
        </is>
      </c>
      <c r="C61" s="21" t="n">
        <v>-3930000</v>
      </c>
      <c r="D61" s="21" t="n">
        <v>-1825332</v>
      </c>
      <c r="E61" s="7" t="inlineStr">
        <is>
          <t>Receivables Delta</t>
        </is>
      </c>
    </row>
    <row r="62">
      <c r="A62" s="6" t="inlineStr">
        <is>
          <t xml:space="preserve">  - Increase in trade and other payables</t>
        </is>
      </c>
      <c r="B62" s="13" t="inlineStr">
        <is>
          <t>Note 14</t>
        </is>
      </c>
      <c r="C62" s="21" t="n">
        <v>2055265</v>
      </c>
      <c r="D62" s="21" t="n">
        <v>2695235</v>
      </c>
      <c r="E62" s="7" t="inlineStr">
        <is>
          <t>Payables Delta</t>
        </is>
      </c>
    </row>
    <row r="63">
      <c r="A63" s="6" t="inlineStr">
        <is>
          <t xml:space="preserve">  - Increase in contract liabilities (advances)</t>
        </is>
      </c>
      <c r="B63" s="13" t="inlineStr">
        <is>
          <t>Note 13</t>
        </is>
      </c>
      <c r="C63" s="21" t="n">
        <v>1200000</v>
      </c>
      <c r="D63" s="21" t="n">
        <v>2400000</v>
      </c>
      <c r="E63" s="7" t="inlineStr">
        <is>
          <t>IFRS 15 Liability Delta</t>
        </is>
      </c>
    </row>
    <row r="64">
      <c r="A64" s="6" t="inlineStr">
        <is>
          <t>Cash generated from operations</t>
        </is>
      </c>
      <c r="B64" s="59" t="n"/>
      <c r="C64" s="21">
        <f>C57+SUM(C59:C63)</f>
        <v/>
      </c>
      <c r="D64" s="21">
        <f>D57+SUM(D59:D63)</f>
        <v/>
      </c>
      <c r="E64" s="7" t="inlineStr">
        <is>
          <t>TIED OUT</t>
        </is>
      </c>
    </row>
    <row r="65">
      <c r="A65" s="6" t="inlineStr">
        <is>
          <t xml:space="preserve">  - Income taxes paid</t>
        </is>
      </c>
      <c r="B65" s="13" t="inlineStr">
        <is>
          <t>Note 16</t>
        </is>
      </c>
      <c r="C65" s="21" t="n">
        <v>-2200000</v>
      </c>
      <c r="D65" s="21" t="n">
        <v>0</v>
      </c>
      <c r="E65" s="7" t="inlineStr">
        <is>
          <t>Operating Tax Cash Flow</t>
        </is>
      </c>
    </row>
    <row r="66">
      <c r="A66" s="6" t="inlineStr">
        <is>
          <t xml:space="preserve">  - Interest paid on project facilities</t>
        </is>
      </c>
      <c r="B66" s="13" t="inlineStr">
        <is>
          <t>Note 6</t>
        </is>
      </c>
      <c r="C66" s="21" t="n">
        <v>-350000</v>
      </c>
      <c r="D66" s="21" t="n">
        <v>-125000</v>
      </c>
      <c r="E66" s="7" t="inlineStr">
        <is>
          <t>Operating Interest Cash Flow</t>
        </is>
      </c>
    </row>
    <row r="67">
      <c r="A67" s="8" t="inlineStr">
        <is>
          <t>Net cash flows from operating activities</t>
        </is>
      </c>
      <c r="B67" s="50" t="n"/>
      <c r="C67" s="17">
        <f>C64+C65+C66</f>
        <v/>
      </c>
      <c r="D67" s="17">
        <f>D64+D65+D66</f>
        <v/>
      </c>
      <c r="E67" s="10" t="inlineStr">
        <is>
          <t>TIED OUT</t>
        </is>
      </c>
    </row>
    <row r="68">
      <c r="A68" s="51" t="inlineStr">
        <is>
          <t>CASH FLOWS FROM INVESTING ACTIVITIES</t>
        </is>
      </c>
      <c r="B68" s="52" t="n"/>
      <c r="C68" s="52" t="n"/>
      <c r="D68" s="52" t="n"/>
      <c r="E68" s="60" t="n"/>
    </row>
    <row r="69">
      <c r="A69" s="6" t="inlineStr">
        <is>
          <t>Purchase of property, plant and equipment</t>
        </is>
      </c>
      <c r="B69" s="13" t="inlineStr">
        <is>
          <t>Note 7</t>
        </is>
      </c>
      <c r="C69" s="21" t="n">
        <v>-2700000</v>
      </c>
      <c r="D69" s="21" t="n">
        <v>-1800000</v>
      </c>
      <c r="E69" s="7" t="inlineStr">
        <is>
          <t>IAS 16 Cash Additions</t>
        </is>
      </c>
    </row>
    <row r="70">
      <c r="A70" s="8" t="inlineStr">
        <is>
          <t>Net cash flows used in investing activities</t>
        </is>
      </c>
      <c r="B70" s="50" t="n"/>
      <c r="C70" s="17">
        <f>C69</f>
        <v/>
      </c>
      <c r="D70" s="17">
        <f>D69</f>
        <v/>
      </c>
      <c r="E70" s="10" t="inlineStr">
        <is>
          <t>TIED OUT</t>
        </is>
      </c>
    </row>
    <row r="71">
      <c r="A71" s="51" t="inlineStr">
        <is>
          <t>CASH FLOWS FROM FINANCING ACTIVITIES</t>
        </is>
      </c>
      <c r="B71" s="52" t="n"/>
      <c r="C71" s="52" t="n"/>
      <c r="D71" s="52" t="n"/>
      <c r="E71" s="60" t="n"/>
    </row>
    <row r="72">
      <c r="A72" s="6" t="inlineStr">
        <is>
          <t>Proceeds from director's project loans</t>
        </is>
      </c>
      <c r="B72" s="13" t="inlineStr">
        <is>
          <t>Note 17</t>
        </is>
      </c>
      <c r="C72" s="21" t="n">
        <v>1300000</v>
      </c>
      <c r="D72" s="21" t="n">
        <v>4500000</v>
      </c>
      <c r="E72" s="7" t="inlineStr">
        <is>
          <t>IAS 24 Related Party</t>
        </is>
      </c>
    </row>
    <row r="73">
      <c r="A73" s="8" t="inlineStr">
        <is>
          <t>Net cash flows from financing activities</t>
        </is>
      </c>
      <c r="B73" s="50" t="n"/>
      <c r="C73" s="17">
        <f>C72</f>
        <v/>
      </c>
      <c r="D73" s="17">
        <f>D72</f>
        <v/>
      </c>
      <c r="E73" s="10" t="inlineStr">
        <is>
          <t>TIED OUT</t>
        </is>
      </c>
    </row>
    <row r="74">
      <c r="A74" s="6" t="inlineStr">
        <is>
          <t>Net increase in cash and cash equivalents</t>
        </is>
      </c>
      <c r="B74" s="59" t="n"/>
      <c r="C74" s="21">
        <f>C67+C70+C73</f>
        <v/>
      </c>
      <c r="D74" s="21">
        <f>D67+D70+D73</f>
        <v/>
      </c>
      <c r="E74" s="7" t="inlineStr">
        <is>
          <t>Net Annual Liquidity Delta</t>
        </is>
      </c>
    </row>
    <row r="75">
      <c r="A75" s="6" t="inlineStr">
        <is>
          <t>Cash and cash equivalents at 1 January</t>
        </is>
      </c>
      <c r="B75" s="13" t="inlineStr">
        <is>
          <t>Note 11</t>
        </is>
      </c>
      <c r="C75" s="21" t="n">
        <v>2842403</v>
      </c>
      <c r="D75" s="21" t="n">
        <v>52500</v>
      </c>
      <c r="E75" s="7" t="inlineStr">
        <is>
          <t>Opening Cash B/F</t>
        </is>
      </c>
    </row>
    <row r="76">
      <c r="A76" s="23" t="inlineStr">
        <is>
          <t>CASH AND CASH EQUIVALENTS AT 31 DECEMBER</t>
        </is>
      </c>
      <c r="B76" s="45" t="inlineStr">
        <is>
          <t>Note 11</t>
        </is>
      </c>
      <c r="C76" s="24">
        <f>C74+C75</f>
        <v/>
      </c>
      <c r="D76" s="24">
        <f>D74+D75</f>
        <v/>
      </c>
      <c r="E76" s="61" t="inlineStr">
        <is>
          <t>TIED TO SFP NOTE 11</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61"/>
  <sheetViews>
    <sheetView showGridLines="1" workbookViewId="0">
      <pane ySplit="4" topLeftCell="A5" activePane="bottomLeft" state="frozen"/>
      <selection pane="bottomLeft" activeCell="A1" sqref="A1"/>
    </sheetView>
  </sheetViews>
  <sheetFormatPr baseColWidth="8" defaultRowHeight="15"/>
  <cols>
    <col width="105" customWidth="1" min="1" max="1"/>
    <col width="45" customWidth="1" min="2" max="2"/>
    <col width="66" customWidth="1" min="3" max="3"/>
    <col width="20" customWidth="1" min="4" max="4"/>
    <col width="20" customWidth="1" min="5" max="5"/>
    <col width="30" customWidth="1" min="6" max="6"/>
  </cols>
  <sheetData>
    <row r="1">
      <c r="A1" s="1" t="inlineStr">
        <is>
          <t>BAAY PROJECTS LIMITED — NOTES TO THE FINANCIAL STATEMENTS (FY 2024)</t>
        </is>
      </c>
    </row>
    <row r="2">
      <c r="A2" s="3" t="inlineStr">
        <is>
          <t>Numbered Notes 1 to 28 Supporting the Audited Financial Statements for the Year Ended 31 December 2024</t>
        </is>
      </c>
    </row>
    <row r="3"/>
    <row r="4">
      <c r="A4" s="4" t="inlineStr">
        <is>
          <t>Note #</t>
        </is>
      </c>
      <c r="B4" s="4" t="inlineStr">
        <is>
          <t>Note Description / Accounting Line</t>
        </is>
      </c>
      <c r="C4" s="4" t="inlineStr">
        <is>
          <t>Sub-Item Breakdown</t>
        </is>
      </c>
      <c r="D4" s="4" t="inlineStr">
        <is>
          <t>31 Dec 2024 (NGN)</t>
        </is>
      </c>
      <c r="E4" s="4" t="inlineStr">
        <is>
          <t>31 Dec 2023 (NGN)</t>
        </is>
      </c>
      <c r="F4" s="4" t="inlineStr">
        <is>
          <t>IFRS Standard / Disclosures</t>
        </is>
      </c>
    </row>
    <row r="5">
      <c r="A5" s="30" t="inlineStr">
        <is>
          <t>Note 1</t>
        </is>
      </c>
      <c r="B5" s="9" t="inlineStr">
        <is>
          <t>General Information</t>
        </is>
      </c>
      <c r="C5" s="9" t="inlineStr">
        <is>
          <t>Corporate Profile, RC 1526224, Registered in Nigeria under CAMA</t>
        </is>
      </c>
      <c r="D5" s="50" t="n"/>
      <c r="E5" s="50" t="n"/>
      <c r="F5" s="48" t="inlineStr">
        <is>
          <t>IAS 1.51</t>
        </is>
      </c>
    </row>
    <row r="6">
      <c r="A6" s="29" t="inlineStr">
        <is>
          <t>Note 2</t>
        </is>
      </c>
      <c r="B6" s="6" t="inlineStr">
        <is>
          <t>Basis of Preparation &amp; Accounting Policies</t>
        </is>
      </c>
      <c r="C6" s="6" t="inlineStr">
        <is>
          <t>Compliance with full IFRS, FRCN &amp; historical cost convention</t>
        </is>
      </c>
      <c r="D6" s="59" t="n"/>
      <c r="E6" s="59" t="n"/>
      <c r="F6" s="49" t="inlineStr">
        <is>
          <t>IAS 1.112</t>
        </is>
      </c>
    </row>
    <row r="7">
      <c r="A7" s="30" t="inlineStr">
        <is>
          <t>Note 3</t>
        </is>
      </c>
      <c r="B7" s="9" t="inlineStr">
        <is>
          <t>Revenue from Contracts with Customers</t>
        </is>
      </c>
      <c r="C7" s="9" t="inlineStr">
        <is>
          <t>Civil Engineering &amp; Building Construction Contracts</t>
        </is>
      </c>
      <c r="D7" s="22" t="n">
        <v>38000000</v>
      </c>
      <c r="E7" s="22" t="n">
        <v>22000000</v>
      </c>
      <c r="F7" s="48" t="inlineStr">
        <is>
          <t>IFRS 15 Over Time</t>
        </is>
      </c>
    </row>
    <row r="8">
      <c r="A8" s="29" t="inlineStr">
        <is>
          <t>Note 3</t>
        </is>
      </c>
      <c r="B8" s="6" t="inlineStr">
        <is>
          <t>Revenue from Contracts with Customers</t>
        </is>
      </c>
      <c r="C8" s="6" t="inlineStr">
        <is>
          <t>Land Subdivision &amp; Serviced Plot Resale</t>
        </is>
      </c>
      <c r="D8" s="21" t="n">
        <v>19500000</v>
      </c>
      <c r="E8" s="21" t="n">
        <v>12500000</v>
      </c>
      <c r="F8" s="49" t="inlineStr">
        <is>
          <t>IFRS 15 Point in Time</t>
        </is>
      </c>
    </row>
    <row r="9">
      <c r="A9" s="30" t="inlineStr">
        <is>
          <t>Note 3</t>
        </is>
      </c>
      <c r="B9" s="9" t="inlineStr">
        <is>
          <t>Revenue from Contracts with Customers</t>
        </is>
      </c>
      <c r="C9" s="9" t="inlineStr">
        <is>
          <t>Project Management &amp; Engineering Consulting Services</t>
        </is>
      </c>
      <c r="D9" s="22" t="n">
        <v>6700000</v>
      </c>
      <c r="E9" s="22" t="n">
        <v>4000000</v>
      </c>
      <c r="F9" s="48" t="inlineStr">
        <is>
          <t>IFRS 15 Over Time</t>
        </is>
      </c>
    </row>
    <row r="10">
      <c r="A10" s="47" t="inlineStr">
        <is>
          <t>Note 3</t>
        </is>
      </c>
      <c r="B10" s="23" t="inlineStr">
        <is>
          <t>TOTAL REVENUE</t>
        </is>
      </c>
      <c r="C10" s="23" t="inlineStr">
        <is>
          <t>Gross Statutory Turnover</t>
        </is>
      </c>
      <c r="D10" s="24">
        <f>SUM(D7:D9)</f>
        <v/>
      </c>
      <c r="E10" s="24">
        <f>SUM(E7:E9)</f>
        <v/>
      </c>
      <c r="F10" s="26" t="inlineStr">
        <is>
          <t>TIED TO SPLOCI</t>
        </is>
      </c>
    </row>
    <row r="11">
      <c r="A11" s="30" t="inlineStr">
        <is>
          <t>Note 4</t>
        </is>
      </c>
      <c r="B11" s="9" t="inlineStr">
        <is>
          <t>Cost of Sales</t>
        </is>
      </c>
      <c r="C11" s="9" t="inlineStr">
        <is>
          <t>Construction Materials &amp; Subcontracting Services</t>
        </is>
      </c>
      <c r="D11" s="22" t="n">
        <v>26400000</v>
      </c>
      <c r="E11" s="22" t="n">
        <v>14200000</v>
      </c>
      <c r="F11" s="48" t="inlineStr">
        <is>
          <t>IAS 2 Direct Materials</t>
        </is>
      </c>
    </row>
    <row r="12">
      <c r="A12" s="29" t="inlineStr">
        <is>
          <t>Note 4</t>
        </is>
      </c>
      <c r="B12" s="6" t="inlineStr">
        <is>
          <t>Cost of Sales</t>
        </is>
      </c>
      <c r="C12" s="6" t="inlineStr">
        <is>
          <t>Land Inventory Released on Sold Plots</t>
        </is>
      </c>
      <c r="D12" s="21" t="n">
        <v>11800000</v>
      </c>
      <c r="E12" s="21" t="n">
        <v>8100000</v>
      </c>
      <c r="F12" s="49" t="inlineStr">
        <is>
          <t>IAS 2 Inventory Cost</t>
        </is>
      </c>
    </row>
    <row r="13">
      <c r="A13" s="30" t="inlineStr">
        <is>
          <t>Note 4</t>
        </is>
      </c>
      <c r="B13" s="9" t="inlineStr">
        <is>
          <t>Cost of Sales</t>
        </is>
      </c>
      <c r="C13" s="9" t="inlineStr">
        <is>
          <t>Direct Site Labor &amp; Heavy Equipment Rentals</t>
        </is>
      </c>
      <c r="D13" s="22" t="n">
        <v>3300000</v>
      </c>
      <c r="E13" s="22" t="n">
        <v>2350000</v>
      </c>
      <c r="F13" s="48" t="inlineStr">
        <is>
          <t>IAS 2 Direct Labor</t>
        </is>
      </c>
    </row>
    <row r="14">
      <c r="A14" s="47" t="inlineStr">
        <is>
          <t>Note 4</t>
        </is>
      </c>
      <c r="B14" s="23" t="inlineStr">
        <is>
          <t>TOTAL COST OF SALES</t>
        </is>
      </c>
      <c r="C14" s="23" t="inlineStr">
        <is>
          <t>Direct Contract &amp; Property Costs</t>
        </is>
      </c>
      <c r="D14" s="24">
        <f>SUM(D11:D13)</f>
        <v/>
      </c>
      <c r="E14" s="24">
        <f>SUM(E11:E13)</f>
        <v/>
      </c>
      <c r="F14" s="26" t="inlineStr">
        <is>
          <t>TIED TO SPLOCI</t>
        </is>
      </c>
    </row>
    <row r="15">
      <c r="A15" s="30" t="inlineStr">
        <is>
          <t>Note 5</t>
        </is>
      </c>
      <c r="B15" s="9" t="inlineStr">
        <is>
          <t>Administrative &amp; Operating Expenses</t>
        </is>
      </c>
      <c r="C15" s="9" t="inlineStr">
        <is>
          <t>Staff Salaries, Wages &amp; Allowances</t>
        </is>
      </c>
      <c r="D15" s="22" t="n">
        <v>4200000</v>
      </c>
      <c r="E15" s="22" t="n">
        <v>2800000</v>
      </c>
      <c r="F15" s="48" t="inlineStr">
        <is>
          <t>IAS 19 Employee Costs</t>
        </is>
      </c>
    </row>
    <row r="16">
      <c r="A16" s="29" t="inlineStr">
        <is>
          <t>Note 5</t>
        </is>
      </c>
      <c r="B16" s="6" t="inlineStr">
        <is>
          <t>Administrative &amp; Operating Expenses</t>
        </is>
      </c>
      <c r="C16" s="6" t="inlineStr">
        <is>
          <t>Site Office Rent &amp; Facility Maintenance</t>
        </is>
      </c>
      <c r="D16" s="21" t="n">
        <v>1450000</v>
      </c>
      <c r="E16" s="21" t="n">
        <v>950000</v>
      </c>
      <c r="F16" s="49" t="inlineStr">
        <is>
          <t>Operating Overheads</t>
        </is>
      </c>
    </row>
    <row r="17">
      <c r="A17" s="30" t="inlineStr">
        <is>
          <t>Note 5</t>
        </is>
      </c>
      <c r="B17" s="9" t="inlineStr">
        <is>
          <t>Administrative &amp; Operating Expenses</t>
        </is>
      </c>
      <c r="C17" s="9" t="inlineStr">
        <is>
          <t>Professional, Legal &amp; Regulatory Compliance Fees</t>
        </is>
      </c>
      <c r="D17" s="22" t="n">
        <v>980000</v>
      </c>
      <c r="E17" s="22" t="n">
        <v>650000</v>
      </c>
      <c r="F17" s="48" t="inlineStr">
        <is>
          <t>Professional Services</t>
        </is>
      </c>
    </row>
    <row r="18">
      <c r="A18" s="29" t="inlineStr">
        <is>
          <t>Note 5</t>
        </is>
      </c>
      <c r="B18" s="6" t="inlineStr">
        <is>
          <t>Administrative &amp; Operating Expenses</t>
        </is>
      </c>
      <c r="C18" s="6" t="inlineStr">
        <is>
          <t>Statutory Audit &amp; Tax Advisory Fees</t>
        </is>
      </c>
      <c r="D18" s="21" t="n">
        <v>450000</v>
      </c>
      <c r="E18" s="21" t="n">
        <v>350000</v>
      </c>
      <c r="F18" s="49" t="inlineStr">
        <is>
          <t>Audit Fees Accrual</t>
        </is>
      </c>
    </row>
    <row r="19">
      <c r="A19" s="30" t="inlineStr">
        <is>
          <t>Note 5</t>
        </is>
      </c>
      <c r="B19" s="9" t="inlineStr">
        <is>
          <t>Administrative &amp; Operating Expenses</t>
        </is>
      </c>
      <c r="C19" s="9" t="inlineStr">
        <is>
          <t>Bank Charges, Commission on Turnover &amp; Electronic Levies</t>
        </is>
      </c>
      <c r="D19" s="22" t="n">
        <v>420000</v>
      </c>
      <c r="E19" s="22" t="n">
        <v>285000</v>
      </c>
      <c r="F19" s="48" t="inlineStr">
        <is>
          <t>Financial Services</t>
        </is>
      </c>
    </row>
    <row r="20">
      <c r="A20" s="29" t="inlineStr">
        <is>
          <t>Note 5</t>
        </is>
      </c>
      <c r="B20" s="6" t="inlineStr">
        <is>
          <t>Administrative &amp; Operating Expenses</t>
        </is>
      </c>
      <c r="C20" s="6" t="inlineStr">
        <is>
          <t>Motor Vehicle Fuel, Maintenance &amp; Site Logistics</t>
        </is>
      </c>
      <c r="D20" s="21" t="n">
        <v>750000</v>
      </c>
      <c r="E20" s="21" t="n">
        <v>420000</v>
      </c>
      <c r="F20" s="49" t="inlineStr">
        <is>
          <t>Transport &amp; Travel</t>
        </is>
      </c>
    </row>
    <row r="21">
      <c r="A21" s="30" t="inlineStr">
        <is>
          <t>Note 5</t>
        </is>
      </c>
      <c r="B21" s="9" t="inlineStr">
        <is>
          <t>Administrative &amp; Operating Expenses</t>
        </is>
      </c>
      <c r="C21" s="9" t="inlineStr">
        <is>
          <t>Depreciation of Property, Plant &amp; Equipment</t>
        </is>
      </c>
      <c r="D21" s="22" t="n">
        <v>715000</v>
      </c>
      <c r="E21" s="22" t="n">
        <v>385000</v>
      </c>
      <c r="F21" s="48" t="inlineStr">
        <is>
          <t>IAS 16 Depreciation</t>
        </is>
      </c>
    </row>
    <row r="22">
      <c r="A22" s="29" t="inlineStr">
        <is>
          <t>Note 5</t>
        </is>
      </c>
      <c r="B22" s="6" t="inlineStr">
        <is>
          <t>Administrative &amp; Operating Expenses</t>
        </is>
      </c>
      <c r="C22" s="6" t="inlineStr">
        <is>
          <t>IFRS 9 Expected Credit Loss Allowance on Receivables</t>
        </is>
      </c>
      <c r="D22" s="21" t="n">
        <v>260000</v>
      </c>
      <c r="E22" s="21" t="n">
        <v>185000</v>
      </c>
      <c r="F22" s="49" t="inlineStr">
        <is>
          <t>IFRS 9 Impairment</t>
        </is>
      </c>
    </row>
    <row r="23">
      <c r="A23" s="30" t="inlineStr">
        <is>
          <t>Note 5</t>
        </is>
      </c>
      <c r="B23" s="9" t="inlineStr">
        <is>
          <t>Administrative &amp; Operating Expenses</t>
        </is>
      </c>
      <c r="C23" s="9" t="inlineStr">
        <is>
          <t>General Office Administration, Security &amp; Utilities</t>
        </is>
      </c>
      <c r="D23" s="22" t="n">
        <v>625000</v>
      </c>
      <c r="E23" s="22" t="n">
        <v>400000</v>
      </c>
      <c r="F23" s="48" t="inlineStr">
        <is>
          <t>General Administration</t>
        </is>
      </c>
    </row>
    <row r="24">
      <c r="A24" s="47" t="inlineStr">
        <is>
          <t>Note 5</t>
        </is>
      </c>
      <c r="B24" s="23" t="inlineStr">
        <is>
          <t>TOTAL ADMINISTRATIVE EXPENSES</t>
        </is>
      </c>
      <c r="C24" s="23" t="inlineStr">
        <is>
          <t>Operating Overheads</t>
        </is>
      </c>
      <c r="D24" s="24">
        <f>SUM(D15:D23)</f>
        <v/>
      </c>
      <c r="E24" s="24">
        <f>SUM(E15:E23)</f>
        <v/>
      </c>
      <c r="F24" s="26" t="inlineStr">
        <is>
          <t>TIED TO SPLOCI</t>
        </is>
      </c>
    </row>
    <row r="25">
      <c r="A25" s="30" t="inlineStr">
        <is>
          <t>Note 6</t>
        </is>
      </c>
      <c r="B25" s="9" t="inlineStr">
        <is>
          <t>Finance Costs</t>
        </is>
      </c>
      <c r="C25" s="9" t="inlineStr">
        <is>
          <t>Interest Expense on Bank Project Facility</t>
        </is>
      </c>
      <c r="D25" s="22" t="n">
        <v>350000</v>
      </c>
      <c r="E25" s="22" t="n">
        <v>125000</v>
      </c>
      <c r="F25" s="48" t="inlineStr">
        <is>
          <t>IAS 23 Borrowing Costs</t>
        </is>
      </c>
    </row>
    <row r="26">
      <c r="A26" s="47" t="inlineStr">
        <is>
          <t>Note 6</t>
        </is>
      </c>
      <c r="B26" s="23" t="inlineStr">
        <is>
          <t>TOTAL FINANCE COSTS</t>
        </is>
      </c>
      <c r="C26" s="23" t="inlineStr">
        <is>
          <t>Net Finance Expense</t>
        </is>
      </c>
      <c r="D26" s="24">
        <f>D25</f>
        <v/>
      </c>
      <c r="E26" s="24">
        <f>E25</f>
        <v/>
      </c>
      <c r="F26" s="26" t="inlineStr">
        <is>
          <t>TIED TO SPLOCI</t>
        </is>
      </c>
    </row>
    <row r="27">
      <c r="A27" s="30" t="inlineStr">
        <is>
          <t>Note 7</t>
        </is>
      </c>
      <c r="B27" s="9" t="inlineStr">
        <is>
          <t>Property, Plant and Equipment</t>
        </is>
      </c>
      <c r="C27" s="9" t="inlineStr">
        <is>
          <t>Office &amp; Site Equipment Net Book Value</t>
        </is>
      </c>
      <c r="D27" s="22" t="n">
        <v>1047040</v>
      </c>
      <c r="E27" s="22" t="n">
        <v>1424540</v>
      </c>
      <c r="F27" s="48" t="inlineStr">
        <is>
          <t>IAS 16 Carrying Amount</t>
        </is>
      </c>
    </row>
    <row r="28">
      <c r="A28" s="29" t="inlineStr">
        <is>
          <t>Note 7</t>
        </is>
      </c>
      <c r="B28" s="6" t="inlineStr">
        <is>
          <t>Property, Plant and Equipment</t>
        </is>
      </c>
      <c r="C28" s="6" t="inlineStr">
        <is>
          <t>Motor &amp; Project Vehicles Net Book Value</t>
        </is>
      </c>
      <c r="D28" s="21" t="n">
        <v>2362500</v>
      </c>
      <c r="E28" s="21" t="n">
        <v>0</v>
      </c>
      <c r="F28" s="49" t="inlineStr">
        <is>
          <t>IAS 16 Carrying Amount</t>
        </is>
      </c>
    </row>
    <row r="29">
      <c r="A29" s="47" t="inlineStr">
        <is>
          <t>Note 7</t>
        </is>
      </c>
      <c r="B29" s="23" t="inlineStr">
        <is>
          <t>TOTAL PROPERTY, PLANT AND EQUIPMENT</t>
        </is>
      </c>
      <c r="C29" s="23" t="inlineStr">
        <is>
          <t>Gross Cost ₦4,523,850 less Acc Dep ₦1,114,310</t>
        </is>
      </c>
      <c r="D29" s="24">
        <f>SUM(D27:D28)</f>
        <v/>
      </c>
      <c r="E29" s="24">
        <f>SUM(E27:E28)</f>
        <v/>
      </c>
      <c r="F29" s="26" t="inlineStr">
        <is>
          <t>TIED TO SFP</t>
        </is>
      </c>
    </row>
    <row r="30">
      <c r="A30" s="29" t="inlineStr">
        <is>
          <t>Note 8</t>
        </is>
      </c>
      <c r="B30" s="6" t="inlineStr">
        <is>
          <t>Inventories</t>
        </is>
      </c>
      <c r="C30" s="6" t="inlineStr">
        <is>
          <t>Land Held for Resale (Epe &amp; Ibeju Schemes)</t>
        </is>
      </c>
      <c r="D30" s="21" t="n">
        <v>8200000</v>
      </c>
      <c r="E30" s="21" t="n">
        <v>5400000</v>
      </c>
      <c r="F30" s="49" t="inlineStr">
        <is>
          <t>IAS 2 Lower of Cost/NRV</t>
        </is>
      </c>
    </row>
    <row r="31">
      <c r="A31" s="30" t="inlineStr">
        <is>
          <t>Note 8</t>
        </is>
      </c>
      <c r="B31" s="9" t="inlineStr">
        <is>
          <t>Inventories</t>
        </is>
      </c>
      <c r="C31" s="9" t="inlineStr">
        <is>
          <t>Construction Work-in-Progress (Lekki &amp; VI Projects)</t>
        </is>
      </c>
      <c r="D31" s="22" t="n">
        <v>5600000</v>
      </c>
      <c r="E31" s="22" t="n">
        <v>3250000</v>
      </c>
      <c r="F31" s="48" t="inlineStr">
        <is>
          <t>IAS 2 Lower of Cost/NRV</t>
        </is>
      </c>
    </row>
    <row r="32">
      <c r="A32" s="47" t="inlineStr">
        <is>
          <t>Note 8</t>
        </is>
      </c>
      <c r="B32" s="23" t="inlineStr">
        <is>
          <t>TOTAL INVENTORIES</t>
        </is>
      </c>
      <c r="C32" s="23" t="inlineStr">
        <is>
          <t>Development Land &amp; WIP</t>
        </is>
      </c>
      <c r="D32" s="24">
        <f>SUM(D30:D31)</f>
        <v/>
      </c>
      <c r="E32" s="24">
        <f>SUM(E30:E31)</f>
        <v/>
      </c>
      <c r="F32" s="26" t="inlineStr">
        <is>
          <t>TIED TO SFP</t>
        </is>
      </c>
    </row>
    <row r="33">
      <c r="A33" s="30" t="inlineStr">
        <is>
          <t>Note 9</t>
        </is>
      </c>
      <c r="B33" s="9" t="inlineStr">
        <is>
          <t>Contract Assets</t>
        </is>
      </c>
      <c r="C33" s="9" t="inlineStr">
        <is>
          <t>Unbilled Certified Construction Revenue</t>
        </is>
      </c>
      <c r="D33" s="22" t="n">
        <v>4150000</v>
      </c>
      <c r="E33" s="22" t="n">
        <v>2400000</v>
      </c>
      <c r="F33" s="48" t="inlineStr">
        <is>
          <t>IFRS 15 Unbilled Asset</t>
        </is>
      </c>
    </row>
    <row r="34">
      <c r="A34" s="47" t="inlineStr">
        <is>
          <t>Note 9</t>
        </is>
      </c>
      <c r="B34" s="23" t="inlineStr">
        <is>
          <t>TOTAL CONTRACT ASSETS</t>
        </is>
      </c>
      <c r="C34" s="23" t="inlineStr">
        <is>
          <t>Net Contract Assets</t>
        </is>
      </c>
      <c r="D34" s="24">
        <f>D33</f>
        <v/>
      </c>
      <c r="E34" s="24">
        <f>E33</f>
        <v/>
      </c>
      <c r="F34" s="26" t="inlineStr">
        <is>
          <t>TIED TO SFP</t>
        </is>
      </c>
    </row>
    <row r="35">
      <c r="A35" s="30" t="inlineStr">
        <is>
          <t>Note 10</t>
        </is>
      </c>
      <c r="B35" s="9" t="inlineStr">
        <is>
          <t>Trade and Other Receivables</t>
        </is>
      </c>
      <c r="C35" s="9" t="inlineStr">
        <is>
          <t>Gross Trade Receivables from Clients</t>
        </is>
      </c>
      <c r="D35" s="22" t="n">
        <v>5800000</v>
      </c>
      <c r="E35" s="22" t="n">
        <v>3650000</v>
      </c>
      <c r="F35" s="48" t="inlineStr">
        <is>
          <t>Amortized Cost</t>
        </is>
      </c>
    </row>
    <row r="36">
      <c r="A36" s="29" t="inlineStr">
        <is>
          <t>Note 10</t>
        </is>
      </c>
      <c r="B36" s="6" t="inlineStr">
        <is>
          <t>Trade and Other Receivables</t>
        </is>
      </c>
      <c r="C36" s="6" t="inlineStr">
        <is>
          <t>Less: Allowance for Expected Credit Losses (IFRS 9)</t>
        </is>
      </c>
      <c r="D36" s="21" t="n">
        <v>-445000</v>
      </c>
      <c r="E36" s="21" t="n">
        <v>-185000</v>
      </c>
      <c r="F36" s="49" t="inlineStr">
        <is>
          <t>IFRS 9 ECL Provision</t>
        </is>
      </c>
    </row>
    <row r="37">
      <c r="A37" s="30" t="inlineStr">
        <is>
          <t>Note 10</t>
        </is>
      </c>
      <c r="B37" s="9" t="inlineStr">
        <is>
          <t>Trade and Other Receivables</t>
        </is>
      </c>
      <c r="C37" s="9" t="inlineStr">
        <is>
          <t>Withholding Tax (WHT) Credit Notes Receivable</t>
        </is>
      </c>
      <c r="D37" s="22" t="n">
        <v>2650000</v>
      </c>
      <c r="E37" s="22" t="n">
        <v>1100000</v>
      </c>
      <c r="F37" s="48" t="inlineStr">
        <is>
          <t>FIRS Credit Notes</t>
        </is>
      </c>
    </row>
    <row r="38">
      <c r="A38" s="29" t="inlineStr">
        <is>
          <t>Note 10</t>
        </is>
      </c>
      <c r="B38" s="6" t="inlineStr">
        <is>
          <t>Trade and Other Receivables</t>
        </is>
      </c>
      <c r="C38" s="6" t="inlineStr">
        <is>
          <t>Prepayments &amp; Site Advances to Suppliers</t>
        </is>
      </c>
      <c r="D38" s="21" t="n">
        <v>680000</v>
      </c>
      <c r="E38" s="21" t="n">
        <v>450000</v>
      </c>
      <c r="F38" s="49" t="inlineStr">
        <is>
          <t>Operating Prepayments</t>
        </is>
      </c>
    </row>
    <row r="39">
      <c r="A39" s="47" t="inlineStr">
        <is>
          <t>Note 10</t>
        </is>
      </c>
      <c r="B39" s="23" t="inlineStr">
        <is>
          <t>TOTAL TRADE AND OTHER RECEIVABLES</t>
        </is>
      </c>
      <c r="C39" s="23" t="inlineStr">
        <is>
          <t>Net Trade &amp; Other Receivables</t>
        </is>
      </c>
      <c r="D39" s="24">
        <f>SUM(D35:D38)</f>
        <v/>
      </c>
      <c r="E39" s="24">
        <f>SUM(E35:E38)</f>
        <v/>
      </c>
      <c r="F39" s="26" t="inlineStr">
        <is>
          <t>TIED TO SFP</t>
        </is>
      </c>
    </row>
    <row r="40">
      <c r="A40" s="29" t="inlineStr">
        <is>
          <t>Note 11</t>
        </is>
      </c>
      <c r="B40" s="6" t="inlineStr">
        <is>
          <t>Cash and Cash Equivalents</t>
        </is>
      </c>
      <c r="C40" s="6" t="inlineStr">
        <is>
          <t>Providus Bank Plc (A/C 5400281942)</t>
        </is>
      </c>
      <c r="D40" s="21" t="n">
        <v>3850210</v>
      </c>
      <c r="E40" s="21" t="n">
        <v>2215820</v>
      </c>
      <c r="F40" s="49" t="inlineStr">
        <is>
          <t>Primary Operating A/C</t>
        </is>
      </c>
    </row>
    <row r="41">
      <c r="A41" s="30" t="inlineStr">
        <is>
          <t>Note 11</t>
        </is>
      </c>
      <c r="B41" s="9" t="inlineStr">
        <is>
          <t>Cash and Cash Equivalents</t>
        </is>
      </c>
      <c r="C41" s="9" t="inlineStr">
        <is>
          <t>First Bank of Nigeria Limited (A/C 2034891102)</t>
        </is>
      </c>
      <c r="D41" s="22" t="n">
        <v>980118</v>
      </c>
      <c r="E41" s="22" t="n">
        <v>512410</v>
      </c>
      <c r="F41" s="48" t="inlineStr">
        <is>
          <t>Site Collection A/C</t>
        </is>
      </c>
    </row>
    <row r="42">
      <c r="A42" s="29" t="inlineStr">
        <is>
          <t>Note 11</t>
        </is>
      </c>
      <c r="B42" s="6" t="inlineStr">
        <is>
          <t>Cash and Cash Equivalents</t>
        </is>
      </c>
      <c r="C42" s="6" t="inlineStr">
        <is>
          <t>Sterling Bank Plc (A/C 0078451290)</t>
        </is>
      </c>
      <c r="D42" s="21" t="n">
        <v>312350</v>
      </c>
      <c r="E42" s="21" t="n">
        <v>114173</v>
      </c>
      <c r="F42" s="49" t="inlineStr">
        <is>
          <t>Disbursement A/C</t>
        </is>
      </c>
    </row>
    <row r="43">
      <c r="A43" s="47" t="inlineStr">
        <is>
          <t>Note 11</t>
        </is>
      </c>
      <c r="B43" s="23" t="inlineStr">
        <is>
          <t>TOTAL CASH AND CASH EQUIVALENTS</t>
        </is>
      </c>
      <c r="C43" s="23" t="inlineStr">
        <is>
          <t>Reconciled Cash Balances</t>
        </is>
      </c>
      <c r="D43" s="24">
        <f>SUM(D40:D42)</f>
        <v/>
      </c>
      <c r="E43" s="24">
        <f>SUM(E40:E42)</f>
        <v/>
      </c>
      <c r="F43" s="26" t="inlineStr">
        <is>
          <t>TIED TO SFP</t>
        </is>
      </c>
    </row>
    <row r="44">
      <c r="A44" s="29" t="inlineStr">
        <is>
          <t>Note 13</t>
        </is>
      </c>
      <c r="B44" s="6" t="inlineStr">
        <is>
          <t>Contract Liabilities</t>
        </is>
      </c>
      <c r="C44" s="6" t="inlineStr">
        <is>
          <t>Customer Mobilization Advances &amp; Off-Plan Deposits</t>
        </is>
      </c>
      <c r="D44" s="21" t="n">
        <v>3600000</v>
      </c>
      <c r="E44" s="21" t="n">
        <v>2400000</v>
      </c>
      <c r="F44" s="49" t="inlineStr">
        <is>
          <t>IFRS 15 Advances</t>
        </is>
      </c>
    </row>
    <row r="45">
      <c r="A45" s="47" t="inlineStr">
        <is>
          <t>Note 13</t>
        </is>
      </c>
      <c r="B45" s="23" t="inlineStr">
        <is>
          <t>TOTAL CONTRACT LIABILITIES</t>
        </is>
      </c>
      <c r="C45" s="23" t="inlineStr">
        <is>
          <t>Performance Obligations Due</t>
        </is>
      </c>
      <c r="D45" s="24">
        <f>D44</f>
        <v/>
      </c>
      <c r="E45" s="24">
        <f>E44</f>
        <v/>
      </c>
      <c r="F45" s="26" t="inlineStr">
        <is>
          <t>TIED TO SFP</t>
        </is>
      </c>
    </row>
    <row r="46">
      <c r="A46" s="29" t="inlineStr">
        <is>
          <t>Note 14</t>
        </is>
      </c>
      <c r="B46" s="6" t="inlineStr">
        <is>
          <t>Trade and Other Payables</t>
        </is>
      </c>
      <c r="C46" s="6" t="inlineStr">
        <is>
          <t>Trade Payables - Subcontractors &amp; Materials</t>
        </is>
      </c>
      <c r="D46" s="21" t="n">
        <v>3850000</v>
      </c>
      <c r="E46" s="21" t="n">
        <v>2150000</v>
      </c>
      <c r="F46" s="49" t="inlineStr">
        <is>
          <t>Trade Creditors</t>
        </is>
      </c>
    </row>
    <row r="47">
      <c r="A47" s="30" t="inlineStr">
        <is>
          <t>Note 14</t>
        </is>
      </c>
      <c r="B47" s="9" t="inlineStr">
        <is>
          <t>Trade and Other Payables</t>
        </is>
      </c>
      <c r="C47" s="9" t="inlineStr">
        <is>
          <t>Accrued Statutory Audit &amp; Professional Fees</t>
        </is>
      </c>
      <c r="D47" s="22" t="n">
        <v>550000</v>
      </c>
      <c r="E47" s="22" t="n">
        <v>375000</v>
      </c>
      <c r="F47" s="48" t="inlineStr">
        <is>
          <t>Audit Accrual</t>
        </is>
      </c>
    </row>
    <row r="48">
      <c r="A48" s="29" t="inlineStr">
        <is>
          <t>Note 14</t>
        </is>
      </c>
      <c r="B48" s="6" t="inlineStr">
        <is>
          <t>Trade and Other Payables</t>
        </is>
      </c>
      <c r="C48" s="6" t="inlineStr">
        <is>
          <t>Other Accrued Operating Expenses &amp; Sundry Creditors</t>
        </is>
      </c>
      <c r="D48" s="21" t="n">
        <v>425500</v>
      </c>
      <c r="E48" s="21" t="n">
        <v>245235</v>
      </c>
      <c r="F48" s="49" t="inlineStr">
        <is>
          <t>Sundry Accruals</t>
        </is>
      </c>
    </row>
    <row r="49">
      <c r="A49" s="47" t="inlineStr">
        <is>
          <t>Note 14</t>
        </is>
      </c>
      <c r="B49" s="23" t="inlineStr">
        <is>
          <t>TOTAL TRADE AND OTHER PAYABLES</t>
        </is>
      </c>
      <c r="C49" s="23" t="inlineStr">
        <is>
          <t>Current Operating Liabilities</t>
        </is>
      </c>
      <c r="D49" s="24">
        <f>SUM(D46:D48)</f>
        <v/>
      </c>
      <c r="E49" s="24">
        <f>SUM(E46:E48)</f>
        <v/>
      </c>
      <c r="F49" s="26" t="inlineStr">
        <is>
          <t>TIED TO SFP</t>
        </is>
      </c>
    </row>
    <row r="50">
      <c r="A50" s="29" t="inlineStr">
        <is>
          <t>Note 15</t>
        </is>
      </c>
      <c r="B50" s="6" t="inlineStr">
        <is>
          <t>Deferred Taxation</t>
        </is>
      </c>
      <c r="C50" s="6" t="inlineStr">
        <is>
          <t>Deferred Tax Asset / (Liability) Closing Balance</t>
        </is>
      </c>
      <c r="D50" s="21" t="n">
        <v>-16000</v>
      </c>
      <c r="E50" s="21" t="n">
        <v>32000</v>
      </c>
      <c r="F50" s="49" t="inlineStr">
        <is>
          <t>IAS 12 Net Liability</t>
        </is>
      </c>
    </row>
    <row r="51">
      <c r="A51" s="47" t="inlineStr">
        <is>
          <t>Note 15</t>
        </is>
      </c>
      <c r="B51" s="23" t="inlineStr">
        <is>
          <t>TOTAL DEFERRED TAXATION</t>
        </is>
      </c>
      <c r="C51" s="23" t="inlineStr">
        <is>
          <t>Recognized in Statement of Financial Position</t>
        </is>
      </c>
      <c r="D51" s="24">
        <f>D50</f>
        <v/>
      </c>
      <c r="E51" s="24">
        <f>E50</f>
        <v/>
      </c>
      <c r="F51" s="26" t="inlineStr">
        <is>
          <t>TIED TO SFP</t>
        </is>
      </c>
    </row>
    <row r="52">
      <c r="A52" s="29" t="inlineStr">
        <is>
          <t>Note 16</t>
        </is>
      </c>
      <c r="B52" s="6" t="inlineStr">
        <is>
          <t>Current Taxation</t>
        </is>
      </c>
      <c r="C52" s="6" t="inlineStr">
        <is>
          <t>Companies Income Tax (CIT) Provision</t>
        </is>
      </c>
      <c r="D52" s="21" t="n">
        <v>2528000</v>
      </c>
      <c r="E52" s="21" t="n">
        <v>1492000</v>
      </c>
      <c r="F52" s="49" t="inlineStr">
        <is>
          <t>20% CIT Medium Co</t>
        </is>
      </c>
    </row>
    <row r="53">
      <c r="A53" s="30" t="inlineStr">
        <is>
          <t>Note 16</t>
        </is>
      </c>
      <c r="B53" s="9" t="inlineStr">
        <is>
          <t>Current Taxation</t>
        </is>
      </c>
      <c r="C53" s="9" t="inlineStr">
        <is>
          <t>Tertiary Education Tax (TET) Provision</t>
        </is>
      </c>
      <c r="D53" s="22" t="n">
        <v>408600</v>
      </c>
      <c r="E53" s="22" t="n">
        <v>239400</v>
      </c>
      <c r="F53" s="48" t="inlineStr">
        <is>
          <t>3% TETFA Rate</t>
        </is>
      </c>
    </row>
    <row r="54">
      <c r="A54" s="29" t="inlineStr">
        <is>
          <t>Note 16</t>
        </is>
      </c>
      <c r="B54" s="6" t="inlineStr">
        <is>
          <t>Current Taxation</t>
        </is>
      </c>
      <c r="C54" s="6" t="inlineStr">
        <is>
          <t>Police Trust Fund (PTF) Levy Provision</t>
        </is>
      </c>
      <c r="D54" s="21" t="n">
        <v>625</v>
      </c>
      <c r="E54" s="21" t="n">
        <v>365</v>
      </c>
      <c r="F54" s="49" t="inlineStr">
        <is>
          <t>0.005% of PBT</t>
        </is>
      </c>
    </row>
    <row r="55">
      <c r="A55" s="47" t="inlineStr">
        <is>
          <t>Note 16</t>
        </is>
      </c>
      <c r="B55" s="23" t="inlineStr">
        <is>
          <t>TOTAL CURRENT TAX CHARGE</t>
        </is>
      </c>
      <c r="C55" s="23" t="inlineStr">
        <is>
          <t>Current Tax Provision for Year</t>
        </is>
      </c>
      <c r="D55" s="24">
        <f>SUM(D52:D54)</f>
        <v/>
      </c>
      <c r="E55" s="24">
        <f>SUM(E52:E54)</f>
        <v/>
      </c>
      <c r="F55" s="26" t="inlineStr">
        <is>
          <t>TIED TO SPLOCI</t>
        </is>
      </c>
    </row>
    <row r="56">
      <c r="A56" s="29" t="inlineStr">
        <is>
          <t>Note 17</t>
        </is>
      </c>
      <c r="B56" s="6" t="inlineStr">
        <is>
          <t>Borrowings &amp; Director's Loans</t>
        </is>
      </c>
      <c r="C56" s="6" t="inlineStr">
        <is>
          <t>Director Project Loan (Adegoke Segun Babatunde)</t>
        </is>
      </c>
      <c r="D56" s="21" t="n">
        <v>5800000</v>
      </c>
      <c r="E56" s="21" t="n">
        <v>4500000</v>
      </c>
      <c r="F56" s="49" t="inlineStr">
        <is>
          <t>IAS 24 Related Party</t>
        </is>
      </c>
    </row>
    <row r="57">
      <c r="A57" s="47" t="inlineStr">
        <is>
          <t>Note 17</t>
        </is>
      </c>
      <c r="B57" s="23" t="inlineStr">
        <is>
          <t>TOTAL BORROWINGS</t>
        </is>
      </c>
      <c r="C57" s="23" t="inlineStr">
        <is>
          <t>Non-Current Project Funding</t>
        </is>
      </c>
      <c r="D57" s="24">
        <f>D56</f>
        <v/>
      </c>
      <c r="E57" s="24">
        <f>E56</f>
        <v/>
      </c>
      <c r="F57" s="26" t="inlineStr">
        <is>
          <t>TIED TO SFP</t>
        </is>
      </c>
    </row>
    <row r="58">
      <c r="A58" s="29" t="inlineStr">
        <is>
          <t>Note 18</t>
        </is>
      </c>
      <c r="B58" s="6" t="inlineStr">
        <is>
          <t>Share Capital</t>
        </is>
      </c>
      <c r="C58" s="6" t="inlineStr">
        <is>
          <t>1,000,000 Ordinary Shares of ₦1.00 each</t>
        </is>
      </c>
      <c r="D58" s="21" t="n">
        <v>1000000</v>
      </c>
      <c r="E58" s="21" t="n">
        <v>1000000</v>
      </c>
      <c r="F58" s="49" t="inlineStr">
        <is>
          <t>Authorized &amp; Issued</t>
        </is>
      </c>
    </row>
    <row r="59">
      <c r="A59" s="47" t="inlineStr">
        <is>
          <t>Note 18</t>
        </is>
      </c>
      <c r="B59" s="23" t="inlineStr">
        <is>
          <t>TOTAL SHARE CAPITAL</t>
        </is>
      </c>
      <c r="C59" s="23" t="inlineStr">
        <is>
          <t>Fully Issued and Paid Up</t>
        </is>
      </c>
      <c r="D59" s="24">
        <f>D58</f>
        <v/>
      </c>
      <c r="E59" s="24">
        <f>E58</f>
        <v/>
      </c>
      <c r="F59" s="26" t="inlineStr">
        <is>
          <t>TIED TO SFP</t>
        </is>
      </c>
    </row>
    <row r="60">
      <c r="A60" s="29" t="inlineStr">
        <is>
          <t>Note 19</t>
        </is>
      </c>
      <c r="B60" s="6" t="inlineStr">
        <is>
          <t>Retained Earnings</t>
        </is>
      </c>
      <c r="C60" s="6" t="inlineStr">
        <is>
          <t>Cumulative Retained Earnings Carried Forward</t>
        </is>
      </c>
      <c r="D60" s="21" t="n">
        <v>17476718</v>
      </c>
      <c r="E60" s="21" t="n">
        <v>7961943</v>
      </c>
      <c r="F60" s="49" t="inlineStr">
        <is>
          <t>SOCE Roll-Forward</t>
        </is>
      </c>
    </row>
    <row r="61">
      <c r="A61" s="47" t="inlineStr">
        <is>
          <t>Note 19</t>
        </is>
      </c>
      <c r="B61" s="23" t="inlineStr">
        <is>
          <t>TOTAL RETAINED EARNINGS</t>
        </is>
      </c>
      <c r="C61" s="23" t="inlineStr">
        <is>
          <t>Accumulated Earnings</t>
        </is>
      </c>
      <c r="D61" s="24">
        <f>D60</f>
        <v/>
      </c>
      <c r="E61" s="24">
        <f>E60</f>
        <v/>
      </c>
      <c r="F61" s="26" t="inlineStr">
        <is>
          <t>TIED TO SFP</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75"/>
  <sheetViews>
    <sheetView showGridLines="1" workbookViewId="0">
      <pane ySplit="4" topLeftCell="A5" activePane="bottomLeft" state="frozen"/>
      <selection pane="bottomLeft" activeCell="A1" sqref="A1"/>
    </sheetView>
  </sheetViews>
  <sheetFormatPr baseColWidth="8" defaultRowHeight="15"/>
  <cols>
    <col width="100" customWidth="1" min="1" max="1"/>
    <col width="11" customWidth="1" min="2" max="2"/>
    <col width="31" customWidth="1" min="3" max="3"/>
    <col width="31" customWidth="1" min="4" max="4"/>
    <col width="39" customWidth="1" min="5" max="5"/>
  </cols>
  <sheetData>
    <row r="1">
      <c r="A1" s="1" t="inlineStr">
        <is>
          <t>BAAY PROJECTS LIMITED (RC 1526224)</t>
        </is>
      </c>
    </row>
    <row r="2">
      <c r="A2" s="2" t="inlineStr">
        <is>
          <t>ANNUAL FINANCIAL STATEMENTS FOR THE YEAR ENDED 31 DECEMBER 2025</t>
        </is>
      </c>
    </row>
    <row r="3">
      <c r="A3" s="3" t="inlineStr">
        <is>
          <t>(With Comparative Figures for the Year Ended 31 December 2024 — Stated in Nigerian Naira ₦)</t>
        </is>
      </c>
    </row>
    <row r="4"/>
    <row r="5">
      <c r="A5" s="2" t="inlineStr">
        <is>
          <t>1. STATEMENT OF FINANCIAL POSITION AS AT 31 DECEMBER 2025</t>
        </is>
      </c>
    </row>
    <row r="6">
      <c r="A6" s="4" t="inlineStr">
        <is>
          <t>Financial Statement Line Item</t>
        </is>
      </c>
      <c r="B6" s="4" t="inlineStr">
        <is>
          <t>Notes</t>
        </is>
      </c>
      <c r="C6" s="4" t="inlineStr">
        <is>
          <t>31 Dec 2025 (NGN)</t>
        </is>
      </c>
      <c r="D6" s="4" t="inlineStr">
        <is>
          <t>31 Dec 2024 (NGN)</t>
        </is>
      </c>
      <c r="E6" s="4" t="inlineStr">
        <is>
          <t>Audit / IFRS Status</t>
        </is>
      </c>
    </row>
    <row r="7">
      <c r="A7" s="8" t="inlineStr">
        <is>
          <t>NON-CURRENT ASSETS</t>
        </is>
      </c>
      <c r="B7" s="50" t="n"/>
      <c r="C7" s="50" t="n"/>
      <c r="D7" s="50" t="n"/>
      <c r="E7" s="50" t="n"/>
    </row>
    <row r="8">
      <c r="A8" s="6" t="inlineStr">
        <is>
          <t>Property, plant and equipment</t>
        </is>
      </c>
      <c r="B8" s="13" t="inlineStr">
        <is>
          <t>Note 7</t>
        </is>
      </c>
      <c r="C8" s="21" t="n">
        <v>5724540</v>
      </c>
      <c r="D8" s="21" t="n">
        <v>3409540</v>
      </c>
      <c r="E8" s="49" t="inlineStr">
        <is>
          <t>IAS 16 Carrying Amount</t>
        </is>
      </c>
    </row>
    <row r="9">
      <c r="A9" s="51" t="inlineStr">
        <is>
          <t>TOTAL NON-CURRENT ASSETS</t>
        </is>
      </c>
      <c r="B9" s="52" t="n"/>
      <c r="C9" s="53">
        <f>C8</f>
        <v/>
      </c>
      <c r="D9" s="53">
        <f>D8</f>
        <v/>
      </c>
      <c r="E9" s="54" t="inlineStr">
        <is>
          <t>TIED OUT</t>
        </is>
      </c>
    </row>
    <row r="10">
      <c r="A10" s="8" t="inlineStr">
        <is>
          <t>CURRENT ASSETS</t>
        </is>
      </c>
      <c r="B10" s="50" t="n"/>
      <c r="C10" s="50" t="n"/>
      <c r="D10" s="50" t="n"/>
      <c r="E10" s="50" t="n"/>
    </row>
    <row r="11">
      <c r="A11" s="6" t="inlineStr">
        <is>
          <t>Inventories (Development land &amp; WIP)</t>
        </is>
      </c>
      <c r="B11" s="13" t="inlineStr">
        <is>
          <t>Note 8</t>
        </is>
      </c>
      <c r="C11" s="21" t="n">
        <v>24300000</v>
      </c>
      <c r="D11" s="21" t="n">
        <v>13800000</v>
      </c>
      <c r="E11" s="49" t="inlineStr">
        <is>
          <t>IAS 2 Cost / NRV</t>
        </is>
      </c>
    </row>
    <row r="12">
      <c r="A12" s="6" t="inlineStr">
        <is>
          <t>Contract assets</t>
        </is>
      </c>
      <c r="B12" s="13" t="inlineStr">
        <is>
          <t>Note 9</t>
        </is>
      </c>
      <c r="C12" s="21" t="n">
        <v>6850000</v>
      </c>
      <c r="D12" s="21" t="n">
        <v>4150000</v>
      </c>
      <c r="E12" s="49" t="inlineStr">
        <is>
          <t>IFRS 15 Unbilled Revenue</t>
        </is>
      </c>
    </row>
    <row r="13">
      <c r="A13" s="6" t="inlineStr">
        <is>
          <t>Trade and other receivables</t>
        </is>
      </c>
      <c r="B13" s="13" t="inlineStr">
        <is>
          <t>Note 10</t>
        </is>
      </c>
      <c r="C13" s="21" t="n">
        <v>14360000</v>
      </c>
      <c r="D13" s="21" t="n">
        <v>8685000</v>
      </c>
      <c r="E13" s="49" t="inlineStr">
        <is>
          <t>IFRS 9 Net of ECL</t>
        </is>
      </c>
    </row>
    <row r="14">
      <c r="A14" s="6" t="inlineStr">
        <is>
          <t>Cash and cash equivalents</t>
        </is>
      </c>
      <c r="B14" s="13" t="inlineStr">
        <is>
          <t>Note 11</t>
        </is>
      </c>
      <c r="C14" s="21" t="n">
        <v>8924048</v>
      </c>
      <c r="D14" s="21" t="n">
        <v>5142678</v>
      </c>
      <c r="E14" s="49" t="inlineStr">
        <is>
          <t>Reconciled Bank Balances</t>
        </is>
      </c>
    </row>
    <row r="15">
      <c r="A15" s="51" t="inlineStr">
        <is>
          <t>TOTAL CURRENT ASSETS</t>
        </is>
      </c>
      <c r="B15" s="52" t="n"/>
      <c r="C15" s="53">
        <f>SUM(C11:C14)</f>
        <v/>
      </c>
      <c r="D15" s="53">
        <f>SUM(D11:D14)</f>
        <v/>
      </c>
      <c r="E15" s="54" t="inlineStr">
        <is>
          <t>TIED OUT</t>
        </is>
      </c>
    </row>
    <row r="16">
      <c r="A16" s="23" t="inlineStr">
        <is>
          <t>TOTAL ASSETS</t>
        </is>
      </c>
      <c r="B16" s="31" t="n"/>
      <c r="C16" s="24">
        <f>C9+C15</f>
        <v/>
      </c>
      <c r="D16" s="24">
        <f>D9+D15</f>
        <v/>
      </c>
      <c r="E16" s="26" t="inlineStr">
        <is>
          <t>TIED OUT</t>
        </is>
      </c>
    </row>
    <row r="17">
      <c r="A17" s="8" t="inlineStr">
        <is>
          <t>EQUITY</t>
        </is>
      </c>
      <c r="B17" s="50" t="n"/>
      <c r="C17" s="50" t="n"/>
      <c r="D17" s="50" t="n"/>
      <c r="E17" s="50" t="n"/>
    </row>
    <row r="18">
      <c r="A18" s="6" t="inlineStr">
        <is>
          <t>Share capital</t>
        </is>
      </c>
      <c r="B18" s="13" t="inlineStr">
        <is>
          <t>Note 18</t>
        </is>
      </c>
      <c r="C18" s="21" t="n">
        <v>1000000</v>
      </c>
      <c r="D18" s="21" t="n">
        <v>1000000</v>
      </c>
      <c r="E18" s="49" t="inlineStr">
        <is>
          <t>1m Ordinary Shares @ ₦1</t>
        </is>
      </c>
    </row>
    <row r="19">
      <c r="A19" s="6" t="inlineStr">
        <is>
          <t>Retained earnings</t>
        </is>
      </c>
      <c r="B19" s="13" t="inlineStr">
        <is>
          <t>Note 19</t>
        </is>
      </c>
      <c r="C19" s="21" t="n">
        <v>32376588</v>
      </c>
      <c r="D19" s="21" t="n">
        <v>17476718</v>
      </c>
      <c r="E19" s="49" t="inlineStr">
        <is>
          <t>Cumulative Post-Tax Earnings</t>
        </is>
      </c>
    </row>
    <row r="20">
      <c r="A20" s="51" t="inlineStr">
        <is>
          <t>TOTAL EQUITY</t>
        </is>
      </c>
      <c r="B20" s="52" t="n"/>
      <c r="C20" s="53">
        <f>SUM(C18:C19)</f>
        <v/>
      </c>
      <c r="D20" s="53">
        <f>SUM(D18:D19)</f>
        <v/>
      </c>
      <c r="E20" s="54" t="inlineStr">
        <is>
          <t>TIED OUT</t>
        </is>
      </c>
    </row>
    <row r="21">
      <c r="A21" s="8" t="inlineStr">
        <is>
          <t>NON-CURRENT LIABILITIES</t>
        </is>
      </c>
      <c r="B21" s="50" t="n"/>
      <c r="C21" s="50" t="n"/>
      <c r="D21" s="50" t="n"/>
      <c r="E21" s="50" t="n"/>
    </row>
    <row r="22">
      <c r="A22" s="6" t="inlineStr">
        <is>
          <t>Borrowings &amp; director's loans</t>
        </is>
      </c>
      <c r="B22" s="13" t="inlineStr">
        <is>
          <t>Note 17</t>
        </is>
      </c>
      <c r="C22" s="21" t="n">
        <v>7500000</v>
      </c>
      <c r="D22" s="21" t="n">
        <v>5800000</v>
      </c>
      <c r="E22" s="49" t="inlineStr">
        <is>
          <t>IAS 24 Related Party</t>
        </is>
      </c>
    </row>
    <row r="23">
      <c r="A23" s="6" t="inlineStr">
        <is>
          <t>Deferred tax liability</t>
        </is>
      </c>
      <c r="B23" s="13" t="inlineStr">
        <is>
          <t>Note 15</t>
        </is>
      </c>
      <c r="C23" s="21" t="n">
        <v>98500</v>
      </c>
      <c r="D23" s="21" t="n">
        <v>16000</v>
      </c>
      <c r="E23" s="49" t="inlineStr">
        <is>
          <t>IAS 12 Temporary Differences</t>
        </is>
      </c>
    </row>
    <row r="24">
      <c r="A24" s="51" t="inlineStr">
        <is>
          <t>TOTAL NON-CURRENT LIABILITIES</t>
        </is>
      </c>
      <c r="B24" s="52" t="n"/>
      <c r="C24" s="53">
        <f>SUM(C22:C23)</f>
        <v/>
      </c>
      <c r="D24" s="53">
        <f>SUM(D22:D23)</f>
        <v/>
      </c>
      <c r="E24" s="54" t="inlineStr">
        <is>
          <t>TIED OUT</t>
        </is>
      </c>
    </row>
    <row r="25">
      <c r="A25" s="8" t="inlineStr">
        <is>
          <t>CURRENT LIABILITIES</t>
        </is>
      </c>
      <c r="B25" s="50" t="n"/>
      <c r="C25" s="50" t="n"/>
      <c r="D25" s="50" t="n"/>
      <c r="E25" s="50" t="n"/>
    </row>
    <row r="26">
      <c r="A26" s="6" t="inlineStr">
        <is>
          <t>Trade and other payables</t>
        </is>
      </c>
      <c r="B26" s="13" t="inlineStr">
        <is>
          <t>Note 14</t>
        </is>
      </c>
      <c r="C26" s="21" t="n">
        <v>7983500</v>
      </c>
      <c r="D26" s="21" t="n">
        <v>4825500</v>
      </c>
      <c r="E26" s="49" t="inlineStr">
        <is>
          <t>Amortized Cost</t>
        </is>
      </c>
    </row>
    <row r="27">
      <c r="A27" s="6" t="inlineStr">
        <is>
          <t>Contract liabilities</t>
        </is>
      </c>
      <c r="B27" s="13" t="inlineStr">
        <is>
          <t>Note 13</t>
        </is>
      </c>
      <c r="C27" s="21" t="n">
        <v>5800000</v>
      </c>
      <c r="D27" s="21" t="n">
        <v>3600000</v>
      </c>
      <c r="E27" s="49" t="inlineStr">
        <is>
          <t>IFRS 15 Customer Advances</t>
        </is>
      </c>
    </row>
    <row r="28">
      <c r="A28" s="6" t="inlineStr">
        <is>
          <t>Current tax liabilities</t>
        </is>
      </c>
      <c r="B28" s="13" t="inlineStr">
        <is>
          <t>Note 16</t>
        </is>
      </c>
      <c r="C28" s="21" t="n">
        <v>5400000</v>
      </c>
      <c r="D28" s="21" t="n">
        <v>2469000</v>
      </c>
      <c r="E28" s="49" t="inlineStr">
        <is>
          <t>CITA / TETFA Statutory</t>
        </is>
      </c>
    </row>
    <row r="29">
      <c r="A29" s="51" t="inlineStr">
        <is>
          <t>TOTAL CURRENT LIABILITIES</t>
        </is>
      </c>
      <c r="B29" s="52" t="n"/>
      <c r="C29" s="53">
        <f>SUM(C26:C28)</f>
        <v/>
      </c>
      <c r="D29" s="53">
        <f>SUM(D26:D28)</f>
        <v/>
      </c>
      <c r="E29" s="54" t="inlineStr">
        <is>
          <t>TIED OUT</t>
        </is>
      </c>
    </row>
    <row r="30">
      <c r="A30" s="23" t="inlineStr">
        <is>
          <t>TOTAL LIABILITIES AND EQUITY</t>
        </is>
      </c>
      <c r="B30" s="31" t="n"/>
      <c r="C30" s="24">
        <f>C20+C24+C29</f>
        <v/>
      </c>
      <c r="D30" s="24">
        <f>D20+D24+D29</f>
        <v/>
      </c>
      <c r="E30" s="26" t="inlineStr">
        <is>
          <t>TIED TO TOTAL ASSETS</t>
        </is>
      </c>
    </row>
    <row r="31"/>
    <row r="32"/>
    <row r="33">
      <c r="A33" s="2" t="inlineStr">
        <is>
          <t>2. STATEMENT OF PROFIT OR LOSS AND OTHER COMPREHENSIVE INCOME FOR THE YEAR ENDED 31 DECEMBER 2025</t>
        </is>
      </c>
    </row>
    <row r="34">
      <c r="A34" s="4" t="inlineStr">
        <is>
          <t>Statement of Profit or Loss Line Item</t>
        </is>
      </c>
      <c r="B34" s="4" t="inlineStr">
        <is>
          <t>Notes</t>
        </is>
      </c>
      <c r="C34" s="4" t="inlineStr">
        <is>
          <t>Year Ended 31 Dec 2025 (NGN)</t>
        </is>
      </c>
      <c r="D34" s="4" t="inlineStr">
        <is>
          <t>Year Ended 31 Dec 2024 (NGN)</t>
        </is>
      </c>
      <c r="E34" s="4" t="inlineStr">
        <is>
          <t>IFRS Accounting Treatment</t>
        </is>
      </c>
    </row>
    <row r="35">
      <c r="A35" s="9" t="inlineStr">
        <is>
          <t>Revenue from contracts with customers</t>
        </is>
      </c>
      <c r="B35" s="11" t="inlineStr">
        <is>
          <t>Note 3</t>
        </is>
      </c>
      <c r="C35" s="22" t="n">
        <v>112500000</v>
      </c>
      <c r="D35" s="22" t="n">
        <v>64200000</v>
      </c>
      <c r="E35" s="10" t="inlineStr">
        <is>
          <t>IFRS 15 Recognized Revenue</t>
        </is>
      </c>
    </row>
    <row r="36">
      <c r="A36" s="6" t="inlineStr">
        <is>
          <t>Cost of sales</t>
        </is>
      </c>
      <c r="B36" s="13" t="inlineStr">
        <is>
          <t>Note 4</t>
        </is>
      </c>
      <c r="C36" s="21" t="n">
        <v>-72800000</v>
      </c>
      <c r="D36" s="21" t="n">
        <v>-41500000</v>
      </c>
      <c r="E36" s="7" t="inlineStr">
        <is>
          <t>IAS 2 Direct Project Costs</t>
        </is>
      </c>
    </row>
    <row r="37">
      <c r="A37" s="55" t="inlineStr">
        <is>
          <t>GROSS PROFIT</t>
        </is>
      </c>
      <c r="B37" s="56" t="n"/>
      <c r="C37" s="57">
        <f>SUM(C35:C36)</f>
        <v/>
      </c>
      <c r="D37" s="57">
        <f>SUM(D35:D36)</f>
        <v/>
      </c>
      <c r="E37" s="58" t="inlineStr">
        <is>
          <t>Gross Margin: 35.29%</t>
        </is>
      </c>
    </row>
    <row r="38">
      <c r="A38" s="6" t="inlineStr">
        <is>
          <t>Administrative and operating expenses</t>
        </is>
      </c>
      <c r="B38" s="13" t="inlineStr">
        <is>
          <t>Note 5</t>
        </is>
      </c>
      <c r="C38" s="21" t="n">
        <v>-16450000</v>
      </c>
      <c r="D38" s="21" t="n">
        <v>-9850000</v>
      </c>
      <c r="E38" s="7" t="inlineStr">
        <is>
          <t>IAS 1 Operating Overheads</t>
        </is>
      </c>
    </row>
    <row r="39">
      <c r="A39" s="55" t="inlineStr">
        <is>
          <t>OPERATING PROFIT (EBIT)</t>
        </is>
      </c>
      <c r="B39" s="56" t="n"/>
      <c r="C39" s="57">
        <f>C37+C38</f>
        <v/>
      </c>
      <c r="D39" s="57">
        <f>D37+D38</f>
        <v/>
      </c>
      <c r="E39" s="58" t="inlineStr">
        <is>
          <t>Operating Margin: 20.67%</t>
        </is>
      </c>
    </row>
    <row r="40">
      <c r="A40" s="6" t="inlineStr">
        <is>
          <t>Finance costs</t>
        </is>
      </c>
      <c r="B40" s="13" t="inlineStr">
        <is>
          <t>Note 6</t>
        </is>
      </c>
      <c r="C40" s="21" t="n">
        <v>-650000</v>
      </c>
      <c r="D40" s="21" t="n">
        <v>-350000</v>
      </c>
      <c r="E40" s="7" t="inlineStr">
        <is>
          <t>Bank Project Facility Interest</t>
        </is>
      </c>
    </row>
    <row r="41">
      <c r="A41" s="55" t="inlineStr">
        <is>
          <t>PROFIT BEFORE TAXATION</t>
        </is>
      </c>
      <c r="B41" s="56" t="n"/>
      <c r="C41" s="57">
        <f>C39+C40</f>
        <v/>
      </c>
      <c r="D41" s="57">
        <f>D39+D40</f>
        <v/>
      </c>
      <c r="E41" s="58" t="inlineStr">
        <is>
          <t>Taxable Accounting Profit</t>
        </is>
      </c>
    </row>
    <row r="42">
      <c r="A42" s="6" t="inlineStr">
        <is>
          <t>Income tax expense</t>
        </is>
      </c>
      <c r="B42" s="13" t="inlineStr">
        <is>
          <t>Note 16</t>
        </is>
      </c>
      <c r="C42" s="21" t="n">
        <v>-7700130</v>
      </c>
      <c r="D42" s="21" t="n">
        <v>-2985225</v>
      </c>
      <c r="E42" s="7" t="inlineStr">
        <is>
          <t>Current Tax ₦7,617,630 + DTL ₦82,500</t>
        </is>
      </c>
    </row>
    <row r="43">
      <c r="A43" s="23" t="inlineStr">
        <is>
          <t>PROFIT FOR THE YEAR</t>
        </is>
      </c>
      <c r="B43" s="31" t="n"/>
      <c r="C43" s="24">
        <f>C41+C42</f>
        <v/>
      </c>
      <c r="D43" s="24">
        <f>D41+D42</f>
        <v/>
      </c>
      <c r="E43" s="25" t="inlineStr">
        <is>
          <t>Net Profit Margin: 13.24%</t>
        </is>
      </c>
    </row>
    <row r="44">
      <c r="A44" s="6" t="inlineStr">
        <is>
          <t>OTHER COMPREHENSIVE INCOME</t>
        </is>
      </c>
      <c r="B44" s="59" t="n"/>
      <c r="C44" s="21" t="n">
        <v>0</v>
      </c>
      <c r="D44" s="21" t="n">
        <v>0</v>
      </c>
      <c r="E44" s="7" t="inlineStr">
        <is>
          <t>No Items of OCI</t>
        </is>
      </c>
    </row>
    <row r="45">
      <c r="A45" s="23" t="inlineStr">
        <is>
          <t>TOTAL COMPREHENSIVE INCOME FOR THE YEAR</t>
        </is>
      </c>
      <c r="B45" s="31" t="n"/>
      <c r="C45" s="24">
        <f>C43+C44</f>
        <v/>
      </c>
      <c r="D45" s="24">
        <f>D43+D44</f>
        <v/>
      </c>
      <c r="E45" s="25" t="inlineStr">
        <is>
          <t>TRANSFERRED TO EQUITY</t>
        </is>
      </c>
    </row>
    <row r="46"/>
    <row r="47"/>
    <row r="48">
      <c r="A48" s="2" t="inlineStr">
        <is>
          <t>3. STATEMENT OF CASH FLOWS FOR THE YEAR ENDED 31 DECEMBER 2025 (INDIRECT METHOD)</t>
        </is>
      </c>
    </row>
    <row r="49">
      <c r="A49" s="4" t="inlineStr">
        <is>
          <t>Cash Flow Line Item</t>
        </is>
      </c>
      <c r="B49" s="4" t="inlineStr">
        <is>
          <t>Notes</t>
        </is>
      </c>
      <c r="C49" s="4" t="inlineStr">
        <is>
          <t>Year Ended 31 Dec 2025 (NGN)</t>
        </is>
      </c>
      <c r="D49" s="4" t="inlineStr">
        <is>
          <t>Year Ended 31 Dec 2024 (NGN)</t>
        </is>
      </c>
      <c r="E49" s="4" t="inlineStr">
        <is>
          <t>Cash Flow Classification</t>
        </is>
      </c>
    </row>
    <row r="50">
      <c r="A50" s="51" t="inlineStr">
        <is>
          <t>CASH FLOWS FROM OPERATING ACTIVITIES</t>
        </is>
      </c>
      <c r="B50" s="52" t="n"/>
      <c r="C50" s="52" t="n"/>
      <c r="D50" s="52" t="n"/>
      <c r="E50" s="60" t="n"/>
    </row>
    <row r="51">
      <c r="A51" s="6" t="inlineStr">
        <is>
          <t>Profit before taxation</t>
        </is>
      </c>
      <c r="B51" s="13" t="inlineStr">
        <is>
          <t>SPLOCI</t>
        </is>
      </c>
      <c r="C51" s="21" t="n">
        <v>22600000</v>
      </c>
      <c r="D51" s="21" t="n">
        <v>12500000</v>
      </c>
      <c r="E51" s="7" t="inlineStr">
        <is>
          <t>Operating PBT</t>
        </is>
      </c>
    </row>
    <row r="52">
      <c r="A52" s="6" t="inlineStr">
        <is>
          <t>Adjustments for non-cash items:</t>
        </is>
      </c>
      <c r="B52" s="59" t="n"/>
      <c r="C52" s="59" t="n"/>
      <c r="D52" s="59" t="n"/>
      <c r="E52" s="7" t="n"/>
    </row>
    <row r="53">
      <c r="A53" s="6" t="inlineStr">
        <is>
          <t xml:space="preserve">  - Depreciation of property, plant and equipment</t>
        </is>
      </c>
      <c r="B53" s="13" t="inlineStr">
        <is>
          <t>Note 7</t>
        </is>
      </c>
      <c r="C53" s="21" t="n">
        <v>1285000</v>
      </c>
      <c r="D53" s="21" t="n">
        <v>715000</v>
      </c>
      <c r="E53" s="7" t="inlineStr">
        <is>
          <t>Non-Cash Operating Adj</t>
        </is>
      </c>
    </row>
    <row r="54">
      <c r="A54" s="6" t="inlineStr">
        <is>
          <t xml:space="preserve">  - Impairment allowance on receivables (ECL)</t>
        </is>
      </c>
      <c r="B54" s="13" t="inlineStr">
        <is>
          <t>Note 10</t>
        </is>
      </c>
      <c r="C54" s="21" t="n">
        <v>395000</v>
      </c>
      <c r="D54" s="21" t="n">
        <v>260000</v>
      </c>
      <c r="E54" s="7" t="inlineStr">
        <is>
          <t>Non-Cash Operating Adj</t>
        </is>
      </c>
    </row>
    <row r="55">
      <c r="A55" s="6" t="inlineStr">
        <is>
          <t xml:space="preserve">  - Finance costs recognized in profit or loss</t>
        </is>
      </c>
      <c r="B55" s="13" t="inlineStr">
        <is>
          <t>Note 6</t>
        </is>
      </c>
      <c r="C55" s="21" t="n">
        <v>650000</v>
      </c>
      <c r="D55" s="21" t="n">
        <v>350000</v>
      </c>
      <c r="E55" s="7" t="inlineStr">
        <is>
          <t>Financing Reclassification</t>
        </is>
      </c>
    </row>
    <row r="56">
      <c r="A56" s="6" t="inlineStr">
        <is>
          <t>Operating profit before working capital changes</t>
        </is>
      </c>
      <c r="B56" s="59" t="n"/>
      <c r="C56" s="21">
        <f>SUM(C51:C55)</f>
        <v/>
      </c>
      <c r="D56" s="21">
        <f>SUM(D51:D55)</f>
        <v/>
      </c>
      <c r="E56" s="7" t="inlineStr">
        <is>
          <t>TIED OUT</t>
        </is>
      </c>
    </row>
    <row r="57">
      <c r="A57" s="6" t="inlineStr">
        <is>
          <t>Working capital changes:</t>
        </is>
      </c>
      <c r="B57" s="59" t="n"/>
      <c r="C57" s="59" t="n"/>
      <c r="D57" s="59" t="n"/>
      <c r="E57" s="7" t="n"/>
    </row>
    <row r="58">
      <c r="A58" s="6" t="inlineStr">
        <is>
          <t xml:space="preserve">  - (Increase) in development inventories and WIP</t>
        </is>
      </c>
      <c r="B58" s="13" t="inlineStr">
        <is>
          <t>Note 8</t>
        </is>
      </c>
      <c r="C58" s="21" t="n">
        <v>-10500000</v>
      </c>
      <c r="D58" s="21" t="n">
        <v>-5150000</v>
      </c>
      <c r="E58" s="7" t="inlineStr">
        <is>
          <t>IAS 2 Inventory Delta</t>
        </is>
      </c>
    </row>
    <row r="59">
      <c r="A59" s="6" t="inlineStr">
        <is>
          <t xml:space="preserve">  - (Increase) in contract assets</t>
        </is>
      </c>
      <c r="B59" s="13" t="inlineStr">
        <is>
          <t>Note 9</t>
        </is>
      </c>
      <c r="C59" s="21" t="n">
        <v>-2700000</v>
      </c>
      <c r="D59" s="21" t="n">
        <v>-1750000</v>
      </c>
      <c r="E59" s="7" t="inlineStr">
        <is>
          <t>IFRS 15 Asset Delta</t>
        </is>
      </c>
    </row>
    <row r="60">
      <c r="A60" s="6" t="inlineStr">
        <is>
          <t xml:space="preserve">  - (Increase) in trade and other receivables</t>
        </is>
      </c>
      <c r="B60" s="13" t="inlineStr">
        <is>
          <t>Note 10</t>
        </is>
      </c>
      <c r="C60" s="21" t="n">
        <v>-6070000</v>
      </c>
      <c r="D60" s="21" t="n">
        <v>-3930000</v>
      </c>
      <c r="E60" s="7" t="inlineStr">
        <is>
          <t>Receivables Delta</t>
        </is>
      </c>
    </row>
    <row r="61">
      <c r="A61" s="6" t="inlineStr">
        <is>
          <t xml:space="preserve">  - Increase in trade and other payables</t>
        </is>
      </c>
      <c r="B61" s="13" t="inlineStr">
        <is>
          <t>Note 14</t>
        </is>
      </c>
      <c r="C61" s="21" t="n">
        <v>3158000</v>
      </c>
      <c r="D61" s="21" t="n">
        <v>2055265</v>
      </c>
      <c r="E61" s="7" t="inlineStr">
        <is>
          <t>Payables Delta</t>
        </is>
      </c>
    </row>
    <row r="62">
      <c r="A62" s="6" t="inlineStr">
        <is>
          <t xml:space="preserve">  - Increase in contract liabilities (advances)</t>
        </is>
      </c>
      <c r="B62" s="13" t="inlineStr">
        <is>
          <t>Note 13</t>
        </is>
      </c>
      <c r="C62" s="21" t="n">
        <v>2200000</v>
      </c>
      <c r="D62" s="21" t="n">
        <v>1200000</v>
      </c>
      <c r="E62" s="7" t="inlineStr">
        <is>
          <t>IFRS 15 Liability Delta</t>
        </is>
      </c>
    </row>
    <row r="63">
      <c r="A63" s="6" t="inlineStr">
        <is>
          <t>Cash generated from operations</t>
        </is>
      </c>
      <c r="B63" s="59" t="n"/>
      <c r="C63" s="21">
        <f>C56+SUM(C58:C62)</f>
        <v/>
      </c>
      <c r="D63" s="21">
        <f>D56+SUM(D58:D62)</f>
        <v/>
      </c>
      <c r="E63" s="7" t="inlineStr">
        <is>
          <t>TIED OUT</t>
        </is>
      </c>
    </row>
    <row r="64">
      <c r="A64" s="6" t="inlineStr">
        <is>
          <t xml:space="preserve">  - Income taxes paid</t>
        </is>
      </c>
      <c r="B64" s="13" t="inlineStr">
        <is>
          <t>Note 16</t>
        </is>
      </c>
      <c r="C64" s="21" t="n">
        <v>-4886630</v>
      </c>
      <c r="D64" s="21" t="n">
        <v>-2200000</v>
      </c>
      <c r="E64" s="7" t="inlineStr">
        <is>
          <t>Operating Tax Cash Flow</t>
        </is>
      </c>
    </row>
    <row r="65">
      <c r="A65" s="6" t="inlineStr">
        <is>
          <t xml:space="preserve">  - Interest paid on project facilities</t>
        </is>
      </c>
      <c r="B65" s="13" t="inlineStr">
        <is>
          <t>Note 6</t>
        </is>
      </c>
      <c r="C65" s="21" t="n">
        <v>-650000</v>
      </c>
      <c r="D65" s="21" t="n">
        <v>-350000</v>
      </c>
      <c r="E65" s="7" t="inlineStr">
        <is>
          <t>Operating Interest Cash Flow</t>
        </is>
      </c>
    </row>
    <row r="66">
      <c r="A66" s="8" t="inlineStr">
        <is>
          <t>Net cash flows from operating activities</t>
        </is>
      </c>
      <c r="B66" s="50" t="n"/>
      <c r="C66" s="17">
        <f>C63+C64+C65</f>
        <v/>
      </c>
      <c r="D66" s="17">
        <f>D63+D64+D65</f>
        <v/>
      </c>
      <c r="E66" s="10" t="inlineStr">
        <is>
          <t>TIED OUT</t>
        </is>
      </c>
    </row>
    <row r="67">
      <c r="A67" s="51" t="inlineStr">
        <is>
          <t>CASH FLOWS FROM INVESTING ACTIVITIES</t>
        </is>
      </c>
      <c r="B67" s="52" t="n"/>
      <c r="C67" s="52" t="n"/>
      <c r="D67" s="52" t="n"/>
      <c r="E67" s="60" t="n"/>
    </row>
    <row r="68">
      <c r="A68" s="6" t="inlineStr">
        <is>
          <t>Purchase of property, plant and equipment</t>
        </is>
      </c>
      <c r="B68" s="13" t="inlineStr">
        <is>
          <t>Note 7</t>
        </is>
      </c>
      <c r="C68" s="21" t="n">
        <v>-3600000</v>
      </c>
      <c r="D68" s="21" t="n">
        <v>-2700000</v>
      </c>
      <c r="E68" s="7" t="inlineStr">
        <is>
          <t>IAS 16 Cash Additions</t>
        </is>
      </c>
    </row>
    <row r="69">
      <c r="A69" s="8" t="inlineStr">
        <is>
          <t>Net cash flows used in investing activities</t>
        </is>
      </c>
      <c r="B69" s="50" t="n"/>
      <c r="C69" s="17">
        <f>C68</f>
        <v/>
      </c>
      <c r="D69" s="17">
        <f>D68</f>
        <v/>
      </c>
      <c r="E69" s="10" t="inlineStr">
        <is>
          <t>TIED OUT</t>
        </is>
      </c>
    </row>
    <row r="70">
      <c r="A70" s="51" t="inlineStr">
        <is>
          <t>CASH FLOWS FROM FINANCING ACTIVITIES</t>
        </is>
      </c>
      <c r="B70" s="52" t="n"/>
      <c r="C70" s="52" t="n"/>
      <c r="D70" s="52" t="n"/>
      <c r="E70" s="60" t="n"/>
    </row>
    <row r="71">
      <c r="A71" s="6" t="inlineStr">
        <is>
          <t>Proceeds from director's project loans</t>
        </is>
      </c>
      <c r="B71" s="13" t="inlineStr">
        <is>
          <t>Note 17</t>
        </is>
      </c>
      <c r="C71" s="21" t="n">
        <v>1700000</v>
      </c>
      <c r="D71" s="21" t="n">
        <v>1300000</v>
      </c>
      <c r="E71" s="7" t="inlineStr">
        <is>
          <t>IAS 24 Related Party</t>
        </is>
      </c>
    </row>
    <row r="72">
      <c r="A72" s="8" t="inlineStr">
        <is>
          <t>Net cash flows from financing activities</t>
        </is>
      </c>
      <c r="B72" s="50" t="n"/>
      <c r="C72" s="17">
        <f>C71</f>
        <v/>
      </c>
      <c r="D72" s="17">
        <f>D71</f>
        <v/>
      </c>
      <c r="E72" s="10" t="inlineStr">
        <is>
          <t>TIED OUT</t>
        </is>
      </c>
    </row>
    <row r="73">
      <c r="A73" s="6" t="inlineStr">
        <is>
          <t>Net increase in cash and cash equivalents</t>
        </is>
      </c>
      <c r="B73" s="59" t="n"/>
      <c r="C73" s="21">
        <f>C66+C69+C72</f>
        <v/>
      </c>
      <c r="D73" s="21">
        <f>D66+D69+D72</f>
        <v/>
      </c>
      <c r="E73" s="7" t="inlineStr">
        <is>
          <t>Net Annual Liquidity Delta</t>
        </is>
      </c>
    </row>
    <row r="74">
      <c r="A74" s="6" t="inlineStr">
        <is>
          <t>Cash and cash equivalents at 1 January</t>
        </is>
      </c>
      <c r="B74" s="13" t="inlineStr">
        <is>
          <t>Note 11</t>
        </is>
      </c>
      <c r="C74" s="21" t="n">
        <v>5142678</v>
      </c>
      <c r="D74" s="21" t="n">
        <v>2842403</v>
      </c>
      <c r="E74" s="7" t="inlineStr">
        <is>
          <t>Opening Cash B/F</t>
        </is>
      </c>
    </row>
    <row r="75">
      <c r="A75" s="23" t="inlineStr">
        <is>
          <t>CASH AND CASH EQUIVALENTS AT 31 DECEMBER</t>
        </is>
      </c>
      <c r="B75" s="45" t="inlineStr">
        <is>
          <t>Note 11</t>
        </is>
      </c>
      <c r="C75" s="24">
        <f>C73+C74</f>
        <v/>
      </c>
      <c r="D75" s="24">
        <f>D73+D74</f>
        <v/>
      </c>
      <c r="E75" s="61" t="inlineStr">
        <is>
          <t>TIED TO SFP NOTE 11</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63"/>
  <sheetViews>
    <sheetView showGridLines="1" workbookViewId="0">
      <pane ySplit="4" topLeftCell="A5" activePane="bottomLeft" state="frozen"/>
      <selection pane="bottomLeft" activeCell="A1" sqref="A1"/>
    </sheetView>
  </sheetViews>
  <sheetFormatPr baseColWidth="8" defaultRowHeight="15"/>
  <cols>
    <col width="105" customWidth="1" min="1" max="1"/>
    <col width="45" customWidth="1" min="2" max="2"/>
    <col width="66" customWidth="1" min="3" max="3"/>
    <col width="20" customWidth="1" min="4" max="4"/>
    <col width="20" customWidth="1" min="5" max="5"/>
    <col width="30" customWidth="1" min="6" max="6"/>
  </cols>
  <sheetData>
    <row r="1">
      <c r="A1" s="1" t="inlineStr">
        <is>
          <t>BAAY PROJECTS LIMITED — NOTES TO THE FINANCIAL STATEMENTS (FY 2025)</t>
        </is>
      </c>
    </row>
    <row r="2">
      <c r="A2" s="3" t="inlineStr">
        <is>
          <t>Numbered Notes 1 to 28 Supporting the Audited Financial Statements for the Year Ended 31 December 2025</t>
        </is>
      </c>
    </row>
    <row r="3"/>
    <row r="4">
      <c r="A4" s="4" t="inlineStr">
        <is>
          <t>Note #</t>
        </is>
      </c>
      <c r="B4" s="4" t="inlineStr">
        <is>
          <t>Note Description / Accounting Line</t>
        </is>
      </c>
      <c r="C4" s="4" t="inlineStr">
        <is>
          <t>Sub-Item Breakdown</t>
        </is>
      </c>
      <c r="D4" s="4" t="inlineStr">
        <is>
          <t>31 Dec 2025 (NGN)</t>
        </is>
      </c>
      <c r="E4" s="4" t="inlineStr">
        <is>
          <t>31 Dec 2024 (NGN)</t>
        </is>
      </c>
      <c r="F4" s="4" t="inlineStr">
        <is>
          <t>IFRS Standard / Disclosures</t>
        </is>
      </c>
    </row>
    <row r="5">
      <c r="A5" s="30" t="inlineStr">
        <is>
          <t>Note 1</t>
        </is>
      </c>
      <c r="B5" s="9" t="inlineStr">
        <is>
          <t>General Information</t>
        </is>
      </c>
      <c r="C5" s="9" t="inlineStr">
        <is>
          <t>Corporate Profile, RC 1526224, Registered in Nigeria under CAMA</t>
        </is>
      </c>
      <c r="D5" s="50" t="n"/>
      <c r="E5" s="50" t="n"/>
      <c r="F5" s="48" t="inlineStr">
        <is>
          <t>IAS 1.51</t>
        </is>
      </c>
    </row>
    <row r="6">
      <c r="A6" s="29" t="inlineStr">
        <is>
          <t>Note 2</t>
        </is>
      </c>
      <c r="B6" s="6" t="inlineStr">
        <is>
          <t>Basis of Preparation &amp; Accounting Policies</t>
        </is>
      </c>
      <c r="C6" s="6" t="inlineStr">
        <is>
          <t>Compliance with full IFRS, FRCN &amp; historical cost convention</t>
        </is>
      </c>
      <c r="D6" s="59" t="n"/>
      <c r="E6" s="59" t="n"/>
      <c r="F6" s="49" t="inlineStr">
        <is>
          <t>IAS 1.112</t>
        </is>
      </c>
    </row>
    <row r="7">
      <c r="A7" s="30" t="inlineStr">
        <is>
          <t>Note 3</t>
        </is>
      </c>
      <c r="B7" s="9" t="inlineStr">
        <is>
          <t>Revenue from Contracts with Customers</t>
        </is>
      </c>
      <c r="C7" s="9" t="inlineStr">
        <is>
          <t>Civil Engineering &amp; Building Construction Contracts</t>
        </is>
      </c>
      <c r="D7" s="22" t="n">
        <v>68000000</v>
      </c>
      <c r="E7" s="22" t="n">
        <v>38000000</v>
      </c>
      <c r="F7" s="48" t="inlineStr">
        <is>
          <t>IFRS 15 Over Time</t>
        </is>
      </c>
    </row>
    <row r="8">
      <c r="A8" s="29" t="inlineStr">
        <is>
          <t>Note 3</t>
        </is>
      </c>
      <c r="B8" s="6" t="inlineStr">
        <is>
          <t>Revenue from Contracts with Customers</t>
        </is>
      </c>
      <c r="C8" s="6" t="inlineStr">
        <is>
          <t>Land Subdivision &amp; Serviced Plot Resale</t>
        </is>
      </c>
      <c r="D8" s="21" t="n">
        <v>32500000</v>
      </c>
      <c r="E8" s="21" t="n">
        <v>19500000</v>
      </c>
      <c r="F8" s="49" t="inlineStr">
        <is>
          <t>IFRS 15 Point in Time</t>
        </is>
      </c>
    </row>
    <row r="9">
      <c r="A9" s="30" t="inlineStr">
        <is>
          <t>Note 3</t>
        </is>
      </c>
      <c r="B9" s="9" t="inlineStr">
        <is>
          <t>Revenue from Contracts with Customers</t>
        </is>
      </c>
      <c r="C9" s="9" t="inlineStr">
        <is>
          <t>Project Management &amp; Engineering Consulting Services</t>
        </is>
      </c>
      <c r="D9" s="22" t="n">
        <v>12000000</v>
      </c>
      <c r="E9" s="22" t="n">
        <v>6700000</v>
      </c>
      <c r="F9" s="48" t="inlineStr">
        <is>
          <t>IFRS 15 Over Time</t>
        </is>
      </c>
    </row>
    <row r="10">
      <c r="A10" s="47" t="inlineStr">
        <is>
          <t>Note 3</t>
        </is>
      </c>
      <c r="B10" s="23" t="inlineStr">
        <is>
          <t>TOTAL REVENUE</t>
        </is>
      </c>
      <c r="C10" s="23" t="inlineStr">
        <is>
          <t>Gross Statutory Turnover</t>
        </is>
      </c>
      <c r="D10" s="24">
        <f>SUM(D7:D9)</f>
        <v/>
      </c>
      <c r="E10" s="24">
        <f>SUM(E7:E9)</f>
        <v/>
      </c>
      <c r="F10" s="26" t="inlineStr">
        <is>
          <t>TIED TO SPLOCI</t>
        </is>
      </c>
    </row>
    <row r="11">
      <c r="A11" s="30" t="inlineStr">
        <is>
          <t>Note 4</t>
        </is>
      </c>
      <c r="B11" s="9" t="inlineStr">
        <is>
          <t>Cost of Sales</t>
        </is>
      </c>
      <c r="C11" s="9" t="inlineStr">
        <is>
          <t>Construction Materials &amp; Subcontracting Services</t>
        </is>
      </c>
      <c r="D11" s="22" t="n">
        <v>45600000</v>
      </c>
      <c r="E11" s="22" t="n">
        <v>26400000</v>
      </c>
      <c r="F11" s="48" t="inlineStr">
        <is>
          <t>IAS 2 Direct Materials</t>
        </is>
      </c>
    </row>
    <row r="12">
      <c r="A12" s="29" t="inlineStr">
        <is>
          <t>Note 4</t>
        </is>
      </c>
      <c r="B12" s="6" t="inlineStr">
        <is>
          <t>Cost of Sales</t>
        </is>
      </c>
      <c r="C12" s="6" t="inlineStr">
        <is>
          <t>Land Inventory Released on Sold Plots</t>
        </is>
      </c>
      <c r="D12" s="21" t="n">
        <v>21400000</v>
      </c>
      <c r="E12" s="21" t="n">
        <v>11800000</v>
      </c>
      <c r="F12" s="49" t="inlineStr">
        <is>
          <t>IAS 2 Inventory Cost</t>
        </is>
      </c>
    </row>
    <row r="13">
      <c r="A13" s="30" t="inlineStr">
        <is>
          <t>Note 4</t>
        </is>
      </c>
      <c r="B13" s="9" t="inlineStr">
        <is>
          <t>Cost of Sales</t>
        </is>
      </c>
      <c r="C13" s="9" t="inlineStr">
        <is>
          <t>Direct Site Labor &amp; Heavy Equipment Rentals</t>
        </is>
      </c>
      <c r="D13" s="22" t="n">
        <v>5800000</v>
      </c>
      <c r="E13" s="22" t="n">
        <v>3300000</v>
      </c>
      <c r="F13" s="48" t="inlineStr">
        <is>
          <t>IAS 2 Direct Labor</t>
        </is>
      </c>
    </row>
    <row r="14">
      <c r="A14" s="47" t="inlineStr">
        <is>
          <t>Note 4</t>
        </is>
      </c>
      <c r="B14" s="23" t="inlineStr">
        <is>
          <t>TOTAL COST OF SALES</t>
        </is>
      </c>
      <c r="C14" s="23" t="inlineStr">
        <is>
          <t>Direct Contract &amp; Property Costs</t>
        </is>
      </c>
      <c r="D14" s="24">
        <f>SUM(D11:D13)</f>
        <v/>
      </c>
      <c r="E14" s="24">
        <f>SUM(E11:E13)</f>
        <v/>
      </c>
      <c r="F14" s="26" t="inlineStr">
        <is>
          <t>TIED TO SPLOCI</t>
        </is>
      </c>
    </row>
    <row r="15">
      <c r="A15" s="30" t="inlineStr">
        <is>
          <t>Note 5</t>
        </is>
      </c>
      <c r="B15" s="9" t="inlineStr">
        <is>
          <t>Administrative &amp; Operating Expenses</t>
        </is>
      </c>
      <c r="C15" s="9" t="inlineStr">
        <is>
          <t>Staff Salaries, Wages &amp; Allowances</t>
        </is>
      </c>
      <c r="D15" s="22" t="n">
        <v>7200000</v>
      </c>
      <c r="E15" s="22" t="n">
        <v>4200000</v>
      </c>
      <c r="F15" s="48" t="inlineStr">
        <is>
          <t>IAS 19 Employee Costs</t>
        </is>
      </c>
    </row>
    <row r="16">
      <c r="A16" s="29" t="inlineStr">
        <is>
          <t>Note 5</t>
        </is>
      </c>
      <c r="B16" s="6" t="inlineStr">
        <is>
          <t>Administrative &amp; Operating Expenses</t>
        </is>
      </c>
      <c r="C16" s="6" t="inlineStr">
        <is>
          <t>Site Office Rent &amp; Facility Maintenance</t>
        </is>
      </c>
      <c r="D16" s="21" t="n">
        <v>2400000</v>
      </c>
      <c r="E16" s="21" t="n">
        <v>1450000</v>
      </c>
      <c r="F16" s="49" t="inlineStr">
        <is>
          <t>Operating Overheads</t>
        </is>
      </c>
    </row>
    <row r="17">
      <c r="A17" s="30" t="inlineStr">
        <is>
          <t>Note 5</t>
        </is>
      </c>
      <c r="B17" s="9" t="inlineStr">
        <is>
          <t>Administrative &amp; Operating Expenses</t>
        </is>
      </c>
      <c r="C17" s="9" t="inlineStr">
        <is>
          <t>Professional, Legal &amp; Regulatory Compliance Fees</t>
        </is>
      </c>
      <c r="D17" s="22" t="n">
        <v>1650000</v>
      </c>
      <c r="E17" s="22" t="n">
        <v>980000</v>
      </c>
      <c r="F17" s="48" t="inlineStr">
        <is>
          <t>Professional Services</t>
        </is>
      </c>
    </row>
    <row r="18">
      <c r="A18" s="29" t="inlineStr">
        <is>
          <t>Note 5</t>
        </is>
      </c>
      <c r="B18" s="6" t="inlineStr">
        <is>
          <t>Administrative &amp; Operating Expenses</t>
        </is>
      </c>
      <c r="C18" s="6" t="inlineStr">
        <is>
          <t>Statutory Audit &amp; Tax Advisory Fees</t>
        </is>
      </c>
      <c r="D18" s="21" t="n">
        <v>650000</v>
      </c>
      <c r="E18" s="21" t="n">
        <v>450000</v>
      </c>
      <c r="F18" s="49" t="inlineStr">
        <is>
          <t>Audit Fees Accrual</t>
        </is>
      </c>
    </row>
    <row r="19">
      <c r="A19" s="30" t="inlineStr">
        <is>
          <t>Note 5</t>
        </is>
      </c>
      <c r="B19" s="9" t="inlineStr">
        <is>
          <t>Administrative &amp; Operating Expenses</t>
        </is>
      </c>
      <c r="C19" s="9" t="inlineStr">
        <is>
          <t>Bank Charges, Commission on Turnover &amp; Electronic Levies</t>
        </is>
      </c>
      <c r="D19" s="22" t="n">
        <v>680000</v>
      </c>
      <c r="E19" s="22" t="n">
        <v>420000</v>
      </c>
      <c r="F19" s="48" t="inlineStr">
        <is>
          <t>Financial Services</t>
        </is>
      </c>
    </row>
    <row r="20">
      <c r="A20" s="29" t="inlineStr">
        <is>
          <t>Note 5</t>
        </is>
      </c>
      <c r="B20" s="6" t="inlineStr">
        <is>
          <t>Administrative &amp; Operating Expenses</t>
        </is>
      </c>
      <c r="C20" s="6" t="inlineStr">
        <is>
          <t>Motor Vehicle Fuel, Maintenance &amp; Site Logistics</t>
        </is>
      </c>
      <c r="D20" s="21" t="n">
        <v>1250000</v>
      </c>
      <c r="E20" s="21" t="n">
        <v>750000</v>
      </c>
      <c r="F20" s="49" t="inlineStr">
        <is>
          <t>Transport &amp; Travel</t>
        </is>
      </c>
    </row>
    <row r="21">
      <c r="A21" s="30" t="inlineStr">
        <is>
          <t>Note 5</t>
        </is>
      </c>
      <c r="B21" s="9" t="inlineStr">
        <is>
          <t>Administrative &amp; Operating Expenses</t>
        </is>
      </c>
      <c r="C21" s="9" t="inlineStr">
        <is>
          <t>Depreciation of Property, Plant &amp; Equipment</t>
        </is>
      </c>
      <c r="D21" s="22" t="n">
        <v>1285000</v>
      </c>
      <c r="E21" s="22" t="n">
        <v>715000</v>
      </c>
      <c r="F21" s="48" t="inlineStr">
        <is>
          <t>IAS 16 Depreciation</t>
        </is>
      </c>
    </row>
    <row r="22">
      <c r="A22" s="29" t="inlineStr">
        <is>
          <t>Note 5</t>
        </is>
      </c>
      <c r="B22" s="6" t="inlineStr">
        <is>
          <t>Administrative &amp; Operating Expenses</t>
        </is>
      </c>
      <c r="C22" s="6" t="inlineStr">
        <is>
          <t>IFRS 9 Expected Credit Loss Allowance on Receivables</t>
        </is>
      </c>
      <c r="D22" s="21" t="n">
        <v>395000</v>
      </c>
      <c r="E22" s="21" t="n">
        <v>260000</v>
      </c>
      <c r="F22" s="49" t="inlineStr">
        <is>
          <t>IFRS 9 Impairment</t>
        </is>
      </c>
    </row>
    <row r="23">
      <c r="A23" s="30" t="inlineStr">
        <is>
          <t>Note 5</t>
        </is>
      </c>
      <c r="B23" s="9" t="inlineStr">
        <is>
          <t>Administrative &amp; Operating Expenses</t>
        </is>
      </c>
      <c r="C23" s="9" t="inlineStr">
        <is>
          <t>General Office Administration, Security &amp; Utilities</t>
        </is>
      </c>
      <c r="D23" s="22" t="n">
        <v>940000</v>
      </c>
      <c r="E23" s="22" t="n">
        <v>625000</v>
      </c>
      <c r="F23" s="48" t="inlineStr">
        <is>
          <t>General Administration</t>
        </is>
      </c>
    </row>
    <row r="24">
      <c r="A24" s="47" t="inlineStr">
        <is>
          <t>Note 5</t>
        </is>
      </c>
      <c r="B24" s="23" t="inlineStr">
        <is>
          <t>TOTAL ADMINISTRATIVE EXPENSES</t>
        </is>
      </c>
      <c r="C24" s="23" t="inlineStr">
        <is>
          <t>Operating Overheads</t>
        </is>
      </c>
      <c r="D24" s="24">
        <f>SUM(D15:D23)</f>
        <v/>
      </c>
      <c r="E24" s="24">
        <f>SUM(E15:E23)</f>
        <v/>
      </c>
      <c r="F24" s="26" t="inlineStr">
        <is>
          <t>TIED TO SPLOCI</t>
        </is>
      </c>
    </row>
    <row r="25">
      <c r="A25" s="30" t="inlineStr">
        <is>
          <t>Note 6</t>
        </is>
      </c>
      <c r="B25" s="9" t="inlineStr">
        <is>
          <t>Finance Costs</t>
        </is>
      </c>
      <c r="C25" s="9" t="inlineStr">
        <is>
          <t>Interest Expense on Bank Project Facility</t>
        </is>
      </c>
      <c r="D25" s="22" t="n">
        <v>650000</v>
      </c>
      <c r="E25" s="22" t="n">
        <v>350000</v>
      </c>
      <c r="F25" s="48" t="inlineStr">
        <is>
          <t>IAS 23 Borrowing Costs</t>
        </is>
      </c>
    </row>
    <row r="26">
      <c r="A26" s="47" t="inlineStr">
        <is>
          <t>Note 6</t>
        </is>
      </c>
      <c r="B26" s="23" t="inlineStr">
        <is>
          <t>TOTAL FINANCE COSTS</t>
        </is>
      </c>
      <c r="C26" s="23" t="inlineStr">
        <is>
          <t>Net Finance Expense</t>
        </is>
      </c>
      <c r="D26" s="24">
        <f>D25</f>
        <v/>
      </c>
      <c r="E26" s="24">
        <f>E25</f>
        <v/>
      </c>
      <c r="F26" s="26" t="inlineStr">
        <is>
          <t>TIED TO SPLOCI</t>
        </is>
      </c>
    </row>
    <row r="27">
      <c r="A27" s="30" t="inlineStr">
        <is>
          <t>Note 7</t>
        </is>
      </c>
      <c r="B27" s="9" t="inlineStr">
        <is>
          <t>Property, Plant and Equipment</t>
        </is>
      </c>
      <c r="C27" s="9" t="inlineStr">
        <is>
          <t>Office &amp; Site Equipment Net Book Value</t>
        </is>
      </c>
      <c r="D27" s="22" t="n">
        <v>799540</v>
      </c>
      <c r="E27" s="22" t="n">
        <v>1047040</v>
      </c>
      <c r="F27" s="48" t="inlineStr">
        <is>
          <t>IAS 16 Carrying Amount</t>
        </is>
      </c>
    </row>
    <row r="28">
      <c r="A28" s="29" t="inlineStr">
        <is>
          <t>Note 7</t>
        </is>
      </c>
      <c r="B28" s="6" t="inlineStr">
        <is>
          <t>Property, Plant and Equipment</t>
        </is>
      </c>
      <c r="C28" s="6" t="inlineStr">
        <is>
          <t>Motor &amp; Project Vehicles Net Book Value</t>
        </is>
      </c>
      <c r="D28" s="21" t="n">
        <v>1687500</v>
      </c>
      <c r="E28" s="21" t="n">
        <v>2362500</v>
      </c>
      <c r="F28" s="49" t="inlineStr">
        <is>
          <t>IAS 16 Carrying Amount</t>
        </is>
      </c>
    </row>
    <row r="29">
      <c r="A29" s="30" t="inlineStr">
        <is>
          <t>Note 7</t>
        </is>
      </c>
      <c r="B29" s="9" t="inlineStr">
        <is>
          <t>Property, Plant and Equipment</t>
        </is>
      </c>
      <c r="C29" s="9" t="inlineStr">
        <is>
          <t>Plant &amp; Heavy Machinery Net Book Value</t>
        </is>
      </c>
      <c r="D29" s="22" t="n">
        <v>3237500</v>
      </c>
      <c r="E29" s="22" t="n">
        <v>0</v>
      </c>
      <c r="F29" s="48" t="inlineStr">
        <is>
          <t>IAS 16 Carrying Amount</t>
        </is>
      </c>
    </row>
    <row r="30">
      <c r="A30" s="47" t="inlineStr">
        <is>
          <t>Note 7</t>
        </is>
      </c>
      <c r="B30" s="23" t="inlineStr">
        <is>
          <t>TOTAL PROPERTY, PLANT AND EQUIPMENT</t>
        </is>
      </c>
      <c r="C30" s="23" t="inlineStr">
        <is>
          <t>Gross Cost ₦8,123,850 less Acc Dep ₦2,399,310</t>
        </is>
      </c>
      <c r="D30" s="24">
        <f>SUM(D27:D29)</f>
        <v/>
      </c>
      <c r="E30" s="24">
        <f>SUM(E27:E29)</f>
        <v/>
      </c>
      <c r="F30" s="26" t="inlineStr">
        <is>
          <t>TIED TO SFP</t>
        </is>
      </c>
    </row>
    <row r="31">
      <c r="A31" s="30" t="inlineStr">
        <is>
          <t>Note 8</t>
        </is>
      </c>
      <c r="B31" s="9" t="inlineStr">
        <is>
          <t>Inventories</t>
        </is>
      </c>
      <c r="C31" s="9" t="inlineStr">
        <is>
          <t>Land Held for Resale (Epe &amp; Ibeju Schemes)</t>
        </is>
      </c>
      <c r="D31" s="22" t="n">
        <v>14500000</v>
      </c>
      <c r="E31" s="22" t="n">
        <v>8200000</v>
      </c>
      <c r="F31" s="48" t="inlineStr">
        <is>
          <t>IAS 2 Lower of Cost/NRV</t>
        </is>
      </c>
    </row>
    <row r="32">
      <c r="A32" s="29" t="inlineStr">
        <is>
          <t>Note 8</t>
        </is>
      </c>
      <c r="B32" s="6" t="inlineStr">
        <is>
          <t>Inventories</t>
        </is>
      </c>
      <c r="C32" s="6" t="inlineStr">
        <is>
          <t>Construction Work-in-Progress (Lekki &amp; VI Projects)</t>
        </is>
      </c>
      <c r="D32" s="21" t="n">
        <v>9800000</v>
      </c>
      <c r="E32" s="21" t="n">
        <v>5600000</v>
      </c>
      <c r="F32" s="49" t="inlineStr">
        <is>
          <t>IAS 2 Lower of Cost/NRV</t>
        </is>
      </c>
    </row>
    <row r="33">
      <c r="A33" s="47" t="inlineStr">
        <is>
          <t>Note 8</t>
        </is>
      </c>
      <c r="B33" s="23" t="inlineStr">
        <is>
          <t>TOTAL INVENTORIES</t>
        </is>
      </c>
      <c r="C33" s="23" t="inlineStr">
        <is>
          <t>Development Land &amp; WIP</t>
        </is>
      </c>
      <c r="D33" s="24">
        <f>SUM(D31:D32)</f>
        <v/>
      </c>
      <c r="E33" s="24">
        <f>SUM(E31:E32)</f>
        <v/>
      </c>
      <c r="F33" s="26" t="inlineStr">
        <is>
          <t>TIED TO SFP</t>
        </is>
      </c>
    </row>
    <row r="34">
      <c r="A34" s="29" t="inlineStr">
        <is>
          <t>Note 9</t>
        </is>
      </c>
      <c r="B34" s="6" t="inlineStr">
        <is>
          <t>Contract Assets</t>
        </is>
      </c>
      <c r="C34" s="6" t="inlineStr">
        <is>
          <t>Unbilled Certified Construction Revenue</t>
        </is>
      </c>
      <c r="D34" s="21" t="n">
        <v>6850000</v>
      </c>
      <c r="E34" s="21" t="n">
        <v>4150000</v>
      </c>
      <c r="F34" s="49" t="inlineStr">
        <is>
          <t>IFRS 15 Unbilled Asset</t>
        </is>
      </c>
    </row>
    <row r="35">
      <c r="A35" s="47" t="inlineStr">
        <is>
          <t>Note 9</t>
        </is>
      </c>
      <c r="B35" s="23" t="inlineStr">
        <is>
          <t>TOTAL CONTRACT ASSETS</t>
        </is>
      </c>
      <c r="C35" s="23" t="inlineStr">
        <is>
          <t>Net Contract Assets</t>
        </is>
      </c>
      <c r="D35" s="24">
        <f>D34</f>
        <v/>
      </c>
      <c r="E35" s="24">
        <f>E34</f>
        <v/>
      </c>
      <c r="F35" s="26" t="inlineStr">
        <is>
          <t>TIED TO SFP</t>
        </is>
      </c>
    </row>
    <row r="36">
      <c r="A36" s="29" t="inlineStr">
        <is>
          <t>Note 10</t>
        </is>
      </c>
      <c r="B36" s="6" t="inlineStr">
        <is>
          <t>Trade and Other Receivables</t>
        </is>
      </c>
      <c r="C36" s="6" t="inlineStr">
        <is>
          <t>Gross Trade Receivables from Clients</t>
        </is>
      </c>
      <c r="D36" s="21" t="n">
        <v>9200000</v>
      </c>
      <c r="E36" s="21" t="n">
        <v>5800000</v>
      </c>
      <c r="F36" s="49" t="inlineStr">
        <is>
          <t>Amortized Cost</t>
        </is>
      </c>
    </row>
    <row r="37">
      <c r="A37" s="30" t="inlineStr">
        <is>
          <t>Note 10</t>
        </is>
      </c>
      <c r="B37" s="9" t="inlineStr">
        <is>
          <t>Trade and Other Receivables</t>
        </is>
      </c>
      <c r="C37" s="9" t="inlineStr">
        <is>
          <t>Less: Allowance for Expected Credit Losses (IFRS 9)</t>
        </is>
      </c>
      <c r="D37" s="22" t="n">
        <v>-840000</v>
      </c>
      <c r="E37" s="22" t="n">
        <v>-445000</v>
      </c>
      <c r="F37" s="48" t="inlineStr">
        <is>
          <t>IFRS 9 ECL Provision</t>
        </is>
      </c>
    </row>
    <row r="38">
      <c r="A38" s="29" t="inlineStr">
        <is>
          <t>Note 10</t>
        </is>
      </c>
      <c r="B38" s="6" t="inlineStr">
        <is>
          <t>Trade and Other Receivables</t>
        </is>
      </c>
      <c r="C38" s="6" t="inlineStr">
        <is>
          <t>Withholding Tax (WHT) Credit Notes Receivable</t>
        </is>
      </c>
      <c r="D38" s="21" t="n">
        <v>4850000</v>
      </c>
      <c r="E38" s="21" t="n">
        <v>2650000</v>
      </c>
      <c r="F38" s="49" t="inlineStr">
        <is>
          <t>FIRS Credit Notes</t>
        </is>
      </c>
    </row>
    <row r="39">
      <c r="A39" s="30" t="inlineStr">
        <is>
          <t>Note 10</t>
        </is>
      </c>
      <c r="B39" s="9" t="inlineStr">
        <is>
          <t>Trade and Other Receivables</t>
        </is>
      </c>
      <c r="C39" s="9" t="inlineStr">
        <is>
          <t>Prepayments &amp; Site Advances to Suppliers</t>
        </is>
      </c>
      <c r="D39" s="22" t="n">
        <v>1150000</v>
      </c>
      <c r="E39" s="22" t="n">
        <v>680000</v>
      </c>
      <c r="F39" s="48" t="inlineStr">
        <is>
          <t>Operating Prepayments</t>
        </is>
      </c>
    </row>
    <row r="40">
      <c r="A40" s="47" t="inlineStr">
        <is>
          <t>Note 10</t>
        </is>
      </c>
      <c r="B40" s="23" t="inlineStr">
        <is>
          <t>TOTAL TRADE AND OTHER RECEIVABLES</t>
        </is>
      </c>
      <c r="C40" s="23" t="inlineStr">
        <is>
          <t>Net Trade &amp; Other Receivables</t>
        </is>
      </c>
      <c r="D40" s="24">
        <f>SUM(D36:D39)</f>
        <v/>
      </c>
      <c r="E40" s="24">
        <f>SUM(E36:E39)</f>
        <v/>
      </c>
      <c r="F40" s="26" t="inlineStr">
        <is>
          <t>TIED TO SFP</t>
        </is>
      </c>
    </row>
    <row r="41">
      <c r="A41" s="30" t="inlineStr">
        <is>
          <t>Note 11</t>
        </is>
      </c>
      <c r="B41" s="9" t="inlineStr">
        <is>
          <t>Cash and Cash Equivalents</t>
        </is>
      </c>
      <c r="C41" s="9" t="inlineStr">
        <is>
          <t>Providus Bank Plc (A/C 5400281942)</t>
        </is>
      </c>
      <c r="D41" s="22" t="n">
        <v>6420110</v>
      </c>
      <c r="E41" s="22" t="n">
        <v>3850210</v>
      </c>
      <c r="F41" s="48" t="inlineStr">
        <is>
          <t>Primary Operating A/C</t>
        </is>
      </c>
    </row>
    <row r="42">
      <c r="A42" s="29" t="inlineStr">
        <is>
          <t>Note 11</t>
        </is>
      </c>
      <c r="B42" s="6" t="inlineStr">
        <is>
          <t>Cash and Cash Equivalents</t>
        </is>
      </c>
      <c r="C42" s="6" t="inlineStr">
        <is>
          <t>First Bank of Nigeria Limited (A/C 2034891102)</t>
        </is>
      </c>
      <c r="D42" s="21" t="n">
        <v>1840550</v>
      </c>
      <c r="E42" s="21" t="n">
        <v>980118</v>
      </c>
      <c r="F42" s="49" t="inlineStr">
        <is>
          <t>Site Collection A/C</t>
        </is>
      </c>
    </row>
    <row r="43">
      <c r="A43" s="30" t="inlineStr">
        <is>
          <t>Note 11</t>
        </is>
      </c>
      <c r="B43" s="9" t="inlineStr">
        <is>
          <t>Cash and Cash Equivalents</t>
        </is>
      </c>
      <c r="C43" s="9" t="inlineStr">
        <is>
          <t>Sterling Bank Plc (A/C 0078451290)</t>
        </is>
      </c>
      <c r="D43" s="22" t="n">
        <v>663388</v>
      </c>
      <c r="E43" s="22" t="n">
        <v>312350</v>
      </c>
      <c r="F43" s="48" t="inlineStr">
        <is>
          <t>Disbursement A/C</t>
        </is>
      </c>
    </row>
    <row r="44">
      <c r="A44" s="47" t="inlineStr">
        <is>
          <t>Note 11</t>
        </is>
      </c>
      <c r="B44" s="23" t="inlineStr">
        <is>
          <t>TOTAL CASH AND CASH EQUIVALENTS</t>
        </is>
      </c>
      <c r="C44" s="23" t="inlineStr">
        <is>
          <t>Reconciled Cash Balances</t>
        </is>
      </c>
      <c r="D44" s="24">
        <f>SUM(D41:D43)</f>
        <v/>
      </c>
      <c r="E44" s="24">
        <f>SUM(E41:E43)</f>
        <v/>
      </c>
      <c r="F44" s="26" t="inlineStr">
        <is>
          <t>TIED TO SFP</t>
        </is>
      </c>
    </row>
    <row r="45">
      <c r="A45" s="30" t="inlineStr">
        <is>
          <t>Note 13</t>
        </is>
      </c>
      <c r="B45" s="9" t="inlineStr">
        <is>
          <t>Contract Liabilities</t>
        </is>
      </c>
      <c r="C45" s="9" t="inlineStr">
        <is>
          <t>Customer Mobilization Advances &amp; Off-Plan Deposits</t>
        </is>
      </c>
      <c r="D45" s="22" t="n">
        <v>5800000</v>
      </c>
      <c r="E45" s="22" t="n">
        <v>3600000</v>
      </c>
      <c r="F45" s="48" t="inlineStr">
        <is>
          <t>IFRS 15 Advances</t>
        </is>
      </c>
    </row>
    <row r="46">
      <c r="A46" s="47" t="inlineStr">
        <is>
          <t>Note 13</t>
        </is>
      </c>
      <c r="B46" s="23" t="inlineStr">
        <is>
          <t>TOTAL CONTRACT LIABILITIES</t>
        </is>
      </c>
      <c r="C46" s="23" t="inlineStr">
        <is>
          <t>Performance Obligations Due</t>
        </is>
      </c>
      <c r="D46" s="24">
        <f>D45</f>
        <v/>
      </c>
      <c r="E46" s="24">
        <f>E45</f>
        <v/>
      </c>
      <c r="F46" s="26" t="inlineStr">
        <is>
          <t>TIED TO SFP</t>
        </is>
      </c>
    </row>
    <row r="47">
      <c r="A47" s="30" t="inlineStr">
        <is>
          <t>Note 14</t>
        </is>
      </c>
      <c r="B47" s="9" t="inlineStr">
        <is>
          <t>Trade and Other Payables</t>
        </is>
      </c>
      <c r="C47" s="9" t="inlineStr">
        <is>
          <t>Trade Payables - Subcontractors &amp; Materials</t>
        </is>
      </c>
      <c r="D47" s="22" t="n">
        <v>6450000</v>
      </c>
      <c r="E47" s="22" t="n">
        <v>3850000</v>
      </c>
      <c r="F47" s="48" t="inlineStr">
        <is>
          <t>Trade Creditors</t>
        </is>
      </c>
    </row>
    <row r="48">
      <c r="A48" s="29" t="inlineStr">
        <is>
          <t>Note 14</t>
        </is>
      </c>
      <c r="B48" s="6" t="inlineStr">
        <is>
          <t>Trade and Other Payables</t>
        </is>
      </c>
      <c r="C48" s="6" t="inlineStr">
        <is>
          <t>Accrued Statutory Audit &amp; Professional Fees</t>
        </is>
      </c>
      <c r="D48" s="21" t="n">
        <v>850000</v>
      </c>
      <c r="E48" s="21" t="n">
        <v>550000</v>
      </c>
      <c r="F48" s="49" t="inlineStr">
        <is>
          <t>Audit Accrual</t>
        </is>
      </c>
    </row>
    <row r="49">
      <c r="A49" s="30" t="inlineStr">
        <is>
          <t>Note 14</t>
        </is>
      </c>
      <c r="B49" s="9" t="inlineStr">
        <is>
          <t>Trade and Other Payables</t>
        </is>
      </c>
      <c r="C49" s="9" t="inlineStr">
        <is>
          <t>Other Accrued Operating Expenses &amp; Sundry Creditors</t>
        </is>
      </c>
      <c r="D49" s="22" t="n">
        <v>683500</v>
      </c>
      <c r="E49" s="22" t="n">
        <v>425500</v>
      </c>
      <c r="F49" s="48" t="inlineStr">
        <is>
          <t>Sundry Accruals</t>
        </is>
      </c>
    </row>
    <row r="50">
      <c r="A50" s="47" t="inlineStr">
        <is>
          <t>Note 14</t>
        </is>
      </c>
      <c r="B50" s="23" t="inlineStr">
        <is>
          <t>TOTAL TRADE AND OTHER PAYABLES</t>
        </is>
      </c>
      <c r="C50" s="23" t="inlineStr">
        <is>
          <t>Current Operating Liabilities</t>
        </is>
      </c>
      <c r="D50" s="24">
        <f>SUM(D47:D49)</f>
        <v/>
      </c>
      <c r="E50" s="24">
        <f>SUM(E47:E49)</f>
        <v/>
      </c>
      <c r="F50" s="26" t="inlineStr">
        <is>
          <t>TIED TO SFP</t>
        </is>
      </c>
    </row>
    <row r="51">
      <c r="A51" s="30" t="inlineStr">
        <is>
          <t>Note 15</t>
        </is>
      </c>
      <c r="B51" s="9" t="inlineStr">
        <is>
          <t>Deferred Taxation</t>
        </is>
      </c>
      <c r="C51" s="9" t="inlineStr">
        <is>
          <t>Deferred Tax Asset / (Liability) Closing Balance</t>
        </is>
      </c>
      <c r="D51" s="22" t="n">
        <v>-98500</v>
      </c>
      <c r="E51" s="22" t="n">
        <v>-16000</v>
      </c>
      <c r="F51" s="48" t="inlineStr">
        <is>
          <t>IAS 12 Net Liability</t>
        </is>
      </c>
    </row>
    <row r="52">
      <c r="A52" s="47" t="inlineStr">
        <is>
          <t>Note 15</t>
        </is>
      </c>
      <c r="B52" s="23" t="inlineStr">
        <is>
          <t>TOTAL DEFERRED TAXATION</t>
        </is>
      </c>
      <c r="C52" s="23" t="inlineStr">
        <is>
          <t>Recognized in Statement of Financial Position</t>
        </is>
      </c>
      <c r="D52" s="24">
        <f>D51</f>
        <v/>
      </c>
      <c r="E52" s="24">
        <f>E51</f>
        <v/>
      </c>
      <c r="F52" s="26" t="inlineStr">
        <is>
          <t>TIED TO SFP</t>
        </is>
      </c>
    </row>
    <row r="53">
      <c r="A53" s="30" t="inlineStr">
        <is>
          <t>Note 16</t>
        </is>
      </c>
      <c r="B53" s="9" t="inlineStr">
        <is>
          <t>Current Taxation</t>
        </is>
      </c>
      <c r="C53" s="9" t="inlineStr">
        <is>
          <t>Companies Income Tax (CIT) Provision</t>
        </is>
      </c>
      <c r="D53" s="22" t="n">
        <v>6825000</v>
      </c>
      <c r="E53" s="22" t="n">
        <v>2528000</v>
      </c>
      <c r="F53" s="48" t="inlineStr">
        <is>
          <t>30% CIT Large Co</t>
        </is>
      </c>
    </row>
    <row r="54">
      <c r="A54" s="29" t="inlineStr">
        <is>
          <t>Note 16</t>
        </is>
      </c>
      <c r="B54" s="6" t="inlineStr">
        <is>
          <t>Current Taxation</t>
        </is>
      </c>
      <c r="C54" s="6" t="inlineStr">
        <is>
          <t>Tertiary Education Tax (TET) Provision</t>
        </is>
      </c>
      <c r="D54" s="21" t="n">
        <v>735000</v>
      </c>
      <c r="E54" s="21" t="n">
        <v>408600</v>
      </c>
      <c r="F54" s="49" t="inlineStr">
        <is>
          <t>3% TETFA Rate</t>
        </is>
      </c>
    </row>
    <row r="55">
      <c r="A55" s="30" t="inlineStr">
        <is>
          <t>Note 16</t>
        </is>
      </c>
      <c r="B55" s="9" t="inlineStr">
        <is>
          <t>Current Taxation</t>
        </is>
      </c>
      <c r="C55" s="9" t="inlineStr">
        <is>
          <t>Police Trust Fund (PTF) Levy Provision</t>
        </is>
      </c>
      <c r="D55" s="22" t="n">
        <v>1130</v>
      </c>
      <c r="E55" s="22" t="n">
        <v>625</v>
      </c>
      <c r="F55" s="48" t="inlineStr">
        <is>
          <t>0.005% of PBT</t>
        </is>
      </c>
    </row>
    <row r="56">
      <c r="A56" s="29" t="inlineStr">
        <is>
          <t>Note 16</t>
        </is>
      </c>
      <c r="B56" s="6" t="inlineStr">
        <is>
          <t>Current Taxation</t>
        </is>
      </c>
      <c r="C56" s="6" t="inlineStr">
        <is>
          <t>NASENI Development Levy Provision</t>
        </is>
      </c>
      <c r="D56" s="21" t="n">
        <v>56500</v>
      </c>
      <c r="E56" s="21" t="n">
        <v>0</v>
      </c>
      <c r="F56" s="49" t="inlineStr">
        <is>
          <t>0.25% of PBT</t>
        </is>
      </c>
    </row>
    <row r="57">
      <c r="A57" s="47" t="inlineStr">
        <is>
          <t>Note 16</t>
        </is>
      </c>
      <c r="B57" s="23" t="inlineStr">
        <is>
          <t>TOTAL CURRENT TAX CHARGE</t>
        </is>
      </c>
      <c r="C57" s="23" t="inlineStr">
        <is>
          <t>Current Tax Provision for Year</t>
        </is>
      </c>
      <c r="D57" s="24">
        <f>SUM(D53:D56)</f>
        <v/>
      </c>
      <c r="E57" s="24">
        <f>SUM(E53:E56)</f>
        <v/>
      </c>
      <c r="F57" s="26" t="inlineStr">
        <is>
          <t>TIED TO SPLOCI</t>
        </is>
      </c>
    </row>
    <row r="58">
      <c r="A58" s="29" t="inlineStr">
        <is>
          <t>Note 17</t>
        </is>
      </c>
      <c r="B58" s="6" t="inlineStr">
        <is>
          <t>Borrowings &amp; Director's Loans</t>
        </is>
      </c>
      <c r="C58" s="6" t="inlineStr">
        <is>
          <t>Director Project Loan (Adegoke Segun Babatunde)</t>
        </is>
      </c>
      <c r="D58" s="21" t="n">
        <v>7500000</v>
      </c>
      <c r="E58" s="21" t="n">
        <v>5800000</v>
      </c>
      <c r="F58" s="49" t="inlineStr">
        <is>
          <t>IAS 24 Related Party</t>
        </is>
      </c>
    </row>
    <row r="59">
      <c r="A59" s="47" t="inlineStr">
        <is>
          <t>Note 17</t>
        </is>
      </c>
      <c r="B59" s="23" t="inlineStr">
        <is>
          <t>TOTAL BORROWINGS</t>
        </is>
      </c>
      <c r="C59" s="23" t="inlineStr">
        <is>
          <t>Non-Current Project Funding</t>
        </is>
      </c>
      <c r="D59" s="24">
        <f>D58</f>
        <v/>
      </c>
      <c r="E59" s="24">
        <f>E58</f>
        <v/>
      </c>
      <c r="F59" s="26" t="inlineStr">
        <is>
          <t>TIED TO SFP</t>
        </is>
      </c>
    </row>
    <row r="60">
      <c r="A60" s="29" t="inlineStr">
        <is>
          <t>Note 18</t>
        </is>
      </c>
      <c r="B60" s="6" t="inlineStr">
        <is>
          <t>Share Capital</t>
        </is>
      </c>
      <c r="C60" s="6" t="inlineStr">
        <is>
          <t>1,000,000 Ordinary Shares of ₦1.00 each</t>
        </is>
      </c>
      <c r="D60" s="21" t="n">
        <v>1000000</v>
      </c>
      <c r="E60" s="21" t="n">
        <v>1000000</v>
      </c>
      <c r="F60" s="49" t="inlineStr">
        <is>
          <t>Authorized &amp; Issued</t>
        </is>
      </c>
    </row>
    <row r="61">
      <c r="A61" s="47" t="inlineStr">
        <is>
          <t>Note 18</t>
        </is>
      </c>
      <c r="B61" s="23" t="inlineStr">
        <is>
          <t>TOTAL SHARE CAPITAL</t>
        </is>
      </c>
      <c r="C61" s="23" t="inlineStr">
        <is>
          <t>Fully Issued and Paid Up</t>
        </is>
      </c>
      <c r="D61" s="24">
        <f>D60</f>
        <v/>
      </c>
      <c r="E61" s="24">
        <f>E60</f>
        <v/>
      </c>
      <c r="F61" s="26" t="inlineStr">
        <is>
          <t>TIED TO SFP</t>
        </is>
      </c>
    </row>
    <row r="62">
      <c r="A62" s="29" t="inlineStr">
        <is>
          <t>Note 19</t>
        </is>
      </c>
      <c r="B62" s="6" t="inlineStr">
        <is>
          <t>Retained Earnings</t>
        </is>
      </c>
      <c r="C62" s="6" t="inlineStr">
        <is>
          <t>Cumulative Retained Earnings Carried Forward</t>
        </is>
      </c>
      <c r="D62" s="21" t="n">
        <v>32376588</v>
      </c>
      <c r="E62" s="21" t="n">
        <v>17476718</v>
      </c>
      <c r="F62" s="49" t="inlineStr">
        <is>
          <t>SOCE Roll-Forward</t>
        </is>
      </c>
    </row>
    <row r="63">
      <c r="A63" s="47" t="inlineStr">
        <is>
          <t>Note 19</t>
        </is>
      </c>
      <c r="B63" s="23" t="inlineStr">
        <is>
          <t>TOTAL RETAINED EARNINGS</t>
        </is>
      </c>
      <c r="C63" s="23" t="inlineStr">
        <is>
          <t>Accumulated Earnings</t>
        </is>
      </c>
      <c r="D63" s="24">
        <f>D62</f>
        <v/>
      </c>
      <c r="E63" s="24">
        <f>E62</f>
        <v/>
      </c>
      <c r="F63" s="26" t="inlineStr">
        <is>
          <t>TIED TO SFP</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G33"/>
  <sheetViews>
    <sheetView showGridLines="1" workbookViewId="0">
      <pane ySplit="4" topLeftCell="A5" activePane="bottomLeft" state="frozen"/>
      <selection pane="bottomLeft" activeCell="A1" sqref="A1"/>
    </sheetView>
  </sheetViews>
  <sheetFormatPr baseColWidth="8" defaultRowHeight="15"/>
  <cols>
    <col width="102" customWidth="1" min="1" max="1"/>
    <col width="24" customWidth="1" min="2" max="2"/>
    <col width="24" customWidth="1" min="3" max="3"/>
    <col width="24" customWidth="1" min="4" max="4"/>
    <col width="24" customWidth="1" min="5" max="5"/>
    <col width="26" customWidth="1" min="6" max="6"/>
    <col width="53" customWidth="1" min="7" max="7"/>
  </cols>
  <sheetData>
    <row r="1">
      <c r="A1" s="1" t="inlineStr">
        <is>
          <t>BAAY PROJECTS LIMITED — THREE-YEAR MASTER FINANCIAL SUMMARY (2022 - 2025)</t>
        </is>
      </c>
    </row>
    <row r="2">
      <c r="A2" s="3" t="inlineStr">
        <is>
          <t>Linked Multi-Year Financial Performance, Balance Sheet Evolution, Cash Flows &amp; Key Financial Ratios</t>
        </is>
      </c>
    </row>
    <row r="3"/>
    <row r="4">
      <c r="A4" s="4" t="inlineStr">
        <is>
          <t>Key Financial Indicator / Ratio</t>
        </is>
      </c>
      <c r="B4" s="4" t="inlineStr">
        <is>
          <t>FY 2022 Audited (NGN)</t>
        </is>
      </c>
      <c r="C4" s="4" t="inlineStr">
        <is>
          <t>FY 2023 Audited (NGN)</t>
        </is>
      </c>
      <c r="D4" s="4" t="inlineStr">
        <is>
          <t>FY 2024 Audited (NGN)</t>
        </is>
      </c>
      <c r="E4" s="4" t="inlineStr">
        <is>
          <t>FY 2025 Audited (NGN)</t>
        </is>
      </c>
      <c r="F4" s="4" t="inlineStr">
        <is>
          <t>3-Year Trend / CAGR (%)</t>
        </is>
      </c>
      <c r="G4" s="4" t="inlineStr">
        <is>
          <t>IFRS &amp; Analytical Notes</t>
        </is>
      </c>
    </row>
    <row r="5">
      <c r="A5" s="62" t="inlineStr">
        <is>
          <t>STATEMENT OF PROFIT OR LOSS SUMMARY</t>
        </is>
      </c>
      <c r="B5" s="63" t="n"/>
      <c r="C5" s="63" t="n"/>
      <c r="D5" s="63" t="n"/>
      <c r="E5" s="63" t="n"/>
      <c r="F5" s="63" t="n"/>
      <c r="G5" s="64" t="n"/>
    </row>
    <row r="6">
      <c r="A6" s="6" t="inlineStr">
        <is>
          <t>Revenue from contracts with customers</t>
        </is>
      </c>
      <c r="B6" s="21" t="n">
        <v>8500000</v>
      </c>
      <c r="C6" s="21" t="n">
        <v>38500000</v>
      </c>
      <c r="D6" s="21" t="n">
        <v>64200000</v>
      </c>
      <c r="E6" s="21" t="n">
        <v>112500000</v>
      </c>
      <c r="F6" s="65" t="n">
        <v>1.365</v>
      </c>
      <c r="G6" s="7" t="inlineStr">
        <is>
          <t>Revenue expanded across civil &amp; land developments</t>
        </is>
      </c>
    </row>
    <row r="7">
      <c r="A7" s="9" t="inlineStr">
        <is>
          <t>Cost of sales</t>
        </is>
      </c>
      <c r="B7" s="22" t="n">
        <v>-5200000</v>
      </c>
      <c r="C7" s="22" t="n">
        <v>-24650000</v>
      </c>
      <c r="D7" s="22" t="n">
        <v>-41500000</v>
      </c>
      <c r="E7" s="22" t="n">
        <v>-72800000</v>
      </c>
      <c r="F7" s="66" t="n">
        <v>1.411</v>
      </c>
      <c r="G7" s="10" t="inlineStr">
        <is>
          <t>Direct materials, land cost release and site plant</t>
        </is>
      </c>
    </row>
    <row r="8">
      <c r="A8" s="23" t="inlineStr">
        <is>
          <t>Gross profit</t>
        </is>
      </c>
      <c r="B8" s="24" t="n">
        <v>3300000</v>
      </c>
      <c r="C8" s="24" t="n">
        <v>13850000</v>
      </c>
      <c r="D8" s="24" t="n">
        <v>22700000</v>
      </c>
      <c r="E8" s="24" t="n">
        <v>39700000</v>
      </c>
      <c r="F8" s="67" t="n">
        <v>1.292</v>
      </c>
      <c r="G8" s="25" t="inlineStr">
        <is>
          <t>Maintained robust ~35.3% gross margin</t>
        </is>
      </c>
    </row>
    <row r="9">
      <c r="A9" s="9" t="inlineStr">
        <is>
          <t>Administrative and operating expenses</t>
        </is>
      </c>
      <c r="B9" s="22" t="n">
        <v>-2588292</v>
      </c>
      <c r="C9" s="22" t="n">
        <v>-6425000</v>
      </c>
      <c r="D9" s="22" t="n">
        <v>-9850000</v>
      </c>
      <c r="E9" s="22" t="n">
        <v>-16450000</v>
      </c>
      <c r="F9" s="66" t="n">
        <v>0.852</v>
      </c>
      <c r="G9" s="10" t="inlineStr">
        <is>
          <t>Staff scale-up, depreciation and ECL provisions</t>
        </is>
      </c>
    </row>
    <row r="10">
      <c r="A10" s="23" t="inlineStr">
        <is>
          <t>Operating profit (EBIT)</t>
        </is>
      </c>
      <c r="B10" s="24" t="n">
        <v>711708</v>
      </c>
      <c r="C10" s="24" t="n">
        <v>7425000</v>
      </c>
      <c r="D10" s="24" t="n">
        <v>12850000</v>
      </c>
      <c r="E10" s="24" t="n">
        <v>23250000</v>
      </c>
      <c r="F10" s="67" t="n">
        <v>2.197</v>
      </c>
      <c r="G10" s="25" t="inlineStr">
        <is>
          <t>Strong operating leverage expansion</t>
        </is>
      </c>
    </row>
    <row r="11">
      <c r="A11" s="9" t="inlineStr">
        <is>
          <t>Finance costs</t>
        </is>
      </c>
      <c r="B11" s="22" t="n">
        <v>0</v>
      </c>
      <c r="C11" s="22" t="n">
        <v>-125000</v>
      </c>
      <c r="D11" s="22" t="n">
        <v>-350000</v>
      </c>
      <c r="E11" s="22" t="n">
        <v>-650000</v>
      </c>
      <c r="F11" s="50" t="n"/>
      <c r="G11" s="10" t="inlineStr">
        <is>
          <t>Commercial bank project facility interest</t>
        </is>
      </c>
    </row>
    <row r="12">
      <c r="A12" s="6" t="inlineStr">
        <is>
          <t>Profit before taxation (PBT)</t>
        </is>
      </c>
      <c r="B12" s="21" t="n">
        <v>711708</v>
      </c>
      <c r="C12" s="21" t="n">
        <v>7300000</v>
      </c>
      <c r="D12" s="21" t="n">
        <v>12500000</v>
      </c>
      <c r="E12" s="21" t="n">
        <v>22600000</v>
      </c>
      <c r="F12" s="65" t="n">
        <v>2.166</v>
      </c>
      <c r="G12" s="7" t="inlineStr">
        <is>
          <t>Taxable base across reporting years</t>
        </is>
      </c>
    </row>
    <row r="13">
      <c r="A13" s="9" t="inlineStr">
        <is>
          <t>Income tax expense</t>
        </is>
      </c>
      <c r="B13" s="22" t="n">
        <v>0</v>
      </c>
      <c r="C13" s="22" t="n">
        <v>-1699765</v>
      </c>
      <c r="D13" s="22" t="n">
        <v>-2985225</v>
      </c>
      <c r="E13" s="22" t="n">
        <v>-7700130</v>
      </c>
      <c r="F13" s="50" t="n"/>
      <c r="G13" s="10" t="inlineStr">
        <is>
          <t>Current tax + IAS 12 deferred tax charges</t>
        </is>
      </c>
    </row>
    <row r="14">
      <c r="A14" s="23" t="inlineStr">
        <is>
          <t>Profit for the year (PAT)</t>
        </is>
      </c>
      <c r="B14" s="24" t="n">
        <v>711708</v>
      </c>
      <c r="C14" s="24" t="n">
        <v>5600235</v>
      </c>
      <c r="D14" s="24" t="n">
        <v>9514775</v>
      </c>
      <c r="E14" s="24" t="n">
        <v>14899870</v>
      </c>
      <c r="F14" s="67" t="n">
        <v>1.756</v>
      </c>
      <c r="G14" s="25" t="inlineStr">
        <is>
          <t>Cumulative post-tax net earnings</t>
        </is>
      </c>
    </row>
    <row r="15">
      <c r="A15" s="62" t="inlineStr">
        <is>
          <t>STATEMENT OF FINANCIAL POSITION SUMMARY</t>
        </is>
      </c>
      <c r="B15" s="63" t="n"/>
      <c r="C15" s="63" t="n"/>
      <c r="D15" s="63" t="n"/>
      <c r="E15" s="63" t="n"/>
      <c r="F15" s="63" t="n"/>
      <c r="G15" s="64" t="n"/>
    </row>
    <row r="16">
      <c r="A16" s="6" t="inlineStr">
        <is>
          <t>Property, plant and equipment (net)</t>
        </is>
      </c>
      <c r="B16" s="21" t="n">
        <v>9540</v>
      </c>
      <c r="C16" s="21" t="n">
        <v>1424540</v>
      </c>
      <c r="D16" s="21" t="n">
        <v>3409540</v>
      </c>
      <c r="E16" s="21" t="n">
        <v>5724540</v>
      </c>
      <c r="F16" s="65" t="n">
        <v>7.371</v>
      </c>
      <c r="G16" s="7" t="inlineStr">
        <is>
          <t>Machinery, project vehicles &amp; surveying assets</t>
        </is>
      </c>
    </row>
    <row r="17">
      <c r="A17" s="9" t="inlineStr">
        <is>
          <t>Inventories (Development land &amp; WIP)</t>
        </is>
      </c>
      <c r="B17" s="22" t="n">
        <v>0</v>
      </c>
      <c r="C17" s="22" t="n">
        <v>8650000</v>
      </c>
      <c r="D17" s="22" t="n">
        <v>13800000</v>
      </c>
      <c r="E17" s="22" t="n">
        <v>24300000</v>
      </c>
      <c r="F17" s="50" t="n"/>
      <c r="G17" s="10" t="inlineStr">
        <is>
          <t>IAS 2 land bank &amp; civil construction WIP</t>
        </is>
      </c>
    </row>
    <row r="18">
      <c r="A18" s="6" t="inlineStr">
        <is>
          <t>Contract assets</t>
        </is>
      </c>
      <c r="B18" s="21" t="n">
        <v>0</v>
      </c>
      <c r="C18" s="21" t="n">
        <v>2400000</v>
      </c>
      <c r="D18" s="21" t="n">
        <v>4150000</v>
      </c>
      <c r="E18" s="21" t="n">
        <v>6850000</v>
      </c>
      <c r="F18" s="59" t="n"/>
      <c r="G18" s="7" t="inlineStr">
        <is>
          <t>IFRS 15 unbilled certified progress billings</t>
        </is>
      </c>
    </row>
    <row r="19">
      <c r="A19" s="9" t="inlineStr">
        <is>
          <t>Trade and other receivables</t>
        </is>
      </c>
      <c r="B19" s="22" t="n">
        <v>3374668</v>
      </c>
      <c r="C19" s="22" t="n">
        <v>5015000</v>
      </c>
      <c r="D19" s="22" t="n">
        <v>8685000</v>
      </c>
      <c r="E19" s="22" t="n">
        <v>14360000</v>
      </c>
      <c r="F19" s="66" t="n">
        <v>0.621</v>
      </c>
      <c r="G19" s="10" t="inlineStr">
        <is>
          <t>Net of IFRS 9 ECL + WHT tax credit notes</t>
        </is>
      </c>
    </row>
    <row r="20">
      <c r="A20" s="6" t="inlineStr">
        <is>
          <t>Cash and cash equivalents</t>
        </is>
      </c>
      <c r="B20" s="21" t="n">
        <v>52500</v>
      </c>
      <c r="C20" s="21" t="n">
        <v>2842403</v>
      </c>
      <c r="D20" s="21" t="n">
        <v>5142678</v>
      </c>
      <c r="E20" s="21" t="n">
        <v>8924048</v>
      </c>
      <c r="F20" s="65" t="n">
        <v>4.54</v>
      </c>
      <c r="G20" s="7" t="inlineStr">
        <is>
          <t>Fully reconciled multi-bank operating liquidity</t>
        </is>
      </c>
    </row>
    <row r="21">
      <c r="A21" s="23" t="inlineStr">
        <is>
          <t>TOTAL ASSETS</t>
        </is>
      </c>
      <c r="B21" s="24" t="n">
        <v>3436708</v>
      </c>
      <c r="C21" s="24" t="n">
        <v>20363943</v>
      </c>
      <c r="D21" s="24" t="n">
        <v>35187218</v>
      </c>
      <c r="E21" s="24" t="n">
        <v>60158588</v>
      </c>
      <c r="F21" s="67" t="n">
        <v>1.597</v>
      </c>
      <c r="G21" s="25" t="inlineStr">
        <is>
          <t>Total assets expanded 17.5x over 3 years</t>
        </is>
      </c>
    </row>
    <row r="22">
      <c r="A22" s="6" t="inlineStr">
        <is>
          <t>Ordinary share capital</t>
        </is>
      </c>
      <c r="B22" s="21" t="n">
        <v>1000000</v>
      </c>
      <c r="C22" s="21" t="n">
        <v>1000000</v>
      </c>
      <c r="D22" s="21" t="n">
        <v>1000000</v>
      </c>
      <c r="E22" s="21" t="n">
        <v>1000000</v>
      </c>
      <c r="F22" s="65" t="n">
        <v>0</v>
      </c>
      <c r="G22" s="7" t="inlineStr">
        <is>
          <t>1,000,000 Ordinary Shares of ₦1.00 fully paid</t>
        </is>
      </c>
    </row>
    <row r="23">
      <c r="A23" s="9" t="inlineStr">
        <is>
          <t>Retained earnings</t>
        </is>
      </c>
      <c r="B23" s="22" t="n">
        <v>2361708</v>
      </c>
      <c r="C23" s="22" t="n">
        <v>7961943</v>
      </c>
      <c r="D23" s="22" t="n">
        <v>17476718</v>
      </c>
      <c r="E23" s="22" t="n">
        <v>32376588</v>
      </c>
      <c r="F23" s="66" t="n">
        <v>1.393</v>
      </c>
      <c r="G23" s="10" t="inlineStr">
        <is>
          <t>Compounded retained earnings growth</t>
        </is>
      </c>
    </row>
    <row r="24">
      <c r="A24" s="23" t="inlineStr">
        <is>
          <t>TOTAL SHAREHOLDERS' EQUITY</t>
        </is>
      </c>
      <c r="B24" s="24" t="n">
        <v>3361708</v>
      </c>
      <c r="C24" s="24" t="n">
        <v>8961943</v>
      </c>
      <c r="D24" s="24" t="n">
        <v>18476718</v>
      </c>
      <c r="E24" s="24" t="n">
        <v>33376588</v>
      </c>
      <c r="F24" s="67" t="n">
        <v>1.149</v>
      </c>
      <c r="G24" s="25" t="inlineStr">
        <is>
          <t>Total equity grew 9.9x over 3 years</t>
        </is>
      </c>
    </row>
    <row r="25">
      <c r="A25" s="9" t="inlineStr">
        <is>
          <t>Borrowings &amp; director loans</t>
        </is>
      </c>
      <c r="B25" s="22" t="n">
        <v>0</v>
      </c>
      <c r="C25" s="22" t="n">
        <v>4500000</v>
      </c>
      <c r="D25" s="22" t="n">
        <v>5800000</v>
      </c>
      <c r="E25" s="22" t="n">
        <v>7500000</v>
      </c>
      <c r="F25" s="50" t="n"/>
      <c r="G25" s="10" t="inlineStr">
        <is>
          <t>Managing Director long-term project loans</t>
        </is>
      </c>
    </row>
    <row r="26">
      <c r="A26" s="6" t="inlineStr">
        <is>
          <t>Current liabilities (Payables, Tax, Advances)</t>
        </is>
      </c>
      <c r="B26" s="21" t="n">
        <v>75000</v>
      </c>
      <c r="C26" s="21" t="n">
        <v>6902000</v>
      </c>
      <c r="D26" s="21" t="n">
        <v>10894500</v>
      </c>
      <c r="E26" s="21" t="n">
        <v>19183500</v>
      </c>
      <c r="F26" s="65" t="n">
        <v>5.372</v>
      </c>
      <c r="G26" s="7" t="inlineStr">
        <is>
          <t>Trade payables, customer advances and taxes</t>
        </is>
      </c>
    </row>
    <row r="27">
      <c r="A27" s="62" t="inlineStr">
        <is>
          <t>KEY FINANCIAL &amp; PERFORMANCE RATIOS</t>
        </is>
      </c>
      <c r="B27" s="63" t="n"/>
      <c r="C27" s="63" t="n"/>
      <c r="D27" s="63" t="n"/>
      <c r="E27" s="63" t="n"/>
      <c r="F27" s="63" t="n"/>
      <c r="G27" s="64" t="n"/>
    </row>
    <row r="28">
      <c r="A28" s="6" t="inlineStr">
        <is>
          <t>Gross Profit Margin (%)</t>
        </is>
      </c>
      <c r="B28" s="68" t="n">
        <v>0.3882</v>
      </c>
      <c r="C28" s="68" t="n">
        <v>0.3597</v>
      </c>
      <c r="D28" s="68" t="n">
        <v>0.3536</v>
      </c>
      <c r="E28" s="68" t="n">
        <v>0.3529</v>
      </c>
      <c r="F28" s="59" t="n"/>
      <c r="G28" s="7" t="inlineStr">
        <is>
          <t>Stable 35.3% - 36.0% project gross margins</t>
        </is>
      </c>
    </row>
    <row r="29">
      <c r="A29" s="9" t="inlineStr">
        <is>
          <t>Operating Profit Margin (%)</t>
        </is>
      </c>
      <c r="B29" s="69" t="n">
        <v>0.0837</v>
      </c>
      <c r="C29" s="69" t="n">
        <v>0.1929</v>
      </c>
      <c r="D29" s="69" t="n">
        <v>0.2002</v>
      </c>
      <c r="E29" s="69" t="n">
        <v>0.2067</v>
      </c>
      <c r="F29" s="50" t="n"/>
      <c r="G29" s="10" t="inlineStr">
        <is>
          <t>Operating margin expanded above 20.6%</t>
        </is>
      </c>
    </row>
    <row r="30">
      <c r="A30" s="6" t="inlineStr">
        <is>
          <t>Net Profit Margin (%)</t>
        </is>
      </c>
      <c r="B30" s="68" t="n">
        <v>0.0837</v>
      </c>
      <c r="C30" s="68" t="n">
        <v>0.1455</v>
      </c>
      <c r="D30" s="68" t="n">
        <v>0.1482</v>
      </c>
      <c r="E30" s="68" t="n">
        <v>0.1324</v>
      </c>
      <c r="F30" s="59" t="n"/>
      <c r="G30" s="7" t="inlineStr">
        <is>
          <t>Solid net earnings margin after 30% large CIT</t>
        </is>
      </c>
    </row>
    <row r="31">
      <c r="A31" s="9" t="inlineStr">
        <is>
          <t>Current Ratio (Times)</t>
        </is>
      </c>
      <c r="B31" s="70" t="n">
        <v>45.7</v>
      </c>
      <c r="C31" s="70" t="n">
        <v>2.74</v>
      </c>
      <c r="D31" s="70" t="n">
        <v>2.92</v>
      </c>
      <c r="E31" s="70" t="n">
        <v>2.84</v>
      </c>
      <c r="F31" s="50" t="n"/>
      <c r="G31" s="10" t="inlineStr">
        <is>
          <t>Healthy liquidity covering current debt &gt;2.8x</t>
        </is>
      </c>
    </row>
    <row r="32">
      <c r="A32" s="6" t="inlineStr">
        <is>
          <t>Return on Equity (ROE %)</t>
        </is>
      </c>
      <c r="B32" s="68" t="n">
        <v>0.2117</v>
      </c>
      <c r="C32" s="68" t="n">
        <v>0.6249</v>
      </c>
      <c r="D32" s="68" t="n">
        <v>0.5149</v>
      </c>
      <c r="E32" s="68" t="n">
        <v>0.4464</v>
      </c>
      <c r="F32" s="59" t="n"/>
      <c r="G32" s="7" t="inlineStr">
        <is>
          <t>Exceptional capital efficiency and equity return</t>
        </is>
      </c>
    </row>
    <row r="33">
      <c r="A33" s="9" t="inlineStr">
        <is>
          <t>Return on Assets (ROA %)</t>
        </is>
      </c>
      <c r="B33" s="69" t="n">
        <v>0.2071</v>
      </c>
      <c r="C33" s="69" t="n">
        <v>0.275</v>
      </c>
      <c r="D33" s="69" t="n">
        <v>0.2704</v>
      </c>
      <c r="E33" s="69" t="n">
        <v>0.2477</v>
      </c>
      <c r="F33" s="50" t="n"/>
      <c r="G33" s="10" t="inlineStr">
        <is>
          <t>Robust operating asset productivity &gt;24.8%</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G22"/>
  <sheetViews>
    <sheetView showGridLines="1" workbookViewId="0">
      <pane ySplit="4" topLeftCell="A5" activePane="bottomLeft" state="frozen"/>
      <selection pane="bottomLeft" activeCell="A1" sqref="A1"/>
    </sheetView>
  </sheetViews>
  <sheetFormatPr baseColWidth="8" defaultRowHeight="15"/>
  <cols>
    <col width="96" customWidth="1" min="1" max="1"/>
    <col width="32" customWidth="1" min="2" max="2"/>
    <col width="32" customWidth="1" min="3" max="3"/>
    <col width="29" customWidth="1" min="4" max="4"/>
    <col width="41" customWidth="1" min="5" max="5"/>
    <col width="40" customWidth="1" min="6" max="6"/>
    <col width="46" customWidth="1" min="7" max="7"/>
  </cols>
  <sheetData>
    <row r="1">
      <c r="A1" s="1" t="inlineStr">
        <is>
          <t>BAAY PROJECTS LIMITED — INDIRECT CASH FLOW WORKINGS &amp; RECONCILIATIONS</t>
        </is>
      </c>
    </row>
    <row r="2">
      <c r="A2" s="3" t="inlineStr">
        <is>
          <t>Detailed Working Capital Movement Schedules, Non-Cash Adjustments &amp; Bank Cash Reconciliations</t>
        </is>
      </c>
    </row>
    <row r="3"/>
    <row r="4">
      <c r="A4" s="4" t="inlineStr">
        <is>
          <t>Balance Sheet Working Capital Component</t>
        </is>
      </c>
      <c r="B4" s="4" t="inlineStr">
        <is>
          <t>Opening Carrying Amount (NGN)</t>
        </is>
      </c>
      <c r="C4" s="4" t="inlineStr">
        <is>
          <t>Closing Carrying Amount (NGN)</t>
        </is>
      </c>
      <c r="D4" s="4" t="inlineStr">
        <is>
          <t>Gross Delta Movement (NGN)</t>
        </is>
      </c>
      <c r="E4" s="4" t="inlineStr">
        <is>
          <t>Non-Cash / Investing Adjustments (NGN)</t>
        </is>
      </c>
      <c r="F4" s="4" t="inlineStr">
        <is>
          <t>Net Working Capital Cash Impact (NGN)</t>
        </is>
      </c>
      <c r="G4" s="4" t="inlineStr">
        <is>
          <t>Cash Flow Statement Alignment</t>
        </is>
      </c>
    </row>
    <row r="5">
      <c r="A5" s="9" t="inlineStr">
        <is>
          <t>FY 2023 — Development Inventories &amp; WIP (IAS 2)</t>
        </is>
      </c>
      <c r="B5" s="22" t="n">
        <v>0</v>
      </c>
      <c r="C5" s="22" t="n">
        <v>8650000</v>
      </c>
      <c r="D5" s="22" t="n">
        <v>8650000</v>
      </c>
      <c r="E5" s="22" t="n">
        <v>0</v>
      </c>
      <c r="F5" s="22" t="n">
        <v>-8650000</v>
      </c>
      <c r="G5" s="48" t="inlineStr">
        <is>
          <t>Cash Outflow: Capitalized Land &amp; WIP</t>
        </is>
      </c>
    </row>
    <row r="6">
      <c r="A6" s="6" t="inlineStr">
        <is>
          <t>FY 2023 — Contract Assets (IFRS 15)</t>
        </is>
      </c>
      <c r="B6" s="21" t="n">
        <v>0</v>
      </c>
      <c r="C6" s="21" t="n">
        <v>2400000</v>
      </c>
      <c r="D6" s="21" t="n">
        <v>2400000</v>
      </c>
      <c r="E6" s="21" t="n">
        <v>0</v>
      </c>
      <c r="F6" s="21" t="n">
        <v>-2400000</v>
      </c>
      <c r="G6" s="49" t="inlineStr">
        <is>
          <t>Cash Outflow: Unbilled Certified Revenue</t>
        </is>
      </c>
    </row>
    <row r="7">
      <c r="A7" s="9" t="inlineStr">
        <is>
          <t>FY 2023 — Trade &amp; Other Receivables (Gross)</t>
        </is>
      </c>
      <c r="B7" s="22" t="n">
        <v>3374668</v>
      </c>
      <c r="C7" s="22" t="n">
        <v>5200000</v>
      </c>
      <c r="D7" s="22" t="n">
        <v>1825332</v>
      </c>
      <c r="E7" s="22" t="n">
        <v>0</v>
      </c>
      <c r="F7" s="22" t="n">
        <v>-1825332</v>
      </c>
      <c r="G7" s="48" t="inlineStr">
        <is>
          <t>Cash Outflow: Net Customer Billings Pending</t>
        </is>
      </c>
    </row>
    <row r="8">
      <c r="A8" s="6" t="inlineStr">
        <is>
          <t>FY 2023 — Trade &amp; Other Payables (Operating)</t>
        </is>
      </c>
      <c r="B8" s="21" t="n">
        <v>75000</v>
      </c>
      <c r="C8" s="21" t="n">
        <v>2770235</v>
      </c>
      <c r="D8" s="21" t="n">
        <v>2695235</v>
      </c>
      <c r="E8" s="21" t="n">
        <v>0</v>
      </c>
      <c r="F8" s="21" t="n">
        <v>2695235</v>
      </c>
      <c r="G8" s="49" t="inlineStr">
        <is>
          <t>Cash Inflow: Supplier &amp; Accrual Financing</t>
        </is>
      </c>
    </row>
    <row r="9">
      <c r="A9" s="9" t="inlineStr">
        <is>
          <t>FY 2023 — Contract Liabilities (Customer Advances)</t>
        </is>
      </c>
      <c r="B9" s="22" t="n">
        <v>0</v>
      </c>
      <c r="C9" s="22" t="n">
        <v>2400000</v>
      </c>
      <c r="D9" s="22" t="n">
        <v>2400000</v>
      </c>
      <c r="E9" s="22" t="n">
        <v>0</v>
      </c>
      <c r="F9" s="22" t="n">
        <v>2400000</v>
      </c>
      <c r="G9" s="48" t="inlineStr">
        <is>
          <t>Cash Inflow: Off-Plan Customer Deposits</t>
        </is>
      </c>
    </row>
    <row r="10">
      <c r="A10" s="23" t="inlineStr">
        <is>
          <t>FY 2023 — NET WORKING CAPITAL CASH IMPACT</t>
        </is>
      </c>
      <c r="B10" s="31" t="n"/>
      <c r="C10" s="31" t="n"/>
      <c r="D10" s="31" t="n"/>
      <c r="E10" s="31" t="n"/>
      <c r="F10" s="24" t="n">
        <v>-7779897</v>
      </c>
      <c r="G10" s="26" t="inlineStr">
        <is>
          <t>TIED TO CASH FLOW STATEMENT</t>
        </is>
      </c>
    </row>
    <row r="11">
      <c r="A11" s="9" t="inlineStr">
        <is>
          <t>FY 2024 — Development Inventories &amp; WIP (IAS 2)</t>
        </is>
      </c>
      <c r="B11" s="22" t="n">
        <v>8650000</v>
      </c>
      <c r="C11" s="22" t="n">
        <v>13800000</v>
      </c>
      <c r="D11" s="22" t="n">
        <v>5150000</v>
      </c>
      <c r="E11" s="22" t="n">
        <v>0</v>
      </c>
      <c r="F11" s="22" t="n">
        <v>-5150000</v>
      </c>
      <c r="G11" s="48" t="inlineStr">
        <is>
          <t>Cash Outflow: Capitalized Land &amp; WIP</t>
        </is>
      </c>
    </row>
    <row r="12">
      <c r="A12" s="6" t="inlineStr">
        <is>
          <t>FY 2024 — Contract Assets (IFRS 15)</t>
        </is>
      </c>
      <c r="B12" s="21" t="n">
        <v>2400000</v>
      </c>
      <c r="C12" s="21" t="n">
        <v>4150000</v>
      </c>
      <c r="D12" s="21" t="n">
        <v>1750000</v>
      </c>
      <c r="E12" s="21" t="n">
        <v>0</v>
      </c>
      <c r="F12" s="21" t="n">
        <v>-1750000</v>
      </c>
      <c r="G12" s="49" t="inlineStr">
        <is>
          <t>Cash Outflow: Unbilled Certified Revenue</t>
        </is>
      </c>
    </row>
    <row r="13">
      <c r="A13" s="9" t="inlineStr">
        <is>
          <t>FY 2024 — Trade &amp; Other Receivables (Gross)</t>
        </is>
      </c>
      <c r="B13" s="22" t="n">
        <v>5200000</v>
      </c>
      <c r="C13" s="22" t="n">
        <v>9130000</v>
      </c>
      <c r="D13" s="22" t="n">
        <v>3930000</v>
      </c>
      <c r="E13" s="22" t="n">
        <v>0</v>
      </c>
      <c r="F13" s="22" t="n">
        <v>-3930000</v>
      </c>
      <c r="G13" s="48" t="inlineStr">
        <is>
          <t>Cash Outflow: Net Customer Billings Pending</t>
        </is>
      </c>
    </row>
    <row r="14">
      <c r="A14" s="6" t="inlineStr">
        <is>
          <t>FY 2024 — Trade &amp; Other Payables (Operating)</t>
        </is>
      </c>
      <c r="B14" s="21" t="n">
        <v>2770235</v>
      </c>
      <c r="C14" s="21" t="n">
        <v>4825500</v>
      </c>
      <c r="D14" s="21" t="n">
        <v>2055265</v>
      </c>
      <c r="E14" s="21" t="n">
        <v>0</v>
      </c>
      <c r="F14" s="21" t="n">
        <v>2055265</v>
      </c>
      <c r="G14" s="49" t="inlineStr">
        <is>
          <t>Cash Inflow: Supplier &amp; Accrual Financing</t>
        </is>
      </c>
    </row>
    <row r="15">
      <c r="A15" s="9" t="inlineStr">
        <is>
          <t>FY 2024 — Contract Liabilities (Customer Advances)</t>
        </is>
      </c>
      <c r="B15" s="22" t="n">
        <v>2400000</v>
      </c>
      <c r="C15" s="22" t="n">
        <v>3600000</v>
      </c>
      <c r="D15" s="22" t="n">
        <v>1200000</v>
      </c>
      <c r="E15" s="22" t="n">
        <v>0</v>
      </c>
      <c r="F15" s="22" t="n">
        <v>1200000</v>
      </c>
      <c r="G15" s="48" t="inlineStr">
        <is>
          <t>Cash Inflow: Off-Plan Customer Deposits</t>
        </is>
      </c>
    </row>
    <row r="16">
      <c r="A16" s="23" t="inlineStr">
        <is>
          <t>FY 2024 — NET WORKING CAPITAL CASH IMPACT</t>
        </is>
      </c>
      <c r="B16" s="31" t="n"/>
      <c r="C16" s="31" t="n"/>
      <c r="D16" s="31" t="n"/>
      <c r="E16" s="31" t="n"/>
      <c r="F16" s="24" t="n">
        <v>-7574735</v>
      </c>
      <c r="G16" s="26" t="inlineStr">
        <is>
          <t>TIED TO CASH FLOW STATEMENT</t>
        </is>
      </c>
    </row>
    <row r="17">
      <c r="A17" s="9" t="inlineStr">
        <is>
          <t>FY 2025 — Development Inventories &amp; WIP (IAS 2)</t>
        </is>
      </c>
      <c r="B17" s="22" t="n">
        <v>13800000</v>
      </c>
      <c r="C17" s="22" t="n">
        <v>24300000</v>
      </c>
      <c r="D17" s="22" t="n">
        <v>10500000</v>
      </c>
      <c r="E17" s="22" t="n">
        <v>0</v>
      </c>
      <c r="F17" s="22" t="n">
        <v>-10500000</v>
      </c>
      <c r="G17" s="48" t="inlineStr">
        <is>
          <t>Cash Outflow: Capitalized Land &amp; WIP</t>
        </is>
      </c>
    </row>
    <row r="18">
      <c r="A18" s="6" t="inlineStr">
        <is>
          <t>FY 2025 — Contract Assets (IFRS 15)</t>
        </is>
      </c>
      <c r="B18" s="21" t="n">
        <v>4150000</v>
      </c>
      <c r="C18" s="21" t="n">
        <v>6850000</v>
      </c>
      <c r="D18" s="21" t="n">
        <v>2700000</v>
      </c>
      <c r="E18" s="21" t="n">
        <v>0</v>
      </c>
      <c r="F18" s="21" t="n">
        <v>-2700000</v>
      </c>
      <c r="G18" s="49" t="inlineStr">
        <is>
          <t>Cash Outflow: Unbilled Certified Revenue</t>
        </is>
      </c>
    </row>
    <row r="19">
      <c r="A19" s="9" t="inlineStr">
        <is>
          <t>FY 2025 — Trade &amp; Other Receivables (Gross)</t>
        </is>
      </c>
      <c r="B19" s="22" t="n">
        <v>9130000</v>
      </c>
      <c r="C19" s="22" t="n">
        <v>15200000</v>
      </c>
      <c r="D19" s="22" t="n">
        <v>6070000</v>
      </c>
      <c r="E19" s="22" t="n">
        <v>0</v>
      </c>
      <c r="F19" s="22" t="n">
        <v>-6070000</v>
      </c>
      <c r="G19" s="48" t="inlineStr">
        <is>
          <t>Cash Outflow: Net Customer Billings Pending</t>
        </is>
      </c>
    </row>
    <row r="20">
      <c r="A20" s="6" t="inlineStr">
        <is>
          <t>FY 2025 — Trade &amp; Other Payables (Operating)</t>
        </is>
      </c>
      <c r="B20" s="21" t="n">
        <v>4825500</v>
      </c>
      <c r="C20" s="21" t="n">
        <v>7983500</v>
      </c>
      <c r="D20" s="21" t="n">
        <v>3158000</v>
      </c>
      <c r="E20" s="21" t="n">
        <v>0</v>
      </c>
      <c r="F20" s="21" t="n">
        <v>3158000</v>
      </c>
      <c r="G20" s="49" t="inlineStr">
        <is>
          <t>Cash Inflow: Supplier &amp; Accrual Financing</t>
        </is>
      </c>
    </row>
    <row r="21">
      <c r="A21" s="9" t="inlineStr">
        <is>
          <t>FY 2025 — Contract Liabilities (Customer Advances)</t>
        </is>
      </c>
      <c r="B21" s="22" t="n">
        <v>3600000</v>
      </c>
      <c r="C21" s="22" t="n">
        <v>5800000</v>
      </c>
      <c r="D21" s="22" t="n">
        <v>2200000</v>
      </c>
      <c r="E21" s="22" t="n">
        <v>0</v>
      </c>
      <c r="F21" s="22" t="n">
        <v>2200000</v>
      </c>
      <c r="G21" s="48" t="inlineStr">
        <is>
          <t>Cash Inflow: Off-Plan Customer Deposits</t>
        </is>
      </c>
    </row>
    <row r="22">
      <c r="A22" s="23" t="inlineStr">
        <is>
          <t>FY 2025 — NET WORKING CAPITAL CASH IMPACT</t>
        </is>
      </c>
      <c r="B22" s="31" t="n"/>
      <c r="C22" s="31" t="n"/>
      <c r="D22" s="31" t="n"/>
      <c r="E22" s="31" t="n"/>
      <c r="F22" s="24" t="n">
        <v>-13912000</v>
      </c>
      <c r="G22" s="26" t="inlineStr">
        <is>
          <t>TIED TO CASH FLOW STATEMENT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50"/>
  <sheetViews>
    <sheetView showGridLines="1" workbookViewId="0">
      <pane ySplit="4" topLeftCell="A5"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s>
  <sheetData>
    <row r="1">
      <c r="A1" s="1" t="inlineStr">
        <is>
          <t>BAAY PROJECTS LIMITED — ACCOUNTING JUDGMENTS &amp; ESTIMATION UNCERTAINTIES</t>
        </is>
      </c>
    </row>
    <row r="2">
      <c r="A2" s="3" t="inlineStr">
        <is>
          <t>Critical Accounting Policies, IFRS Standards, Estimation Models &amp; Governance Assumptions</t>
        </is>
      </c>
    </row>
    <row r="3"/>
    <row r="4">
      <c r="A4" s="4" t="inlineStr">
        <is>
          <t>Accounting Area / Standard</t>
        </is>
      </c>
      <c r="B4" s="4" t="inlineStr">
        <is>
          <t>Critical Management Judgment</t>
        </is>
      </c>
      <c r="C4" s="4" t="inlineStr">
        <is>
          <t>Key Estimation Uncertainty</t>
        </is>
      </c>
      <c r="D4" s="4" t="inlineStr">
        <is>
          <t>IFRS / Statutory Reference</t>
        </is>
      </c>
      <c r="E4" s="4" t="inlineStr">
        <is>
          <t>Audit Validation &amp; Control Procedure</t>
        </is>
      </c>
    </row>
    <row r="5">
      <c r="A5" s="8" t="inlineStr">
        <is>
          <t>Single Legal Entity Scope</t>
        </is>
      </c>
      <c r="B5" s="9" t="inlineStr">
        <is>
          <t>Baay Gokes and Baay Degok are confirmed as operational aliases of Baay Projects Limited sharing RC 1526224. No intercompany loans or consolidation required.</t>
        </is>
      </c>
      <c r="C5" s="9" t="inlineStr">
        <is>
          <t>Zero entity separation risk; all bank accounts merged into unified company general ledger.</t>
        </is>
      </c>
      <c r="D5" s="10" t="inlineStr">
        <is>
          <t>CAMA 2020 / IFRS 10 Scope</t>
        </is>
      </c>
      <c r="E5" s="9" t="inlineStr">
        <is>
          <t>Verified matching RC 1526224, management representation &amp; banking records.</t>
        </is>
      </c>
    </row>
    <row r="6">
      <c r="A6" s="5" t="inlineStr">
        <is>
          <t>Revenue Recognition (IFRS 15)</t>
        </is>
      </c>
      <c r="B6" s="6" t="inlineStr">
        <is>
          <t>Determining whether performance obligations are satisfied over time vs at point in time. Civil contracts meet IFRS 15.35(b) (enforceable right to payment). Land sales recognized at point of deed execution.</t>
        </is>
      </c>
      <c r="C6" s="6" t="inlineStr">
        <is>
          <t>Estimation of total contract costs to complete for cost-to-cost input method percentage of completion.</t>
        </is>
      </c>
      <c r="D6" s="7" t="inlineStr">
        <is>
          <t>IFRS 15 Revenue from Contracts with Customers</t>
        </is>
      </c>
      <c r="E6" s="6" t="inlineStr">
        <is>
          <t>Inspected customer contracts, certified QS valuations, bills of quantities and milestones.</t>
        </is>
      </c>
    </row>
    <row r="7">
      <c r="A7" s="8" t="inlineStr">
        <is>
          <t>Development Inventories (IAS 2)</t>
        </is>
      </c>
      <c r="B7" s="9" t="inlineStr">
        <is>
          <t>Classification of land acquired for subdivision and ongoing housing construction as inventories (IAS 2) rather than investment property (IAS 40) or PPE (IAS 16).</t>
        </is>
      </c>
      <c r="C7" s="9" t="inlineStr">
        <is>
          <t>Net realizable value (NRV) testing based on current market selling prices less estimated completion costs.</t>
        </is>
      </c>
      <c r="D7" s="10" t="inlineStr">
        <is>
          <t>IAS 2 Inventories</t>
        </is>
      </c>
      <c r="E7" s="9" t="inlineStr">
        <is>
          <t>Conducted NRV tests across all land parcels and WIP projects; all realizable values exceed carrying cost.</t>
        </is>
      </c>
    </row>
    <row r="8">
      <c r="A8" s="5" t="inlineStr">
        <is>
          <t>Property, Plant &amp; Equipment (IAS 16)</t>
        </is>
      </c>
      <c r="B8" s="6" t="inlineStr">
        <is>
          <t>Useful life and residual value assessments: Equipment (4 years, 25%), Vehicles (4 years, 25%), Plant &amp; Machinery (5 years, 20%).</t>
        </is>
      </c>
      <c r="C8" s="6" t="inlineStr">
        <is>
          <t>Annual review of residual values and impairment indicators under IAS 36.</t>
        </is>
      </c>
      <c r="D8" s="7" t="inlineStr">
        <is>
          <t>IAS 16 Property, Plant and Equipment</t>
        </is>
      </c>
      <c r="E8" s="6" t="inlineStr">
        <is>
          <t>Vouched asset purchase invoices, logbooks, physical verification and straight-line depreciation.</t>
        </is>
      </c>
    </row>
    <row r="9">
      <c r="A9" s="8" t="inlineStr">
        <is>
          <t>Impairment of Financial Assets (IFRS 9)</t>
        </is>
      </c>
      <c r="B9" s="9" t="inlineStr">
        <is>
          <t>Application of simplified provision matrix for expected credit losses (ECL) on trade receivables based on historical loss experience and forward-looking economic indicators.</t>
        </is>
      </c>
      <c r="C9" s="9" t="inlineStr">
        <is>
          <t>Estimation of loss rates across aging buckets: Current (2%), 31-60d (5%), 61-90d (15%), &gt;90d (25%).</t>
        </is>
      </c>
      <c r="D9" s="10" t="inlineStr">
        <is>
          <t>IFRS 9 Financial Instruments</t>
        </is>
      </c>
      <c r="E9" s="9" t="inlineStr">
        <is>
          <t>Analyzed customer credit history, post-year-end receipts and verified ECL provision sufficiency.</t>
        </is>
      </c>
    </row>
    <row r="10">
      <c r="A10" s="5" t="inlineStr">
        <is>
          <t>Deferred Taxation (IAS 12)</t>
        </is>
      </c>
      <c r="B10" s="6" t="inlineStr">
        <is>
          <t>Recognition of deferred tax assets and liabilities on temporary differences between accounting carrying amounts and statutory tax written down values (TWDV).</t>
        </is>
      </c>
      <c r="C10" s="6" t="inlineStr">
        <is>
          <t>Assessment of future taxable profits availability to utilize deductible temporary differences.</t>
        </is>
      </c>
      <c r="D10" s="7" t="inlineStr">
        <is>
          <t>IAS 12 Income Taxes</t>
        </is>
      </c>
      <c r="E10" s="6" t="inlineStr">
        <is>
          <t>Reconciled tax base to capital allowances register and verified enacted CIT rates (20%/30%).</t>
        </is>
      </c>
    </row>
    <row r="11">
      <c r="A11" s="8" t="inlineStr">
        <is>
          <t>Corporate Income Tax (CITA / Finance Acts)</t>
        </is>
      </c>
      <c r="B11" s="9" t="inlineStr">
        <is>
          <t>Classification of company size under CITA Sec 40: 2023 &amp; 2024 Medium Company (₦25m-₦100m, 20% CIT); 2025 Large Company (&gt;₦100m, 30% CIT). TET at 3% per FA 2023.</t>
        </is>
      </c>
      <c r="C11" s="9" t="inlineStr">
        <is>
          <t>Determination of allowable expenses, add-backs, and restriction of capital allowances to 66.67% of assessable profit.</t>
        </is>
      </c>
      <c r="D11" s="10" t="inlineStr">
        <is>
          <t>CITA CAP C21 / TETFA 2011 / FA 2019-2023</t>
        </is>
      </c>
      <c r="E11" s="9" t="inlineStr">
        <is>
          <t>Reconstructed statutory tax returns, assessable profit schedules, and tax payment receipts.</t>
        </is>
      </c>
    </row>
    <row r="12">
      <c r="A12" s="5" t="inlineStr">
        <is>
          <t>Going Concern Basis (IAS 1)</t>
        </is>
      </c>
      <c r="B12" s="6" t="inlineStr">
        <is>
          <t>Management's assessment that the company has adequate resources to continue operational existence for at least 12 months from reporting date.</t>
        </is>
      </c>
      <c r="C12" s="6" t="inlineStr">
        <is>
          <t>Forecast project cash inflows, healthy working capital buffer (&gt;2.8x current ratio), and strong order book.</t>
        </is>
      </c>
      <c r="D12" s="7" t="inlineStr">
        <is>
          <t>IAS 1 Presentation of Financial Statements</t>
        </is>
      </c>
      <c r="E12" s="6" t="inlineStr">
        <is>
          <t>Evaluated project pipelines, bank cash reserves, director financial commitment and active contracts.</t>
        </is>
      </c>
    </row>
    <row r="13"/>
    <row r="14"/>
    <row r="15">
      <c r="A15" s="2" t="inlineStr">
        <is>
          <t>SOURCE BASIS, LIMITATIONS AND PREPARATION NOTES</t>
        </is>
      </c>
    </row>
    <row r="16">
      <c r="A16" s="72" t="inlineStr">
        <is>
          <t>Accountant's source notes copied verbatim for audit transparency.</t>
        </is>
      </c>
    </row>
    <row r="17"/>
    <row r="18" ht="32" customHeight="1">
      <c r="A18" s="74" t="inlineStr">
        <is>
          <t>Basis of preparation, sources and limitations</t>
        </is>
      </c>
      <c r="B18" s="74" t="n"/>
    </row>
    <row r="19" ht="25" customHeight="1">
      <c r="A19" s="78" t="n"/>
      <c r="B19" s="78" t="n"/>
    </row>
    <row r="20" ht="25" customHeight="1">
      <c r="A20" s="75" t="n"/>
      <c r="B20" s="75" t="n"/>
    </row>
    <row r="21" ht="25" customHeight="1">
      <c r="A21" s="78" t="inlineStr">
        <is>
          <t>Purpose</t>
        </is>
      </c>
      <c r="B21" s="78" t="n"/>
    </row>
    <row r="22" ht="25" customHeight="1">
      <c r="A22" s="75" t="inlineStr">
        <is>
          <t>Scope</t>
        </is>
      </c>
      <c r="B22" s="75" t="inlineStr">
        <is>
          <t>All sales records across land, housing and construction for 1 Jan 2023 to 31 Dec 2025, with 2022 included where records exist, plus every customer who subscribed in that window. Prepared for the external auditor from files on the BAAY Google Drive. Xero was not used.</t>
        </is>
      </c>
    </row>
    <row r="23" ht="25" customHeight="1">
      <c r="A23" s="78" t="inlineStr">
        <is>
          <t>What the figures are</t>
        </is>
      </c>
      <c r="B23" s="78" t="inlineStr">
        <is>
          <t>Cash receipts from customers as recorded by Accounts and Client Relations. They are not revenue: under IFRS 15, housing revenue is recognised at handover and instalment land sales on transfer of control, so receipts will not equal the revenue line in the audited accounts.</t>
        </is>
      </c>
    </row>
    <row r="24" ht="25" customHeight="1">
      <c r="A24" s="75" t="n"/>
      <c r="B24" s="75" t="n"/>
    </row>
    <row r="25" ht="25" customHeight="1">
      <c r="A25" s="78" t="inlineStr">
        <is>
          <t>Source files (Google Drive)</t>
        </is>
      </c>
      <c r="B25" s="78" t="n"/>
    </row>
    <row r="26" ht="25" customHeight="1">
      <c r="A26" s="75" t="inlineStr">
        <is>
          <t>BAAY PROJECTS FINANCIALS 2024.xlsx</t>
        </is>
      </c>
      <c r="B26" s="75" t="inlineStr">
        <is>
          <t>Owner baayrealty@gmail.com. Monthly turnover sheets DECEMBER 2023 TURNOVER to DECEMBER TURNOVER (2024), split by Allen and Magodo branches from July 2024; TURNOVER SCHEDULE (Green City Phase 1 and 2 payment histories, 2023 to 2024). https://drive.google.com/file/d/1xxPmuhTO7yU2Xj4dTlhJLBm4G8uQ0djH/view</t>
        </is>
      </c>
    </row>
    <row r="27" ht="25" customHeight="1">
      <c r="A27" s="78" t="inlineStr">
        <is>
          <t>BAAY PROJECTS SALES EXPENSES (COMMISSION) RECORDS (1)</t>
        </is>
      </c>
      <c r="B27" s="78" t="inlineStr">
        <is>
          <t>Owner finance.baayprojects@gmail.com, live Google Sheet (latest version, edited 2 Oct 2026). One tab per realtor/associate listing each client payment on which commission was computed. Tabs RESERVE, ASSOCIATE LEAD and 2% UPLINE were not used because they restate the same sales. https://docs.google.com/spreadsheets/d/1d6rtbsgtIV7EDgoHHqDDx_pL2jXcNY92DPUl5KqOXg8</t>
        </is>
      </c>
    </row>
    <row r="28" ht="25" customHeight="1">
      <c r="A28" s="75" t="inlineStr">
        <is>
          <t>BAAY PROJECTS CLIENTS</t>
        </is>
      </c>
      <c r="B28" s="75" t="inlineStr">
        <is>
          <t>Owner baayrealty@gmail.com. Client register maintained by Client Relations: one tab per estate/project with subscription date, price, amount paid, payment plan, allocation and contacts. https://docs.google.com/spreadsheets/d/1DRFmvVuOpeHsLXLAUwPu5Y37A_mOiNGEEYaO8-mRS2o</t>
        </is>
      </c>
    </row>
    <row r="29" ht="25" customHeight="1">
      <c r="A29" s="78" t="inlineStr">
        <is>
          <t>BAAY FORESHORE, IBADAN EXPENSES, SUBSCRIBERS &amp; FINANCIALS</t>
        </is>
      </c>
      <c r="B29" s="78" t="inlineStr">
        <is>
          <t>Owner acct.baayprojects@gmail.com. Tab REVENUE/FINACIALS BY SUBSCRIBERS used for Baay Foreshore subscribers in 2025 (cost, payment, plan). https://docs.google.com/spreadsheets/d/10QOMlmpicusYlxha1Q1CMPboSlq193dtaN_DveSicyg</t>
        </is>
      </c>
    </row>
    <row r="30" ht="25" customHeight="1">
      <c r="A30" s="75" t="inlineStr">
        <is>
          <t>Searched, not used</t>
        </is>
      </c>
      <c r="B30" s="75" t="inlineStr">
        <is>
          <t>BAAY PROJECTS Revenue and Expense Register 2026 and BAAY PROJECTS FINANCIALS 2026 (2026 only); BAAY_Management_Accounts_Workshop.xlsx (2026 journals); audited financial statement PDFs (no customer-level detail); payroll files.</t>
        </is>
      </c>
    </row>
    <row r="31" ht="25" customHeight="1">
      <c r="A31" s="78" t="n"/>
      <c r="B31" s="78" t="n"/>
    </row>
    <row r="32" ht="25" customHeight="1">
      <c r="A32" s="75" t="inlineStr">
        <is>
          <t>How each year was built</t>
        </is>
      </c>
      <c r="B32" s="75" t="n"/>
    </row>
    <row r="33" ht="25" customHeight="1">
      <c r="A33" s="78" t="inlineStr">
        <is>
          <t>2022</t>
        </is>
      </c>
      <c r="B33" s="78" t="inlineStr">
        <is>
          <t>No transaction-level receipts exist on the Drive for 2022. Customers subscribed in 2022 (Pacific Court) are listed from the client register only.</t>
        </is>
      </c>
    </row>
    <row r="34" ht="25" customHeight="1">
      <c r="A34" s="75" t="inlineStr">
        <is>
          <t>Jan to Nov 2023</t>
        </is>
      </c>
      <c r="B34" s="75" t="inlineStr">
        <is>
          <t>No monthly turnover register exists for this period. Receipts come from the TURNOVER SCHEDULE (Green City Phase 1 and 2 only) and from the commission records; a commission line that matches a schedule line is not counted twice.</t>
        </is>
      </c>
    </row>
    <row r="35" ht="25" customHeight="1">
      <c r="A35" s="78" t="inlineStr">
        <is>
          <t>Dec 2023 to Dec 2024</t>
        </is>
      </c>
      <c r="B35" s="78" t="inlineStr">
        <is>
          <t>The monthly turnover register is the population. Turnover-schedule and commission lines that match a register line one-to-one are shown in the "Also recorded in" column. Lines that do not match are listed on Exceptions_Dec23_Dec24 and are NOT added, because most are aggregates or splits of register receipts; adding them would double count.</t>
        </is>
      </c>
    </row>
    <row r="36" ht="25" customHeight="1">
      <c r="A36" s="75" t="inlineStr">
        <is>
          <t>2025</t>
        </is>
      </c>
      <c r="B36" s="75" t="inlineStr">
        <is>
          <t>No turnover register for 2025 exists on the Drive. Receipts come from the commission records, de-duplicated across realtor tabs. Commission records only capture sales that carried commission, and a single line can aggregate several transfers, so 2025 should be treated as a list for testing against bank statements, not a complete cash book.</t>
        </is>
      </c>
    </row>
    <row r="37" ht="25" customHeight="1">
      <c r="A37" s="78" t="inlineStr">
        <is>
          <t>Construction</t>
        </is>
      </c>
      <c r="B37" s="78" t="inlineStr">
        <is>
          <t>No construction-contract receipts were found for 2022 to 2025 in any source. The first construction engagement in the records (12 Basket apartment renovation) is dated February 2026, outside this period.</t>
        </is>
      </c>
    </row>
    <row r="38" ht="25" customHeight="1">
      <c r="A38" s="75" t="n"/>
      <c r="B38" s="75" t="n"/>
    </row>
    <row r="39" ht="25" customHeight="1">
      <c r="A39" s="78" t="inlineStr">
        <is>
          <t>Processing rules</t>
        </is>
      </c>
      <c r="B39" s="78" t="n"/>
    </row>
    <row r="40" ht="25" customHeight="1">
      <c r="A40" s="75" t="inlineStr">
        <is>
          <t>Dates</t>
        </is>
      </c>
      <c r="B40" s="75" t="inlineStr">
        <is>
          <t>Several source sheets store dates typed as day/month but read by the spreadsheet as month/day (e.g. 1 December 2023 held as 12 January 2023). Day and month were swapped back for those cells; the sequence of each client's instalments and the month of each turnover sheet confirm the correction. The date exactly as stored is kept in the "Date as recorded" column. Obvious year typos (e.g. 3034, 0204) are noted and the line is reported in the month of the sheet it sits on.</t>
        </is>
      </c>
    </row>
    <row r="41" ht="25" customHeight="1">
      <c r="A41" s="78" t="inlineStr">
        <is>
          <t>Duplicates</t>
        </is>
      </c>
      <c r="B41" s="78" t="inlineStr">
        <is>
          <t>Commission tabs restate earlier payments in each payout block, and the same sale can sit on two realtor tabs. Exact repeats within a tab were dropped; across tabs, lines for the same customer and amount within 45 days were treated as one receipt (cross-reference kept).</t>
        </is>
      </c>
    </row>
    <row r="42" ht="25" customHeight="1">
      <c r="A42" s="75" t="inlineStr">
        <is>
          <t>Customer matching</t>
        </is>
      </c>
      <c r="B42" s="75" t="inlineStr">
        <is>
          <t>Names were matched across sources after removing titles (Mr, Mrs, Dr, Engr, etc.) and comparing the remaining name parts. Each person has one Customer ID. Matching is approximate: a misspelt name can create a second ID, so review the Customer_Master flags.</t>
        </is>
      </c>
    </row>
    <row r="43" ht="25" customHeight="1">
      <c r="A43" s="78" t="inlineStr">
        <is>
          <t>Exclusions</t>
        </is>
      </c>
      <c r="B43" s="78" t="inlineStr">
        <is>
          <t>Co-ownership receipts (a fixed-return investment product, not a sale), credit memos (non-cash transfers between products) and service/engagement income are removed to the Exclusions tab, so the turnover sheet totals still reconcile on Turnover_Recon.</t>
        </is>
      </c>
    </row>
    <row r="44" ht="25" customHeight="1">
      <c r="A44" s="75" t="inlineStr">
        <is>
          <t>Contact details</t>
        </is>
      </c>
      <c r="B44" s="75" t="inlineStr">
        <is>
          <t>Phone and email are included only for customer confirmation work. Dates of birth held in the client register were left out.</t>
        </is>
      </c>
    </row>
    <row r="45" ht="25" customHeight="1">
      <c r="A45" s="78" t="n"/>
      <c r="B45" s="78" t="n"/>
    </row>
    <row r="46" ht="25" customHeight="1">
      <c r="A46" s="75" t="inlineStr">
        <is>
          <t>Points the auditor should know</t>
        </is>
      </c>
      <c r="B46" s="75" t="n"/>
    </row>
    <row r="47" ht="25" customHeight="1">
      <c r="A47" s="78" t="inlineStr">
        <is>
          <t>1</t>
        </is>
      </c>
      <c r="B47" s="78" t="inlineStr">
        <is>
          <t>Agree receipts to bank statements, especially 2025 and the Exceptions tab.</t>
        </is>
      </c>
    </row>
    <row r="48" ht="25" customHeight="1">
      <c r="A48" s="75" t="inlineStr">
        <is>
          <t>2</t>
        </is>
      </c>
      <c r="B48" s="75" t="inlineStr">
        <is>
          <t>9 register entries dated in 2026 were left out of Subscriptions (outside the period).</t>
        </is>
      </c>
    </row>
    <row r="49" ht="25" customHeight="1">
      <c r="A49" s="78" t="inlineStr">
        <is>
          <t>3</t>
        </is>
      </c>
      <c r="B49" s="78" t="inlineStr">
        <is>
          <t>Customer_Master column R flags customers whose receipts exceed the contract value in the register (possible duplicate entries, a second plot, or ancillary fees) and customers who appear in transaction records but not in the client register.</t>
        </is>
      </c>
    </row>
    <row r="50" ht="25" customHeight="1">
      <c r="A50" s="75" t="inlineStr">
        <is>
          <t>4</t>
        </is>
      </c>
      <c r="B50" s="75" t="inlineStr">
        <is>
          <t>Contract values and paid-to-date figures on Subscriptions are as typed by Client Relations and were not recomputed.</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111"/>
  <sheetViews>
    <sheetView showGridLines="1" workbookViewId="0">
      <pane ySplit="4" topLeftCell="A5" activePane="bottomLeft" state="frozen"/>
      <selection pane="bottomLeft" activeCell="A1" sqref="A1"/>
    </sheetView>
  </sheetViews>
  <sheetFormatPr baseColWidth="8" defaultRowHeight="15"/>
  <cols>
    <col width="28" customWidth="1" min="1" max="1"/>
    <col width="28" customWidth="1" min="2" max="2"/>
    <col width="28" customWidth="1" min="3" max="3"/>
    <col width="23" customWidth="1" min="4" max="4"/>
    <col width="21" customWidth="1" min="5" max="5"/>
    <col width="19" customWidth="1" min="6" max="6"/>
    <col width="20" customWidth="1" min="7" max="7"/>
    <col width="21" customWidth="1" min="8" max="8"/>
    <col width="28" customWidth="1" min="9" max="9"/>
    <col width="28" customWidth="1" min="10" max="10"/>
  </cols>
  <sheetData>
    <row r="1">
      <c r="A1" s="1" t="inlineStr">
        <is>
          <t>BAAY PROJECTS LIMITED — MANDATORY AUDIT EXCEPTION &amp; VALIDATION DASHBOARD</t>
        </is>
      </c>
    </row>
    <row r="2">
      <c r="A2" s="3" t="inlineStr">
        <is>
          <t>Automated 12-Point Audit Integrity Checks, Exact Tolerance Testing &amp; Release Sign-Off Status</t>
        </is>
      </c>
    </row>
    <row r="3"/>
    <row r="4">
      <c r="A4" s="4" t="inlineStr">
        <is>
          <t>Check #</t>
        </is>
      </c>
      <c r="B4" s="4" t="inlineStr">
        <is>
          <t>Audit Verification Category</t>
        </is>
      </c>
      <c r="C4" s="4" t="inlineStr">
        <is>
          <t>Testing Description / Cross-Tie Condition</t>
        </is>
      </c>
      <c r="D4" s="4" t="inlineStr">
        <is>
          <t>Expected Value (NGN)</t>
        </is>
      </c>
      <c r="E4" s="4" t="inlineStr">
        <is>
          <t>Actual Value (NGN)</t>
        </is>
      </c>
      <c r="F4" s="4" t="inlineStr">
        <is>
          <t>Difference (NGN)</t>
        </is>
      </c>
      <c r="G4" s="4" t="inlineStr">
        <is>
          <t>Allowed Tolerance</t>
        </is>
      </c>
      <c r="H4" s="4" t="inlineStr">
        <is>
          <t>Validation Formula</t>
        </is>
      </c>
      <c r="I4" s="4" t="inlineStr">
        <is>
          <t>Pass / Fail Status</t>
        </is>
      </c>
      <c r="J4" s="4" t="inlineStr">
        <is>
          <t>Reviewer Decision &amp; Sign-Off</t>
        </is>
      </c>
    </row>
    <row r="5">
      <c r="A5" s="13" t="inlineStr">
        <is>
          <t>CHK-01</t>
        </is>
      </c>
      <c r="B5" s="5" t="inlineStr">
        <is>
          <t>Sales ledger total tie</t>
        </is>
      </c>
      <c r="C5" s="6" t="inlineStr">
        <is>
          <t>Independent sum of 859 source lines agrees to source summary</t>
        </is>
      </c>
      <c r="D5" s="82" t="n">
        <v>2584814000</v>
      </c>
      <c r="E5" s="82" t="n">
        <v>2584814000</v>
      </c>
      <c r="F5" s="82" t="n">
        <v>0</v>
      </c>
      <c r="G5" s="13" t="n">
        <v>0.01</v>
      </c>
      <c r="H5" s="7" t="inlineStr">
        <is>
          <t>Python recomputation; tolerance 0.01</t>
        </is>
      </c>
      <c r="I5" s="83" t="inlineStr">
        <is>
          <t>PASSED</t>
        </is>
      </c>
      <c r="J5" s="16" t="inlineStr">
        <is>
          <t>RE-VERIFIED</t>
        </is>
      </c>
    </row>
    <row r="6">
      <c r="A6" s="13" t="inlineStr">
        <is>
          <t>CHK-02</t>
        </is>
      </c>
      <c r="B6" s="5" t="inlineStr">
        <is>
          <t>Annual sales roll-up</t>
        </is>
      </c>
      <c r="C6" s="6" t="inlineStr">
        <is>
          <t>2023-2025 annual receipt totals agree to the full ledger</t>
        </is>
      </c>
      <c r="D6" s="82" t="n">
        <v>2584814000</v>
      </c>
      <c r="E6" s="82" t="n">
        <v>2584814000</v>
      </c>
      <c r="F6" s="82" t="n">
        <v>0</v>
      </c>
      <c r="G6" s="13" t="n">
        <v>0.01</v>
      </c>
      <c r="H6" s="7" t="inlineStr">
        <is>
          <t>Python recomputation; tolerance 0.01</t>
        </is>
      </c>
      <c r="I6" s="83" t="inlineStr">
        <is>
          <t>PASSED</t>
        </is>
      </c>
      <c r="J6" s="16" t="inlineStr">
        <is>
          <t>RE-VERIFIED</t>
        </is>
      </c>
    </row>
    <row r="7">
      <c r="A7" s="13" t="inlineStr">
        <is>
          <t>CHK-03</t>
        </is>
      </c>
      <c r="B7" s="5" t="inlineStr">
        <is>
          <t>Exclusions completeness</t>
        </is>
      </c>
      <c r="C7" s="6" t="inlineStr">
        <is>
          <t>Excluded source items agree to formula-driven source summary</t>
        </is>
      </c>
      <c r="D7" s="82" t="n">
        <v>238933750</v>
      </c>
      <c r="E7" s="82" t="n">
        <v>238933750</v>
      </c>
      <c r="F7" s="82" t="n">
        <v>0</v>
      </c>
      <c r="G7" s="13" t="n">
        <v>0.01</v>
      </c>
      <c r="H7" s="7" t="inlineStr">
        <is>
          <t>Python recomputation; tolerance 0.01</t>
        </is>
      </c>
      <c r="I7" s="83" t="inlineStr">
        <is>
          <t>PASSED</t>
        </is>
      </c>
      <c r="J7" s="16" t="inlineStr">
        <is>
          <t>RE-VERIFIED</t>
        </is>
      </c>
    </row>
    <row r="8">
      <c r="A8" s="13" t="inlineStr">
        <is>
          <t>CHK-04</t>
        </is>
      </c>
      <c r="B8" s="5" t="inlineStr">
        <is>
          <t>Turnover source-sheet tie</t>
        </is>
      </c>
      <c r="C8" s="6" t="inlineStr">
        <is>
          <t>Known monthly source totals agree to extracted lines</t>
        </is>
      </c>
      <c r="D8" s="82" t="n">
        <v>0</v>
      </c>
      <c r="E8" s="82" t="n">
        <v>0</v>
      </c>
      <c r="F8" s="82" t="n">
        <v>0</v>
      </c>
      <c r="G8" s="13" t="n">
        <v>0.01</v>
      </c>
      <c r="H8" s="7" t="inlineStr">
        <is>
          <t>Python recomputation; tolerance 0.01</t>
        </is>
      </c>
      <c r="I8" s="83" t="inlineStr">
        <is>
          <t>PASSED</t>
        </is>
      </c>
      <c r="J8" s="16" t="inlineStr">
        <is>
          <t>RE-VERIFIED</t>
        </is>
      </c>
    </row>
    <row r="9">
      <c r="A9" s="13" t="inlineStr">
        <is>
          <t>CHK-05</t>
        </is>
      </c>
      <c r="B9" s="5" t="inlineStr">
        <is>
          <t>Sales transaction population</t>
        </is>
      </c>
      <c r="C9" s="6" t="inlineStr">
        <is>
          <t>All sales receipt detail rows incorporated</t>
        </is>
      </c>
      <c r="D9" s="82" t="n">
        <v>859</v>
      </c>
      <c r="E9" s="82" t="n">
        <v>859</v>
      </c>
      <c r="F9" s="82" t="n">
        <v>0</v>
      </c>
      <c r="G9" s="13" t="n">
        <v>0</v>
      </c>
      <c r="H9" s="7" t="inlineStr">
        <is>
          <t>Python recomputation; tolerance 0</t>
        </is>
      </c>
      <c r="I9" s="83" t="inlineStr">
        <is>
          <t>PASSED</t>
        </is>
      </c>
      <c r="J9" s="16" t="inlineStr">
        <is>
          <t>RE-VERIFIED</t>
        </is>
      </c>
    </row>
    <row r="10">
      <c r="A10" s="13" t="inlineStr">
        <is>
          <t>CHK-06</t>
        </is>
      </c>
      <c r="B10" s="5" t="inlineStr">
        <is>
          <t>Subscription population</t>
        </is>
      </c>
      <c r="C10" s="6" t="inlineStr">
        <is>
          <t>All non-total subscription records incorporated</t>
        </is>
      </c>
      <c r="D10" s="82" t="n">
        <v>214</v>
      </c>
      <c r="E10" s="82" t="n">
        <v>214</v>
      </c>
      <c r="F10" s="82" t="n">
        <v>0</v>
      </c>
      <c r="G10" s="13" t="n">
        <v>0</v>
      </c>
      <c r="H10" s="7" t="inlineStr">
        <is>
          <t>Python recomputation; tolerance 0</t>
        </is>
      </c>
      <c r="I10" s="83" t="inlineStr">
        <is>
          <t>PASSED</t>
        </is>
      </c>
      <c r="J10" s="16" t="inlineStr">
        <is>
          <t>RE-VERIFIED</t>
        </is>
      </c>
    </row>
    <row r="11">
      <c r="A11" s="13" t="inlineStr">
        <is>
          <t>CHK-07</t>
        </is>
      </c>
      <c r="B11" s="5" t="inlineStr">
        <is>
          <t>Customer master population</t>
        </is>
      </c>
      <c r="C11" s="6" t="inlineStr">
        <is>
          <t>All distinct customer profiles incorporated</t>
        </is>
      </c>
      <c r="D11" s="82" t="n">
        <v>236</v>
      </c>
      <c r="E11" s="82" t="n">
        <v>236</v>
      </c>
      <c r="F11" s="82" t="n">
        <v>0</v>
      </c>
      <c r="G11" s="13" t="n">
        <v>0</v>
      </c>
      <c r="H11" s="7" t="inlineStr">
        <is>
          <t>Python recomputation; tolerance 0</t>
        </is>
      </c>
      <c r="I11" s="83" t="inlineStr">
        <is>
          <t>PASSED</t>
        </is>
      </c>
      <c r="J11" s="16" t="inlineStr">
        <is>
          <t>RE-VERIFIED</t>
        </is>
      </c>
    </row>
    <row r="12">
      <c r="A12" s="13" t="inlineStr">
        <is>
          <t>CHK-08</t>
        </is>
      </c>
      <c r="B12" s="5" t="inlineStr">
        <is>
          <t>Master workbook structure</t>
        </is>
      </c>
      <c r="C12" s="6" t="inlineStr">
        <is>
          <t>Required master workbook sheet count preserved</t>
        </is>
      </c>
      <c r="D12" s="82" t="n">
        <v>36</v>
      </c>
      <c r="E12" s="82" t="n">
        <v>36</v>
      </c>
      <c r="F12" s="82" t="n">
        <v>0</v>
      </c>
      <c r="G12" s="13" t="n">
        <v>0</v>
      </c>
      <c r="H12" s="7" t="inlineStr">
        <is>
          <t>Python recomputation; tolerance 0</t>
        </is>
      </c>
      <c r="I12" s="83" t="inlineStr">
        <is>
          <t>PASSED</t>
        </is>
      </c>
      <c r="J12" s="16" t="inlineStr">
        <is>
          <t>RE-VERIFIED</t>
        </is>
      </c>
    </row>
    <row r="13">
      <c r="A13" s="13" t="inlineStr">
        <is>
          <t>CHK-09</t>
        </is>
      </c>
      <c r="B13" s="5" t="inlineStr">
        <is>
          <t>Adjusted trial balance</t>
        </is>
      </c>
      <c r="C13" s="6" t="inlineStr">
        <is>
          <t>Debits equal credits for 2023, 2024 and 2025</t>
        </is>
      </c>
      <c r="D13" s="82" t="n">
        <v>0</v>
      </c>
      <c r="E13" s="82" t="n">
        <v>0</v>
      </c>
      <c r="F13" s="82" t="n">
        <v>0</v>
      </c>
      <c r="G13" s="13" t="n">
        <v>0.01</v>
      </c>
      <c r="H13" s="7" t="inlineStr">
        <is>
          <t>Python recomputation; tolerance 0.01</t>
        </is>
      </c>
      <c r="I13" s="83" t="inlineStr">
        <is>
          <t>PASSED</t>
        </is>
      </c>
      <c r="J13" s="16" t="inlineStr">
        <is>
          <t>RE-VERIFIED</t>
        </is>
      </c>
    </row>
    <row r="14">
      <c r="A14" s="13" t="inlineStr">
        <is>
          <t>CHK-10</t>
        </is>
      </c>
      <c r="B14" s="5" t="inlineStr">
        <is>
          <t>Statement of financial position</t>
        </is>
      </c>
      <c r="C14" s="6" t="inlineStr">
        <is>
          <t>Assets equal liabilities and equity in all three annual statements</t>
        </is>
      </c>
      <c r="D14" s="82" t="n">
        <v>0</v>
      </c>
      <c r="E14" s="82" t="n">
        <v>0</v>
      </c>
      <c r="F14" s="82" t="n">
        <v>0</v>
      </c>
      <c r="G14" s="13" t="n">
        <v>0.01</v>
      </c>
      <c r="H14" s="7" t="inlineStr">
        <is>
          <t>Python recomputation; tolerance 0.01</t>
        </is>
      </c>
      <c r="I14" s="83" t="inlineStr">
        <is>
          <t>PASSED</t>
        </is>
      </c>
      <c r="J14" s="16" t="inlineStr">
        <is>
          <t>RE-VERIFIED</t>
        </is>
      </c>
    </row>
    <row r="15">
      <c r="A15" s="13" t="inlineStr">
        <is>
          <t>CHK-11</t>
        </is>
      </c>
      <c r="B15" s="5" t="inlineStr">
        <is>
          <t>Formula integrity</t>
        </is>
      </c>
      <c r="C15" s="6" t="inlineStr">
        <is>
          <t>No broken-reference or calculation-error tokens</t>
        </is>
      </c>
      <c r="D15" s="82" t="n">
        <v>0</v>
      </c>
      <c r="E15" s="82" t="n">
        <v>0</v>
      </c>
      <c r="F15" s="82" t="n">
        <v>0</v>
      </c>
      <c r="G15" s="13" t="n">
        <v>0</v>
      </c>
      <c r="H15" s="7" t="inlineStr">
        <is>
          <t>Python recomputation; tolerance 0</t>
        </is>
      </c>
      <c r="I15" s="83" t="inlineStr">
        <is>
          <t>PASSED</t>
        </is>
      </c>
      <c r="J15" s="16" t="inlineStr">
        <is>
          <t>RE-VERIFIED</t>
        </is>
      </c>
    </row>
    <row r="16">
      <c r="A16" s="13" t="inlineStr">
        <is>
          <t>CHK-12</t>
        </is>
      </c>
      <c r="B16" s="5" t="inlineStr">
        <is>
          <t>Receipt-to-bank control bridge</t>
        </is>
      </c>
      <c r="C16" s="6" t="inlineStr">
        <is>
          <t>Bridge arithmetic is complete; allocation difference is explicit and not posted as revenue</t>
        </is>
      </c>
      <c r="D16" s="82" t="n">
        <v>0</v>
      </c>
      <c r="E16" s="82" t="n">
        <v>0</v>
      </c>
      <c r="F16" s="82" t="n">
        <v>0</v>
      </c>
      <c r="G16" s="13" t="n">
        <v>0.01</v>
      </c>
      <c r="H16" s="7" t="inlineStr">
        <is>
          <t>Python recomputation; tolerance 0.01</t>
        </is>
      </c>
      <c r="I16" s="83" t="inlineStr">
        <is>
          <t>PASSED</t>
        </is>
      </c>
      <c r="J16" s="16" t="inlineStr">
        <is>
          <t>RE-VERIFIED</t>
        </is>
      </c>
    </row>
    <row r="17">
      <c r="A17" s="23" t="inlineStr">
        <is>
          <t>OVERALL AUDIT INTEGRITY STATUS</t>
        </is>
      </c>
      <c r="B17" s="31" t="n"/>
      <c r="C17" s="31" t="n"/>
      <c r="D17" s="31" t="n"/>
      <c r="E17" s="31" t="n"/>
      <c r="F17" s="31" t="n"/>
      <c r="G17" s="31" t="n"/>
      <c r="H17" s="31" t="n"/>
      <c r="I17" s="26" t="inlineStr">
        <is>
          <t>ALL 12 CHECKS PASSED</t>
        </is>
      </c>
      <c r="J17" s="26" t="inlineStr">
        <is>
          <t>ZERO UNEXPLAINED PLUG FIGURES</t>
        </is>
      </c>
    </row>
    <row r="18"/>
    <row r="19"/>
    <row r="20">
      <c r="A20" s="2" t="inlineStr">
        <is>
          <t>SOURCE SUMMARY (EVALUATED FORMULA RESULTS)</t>
        </is>
      </c>
    </row>
    <row r="21">
      <c r="A21" s="72" t="inlineStr">
        <is>
          <t>Formula-driven source summary copied as evaluated values; source formulas were parsed and inventoried separately.</t>
        </is>
      </c>
    </row>
    <row r="22"/>
    <row r="23" ht="32" customHeight="1">
      <c r="A23" s="74" t="inlineStr">
        <is>
          <t>1. Sales receipts by product line and year (Sales_Ledger)</t>
        </is>
      </c>
      <c r="B23" s="74" t="n"/>
      <c r="C23" s="74" t="n"/>
      <c r="D23" s="74" t="n"/>
      <c r="E23" s="74" t="n"/>
      <c r="F23" s="74" t="n"/>
    </row>
    <row r="24" ht="25" customHeight="1">
      <c r="A24" s="75" t="inlineStr">
        <is>
          <t>2022 shows nil: no transaction-level receipts for 2022 exist on the Drive. Construction shows nil: no construction-contract receipts were found for 2022 to 2025.</t>
        </is>
      </c>
      <c r="B24" s="75" t="n"/>
      <c r="C24" s="75" t="n"/>
      <c r="D24" s="75" t="n"/>
      <c r="E24" s="75" t="n"/>
      <c r="F24" s="75" t="n"/>
    </row>
    <row r="25" ht="25" customHeight="1">
      <c r="A25" s="78" t="inlineStr">
        <is>
          <t>Product line</t>
        </is>
      </c>
      <c r="B25" s="78" t="inlineStr">
        <is>
          <t>2022</t>
        </is>
      </c>
      <c r="C25" s="78" t="inlineStr">
        <is>
          <t>2023</t>
        </is>
      </c>
      <c r="D25" s="78" t="inlineStr">
        <is>
          <t>2024</t>
        </is>
      </c>
      <c r="E25" s="78" t="inlineStr">
        <is>
          <t>2025</t>
        </is>
      </c>
      <c r="F25" s="78" t="inlineStr">
        <is>
          <t>Total 2022-2025</t>
        </is>
      </c>
    </row>
    <row r="26" ht="25" customHeight="1">
      <c r="A26" s="75" t="inlineStr">
        <is>
          <t>Land: plot price / instalments</t>
        </is>
      </c>
      <c r="B26" s="77" t="n">
        <v>0</v>
      </c>
      <c r="C26" s="77" t="n">
        <v>104120000</v>
      </c>
      <c r="D26" s="77" t="n">
        <v>440615600</v>
      </c>
      <c r="E26" s="77" t="n">
        <v>126443400</v>
      </c>
      <c r="F26" s="77" t="n">
        <v>671179000</v>
      </c>
    </row>
    <row r="27" ht="25" customHeight="1">
      <c r="A27" s="78" t="inlineStr">
        <is>
          <t>Land: ancillary charges (corner piece, documentation, development)</t>
        </is>
      </c>
      <c r="B27" s="80" t="n">
        <v>0</v>
      </c>
      <c r="C27" s="80" t="n">
        <v>0</v>
      </c>
      <c r="D27" s="80" t="n">
        <v>8965000</v>
      </c>
      <c r="E27" s="80" t="n">
        <v>0</v>
      </c>
      <c r="F27" s="80" t="n">
        <v>8965000</v>
      </c>
    </row>
    <row r="28" ht="25" customHeight="1">
      <c r="A28" s="75" t="inlineStr">
        <is>
          <t>Housing: unit price / instalments</t>
        </is>
      </c>
      <c r="B28" s="77" t="n">
        <v>0</v>
      </c>
      <c r="C28" s="77" t="n">
        <v>21500000</v>
      </c>
      <c r="D28" s="77" t="n">
        <v>144500000</v>
      </c>
      <c r="E28" s="77" t="n">
        <v>1738670000</v>
      </c>
      <c r="F28" s="77" t="n">
        <v>1904670000</v>
      </c>
    </row>
    <row r="29" ht="25" customHeight="1">
      <c r="A29" s="78" t="inlineStr">
        <is>
          <t>Construction</t>
        </is>
      </c>
      <c r="B29" s="80" t="n">
        <v>0</v>
      </c>
      <c r="C29" s="80" t="n">
        <v>0</v>
      </c>
      <c r="D29" s="80" t="n">
        <v>0</v>
      </c>
      <c r="E29" s="80" t="n">
        <v>0</v>
      </c>
      <c r="F29" s="80" t="n">
        <v>0</v>
      </c>
    </row>
    <row r="30" ht="25" customHeight="1">
      <c r="A30" s="75" t="inlineStr">
        <is>
          <t>Total sales receipts</t>
        </is>
      </c>
      <c r="B30" s="77" t="n">
        <v>0</v>
      </c>
      <c r="C30" s="77" t="n">
        <v>125620000</v>
      </c>
      <c r="D30" s="77" t="n">
        <v>594080600</v>
      </c>
      <c r="E30" s="77" t="n">
        <v>1865113400</v>
      </c>
      <c r="F30" s="77" t="n">
        <v>2584814000</v>
      </c>
    </row>
    <row r="31" ht="25" customHeight="1">
      <c r="A31" s="78" t="inlineStr">
        <is>
          <t>Check: agrees to Sales_Ledger total (should be 0)</t>
        </is>
      </c>
      <c r="B31" s="80" t="n"/>
      <c r="C31" s="80" t="n"/>
      <c r="D31" s="80" t="n"/>
      <c r="E31" s="80" t="n"/>
      <c r="F31" s="80" t="n">
        <v>0</v>
      </c>
    </row>
    <row r="32" ht="25" customHeight="1">
      <c r="A32" s="75" t="n"/>
      <c r="B32" s="75" t="n"/>
      <c r="C32" s="75" t="n"/>
      <c r="D32" s="75" t="n"/>
      <c r="E32" s="75" t="n"/>
      <c r="F32" s="75" t="n"/>
    </row>
    <row r="33" ht="25" customHeight="1">
      <c r="A33" s="78" t="inlineStr">
        <is>
          <t>2. How each year's receipts were sourced</t>
        </is>
      </c>
      <c r="B33" s="78" t="n"/>
      <c r="C33" s="78" t="n"/>
      <c r="D33" s="78" t="n"/>
      <c r="E33" s="78" t="n"/>
      <c r="F33" s="78" t="n"/>
    </row>
    <row r="34" ht="25" customHeight="1">
      <c r="A34" s="75" t="inlineStr">
        <is>
          <t>The basis tells the auditor how much reliance the list can bear before agreeing it to bank statements.</t>
        </is>
      </c>
      <c r="B34" s="75" t="n"/>
      <c r="C34" s="75" t="n"/>
      <c r="D34" s="75" t="n"/>
      <c r="E34" s="75" t="n"/>
      <c r="F34" s="75" t="n"/>
    </row>
    <row r="35" ht="25" customHeight="1">
      <c r="A35" s="78" t="inlineStr">
        <is>
          <t>Population basis</t>
        </is>
      </c>
      <c r="B35" s="78" t="inlineStr">
        <is>
          <t>2022</t>
        </is>
      </c>
      <c r="C35" s="78" t="inlineStr">
        <is>
          <t>2023</t>
        </is>
      </c>
      <c r="D35" s="78" t="inlineStr">
        <is>
          <t>2024</t>
        </is>
      </c>
      <c r="E35" s="78" t="inlineStr">
        <is>
          <t>2025</t>
        </is>
      </c>
      <c r="F35" s="78" t="inlineStr">
        <is>
          <t>Total</t>
        </is>
      </c>
    </row>
    <row r="36" ht="25" customHeight="1">
      <c r="A36" s="75" t="inlineStr">
        <is>
          <t>Monthly turnover register (Dec 2023 to Dec 2024)</t>
        </is>
      </c>
      <c r="B36" s="77" t="n">
        <v>0</v>
      </c>
      <c r="C36" s="77" t="n">
        <v>35270000</v>
      </c>
      <c r="D36" s="77" t="n">
        <v>594080600</v>
      </c>
      <c r="E36" s="77" t="n">
        <v>0</v>
      </c>
      <c r="F36" s="77" t="n">
        <v>629350600</v>
      </c>
    </row>
    <row r="37" ht="25" customHeight="1">
      <c r="A37" s="78" t="inlineStr">
        <is>
          <t>Turnover schedule, Green City Ph1/Ph2 (Jan to Nov 2023)</t>
        </is>
      </c>
      <c r="B37" s="80" t="n">
        <v>0</v>
      </c>
      <c r="C37" s="80" t="n">
        <v>42906000</v>
      </c>
      <c r="D37" s="80" t="n">
        <v>0</v>
      </c>
      <c r="E37" s="80" t="n">
        <v>0</v>
      </c>
      <c r="F37" s="80" t="n">
        <v>42906000</v>
      </c>
    </row>
    <row r="38" ht="25" customHeight="1">
      <c r="A38" s="75" t="inlineStr">
        <is>
          <t>Sales commission records (Jan to Nov 2023, and all of 2025)</t>
        </is>
      </c>
      <c r="B38" s="77" t="n">
        <v>0</v>
      </c>
      <c r="C38" s="77" t="n">
        <v>47444000</v>
      </c>
      <c r="D38" s="77" t="n">
        <v>0</v>
      </c>
      <c r="E38" s="77" t="n">
        <v>1865113400</v>
      </c>
      <c r="F38" s="77" t="n">
        <v>1912557400</v>
      </c>
    </row>
    <row r="39" ht="25" customHeight="1">
      <c r="A39" s="78" t="inlineStr">
        <is>
          <t>Total</t>
        </is>
      </c>
      <c r="B39" s="80" t="n">
        <v>0</v>
      </c>
      <c r="C39" s="80" t="n">
        <v>125620000</v>
      </c>
      <c r="D39" s="80" t="n">
        <v>594080600</v>
      </c>
      <c r="E39" s="80" t="n">
        <v>1865113400</v>
      </c>
      <c r="F39" s="80" t="n">
        <v>2584814000</v>
      </c>
    </row>
    <row r="40" ht="25" customHeight="1">
      <c r="A40" s="75" t="n"/>
      <c r="B40" s="75" t="n"/>
      <c r="C40" s="75" t="n"/>
      <c r="D40" s="75" t="n"/>
      <c r="E40" s="75" t="n"/>
      <c r="F40" s="75" t="n"/>
    </row>
    <row r="41" ht="25" customHeight="1">
      <c r="A41" s="78" t="inlineStr">
        <is>
          <t>3. Sales receipts by project / estate and year</t>
        </is>
      </c>
      <c r="B41" s="78" t="n"/>
      <c r="C41" s="78" t="n"/>
      <c r="D41" s="78" t="n"/>
      <c r="E41" s="78" t="n"/>
      <c r="F41" s="78" t="n"/>
    </row>
    <row r="42" ht="25" customHeight="1">
      <c r="A42" s="75" t="inlineStr">
        <is>
          <t>Project / estate</t>
        </is>
      </c>
      <c r="B42" s="75" t="inlineStr">
        <is>
          <t>2022</t>
        </is>
      </c>
      <c r="C42" s="75" t="inlineStr">
        <is>
          <t>2023</t>
        </is>
      </c>
      <c r="D42" s="75" t="inlineStr">
        <is>
          <t>2024</t>
        </is>
      </c>
      <c r="E42" s="75" t="inlineStr">
        <is>
          <t>2025</t>
        </is>
      </c>
      <c r="F42" s="75" t="inlineStr">
        <is>
          <t>Total</t>
        </is>
      </c>
    </row>
    <row r="43" ht="25" customHeight="1">
      <c r="A43" s="78" t="inlineStr">
        <is>
          <t>Baay Foreshore</t>
        </is>
      </c>
      <c r="B43" s="80" t="n">
        <v>0</v>
      </c>
      <c r="C43" s="80" t="n">
        <v>0</v>
      </c>
      <c r="D43" s="80" t="n">
        <v>0</v>
      </c>
      <c r="E43" s="80" t="n">
        <v>262245000</v>
      </c>
      <c r="F43" s="80" t="n">
        <v>262245000</v>
      </c>
    </row>
    <row r="44" ht="25" customHeight="1">
      <c r="A44" s="75" t="inlineStr">
        <is>
          <t>Gorge View Court (GVC Gbagada)</t>
        </is>
      </c>
      <c r="B44" s="77" t="n">
        <v>0</v>
      </c>
      <c r="C44" s="77" t="n">
        <v>0</v>
      </c>
      <c r="D44" s="77" t="n">
        <v>0</v>
      </c>
      <c r="E44" s="77" t="n">
        <v>780000000</v>
      </c>
      <c r="F44" s="77" t="n">
        <v>780000000</v>
      </c>
    </row>
    <row r="45" ht="25" customHeight="1">
      <c r="A45" s="78" t="inlineStr">
        <is>
          <t>Green City Ibadan (Akinyele-Moniya)</t>
        </is>
      </c>
      <c r="B45" s="80" t="n">
        <v>0</v>
      </c>
      <c r="C45" s="80" t="n">
        <v>0</v>
      </c>
      <c r="D45" s="80" t="n">
        <v>9255000</v>
      </c>
      <c r="E45" s="80" t="n">
        <v>0</v>
      </c>
      <c r="F45" s="80" t="n">
        <v>9255000</v>
      </c>
    </row>
    <row r="46" ht="25" customHeight="1">
      <c r="A46" s="75" t="inlineStr">
        <is>
          <t>Green City Phase 1 (Ketu-Epe)</t>
        </is>
      </c>
      <c r="B46" s="77" t="n">
        <v>0</v>
      </c>
      <c r="C46" s="77" t="n">
        <v>23666000</v>
      </c>
      <c r="D46" s="77" t="n">
        <v>0</v>
      </c>
      <c r="E46" s="77" t="n">
        <v>0</v>
      </c>
      <c r="F46" s="77" t="n">
        <v>23666000</v>
      </c>
    </row>
    <row r="47" ht="25" customHeight="1">
      <c r="A47" s="78" t="inlineStr">
        <is>
          <t>Green City Phase 1 (Lantaba, Ketu-Epe)</t>
        </is>
      </c>
      <c r="B47" s="80" t="n">
        <v>0</v>
      </c>
      <c r="C47" s="80" t="n">
        <v>0</v>
      </c>
      <c r="D47" s="80" t="n">
        <v>127235000</v>
      </c>
      <c r="E47" s="80" t="n">
        <v>0</v>
      </c>
      <c r="F47" s="80" t="n">
        <v>127235000</v>
      </c>
    </row>
    <row r="48" ht="25" customHeight="1">
      <c r="A48" s="75" t="inlineStr">
        <is>
          <t>Green City Phase 2 (Idobi, Ketu-Epe)</t>
        </is>
      </c>
      <c r="B48" s="77" t="n">
        <v>0</v>
      </c>
      <c r="C48" s="77" t="n">
        <v>0</v>
      </c>
      <c r="D48" s="77" t="n">
        <v>44512500</v>
      </c>
      <c r="E48" s="77" t="n">
        <v>0</v>
      </c>
      <c r="F48" s="77" t="n">
        <v>44512500</v>
      </c>
    </row>
    <row r="49" ht="25" customHeight="1">
      <c r="A49" s="78" t="inlineStr">
        <is>
          <t>Green City Phase 2 (Ketu-Epe)</t>
        </is>
      </c>
      <c r="B49" s="80" t="n">
        <v>0</v>
      </c>
      <c r="C49" s="80" t="n">
        <v>2740000</v>
      </c>
      <c r="D49" s="80" t="n">
        <v>117466100</v>
      </c>
      <c r="E49" s="80" t="n">
        <v>0</v>
      </c>
      <c r="F49" s="80" t="n">
        <v>120206100</v>
      </c>
    </row>
    <row r="50" ht="25" customHeight="1">
      <c r="A50" s="75" t="inlineStr">
        <is>
          <t>Green City Phase 3 (Omu-Epe)</t>
        </is>
      </c>
      <c r="B50" s="77" t="n">
        <v>0</v>
      </c>
      <c r="C50" s="77" t="n">
        <v>0</v>
      </c>
      <c r="D50" s="77" t="n">
        <v>138007000</v>
      </c>
      <c r="E50" s="77" t="n">
        <v>0</v>
      </c>
      <c r="F50" s="77" t="n">
        <v>138007000</v>
      </c>
    </row>
    <row r="51" ht="25" customHeight="1">
      <c r="A51" s="78" t="inlineStr">
        <is>
          <t>Green City Phase 3 Extension (Omu-Epe)</t>
        </is>
      </c>
      <c r="B51" s="80" t="n">
        <v>0</v>
      </c>
      <c r="C51" s="80" t="n">
        <v>0</v>
      </c>
      <c r="D51" s="80" t="n">
        <v>300000</v>
      </c>
      <c r="E51" s="80" t="n">
        <v>0</v>
      </c>
      <c r="F51" s="80" t="n">
        <v>300000</v>
      </c>
    </row>
    <row r="52" ht="25" customHeight="1">
      <c r="A52" s="75" t="inlineStr">
        <is>
          <t>Heritage Garden</t>
        </is>
      </c>
      <c r="B52" s="77" t="n">
        <v>0</v>
      </c>
      <c r="C52" s="77" t="n">
        <v>0</v>
      </c>
      <c r="D52" s="77" t="n">
        <v>3590000</v>
      </c>
      <c r="E52" s="77" t="n">
        <v>1000000</v>
      </c>
      <c r="F52" s="77" t="n">
        <v>4590000</v>
      </c>
    </row>
    <row r="53" ht="25" customHeight="1">
      <c r="A53" s="78" t="inlineStr">
        <is>
          <t>Housing unit (project not stated in source)</t>
        </is>
      </c>
      <c r="B53" s="80" t="n">
        <v>0</v>
      </c>
      <c r="C53" s="80" t="n">
        <v>5000000</v>
      </c>
      <c r="D53" s="80" t="n">
        <v>55000000</v>
      </c>
      <c r="E53" s="80" t="n">
        <v>86100000</v>
      </c>
      <c r="F53" s="80" t="n">
        <v>146100000</v>
      </c>
    </row>
    <row r="54" ht="25" customHeight="1">
      <c r="A54" s="75" t="inlineStr">
        <is>
          <t>Land (estate not stated in source)</t>
        </is>
      </c>
      <c r="B54" s="77" t="n">
        <v>0</v>
      </c>
      <c r="C54" s="77" t="n">
        <v>77714000</v>
      </c>
      <c r="D54" s="77" t="n">
        <v>250000</v>
      </c>
      <c r="E54" s="77" t="n">
        <v>125443400</v>
      </c>
      <c r="F54" s="77" t="n">
        <v>203407400</v>
      </c>
    </row>
    <row r="55" ht="25" customHeight="1">
      <c r="A55" s="78" t="inlineStr">
        <is>
          <t>Land: corner piece premium</t>
        </is>
      </c>
      <c r="B55" s="80" t="n">
        <v>0</v>
      </c>
      <c r="C55" s="80" t="n">
        <v>0</v>
      </c>
      <c r="D55" s="80" t="n">
        <v>7090000</v>
      </c>
      <c r="E55" s="80" t="n">
        <v>0</v>
      </c>
      <c r="F55" s="80" t="n">
        <v>7090000</v>
      </c>
    </row>
    <row r="56" ht="25" customHeight="1">
      <c r="A56" s="75" t="inlineStr">
        <is>
          <t>Land: development fee</t>
        </is>
      </c>
      <c r="B56" s="77" t="n">
        <v>0</v>
      </c>
      <c r="C56" s="77" t="n">
        <v>0</v>
      </c>
      <c r="D56" s="77" t="n">
        <v>400000</v>
      </c>
      <c r="E56" s="77" t="n">
        <v>0</v>
      </c>
      <c r="F56" s="77" t="n">
        <v>400000</v>
      </c>
    </row>
    <row r="57" ht="25" customHeight="1">
      <c r="A57" s="78" t="inlineStr">
        <is>
          <t>Land: documentation fee</t>
        </is>
      </c>
      <c r="B57" s="80" t="n">
        <v>0</v>
      </c>
      <c r="C57" s="80" t="n">
        <v>0</v>
      </c>
      <c r="D57" s="80" t="n">
        <v>1475000</v>
      </c>
      <c r="E57" s="80" t="n">
        <v>0</v>
      </c>
      <c r="F57" s="80" t="n">
        <v>1475000</v>
      </c>
    </row>
    <row r="58" ht="25" customHeight="1">
      <c r="A58" s="75" t="inlineStr">
        <is>
          <t>Pacific Apartment</t>
        </is>
      </c>
      <c r="B58" s="77" t="n">
        <v>0</v>
      </c>
      <c r="C58" s="77" t="n">
        <v>0</v>
      </c>
      <c r="D58" s="77" t="n">
        <v>89500000</v>
      </c>
      <c r="E58" s="77" t="n">
        <v>574325000</v>
      </c>
      <c r="F58" s="77" t="n">
        <v>663825000</v>
      </c>
    </row>
    <row r="59" ht="25" customHeight="1">
      <c r="A59" s="78" t="inlineStr">
        <is>
          <t>Pacific Court</t>
        </is>
      </c>
      <c r="B59" s="80" t="n">
        <v>0</v>
      </c>
      <c r="C59" s="80" t="n">
        <v>16500000</v>
      </c>
      <c r="D59" s="80" t="n">
        <v>0</v>
      </c>
      <c r="E59" s="80" t="n">
        <v>0</v>
      </c>
      <c r="F59" s="80" t="n">
        <v>16500000</v>
      </c>
    </row>
    <row r="60" ht="25" customHeight="1">
      <c r="A60" s="75" t="inlineStr">
        <is>
          <t>Pacific Court 2</t>
        </is>
      </c>
      <c r="B60" s="77" t="n">
        <v>0</v>
      </c>
      <c r="C60" s="77" t="n">
        <v>0</v>
      </c>
      <c r="D60" s="77" t="n">
        <v>0</v>
      </c>
      <c r="E60" s="77" t="n">
        <v>36000000</v>
      </c>
      <c r="F60" s="77" t="n">
        <v>36000000</v>
      </c>
    </row>
    <row r="61" ht="25" customHeight="1">
      <c r="A61" s="78" t="inlineStr">
        <is>
          <t>Total</t>
        </is>
      </c>
      <c r="B61" s="80" t="n">
        <v>0</v>
      </c>
      <c r="C61" s="80" t="n">
        <v>125620000</v>
      </c>
      <c r="D61" s="80" t="n">
        <v>594080600</v>
      </c>
      <c r="E61" s="80" t="n">
        <v>1865113400</v>
      </c>
      <c r="F61" s="80" t="n">
        <v>2584814000</v>
      </c>
    </row>
    <row r="62" ht="25" customHeight="1">
      <c r="A62" s="75" t="n"/>
      <c r="B62" s="75" t="n"/>
      <c r="C62" s="75" t="n"/>
      <c r="D62" s="75" t="n"/>
      <c r="E62" s="75" t="n"/>
      <c r="F62" s="75" t="n"/>
    </row>
    <row r="63" ht="25" customHeight="1">
      <c r="A63" s="78" t="inlineStr">
        <is>
          <t>4. Customers subscribed (Subscriptions and Customer_Master)</t>
        </is>
      </c>
      <c r="B63" s="78" t="n"/>
      <c r="C63" s="78" t="n"/>
      <c r="D63" s="78" t="n"/>
      <c r="E63" s="78" t="n"/>
      <c r="F63" s="78" t="n"/>
    </row>
    <row r="64" ht="25" customHeight="1">
      <c r="A64" s="75" t="inlineStr">
        <is>
          <t>Subscriptions are counted in the year of the subscription date in the client register.</t>
        </is>
      </c>
      <c r="B64" s="75" t="n"/>
      <c r="C64" s="75" t="n"/>
      <c r="D64" s="75" t="n"/>
      <c r="E64" s="75" t="n"/>
      <c r="F64" s="75" t="n"/>
    </row>
    <row r="65" ht="25" customHeight="1">
      <c r="A65" s="78" t="inlineStr">
        <is>
          <t>Subscriptions per client register</t>
        </is>
      </c>
      <c r="B65" s="78" t="inlineStr">
        <is>
          <t>2022</t>
        </is>
      </c>
      <c r="C65" s="78" t="inlineStr">
        <is>
          <t>2023</t>
        </is>
      </c>
      <c r="D65" s="78" t="inlineStr">
        <is>
          <t>2024</t>
        </is>
      </c>
      <c r="E65" s="78" t="inlineStr">
        <is>
          <t>2025</t>
        </is>
      </c>
      <c r="F65" s="78" t="inlineStr">
        <is>
          <t>Total</t>
        </is>
      </c>
    </row>
    <row r="66" ht="25" customHeight="1">
      <c r="A66" s="75" t="inlineStr">
        <is>
          <t>Land</t>
        </is>
      </c>
      <c r="B66" s="77" t="n">
        <v>0</v>
      </c>
      <c r="C66" s="77" t="n">
        <v>42</v>
      </c>
      <c r="D66" s="77" t="n">
        <v>99</v>
      </c>
      <c r="E66" s="77" t="n">
        <v>33</v>
      </c>
      <c r="F66" s="77" t="n">
        <v>174</v>
      </c>
    </row>
    <row r="67" ht="25" customHeight="1">
      <c r="A67" s="78" t="inlineStr">
        <is>
          <t>Housing</t>
        </is>
      </c>
      <c r="B67" s="80" t="n">
        <v>5</v>
      </c>
      <c r="C67" s="80" t="n">
        <v>2</v>
      </c>
      <c r="D67" s="80" t="n">
        <v>5</v>
      </c>
      <c r="E67" s="80" t="n">
        <v>25</v>
      </c>
      <c r="F67" s="80" t="n">
        <v>37</v>
      </c>
    </row>
    <row r="68" ht="25" customHeight="1">
      <c r="A68" s="75" t="inlineStr">
        <is>
          <t>Construction</t>
        </is>
      </c>
      <c r="B68" s="77" t="n">
        <v>0</v>
      </c>
      <c r="C68" s="77" t="n">
        <v>0</v>
      </c>
      <c r="D68" s="77" t="n">
        <v>0</v>
      </c>
      <c r="E68" s="77" t="n">
        <v>0</v>
      </c>
      <c r="F68" s="77" t="n">
        <v>0</v>
      </c>
    </row>
    <row r="69" ht="25" customHeight="1">
      <c r="A69" s="78" t="inlineStr">
        <is>
          <t>Subscriptions with a dated entry</t>
        </is>
      </c>
      <c r="B69" s="80" t="n">
        <v>5</v>
      </c>
      <c r="C69" s="80" t="n">
        <v>44</v>
      </c>
      <c r="D69" s="80" t="n">
        <v>104</v>
      </c>
      <c r="E69" s="80" t="n">
        <v>58</v>
      </c>
      <c r="F69" s="80" t="n">
        <v>211</v>
      </c>
    </row>
    <row r="70" ht="25" customHeight="1">
      <c r="A70" s="75" t="inlineStr">
        <is>
          <t>Subscriptions with no date in the register</t>
        </is>
      </c>
      <c r="B70" s="77" t="n"/>
      <c r="C70" s="77" t="n"/>
      <c r="D70" s="77" t="n"/>
      <c r="E70" s="77" t="n"/>
      <c r="F70" s="77" t="n">
        <v>3</v>
      </c>
    </row>
    <row r="71" ht="25" customHeight="1">
      <c r="A71" s="78" t="n"/>
      <c r="B71" s="78" t="n"/>
      <c r="C71" s="78" t="n"/>
      <c r="D71" s="78" t="n"/>
      <c r="E71" s="78" t="n"/>
      <c r="F71" s="78" t="n"/>
    </row>
    <row r="72" ht="25" customHeight="1">
      <c r="A72" s="75" t="n"/>
      <c r="B72" s="75" t="n"/>
      <c r="C72" s="75" t="n"/>
      <c r="D72" s="75" t="n"/>
      <c r="E72" s="75" t="n"/>
      <c r="F72" s="75" t="n"/>
    </row>
    <row r="73" ht="25" customHeight="1">
      <c r="A73" s="78" t="inlineStr">
        <is>
          <t>Distinct customers in Customer_Master</t>
        </is>
      </c>
      <c r="B73" s="80" t="n"/>
      <c r="C73" s="80" t="n"/>
      <c r="D73" s="80" t="n"/>
      <c r="E73" s="80" t="n"/>
      <c r="F73" s="84" t="n">
        <v>236</v>
      </c>
    </row>
    <row r="74" ht="25" customHeight="1">
      <c r="A74" s="75" t="inlineStr">
        <is>
          <t xml:space="preserve">  of which buying land</t>
        </is>
      </c>
      <c r="B74" s="77" t="n"/>
      <c r="C74" s="77" t="n"/>
      <c r="D74" s="77" t="n"/>
      <c r="E74" s="77" t="n"/>
      <c r="F74" s="85" t="n">
        <v>187</v>
      </c>
    </row>
    <row r="75" ht="25" customHeight="1">
      <c r="A75" s="78" t="inlineStr">
        <is>
          <t xml:space="preserve">  of which buying housing</t>
        </is>
      </c>
      <c r="B75" s="80" t="n"/>
      <c r="C75" s="80" t="n"/>
      <c r="D75" s="80" t="n"/>
      <c r="E75" s="80" t="n"/>
      <c r="F75" s="84" t="n">
        <v>53</v>
      </c>
    </row>
    <row r="76" ht="25" customHeight="1">
      <c r="A76" s="75" t="inlineStr">
        <is>
          <t xml:space="preserve">  found in both client register and transaction records</t>
        </is>
      </c>
      <c r="B76" s="77" t="n"/>
      <c r="C76" s="77" t="n"/>
      <c r="D76" s="77" t="n"/>
      <c r="E76" s="77" t="n"/>
      <c r="F76" s="85" t="n">
        <v>154</v>
      </c>
    </row>
    <row r="77" ht="25" customHeight="1">
      <c r="A77" s="78" t="inlineStr">
        <is>
          <t xml:space="preserve">  in client register only (no receipt line found)</t>
        </is>
      </c>
      <c r="B77" s="80" t="n"/>
      <c r="C77" s="80" t="n"/>
      <c r="D77" s="80" t="n"/>
      <c r="E77" s="80" t="n"/>
      <c r="F77" s="84" t="n">
        <v>35</v>
      </c>
    </row>
    <row r="78" ht="25" customHeight="1">
      <c r="A78" s="75" t="inlineStr">
        <is>
          <t xml:space="preserve">  in transaction records only (not in client register)</t>
        </is>
      </c>
      <c r="B78" s="77" t="n"/>
      <c r="C78" s="77" t="n"/>
      <c r="D78" s="77" t="n"/>
      <c r="E78" s="77" t="n"/>
      <c r="F78" s="85" t="n">
        <v>39</v>
      </c>
    </row>
    <row r="79" ht="25" customHeight="1">
      <c r="A79" s="78" t="inlineStr">
        <is>
          <t xml:space="preserve">  in commission records only (see exceptions tab)</t>
        </is>
      </c>
      <c r="B79" s="80" t="n"/>
      <c r="C79" s="80" t="n"/>
      <c r="D79" s="80" t="n"/>
      <c r="E79" s="80" t="n"/>
      <c r="F79" s="84" t="n">
        <v>8</v>
      </c>
    </row>
    <row r="80" ht="25" customHeight="1">
      <c r="A80" s="75" t="inlineStr">
        <is>
          <t>Customers flagged for review (Customer_Master column R)</t>
        </is>
      </c>
      <c r="B80" s="77" t="n"/>
      <c r="C80" s="77" t="n"/>
      <c r="D80" s="77" t="n"/>
      <c r="E80" s="77" t="n"/>
      <c r="F80" s="85" t="n">
        <v>83</v>
      </c>
    </row>
    <row r="81" ht="25" customHeight="1">
      <c r="A81" s="78" t="n"/>
      <c r="B81" s="78" t="n"/>
      <c r="C81" s="78" t="n"/>
      <c r="D81" s="78" t="n"/>
      <c r="E81" s="78" t="n"/>
      <c r="F81" s="78" t="n"/>
    </row>
    <row r="82" ht="25" customHeight="1">
      <c r="A82" s="75" t="inlineStr">
        <is>
          <t>5. Items removed from the sales population (Exclusions tab)</t>
        </is>
      </c>
      <c r="B82" s="75" t="n"/>
      <c r="C82" s="75" t="n"/>
      <c r="D82" s="75" t="n"/>
      <c r="E82" s="75" t="n"/>
      <c r="F82" s="75" t="n"/>
    </row>
    <row r="83" ht="25" customHeight="1">
      <c r="A83" s="78" t="inlineStr">
        <is>
          <t>Reason</t>
        </is>
      </c>
      <c r="B83" s="78" t="inlineStr">
        <is>
          <t>2022</t>
        </is>
      </c>
      <c r="C83" s="78" t="inlineStr">
        <is>
          <t>2023</t>
        </is>
      </c>
      <c r="D83" s="78" t="inlineStr">
        <is>
          <t>2024</t>
        </is>
      </c>
      <c r="E83" s="78" t="inlineStr">
        <is>
          <t>2025</t>
        </is>
      </c>
      <c r="F83" s="78" t="inlineStr">
        <is>
          <t>Total</t>
        </is>
      </c>
    </row>
    <row r="84" ht="25" customHeight="1">
      <c r="A84" s="75" t="inlineStr">
        <is>
          <t>Co-ownership investment receipts</t>
        </is>
      </c>
      <c r="B84" s="77" t="n">
        <v>0</v>
      </c>
      <c r="C84" s="77" t="n">
        <v>0</v>
      </c>
      <c r="D84" s="77" t="n">
        <v>23420000</v>
      </c>
      <c r="E84" s="77" t="n">
        <v>212250500</v>
      </c>
      <c r="F84" s="77" t="n">
        <v>235670500</v>
      </c>
    </row>
    <row r="85" ht="25" customHeight="1">
      <c r="A85" s="78" t="inlineStr">
        <is>
          <t>Credit memos (non-cash transfers)</t>
        </is>
      </c>
      <c r="B85" s="80" t="n">
        <v>0</v>
      </c>
      <c r="C85" s="80" t="n">
        <v>0</v>
      </c>
      <c r="D85" s="80" t="n">
        <v>613250</v>
      </c>
      <c r="E85" s="80" t="n">
        <v>0</v>
      </c>
      <c r="F85" s="80" t="n">
        <v>613250</v>
      </c>
    </row>
    <row r="86" ht="25" customHeight="1">
      <c r="A86" s="75" t="inlineStr">
        <is>
          <t>Service / engagement income</t>
        </is>
      </c>
      <c r="B86" s="77" t="n">
        <v>0</v>
      </c>
      <c r="C86" s="77" t="n">
        <v>0</v>
      </c>
      <c r="D86" s="77" t="n">
        <v>2650000</v>
      </c>
      <c r="E86" s="77" t="n">
        <v>0</v>
      </c>
      <c r="F86" s="77" t="n">
        <v>2650000</v>
      </c>
    </row>
    <row r="87" ht="25" customHeight="1">
      <c r="A87" s="78" t="inlineStr">
        <is>
          <t>Total excluded</t>
        </is>
      </c>
      <c r="B87" s="80" t="n">
        <v>0</v>
      </c>
      <c r="C87" s="80" t="n">
        <v>0</v>
      </c>
      <c r="D87" s="80" t="n">
        <v>26683250</v>
      </c>
      <c r="E87" s="80" t="n">
        <v>212250500</v>
      </c>
      <c r="F87" s="80" t="n">
        <v>238933750</v>
      </c>
    </row>
    <row r="88" ht="25" customHeight="1">
      <c r="A88" s="75" t="n"/>
      <c r="B88" s="75" t="n"/>
      <c r="C88" s="75" t="n"/>
      <c r="D88" s="75" t="n"/>
      <c r="E88" s="75" t="n"/>
      <c r="F88" s="75" t="n"/>
    </row>
    <row r="89" ht="25" customHeight="1">
      <c r="A89" s="78" t="inlineStr">
        <is>
          <t>6. Open items for the auditor</t>
        </is>
      </c>
      <c r="B89" s="78" t="n"/>
      <c r="C89" s="78" t="n"/>
      <c r="D89" s="78" t="n"/>
      <c r="E89" s="78" t="n"/>
      <c r="F89" s="78" t="n"/>
    </row>
    <row r="90" ht="25" customHeight="1">
      <c r="A90" s="75" t="inlineStr">
        <is>
          <t>Unmatched secondary records, Dec 2023 to Dec 2024 (Exceptions tab)</t>
        </is>
      </c>
      <c r="B90" s="77" t="n"/>
      <c r="C90" s="77" t="n"/>
      <c r="D90" s="77" t="n"/>
      <c r="E90" s="77" t="n"/>
      <c r="F90" s="77" t="n">
        <v>138364537</v>
      </c>
    </row>
    <row r="91" ht="25" customHeight="1">
      <c r="A91" s="78" t="inlineStr">
        <is>
          <t>Turnover sheets: total differences vs stated totals (Turnover_Recon)</t>
        </is>
      </c>
      <c r="B91" s="80" t="n"/>
      <c r="C91" s="80" t="n"/>
      <c r="D91" s="80" t="n"/>
      <c r="E91" s="80" t="n"/>
      <c r="F91" s="80" t="n">
        <v>0</v>
      </c>
    </row>
    <row r="92"/>
    <row r="93"/>
    <row r="94">
      <c r="A94" s="2" t="inlineStr">
        <is>
          <t>SOURCE TURNOVER-SHEET RECONCILIATION</t>
        </is>
      </c>
    </row>
    <row r="95">
      <c r="A95" s="72" t="inlineStr">
        <is>
          <t>Extracted source-sheet totals and differences copied as evaluated values; source formulas separately inventoried.</t>
        </is>
      </c>
    </row>
    <row r="96"/>
    <row r="97" ht="32" customHeight="1">
      <c r="A97" s="74" t="inlineStr">
        <is>
          <t>Source sheet</t>
        </is>
      </c>
      <c r="B97" s="74" t="inlineStr">
        <is>
          <t>Reporting month</t>
        </is>
      </c>
      <c r="C97" s="74" t="inlineStr">
        <is>
          <t>Total stated in source (₦)</t>
        </is>
      </c>
      <c r="D97" s="74" t="inlineStr">
        <is>
          <t>Where stated</t>
        </is>
      </c>
      <c r="E97" s="74" t="inlineStr">
        <is>
          <t>In Sales_Ledger (₦)</t>
        </is>
      </c>
      <c r="F97" s="74" t="inlineStr">
        <is>
          <t>In Exclusions (₦)</t>
        </is>
      </c>
      <c r="G97" s="74" t="inlineStr">
        <is>
          <t>Extracted total (₦)</t>
        </is>
      </c>
      <c r="H97" s="74" t="inlineStr">
        <is>
          <t>Difference (₦)</t>
        </is>
      </c>
    </row>
    <row r="98" ht="25" customHeight="1">
      <c r="A98" s="75" t="inlineStr">
        <is>
          <t>DECEMBER 2023 TURNOVER</t>
        </is>
      </c>
      <c r="B98" s="75" t="inlineStr">
        <is>
          <t>2023-12</t>
        </is>
      </c>
      <c r="C98" s="77" t="n">
        <v>35270000</v>
      </c>
      <c r="D98" s="75" t="inlineStr">
        <is>
          <t>C31 "TOTAL SALES AS AT DECEMBER 2023"</t>
        </is>
      </c>
      <c r="E98" s="77" t="n">
        <v>35270000</v>
      </c>
      <c r="F98" s="77" t="n">
        <v>0</v>
      </c>
      <c r="G98" s="77" t="n">
        <v>35270000</v>
      </c>
      <c r="H98" s="77" t="n">
        <v>0</v>
      </c>
    </row>
    <row r="99" ht="25" customHeight="1">
      <c r="A99" s="78" t="inlineStr">
        <is>
          <t>JANUARY TURNOVER</t>
        </is>
      </c>
      <c r="B99" s="78" t="inlineStr">
        <is>
          <t>2024-01</t>
        </is>
      </c>
      <c r="C99" s="80" t="n">
        <v>24084000</v>
      </c>
      <c r="D99" s="78" t="inlineStr">
        <is>
          <t>C30 "TOTAL SALES FOR JANUARY 2024"</t>
        </is>
      </c>
      <c r="E99" s="80" t="n">
        <v>24084000</v>
      </c>
      <c r="F99" s="80" t="n">
        <v>0</v>
      </c>
      <c r="G99" s="80" t="n">
        <v>24084000</v>
      </c>
      <c r="H99" s="80" t="n">
        <v>0</v>
      </c>
    </row>
    <row r="100" ht="25" customHeight="1">
      <c r="A100" s="75" t="inlineStr">
        <is>
          <t>FEBRUARY TURNOVER</t>
        </is>
      </c>
      <c r="B100" s="75" t="inlineStr">
        <is>
          <t>2024-02</t>
        </is>
      </c>
      <c r="C100" s="77" t="n"/>
      <c r="D100" s="75" t="inlineStr">
        <is>
          <t>No total in sheet</t>
        </is>
      </c>
      <c r="E100" s="77" t="n">
        <v>38034850</v>
      </c>
      <c r="F100" s="77" t="n">
        <v>0</v>
      </c>
      <c r="G100" s="77" t="n">
        <v>38034850</v>
      </c>
      <c r="H100" s="77" t="inlineStr">
        <is>
          <t>n/a</t>
        </is>
      </c>
    </row>
    <row r="101" ht="25" customHeight="1">
      <c r="A101" s="78" t="inlineStr">
        <is>
          <t>MARCH TURNOVER</t>
        </is>
      </c>
      <c r="B101" s="78" t="inlineStr">
        <is>
          <t>2024-03</t>
        </is>
      </c>
      <c r="C101" s="80" t="n"/>
      <c r="D101" s="78" t="inlineStr">
        <is>
          <t>No total in sheet</t>
        </is>
      </c>
      <c r="E101" s="80" t="n">
        <v>70344850</v>
      </c>
      <c r="F101" s="80" t="n">
        <v>260000</v>
      </c>
      <c r="G101" s="80" t="n">
        <v>70604850</v>
      </c>
      <c r="H101" s="80" t="inlineStr">
        <is>
          <t>n/a</t>
        </is>
      </c>
    </row>
    <row r="102" ht="25" customHeight="1">
      <c r="A102" s="75" t="inlineStr">
        <is>
          <t>APRIL TURNOVER</t>
        </is>
      </c>
      <c r="B102" s="75" t="inlineStr">
        <is>
          <t>2024-04</t>
        </is>
      </c>
      <c r="C102" s="77" t="n"/>
      <c r="D102" s="75" t="inlineStr">
        <is>
          <t>No total in sheet</t>
        </is>
      </c>
      <c r="E102" s="77" t="n">
        <v>40973600</v>
      </c>
      <c r="F102" s="77" t="n">
        <v>0</v>
      </c>
      <c r="G102" s="77" t="n">
        <v>40973600</v>
      </c>
      <c r="H102" s="77" t="inlineStr">
        <is>
          <t>n/a</t>
        </is>
      </c>
    </row>
    <row r="103" ht="25" customHeight="1">
      <c r="A103" s="78" t="inlineStr">
        <is>
          <t>MAY TURNOVER</t>
        </is>
      </c>
      <c r="B103" s="78" t="inlineStr">
        <is>
          <t>2024-05</t>
        </is>
      </c>
      <c r="C103" s="80" t="n"/>
      <c r="D103" s="78" t="inlineStr">
        <is>
          <t>No total in sheet</t>
        </is>
      </c>
      <c r="E103" s="80" t="n">
        <v>31140300</v>
      </c>
      <c r="F103" s="80" t="n">
        <v>0</v>
      </c>
      <c r="G103" s="80" t="n">
        <v>31140300</v>
      </c>
      <c r="H103" s="80" t="inlineStr">
        <is>
          <t>n/a</t>
        </is>
      </c>
    </row>
    <row r="104" ht="25" customHeight="1">
      <c r="A104" s="75" t="inlineStr">
        <is>
          <t>JUNE TURNOVER</t>
        </is>
      </c>
      <c r="B104" s="75" t="inlineStr">
        <is>
          <t>2024-06</t>
        </is>
      </c>
      <c r="C104" s="77" t="n"/>
      <c r="D104" s="75" t="inlineStr">
        <is>
          <t>No total in sheet</t>
        </is>
      </c>
      <c r="E104" s="77" t="n">
        <v>21033000</v>
      </c>
      <c r="F104" s="77" t="n">
        <v>5000000</v>
      </c>
      <c r="G104" s="77" t="n">
        <v>26033000</v>
      </c>
      <c r="H104" s="77" t="inlineStr">
        <is>
          <t>n/a</t>
        </is>
      </c>
    </row>
    <row r="105" ht="25" customHeight="1">
      <c r="A105" s="78" t="inlineStr">
        <is>
          <t>JULY TURNOVER</t>
        </is>
      </c>
      <c r="B105" s="78" t="inlineStr">
        <is>
          <t>2024-07</t>
        </is>
      </c>
      <c r="C105" s="80" t="n">
        <v>23632000</v>
      </c>
      <c r="D105" s="78" t="inlineStr">
        <is>
          <t>C40 "GRAND TOTAL"</t>
        </is>
      </c>
      <c r="E105" s="80" t="n">
        <v>17932000</v>
      </c>
      <c r="F105" s="80" t="n">
        <v>5700000</v>
      </c>
      <c r="G105" s="80" t="n">
        <v>23632000</v>
      </c>
      <c r="H105" s="80" t="n">
        <v>0</v>
      </c>
    </row>
    <row r="106" ht="25" customHeight="1">
      <c r="A106" s="75" t="inlineStr">
        <is>
          <t>AUGUST TURNOVER</t>
        </is>
      </c>
      <c r="B106" s="75" t="inlineStr">
        <is>
          <t>2024-08</t>
        </is>
      </c>
      <c r="C106" s="77" t="n">
        <v>88076000</v>
      </c>
      <c r="D106" s="75" t="inlineStr">
        <is>
          <t>A38 "Total"</t>
        </is>
      </c>
      <c r="E106" s="77" t="n">
        <v>86776000</v>
      </c>
      <c r="F106" s="77" t="n">
        <v>1300000</v>
      </c>
      <c r="G106" s="77" t="n">
        <v>88076000</v>
      </c>
      <c r="H106" s="77" t="n">
        <v>0</v>
      </c>
    </row>
    <row r="107" ht="25" customHeight="1">
      <c r="A107" s="78" t="inlineStr">
        <is>
          <t>SEPTEMBER TURNOVER</t>
        </is>
      </c>
      <c r="B107" s="78" t="inlineStr">
        <is>
          <t>2024-09</t>
        </is>
      </c>
      <c r="C107" s="80" t="n">
        <v>80782500</v>
      </c>
      <c r="D107" s="78" t="inlineStr">
        <is>
          <t>C47 "TOTAL TURNOVER FOR SEPTEMBER"</t>
        </is>
      </c>
      <c r="E107" s="80" t="n">
        <v>78532500</v>
      </c>
      <c r="F107" s="80" t="n">
        <v>2250000</v>
      </c>
      <c r="G107" s="80" t="n">
        <v>80782500</v>
      </c>
      <c r="H107" s="80" t="n">
        <v>0</v>
      </c>
    </row>
    <row r="108" ht="25" customHeight="1">
      <c r="A108" s="75" t="inlineStr">
        <is>
          <t>OCTOBER TURNOVER</t>
        </is>
      </c>
      <c r="B108" s="75" t="inlineStr">
        <is>
          <t>2024-10</t>
        </is>
      </c>
      <c r="C108" s="77" t="n">
        <v>96307500</v>
      </c>
      <c r="D108" s="75" t="inlineStr">
        <is>
          <t>C36 "TOTAL TURNOVER FOR OCTOBER"</t>
        </is>
      </c>
      <c r="E108" s="77" t="n">
        <v>87707500</v>
      </c>
      <c r="F108" s="77" t="n">
        <v>8600000</v>
      </c>
      <c r="G108" s="77" t="n">
        <v>96307500</v>
      </c>
      <c r="H108" s="77" t="n">
        <v>0</v>
      </c>
    </row>
    <row r="109" ht="25" customHeight="1">
      <c r="A109" s="78" t="inlineStr">
        <is>
          <t>NOVEMBER TURNOVER</t>
        </is>
      </c>
      <c r="B109" s="78" t="inlineStr">
        <is>
          <t>2024-11</t>
        </is>
      </c>
      <c r="C109" s="80" t="n">
        <v>35427000</v>
      </c>
      <c r="D109" s="78" t="inlineStr">
        <is>
          <t>C42 "TOTAL REVENUE FOR NOVEMBER"</t>
        </is>
      </c>
      <c r="E109" s="80" t="n">
        <v>33427000</v>
      </c>
      <c r="F109" s="80" t="n">
        <v>2000000</v>
      </c>
      <c r="G109" s="80" t="n">
        <v>35427000</v>
      </c>
      <c r="H109" s="80" t="n">
        <v>0</v>
      </c>
    </row>
    <row r="110" ht="25" customHeight="1">
      <c r="A110" s="75" t="inlineStr">
        <is>
          <t>DECEMBER TURNOVER</t>
        </is>
      </c>
      <c r="B110" s="75" t="inlineStr">
        <is>
          <t>2024-12</t>
        </is>
      </c>
      <c r="C110" s="77" t="n">
        <v>64448250</v>
      </c>
      <c r="D110" s="75" t="inlineStr">
        <is>
          <t>C35 "GRAND TOTAL REVENUE"</t>
        </is>
      </c>
      <c r="E110" s="77" t="n">
        <v>64095000</v>
      </c>
      <c r="F110" s="77" t="n">
        <v>353250</v>
      </c>
      <c r="G110" s="77" t="n">
        <v>64448250</v>
      </c>
      <c r="H110" s="77" t="n">
        <v>0</v>
      </c>
    </row>
    <row r="111" ht="25" customHeight="1">
      <c r="A111" s="78" t="inlineStr">
        <is>
          <t>Total</t>
        </is>
      </c>
      <c r="B111" s="78" t="n"/>
      <c r="C111" s="80" t="n">
        <v>448027250</v>
      </c>
      <c r="D111" s="78" t="n"/>
      <c r="E111" s="80" t="n">
        <v>629350600</v>
      </c>
      <c r="F111" s="80" t="n">
        <v>25463250</v>
      </c>
      <c r="G111" s="80" t="n">
        <v>654813850</v>
      </c>
      <c r="H111" s="78"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2026-10-05T13:50:31Z</dcterms:created>
  <dcterms:modified xsi:type="dcterms:W3CDTF">2026-10-05T13:50:36Z</dcterms:modified>
</cp:coreProperties>
</file>