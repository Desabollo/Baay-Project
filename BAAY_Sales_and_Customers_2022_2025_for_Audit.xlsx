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Desmonds\BAAY Projects\Bank Statement Analysis_AFS Frame\"/>
    </mc:Choice>
  </mc:AlternateContent>
  <xr:revisionPtr revIDLastSave="0" documentId="11_DCCA792F27B9B0F84B5F4AB57A0A4A5BF542E4CB" xr6:coauthVersionLast="47" xr6:coauthVersionMax="47" xr10:uidLastSave="{00000000-0000-0000-0000-000000000000}"/>
  <bookViews>
    <workbookView xWindow="-110" yWindow="-110" windowWidth="19420" windowHeight="11500" tabRatio="834" activeTab="7" xr2:uid="{00000000-000D-0000-FFFF-FFFF00000000}"/>
  </bookViews>
  <sheets>
    <sheet name="Summary" sheetId="1" r:id="rId1"/>
    <sheet name="Notes" sheetId="2" r:id="rId2"/>
    <sheet name="Sales_Ledger" sheetId="3" r:id="rId3"/>
    <sheet name="Subscriptions" sheetId="4" r:id="rId4"/>
    <sheet name="Customer_Master" sheetId="5" r:id="rId5"/>
    <sheet name="Exclusions" sheetId="6" r:id="rId6"/>
    <sheet name="Exceptions_Dec23_Dec24" sheetId="7" r:id="rId7"/>
    <sheet name="Turnover_Recon" sheetId="8" r:id="rId8"/>
  </sheets>
  <definedNames>
    <definedName name="_xlnm._FilterDatabase" localSheetId="4" hidden="1">Customer_Master!$A$4:$R$240</definedName>
    <definedName name="_xlnm._FilterDatabase" localSheetId="6" hidden="1">Exceptions_Dec23_Dec24!$A$4:$L$94</definedName>
    <definedName name="_xlnm._FilterDatabase" localSheetId="5" hidden="1">Exclusions!$A$4:$L$108</definedName>
    <definedName name="_xlnm._FilterDatabase" localSheetId="2" hidden="1">Sales_Ledger!$A$4:$R$863</definedName>
    <definedName name="_xlnm._FilterDatabase" localSheetId="3" hidden="1">Subscriptions!$A$4:$T$218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8" l="1"/>
  <c r="F17" i="8"/>
  <c r="E17" i="8"/>
  <c r="G17" i="8" s="1"/>
  <c r="H17" i="8" s="1"/>
  <c r="F16" i="8"/>
  <c r="E16" i="8"/>
  <c r="G16" i="8" s="1"/>
  <c r="H16" i="8" s="1"/>
  <c r="F15" i="8"/>
  <c r="E15" i="8"/>
  <c r="G15" i="8" s="1"/>
  <c r="H15" i="8" s="1"/>
  <c r="F14" i="8"/>
  <c r="E14" i="8"/>
  <c r="F13" i="8"/>
  <c r="E13" i="8"/>
  <c r="G13" i="8" s="1"/>
  <c r="H13" i="8" s="1"/>
  <c r="F12" i="8"/>
  <c r="E12" i="8"/>
  <c r="H11" i="8"/>
  <c r="F11" i="8"/>
  <c r="E11" i="8"/>
  <c r="G11" i="8" s="1"/>
  <c r="H10" i="8"/>
  <c r="F10" i="8"/>
  <c r="E10" i="8"/>
  <c r="G10" i="8" s="1"/>
  <c r="H9" i="8"/>
  <c r="F9" i="8"/>
  <c r="E9" i="8"/>
  <c r="G9" i="8" s="1"/>
  <c r="H8" i="8"/>
  <c r="F8" i="8"/>
  <c r="E8" i="8"/>
  <c r="H7" i="8"/>
  <c r="F7" i="8"/>
  <c r="E7" i="8"/>
  <c r="G7" i="8" s="1"/>
  <c r="F6" i="8"/>
  <c r="E6" i="8"/>
  <c r="G6" i="8" s="1"/>
  <c r="H6" i="8" s="1"/>
  <c r="F5" i="8"/>
  <c r="E5" i="8"/>
  <c r="F95" i="7"/>
  <c r="F109" i="6"/>
  <c r="M240" i="5"/>
  <c r="L240" i="5"/>
  <c r="K240" i="5"/>
  <c r="J240" i="5"/>
  <c r="I240" i="5"/>
  <c r="H240" i="5"/>
  <c r="M239" i="5"/>
  <c r="L239" i="5"/>
  <c r="K239" i="5"/>
  <c r="N239" i="5" s="1"/>
  <c r="J239" i="5"/>
  <c r="I239" i="5"/>
  <c r="H239" i="5"/>
  <c r="M238" i="5"/>
  <c r="L238" i="5"/>
  <c r="K238" i="5"/>
  <c r="N238" i="5" s="1"/>
  <c r="J238" i="5"/>
  <c r="I238" i="5"/>
  <c r="R238" i="5" s="1"/>
  <c r="H238" i="5"/>
  <c r="M237" i="5"/>
  <c r="L237" i="5"/>
  <c r="N237" i="5" s="1"/>
  <c r="K237" i="5"/>
  <c r="J237" i="5"/>
  <c r="I237" i="5"/>
  <c r="H237" i="5"/>
  <c r="M236" i="5"/>
  <c r="L236" i="5"/>
  <c r="K236" i="5"/>
  <c r="J236" i="5"/>
  <c r="I236" i="5"/>
  <c r="H236" i="5"/>
  <c r="M235" i="5"/>
  <c r="L235" i="5"/>
  <c r="K235" i="5"/>
  <c r="N235" i="5" s="1"/>
  <c r="J235" i="5"/>
  <c r="I235" i="5"/>
  <c r="R235" i="5" s="1"/>
  <c r="H235" i="5"/>
  <c r="M234" i="5"/>
  <c r="L234" i="5"/>
  <c r="N234" i="5" s="1"/>
  <c r="K234" i="5"/>
  <c r="J234" i="5"/>
  <c r="I234" i="5"/>
  <c r="H234" i="5"/>
  <c r="M233" i="5"/>
  <c r="L233" i="5"/>
  <c r="K233" i="5"/>
  <c r="J233" i="5"/>
  <c r="I233" i="5"/>
  <c r="H233" i="5"/>
  <c r="M232" i="5"/>
  <c r="L232" i="5"/>
  <c r="K232" i="5"/>
  <c r="N232" i="5" s="1"/>
  <c r="J232" i="5"/>
  <c r="I232" i="5"/>
  <c r="H232" i="5"/>
  <c r="N231" i="5"/>
  <c r="M231" i="5"/>
  <c r="L231" i="5"/>
  <c r="K231" i="5"/>
  <c r="J231" i="5"/>
  <c r="I231" i="5"/>
  <c r="H231" i="5"/>
  <c r="M230" i="5"/>
  <c r="L230" i="5"/>
  <c r="K230" i="5"/>
  <c r="J230" i="5"/>
  <c r="I230" i="5"/>
  <c r="H230" i="5"/>
  <c r="M229" i="5"/>
  <c r="L229" i="5"/>
  <c r="K229" i="5"/>
  <c r="N229" i="5" s="1"/>
  <c r="J229" i="5"/>
  <c r="I229" i="5"/>
  <c r="H229" i="5"/>
  <c r="M228" i="5"/>
  <c r="N228" i="5" s="1"/>
  <c r="L228" i="5"/>
  <c r="K228" i="5"/>
  <c r="J228" i="5"/>
  <c r="I228" i="5"/>
  <c r="H228" i="5"/>
  <c r="M227" i="5"/>
  <c r="L227" i="5"/>
  <c r="K227" i="5"/>
  <c r="N227" i="5" s="1"/>
  <c r="J227" i="5"/>
  <c r="I227" i="5"/>
  <c r="H227" i="5"/>
  <c r="M226" i="5"/>
  <c r="L226" i="5"/>
  <c r="K226" i="5"/>
  <c r="J226" i="5"/>
  <c r="I226" i="5"/>
  <c r="H226" i="5"/>
  <c r="M225" i="5"/>
  <c r="L225" i="5"/>
  <c r="N225" i="5" s="1"/>
  <c r="K225" i="5"/>
  <c r="J225" i="5"/>
  <c r="I225" i="5"/>
  <c r="H225" i="5"/>
  <c r="M224" i="5"/>
  <c r="L224" i="5"/>
  <c r="K224" i="5"/>
  <c r="N224" i="5" s="1"/>
  <c r="J224" i="5"/>
  <c r="I224" i="5"/>
  <c r="H224" i="5"/>
  <c r="M223" i="5"/>
  <c r="L223" i="5"/>
  <c r="K223" i="5"/>
  <c r="J223" i="5"/>
  <c r="I223" i="5"/>
  <c r="H223" i="5"/>
  <c r="M222" i="5"/>
  <c r="L222" i="5"/>
  <c r="N222" i="5" s="1"/>
  <c r="K222" i="5"/>
  <c r="J222" i="5"/>
  <c r="I222" i="5"/>
  <c r="H222" i="5"/>
  <c r="M221" i="5"/>
  <c r="L221" i="5"/>
  <c r="K221" i="5"/>
  <c r="J221" i="5"/>
  <c r="I221" i="5"/>
  <c r="H221" i="5"/>
  <c r="M220" i="5"/>
  <c r="L220" i="5"/>
  <c r="K220" i="5"/>
  <c r="N220" i="5" s="1"/>
  <c r="J220" i="5"/>
  <c r="I220" i="5"/>
  <c r="H220" i="5"/>
  <c r="N219" i="5"/>
  <c r="M219" i="5"/>
  <c r="L219" i="5"/>
  <c r="K219" i="5"/>
  <c r="J219" i="5"/>
  <c r="I219" i="5"/>
  <c r="H219" i="5"/>
  <c r="M218" i="5"/>
  <c r="L218" i="5"/>
  <c r="K218" i="5"/>
  <c r="J218" i="5"/>
  <c r="I218" i="5"/>
  <c r="H218" i="5"/>
  <c r="M217" i="5"/>
  <c r="L217" i="5"/>
  <c r="K217" i="5"/>
  <c r="N217" i="5" s="1"/>
  <c r="J217" i="5"/>
  <c r="I217" i="5"/>
  <c r="H217" i="5"/>
  <c r="M216" i="5"/>
  <c r="N216" i="5" s="1"/>
  <c r="L216" i="5"/>
  <c r="K216" i="5"/>
  <c r="J216" i="5"/>
  <c r="I216" i="5"/>
  <c r="R216" i="5" s="1"/>
  <c r="H216" i="5"/>
  <c r="M215" i="5"/>
  <c r="L215" i="5"/>
  <c r="K215" i="5"/>
  <c r="N215" i="5" s="1"/>
  <c r="J215" i="5"/>
  <c r="I215" i="5"/>
  <c r="H215" i="5"/>
  <c r="M214" i="5"/>
  <c r="L214" i="5"/>
  <c r="K214" i="5"/>
  <c r="J214" i="5"/>
  <c r="I214" i="5"/>
  <c r="H214" i="5"/>
  <c r="M213" i="5"/>
  <c r="L213" i="5"/>
  <c r="N213" i="5" s="1"/>
  <c r="K213" i="5"/>
  <c r="J213" i="5"/>
  <c r="I213" i="5"/>
  <c r="H213" i="5"/>
  <c r="M212" i="5"/>
  <c r="L212" i="5"/>
  <c r="K212" i="5"/>
  <c r="N212" i="5" s="1"/>
  <c r="J212" i="5"/>
  <c r="I212" i="5"/>
  <c r="H212" i="5"/>
  <c r="M211" i="5"/>
  <c r="L211" i="5"/>
  <c r="K211" i="5"/>
  <c r="J211" i="5"/>
  <c r="I211" i="5"/>
  <c r="H211" i="5"/>
  <c r="M210" i="5"/>
  <c r="L210" i="5"/>
  <c r="N210" i="5" s="1"/>
  <c r="K210" i="5"/>
  <c r="J210" i="5"/>
  <c r="I210" i="5"/>
  <c r="H210" i="5"/>
  <c r="M209" i="5"/>
  <c r="L209" i="5"/>
  <c r="K209" i="5"/>
  <c r="J209" i="5"/>
  <c r="I209" i="5"/>
  <c r="H209" i="5"/>
  <c r="M208" i="5"/>
  <c r="L208" i="5"/>
  <c r="K208" i="5"/>
  <c r="N208" i="5" s="1"/>
  <c r="J208" i="5"/>
  <c r="I208" i="5"/>
  <c r="H208" i="5"/>
  <c r="N207" i="5"/>
  <c r="M207" i="5"/>
  <c r="L207" i="5"/>
  <c r="K207" i="5"/>
  <c r="J207" i="5"/>
  <c r="I207" i="5"/>
  <c r="H207" i="5"/>
  <c r="M206" i="5"/>
  <c r="L206" i="5"/>
  <c r="K206" i="5"/>
  <c r="J206" i="5"/>
  <c r="I206" i="5"/>
  <c r="H206" i="5"/>
  <c r="M205" i="5"/>
  <c r="L205" i="5"/>
  <c r="K205" i="5"/>
  <c r="N205" i="5" s="1"/>
  <c r="J205" i="5"/>
  <c r="I205" i="5"/>
  <c r="H205" i="5"/>
  <c r="M204" i="5"/>
  <c r="N204" i="5" s="1"/>
  <c r="L204" i="5"/>
  <c r="K204" i="5"/>
  <c r="J204" i="5"/>
  <c r="I204" i="5"/>
  <c r="H204" i="5"/>
  <c r="M203" i="5"/>
  <c r="L203" i="5"/>
  <c r="K203" i="5"/>
  <c r="N203" i="5" s="1"/>
  <c r="J203" i="5"/>
  <c r="I203" i="5"/>
  <c r="H203" i="5"/>
  <c r="M202" i="5"/>
  <c r="L202" i="5"/>
  <c r="K202" i="5"/>
  <c r="J202" i="5"/>
  <c r="I202" i="5"/>
  <c r="H202" i="5"/>
  <c r="M201" i="5"/>
  <c r="L201" i="5"/>
  <c r="N201" i="5" s="1"/>
  <c r="K201" i="5"/>
  <c r="J201" i="5"/>
  <c r="I201" i="5"/>
  <c r="H201" i="5"/>
  <c r="M200" i="5"/>
  <c r="L200" i="5"/>
  <c r="K200" i="5"/>
  <c r="N200" i="5" s="1"/>
  <c r="J200" i="5"/>
  <c r="I200" i="5"/>
  <c r="H200" i="5"/>
  <c r="M199" i="5"/>
  <c r="L199" i="5"/>
  <c r="K199" i="5"/>
  <c r="J199" i="5"/>
  <c r="I199" i="5"/>
  <c r="H199" i="5"/>
  <c r="M198" i="5"/>
  <c r="L198" i="5"/>
  <c r="N198" i="5" s="1"/>
  <c r="K198" i="5"/>
  <c r="J198" i="5"/>
  <c r="I198" i="5"/>
  <c r="H198" i="5"/>
  <c r="M197" i="5"/>
  <c r="L197" i="5"/>
  <c r="K197" i="5"/>
  <c r="J197" i="5"/>
  <c r="I197" i="5"/>
  <c r="H197" i="5"/>
  <c r="M196" i="5"/>
  <c r="L196" i="5"/>
  <c r="K196" i="5"/>
  <c r="N196" i="5" s="1"/>
  <c r="J196" i="5"/>
  <c r="I196" i="5"/>
  <c r="H196" i="5"/>
  <c r="N195" i="5"/>
  <c r="M195" i="5"/>
  <c r="L195" i="5"/>
  <c r="K195" i="5"/>
  <c r="J195" i="5"/>
  <c r="I195" i="5"/>
  <c r="H195" i="5"/>
  <c r="M194" i="5"/>
  <c r="L194" i="5"/>
  <c r="K194" i="5"/>
  <c r="J194" i="5"/>
  <c r="I194" i="5"/>
  <c r="H194" i="5"/>
  <c r="M193" i="5"/>
  <c r="L193" i="5"/>
  <c r="K193" i="5"/>
  <c r="N193" i="5" s="1"/>
  <c r="J193" i="5"/>
  <c r="I193" i="5"/>
  <c r="H193" i="5"/>
  <c r="M192" i="5"/>
  <c r="N192" i="5" s="1"/>
  <c r="L192" i="5"/>
  <c r="K192" i="5"/>
  <c r="J192" i="5"/>
  <c r="I192" i="5"/>
  <c r="H192" i="5"/>
  <c r="M191" i="5"/>
  <c r="L191" i="5"/>
  <c r="K191" i="5"/>
  <c r="N191" i="5" s="1"/>
  <c r="J191" i="5"/>
  <c r="I191" i="5"/>
  <c r="H191" i="5"/>
  <c r="M190" i="5"/>
  <c r="L190" i="5"/>
  <c r="K190" i="5"/>
  <c r="J190" i="5"/>
  <c r="I190" i="5"/>
  <c r="H190" i="5"/>
  <c r="M189" i="5"/>
  <c r="L189" i="5"/>
  <c r="N189" i="5" s="1"/>
  <c r="K189" i="5"/>
  <c r="J189" i="5"/>
  <c r="I189" i="5"/>
  <c r="H189" i="5"/>
  <c r="M188" i="5"/>
  <c r="L188" i="5"/>
  <c r="K188" i="5"/>
  <c r="N188" i="5" s="1"/>
  <c r="J188" i="5"/>
  <c r="I188" i="5"/>
  <c r="H188" i="5"/>
  <c r="M187" i="5"/>
  <c r="L187" i="5"/>
  <c r="K187" i="5"/>
  <c r="J187" i="5"/>
  <c r="I187" i="5"/>
  <c r="H187" i="5"/>
  <c r="M186" i="5"/>
  <c r="L186" i="5"/>
  <c r="N186" i="5" s="1"/>
  <c r="K186" i="5"/>
  <c r="J186" i="5"/>
  <c r="I186" i="5"/>
  <c r="H186" i="5"/>
  <c r="M185" i="5"/>
  <c r="L185" i="5"/>
  <c r="K185" i="5"/>
  <c r="J185" i="5"/>
  <c r="I185" i="5"/>
  <c r="H185" i="5"/>
  <c r="M184" i="5"/>
  <c r="L184" i="5"/>
  <c r="K184" i="5"/>
  <c r="N184" i="5" s="1"/>
  <c r="J184" i="5"/>
  <c r="I184" i="5"/>
  <c r="H184" i="5"/>
  <c r="N183" i="5"/>
  <c r="M183" i="5"/>
  <c r="L183" i="5"/>
  <c r="K183" i="5"/>
  <c r="J183" i="5"/>
  <c r="I183" i="5"/>
  <c r="H183" i="5"/>
  <c r="M182" i="5"/>
  <c r="L182" i="5"/>
  <c r="K182" i="5"/>
  <c r="J182" i="5"/>
  <c r="I182" i="5"/>
  <c r="H182" i="5"/>
  <c r="M181" i="5"/>
  <c r="L181" i="5"/>
  <c r="K181" i="5"/>
  <c r="N181" i="5" s="1"/>
  <c r="J181" i="5"/>
  <c r="I181" i="5"/>
  <c r="H181" i="5"/>
  <c r="M180" i="5"/>
  <c r="N180" i="5" s="1"/>
  <c r="L180" i="5"/>
  <c r="K180" i="5"/>
  <c r="J180" i="5"/>
  <c r="I180" i="5"/>
  <c r="R180" i="5" s="1"/>
  <c r="H180" i="5"/>
  <c r="M179" i="5"/>
  <c r="L179" i="5"/>
  <c r="K179" i="5"/>
  <c r="N179" i="5" s="1"/>
  <c r="J179" i="5"/>
  <c r="I179" i="5"/>
  <c r="H179" i="5"/>
  <c r="M178" i="5"/>
  <c r="L178" i="5"/>
  <c r="K178" i="5"/>
  <c r="J178" i="5"/>
  <c r="I178" i="5"/>
  <c r="H178" i="5"/>
  <c r="M177" i="5"/>
  <c r="L177" i="5"/>
  <c r="N177" i="5" s="1"/>
  <c r="K177" i="5"/>
  <c r="J177" i="5"/>
  <c r="I177" i="5"/>
  <c r="H177" i="5"/>
  <c r="M176" i="5"/>
  <c r="L176" i="5"/>
  <c r="K176" i="5"/>
  <c r="N176" i="5" s="1"/>
  <c r="J176" i="5"/>
  <c r="I176" i="5"/>
  <c r="H176" i="5"/>
  <c r="M175" i="5"/>
  <c r="L175" i="5"/>
  <c r="K175" i="5"/>
  <c r="J175" i="5"/>
  <c r="I175" i="5"/>
  <c r="H175" i="5"/>
  <c r="M174" i="5"/>
  <c r="L174" i="5"/>
  <c r="N174" i="5" s="1"/>
  <c r="K174" i="5"/>
  <c r="J174" i="5"/>
  <c r="I174" i="5"/>
  <c r="H174" i="5"/>
  <c r="M173" i="5"/>
  <c r="L173" i="5"/>
  <c r="K173" i="5"/>
  <c r="J173" i="5"/>
  <c r="I173" i="5"/>
  <c r="H173" i="5"/>
  <c r="M172" i="5"/>
  <c r="L172" i="5"/>
  <c r="K172" i="5"/>
  <c r="N172" i="5" s="1"/>
  <c r="J172" i="5"/>
  <c r="I172" i="5"/>
  <c r="H172" i="5"/>
  <c r="N171" i="5"/>
  <c r="M171" i="5"/>
  <c r="L171" i="5"/>
  <c r="K171" i="5"/>
  <c r="J171" i="5"/>
  <c r="I171" i="5"/>
  <c r="H171" i="5"/>
  <c r="M170" i="5"/>
  <c r="L170" i="5"/>
  <c r="K170" i="5"/>
  <c r="J170" i="5"/>
  <c r="I170" i="5"/>
  <c r="H170" i="5"/>
  <c r="M169" i="5"/>
  <c r="L169" i="5"/>
  <c r="K169" i="5"/>
  <c r="N169" i="5" s="1"/>
  <c r="J169" i="5"/>
  <c r="I169" i="5"/>
  <c r="H169" i="5"/>
  <c r="M168" i="5"/>
  <c r="N168" i="5" s="1"/>
  <c r="L168" i="5"/>
  <c r="K168" i="5"/>
  <c r="J168" i="5"/>
  <c r="I168" i="5"/>
  <c r="H168" i="5"/>
  <c r="M167" i="5"/>
  <c r="L167" i="5"/>
  <c r="K167" i="5"/>
  <c r="N167" i="5" s="1"/>
  <c r="J167" i="5"/>
  <c r="I167" i="5"/>
  <c r="H167" i="5"/>
  <c r="M166" i="5"/>
  <c r="L166" i="5"/>
  <c r="K166" i="5"/>
  <c r="J166" i="5"/>
  <c r="I166" i="5"/>
  <c r="H166" i="5"/>
  <c r="M165" i="5"/>
  <c r="L165" i="5"/>
  <c r="N165" i="5" s="1"/>
  <c r="K165" i="5"/>
  <c r="J165" i="5"/>
  <c r="I165" i="5"/>
  <c r="H165" i="5"/>
  <c r="M164" i="5"/>
  <c r="L164" i="5"/>
  <c r="K164" i="5"/>
  <c r="N164" i="5" s="1"/>
  <c r="J164" i="5"/>
  <c r="I164" i="5"/>
  <c r="R164" i="5" s="1"/>
  <c r="H164" i="5"/>
  <c r="M163" i="5"/>
  <c r="L163" i="5"/>
  <c r="K163" i="5"/>
  <c r="J163" i="5"/>
  <c r="I163" i="5"/>
  <c r="H163" i="5"/>
  <c r="M162" i="5"/>
  <c r="L162" i="5"/>
  <c r="N162" i="5" s="1"/>
  <c r="K162" i="5"/>
  <c r="J162" i="5"/>
  <c r="I162" i="5"/>
  <c r="H162" i="5"/>
  <c r="M161" i="5"/>
  <c r="L161" i="5"/>
  <c r="K161" i="5"/>
  <c r="J161" i="5"/>
  <c r="I161" i="5"/>
  <c r="H161" i="5"/>
  <c r="M160" i="5"/>
  <c r="L160" i="5"/>
  <c r="K160" i="5"/>
  <c r="N160" i="5" s="1"/>
  <c r="J160" i="5"/>
  <c r="I160" i="5"/>
  <c r="H160" i="5"/>
  <c r="N159" i="5"/>
  <c r="M159" i="5"/>
  <c r="L159" i="5"/>
  <c r="K159" i="5"/>
  <c r="J159" i="5"/>
  <c r="I159" i="5"/>
  <c r="H159" i="5"/>
  <c r="M158" i="5"/>
  <c r="L158" i="5"/>
  <c r="K158" i="5"/>
  <c r="N158" i="5" s="1"/>
  <c r="J158" i="5"/>
  <c r="I158" i="5"/>
  <c r="R158" i="5" s="1"/>
  <c r="H158" i="5"/>
  <c r="M157" i="5"/>
  <c r="L157" i="5"/>
  <c r="K157" i="5"/>
  <c r="N157" i="5" s="1"/>
  <c r="J157" i="5"/>
  <c r="I157" i="5"/>
  <c r="H157" i="5"/>
  <c r="M156" i="5"/>
  <c r="L156" i="5"/>
  <c r="N156" i="5" s="1"/>
  <c r="K156" i="5"/>
  <c r="J156" i="5"/>
  <c r="I156" i="5"/>
  <c r="H156" i="5"/>
  <c r="M155" i="5"/>
  <c r="L155" i="5"/>
  <c r="K155" i="5"/>
  <c r="N155" i="5" s="1"/>
  <c r="J155" i="5"/>
  <c r="I155" i="5"/>
  <c r="H155" i="5"/>
  <c r="M154" i="5"/>
  <c r="L154" i="5"/>
  <c r="K154" i="5"/>
  <c r="N154" i="5" s="1"/>
  <c r="R154" i="5" s="1"/>
  <c r="J154" i="5"/>
  <c r="I154" i="5"/>
  <c r="H154" i="5"/>
  <c r="M153" i="5"/>
  <c r="N153" i="5" s="1"/>
  <c r="L153" i="5"/>
  <c r="K153" i="5"/>
  <c r="J153" i="5"/>
  <c r="I153" i="5"/>
  <c r="H153" i="5"/>
  <c r="M152" i="5"/>
  <c r="L152" i="5"/>
  <c r="K152" i="5"/>
  <c r="N152" i="5" s="1"/>
  <c r="J152" i="5"/>
  <c r="I152" i="5"/>
  <c r="H152" i="5"/>
  <c r="M151" i="5"/>
  <c r="L151" i="5"/>
  <c r="K151" i="5"/>
  <c r="J151" i="5"/>
  <c r="I151" i="5"/>
  <c r="H151" i="5"/>
  <c r="M150" i="5"/>
  <c r="N150" i="5" s="1"/>
  <c r="L150" i="5"/>
  <c r="K150" i="5"/>
  <c r="J150" i="5"/>
  <c r="I150" i="5"/>
  <c r="R150" i="5" s="1"/>
  <c r="H150" i="5"/>
  <c r="M149" i="5"/>
  <c r="L149" i="5"/>
  <c r="K149" i="5"/>
  <c r="N149" i="5" s="1"/>
  <c r="J149" i="5"/>
  <c r="I149" i="5"/>
  <c r="H149" i="5"/>
  <c r="M148" i="5"/>
  <c r="L148" i="5"/>
  <c r="K148" i="5"/>
  <c r="N148" i="5" s="1"/>
  <c r="R148" i="5" s="1"/>
  <c r="J148" i="5"/>
  <c r="I148" i="5"/>
  <c r="H148" i="5"/>
  <c r="M147" i="5"/>
  <c r="L147" i="5"/>
  <c r="N147" i="5" s="1"/>
  <c r="K147" i="5"/>
  <c r="J147" i="5"/>
  <c r="I147" i="5"/>
  <c r="H147" i="5"/>
  <c r="M146" i="5"/>
  <c r="L146" i="5"/>
  <c r="K146" i="5"/>
  <c r="N146" i="5" s="1"/>
  <c r="J146" i="5"/>
  <c r="I146" i="5"/>
  <c r="H146" i="5"/>
  <c r="M145" i="5"/>
  <c r="L145" i="5"/>
  <c r="K145" i="5"/>
  <c r="N145" i="5" s="1"/>
  <c r="R145" i="5" s="1"/>
  <c r="J145" i="5"/>
  <c r="I145" i="5"/>
  <c r="H145" i="5"/>
  <c r="M144" i="5"/>
  <c r="N144" i="5" s="1"/>
  <c r="L144" i="5"/>
  <c r="K144" i="5"/>
  <c r="J144" i="5"/>
  <c r="I144" i="5"/>
  <c r="H144" i="5"/>
  <c r="M143" i="5"/>
  <c r="L143" i="5"/>
  <c r="K143" i="5"/>
  <c r="N143" i="5" s="1"/>
  <c r="J143" i="5"/>
  <c r="I143" i="5"/>
  <c r="H143" i="5"/>
  <c r="M142" i="5"/>
  <c r="L142" i="5"/>
  <c r="K142" i="5"/>
  <c r="J142" i="5"/>
  <c r="I142" i="5"/>
  <c r="H142" i="5"/>
  <c r="M141" i="5"/>
  <c r="N141" i="5" s="1"/>
  <c r="L141" i="5"/>
  <c r="K141" i="5"/>
  <c r="J141" i="5"/>
  <c r="I141" i="5"/>
  <c r="R141" i="5" s="1"/>
  <c r="H141" i="5"/>
  <c r="M140" i="5"/>
  <c r="L140" i="5"/>
  <c r="K140" i="5"/>
  <c r="N140" i="5" s="1"/>
  <c r="J140" i="5"/>
  <c r="I140" i="5"/>
  <c r="H140" i="5"/>
  <c r="M139" i="5"/>
  <c r="L139" i="5"/>
  <c r="K139" i="5"/>
  <c r="N139" i="5" s="1"/>
  <c r="R139" i="5" s="1"/>
  <c r="J139" i="5"/>
  <c r="I139" i="5"/>
  <c r="H139" i="5"/>
  <c r="M138" i="5"/>
  <c r="L138" i="5"/>
  <c r="N138" i="5" s="1"/>
  <c r="K138" i="5"/>
  <c r="J138" i="5"/>
  <c r="I138" i="5"/>
  <c r="H138" i="5"/>
  <c r="M137" i="5"/>
  <c r="L137" i="5"/>
  <c r="K137" i="5"/>
  <c r="N137" i="5" s="1"/>
  <c r="J137" i="5"/>
  <c r="I137" i="5"/>
  <c r="H137" i="5"/>
  <c r="M136" i="5"/>
  <c r="L136" i="5"/>
  <c r="K136" i="5"/>
  <c r="N136" i="5" s="1"/>
  <c r="R136" i="5" s="1"/>
  <c r="J136" i="5"/>
  <c r="I136" i="5"/>
  <c r="H136" i="5"/>
  <c r="M135" i="5"/>
  <c r="N135" i="5" s="1"/>
  <c r="L135" i="5"/>
  <c r="K135" i="5"/>
  <c r="J135" i="5"/>
  <c r="I135" i="5"/>
  <c r="H135" i="5"/>
  <c r="M134" i="5"/>
  <c r="L134" i="5"/>
  <c r="K134" i="5"/>
  <c r="N134" i="5" s="1"/>
  <c r="J134" i="5"/>
  <c r="I134" i="5"/>
  <c r="H134" i="5"/>
  <c r="M133" i="5"/>
  <c r="L133" i="5"/>
  <c r="K133" i="5"/>
  <c r="J133" i="5"/>
  <c r="I133" i="5"/>
  <c r="H133" i="5"/>
  <c r="M132" i="5"/>
  <c r="N132" i="5" s="1"/>
  <c r="L132" i="5"/>
  <c r="K132" i="5"/>
  <c r="J132" i="5"/>
  <c r="I132" i="5"/>
  <c r="H132" i="5"/>
  <c r="M131" i="5"/>
  <c r="L131" i="5"/>
  <c r="K131" i="5"/>
  <c r="N131" i="5" s="1"/>
  <c r="J131" i="5"/>
  <c r="I131" i="5"/>
  <c r="H131" i="5"/>
  <c r="M130" i="5"/>
  <c r="L130" i="5"/>
  <c r="K130" i="5"/>
  <c r="N130" i="5" s="1"/>
  <c r="R130" i="5" s="1"/>
  <c r="J130" i="5"/>
  <c r="I130" i="5"/>
  <c r="H130" i="5"/>
  <c r="M129" i="5"/>
  <c r="L129" i="5"/>
  <c r="N129" i="5" s="1"/>
  <c r="K129" i="5"/>
  <c r="J129" i="5"/>
  <c r="I129" i="5"/>
  <c r="H129" i="5"/>
  <c r="M128" i="5"/>
  <c r="L128" i="5"/>
  <c r="K128" i="5"/>
  <c r="N128" i="5" s="1"/>
  <c r="J128" i="5"/>
  <c r="I128" i="5"/>
  <c r="H128" i="5"/>
  <c r="M127" i="5"/>
  <c r="L127" i="5"/>
  <c r="K127" i="5"/>
  <c r="N127" i="5" s="1"/>
  <c r="R127" i="5" s="1"/>
  <c r="J127" i="5"/>
  <c r="I127" i="5"/>
  <c r="H127" i="5"/>
  <c r="M126" i="5"/>
  <c r="N126" i="5" s="1"/>
  <c r="L126" i="5"/>
  <c r="K126" i="5"/>
  <c r="J126" i="5"/>
  <c r="I126" i="5"/>
  <c r="H126" i="5"/>
  <c r="M125" i="5"/>
  <c r="L125" i="5"/>
  <c r="K125" i="5"/>
  <c r="N125" i="5" s="1"/>
  <c r="J125" i="5"/>
  <c r="I125" i="5"/>
  <c r="H125" i="5"/>
  <c r="M124" i="5"/>
  <c r="L124" i="5"/>
  <c r="K124" i="5"/>
  <c r="J124" i="5"/>
  <c r="I124" i="5"/>
  <c r="H124" i="5"/>
  <c r="M123" i="5"/>
  <c r="N123" i="5" s="1"/>
  <c r="L123" i="5"/>
  <c r="K123" i="5"/>
  <c r="J123" i="5"/>
  <c r="I123" i="5"/>
  <c r="R123" i="5" s="1"/>
  <c r="H123" i="5"/>
  <c r="M122" i="5"/>
  <c r="L122" i="5"/>
  <c r="K122" i="5"/>
  <c r="N122" i="5" s="1"/>
  <c r="J122" i="5"/>
  <c r="I122" i="5"/>
  <c r="H122" i="5"/>
  <c r="M121" i="5"/>
  <c r="L121" i="5"/>
  <c r="K121" i="5"/>
  <c r="N121" i="5" s="1"/>
  <c r="R121" i="5" s="1"/>
  <c r="J121" i="5"/>
  <c r="I121" i="5"/>
  <c r="H121" i="5"/>
  <c r="M120" i="5"/>
  <c r="L120" i="5"/>
  <c r="N120" i="5" s="1"/>
  <c r="K120" i="5"/>
  <c r="J120" i="5"/>
  <c r="I120" i="5"/>
  <c r="H120" i="5"/>
  <c r="M119" i="5"/>
  <c r="L119" i="5"/>
  <c r="K119" i="5"/>
  <c r="N119" i="5" s="1"/>
  <c r="J119" i="5"/>
  <c r="I119" i="5"/>
  <c r="H119" i="5"/>
  <c r="M118" i="5"/>
  <c r="L118" i="5"/>
  <c r="K118" i="5"/>
  <c r="N118" i="5" s="1"/>
  <c r="R118" i="5" s="1"/>
  <c r="J118" i="5"/>
  <c r="I118" i="5"/>
  <c r="H118" i="5"/>
  <c r="M117" i="5"/>
  <c r="N117" i="5" s="1"/>
  <c r="L117" i="5"/>
  <c r="K117" i="5"/>
  <c r="J117" i="5"/>
  <c r="I117" i="5"/>
  <c r="H117" i="5"/>
  <c r="M116" i="5"/>
  <c r="L116" i="5"/>
  <c r="K116" i="5"/>
  <c r="N116" i="5" s="1"/>
  <c r="J116" i="5"/>
  <c r="I116" i="5"/>
  <c r="H116" i="5"/>
  <c r="M115" i="5"/>
  <c r="L115" i="5"/>
  <c r="K115" i="5"/>
  <c r="J115" i="5"/>
  <c r="I115" i="5"/>
  <c r="H115" i="5"/>
  <c r="M114" i="5"/>
  <c r="N114" i="5" s="1"/>
  <c r="L114" i="5"/>
  <c r="K114" i="5"/>
  <c r="J114" i="5"/>
  <c r="I114" i="5"/>
  <c r="H114" i="5"/>
  <c r="M113" i="5"/>
  <c r="L113" i="5"/>
  <c r="K113" i="5"/>
  <c r="N113" i="5" s="1"/>
  <c r="J113" i="5"/>
  <c r="I113" i="5"/>
  <c r="H113" i="5"/>
  <c r="M112" i="5"/>
  <c r="L112" i="5"/>
  <c r="K112" i="5"/>
  <c r="N112" i="5" s="1"/>
  <c r="R112" i="5" s="1"/>
  <c r="J112" i="5"/>
  <c r="I112" i="5"/>
  <c r="H112" i="5"/>
  <c r="M111" i="5"/>
  <c r="L111" i="5"/>
  <c r="N111" i="5" s="1"/>
  <c r="K111" i="5"/>
  <c r="J111" i="5"/>
  <c r="I111" i="5"/>
  <c r="H111" i="5"/>
  <c r="M110" i="5"/>
  <c r="L110" i="5"/>
  <c r="K110" i="5"/>
  <c r="N110" i="5" s="1"/>
  <c r="J110" i="5"/>
  <c r="I110" i="5"/>
  <c r="H110" i="5"/>
  <c r="M109" i="5"/>
  <c r="L109" i="5"/>
  <c r="K109" i="5"/>
  <c r="N109" i="5" s="1"/>
  <c r="R109" i="5" s="1"/>
  <c r="J109" i="5"/>
  <c r="I109" i="5"/>
  <c r="H109" i="5"/>
  <c r="M108" i="5"/>
  <c r="N108" i="5" s="1"/>
  <c r="L108" i="5"/>
  <c r="K108" i="5"/>
  <c r="J108" i="5"/>
  <c r="I108" i="5"/>
  <c r="H108" i="5"/>
  <c r="M107" i="5"/>
  <c r="L107" i="5"/>
  <c r="K107" i="5"/>
  <c r="N107" i="5" s="1"/>
  <c r="J107" i="5"/>
  <c r="I107" i="5"/>
  <c r="H107" i="5"/>
  <c r="M106" i="5"/>
  <c r="L106" i="5"/>
  <c r="K106" i="5"/>
  <c r="J106" i="5"/>
  <c r="I106" i="5"/>
  <c r="H106" i="5"/>
  <c r="M105" i="5"/>
  <c r="N105" i="5" s="1"/>
  <c r="L105" i="5"/>
  <c r="K105" i="5"/>
  <c r="J105" i="5"/>
  <c r="I105" i="5"/>
  <c r="R105" i="5" s="1"/>
  <c r="H105" i="5"/>
  <c r="M104" i="5"/>
  <c r="L104" i="5"/>
  <c r="K104" i="5"/>
  <c r="N104" i="5" s="1"/>
  <c r="J104" i="5"/>
  <c r="I104" i="5"/>
  <c r="H104" i="5"/>
  <c r="M103" i="5"/>
  <c r="L103" i="5"/>
  <c r="K103" i="5"/>
  <c r="N103" i="5" s="1"/>
  <c r="R103" i="5" s="1"/>
  <c r="J103" i="5"/>
  <c r="I103" i="5"/>
  <c r="H103" i="5"/>
  <c r="M102" i="5"/>
  <c r="L102" i="5"/>
  <c r="N102" i="5" s="1"/>
  <c r="K102" i="5"/>
  <c r="J102" i="5"/>
  <c r="I102" i="5"/>
  <c r="H102" i="5"/>
  <c r="M101" i="5"/>
  <c r="L101" i="5"/>
  <c r="K101" i="5"/>
  <c r="N101" i="5" s="1"/>
  <c r="J101" i="5"/>
  <c r="I101" i="5"/>
  <c r="H101" i="5"/>
  <c r="M100" i="5"/>
  <c r="L100" i="5"/>
  <c r="K100" i="5"/>
  <c r="N100" i="5" s="1"/>
  <c r="R100" i="5" s="1"/>
  <c r="J100" i="5"/>
  <c r="I100" i="5"/>
  <c r="H100" i="5"/>
  <c r="M99" i="5"/>
  <c r="N99" i="5" s="1"/>
  <c r="L99" i="5"/>
  <c r="K99" i="5"/>
  <c r="J99" i="5"/>
  <c r="I99" i="5"/>
  <c r="H99" i="5"/>
  <c r="M98" i="5"/>
  <c r="L98" i="5"/>
  <c r="K98" i="5"/>
  <c r="N98" i="5" s="1"/>
  <c r="J98" i="5"/>
  <c r="I98" i="5"/>
  <c r="H98" i="5"/>
  <c r="M97" i="5"/>
  <c r="L97" i="5"/>
  <c r="K97" i="5"/>
  <c r="J97" i="5"/>
  <c r="I97" i="5"/>
  <c r="H97" i="5"/>
  <c r="M96" i="5"/>
  <c r="N96" i="5" s="1"/>
  <c r="L96" i="5"/>
  <c r="K96" i="5"/>
  <c r="J96" i="5"/>
  <c r="I96" i="5"/>
  <c r="H96" i="5"/>
  <c r="M95" i="5"/>
  <c r="L95" i="5"/>
  <c r="K95" i="5"/>
  <c r="N95" i="5" s="1"/>
  <c r="J95" i="5"/>
  <c r="I95" i="5"/>
  <c r="H95" i="5"/>
  <c r="M94" i="5"/>
  <c r="L94" i="5"/>
  <c r="K94" i="5"/>
  <c r="N94" i="5" s="1"/>
  <c r="R94" i="5" s="1"/>
  <c r="J94" i="5"/>
  <c r="I94" i="5"/>
  <c r="H94" i="5"/>
  <c r="M93" i="5"/>
  <c r="L93" i="5"/>
  <c r="N93" i="5" s="1"/>
  <c r="K93" i="5"/>
  <c r="J93" i="5"/>
  <c r="I93" i="5"/>
  <c r="H93" i="5"/>
  <c r="M92" i="5"/>
  <c r="L92" i="5"/>
  <c r="K92" i="5"/>
  <c r="N92" i="5" s="1"/>
  <c r="J92" i="5"/>
  <c r="I92" i="5"/>
  <c r="H92" i="5"/>
  <c r="M91" i="5"/>
  <c r="L91" i="5"/>
  <c r="K91" i="5"/>
  <c r="N91" i="5" s="1"/>
  <c r="R91" i="5" s="1"/>
  <c r="J91" i="5"/>
  <c r="I91" i="5"/>
  <c r="H91" i="5"/>
  <c r="M90" i="5"/>
  <c r="N90" i="5" s="1"/>
  <c r="L90" i="5"/>
  <c r="K90" i="5"/>
  <c r="J90" i="5"/>
  <c r="I90" i="5"/>
  <c r="H90" i="5"/>
  <c r="M89" i="5"/>
  <c r="L89" i="5"/>
  <c r="K89" i="5"/>
  <c r="N89" i="5" s="1"/>
  <c r="J89" i="5"/>
  <c r="I89" i="5"/>
  <c r="H89" i="5"/>
  <c r="M88" i="5"/>
  <c r="L88" i="5"/>
  <c r="K88" i="5"/>
  <c r="J88" i="5"/>
  <c r="I88" i="5"/>
  <c r="H88" i="5"/>
  <c r="M87" i="5"/>
  <c r="N87" i="5" s="1"/>
  <c r="L87" i="5"/>
  <c r="K87" i="5"/>
  <c r="J87" i="5"/>
  <c r="I87" i="5"/>
  <c r="R87" i="5" s="1"/>
  <c r="H87" i="5"/>
  <c r="M86" i="5"/>
  <c r="L86" i="5"/>
  <c r="K86" i="5"/>
  <c r="N86" i="5" s="1"/>
  <c r="J86" i="5"/>
  <c r="I86" i="5"/>
  <c r="H86" i="5"/>
  <c r="M85" i="5"/>
  <c r="L85" i="5"/>
  <c r="K85" i="5"/>
  <c r="N85" i="5" s="1"/>
  <c r="R85" i="5" s="1"/>
  <c r="J85" i="5"/>
  <c r="I85" i="5"/>
  <c r="H85" i="5"/>
  <c r="M84" i="5"/>
  <c r="L84" i="5"/>
  <c r="N84" i="5" s="1"/>
  <c r="K84" i="5"/>
  <c r="J84" i="5"/>
  <c r="I84" i="5"/>
  <c r="H84" i="5"/>
  <c r="M83" i="5"/>
  <c r="L83" i="5"/>
  <c r="K83" i="5"/>
  <c r="N83" i="5" s="1"/>
  <c r="J83" i="5"/>
  <c r="I83" i="5"/>
  <c r="H83" i="5"/>
  <c r="M82" i="5"/>
  <c r="L82" i="5"/>
  <c r="K82" i="5"/>
  <c r="N82" i="5" s="1"/>
  <c r="R82" i="5" s="1"/>
  <c r="J82" i="5"/>
  <c r="I82" i="5"/>
  <c r="H82" i="5"/>
  <c r="M81" i="5"/>
  <c r="N81" i="5" s="1"/>
  <c r="L81" i="5"/>
  <c r="K81" i="5"/>
  <c r="J81" i="5"/>
  <c r="I81" i="5"/>
  <c r="H81" i="5"/>
  <c r="M80" i="5"/>
  <c r="L80" i="5"/>
  <c r="K80" i="5"/>
  <c r="N80" i="5" s="1"/>
  <c r="J80" i="5"/>
  <c r="I80" i="5"/>
  <c r="H80" i="5"/>
  <c r="M79" i="5"/>
  <c r="L79" i="5"/>
  <c r="K79" i="5"/>
  <c r="J79" i="5"/>
  <c r="I79" i="5"/>
  <c r="H79" i="5"/>
  <c r="M78" i="5"/>
  <c r="N78" i="5" s="1"/>
  <c r="L78" i="5"/>
  <c r="K78" i="5"/>
  <c r="J78" i="5"/>
  <c r="I78" i="5"/>
  <c r="R78" i="5" s="1"/>
  <c r="H78" i="5"/>
  <c r="M77" i="5"/>
  <c r="L77" i="5"/>
  <c r="K77" i="5"/>
  <c r="N77" i="5" s="1"/>
  <c r="J77" i="5"/>
  <c r="I77" i="5"/>
  <c r="H77" i="5"/>
  <c r="M76" i="5"/>
  <c r="L76" i="5"/>
  <c r="K76" i="5"/>
  <c r="N76" i="5" s="1"/>
  <c r="R76" i="5" s="1"/>
  <c r="J76" i="5"/>
  <c r="I76" i="5"/>
  <c r="H76" i="5"/>
  <c r="M75" i="5"/>
  <c r="L75" i="5"/>
  <c r="N75" i="5" s="1"/>
  <c r="K75" i="5"/>
  <c r="J75" i="5"/>
  <c r="I75" i="5"/>
  <c r="H75" i="5"/>
  <c r="M74" i="5"/>
  <c r="L74" i="5"/>
  <c r="K74" i="5"/>
  <c r="N74" i="5" s="1"/>
  <c r="J74" i="5"/>
  <c r="I74" i="5"/>
  <c r="H74" i="5"/>
  <c r="M73" i="5"/>
  <c r="L73" i="5"/>
  <c r="K73" i="5"/>
  <c r="N73" i="5" s="1"/>
  <c r="R73" i="5" s="1"/>
  <c r="J73" i="5"/>
  <c r="I73" i="5"/>
  <c r="H73" i="5"/>
  <c r="M72" i="5"/>
  <c r="N72" i="5" s="1"/>
  <c r="L72" i="5"/>
  <c r="K72" i="5"/>
  <c r="J72" i="5"/>
  <c r="I72" i="5"/>
  <c r="H72" i="5"/>
  <c r="M71" i="5"/>
  <c r="L71" i="5"/>
  <c r="K71" i="5"/>
  <c r="N71" i="5" s="1"/>
  <c r="J71" i="5"/>
  <c r="I71" i="5"/>
  <c r="H71" i="5"/>
  <c r="M70" i="5"/>
  <c r="L70" i="5"/>
  <c r="K70" i="5"/>
  <c r="J70" i="5"/>
  <c r="I70" i="5"/>
  <c r="H70" i="5"/>
  <c r="M69" i="5"/>
  <c r="N69" i="5" s="1"/>
  <c r="L69" i="5"/>
  <c r="K69" i="5"/>
  <c r="J69" i="5"/>
  <c r="I69" i="5"/>
  <c r="H69" i="5"/>
  <c r="M68" i="5"/>
  <c r="L68" i="5"/>
  <c r="K68" i="5"/>
  <c r="N68" i="5" s="1"/>
  <c r="J68" i="5"/>
  <c r="I68" i="5"/>
  <c r="H68" i="5"/>
  <c r="M67" i="5"/>
  <c r="L67" i="5"/>
  <c r="K67" i="5"/>
  <c r="N67" i="5" s="1"/>
  <c r="R67" i="5" s="1"/>
  <c r="J67" i="5"/>
  <c r="I67" i="5"/>
  <c r="H67" i="5"/>
  <c r="M66" i="5"/>
  <c r="L66" i="5"/>
  <c r="N66" i="5" s="1"/>
  <c r="K66" i="5"/>
  <c r="J66" i="5"/>
  <c r="I66" i="5"/>
  <c r="H66" i="5"/>
  <c r="M65" i="5"/>
  <c r="L65" i="5"/>
  <c r="K65" i="5"/>
  <c r="N65" i="5" s="1"/>
  <c r="J65" i="5"/>
  <c r="I65" i="5"/>
  <c r="H65" i="5"/>
  <c r="M64" i="5"/>
  <c r="L64" i="5"/>
  <c r="K64" i="5"/>
  <c r="N64" i="5" s="1"/>
  <c r="R64" i="5" s="1"/>
  <c r="J64" i="5"/>
  <c r="I64" i="5"/>
  <c r="H64" i="5"/>
  <c r="M63" i="5"/>
  <c r="N63" i="5" s="1"/>
  <c r="L63" i="5"/>
  <c r="K63" i="5"/>
  <c r="J63" i="5"/>
  <c r="I63" i="5"/>
  <c r="H63" i="5"/>
  <c r="M62" i="5"/>
  <c r="L62" i="5"/>
  <c r="K62" i="5"/>
  <c r="N62" i="5" s="1"/>
  <c r="J62" i="5"/>
  <c r="I62" i="5"/>
  <c r="H62" i="5"/>
  <c r="M61" i="5"/>
  <c r="L61" i="5"/>
  <c r="K61" i="5"/>
  <c r="J61" i="5"/>
  <c r="I61" i="5"/>
  <c r="H61" i="5"/>
  <c r="M60" i="5"/>
  <c r="N60" i="5" s="1"/>
  <c r="L60" i="5"/>
  <c r="K60" i="5"/>
  <c r="J60" i="5"/>
  <c r="I60" i="5"/>
  <c r="R60" i="5" s="1"/>
  <c r="H60" i="5"/>
  <c r="M59" i="5"/>
  <c r="L59" i="5"/>
  <c r="K59" i="5"/>
  <c r="N59" i="5" s="1"/>
  <c r="J59" i="5"/>
  <c r="I59" i="5"/>
  <c r="H59" i="5"/>
  <c r="M58" i="5"/>
  <c r="L58" i="5"/>
  <c r="K58" i="5"/>
  <c r="N58" i="5" s="1"/>
  <c r="R58" i="5" s="1"/>
  <c r="J58" i="5"/>
  <c r="I58" i="5"/>
  <c r="H58" i="5"/>
  <c r="M57" i="5"/>
  <c r="L57" i="5"/>
  <c r="N57" i="5" s="1"/>
  <c r="K57" i="5"/>
  <c r="J57" i="5"/>
  <c r="I57" i="5"/>
  <c r="H57" i="5"/>
  <c r="M56" i="5"/>
  <c r="L56" i="5"/>
  <c r="K56" i="5"/>
  <c r="N56" i="5" s="1"/>
  <c r="J56" i="5"/>
  <c r="I56" i="5"/>
  <c r="H56" i="5"/>
  <c r="M55" i="5"/>
  <c r="L55" i="5"/>
  <c r="K55" i="5"/>
  <c r="N55" i="5" s="1"/>
  <c r="J55" i="5"/>
  <c r="I55" i="5"/>
  <c r="R55" i="5" s="1"/>
  <c r="H55" i="5"/>
  <c r="M54" i="5"/>
  <c r="N54" i="5" s="1"/>
  <c r="L54" i="5"/>
  <c r="K54" i="5"/>
  <c r="J54" i="5"/>
  <c r="I54" i="5"/>
  <c r="H54" i="5"/>
  <c r="M53" i="5"/>
  <c r="L53" i="5"/>
  <c r="K53" i="5"/>
  <c r="N53" i="5" s="1"/>
  <c r="J53" i="5"/>
  <c r="I53" i="5"/>
  <c r="H53" i="5"/>
  <c r="M52" i="5"/>
  <c r="L52" i="5"/>
  <c r="K52" i="5"/>
  <c r="J52" i="5"/>
  <c r="I52" i="5"/>
  <c r="H52" i="5"/>
  <c r="M51" i="5"/>
  <c r="N51" i="5" s="1"/>
  <c r="L51" i="5"/>
  <c r="K51" i="5"/>
  <c r="J51" i="5"/>
  <c r="I51" i="5"/>
  <c r="H51" i="5"/>
  <c r="M50" i="5"/>
  <c r="L50" i="5"/>
  <c r="K50" i="5"/>
  <c r="N50" i="5" s="1"/>
  <c r="J50" i="5"/>
  <c r="I50" i="5"/>
  <c r="H50" i="5"/>
  <c r="M49" i="5"/>
  <c r="L49" i="5"/>
  <c r="K49" i="5"/>
  <c r="N49" i="5" s="1"/>
  <c r="R49" i="5" s="1"/>
  <c r="J49" i="5"/>
  <c r="I49" i="5"/>
  <c r="H49" i="5"/>
  <c r="M48" i="5"/>
  <c r="L48" i="5"/>
  <c r="N48" i="5" s="1"/>
  <c r="K48" i="5"/>
  <c r="J48" i="5"/>
  <c r="I48" i="5"/>
  <c r="H48" i="5"/>
  <c r="M47" i="5"/>
  <c r="L47" i="5"/>
  <c r="K47" i="5"/>
  <c r="N47" i="5" s="1"/>
  <c r="J47" i="5"/>
  <c r="I47" i="5"/>
  <c r="H47" i="5"/>
  <c r="M46" i="5"/>
  <c r="L46" i="5"/>
  <c r="K46" i="5"/>
  <c r="N46" i="5" s="1"/>
  <c r="J46" i="5"/>
  <c r="I46" i="5"/>
  <c r="R46" i="5" s="1"/>
  <c r="H46" i="5"/>
  <c r="M45" i="5"/>
  <c r="N45" i="5" s="1"/>
  <c r="L45" i="5"/>
  <c r="K45" i="5"/>
  <c r="J45" i="5"/>
  <c r="I45" i="5"/>
  <c r="H45" i="5"/>
  <c r="M44" i="5"/>
  <c r="L44" i="5"/>
  <c r="K44" i="5"/>
  <c r="N44" i="5" s="1"/>
  <c r="J44" i="5"/>
  <c r="I44" i="5"/>
  <c r="H44" i="5"/>
  <c r="M43" i="5"/>
  <c r="L43" i="5"/>
  <c r="K43" i="5"/>
  <c r="J43" i="5"/>
  <c r="I43" i="5"/>
  <c r="H43" i="5"/>
  <c r="M42" i="5"/>
  <c r="N42" i="5" s="1"/>
  <c r="L42" i="5"/>
  <c r="K42" i="5"/>
  <c r="J42" i="5"/>
  <c r="I42" i="5"/>
  <c r="R42" i="5" s="1"/>
  <c r="H42" i="5"/>
  <c r="M41" i="5"/>
  <c r="L41" i="5"/>
  <c r="K41" i="5"/>
  <c r="N41" i="5" s="1"/>
  <c r="J41" i="5"/>
  <c r="I41" i="5"/>
  <c r="H41" i="5"/>
  <c r="M40" i="5"/>
  <c r="L40" i="5"/>
  <c r="K40" i="5"/>
  <c r="N40" i="5" s="1"/>
  <c r="R40" i="5" s="1"/>
  <c r="J40" i="5"/>
  <c r="I40" i="5"/>
  <c r="H40" i="5"/>
  <c r="M39" i="5"/>
  <c r="L39" i="5"/>
  <c r="N39" i="5" s="1"/>
  <c r="K39" i="5"/>
  <c r="J39" i="5"/>
  <c r="I39" i="5"/>
  <c r="H39" i="5"/>
  <c r="M38" i="5"/>
  <c r="L38" i="5"/>
  <c r="K38" i="5"/>
  <c r="N38" i="5" s="1"/>
  <c r="J38" i="5"/>
  <c r="I38" i="5"/>
  <c r="H38" i="5"/>
  <c r="M37" i="5"/>
  <c r="L37" i="5"/>
  <c r="K37" i="5"/>
  <c r="N37" i="5" s="1"/>
  <c r="J37" i="5"/>
  <c r="I37" i="5"/>
  <c r="R37" i="5" s="1"/>
  <c r="H37" i="5"/>
  <c r="M36" i="5"/>
  <c r="N36" i="5" s="1"/>
  <c r="L36" i="5"/>
  <c r="K36" i="5"/>
  <c r="J36" i="5"/>
  <c r="I36" i="5"/>
  <c r="H36" i="5"/>
  <c r="M35" i="5"/>
  <c r="L35" i="5"/>
  <c r="K35" i="5"/>
  <c r="N35" i="5" s="1"/>
  <c r="J35" i="5"/>
  <c r="I35" i="5"/>
  <c r="H35" i="5"/>
  <c r="M34" i="5"/>
  <c r="L34" i="5"/>
  <c r="K34" i="5"/>
  <c r="J34" i="5"/>
  <c r="I34" i="5"/>
  <c r="H34" i="5"/>
  <c r="M33" i="5"/>
  <c r="N33" i="5" s="1"/>
  <c r="L33" i="5"/>
  <c r="K33" i="5"/>
  <c r="J33" i="5"/>
  <c r="I33" i="5"/>
  <c r="R33" i="5" s="1"/>
  <c r="H33" i="5"/>
  <c r="M32" i="5"/>
  <c r="L32" i="5"/>
  <c r="K32" i="5"/>
  <c r="N32" i="5" s="1"/>
  <c r="J32" i="5"/>
  <c r="I32" i="5"/>
  <c r="H32" i="5"/>
  <c r="M31" i="5"/>
  <c r="L31" i="5"/>
  <c r="K31" i="5"/>
  <c r="N31" i="5" s="1"/>
  <c r="R31" i="5" s="1"/>
  <c r="J31" i="5"/>
  <c r="I31" i="5"/>
  <c r="H31" i="5"/>
  <c r="M30" i="5"/>
  <c r="L30" i="5"/>
  <c r="N30" i="5" s="1"/>
  <c r="K30" i="5"/>
  <c r="J30" i="5"/>
  <c r="I30" i="5"/>
  <c r="H30" i="5"/>
  <c r="M29" i="5"/>
  <c r="L29" i="5"/>
  <c r="K29" i="5"/>
  <c r="N29" i="5" s="1"/>
  <c r="J29" i="5"/>
  <c r="I29" i="5"/>
  <c r="H29" i="5"/>
  <c r="M28" i="5"/>
  <c r="L28" i="5"/>
  <c r="K28" i="5"/>
  <c r="N28" i="5" s="1"/>
  <c r="J28" i="5"/>
  <c r="I28" i="5"/>
  <c r="R28" i="5" s="1"/>
  <c r="H28" i="5"/>
  <c r="M27" i="5"/>
  <c r="N27" i="5" s="1"/>
  <c r="L27" i="5"/>
  <c r="K27" i="5"/>
  <c r="J27" i="5"/>
  <c r="I27" i="5"/>
  <c r="H27" i="5"/>
  <c r="M26" i="5"/>
  <c r="L26" i="5"/>
  <c r="K26" i="5"/>
  <c r="N26" i="5" s="1"/>
  <c r="J26" i="5"/>
  <c r="I26" i="5"/>
  <c r="H26" i="5"/>
  <c r="M25" i="5"/>
  <c r="L25" i="5"/>
  <c r="K25" i="5"/>
  <c r="J25" i="5"/>
  <c r="I25" i="5"/>
  <c r="H25" i="5"/>
  <c r="M24" i="5"/>
  <c r="L24" i="5"/>
  <c r="K24" i="5"/>
  <c r="N24" i="5" s="1"/>
  <c r="R24" i="5" s="1"/>
  <c r="J24" i="5"/>
  <c r="I24" i="5"/>
  <c r="H24" i="5"/>
  <c r="M23" i="5"/>
  <c r="L23" i="5"/>
  <c r="K23" i="5"/>
  <c r="N23" i="5" s="1"/>
  <c r="J23" i="5"/>
  <c r="I23" i="5"/>
  <c r="R23" i="5" s="1"/>
  <c r="H23" i="5"/>
  <c r="M22" i="5"/>
  <c r="L22" i="5"/>
  <c r="K22" i="5"/>
  <c r="N22" i="5" s="1"/>
  <c r="R22" i="5" s="1"/>
  <c r="J22" i="5"/>
  <c r="I22" i="5"/>
  <c r="H22" i="5"/>
  <c r="M21" i="5"/>
  <c r="L21" i="5"/>
  <c r="K21" i="5"/>
  <c r="N21" i="5" s="1"/>
  <c r="J21" i="5"/>
  <c r="I21" i="5"/>
  <c r="R21" i="5" s="1"/>
  <c r="H21" i="5"/>
  <c r="M20" i="5"/>
  <c r="L20" i="5"/>
  <c r="K20" i="5"/>
  <c r="J20" i="5"/>
  <c r="I20" i="5"/>
  <c r="H20" i="5"/>
  <c r="M19" i="5"/>
  <c r="L19" i="5"/>
  <c r="K19" i="5"/>
  <c r="J19" i="5"/>
  <c r="I19" i="5"/>
  <c r="H19" i="5"/>
  <c r="M18" i="5"/>
  <c r="L18" i="5"/>
  <c r="K18" i="5"/>
  <c r="N18" i="5" s="1"/>
  <c r="J18" i="5"/>
  <c r="I18" i="5"/>
  <c r="H18" i="5"/>
  <c r="M17" i="5"/>
  <c r="L17" i="5"/>
  <c r="K17" i="5"/>
  <c r="N17" i="5" s="1"/>
  <c r="J17" i="5"/>
  <c r="I17" i="5"/>
  <c r="H17" i="5"/>
  <c r="M16" i="5"/>
  <c r="L16" i="5"/>
  <c r="K16" i="5"/>
  <c r="J16" i="5"/>
  <c r="I16" i="5"/>
  <c r="H16" i="5"/>
  <c r="M15" i="5"/>
  <c r="N15" i="5" s="1"/>
  <c r="R15" i="5" s="1"/>
  <c r="L15" i="5"/>
  <c r="K15" i="5"/>
  <c r="J15" i="5"/>
  <c r="I15" i="5"/>
  <c r="H15" i="5"/>
  <c r="M14" i="5"/>
  <c r="L14" i="5"/>
  <c r="K14" i="5"/>
  <c r="J14" i="5"/>
  <c r="I14" i="5"/>
  <c r="H14" i="5"/>
  <c r="M13" i="5"/>
  <c r="L13" i="5"/>
  <c r="K13" i="5"/>
  <c r="N13" i="5" s="1"/>
  <c r="J13" i="5"/>
  <c r="I13" i="5"/>
  <c r="R13" i="5" s="1"/>
  <c r="H13" i="5"/>
  <c r="M12" i="5"/>
  <c r="L12" i="5"/>
  <c r="K12" i="5"/>
  <c r="N12" i="5" s="1"/>
  <c r="R12" i="5" s="1"/>
  <c r="J12" i="5"/>
  <c r="I12" i="5"/>
  <c r="H12" i="5"/>
  <c r="M11" i="5"/>
  <c r="L11" i="5"/>
  <c r="K11" i="5"/>
  <c r="N11" i="5" s="1"/>
  <c r="J11" i="5"/>
  <c r="I11" i="5"/>
  <c r="R11" i="5" s="1"/>
  <c r="H11" i="5"/>
  <c r="M10" i="5"/>
  <c r="L10" i="5"/>
  <c r="K10" i="5"/>
  <c r="J10" i="5"/>
  <c r="I10" i="5"/>
  <c r="H10" i="5"/>
  <c r="M9" i="5"/>
  <c r="N9" i="5" s="1"/>
  <c r="L9" i="5"/>
  <c r="K9" i="5"/>
  <c r="J9" i="5"/>
  <c r="I9" i="5"/>
  <c r="R9" i="5" s="1"/>
  <c r="H9" i="5"/>
  <c r="M8" i="5"/>
  <c r="L8" i="5"/>
  <c r="K8" i="5"/>
  <c r="N8" i="5" s="1"/>
  <c r="J8" i="5"/>
  <c r="I8" i="5"/>
  <c r="R8" i="5" s="1"/>
  <c r="H8" i="5"/>
  <c r="M7" i="5"/>
  <c r="L7" i="5"/>
  <c r="K7" i="5"/>
  <c r="J7" i="5"/>
  <c r="I7" i="5"/>
  <c r="H7" i="5"/>
  <c r="M6" i="5"/>
  <c r="L6" i="5"/>
  <c r="K6" i="5"/>
  <c r="N6" i="5" s="1"/>
  <c r="J6" i="5"/>
  <c r="I6" i="5"/>
  <c r="H6" i="5"/>
  <c r="M5" i="5"/>
  <c r="L5" i="5"/>
  <c r="K5" i="5"/>
  <c r="J5" i="5"/>
  <c r="I5" i="5"/>
  <c r="H5" i="5"/>
  <c r="J219" i="4"/>
  <c r="I219" i="4"/>
  <c r="K218" i="4"/>
  <c r="H218" i="4"/>
  <c r="K217" i="4"/>
  <c r="H217" i="4"/>
  <c r="K216" i="4"/>
  <c r="H216" i="4"/>
  <c r="K215" i="4"/>
  <c r="H215" i="4"/>
  <c r="K214" i="4"/>
  <c r="H214" i="4"/>
  <c r="K213" i="4"/>
  <c r="H213" i="4"/>
  <c r="K212" i="4"/>
  <c r="H212" i="4"/>
  <c r="K211" i="4"/>
  <c r="H211" i="4"/>
  <c r="K210" i="4"/>
  <c r="H210" i="4"/>
  <c r="K209" i="4"/>
  <c r="H209" i="4"/>
  <c r="K208" i="4"/>
  <c r="H208" i="4"/>
  <c r="K207" i="4"/>
  <c r="H207" i="4"/>
  <c r="K206" i="4"/>
  <c r="H206" i="4"/>
  <c r="K205" i="4"/>
  <c r="H205" i="4"/>
  <c r="K204" i="4"/>
  <c r="H204" i="4"/>
  <c r="K203" i="4"/>
  <c r="H203" i="4"/>
  <c r="K202" i="4"/>
  <c r="H202" i="4"/>
  <c r="K201" i="4"/>
  <c r="H201" i="4"/>
  <c r="K200" i="4"/>
  <c r="H200" i="4"/>
  <c r="K199" i="4"/>
  <c r="H199" i="4"/>
  <c r="K198" i="4"/>
  <c r="H198" i="4"/>
  <c r="K197" i="4"/>
  <c r="H197" i="4"/>
  <c r="K196" i="4"/>
  <c r="H196" i="4"/>
  <c r="K195" i="4"/>
  <c r="H195" i="4"/>
  <c r="K194" i="4"/>
  <c r="H194" i="4"/>
  <c r="K193" i="4"/>
  <c r="H193" i="4"/>
  <c r="K192" i="4"/>
  <c r="H192" i="4"/>
  <c r="K191" i="4"/>
  <c r="H191" i="4"/>
  <c r="K190" i="4"/>
  <c r="H190" i="4"/>
  <c r="K189" i="4"/>
  <c r="H189" i="4"/>
  <c r="K188" i="4"/>
  <c r="H188" i="4"/>
  <c r="K187" i="4"/>
  <c r="H187" i="4"/>
  <c r="K186" i="4"/>
  <c r="H186" i="4"/>
  <c r="K185" i="4"/>
  <c r="H185" i="4"/>
  <c r="K184" i="4"/>
  <c r="H184" i="4"/>
  <c r="K183" i="4"/>
  <c r="H183" i="4"/>
  <c r="K182" i="4"/>
  <c r="H182" i="4"/>
  <c r="K181" i="4"/>
  <c r="H181" i="4"/>
  <c r="K180" i="4"/>
  <c r="H180" i="4"/>
  <c r="K179" i="4"/>
  <c r="H179" i="4"/>
  <c r="K178" i="4"/>
  <c r="H178" i="4"/>
  <c r="K177" i="4"/>
  <c r="H177" i="4"/>
  <c r="K176" i="4"/>
  <c r="H176" i="4"/>
  <c r="K175" i="4"/>
  <c r="H175" i="4"/>
  <c r="K174" i="4"/>
  <c r="H174" i="4"/>
  <c r="K173" i="4"/>
  <c r="H173" i="4"/>
  <c r="K172" i="4"/>
  <c r="H172" i="4"/>
  <c r="K171" i="4"/>
  <c r="H171" i="4"/>
  <c r="K170" i="4"/>
  <c r="H170" i="4"/>
  <c r="K169" i="4"/>
  <c r="H169" i="4"/>
  <c r="K168" i="4"/>
  <c r="H168" i="4"/>
  <c r="K167" i="4"/>
  <c r="H167" i="4"/>
  <c r="K166" i="4"/>
  <c r="H166" i="4"/>
  <c r="K165" i="4"/>
  <c r="H165" i="4"/>
  <c r="K164" i="4"/>
  <c r="H164" i="4"/>
  <c r="K163" i="4"/>
  <c r="H163" i="4"/>
  <c r="K162" i="4"/>
  <c r="H162" i="4"/>
  <c r="K161" i="4"/>
  <c r="H161" i="4"/>
  <c r="K160" i="4"/>
  <c r="H160" i="4"/>
  <c r="K159" i="4"/>
  <c r="H159" i="4"/>
  <c r="K158" i="4"/>
  <c r="H158" i="4"/>
  <c r="K157" i="4"/>
  <c r="H157" i="4"/>
  <c r="K156" i="4"/>
  <c r="H156" i="4"/>
  <c r="K155" i="4"/>
  <c r="H155" i="4"/>
  <c r="K154" i="4"/>
  <c r="H154" i="4"/>
  <c r="K153" i="4"/>
  <c r="H153" i="4"/>
  <c r="K152" i="4"/>
  <c r="H152" i="4"/>
  <c r="K151" i="4"/>
  <c r="H151" i="4"/>
  <c r="K150" i="4"/>
  <c r="H150" i="4"/>
  <c r="K149" i="4"/>
  <c r="H149" i="4"/>
  <c r="K148" i="4"/>
  <c r="H148" i="4"/>
  <c r="K147" i="4"/>
  <c r="H147" i="4"/>
  <c r="K146" i="4"/>
  <c r="H146" i="4"/>
  <c r="K145" i="4"/>
  <c r="H145" i="4"/>
  <c r="K144" i="4"/>
  <c r="H144" i="4"/>
  <c r="K143" i="4"/>
  <c r="H143" i="4"/>
  <c r="K142" i="4"/>
  <c r="H142" i="4"/>
  <c r="K141" i="4"/>
  <c r="H141" i="4"/>
  <c r="K140" i="4"/>
  <c r="H140" i="4"/>
  <c r="K139" i="4"/>
  <c r="H139" i="4"/>
  <c r="K138" i="4"/>
  <c r="H138" i="4"/>
  <c r="K137" i="4"/>
  <c r="H137" i="4"/>
  <c r="K136" i="4"/>
  <c r="H136" i="4"/>
  <c r="K135" i="4"/>
  <c r="H135" i="4"/>
  <c r="K134" i="4"/>
  <c r="H134" i="4"/>
  <c r="K133" i="4"/>
  <c r="H133" i="4"/>
  <c r="K132" i="4"/>
  <c r="H132" i="4"/>
  <c r="K131" i="4"/>
  <c r="H131" i="4"/>
  <c r="K130" i="4"/>
  <c r="H130" i="4"/>
  <c r="K129" i="4"/>
  <c r="H129" i="4"/>
  <c r="K128" i="4"/>
  <c r="H128" i="4"/>
  <c r="K127" i="4"/>
  <c r="H127" i="4"/>
  <c r="K126" i="4"/>
  <c r="H126" i="4"/>
  <c r="K125" i="4"/>
  <c r="H125" i="4"/>
  <c r="K124" i="4"/>
  <c r="H124" i="4"/>
  <c r="K123" i="4"/>
  <c r="H123" i="4"/>
  <c r="K122" i="4"/>
  <c r="H122" i="4"/>
  <c r="K121" i="4"/>
  <c r="H121" i="4"/>
  <c r="K120" i="4"/>
  <c r="H120" i="4"/>
  <c r="K119" i="4"/>
  <c r="H119" i="4"/>
  <c r="K118" i="4"/>
  <c r="H118" i="4"/>
  <c r="K117" i="4"/>
  <c r="H117" i="4"/>
  <c r="K116" i="4"/>
  <c r="H116" i="4"/>
  <c r="K115" i="4"/>
  <c r="H115" i="4"/>
  <c r="K114" i="4"/>
  <c r="H114" i="4"/>
  <c r="K113" i="4"/>
  <c r="H113" i="4"/>
  <c r="K112" i="4"/>
  <c r="H112" i="4"/>
  <c r="K111" i="4"/>
  <c r="H111" i="4"/>
  <c r="K110" i="4"/>
  <c r="H110" i="4"/>
  <c r="K109" i="4"/>
  <c r="H109" i="4"/>
  <c r="K108" i="4"/>
  <c r="H108" i="4"/>
  <c r="K107" i="4"/>
  <c r="H107" i="4"/>
  <c r="K106" i="4"/>
  <c r="H106" i="4"/>
  <c r="K105" i="4"/>
  <c r="H105" i="4"/>
  <c r="K104" i="4"/>
  <c r="H104" i="4"/>
  <c r="K103" i="4"/>
  <c r="H103" i="4"/>
  <c r="K102" i="4"/>
  <c r="H102" i="4"/>
  <c r="K101" i="4"/>
  <c r="H101" i="4"/>
  <c r="K100" i="4"/>
  <c r="H100" i="4"/>
  <c r="K99" i="4"/>
  <c r="H99" i="4"/>
  <c r="K98" i="4"/>
  <c r="H98" i="4"/>
  <c r="K97" i="4"/>
  <c r="H97" i="4"/>
  <c r="K96" i="4"/>
  <c r="H96" i="4"/>
  <c r="K95" i="4"/>
  <c r="H95" i="4"/>
  <c r="K94" i="4"/>
  <c r="H94" i="4"/>
  <c r="K93" i="4"/>
  <c r="H93" i="4"/>
  <c r="K92" i="4"/>
  <c r="H92" i="4"/>
  <c r="K91" i="4"/>
  <c r="H91" i="4"/>
  <c r="K90" i="4"/>
  <c r="H90" i="4"/>
  <c r="K89" i="4"/>
  <c r="H89" i="4"/>
  <c r="K88" i="4"/>
  <c r="H88" i="4"/>
  <c r="K87" i="4"/>
  <c r="H87" i="4"/>
  <c r="K86" i="4"/>
  <c r="H86" i="4"/>
  <c r="K85" i="4"/>
  <c r="H85" i="4"/>
  <c r="K84" i="4"/>
  <c r="H84" i="4"/>
  <c r="K83" i="4"/>
  <c r="H83" i="4"/>
  <c r="K82" i="4"/>
  <c r="H82" i="4"/>
  <c r="K81" i="4"/>
  <c r="H81" i="4"/>
  <c r="K80" i="4"/>
  <c r="H80" i="4"/>
  <c r="K79" i="4"/>
  <c r="H79" i="4"/>
  <c r="K78" i="4"/>
  <c r="H78" i="4"/>
  <c r="K77" i="4"/>
  <c r="H77" i="4"/>
  <c r="K76" i="4"/>
  <c r="H76" i="4"/>
  <c r="K75" i="4"/>
  <c r="H75" i="4"/>
  <c r="K74" i="4"/>
  <c r="H74" i="4"/>
  <c r="K73" i="4"/>
  <c r="H73" i="4"/>
  <c r="K72" i="4"/>
  <c r="H72" i="4"/>
  <c r="K71" i="4"/>
  <c r="H71" i="4"/>
  <c r="K70" i="4"/>
  <c r="H70" i="4"/>
  <c r="K69" i="4"/>
  <c r="H69" i="4"/>
  <c r="K68" i="4"/>
  <c r="H68" i="4"/>
  <c r="K67" i="4"/>
  <c r="H67" i="4"/>
  <c r="K66" i="4"/>
  <c r="H66" i="4"/>
  <c r="K65" i="4"/>
  <c r="H65" i="4"/>
  <c r="K64" i="4"/>
  <c r="H64" i="4"/>
  <c r="K63" i="4"/>
  <c r="H63" i="4"/>
  <c r="K62" i="4"/>
  <c r="H62" i="4"/>
  <c r="K61" i="4"/>
  <c r="H61" i="4"/>
  <c r="K60" i="4"/>
  <c r="H60" i="4"/>
  <c r="K59" i="4"/>
  <c r="H59" i="4"/>
  <c r="K58" i="4"/>
  <c r="H58" i="4"/>
  <c r="K57" i="4"/>
  <c r="H57" i="4"/>
  <c r="K56" i="4"/>
  <c r="H56" i="4"/>
  <c r="K55" i="4"/>
  <c r="H55" i="4"/>
  <c r="K54" i="4"/>
  <c r="H54" i="4"/>
  <c r="K53" i="4"/>
  <c r="H53" i="4"/>
  <c r="K52" i="4"/>
  <c r="H52" i="4"/>
  <c r="K51" i="4"/>
  <c r="H51" i="4"/>
  <c r="K50" i="4"/>
  <c r="H50" i="4"/>
  <c r="K49" i="4"/>
  <c r="H49" i="4"/>
  <c r="K48" i="4"/>
  <c r="H48" i="4"/>
  <c r="K47" i="4"/>
  <c r="H47" i="4"/>
  <c r="K46" i="4"/>
  <c r="H46" i="4"/>
  <c r="K45" i="4"/>
  <c r="H45" i="4"/>
  <c r="K44" i="4"/>
  <c r="H44" i="4"/>
  <c r="K43" i="4"/>
  <c r="H43" i="4"/>
  <c r="K42" i="4"/>
  <c r="H42" i="4"/>
  <c r="K41" i="4"/>
  <c r="H41" i="4"/>
  <c r="K40" i="4"/>
  <c r="H40" i="4"/>
  <c r="K39" i="4"/>
  <c r="H39" i="4"/>
  <c r="K38" i="4"/>
  <c r="H38" i="4"/>
  <c r="K37" i="4"/>
  <c r="H37" i="4"/>
  <c r="K36" i="4"/>
  <c r="H36" i="4"/>
  <c r="K35" i="4"/>
  <c r="H35" i="4"/>
  <c r="K34" i="4"/>
  <c r="H34" i="4"/>
  <c r="K33" i="4"/>
  <c r="H33" i="4"/>
  <c r="K32" i="4"/>
  <c r="H32" i="4"/>
  <c r="K31" i="4"/>
  <c r="H31" i="4"/>
  <c r="K30" i="4"/>
  <c r="H30" i="4"/>
  <c r="K29" i="4"/>
  <c r="H29" i="4"/>
  <c r="K28" i="4"/>
  <c r="H28" i="4"/>
  <c r="K27" i="4"/>
  <c r="H27" i="4"/>
  <c r="K26" i="4"/>
  <c r="H26" i="4"/>
  <c r="K25" i="4"/>
  <c r="H25" i="4"/>
  <c r="K24" i="4"/>
  <c r="H24" i="4"/>
  <c r="K23" i="4"/>
  <c r="H23" i="4"/>
  <c r="K22" i="4"/>
  <c r="H22" i="4"/>
  <c r="K21" i="4"/>
  <c r="H21" i="4"/>
  <c r="K20" i="4"/>
  <c r="H20" i="4"/>
  <c r="K19" i="4"/>
  <c r="H19" i="4"/>
  <c r="K18" i="4"/>
  <c r="H18" i="4"/>
  <c r="K17" i="4"/>
  <c r="H17" i="4"/>
  <c r="K16" i="4"/>
  <c r="H16" i="4"/>
  <c r="K15" i="4"/>
  <c r="H15" i="4"/>
  <c r="K14" i="4"/>
  <c r="H14" i="4"/>
  <c r="K13" i="4"/>
  <c r="H13" i="4"/>
  <c r="K12" i="4"/>
  <c r="H12" i="4"/>
  <c r="K11" i="4"/>
  <c r="H11" i="4"/>
  <c r="E47" i="1" s="1"/>
  <c r="E50" i="1" s="1"/>
  <c r="K10" i="4"/>
  <c r="H10" i="4"/>
  <c r="K9" i="4"/>
  <c r="H9" i="4"/>
  <c r="K8" i="4"/>
  <c r="H8" i="4"/>
  <c r="K7" i="4"/>
  <c r="K219" i="4" s="1"/>
  <c r="H7" i="4"/>
  <c r="K6" i="4"/>
  <c r="H6" i="4"/>
  <c r="K5" i="4"/>
  <c r="H5" i="4"/>
  <c r="E48" i="1" s="1"/>
  <c r="J864" i="3"/>
  <c r="F71" i="1"/>
  <c r="D68" i="1"/>
  <c r="C68" i="1"/>
  <c r="E67" i="1"/>
  <c r="D67" i="1"/>
  <c r="C67" i="1"/>
  <c r="F67" i="1" s="1"/>
  <c r="B67" i="1"/>
  <c r="E66" i="1"/>
  <c r="E68" i="1" s="1"/>
  <c r="D66" i="1"/>
  <c r="C66" i="1"/>
  <c r="B66" i="1"/>
  <c r="F66" i="1" s="1"/>
  <c r="F65" i="1"/>
  <c r="F68" i="1" s="1"/>
  <c r="E65" i="1"/>
  <c r="D65" i="1"/>
  <c r="C65" i="1"/>
  <c r="B65" i="1"/>
  <c r="B68" i="1" s="1"/>
  <c r="F60" i="1"/>
  <c r="F59" i="1"/>
  <c r="F58" i="1"/>
  <c r="F57" i="1"/>
  <c r="F56" i="1"/>
  <c r="F55" i="1"/>
  <c r="F54" i="1"/>
  <c r="F51" i="1"/>
  <c r="E49" i="1"/>
  <c r="D49" i="1"/>
  <c r="C49" i="1"/>
  <c r="B49" i="1"/>
  <c r="F49" i="1" s="1"/>
  <c r="E41" i="1"/>
  <c r="D41" i="1"/>
  <c r="C41" i="1"/>
  <c r="B41" i="1"/>
  <c r="F41" i="1" s="1"/>
  <c r="E40" i="1"/>
  <c r="D40" i="1"/>
  <c r="C40" i="1"/>
  <c r="B40" i="1"/>
  <c r="F40" i="1" s="1"/>
  <c r="E39" i="1"/>
  <c r="D39" i="1"/>
  <c r="C39" i="1"/>
  <c r="B39" i="1"/>
  <c r="F39" i="1" s="1"/>
  <c r="E38" i="1"/>
  <c r="D38" i="1"/>
  <c r="C38" i="1"/>
  <c r="B38" i="1"/>
  <c r="F38" i="1" s="1"/>
  <c r="F37" i="1"/>
  <c r="E37" i="1"/>
  <c r="D37" i="1"/>
  <c r="C37" i="1"/>
  <c r="B37" i="1"/>
  <c r="E36" i="1"/>
  <c r="D36" i="1"/>
  <c r="C36" i="1"/>
  <c r="B36" i="1"/>
  <c r="F36" i="1" s="1"/>
  <c r="E35" i="1"/>
  <c r="D35" i="1"/>
  <c r="C35" i="1"/>
  <c r="F35" i="1" s="1"/>
  <c r="B35" i="1"/>
  <c r="E34" i="1"/>
  <c r="D34" i="1"/>
  <c r="C34" i="1"/>
  <c r="F34" i="1" s="1"/>
  <c r="B34" i="1"/>
  <c r="E33" i="1"/>
  <c r="D33" i="1"/>
  <c r="C33" i="1"/>
  <c r="B33" i="1"/>
  <c r="F33" i="1" s="1"/>
  <c r="F32" i="1"/>
  <c r="E32" i="1"/>
  <c r="D32" i="1"/>
  <c r="C32" i="1"/>
  <c r="B32" i="1"/>
  <c r="E31" i="1"/>
  <c r="D31" i="1"/>
  <c r="C31" i="1"/>
  <c r="B31" i="1"/>
  <c r="F31" i="1" s="1"/>
  <c r="E30" i="1"/>
  <c r="D30" i="1"/>
  <c r="C30" i="1"/>
  <c r="B30" i="1"/>
  <c r="E29" i="1"/>
  <c r="D29" i="1"/>
  <c r="C29" i="1"/>
  <c r="B29" i="1"/>
  <c r="F29" i="1" s="1"/>
  <c r="E28" i="1"/>
  <c r="D28" i="1"/>
  <c r="C28" i="1"/>
  <c r="B28" i="1"/>
  <c r="E27" i="1"/>
  <c r="D27" i="1"/>
  <c r="C27" i="1"/>
  <c r="B27" i="1"/>
  <c r="F27" i="1" s="1"/>
  <c r="E26" i="1"/>
  <c r="D26" i="1"/>
  <c r="C26" i="1"/>
  <c r="B26" i="1"/>
  <c r="F26" i="1" s="1"/>
  <c r="E25" i="1"/>
  <c r="E42" i="1" s="1"/>
  <c r="D25" i="1"/>
  <c r="C25" i="1"/>
  <c r="B25" i="1"/>
  <c r="E24" i="1"/>
  <c r="D24" i="1"/>
  <c r="C24" i="1"/>
  <c r="B24" i="1"/>
  <c r="D20" i="1"/>
  <c r="C20" i="1"/>
  <c r="E19" i="1"/>
  <c r="D19" i="1"/>
  <c r="C19" i="1"/>
  <c r="B19" i="1"/>
  <c r="F19" i="1" s="1"/>
  <c r="E18" i="1"/>
  <c r="E20" i="1" s="1"/>
  <c r="D18" i="1"/>
  <c r="C18" i="1"/>
  <c r="B18" i="1"/>
  <c r="F18" i="1" s="1"/>
  <c r="F17" i="1"/>
  <c r="E17" i="1"/>
  <c r="D17" i="1"/>
  <c r="C17" i="1"/>
  <c r="B17" i="1"/>
  <c r="B20" i="1" s="1"/>
  <c r="E10" i="1"/>
  <c r="F10" i="1" s="1"/>
  <c r="D10" i="1"/>
  <c r="C10" i="1"/>
  <c r="B10" i="1"/>
  <c r="E9" i="1"/>
  <c r="D9" i="1"/>
  <c r="C9" i="1"/>
  <c r="B9" i="1"/>
  <c r="F9" i="1" s="1"/>
  <c r="E8" i="1"/>
  <c r="D8" i="1"/>
  <c r="D11" i="1" s="1"/>
  <c r="C8" i="1"/>
  <c r="B8" i="1"/>
  <c r="E7" i="1"/>
  <c r="D7" i="1"/>
  <c r="C7" i="1"/>
  <c r="B7" i="1"/>
  <c r="F7" i="1" s="1"/>
  <c r="F25" i="1" l="1"/>
  <c r="C11" i="1"/>
  <c r="F8" i="1"/>
  <c r="J241" i="5"/>
  <c r="F20" i="1"/>
  <c r="C42" i="1"/>
  <c r="N7" i="5"/>
  <c r="R7" i="5" s="1"/>
  <c r="R96" i="5"/>
  <c r="R214" i="5"/>
  <c r="R51" i="5"/>
  <c r="B42" i="1"/>
  <c r="F30" i="1"/>
  <c r="D42" i="1"/>
  <c r="R114" i="5"/>
  <c r="R19" i="5"/>
  <c r="F11" i="1"/>
  <c r="F12" i="1" s="1"/>
  <c r="R69" i="5"/>
  <c r="R178" i="5"/>
  <c r="E11" i="1"/>
  <c r="F28" i="1"/>
  <c r="C47" i="1"/>
  <c r="C50" i="1" s="1"/>
  <c r="D47" i="1"/>
  <c r="R6" i="5"/>
  <c r="R18" i="5"/>
  <c r="R132" i="5"/>
  <c r="R218" i="5"/>
  <c r="R237" i="5"/>
  <c r="R26" i="5"/>
  <c r="R35" i="5"/>
  <c r="R44" i="5"/>
  <c r="R53" i="5"/>
  <c r="R62" i="5"/>
  <c r="R71" i="5"/>
  <c r="R80" i="5"/>
  <c r="R89" i="5"/>
  <c r="R98" i="5"/>
  <c r="R107" i="5"/>
  <c r="R116" i="5"/>
  <c r="R125" i="5"/>
  <c r="R134" i="5"/>
  <c r="R143" i="5"/>
  <c r="R152" i="5"/>
  <c r="N161" i="5"/>
  <c r="R161" i="5" s="1"/>
  <c r="R167" i="5"/>
  <c r="N178" i="5"/>
  <c r="R184" i="5"/>
  <c r="R186" i="5"/>
  <c r="N197" i="5"/>
  <c r="R197" i="5" s="1"/>
  <c r="R203" i="5"/>
  <c r="N214" i="5"/>
  <c r="R220" i="5"/>
  <c r="R222" i="5"/>
  <c r="N233" i="5"/>
  <c r="R233" i="5" s="1"/>
  <c r="R239" i="5"/>
  <c r="B11" i="1"/>
  <c r="B47" i="1"/>
  <c r="N14" i="5"/>
  <c r="R14" i="5" s="1"/>
  <c r="N19" i="5"/>
  <c r="N163" i="5"/>
  <c r="R169" i="5"/>
  <c r="R171" i="5"/>
  <c r="N182" i="5"/>
  <c r="R188" i="5"/>
  <c r="N199" i="5"/>
  <c r="R199" i="5" s="1"/>
  <c r="R205" i="5"/>
  <c r="R207" i="5"/>
  <c r="N218" i="5"/>
  <c r="R224" i="5"/>
  <c r="G14" i="8"/>
  <c r="H14" i="8" s="1"/>
  <c r="R165" i="5"/>
  <c r="R30" i="5"/>
  <c r="R48" i="5"/>
  <c r="R66" i="5"/>
  <c r="R93" i="5"/>
  <c r="R147" i="5"/>
  <c r="R156" i="5"/>
  <c r="R190" i="5"/>
  <c r="R209" i="5"/>
  <c r="E18" i="8"/>
  <c r="G5" i="8"/>
  <c r="R177" i="5"/>
  <c r="R194" i="5"/>
  <c r="R213" i="5"/>
  <c r="F18" i="8"/>
  <c r="N16" i="5"/>
  <c r="R16" i="5" s="1"/>
  <c r="R32" i="5"/>
  <c r="R41" i="5"/>
  <c r="R50" i="5"/>
  <c r="R59" i="5"/>
  <c r="R68" i="5"/>
  <c r="R77" i="5"/>
  <c r="R86" i="5"/>
  <c r="R95" i="5"/>
  <c r="R104" i="5"/>
  <c r="R113" i="5"/>
  <c r="R122" i="5"/>
  <c r="R131" i="5"/>
  <c r="R140" i="5"/>
  <c r="R149" i="5"/>
  <c r="R160" i="5"/>
  <c r="R162" i="5"/>
  <c r="N173" i="5"/>
  <c r="R179" i="5"/>
  <c r="N190" i="5"/>
  <c r="R196" i="5"/>
  <c r="R198" i="5"/>
  <c r="N209" i="5"/>
  <c r="R215" i="5"/>
  <c r="N226" i="5"/>
  <c r="R226" i="5" s="1"/>
  <c r="R232" i="5"/>
  <c r="R234" i="5"/>
  <c r="N175" i="5"/>
  <c r="R175" i="5" s="1"/>
  <c r="R181" i="5"/>
  <c r="R183" i="5"/>
  <c r="N194" i="5"/>
  <c r="R200" i="5"/>
  <c r="N211" i="5"/>
  <c r="R211" i="5" s="1"/>
  <c r="R217" i="5"/>
  <c r="R219" i="5"/>
  <c r="N230" i="5"/>
  <c r="R230" i="5" s="1"/>
  <c r="R236" i="5"/>
  <c r="R182" i="5"/>
  <c r="R201" i="5"/>
  <c r="R75" i="5"/>
  <c r="R27" i="5"/>
  <c r="R36" i="5"/>
  <c r="R45" i="5"/>
  <c r="R54" i="5"/>
  <c r="R63" i="5"/>
  <c r="R72" i="5"/>
  <c r="R81" i="5"/>
  <c r="R90" i="5"/>
  <c r="R99" i="5"/>
  <c r="R108" i="5"/>
  <c r="R117" i="5"/>
  <c r="R126" i="5"/>
  <c r="R135" i="5"/>
  <c r="R144" i="5"/>
  <c r="R153" i="5"/>
  <c r="R166" i="5"/>
  <c r="R168" i="5"/>
  <c r="R185" i="5"/>
  <c r="R202" i="5"/>
  <c r="R204" i="5"/>
  <c r="R221" i="5"/>
  <c r="R57" i="5"/>
  <c r="R120" i="5"/>
  <c r="R192" i="5"/>
  <c r="B48" i="1"/>
  <c r="C48" i="1"/>
  <c r="K241" i="5"/>
  <c r="N5" i="5"/>
  <c r="N25" i="5"/>
  <c r="R25" i="5" s="1"/>
  <c r="N34" i="5"/>
  <c r="R34" i="5" s="1"/>
  <c r="N43" i="5"/>
  <c r="R43" i="5" s="1"/>
  <c r="N52" i="5"/>
  <c r="R52" i="5" s="1"/>
  <c r="N61" i="5"/>
  <c r="R61" i="5" s="1"/>
  <c r="N70" i="5"/>
  <c r="R70" i="5" s="1"/>
  <c r="N79" i="5"/>
  <c r="R79" i="5" s="1"/>
  <c r="N88" i="5"/>
  <c r="R88" i="5" s="1"/>
  <c r="N97" i="5"/>
  <c r="R97" i="5" s="1"/>
  <c r="N106" i="5"/>
  <c r="R106" i="5" s="1"/>
  <c r="N115" i="5"/>
  <c r="R115" i="5" s="1"/>
  <c r="N124" i="5"/>
  <c r="R124" i="5" s="1"/>
  <c r="N133" i="5"/>
  <c r="R133" i="5" s="1"/>
  <c r="N142" i="5"/>
  <c r="R142" i="5" s="1"/>
  <c r="N151" i="5"/>
  <c r="R151" i="5" s="1"/>
  <c r="R170" i="5"/>
  <c r="R189" i="5"/>
  <c r="R225" i="5"/>
  <c r="N236" i="5"/>
  <c r="R163" i="5"/>
  <c r="R39" i="5"/>
  <c r="R102" i="5"/>
  <c r="R129" i="5"/>
  <c r="R228" i="5"/>
  <c r="R29" i="5"/>
  <c r="R38" i="5"/>
  <c r="R47" i="5"/>
  <c r="R56" i="5"/>
  <c r="R65" i="5"/>
  <c r="R74" i="5"/>
  <c r="R83" i="5"/>
  <c r="R101" i="5"/>
  <c r="R110" i="5"/>
  <c r="R119" i="5"/>
  <c r="R128" i="5"/>
  <c r="R137" i="5"/>
  <c r="R146" i="5"/>
  <c r="R155" i="5"/>
  <c r="N166" i="5"/>
  <c r="R172" i="5"/>
  <c r="R174" i="5"/>
  <c r="N185" i="5"/>
  <c r="R191" i="5"/>
  <c r="N202" i="5"/>
  <c r="R208" i="5"/>
  <c r="R210" i="5"/>
  <c r="N221" i="5"/>
  <c r="R227" i="5"/>
  <c r="N240" i="5"/>
  <c r="R240" i="5" s="1"/>
  <c r="R84" i="5"/>
  <c r="R111" i="5"/>
  <c r="R138" i="5"/>
  <c r="R173" i="5"/>
  <c r="I241" i="5"/>
  <c r="F24" i="1"/>
  <c r="D48" i="1"/>
  <c r="L241" i="5"/>
  <c r="N10" i="5"/>
  <c r="R10" i="5" s="1"/>
  <c r="N20" i="5"/>
  <c r="R20" i="5" s="1"/>
  <c r="R92" i="5"/>
  <c r="M241" i="5"/>
  <c r="R17" i="5"/>
  <c r="R157" i="5"/>
  <c r="R159" i="5"/>
  <c r="N170" i="5"/>
  <c r="R176" i="5"/>
  <c r="N187" i="5"/>
  <c r="R187" i="5" s="1"/>
  <c r="R193" i="5"/>
  <c r="R195" i="5"/>
  <c r="N206" i="5"/>
  <c r="R206" i="5" s="1"/>
  <c r="R212" i="5"/>
  <c r="N223" i="5"/>
  <c r="R223" i="5" s="1"/>
  <c r="R229" i="5"/>
  <c r="R231" i="5"/>
  <c r="G8" i="8"/>
  <c r="G12" i="8"/>
  <c r="H12" i="8" s="1"/>
  <c r="F48" i="1" l="1"/>
  <c r="F42" i="1"/>
  <c r="N241" i="5"/>
  <c r="R5" i="5"/>
  <c r="F61" i="1" s="1"/>
  <c r="F47" i="1"/>
  <c r="F50" i="1" s="1"/>
  <c r="B50" i="1"/>
  <c r="G18" i="8"/>
  <c r="H5" i="8"/>
  <c r="F72" i="1" s="1"/>
  <c r="D50" i="1"/>
</calcChain>
</file>

<file path=xl/sharedStrings.xml><?xml version="1.0" encoding="utf-8"?>
<sst xmlns="http://schemas.openxmlformats.org/spreadsheetml/2006/main" count="17057" uniqueCount="3948">
  <si>
    <t>BAAY Projects Limited: sales and customer summary for the auditor, 2022 to 2025</t>
  </si>
  <si>
    <t>Prepared 2 October 2026 from the company Google Drive (not Xero). All figures are cash receipts per company records, in Naira. Every number below is a formula on the detail tabs.</t>
  </si>
  <si>
    <t>1. Sales receipts by product line and year (Sales_Ledger)</t>
  </si>
  <si>
    <t>2022 shows nil: no transaction-level receipts for 2022 exist on the Drive. Construction shows nil: no construction-contract receipts were found for 2022 to 2025.</t>
  </si>
  <si>
    <t>Product line</t>
  </si>
  <si>
    <t>2022</t>
  </si>
  <si>
    <t>2023</t>
  </si>
  <si>
    <t>2024</t>
  </si>
  <si>
    <t>2025</t>
  </si>
  <si>
    <t>Total 2022-2025</t>
  </si>
  <si>
    <t>Land: plot price / instalments</t>
  </si>
  <si>
    <t>Land: ancillary charges (corner piece, documentation, development)</t>
  </si>
  <si>
    <t>Housing: unit price / instalments</t>
  </si>
  <si>
    <t>Construction</t>
  </si>
  <si>
    <t>Total sales receipts</t>
  </si>
  <si>
    <t>Check: agrees to Sales_Ledger total (should be 0)</t>
  </si>
  <si>
    <t>2. How each year's receipts were sourced</t>
  </si>
  <si>
    <t>The basis tells the auditor how much reliance the list can bear before agreeing it to bank statements.</t>
  </si>
  <si>
    <t>Population basis</t>
  </si>
  <si>
    <t>Total</t>
  </si>
  <si>
    <t>Monthly turnover register (Dec 2023 to Dec 2024)</t>
  </si>
  <si>
    <t>Turnover schedule, Green City Ph1/Ph2 (Jan to Nov 2023)</t>
  </si>
  <si>
    <t>Sales commission records (Jan to Nov 2023, and all of 2025)</t>
  </si>
  <si>
    <t>3. Sales receipts by project / estate and year</t>
  </si>
  <si>
    <t>Project / estate</t>
  </si>
  <si>
    <t>Baay Foreshore</t>
  </si>
  <si>
    <t>Gorge View Court (GVC Gbagada)</t>
  </si>
  <si>
    <t>Green City Ibadan (Akinyele-Moniya)</t>
  </si>
  <si>
    <t>Green City Phase 1 (Ketu-Epe)</t>
  </si>
  <si>
    <t>Green City Phase 1 (Lantaba, Ketu-Epe)</t>
  </si>
  <si>
    <t>Green City Phase 2 (Idobi, Ketu-Epe)</t>
  </si>
  <si>
    <t>Green City Phase 2 (Ketu-Epe)</t>
  </si>
  <si>
    <t>Green City Phase 3 (Omu-Epe)</t>
  </si>
  <si>
    <t>Green City Phase 3 Extension (Omu-Epe)</t>
  </si>
  <si>
    <t>Heritage Garden</t>
  </si>
  <si>
    <t>Housing unit (project not stated in source)</t>
  </si>
  <si>
    <t>Land (estate not stated in source)</t>
  </si>
  <si>
    <t>Land: corner piece premium</t>
  </si>
  <si>
    <t>Land: development fee</t>
  </si>
  <si>
    <t>Land: documentation fee</t>
  </si>
  <si>
    <t>Pacific Apartment</t>
  </si>
  <si>
    <t>Pacific Court</t>
  </si>
  <si>
    <t>Pacific Court 2</t>
  </si>
  <si>
    <t>4. Customers subscribed (Subscriptions and Customer_Master)</t>
  </si>
  <si>
    <t>Subscriptions are counted in the year of the subscription date in the client register.</t>
  </si>
  <si>
    <t>Subscriptions per client register</t>
  </si>
  <si>
    <t>Land</t>
  </si>
  <si>
    <t>Housing</t>
  </si>
  <si>
    <t>Subscriptions with a dated entry</t>
  </si>
  <si>
    <t>Subscriptions with no date in the register</t>
  </si>
  <si>
    <t>Distinct customers in Customer_Master</t>
  </si>
  <si>
    <t xml:space="preserve">  of which buying land</t>
  </si>
  <si>
    <t xml:space="preserve">  of which buying housing</t>
  </si>
  <si>
    <t xml:space="preserve">  found in both client register and transaction records</t>
  </si>
  <si>
    <t xml:space="preserve">  in client register only (no receipt line found)</t>
  </si>
  <si>
    <t xml:space="preserve">  in transaction records only (not in client register)</t>
  </si>
  <si>
    <t xml:space="preserve">  in commission records only (see exceptions tab)</t>
  </si>
  <si>
    <t>Customers flagged for review (Customer_Master column R)</t>
  </si>
  <si>
    <t>5. Items removed from the sales population (Exclusions tab)</t>
  </si>
  <si>
    <t>Reason</t>
  </si>
  <si>
    <t>Co-ownership investment receipts</t>
  </si>
  <si>
    <t>Credit memos (non-cash transfers)</t>
  </si>
  <si>
    <t>Service / engagement income</t>
  </si>
  <si>
    <t>Total excluded</t>
  </si>
  <si>
    <t>6. Open items for the auditor</t>
  </si>
  <si>
    <t>Unmatched secondary records, Dec 2023 to Dec 2024 (Exceptions tab)</t>
  </si>
  <si>
    <t>Turnover sheets: total differences vs stated totals (Turnover_Recon)</t>
  </si>
  <si>
    <t>Basis of preparation, sources and limitations</t>
  </si>
  <si>
    <t>Purpose</t>
  </si>
  <si>
    <t>Scope</t>
  </si>
  <si>
    <t>All sales records across land, housing and construction for 1 Jan 2023 to 31 Dec 2025, with 2022 included where records exist, plus every customer who subscribed in that window. Prepared for the external auditor from files on the BAAY Google Drive. Xero was not used.</t>
  </si>
  <si>
    <t>What the figures are</t>
  </si>
  <si>
    <t>Cash receipts from customers as recorded by Accounts and Client Relations. They are not revenue: under IFRS 15, housing revenue is recognised at handover and instalment land sales on transfer of control, so receipts will not equal the revenue line in the audited accounts.</t>
  </si>
  <si>
    <t>Source files (Google Drive)</t>
  </si>
  <si>
    <t>BAAY PROJECTS FINANCIALS 2024.xlsx</t>
  </si>
  <si>
    <t>Owner baayrealty@gmail.com. Monthly turnover sheets DECEMBER 2023 TURNOVER to DECEMBER TURNOVER (2024), split by Allen and Magodo branches from July 2024; TURNOVER SCHEDULE (Green City Phase 1 and 2 payment histories, 2023 to 2024). https://drive.google.com/file/d/1xxPmuhTO7yU2Xj4dTlhJLBm4G8uQ0djH/view</t>
  </si>
  <si>
    <t>BAAY PROJECTS SALES EXPENSES (COMMISSION) RECORDS (1)</t>
  </si>
  <si>
    <t>Owner finance.baayprojects@gmail.com, live Google Sheet (latest version, edited 2 Oct 2026). One tab per realtor/associate listing each client payment on which commission was computed. Tabs RESERVE, ASSOCIATE LEAD and 2% UPLINE were not used because they restate the same sales. https://docs.google.com/spreadsheets/d/1d6rtbsgtIV7EDgoHHqDDx_pL2jXcNY92DPUl5KqOXg8</t>
  </si>
  <si>
    <t>BAAY PROJECTS CLIENTS</t>
  </si>
  <si>
    <t>Owner baayrealty@gmail.com. Client register maintained by Client Relations: one tab per estate/project with subscription date, price, amount paid, payment plan, allocation and contacts. https://docs.google.com/spreadsheets/d/1DRFmvVuOpeHsLXLAUwPu5Y37A_mOiNGEEYaO8-mRS2o</t>
  </si>
  <si>
    <t>BAAY FORESHORE, IBADAN EXPENSES, SUBSCRIBERS &amp; FINANCIALS</t>
  </si>
  <si>
    <t>Owner acct.baayprojects@gmail.com. Tab REVENUE/FINACIALS BY SUBSCRIBERS used for Baay Foreshore subscribers in 2025 (cost, payment, plan). https://docs.google.com/spreadsheets/d/10QOMlmpicusYlxha1Q1CMPboSlq193dtaN_DveSicyg</t>
  </si>
  <si>
    <t>Searched, not used</t>
  </si>
  <si>
    <t>BAAY PROJECTS Revenue and Expense Register 2026 and BAAY PROJECTS FINANCIALS 2026 (2026 only); BAAY_Management_Accounts_Workshop.xlsx (2026 journals); audited financial statement PDFs (no customer-level detail); payroll files.</t>
  </si>
  <si>
    <t>How each year was built</t>
  </si>
  <si>
    <t>No transaction-level receipts exist on the Drive for 2022. Customers subscribed in 2022 (Pacific Court) are listed from the client register only.</t>
  </si>
  <si>
    <t>Jan to Nov 2023</t>
  </si>
  <si>
    <t>No monthly turnover register exists for this period. Receipts come from the TURNOVER SCHEDULE (Green City Phase 1 and 2 only) and from the commission records; a commission line that matches a schedule line is not counted twice.</t>
  </si>
  <si>
    <t>Dec 2023 to Dec 2024</t>
  </si>
  <si>
    <t>The monthly turnover register is the population. Turnover-schedule and commission lines that match a register line one-to-one are shown in the "Also recorded in" column. Lines that do not match are listed on Exceptions_Dec23_Dec24 and are NOT added, because most are aggregates or splits of register receipts; adding them would double count.</t>
  </si>
  <si>
    <t>No turnover register for 2025 exists on the Drive. Receipts come from the commission records, de-duplicated across realtor tabs. Commission records only capture sales that carried commission, and a single line can aggregate several transfers, so 2025 should be treated as a list for testing against bank statements, not a complete cash book.</t>
  </si>
  <si>
    <t>No construction-contract receipts were found for 2022 to 2025 in any source. The first construction engagement in the records (12 Basket apartment renovation) is dated February 2026, outside this period.</t>
  </si>
  <si>
    <t>Processing rules</t>
  </si>
  <si>
    <t>Dates</t>
  </si>
  <si>
    <t>Several source sheets store dates typed as day/month but read by the spreadsheet as month/day (e.g. 1 December 2023 held as 12 January 2023). Day and month were swapped back for those cells; the sequence of each client's instalments and the month of each turnover sheet confirm the correction. The date exactly as stored is kept in the "Date as recorded" column. Obvious year typos (e.g. 3034, 0204) are noted and the line is reported in the month of the sheet it sits on.</t>
  </si>
  <si>
    <t>Duplicates</t>
  </si>
  <si>
    <t>Commission tabs restate earlier payments in each payout block, and the same sale can sit on two realtor tabs. Exact repeats within a tab were dropped; across tabs, lines for the same customer and amount within 45 days were treated as one receipt (cross-reference kept).</t>
  </si>
  <si>
    <t>Customer matching</t>
  </si>
  <si>
    <t>Names were matched across sources after removing titles (Mr, Mrs, Dr, Engr, etc.) and comparing the remaining name parts. Each person has one Customer ID. Matching is approximate: a misspelt name can create a second ID, so review the Customer_Master flags.</t>
  </si>
  <si>
    <t>Exclusions</t>
  </si>
  <si>
    <t>Co-ownership receipts (a fixed-return investment product, not a sale), credit memos (non-cash transfers between products) and service/engagement income are removed to the Exclusions tab, so the turnover sheet totals still reconcile on Turnover_Recon.</t>
  </si>
  <si>
    <t>Contact details</t>
  </si>
  <si>
    <t>Phone and email are included only for customer confirmation work. Dates of birth held in the client register were left out.</t>
  </si>
  <si>
    <t>Points the auditor should know</t>
  </si>
  <si>
    <t>1</t>
  </si>
  <si>
    <t>Agree receipts to bank statements, especially 2025 and the Exceptions tab.</t>
  </si>
  <si>
    <t>2</t>
  </si>
  <si>
    <t>9 register entries dated in 2026 were left out of Subscriptions (outside the period).</t>
  </si>
  <si>
    <t>3</t>
  </si>
  <si>
    <t>Customer_Master column R flags customers whose receipts exceed the contract value in the register (possible duplicate entries, a second plot, or ancillary fees) and customers who appear in transaction records but not in the client register.</t>
  </si>
  <si>
    <t>4</t>
  </si>
  <si>
    <t>Contract values and paid-to-date figures on Subscriptions are as typed by Client Relations and were not recomputed.</t>
  </si>
  <si>
    <t>BAAY Projects Limited: Sales receipts ledger, land and housing (Jan 2023 to Dec 2025)</t>
  </si>
  <si>
    <t>One row per customer receipt. Source, row and recorded date kept for every line so each can be traced back. Amounts in Naira.</t>
  </si>
  <si>
    <t>Ref</t>
  </si>
  <si>
    <t>Receipt date</t>
  </si>
  <si>
    <t>Reporting month</t>
  </si>
  <si>
    <t>Year</t>
  </si>
  <si>
    <t>Receipt type</t>
  </si>
  <si>
    <t>Customer ID</t>
  </si>
  <si>
    <t>Customer name (as recorded)</t>
  </si>
  <si>
    <t>Amount (₦)</t>
  </si>
  <si>
    <t>Branch</t>
  </si>
  <si>
    <t>Source file</t>
  </si>
  <si>
    <t>Source sheet</t>
  </si>
  <si>
    <t>Source row</t>
  </si>
  <si>
    <t>Date as recorded in source</t>
  </si>
  <si>
    <t>Also recorded in</t>
  </si>
  <si>
    <t>Review note</t>
  </si>
  <si>
    <t>SL0001</t>
  </si>
  <si>
    <t>2023-01</t>
  </si>
  <si>
    <t>Plot / unit price</t>
  </si>
  <si>
    <t>BP-C0006</t>
  </si>
  <si>
    <t>Mr Olasupo Oladimeji</t>
  </si>
  <si>
    <t>Secondary: commission records; no monthly turnover register for this period</t>
  </si>
  <si>
    <t>MRS ABIMBOLA</t>
  </si>
  <si>
    <t>31/01/2023</t>
  </si>
  <si>
    <t>Commission-record amount: confirm to bank statement (records can aggregate several transfers)</t>
  </si>
  <si>
    <t>SL0002</t>
  </si>
  <si>
    <t>2023-03</t>
  </si>
  <si>
    <t>BP-C0009</t>
  </si>
  <si>
    <t>Miss Oji Blessing Mary</t>
  </si>
  <si>
    <t>Secondary: turnover schedule (Green City Ph1/Ph2 payment history); no monthly turnover register for this period</t>
  </si>
  <si>
    <t>TURNOVER SCHEDULE</t>
  </si>
  <si>
    <t>2023-02-03</t>
  </si>
  <si>
    <t>SL0003</t>
  </si>
  <si>
    <t>2023-05</t>
  </si>
  <si>
    <t>BP-C0010</t>
  </si>
  <si>
    <t>Mrs Yohanna Paulina</t>
  </si>
  <si>
    <t>MR CHARLES</t>
  </si>
  <si>
    <t>13/05/2023</t>
  </si>
  <si>
    <t>SL0004</t>
  </si>
  <si>
    <t>BP-C0012</t>
  </si>
  <si>
    <t>Mr Apiafi Imiebam</t>
  </si>
  <si>
    <t>17/05/2023</t>
  </si>
  <si>
    <t>SL0005</t>
  </si>
  <si>
    <t>BP-C0013</t>
  </si>
  <si>
    <t>Mr Tijani Moshood Abiola</t>
  </si>
  <si>
    <t>30/05/2023</t>
  </si>
  <si>
    <t>SL0006</t>
  </si>
  <si>
    <t>2023-06</t>
  </si>
  <si>
    <t>BP-C0015</t>
  </si>
  <si>
    <t>Mr Damilare Ositade Owolabi</t>
  </si>
  <si>
    <t>IDARA EKANEMI</t>
  </si>
  <si>
    <t>15/06/2023</t>
  </si>
  <si>
    <t>SL0007</t>
  </si>
  <si>
    <t>2023-08</t>
  </si>
  <si>
    <t>BP-C0019</t>
  </si>
  <si>
    <t>Mr Ogbu Pius Ejaka</t>
  </si>
  <si>
    <t>MS BLESSING</t>
  </si>
  <si>
    <t>14/08/2023</t>
  </si>
  <si>
    <t>MS MAYOWA BRAIMOH r19</t>
  </si>
  <si>
    <t>SL0008</t>
  </si>
  <si>
    <t>BP-C0021</t>
  </si>
  <si>
    <t>Mr Oyewusi sheriff Oyewole</t>
  </si>
  <si>
    <t>MS BOLANLE</t>
  </si>
  <si>
    <t>23/08/2023</t>
  </si>
  <si>
    <t>SL0009</t>
  </si>
  <si>
    <t>2023-09</t>
  </si>
  <si>
    <t>BP-C0025</t>
  </si>
  <si>
    <t>Mrs Obadara Dorcas Adebisi</t>
  </si>
  <si>
    <t>NELSON</t>
  </si>
  <si>
    <t>2023-04-09</t>
  </si>
  <si>
    <t>SL0010</t>
  </si>
  <si>
    <t>BP-C0026</t>
  </si>
  <si>
    <t>Mr Adebayo Dada</t>
  </si>
  <si>
    <t>15/09/2023</t>
  </si>
  <si>
    <t>SL0011</t>
  </si>
  <si>
    <t>BP-C0027</t>
  </si>
  <si>
    <t>Mr Edun Ayobami Simeon</t>
  </si>
  <si>
    <t>21/09/2023</t>
  </si>
  <si>
    <t>OLAIYA r7</t>
  </si>
  <si>
    <t>SL0012</t>
  </si>
  <si>
    <t>BP-C0018</t>
  </si>
  <si>
    <t>Mr Sunday Gideon</t>
  </si>
  <si>
    <t>SL0013</t>
  </si>
  <si>
    <t>BP-C0028</t>
  </si>
  <si>
    <t>Mr Adebanjo Isaac</t>
  </si>
  <si>
    <t>28/09/2023</t>
  </si>
  <si>
    <t>SL0014</t>
  </si>
  <si>
    <t>SL0015</t>
  </si>
  <si>
    <t>SL0016</t>
  </si>
  <si>
    <t>2023-10</t>
  </si>
  <si>
    <t>BP-C0030</t>
  </si>
  <si>
    <t>Mr Akorede Adese</t>
  </si>
  <si>
    <t>2023-03-10</t>
  </si>
  <si>
    <t>SL0017</t>
  </si>
  <si>
    <t>SL0018</t>
  </si>
  <si>
    <t>BP-C0029</t>
  </si>
  <si>
    <t>Mr Ohanehi Anthony</t>
  </si>
  <si>
    <t>MS IMMACULATE</t>
  </si>
  <si>
    <t>SL0019</t>
  </si>
  <si>
    <t>BP-C0008</t>
  </si>
  <si>
    <t>Mr Roqeeb Rasaq Adebare</t>
  </si>
  <si>
    <t>SL0020</t>
  </si>
  <si>
    <t>SL0021</t>
  </si>
  <si>
    <t>Mr &amp; Mrs Adebayo Dada</t>
  </si>
  <si>
    <t>2023-06-10</t>
  </si>
  <si>
    <t>SL0022</t>
  </si>
  <si>
    <t>SL0023</t>
  </si>
  <si>
    <t>2023-10-10</t>
  </si>
  <si>
    <t>SL0024</t>
  </si>
  <si>
    <t>BP-C0033</t>
  </si>
  <si>
    <t>Mr Olumoko Oladapo Oluwaseun</t>
  </si>
  <si>
    <t>2023-12-10</t>
  </si>
  <si>
    <t>MS BOLANLE r12</t>
  </si>
  <si>
    <t>SL0025</t>
  </si>
  <si>
    <t>BP-C0034</t>
  </si>
  <si>
    <t>Mrs Ndubuisi Ujunwa</t>
  </si>
  <si>
    <t>SL0026</t>
  </si>
  <si>
    <t>20/10/2023</t>
  </si>
  <si>
    <t>SL0027</t>
  </si>
  <si>
    <t>23/10/2023</t>
  </si>
  <si>
    <t>OLAIYA r8</t>
  </si>
  <si>
    <t>SL0028</t>
  </si>
  <si>
    <t>27/10/2023</t>
  </si>
  <si>
    <t>MS BOLANLE r13</t>
  </si>
  <si>
    <t>SL0029</t>
  </si>
  <si>
    <t>BP-C0036</t>
  </si>
  <si>
    <t>Mr Ohumende Paul Osaze</t>
  </si>
  <si>
    <t>28/10/2023</t>
  </si>
  <si>
    <t>SL0030</t>
  </si>
  <si>
    <t>29/10/2023</t>
  </si>
  <si>
    <t>SL0031</t>
  </si>
  <si>
    <t>BP-C0038</t>
  </si>
  <si>
    <t>Okeizie Ifeoma Mandy</t>
  </si>
  <si>
    <t>MS CELINA</t>
  </si>
  <si>
    <t>SL0032</t>
  </si>
  <si>
    <t>BP-C0040</t>
  </si>
  <si>
    <t>Bassey Christopher</t>
  </si>
  <si>
    <t>30/10/2023</t>
  </si>
  <si>
    <t>SL0033</t>
  </si>
  <si>
    <t>SL0034</t>
  </si>
  <si>
    <t>SL0035</t>
  </si>
  <si>
    <t>BP-C0039</t>
  </si>
  <si>
    <t>Mr Alabi Abdulazeez</t>
  </si>
  <si>
    <t>SL0036</t>
  </si>
  <si>
    <t>Mr Ohanehi Anthony Chukwunonso</t>
  </si>
  <si>
    <t>SL0037</t>
  </si>
  <si>
    <t>SL0038</t>
  </si>
  <si>
    <t>SL0039</t>
  </si>
  <si>
    <t>2023-11</t>
  </si>
  <si>
    <t>2023-02-11</t>
  </si>
  <si>
    <t>SL0040</t>
  </si>
  <si>
    <t>BP-C0042</t>
  </si>
  <si>
    <t>Alhaji Gbadamosi Mohammad</t>
  </si>
  <si>
    <t>OLUWATOBIJUWON</t>
  </si>
  <si>
    <t>2023-03-11</t>
  </si>
  <si>
    <t>SL0041</t>
  </si>
  <si>
    <t>2023-09-11</t>
  </si>
  <si>
    <t>SL0042</t>
  </si>
  <si>
    <t>BP-C0044</t>
  </si>
  <si>
    <t>Mr Babajide Oluwase</t>
  </si>
  <si>
    <t>SL0043</t>
  </si>
  <si>
    <t>BP-C0043</t>
  </si>
  <si>
    <t>Mrs Oladiran Omolola</t>
  </si>
  <si>
    <t>MR PELUMI</t>
  </si>
  <si>
    <t>SL0044</t>
  </si>
  <si>
    <t>BP-C0045</t>
  </si>
  <si>
    <t>Mr Bolarinwa Iyanuoluwa Simon &amp; Dr Bolarinwa Abisola Christianah</t>
  </si>
  <si>
    <t>15/11/2023</t>
  </si>
  <si>
    <t>SL0045</t>
  </si>
  <si>
    <t>16/11/2023</t>
  </si>
  <si>
    <t>OLAIYA r9</t>
  </si>
  <si>
    <t>SL0046</t>
  </si>
  <si>
    <t>BP-C0046</t>
  </si>
  <si>
    <t>Mr Adesida Raphael Abiodun</t>
  </si>
  <si>
    <t>21/11/2023</t>
  </si>
  <si>
    <t>SL0047</t>
  </si>
  <si>
    <t>BP-C0047</t>
  </si>
  <si>
    <t>Ms Paulina Kehinde Akhere George</t>
  </si>
  <si>
    <t>24/11/2023</t>
  </si>
  <si>
    <t>SL0048</t>
  </si>
  <si>
    <t>25/11/2023</t>
  </si>
  <si>
    <t>SL0049</t>
  </si>
  <si>
    <t>29/11/2023</t>
  </si>
  <si>
    <t>SL0050</t>
  </si>
  <si>
    <t>SL0051</t>
  </si>
  <si>
    <t>2023-12</t>
  </si>
  <si>
    <t>Single register</t>
  </si>
  <si>
    <t>Primary: monthly turnover register</t>
  </si>
  <si>
    <t>DECEMBER 2023 TURNOVER</t>
  </si>
  <si>
    <t>2023-01-12</t>
  </si>
  <si>
    <t>TURNOVER SCHEDULE r10</t>
  </si>
  <si>
    <t>SL0052</t>
  </si>
  <si>
    <t>2023-04-12</t>
  </si>
  <si>
    <t>TURNOVER SCHEDULE r119</t>
  </si>
  <si>
    <t>SL0053</t>
  </si>
  <si>
    <t>TURNOVER SCHEDULE r212</t>
  </si>
  <si>
    <t>SL0054</t>
  </si>
  <si>
    <t>2023-06-12</t>
  </si>
  <si>
    <t>TURNOVER SCHEDULE r196</t>
  </si>
  <si>
    <t>SL0055</t>
  </si>
  <si>
    <t>BP-C0048</t>
  </si>
  <si>
    <t>Mr Araokonmi Sodiq</t>
  </si>
  <si>
    <t>2023-08-12</t>
  </si>
  <si>
    <t>TURNOVER SCHEDULE r123, MS YETUNDE ABISOYE r7</t>
  </si>
  <si>
    <t>SL0056</t>
  </si>
  <si>
    <t>2023-10-12</t>
  </si>
  <si>
    <t>TURNOVER SCHEDULE r199</t>
  </si>
  <si>
    <t>SL0057</t>
  </si>
  <si>
    <t>TURNOVER SCHEDULE r213</t>
  </si>
  <si>
    <t>SL0058</t>
  </si>
  <si>
    <t>BP-C0049</t>
  </si>
  <si>
    <t>Mr Ali Ifesinachi Innocent</t>
  </si>
  <si>
    <t>2023-11-12</t>
  </si>
  <si>
    <t>TURNOVER SCHEDULE r209</t>
  </si>
  <si>
    <t>SL0059</t>
  </si>
  <si>
    <t>18/12/2023</t>
  </si>
  <si>
    <t>TURNOVER SCHEDULE r13</t>
  </si>
  <si>
    <t>SL0060</t>
  </si>
  <si>
    <t>19/12/2023</t>
  </si>
  <si>
    <t>TURNOVER SCHEDULE r14</t>
  </si>
  <si>
    <t>SL0061</t>
  </si>
  <si>
    <t>20/12/2023</t>
  </si>
  <si>
    <t>TURNOVER SCHEDULE r157, MS BOLANLE r14</t>
  </si>
  <si>
    <t>SL0062</t>
  </si>
  <si>
    <t>BP-C0051</t>
  </si>
  <si>
    <t>Mr Olumide Ogunleye</t>
  </si>
  <si>
    <t>21/12/2023</t>
  </si>
  <si>
    <t>TURNOVER SCHEDULE r41</t>
  </si>
  <si>
    <t>SL0063</t>
  </si>
  <si>
    <t>23/12/2023</t>
  </si>
  <si>
    <t>TURNOVER SCHEDULE r205</t>
  </si>
  <si>
    <t>SL0064</t>
  </si>
  <si>
    <t>BP-C0052</t>
  </si>
  <si>
    <t>Ms Okorejior Ojoma Lilian</t>
  </si>
  <si>
    <t>TURNOVER SCHEDULE r73, MS IMMACULATE r13</t>
  </si>
  <si>
    <t>SL0065</t>
  </si>
  <si>
    <t>24/12/2023</t>
  </si>
  <si>
    <t>TURNOVER SCHEDULE r206</t>
  </si>
  <si>
    <t>SL0066</t>
  </si>
  <si>
    <t>BP-C0053</t>
  </si>
  <si>
    <t>Mr Adegbembo  Stephen Oluwagbemiga</t>
  </si>
  <si>
    <t>26/12/2023</t>
  </si>
  <si>
    <t>TURNOVER SCHEDULE r82</t>
  </si>
  <si>
    <t>SL0067</t>
  </si>
  <si>
    <t>BP-C0055</t>
  </si>
  <si>
    <t>Mr Ademola Adeniji</t>
  </si>
  <si>
    <t>28/12/2023</t>
  </si>
  <si>
    <t>TURNOVER SCHEDULE r35</t>
  </si>
  <si>
    <t>SL0068</t>
  </si>
  <si>
    <t>BP-C0054</t>
  </si>
  <si>
    <t>Mr Ademola Adeniyi</t>
  </si>
  <si>
    <t>TURNOVER SCHEDULE r88, MRS ABIMBOLA r9</t>
  </si>
  <si>
    <t>SL0069</t>
  </si>
  <si>
    <t>Mr Olasupo Oladimeji Muritala</t>
  </si>
  <si>
    <t>TURNOVER SCHEDULE r26, MRS ABIMBOLA r14</t>
  </si>
  <si>
    <t>SL0070</t>
  </si>
  <si>
    <t>BP-C0056</t>
  </si>
  <si>
    <t>Mr Adeuti Olanrewaju Babatunde</t>
  </si>
  <si>
    <t>29/12/2023</t>
  </si>
  <si>
    <t>TURNOVER SCHEDULE r77, MRS ABIMBOLA r20</t>
  </si>
  <si>
    <t>SL0071</t>
  </si>
  <si>
    <t>TURNOVER SCHEDULE r19</t>
  </si>
  <si>
    <t>SL0072</t>
  </si>
  <si>
    <t>TURNOVER SCHEDULE r165</t>
  </si>
  <si>
    <t>SL0073</t>
  </si>
  <si>
    <t>BP-C0057</t>
  </si>
  <si>
    <t>Mr Oniyide Olalouwa Blessing</t>
  </si>
  <si>
    <t>TURNOVER SCHEDULE r68</t>
  </si>
  <si>
    <t>SL0074</t>
  </si>
  <si>
    <t>BP-C0050</t>
  </si>
  <si>
    <t>Mr Patrick Atuanya Jideovo</t>
  </si>
  <si>
    <t>30/12/2023</t>
  </si>
  <si>
    <t>TURNOVER SCHEDULE r142, MS YETUNDE ABISOYE r11</t>
  </si>
  <si>
    <t>SL0075</t>
  </si>
  <si>
    <t>BP-C0059</t>
  </si>
  <si>
    <t>Chief Elochukwu Onyemelukwe</t>
  </si>
  <si>
    <t>31/12/2023</t>
  </si>
  <si>
    <t>TURNOVER SCHEDULE r136</t>
  </si>
  <si>
    <t>SL0076</t>
  </si>
  <si>
    <t>2024-01</t>
  </si>
  <si>
    <t>JANUARY TURNOVER</t>
  </si>
  <si>
    <t>2024-01-01</t>
  </si>
  <si>
    <t>TURNOVER SCHEDULE r170</t>
  </si>
  <si>
    <t>SL0077</t>
  </si>
  <si>
    <t>BP-C0060</t>
  </si>
  <si>
    <t>Ms. Mitchell Jennifer</t>
  </si>
  <si>
    <t>TURNOVER SCHEDULE r55</t>
  </si>
  <si>
    <t>SL0078</t>
  </si>
  <si>
    <t>2024-02-01</t>
  </si>
  <si>
    <t>TURNOVER SCHEDULE r128, OLAIYA r10</t>
  </si>
  <si>
    <t>SL0079</t>
  </si>
  <si>
    <t>2024-03-01</t>
  </si>
  <si>
    <t>TURNOVER SCHEDULE r184</t>
  </si>
  <si>
    <t>SL0080</t>
  </si>
  <si>
    <t>TURNOVER SCHEDULE r185</t>
  </si>
  <si>
    <t>SL0081</t>
  </si>
  <si>
    <t>BP-C0061</t>
  </si>
  <si>
    <t>Mr Ogunkoya Emmanuel Olatunji</t>
  </si>
  <si>
    <t>2024-05-01</t>
  </si>
  <si>
    <t>TURNOVER SCHEDULE r92</t>
  </si>
  <si>
    <t>SL0082</t>
  </si>
  <si>
    <t>BP-C0017</t>
  </si>
  <si>
    <t>Mr John Adeleye Taiwo</t>
  </si>
  <si>
    <t>15/01/2024</t>
  </si>
  <si>
    <t>TURNOVER SCHEDULE r61</t>
  </si>
  <si>
    <t>SL0083</t>
  </si>
  <si>
    <t>17/01/2024</t>
  </si>
  <si>
    <t>TURNOVER SCHEDULE r200</t>
  </si>
  <si>
    <t>SL0084</t>
  </si>
  <si>
    <t>TURNOVER SCHEDULE r129, OLAIYA r11</t>
  </si>
  <si>
    <t>SL0085</t>
  </si>
  <si>
    <t>18/01/2024</t>
  </si>
  <si>
    <t>TURNOVER SCHEDULE r62</t>
  </si>
  <si>
    <t>SL0086</t>
  </si>
  <si>
    <t>TURNOVER SCHEDULE r42</t>
  </si>
  <si>
    <t>SL0087</t>
  </si>
  <si>
    <t>23/01/2024</t>
  </si>
  <si>
    <t>TURNOVER SCHEDULE r190</t>
  </si>
  <si>
    <t>SL0088</t>
  </si>
  <si>
    <t>24/01/2024</t>
  </si>
  <si>
    <t>TURNOVER SCHEDULE r137</t>
  </si>
  <si>
    <t>SL0089</t>
  </si>
  <si>
    <t>TURNOVER SCHEDULE r171</t>
  </si>
  <si>
    <t>SL0090</t>
  </si>
  <si>
    <t>TURNOVER SCHEDULE r78, MRS ABIMBOLA r21</t>
  </si>
  <si>
    <t>SL0091</t>
  </si>
  <si>
    <t>TURNOVER SCHEDULE r69</t>
  </si>
  <si>
    <t>SL0092</t>
  </si>
  <si>
    <t>26/01/2024</t>
  </si>
  <si>
    <t>TURNOVER SCHEDULE r83</t>
  </si>
  <si>
    <t>SL0093</t>
  </si>
  <si>
    <t>TURNOVER SCHEDULE r63</t>
  </si>
  <si>
    <t>SL0094</t>
  </si>
  <si>
    <t>29/01/2024</t>
  </si>
  <si>
    <t>TURNOVER SCHEDULE r36</t>
  </si>
  <si>
    <t>SL0095</t>
  </si>
  <si>
    <t>TURNOVER SCHEDULE r89, MRS ABIMBOLA r10</t>
  </si>
  <si>
    <t>SL0096</t>
  </si>
  <si>
    <t>TURNOVER SCHEDULE r64</t>
  </si>
  <si>
    <t>SL0097</t>
  </si>
  <si>
    <t>TURNOVER SCHEDULE r20</t>
  </si>
  <si>
    <t>SL0098</t>
  </si>
  <si>
    <t>31/01/2024</t>
  </si>
  <si>
    <t>TURNOVER SCHEDULE r27</t>
  </si>
  <si>
    <t>SL0099</t>
  </si>
  <si>
    <t>TURNOVER SCHEDULE r143, MS YETUNDE ABISOYE r12</t>
  </si>
  <si>
    <t>SL0100</t>
  </si>
  <si>
    <t>2024-02</t>
  </si>
  <si>
    <t>FEBRUARY TURNOVER</t>
  </si>
  <si>
    <t>2024-01-02</t>
  </si>
  <si>
    <t>TURNOVER SCHEDULE r93</t>
  </si>
  <si>
    <t>SL0101</t>
  </si>
  <si>
    <t>TURNOVER SCHEDULE r144, MS YETUNDE ABISOYE r13</t>
  </si>
  <si>
    <t>SL0102</t>
  </si>
  <si>
    <t>TURNOVER SCHEDULE r56</t>
  </si>
  <si>
    <t>SL0103</t>
  </si>
  <si>
    <t>BP-C0062</t>
  </si>
  <si>
    <t>Mr Agbaje Christopher Usiola</t>
  </si>
  <si>
    <t>2024-02-02</t>
  </si>
  <si>
    <t>TURNOVER SCHEDULE r101</t>
  </si>
  <si>
    <t>SL0104</t>
  </si>
  <si>
    <t>TURNOVER SCHEDULE r65</t>
  </si>
  <si>
    <t>SL0105</t>
  </si>
  <si>
    <t>TURNOVER SCHEDULE r28, MRS ABIMBOLA r16</t>
  </si>
  <si>
    <t>SL0106</t>
  </si>
  <si>
    <t>BP-C0063</t>
  </si>
  <si>
    <t>Mr Omodara Adewale</t>
  </si>
  <si>
    <t>2024-03-02</t>
  </si>
  <si>
    <t>TURNOVER SCHEDULE r95, MS TAIWO r7</t>
  </si>
  <si>
    <t>SL0107</t>
  </si>
  <si>
    <t>2024-05-02</t>
  </si>
  <si>
    <t>TURNOVER SCHEDULE r120</t>
  </si>
  <si>
    <t>SL0108</t>
  </si>
  <si>
    <t>BP-C0064</t>
  </si>
  <si>
    <t>Mr Okosun Damian Ehimen</t>
  </si>
  <si>
    <t>2024-06-02</t>
  </si>
  <si>
    <t>TURNOVER SCHEDULE r103, MS BOLANLE r21</t>
  </si>
  <si>
    <t>SL0109</t>
  </si>
  <si>
    <t>TURNOVER SCHEDULE r70</t>
  </si>
  <si>
    <t>SL0110</t>
  </si>
  <si>
    <t>BP-C0065</t>
  </si>
  <si>
    <t>Mr Yusuf Saheed Taiwo</t>
  </si>
  <si>
    <t>TURNOVER SCHEDULE r108</t>
  </si>
  <si>
    <t>SL0111</t>
  </si>
  <si>
    <t>Mr Atuanya Patrick Jideovo</t>
  </si>
  <si>
    <t>2024-09-02</t>
  </si>
  <si>
    <t>TURNOVER SCHEDULE r145, MS YETUNDE ABISOYE r17</t>
  </si>
  <si>
    <t>SL0112</t>
  </si>
  <si>
    <t>2024-11-02</t>
  </si>
  <si>
    <t>TURNOVER SCHEDULE r29, MRS ABIMBOLA r26</t>
  </si>
  <si>
    <t>SL0113</t>
  </si>
  <si>
    <t>2024-12-02</t>
  </si>
  <si>
    <t>TURNOVER SCHEDULE r110, MS BOLANLE r18</t>
  </si>
  <si>
    <t>SL0114</t>
  </si>
  <si>
    <t>Chief Onyemelukwe Elochukwu George</t>
  </si>
  <si>
    <t>19/02/2024</t>
  </si>
  <si>
    <t>TURNOVER SCHEDULE r138, MRS ABIMBOLA r27</t>
  </si>
  <si>
    <t>SL0115</t>
  </si>
  <si>
    <t>Mr Damian Okosun</t>
  </si>
  <si>
    <t>TURNOVER SCHEDULE r104, MS BOLANLE r22</t>
  </si>
  <si>
    <t>SL0116</t>
  </si>
  <si>
    <t>Mr Adeuti Babatunde Olanrewaju</t>
  </si>
  <si>
    <t>21/02/2024</t>
  </si>
  <si>
    <t>TURNOVER SCHEDULE r79, MRS ABIMBOLA r28</t>
  </si>
  <si>
    <t>SL0117</t>
  </si>
  <si>
    <t>22/02/2024</t>
  </si>
  <si>
    <t>TURNOVER SCHEDULE r80, MRS ABIMBOLA r29</t>
  </si>
  <si>
    <t>SL0118</t>
  </si>
  <si>
    <t>TURNOVER SCHEDULE r191, MD r27</t>
  </si>
  <si>
    <t>SL0119</t>
  </si>
  <si>
    <t>Mr Adegbembo Stephen Oluwagbemiga</t>
  </si>
  <si>
    <t>23/02/2024</t>
  </si>
  <si>
    <t>TURNOVER SCHEDULE r84</t>
  </si>
  <si>
    <t>SL0120</t>
  </si>
  <si>
    <t>25/02/2024</t>
  </si>
  <si>
    <t>TURNOVER SCHEDULE r130, MRS ABIMBOLA r80</t>
  </si>
  <si>
    <t>SL0121</t>
  </si>
  <si>
    <t>Mr Adesida Raphael</t>
  </si>
  <si>
    <t>26/02/2024</t>
  </si>
  <si>
    <t>TURNOVER SCHEDULE r172</t>
  </si>
  <si>
    <t>SL0122</t>
  </si>
  <si>
    <t>BP-C0067</t>
  </si>
  <si>
    <t>Mr Odje Theophilus Bamidele</t>
  </si>
  <si>
    <t>TURNOVER SCHEDULE r221, MR PRAISE r2</t>
  </si>
  <si>
    <t>SL0123</t>
  </si>
  <si>
    <t>TURNOVER SCHEDULE r96, MS TAIWO r13</t>
  </si>
  <si>
    <t>SL0124</t>
  </si>
  <si>
    <t>TURNOVER SCHEDULE r71</t>
  </si>
  <si>
    <t>SL0125</t>
  </si>
  <si>
    <t>Mr Rasaq Roqeeb Adebare</t>
  </si>
  <si>
    <t>TURNOVER SCHEDULE r186</t>
  </si>
  <si>
    <t>SL0126</t>
  </si>
  <si>
    <t>27/02/2024</t>
  </si>
  <si>
    <t>TURNOVER SCHEDULE r173</t>
  </si>
  <si>
    <t>SL0127</t>
  </si>
  <si>
    <t>28/02/2024</t>
  </si>
  <si>
    <t>TURNOVER SCHEDULE r21, MS IMMACULATE r16</t>
  </si>
  <si>
    <t>SL0128</t>
  </si>
  <si>
    <t>2024-03</t>
  </si>
  <si>
    <t>MARCH TURNOVER</t>
  </si>
  <si>
    <t>2024-01-03</t>
  </si>
  <si>
    <t>TURNOVER SCHEDULE r90, MRS ABIMBOLA r36</t>
  </si>
  <si>
    <t>SL0129</t>
  </si>
  <si>
    <t>TURNOVER SCHEDULE r105, MS BOLANLE r32</t>
  </si>
  <si>
    <t>SL0130</t>
  </si>
  <si>
    <t>TURNOVER SCHEDULE r187</t>
  </si>
  <si>
    <t>SL0131</t>
  </si>
  <si>
    <t>Miss Oji Blessing</t>
  </si>
  <si>
    <t>3034-02-03</t>
  </si>
  <si>
    <t>Year typed as 3034 in source (3034-02-03); corrected to 2024 from the sheet month</t>
  </si>
  <si>
    <t>SL0132</t>
  </si>
  <si>
    <t>Ms Mitchell jennifer</t>
  </si>
  <si>
    <t>2024-03-03</t>
  </si>
  <si>
    <t>TURNOVER SCHEDULE r57</t>
  </si>
  <si>
    <t>SL0133</t>
  </si>
  <si>
    <t>BP-C0066</t>
  </si>
  <si>
    <t>Omosanya Dotun Akeju</t>
  </si>
  <si>
    <t>TURNOVER SCHEDULE r217, MS BOLANLE r34, MS BLESSING OJI r3</t>
  </si>
  <si>
    <t>SL0134</t>
  </si>
  <si>
    <t>2024-04-03</t>
  </si>
  <si>
    <t>TURNOVER SCHEDULE r30, MRS ABIMBOLA r37</t>
  </si>
  <si>
    <t>SL0135</t>
  </si>
  <si>
    <t>Adese Akorede John</t>
  </si>
  <si>
    <t>2024-05-03</t>
  </si>
  <si>
    <t>TURNOVER SCHEDULE r286</t>
  </si>
  <si>
    <t>SL0136</t>
  </si>
  <si>
    <t>BP-C0069</t>
  </si>
  <si>
    <t>Mr Agbaje Christopher Usiala</t>
  </si>
  <si>
    <t>2024-06-03</t>
  </si>
  <si>
    <t>SL0137</t>
  </si>
  <si>
    <t>BP-C0070</t>
  </si>
  <si>
    <t>Mr Ayodeji Adeogun Daniel</t>
  </si>
  <si>
    <t>TURNOVER SCHEDULE r223, MS TAIWO r19, MR ADEWALE OMODARA r2</t>
  </si>
  <si>
    <t>SL0138</t>
  </si>
  <si>
    <t>TURNOVER SCHEDULE r97, MS TAIWO r20</t>
  </si>
  <si>
    <t>SL0139</t>
  </si>
  <si>
    <t>BP-C0071</t>
  </si>
  <si>
    <t>Miss Oyebola Moyosoreoluwa Boluwatife</t>
  </si>
  <si>
    <t>2024-08-03</t>
  </si>
  <si>
    <t>TURNOVER SCHEDULE r228, MR AYOMIDE r2</t>
  </si>
  <si>
    <t>SL0140</t>
  </si>
  <si>
    <t>BP-C0072</t>
  </si>
  <si>
    <t>Mr Oyebola Ajibola Ayobami</t>
  </si>
  <si>
    <t>TURNOVER SCHEDULE r236, MR AYOMIDE r4</t>
  </si>
  <si>
    <t>SL0141</t>
  </si>
  <si>
    <t>BP-C0073</t>
  </si>
  <si>
    <t>Mr Oyebola Temiloluwa Olayinka</t>
  </si>
  <si>
    <t>TURNOVER SCHEDULE r232, MR AYOMIDE r3</t>
  </si>
  <si>
    <t>SL0142</t>
  </si>
  <si>
    <t>TURNOVER SCHEDULE r283</t>
  </si>
  <si>
    <t>SL0143</t>
  </si>
  <si>
    <t>BP-C0074</t>
  </si>
  <si>
    <t>Mrs Oloniluyi Victoria</t>
  </si>
  <si>
    <t>TURNOVER SCHEDULE r280, MRS AGBAJE r2, MD r8</t>
  </si>
  <si>
    <t>SL0144</t>
  </si>
  <si>
    <t>Mr Olumoko Oladapo</t>
  </si>
  <si>
    <t>2024-09-03</t>
  </si>
  <si>
    <t>TURNOVER SCHEDULE r159, MS BOLANLE r16</t>
  </si>
  <si>
    <t>SL0145</t>
  </si>
  <si>
    <t>BP-C0075</t>
  </si>
  <si>
    <t>Ogidan Funmilayo</t>
  </si>
  <si>
    <t>TURNOVER SCHEDULE r269, OGIDAN r2</t>
  </si>
  <si>
    <t>SL0146</t>
  </si>
  <si>
    <t>BP-C0076</t>
  </si>
  <si>
    <t>Ojo Ayomide Babatunde</t>
  </si>
  <si>
    <t>TURNOVER SCHEDULE r255</t>
  </si>
  <si>
    <t>SL0147</t>
  </si>
  <si>
    <t>BP-C0077</t>
  </si>
  <si>
    <t>Mr Uebari Sorbari Godwin</t>
  </si>
  <si>
    <t>2024-10-03</t>
  </si>
  <si>
    <t>TURNOVER SCHEDULE r304, MS ELIZABETH r24</t>
  </si>
  <si>
    <t>SL0148</t>
  </si>
  <si>
    <t>BP-C0078</t>
  </si>
  <si>
    <t>Miss Bingham Kendra</t>
  </si>
  <si>
    <t>2024-11-03</t>
  </si>
  <si>
    <t>TURNOVER SCHEDULE r240, MRS ABIMBOLA r48</t>
  </si>
  <si>
    <t>SL0149</t>
  </si>
  <si>
    <t>TURNOVER SCHEDULE r245, MRS ABIMBOLA r49</t>
  </si>
  <si>
    <t>SL0150</t>
  </si>
  <si>
    <t>TURNOVER SCHEDULE r224, MS TAIWO r21, MR ADEWALE OMODARA r3</t>
  </si>
  <si>
    <t>SL0151</t>
  </si>
  <si>
    <t>TURNOVER SCHEDULE r31, MRS ABIMBOLA r38</t>
  </si>
  <si>
    <t>SL0152</t>
  </si>
  <si>
    <t>BP-C0079</t>
  </si>
  <si>
    <t>Ukachi Florence Oluchi</t>
  </si>
  <si>
    <t>TURNOVER SCHEDULE r250, MS FEYI r2</t>
  </si>
  <si>
    <t>SL0153</t>
  </si>
  <si>
    <t>BP-C0080</t>
  </si>
  <si>
    <t>Dr Ayansola Jeremiah Funso</t>
  </si>
  <si>
    <t>2024-12-03</t>
  </si>
  <si>
    <t>TURNOVER SCHEDULE r298, MR JUWON r8</t>
  </si>
  <si>
    <t>SL0154</t>
  </si>
  <si>
    <t>Mr Atuanya Patrick Jidevo</t>
  </si>
  <si>
    <t>TURNOVER SCHEDULE r146, MS YETUNDE ABISOYE r24</t>
  </si>
  <si>
    <t>SL0155</t>
  </si>
  <si>
    <t>TURNOVER SCHEDULE r225, MS TAIWO r22, MR ADEWALE OMODARA r4</t>
  </si>
  <si>
    <t>SL0156</t>
  </si>
  <si>
    <t>BP-C0081</t>
  </si>
  <si>
    <t>Mr Ukachi Godfrey Ndukaku</t>
  </si>
  <si>
    <t>TURNOVER SCHEDULE r275, MS FEYI r3</t>
  </si>
  <si>
    <t>SL0157</t>
  </si>
  <si>
    <t>BP-C0082</t>
  </si>
  <si>
    <t>Mrs Olarewaju Remilekun Mary</t>
  </si>
  <si>
    <t>TURNOVER SCHEDULE r319, MR JUWON r2</t>
  </si>
  <si>
    <t>SL0158</t>
  </si>
  <si>
    <t>13/03/2024</t>
  </si>
  <si>
    <t>TURNOVER SCHEDULE r32, MRS ABIMBOLA r39</t>
  </si>
  <si>
    <t>SL0159</t>
  </si>
  <si>
    <t>BP-C0083</t>
  </si>
  <si>
    <t>Mrs Yohanna Victoria</t>
  </si>
  <si>
    <t>14/03/2024</t>
  </si>
  <si>
    <t>SL0160</t>
  </si>
  <si>
    <t>15/03/2024</t>
  </si>
  <si>
    <t>TURNOVER SCHEDULE r121</t>
  </si>
  <si>
    <t>SL0161</t>
  </si>
  <si>
    <t>16/03/2024</t>
  </si>
  <si>
    <t>MD r20</t>
  </si>
  <si>
    <t>SL0162</t>
  </si>
  <si>
    <t>Mr Ogunleye Olumide</t>
  </si>
  <si>
    <t>TURNOVER SCHEDULE r44</t>
  </si>
  <si>
    <t>SL0163</t>
  </si>
  <si>
    <t>TURNOVER SCHEDULE r51</t>
  </si>
  <si>
    <t>SL0164</t>
  </si>
  <si>
    <t>20/03/2024</t>
  </si>
  <si>
    <t>TURNOVER SCHEDULE r147, MS YETUNDE ABISOYE r31</t>
  </si>
  <si>
    <t>SL0165</t>
  </si>
  <si>
    <t>21/03/2024</t>
  </si>
  <si>
    <t>TURNOVER SCHEDULE r229, MR AYOMIDE r5</t>
  </si>
  <si>
    <t>SL0166</t>
  </si>
  <si>
    <t>TURNOVER SCHEDULE r33, MRS ABIMBOLA r40</t>
  </si>
  <si>
    <t>SL0167</t>
  </si>
  <si>
    <t>TURNOVER SCHEDULE r237, MR AYOMIDE r7</t>
  </si>
  <si>
    <t>SL0168</t>
  </si>
  <si>
    <t>TURNOVER SCHEDULE r233, MR AYOMIDE r6</t>
  </si>
  <si>
    <t>SL0169</t>
  </si>
  <si>
    <t>Mr Adegbembo Stephen</t>
  </si>
  <si>
    <t>22/03/2024</t>
  </si>
  <si>
    <t>TURNOVER SCHEDULE r85</t>
  </si>
  <si>
    <t>SL0170</t>
  </si>
  <si>
    <t>25/03/2024</t>
  </si>
  <si>
    <t>TURNOVER SCHEDULE r174, MD r31</t>
  </si>
  <si>
    <t>SL0171</t>
  </si>
  <si>
    <t>TURNOVER SCHEDULE r308, MS BLESSING r28</t>
  </si>
  <si>
    <t>SL0172</t>
  </si>
  <si>
    <t>BP-C0085</t>
  </si>
  <si>
    <t>Mr Ayokunu Adegbayemu</t>
  </si>
  <si>
    <t>SL0173</t>
  </si>
  <si>
    <t>Mr John Taiwo Adeleye</t>
  </si>
  <si>
    <t>25/03/2023</t>
  </si>
  <si>
    <t>Year typed as 2023 in source (25/03/2023); corrected to 2024 from the sheet month</t>
  </si>
  <si>
    <t>SL0174</t>
  </si>
  <si>
    <t>BP-C0086</t>
  </si>
  <si>
    <t>Miss Nwobodo Miriam Chioma</t>
  </si>
  <si>
    <t>26/03/2024</t>
  </si>
  <si>
    <t>TURNOVER SCHEDULE r314, MD r9</t>
  </si>
  <si>
    <t>SL0175</t>
  </si>
  <si>
    <t>TURNOVER SCHEDULE r175, MD r32</t>
  </si>
  <si>
    <t>SL0176</t>
  </si>
  <si>
    <t>TURNOVER SCHEDULE r256</t>
  </si>
  <si>
    <t>SL0177</t>
  </si>
  <si>
    <t>BP-C0068</t>
  </si>
  <si>
    <t>Miss Ebhotah Sharon Aisosa</t>
  </si>
  <si>
    <t>28/03/2024</t>
  </si>
  <si>
    <t>TURNOVER SCHEDULE r259</t>
  </si>
  <si>
    <t>SL0178</t>
  </si>
  <si>
    <t>TURNOVER SCHEDULE r218, MS BOLANLE r36, MS BLESSING OJI r7</t>
  </si>
  <si>
    <t>SL0179</t>
  </si>
  <si>
    <t>30/03/2024</t>
  </si>
  <si>
    <t>TURNOVER SCHEDULE r131, MRS ABIMBOLA r81</t>
  </si>
  <si>
    <t>SL0180</t>
  </si>
  <si>
    <t>Mr Ohanehi Anthony Patrick</t>
  </si>
  <si>
    <t>TURNOVER SCHEDULE r22, MS IMMACULATE r24</t>
  </si>
  <si>
    <t>SL0181</t>
  </si>
  <si>
    <t>TURNOVER SCHEDULE r270, OGIDAN r3</t>
  </si>
  <si>
    <t>SL0182</t>
  </si>
  <si>
    <t>31/03/2024</t>
  </si>
  <si>
    <t>TURNOVER SCHEDULE r320</t>
  </si>
  <si>
    <t>SL0183</t>
  </si>
  <si>
    <t>2024-04</t>
  </si>
  <si>
    <t>Mr Ogunleye Olumide Victor</t>
  </si>
  <si>
    <t>APRIL TURNOVER</t>
  </si>
  <si>
    <t>2024-01-04</t>
  </si>
  <si>
    <t>TURNOVER SCHEDULE r45</t>
  </si>
  <si>
    <t>SL0184</t>
  </si>
  <si>
    <t>TURNOVER SCHEDULE r52</t>
  </si>
  <si>
    <t>SL0185</t>
  </si>
  <si>
    <t>TURNOVER SCHEDULE r337, IDAH MARYDAVID r2</t>
  </si>
  <si>
    <t>SL0186</t>
  </si>
  <si>
    <t>2024-02-04</t>
  </si>
  <si>
    <t>MRS ABIMBOLA r50</t>
  </si>
  <si>
    <t>SL0187</t>
  </si>
  <si>
    <t>MD r28</t>
  </si>
  <si>
    <t>SL0188</t>
  </si>
  <si>
    <t>BP-C0087</t>
  </si>
  <si>
    <t>Mr Okeme Danjuma</t>
  </si>
  <si>
    <t>2024-03-04</t>
  </si>
  <si>
    <t>TURNOVER SCHEDULE r344, FESTUS r2</t>
  </si>
  <si>
    <t>SL0189</t>
  </si>
  <si>
    <t>Ms Bingham Kendra</t>
  </si>
  <si>
    <t>TURNOVER SCHEDULE r241, MRS ABIMBOLA r51</t>
  </si>
  <si>
    <t>SL0190</t>
  </si>
  <si>
    <t>TURNOVER SCHEDULE r246</t>
  </si>
  <si>
    <t>SL0191</t>
  </si>
  <si>
    <t>Mr Ukachi Godfrey</t>
  </si>
  <si>
    <t>2024-04-04</t>
  </si>
  <si>
    <t>TURNOVER SCHEDULE r277, MS FEYI r4</t>
  </si>
  <si>
    <t>SL0192</t>
  </si>
  <si>
    <t>2024-09-04</t>
  </si>
  <si>
    <t>TURNOVER SCHEDULE r315, MD r18</t>
  </si>
  <si>
    <t>SL0193</t>
  </si>
  <si>
    <t>TURNOVER SCHEDULE r114</t>
  </si>
  <si>
    <t>SL0194</t>
  </si>
  <si>
    <t>Miss Okorejior Ojoma Lilian</t>
  </si>
  <si>
    <t>TURNOVER SCHEDULE r74, MS IMMACULATE r32</t>
  </si>
  <si>
    <t>SL0195</t>
  </si>
  <si>
    <t>TURNOVER SCHEDULE r148, MS YETUNDE ABISOYE r38</t>
  </si>
  <si>
    <t>SL0196</t>
  </si>
  <si>
    <t>BP-C0088</t>
  </si>
  <si>
    <t>Mr Komolafe Oluwashola Leonard</t>
  </si>
  <si>
    <t>TURNOVER SCHEDULE r325, MS BOLANLE r45</t>
  </si>
  <si>
    <t>SL0197</t>
  </si>
  <si>
    <t>2024-11-04</t>
  </si>
  <si>
    <t>TURNOVER SCHEDULE r326, MS BOLANLE r46</t>
  </si>
  <si>
    <t>SL0198</t>
  </si>
  <si>
    <t>Miss Ukachi Florence</t>
  </si>
  <si>
    <t>15/04/2024</t>
  </si>
  <si>
    <t>TURNOVER SCHEDULE r251, MS FEYI r5</t>
  </si>
  <si>
    <t>SL0199</t>
  </si>
  <si>
    <t>16/04/2024</t>
  </si>
  <si>
    <t>TURNOVER SCHEDULE r299, MR JUWON r17</t>
  </si>
  <si>
    <t>SL0200</t>
  </si>
  <si>
    <t>BP-C0089</t>
  </si>
  <si>
    <t>Mr Lawson Oladele Valentino</t>
  </si>
  <si>
    <t>TURNOVER SCHEDULE r335, MR AYOMIDE r15</t>
  </si>
  <si>
    <t>SL0201</t>
  </si>
  <si>
    <t>TURNOVER SCHEDULE r46</t>
  </si>
  <si>
    <t>SL0202</t>
  </si>
  <si>
    <t>17/04/2024</t>
  </si>
  <si>
    <t>TURNOVER SCHEDULE r149, MS YETUNDE ABISOYE r45</t>
  </si>
  <si>
    <t>SL0203</t>
  </si>
  <si>
    <t>Ms Mitchell Jennifer</t>
  </si>
  <si>
    <t>TURNOVER SCHEDULE r58</t>
  </si>
  <si>
    <t>SL0204</t>
  </si>
  <si>
    <t>18/04/2024</t>
  </si>
  <si>
    <t>TURNOVER SCHEDULE r86</t>
  </si>
  <si>
    <t>SL0205</t>
  </si>
  <si>
    <t>TURNOVER SCHEDULE r247, MRS ABIMBOLA r54</t>
  </si>
  <si>
    <t>SL0206</t>
  </si>
  <si>
    <t>TURNOVER SCHEDULE r242, MRS ABIMBOLA r53</t>
  </si>
  <si>
    <t>SL0207</t>
  </si>
  <si>
    <t>22/04/2024</t>
  </si>
  <si>
    <t>TURNOVER SCHEDULE r160, MS BOLANLE r52</t>
  </si>
  <si>
    <t>SL0208</t>
  </si>
  <si>
    <t>TURNOVER SCHEDULE r292, MR CHARLES r12</t>
  </si>
  <si>
    <t>SL0209</t>
  </si>
  <si>
    <t>23/04/2024</t>
  </si>
  <si>
    <t>TURNOVER SCHEDULE r176, MD r33</t>
  </si>
  <si>
    <t>SL0210</t>
  </si>
  <si>
    <t>24/04/2024</t>
  </si>
  <si>
    <t>TURNOVER SCHEDULE r177, MD r34</t>
  </si>
  <si>
    <t>SL0211</t>
  </si>
  <si>
    <t>26/04/2024</t>
  </si>
  <si>
    <t>TURNOVER SCHEDULE r321, MR JUWON r18</t>
  </si>
  <si>
    <t>SL0212</t>
  </si>
  <si>
    <t>Ms Aisosa Sharon Ebhotah</t>
  </si>
  <si>
    <t>TURNOVER SCHEDULE r260</t>
  </si>
  <si>
    <t>SL0213</t>
  </si>
  <si>
    <t>BP-C0090</t>
  </si>
  <si>
    <t>Mr Ajiva Lubem Barnabas</t>
  </si>
  <si>
    <t>27/04/2024</t>
  </si>
  <si>
    <t>TURNOVER SCHEDULE r359, FASUYI OLAYINKA r11</t>
  </si>
  <si>
    <t>SL0214</t>
  </si>
  <si>
    <t>Mr Uebari Sorbari</t>
  </si>
  <si>
    <t>TURNOVER SCHEDULE r305</t>
  </si>
  <si>
    <t>SL0215</t>
  </si>
  <si>
    <t>29/04/2024</t>
  </si>
  <si>
    <t>TURNOVER SCHEDULE r132, MRS ABIMBOLA r82</t>
  </si>
  <si>
    <t>SL0216</t>
  </si>
  <si>
    <t>Mr Adese Akorede</t>
  </si>
  <si>
    <t>30/04/2024</t>
  </si>
  <si>
    <t>TURNOVER SCHEDULE r287</t>
  </si>
  <si>
    <t>SL0217</t>
  </si>
  <si>
    <t>TURNOVER SCHEDULE r150, MS YETUNDE ABISOYE r53</t>
  </si>
  <si>
    <t>SL0218</t>
  </si>
  <si>
    <t>TURNOVER SCHEDULE r366, MD r22</t>
  </si>
  <si>
    <t>SL0219</t>
  </si>
  <si>
    <t>TURNOVER SCHEDULE r47</t>
  </si>
  <si>
    <t>SL0220</t>
  </si>
  <si>
    <t>SL0221</t>
  </si>
  <si>
    <t>Ms Ogidan Funmilayo</t>
  </si>
  <si>
    <t>TURNOVER SCHEDULE r271, OGIDAN r10</t>
  </si>
  <si>
    <t>SL0222</t>
  </si>
  <si>
    <t>2024-05</t>
  </si>
  <si>
    <t>MAY TURNOVER</t>
  </si>
  <si>
    <t>2024-01-05</t>
  </si>
  <si>
    <t>TURNOVER SCHEDULE r339, IDAH MARYDAVID r4</t>
  </si>
  <si>
    <t>SL0223</t>
  </si>
  <si>
    <t>Mr Oluwase Babajide Victor</t>
  </si>
  <si>
    <t>TURNOVER SCHEDULE r192, MD r29</t>
  </si>
  <si>
    <t>SL0224</t>
  </si>
  <si>
    <t>2024-02-05</t>
  </si>
  <si>
    <t>TURNOVER SCHEDULE r309, MS BLESSING r35</t>
  </si>
  <si>
    <t>SL0225</t>
  </si>
  <si>
    <t>2024-03-05</t>
  </si>
  <si>
    <t>TURNOVER SCHEDULE r340, IDAH MARYDAVID r5</t>
  </si>
  <si>
    <t>SL0226</t>
  </si>
  <si>
    <t>TURNOVER SCHEDULE r345, FESTUS r10</t>
  </si>
  <si>
    <t>SL0227</t>
  </si>
  <si>
    <t>2024-06-05</t>
  </si>
  <si>
    <t>TURNOVER SCHEDULE r341, IDAH MARYDAVID r6</t>
  </si>
  <si>
    <t>SL0228</t>
  </si>
  <si>
    <t>2024-08-05</t>
  </si>
  <si>
    <t>TURNOVER SCHEDULE r360, FASUYI OLAYINKA r17</t>
  </si>
  <si>
    <t>SL0229</t>
  </si>
  <si>
    <t>Mr Edun Ayobami</t>
  </si>
  <si>
    <t>2024-09-05</t>
  </si>
  <si>
    <t>TURNOVER SCHEDULE r133, MRS ABIMBOLA r83</t>
  </si>
  <si>
    <t>SL0230</t>
  </si>
  <si>
    <t>SL0231</t>
  </si>
  <si>
    <t>2024-10-05</t>
  </si>
  <si>
    <t>TURNOVER SCHEDULE r361, FASUYI OLAYINKA r18</t>
  </si>
  <si>
    <t>SL0232</t>
  </si>
  <si>
    <t>Miss Omosanya Dotun Akeju</t>
  </si>
  <si>
    <t>2024-12-05</t>
  </si>
  <si>
    <t>TURNOVER SCHEDULE r350, MS BOLANLE r60, MS BLESSING OJI r16</t>
  </si>
  <si>
    <t>SL0233</t>
  </si>
  <si>
    <t>BP-C0091</t>
  </si>
  <si>
    <t>Mr Ojo Olugbenga Daniel &amp; Mrs Ojo Omolola Oyewunmi</t>
  </si>
  <si>
    <t>TURNOVER SCHEDULE r354, MRS ABIMBOLA r77</t>
  </si>
  <si>
    <t>SL0234</t>
  </si>
  <si>
    <t>13/05/2024</t>
  </si>
  <si>
    <t>TURNOVER SCHEDULE r362</t>
  </si>
  <si>
    <t>SL0235</t>
  </si>
  <si>
    <t>TURNOVER SCHEDULE r294</t>
  </si>
  <si>
    <t>SL0236</t>
  </si>
  <si>
    <t>15/05/2024</t>
  </si>
  <si>
    <t>TURNOVER SCHEDULE r300, MR JUWON r24</t>
  </si>
  <si>
    <t>SL0237</t>
  </si>
  <si>
    <t>Miss Ukachi Florence Oluchi</t>
  </si>
  <si>
    <t>TURNOVER SCHEDULE r252, MS FEYI r6</t>
  </si>
  <si>
    <t>SL0238</t>
  </si>
  <si>
    <t>TURNOVER SCHEDULE r48</t>
  </si>
  <si>
    <t>SL0239</t>
  </si>
  <si>
    <t>16/05/2024</t>
  </si>
  <si>
    <t>MRS ABIMBOLA r78</t>
  </si>
  <si>
    <t>SL0240</t>
  </si>
  <si>
    <t>17/05/2024</t>
  </si>
  <si>
    <t>SL0241</t>
  </si>
  <si>
    <t>MS BLESSING r44</t>
  </si>
  <si>
    <t>SL0242</t>
  </si>
  <si>
    <t>MRS ABIMBOLA r79</t>
  </si>
  <si>
    <t>SL0243</t>
  </si>
  <si>
    <t>BP-C0092</t>
  </si>
  <si>
    <t>Mr Oriakhi Osemudiamen Peter</t>
  </si>
  <si>
    <t>TURNOVER SCHEDULE r357, MS BLESSING r43</t>
  </si>
  <si>
    <t>SL0244</t>
  </si>
  <si>
    <t>TURNOVER SCHEDULE r276, MS FEYI r7</t>
  </si>
  <si>
    <t>SL0245</t>
  </si>
  <si>
    <t>Miss Nwobodo Miriam</t>
  </si>
  <si>
    <t>19/05/2024</t>
  </si>
  <si>
    <t>TURNOVER SCHEDULE r316, MD r23</t>
  </si>
  <si>
    <t>SL0246</t>
  </si>
  <si>
    <t>SL0247</t>
  </si>
  <si>
    <t>BP-C0093</t>
  </si>
  <si>
    <t>Mr Okuneye Oluwakayode Oluwaseyi</t>
  </si>
  <si>
    <t>21/05/2024</t>
  </si>
  <si>
    <t>MS BOLANLE r61</t>
  </si>
  <si>
    <t>SL0248</t>
  </si>
  <si>
    <t>Miss Mitchell Jennifer</t>
  </si>
  <si>
    <t>22/05/2024</t>
  </si>
  <si>
    <t>SL0249</t>
  </si>
  <si>
    <t>BP-C0084</t>
  </si>
  <si>
    <t>Mr Adegbayemu Ariyo Dennis</t>
  </si>
  <si>
    <t>TURNOVER SCHEDULE r331, FASUYI OLAYINKA r22, BARRISTER AYO r6</t>
  </si>
  <si>
    <t>SL0250</t>
  </si>
  <si>
    <t>BP-C0094</t>
  </si>
  <si>
    <t>Mr Ajayi Oluwadunsin Babatunde</t>
  </si>
  <si>
    <t>SL0251</t>
  </si>
  <si>
    <t>24/05/2024</t>
  </si>
  <si>
    <t>TURNOVER SCHEDULE r363, FASUYI OLAYINKA r23</t>
  </si>
  <si>
    <t>SL0252</t>
  </si>
  <si>
    <t>2024-06</t>
  </si>
  <si>
    <t>Allen Branch</t>
  </si>
  <si>
    <t>JUNE TURNOVER</t>
  </si>
  <si>
    <t>25/05/2024</t>
  </si>
  <si>
    <t>MRS ABIMBOLA r95</t>
  </si>
  <si>
    <t>Date in source (25/05/2024) outside the sheet month; reported under 2024-06 per source sheet</t>
  </si>
  <si>
    <t>SL0253</t>
  </si>
  <si>
    <t>26/05/2024</t>
  </si>
  <si>
    <t>SL0254</t>
  </si>
  <si>
    <t>Mr Adese Akorede John</t>
  </si>
  <si>
    <t>27/05/2024</t>
  </si>
  <si>
    <t>SL0255</t>
  </si>
  <si>
    <t>SL0256</t>
  </si>
  <si>
    <t>BP-C0095</t>
  </si>
  <si>
    <t>Miss Ebhotan Sharon Aisosa</t>
  </si>
  <si>
    <t>28/05/2024</t>
  </si>
  <si>
    <t>SL0257</t>
  </si>
  <si>
    <t>TURNOVER SCHEDULE r178, MD r35</t>
  </si>
  <si>
    <t>SL0258</t>
  </si>
  <si>
    <t>TURNOVER SCHEDULE r367, MD r24</t>
  </si>
  <si>
    <t>SL0259</t>
  </si>
  <si>
    <t>29/05/2024</t>
  </si>
  <si>
    <t>TURNOVER SCHEDULE r179, MD r36</t>
  </si>
  <si>
    <t>SL0260</t>
  </si>
  <si>
    <t>TURNOVER SCHEDULE r151, MS YETUNDE ABISOYE r61</t>
  </si>
  <si>
    <t>SL0261</t>
  </si>
  <si>
    <t>30/05/2024</t>
  </si>
  <si>
    <t>MD r30</t>
  </si>
  <si>
    <t>SL0262</t>
  </si>
  <si>
    <t>31/05/2024</t>
  </si>
  <si>
    <t>SL0263</t>
  </si>
  <si>
    <t>TURNOVER SCHEDULE r346, FESTUS r11</t>
  </si>
  <si>
    <t>SL0264</t>
  </si>
  <si>
    <t>Mrs Olarewaju Remilekun</t>
  </si>
  <si>
    <t>TURNOVER SCHEDULE r322, MR JUWON r25</t>
  </si>
  <si>
    <t>SL0265</t>
  </si>
  <si>
    <t>2024-04-06</t>
  </si>
  <si>
    <t>TURNOVER SCHEDULE r351, MS BOLANLE r68, MS BLESSING OJI r23</t>
  </si>
  <si>
    <t>SL0266</t>
  </si>
  <si>
    <t>Mr Atuanya Patrick</t>
  </si>
  <si>
    <t>TURNOVER SCHEDULE r152, MS YETUNDE ABISOYE r62</t>
  </si>
  <si>
    <t>SL0267</t>
  </si>
  <si>
    <t>MRS ABIMBOLA r92</t>
  </si>
  <si>
    <t>SL0268</t>
  </si>
  <si>
    <t>Miss Ogidan Funmilayo Jumoke</t>
  </si>
  <si>
    <t>2024-06-06</t>
  </si>
  <si>
    <t>TURNOVER SCHEDULE r272, OGIDAN r16</t>
  </si>
  <si>
    <t>SL0269</t>
  </si>
  <si>
    <t>Ancillary charge</t>
  </si>
  <si>
    <t>SL0270</t>
  </si>
  <si>
    <t>Mr Adese Akorede  John</t>
  </si>
  <si>
    <t>SL0271</t>
  </si>
  <si>
    <t>TURNOVER SCHEDULE r288, MD r25</t>
  </si>
  <si>
    <t>SL0272</t>
  </si>
  <si>
    <t>BP-C0096</t>
  </si>
  <si>
    <t>Mrs Lawani Opemipo Oluwatobi Lasode</t>
  </si>
  <si>
    <t>2024-09-06</t>
  </si>
  <si>
    <t>MS FISAYO r2</t>
  </si>
  <si>
    <t>SL0273</t>
  </si>
  <si>
    <t>Mr Ohumende paul Osaze</t>
  </si>
  <si>
    <t>2024-10-06</t>
  </si>
  <si>
    <t>MD r26</t>
  </si>
  <si>
    <t>SL0274</t>
  </si>
  <si>
    <t>BP-C0097</t>
  </si>
  <si>
    <t>Engr. Fagbulu Taiwo Olubunmi</t>
  </si>
  <si>
    <t>Magodo Branch</t>
  </si>
  <si>
    <t>2024-11-06</t>
  </si>
  <si>
    <t>MR HENRY r2</t>
  </si>
  <si>
    <t>SL0275</t>
  </si>
  <si>
    <t>SL0276</t>
  </si>
  <si>
    <t>SL0277</t>
  </si>
  <si>
    <t>BP-C0098</t>
  </si>
  <si>
    <t>Mr Alli Ifesinachi Innocent</t>
  </si>
  <si>
    <t>SL0278</t>
  </si>
  <si>
    <t>MS BOLANLE r69</t>
  </si>
  <si>
    <t>SL0279</t>
  </si>
  <si>
    <t>BP-C0099</t>
  </si>
  <si>
    <t>Mr Olatunde  Adesua Samuel</t>
  </si>
  <si>
    <t>MS ADENIKE r2</t>
  </si>
  <si>
    <t>SL0280</t>
  </si>
  <si>
    <t>Mr Adesida Raphael abiodun</t>
  </si>
  <si>
    <t>13/06/2024</t>
  </si>
  <si>
    <t>SL0281</t>
  </si>
  <si>
    <t>14/06/2024</t>
  </si>
  <si>
    <t>MS ADENIKE r3</t>
  </si>
  <si>
    <t>SL0282</t>
  </si>
  <si>
    <t>BP-C0058</t>
  </si>
  <si>
    <t>Mr Oniyide Olaoluwa Blessing</t>
  </si>
  <si>
    <t>SL0283</t>
  </si>
  <si>
    <t>BP-C0100</t>
  </si>
  <si>
    <t>Mr Braimoh Ayomide Favour</t>
  </si>
  <si>
    <t>15/06/2024</t>
  </si>
  <si>
    <t>MS MAYOWA BRAIMOH r2</t>
  </si>
  <si>
    <t>SL0284</t>
  </si>
  <si>
    <t>MS FEYI r8</t>
  </si>
  <si>
    <t>SL0285</t>
  </si>
  <si>
    <t>17/06/2024</t>
  </si>
  <si>
    <t>MS BOLANLE r70, MS BLESSING OJI r24</t>
  </si>
  <si>
    <t>SL0286</t>
  </si>
  <si>
    <t>Mr Ojo Ayomide Babatunde</t>
  </si>
  <si>
    <t>SL0287</t>
  </si>
  <si>
    <t>SL0288</t>
  </si>
  <si>
    <t>18/06/2024</t>
  </si>
  <si>
    <t>MS FEYI r9</t>
  </si>
  <si>
    <t>SL0289</t>
  </si>
  <si>
    <t>20/06/2024</t>
  </si>
  <si>
    <t>SL0290</t>
  </si>
  <si>
    <t>BP-C0101</t>
  </si>
  <si>
    <t>Miss Ojochegbe Success Danjuma</t>
  </si>
  <si>
    <t>SL0291</t>
  </si>
  <si>
    <t>BP-C0102</t>
  </si>
  <si>
    <t>Miss Odeyemi Testimony Patricia</t>
  </si>
  <si>
    <t>21/06/2024</t>
  </si>
  <si>
    <t>MRS ABIMBOLA r94</t>
  </si>
  <si>
    <t>SL0292</t>
  </si>
  <si>
    <t>SL0293</t>
  </si>
  <si>
    <t>SL0294</t>
  </si>
  <si>
    <t>Mr Adeniyi Ademola</t>
  </si>
  <si>
    <t>MRS ABIMBOLA r93</t>
  </si>
  <si>
    <t>SL0295</t>
  </si>
  <si>
    <t>SL0296</t>
  </si>
  <si>
    <t>Oyebola Ajibola</t>
  </si>
  <si>
    <t>SL0297</t>
  </si>
  <si>
    <t>BP-C0103</t>
  </si>
  <si>
    <t>Faith Ojotule Danjuma</t>
  </si>
  <si>
    <t>22/06/2024</t>
  </si>
  <si>
    <t>FESTUS r17</t>
  </si>
  <si>
    <t>SL0298</t>
  </si>
  <si>
    <t>MD r38</t>
  </si>
  <si>
    <t>SL0299</t>
  </si>
  <si>
    <t>BP-C0104</t>
  </si>
  <si>
    <t>Mr Abiodun Olasunkanmi Enoch</t>
  </si>
  <si>
    <t>25/06/2024</t>
  </si>
  <si>
    <t>MRS ABIMBOLA r96</t>
  </si>
  <si>
    <t>SL0300</t>
  </si>
  <si>
    <t>MS YETUNDE ABISOYE r63</t>
  </si>
  <si>
    <t>SL0301</t>
  </si>
  <si>
    <t>27/06/2024</t>
  </si>
  <si>
    <t>MS MAYOWA BRAIMOH r3</t>
  </si>
  <si>
    <t>SL0302</t>
  </si>
  <si>
    <t>28/06/2024</t>
  </si>
  <si>
    <t>TURNOVER SCHEDULE r262</t>
  </si>
  <si>
    <t>SL0303</t>
  </si>
  <si>
    <t>Mrs Oloniluyi Victoria Iyabode Adetutu</t>
  </si>
  <si>
    <t>SL0304</t>
  </si>
  <si>
    <t>BP-C0105</t>
  </si>
  <si>
    <t>Mr Omodara Addewale</t>
  </si>
  <si>
    <t>30/06/2024</t>
  </si>
  <si>
    <t>SL0305</t>
  </si>
  <si>
    <t>2024-07</t>
  </si>
  <si>
    <t>Miss Ojotule Faith Danjuma</t>
  </si>
  <si>
    <t>JULY TURNOVER</t>
  </si>
  <si>
    <t>2024-01-07</t>
  </si>
  <si>
    <t>FESTUS r23</t>
  </si>
  <si>
    <t>SL0306</t>
  </si>
  <si>
    <t>2024-02-07</t>
  </si>
  <si>
    <t>MD r42</t>
  </si>
  <si>
    <t>SL0307</t>
  </si>
  <si>
    <t>SL0308</t>
  </si>
  <si>
    <t>SL0309</t>
  </si>
  <si>
    <t>2024-03-07</t>
  </si>
  <si>
    <t>MRS ABIMBOLA r109</t>
  </si>
  <si>
    <t>SL0310</t>
  </si>
  <si>
    <t>Mr Ositade Damilare</t>
  </si>
  <si>
    <t>SL0311</t>
  </si>
  <si>
    <t>BP-C0106</t>
  </si>
  <si>
    <t>Mr Adebowale Pelumi Joseph</t>
  </si>
  <si>
    <t>2024-04-07</t>
  </si>
  <si>
    <t>SL0312</t>
  </si>
  <si>
    <t>SL0313</t>
  </si>
  <si>
    <t>SL0314</t>
  </si>
  <si>
    <t>2024-05-07</t>
  </si>
  <si>
    <t>MD r43</t>
  </si>
  <si>
    <t>SL0315</t>
  </si>
  <si>
    <t>SL0316</t>
  </si>
  <si>
    <t>2024-09-07</t>
  </si>
  <si>
    <t>MS BLESSING r72</t>
  </si>
  <si>
    <t>SL0317</t>
  </si>
  <si>
    <t>BP-C0108</t>
  </si>
  <si>
    <t>Mr Salawudeen Baqi Boladele</t>
  </si>
  <si>
    <t>SL0318</t>
  </si>
  <si>
    <t>2024-10-07</t>
  </si>
  <si>
    <t>SL0319</t>
  </si>
  <si>
    <t>Engr Fagbulu Taiwo Olubunmi</t>
  </si>
  <si>
    <t>2024-11-07</t>
  </si>
  <si>
    <t>MR HENRY r10</t>
  </si>
  <si>
    <t>SL0320</t>
  </si>
  <si>
    <t>FASUYI OLAYINKA r30</t>
  </si>
  <si>
    <t>SL0321</t>
  </si>
  <si>
    <t>Mrs Lawani Opemipo</t>
  </si>
  <si>
    <t>MS FISAYO r11</t>
  </si>
  <si>
    <t>SL0322</t>
  </si>
  <si>
    <t>13/07/2024</t>
  </si>
  <si>
    <t>MS BOLANLE r78</t>
  </si>
  <si>
    <t>SL0323</t>
  </si>
  <si>
    <t>SL0324</t>
  </si>
  <si>
    <t>15/07/2024</t>
  </si>
  <si>
    <t>MR HENRY r11</t>
  </si>
  <si>
    <t>SL0325</t>
  </si>
  <si>
    <t>Mr Olatunde Adesua Samuel</t>
  </si>
  <si>
    <t>MS ADENIKE r4</t>
  </si>
  <si>
    <t>SL0326</t>
  </si>
  <si>
    <t>BP-C0011</t>
  </si>
  <si>
    <t>Mr Olaiya Temitope Sunday</t>
  </si>
  <si>
    <t>18/07/2024</t>
  </si>
  <si>
    <t>SL0327</t>
  </si>
  <si>
    <t>SL0328</t>
  </si>
  <si>
    <t>SL0329</t>
  </si>
  <si>
    <t>BP-C0109</t>
  </si>
  <si>
    <t>Dr Okeyedun Taiwo Akinbami</t>
  </si>
  <si>
    <t>19/07/2024</t>
  </si>
  <si>
    <t>MD r45</t>
  </si>
  <si>
    <t>SL0330</t>
  </si>
  <si>
    <t>BP-C0110</t>
  </si>
  <si>
    <t>Mr Adeyemi Kayode</t>
  </si>
  <si>
    <t>23/07/2024</t>
  </si>
  <si>
    <t>MS BOLANLE r79</t>
  </si>
  <si>
    <t>SL0331</t>
  </si>
  <si>
    <t>24/07/2024</t>
  </si>
  <si>
    <t>MRS ABIMBOLA r110</t>
  </si>
  <si>
    <t>SL0332</t>
  </si>
  <si>
    <t>Mr Daniel Ayodeji Adeogun</t>
  </si>
  <si>
    <t>25/07/2024</t>
  </si>
  <si>
    <t>SL0333</t>
  </si>
  <si>
    <t>27/07/2024</t>
  </si>
  <si>
    <t>SL0334</t>
  </si>
  <si>
    <t>Mr Braimoh Ayomide</t>
  </si>
  <si>
    <t>MS MAYOWA BRAIMOH r10</t>
  </si>
  <si>
    <t>SL0335</t>
  </si>
  <si>
    <t>29/07/2024</t>
  </si>
  <si>
    <t>SL0336</t>
  </si>
  <si>
    <t>FASUYI OLAYINKA r31</t>
  </si>
  <si>
    <t>SL0337</t>
  </si>
  <si>
    <t>31/07/2024</t>
  </si>
  <si>
    <t>SL0338</t>
  </si>
  <si>
    <t>SL0339</t>
  </si>
  <si>
    <t>MRS ABIMBOLA r111</t>
  </si>
  <si>
    <t>SL0340</t>
  </si>
  <si>
    <t>2024-08</t>
  </si>
  <si>
    <t>AUGUST TURNOVER</t>
  </si>
  <si>
    <t>2024-01-08</t>
  </si>
  <si>
    <t>SL0341</t>
  </si>
  <si>
    <t>2024-02-08</t>
  </si>
  <si>
    <t>MRS ABIMBOLA r117</t>
  </si>
  <si>
    <t>SL0342</t>
  </si>
  <si>
    <t>BP-C0111</t>
  </si>
  <si>
    <t>Mr Adenuga Lukman Ebenezer</t>
  </si>
  <si>
    <t>MS ADENIKE r5</t>
  </si>
  <si>
    <t>SL0343</t>
  </si>
  <si>
    <t>BP-C0037</t>
  </si>
  <si>
    <t>Miss Okezie Mandy Ifeoma</t>
  </si>
  <si>
    <t>2024-04-08</t>
  </si>
  <si>
    <t>MS CELINA r23</t>
  </si>
  <si>
    <t>SL0344</t>
  </si>
  <si>
    <t>MS ADENIKE r6</t>
  </si>
  <si>
    <t>SL0345</t>
  </si>
  <si>
    <t>2024-05-08</t>
  </si>
  <si>
    <t>MD r50</t>
  </si>
  <si>
    <t>SL0346</t>
  </si>
  <si>
    <t>MS CELINA r24</t>
  </si>
  <si>
    <t>SL0347</t>
  </si>
  <si>
    <t>MS BOLANLE r89, MS BLESSING OJI r33</t>
  </si>
  <si>
    <t>SL0348</t>
  </si>
  <si>
    <t>MD r51</t>
  </si>
  <si>
    <t>SL0349</t>
  </si>
  <si>
    <t>SL0350</t>
  </si>
  <si>
    <t>MS BOLANLE r87</t>
  </si>
  <si>
    <t>SL0351</t>
  </si>
  <si>
    <t>FASUYI OLAYINKA r39</t>
  </si>
  <si>
    <t>SL0352</t>
  </si>
  <si>
    <t>BP-C0112</t>
  </si>
  <si>
    <t>Mr Lawson Albert Olumide</t>
  </si>
  <si>
    <t>2024-08-08</t>
  </si>
  <si>
    <t>MR AYOMIDE r23</t>
  </si>
  <si>
    <t>SL0353</t>
  </si>
  <si>
    <t>MS BLESSING r86</t>
  </si>
  <si>
    <t>SL0354</t>
  </si>
  <si>
    <t>2024-09-08</t>
  </si>
  <si>
    <t>MS BOLANLE r88</t>
  </si>
  <si>
    <t>SL0355</t>
  </si>
  <si>
    <t>MR AYOMIDE r24</t>
  </si>
  <si>
    <t>SL0356</t>
  </si>
  <si>
    <t>MS ADENIKE r7</t>
  </si>
  <si>
    <t>SL0357</t>
  </si>
  <si>
    <t>2024-12-08</t>
  </si>
  <si>
    <t>SL0358</t>
  </si>
  <si>
    <t>BP-C0113</t>
  </si>
  <si>
    <t>Mr Udoezi Paul</t>
  </si>
  <si>
    <t>MS BLESSING r87</t>
  </si>
  <si>
    <t>SL0359</t>
  </si>
  <si>
    <t>Mrs Lawani Opemipo Olasode</t>
  </si>
  <si>
    <t>MS FISAYO r20</t>
  </si>
  <si>
    <t>SL0360</t>
  </si>
  <si>
    <t>14/08/2024</t>
  </si>
  <si>
    <t>SL0361</t>
  </si>
  <si>
    <t>15/08/2024</t>
  </si>
  <si>
    <t>SL0362</t>
  </si>
  <si>
    <t>BP-C0114</t>
  </si>
  <si>
    <t>Miss Ohaego Ijeoma Goodness</t>
  </si>
  <si>
    <t>16/08/2024</t>
  </si>
  <si>
    <t>MS BOLANLE r90, MS BLESSING OJI r34</t>
  </si>
  <si>
    <t>SL0363</t>
  </si>
  <si>
    <t>BP-C0115</t>
  </si>
  <si>
    <t>Mrs King Lavonda</t>
  </si>
  <si>
    <t>17/08/2024</t>
  </si>
  <si>
    <t>MRS ABIMBOLA r119</t>
  </si>
  <si>
    <t>SL0364</t>
  </si>
  <si>
    <t>BP-C0116</t>
  </si>
  <si>
    <t>Miss Okorie Rachael Mmesomachi</t>
  </si>
  <si>
    <t>18/08/2024</t>
  </si>
  <si>
    <t>SL0365</t>
  </si>
  <si>
    <t>19/08/2024</t>
  </si>
  <si>
    <t>MS BLESSING r88</t>
  </si>
  <si>
    <t>SL0366</t>
  </si>
  <si>
    <t>20/08/2024</t>
  </si>
  <si>
    <t>SL0367</t>
  </si>
  <si>
    <t>21/08/2024</t>
  </si>
  <si>
    <t>MS BLESSING r91, MS MAYOWA BRAIMOH r20</t>
  </si>
  <si>
    <t>SL0368</t>
  </si>
  <si>
    <t>Miss Danjuma Ojotule Faith</t>
  </si>
  <si>
    <t>22/08/2024</t>
  </si>
  <si>
    <t>SL0369</t>
  </si>
  <si>
    <t>23/08/2024</t>
  </si>
  <si>
    <t>SL0370</t>
  </si>
  <si>
    <t>BP-C0117</t>
  </si>
  <si>
    <t>Mr Ikechukwu Jeremiah Kingsley</t>
  </si>
  <si>
    <t>SL0371</t>
  </si>
  <si>
    <t>24/08/2024</t>
  </si>
  <si>
    <t>SL0372</t>
  </si>
  <si>
    <t>25/08/2024</t>
  </si>
  <si>
    <t>MS MAYOWA BRAIMOH r21</t>
  </si>
  <si>
    <t>SL0373</t>
  </si>
  <si>
    <t>27/08/2024</t>
  </si>
  <si>
    <t>SL0374</t>
  </si>
  <si>
    <t>28/08/2024</t>
  </si>
  <si>
    <t>MS BLESSING r105</t>
  </si>
  <si>
    <t>SL0375</t>
  </si>
  <si>
    <t>SL0376</t>
  </si>
  <si>
    <t>BP-C0119</t>
  </si>
  <si>
    <t>Mr Adedapo Adekunle Solomon</t>
  </si>
  <si>
    <t>MS TAIWO r32, MS TOBI AJAYI r11</t>
  </si>
  <si>
    <t>SL0377</t>
  </si>
  <si>
    <t>29/08/2024</t>
  </si>
  <si>
    <t>MS BOLANLE r91</t>
  </si>
  <si>
    <t>SL0378</t>
  </si>
  <si>
    <t>30/08/2024</t>
  </si>
  <si>
    <t>MS TAIWO r34, MS TOBI AJAYI r13</t>
  </si>
  <si>
    <t>SL0379</t>
  </si>
  <si>
    <t>SL0380</t>
  </si>
  <si>
    <t>IDAH MARYDAVID r16</t>
  </si>
  <si>
    <t>SL0381</t>
  </si>
  <si>
    <t>31/08/2024</t>
  </si>
  <si>
    <t>MS TAIWO r35, MS TOBI AJAYI r14</t>
  </si>
  <si>
    <t>SL0382</t>
  </si>
  <si>
    <t>SL0383</t>
  </si>
  <si>
    <t>2024-09</t>
  </si>
  <si>
    <t>SEPTEMBER TURNOVER</t>
  </si>
  <si>
    <t>2024-01-09</t>
  </si>
  <si>
    <t>MS TAIWO r42, MS TOBI AJAYI r21</t>
  </si>
  <si>
    <t>SL0384</t>
  </si>
  <si>
    <t>2024-02-09</t>
  </si>
  <si>
    <t>MRS ABIMBOLA r144</t>
  </si>
  <si>
    <t>SL0385</t>
  </si>
  <si>
    <t>BP-C0120</t>
  </si>
  <si>
    <t>Mr Olusegun Dare Michael</t>
  </si>
  <si>
    <t>2024-03-09</t>
  </si>
  <si>
    <t>MS BOLANLE r97</t>
  </si>
  <si>
    <t>SL0386</t>
  </si>
  <si>
    <t>2024-04-09</t>
  </si>
  <si>
    <t>MRS ABIMBOLA r145</t>
  </si>
  <si>
    <t>SL0387</t>
  </si>
  <si>
    <t>2024-05-09</t>
  </si>
  <si>
    <t>MS TAIWO r43, MS TOBI AJAYI r22</t>
  </si>
  <si>
    <t>SL0388</t>
  </si>
  <si>
    <t>SL0389</t>
  </si>
  <si>
    <t>MD r56</t>
  </si>
  <si>
    <t>SL0390</t>
  </si>
  <si>
    <t>SL0391</t>
  </si>
  <si>
    <t>MS ADENIKE r16</t>
  </si>
  <si>
    <t>SL0392</t>
  </si>
  <si>
    <t>2024-06-09</t>
  </si>
  <si>
    <t>MS BOLANLE r98</t>
  </si>
  <si>
    <t>SL0393</t>
  </si>
  <si>
    <t>BP-C0121</t>
  </si>
  <si>
    <t>Mr Nweze Valentine Oluebube</t>
  </si>
  <si>
    <t>2024-08-09</t>
  </si>
  <si>
    <t>MS BOLANLE r99</t>
  </si>
  <si>
    <t>SL0394</t>
  </si>
  <si>
    <t>2024-09-09</t>
  </si>
  <si>
    <t>MS BOLANLE r101</t>
  </si>
  <si>
    <t>SL0395</t>
  </si>
  <si>
    <t>MS BOLANLE r100</t>
  </si>
  <si>
    <t>SL0396</t>
  </si>
  <si>
    <t>Mrs Lawani Opemipo Lasode</t>
  </si>
  <si>
    <t>SL0397</t>
  </si>
  <si>
    <t>2024-10-09</t>
  </si>
  <si>
    <t>SL0398</t>
  </si>
  <si>
    <t>BP-C0123</t>
  </si>
  <si>
    <t>Mr Olaogun Samuel Oriyomi</t>
  </si>
  <si>
    <t>13/09/2024</t>
  </si>
  <si>
    <t>MR RAPHAEL ADESIDA r2</t>
  </si>
  <si>
    <t>SL0399</t>
  </si>
  <si>
    <t>SL0400</t>
  </si>
  <si>
    <t>16/09/2024</t>
  </si>
  <si>
    <t>SL0401</t>
  </si>
  <si>
    <t>MRS ABIMBOLA r135</t>
  </si>
  <si>
    <t>SL0402</t>
  </si>
  <si>
    <t>BP-C0124</t>
  </si>
  <si>
    <t>Miss Thomas Oluwabukola Comfort</t>
  </si>
  <si>
    <t>17/09/2024</t>
  </si>
  <si>
    <t>MR PELUMI r18</t>
  </si>
  <si>
    <t>SL0403</t>
  </si>
  <si>
    <t>BP-C0125</t>
  </si>
  <si>
    <t>Mrs Adelaja-Idowu Mosebolatan Tomilayo</t>
  </si>
  <si>
    <t>SL0404</t>
  </si>
  <si>
    <t>18/09/2024</t>
  </si>
  <si>
    <t>SL0405</t>
  </si>
  <si>
    <t>Miss Ukachi Oluchi Florence</t>
  </si>
  <si>
    <t>19/09/2024</t>
  </si>
  <si>
    <t>SL0406</t>
  </si>
  <si>
    <t>Mr Komolafe Leonard Oluwashola</t>
  </si>
  <si>
    <t>SL0407</t>
  </si>
  <si>
    <t>SL0408</t>
  </si>
  <si>
    <t>20/09/2024</t>
  </si>
  <si>
    <t>MS BOLANLE r102</t>
  </si>
  <si>
    <t>SL0409</t>
  </si>
  <si>
    <t>BP-C0118</t>
  </si>
  <si>
    <t>Pastor Kingsley Ikechukwu &amp; Deaconess Rose Uju Ikechukwu</t>
  </si>
  <si>
    <t>25/09/2024</t>
  </si>
  <si>
    <t>MS ADENIKE r17</t>
  </si>
  <si>
    <t>SL0410</t>
  </si>
  <si>
    <t>BP-C0126</t>
  </si>
  <si>
    <t>Miss Ogundipe Motunrayo Fransisca</t>
  </si>
  <si>
    <t>26/09/2024</t>
  </si>
  <si>
    <t>MD r57</t>
  </si>
  <si>
    <t>SL0411</t>
  </si>
  <si>
    <t>MS MAYOWA BRAIMOH r29</t>
  </si>
  <si>
    <t>SL0412</t>
  </si>
  <si>
    <t>MS ADENIKE r18</t>
  </si>
  <si>
    <t>SL0413</t>
  </si>
  <si>
    <t>Miss Ebhotah sharon Aisosa</t>
  </si>
  <si>
    <t>27/09/2024</t>
  </si>
  <si>
    <t>MS BLESSING r106</t>
  </si>
  <si>
    <t>SL0414</t>
  </si>
  <si>
    <t>BP-C0127</t>
  </si>
  <si>
    <t>Mr Adigun Muyiwa &amp; Mrs Adigun Folashade Oluwaseun</t>
  </si>
  <si>
    <t>MR AYENI MAYOWA r2</t>
  </si>
  <si>
    <t>SL0415</t>
  </si>
  <si>
    <t>BP-C0128</t>
  </si>
  <si>
    <t>Mr Afolabi Samuel safe &amp; Mrs Afolabi Temitope Iyanuoluwa</t>
  </si>
  <si>
    <t>MRS ABIMBOLA r147, OLAIYA r26</t>
  </si>
  <si>
    <t>SL0416</t>
  </si>
  <si>
    <t>BP-C0129</t>
  </si>
  <si>
    <t>Mr Tedunjaye Michael Ilerioluwa</t>
  </si>
  <si>
    <t>MS TOBI AJAYI r23</t>
  </si>
  <si>
    <t>SL0417</t>
  </si>
  <si>
    <t>BP-C0130</t>
  </si>
  <si>
    <t>Mrs Akindele Felicia Oluwatoyin</t>
  </si>
  <si>
    <t>MS FISAYO r38</t>
  </si>
  <si>
    <t>SL0418</t>
  </si>
  <si>
    <t>BP-C0131</t>
  </si>
  <si>
    <t>Scrapays Technologies Ltd</t>
  </si>
  <si>
    <t>MD r58</t>
  </si>
  <si>
    <t>SL0419</t>
  </si>
  <si>
    <t>28/09/2024</t>
  </si>
  <si>
    <t>MS TAIWO r33, MS TOBI AJAYI r12</t>
  </si>
  <si>
    <t>Date in source (28/09/2024) outside the sheet month; reported under 2024-08 per source sheet</t>
  </si>
  <si>
    <t>SL0420</t>
  </si>
  <si>
    <t>29/09/2024</t>
  </si>
  <si>
    <t>MD r59</t>
  </si>
  <si>
    <t>SL0421</t>
  </si>
  <si>
    <t>BP-C0132</t>
  </si>
  <si>
    <t>Mr Ajayi Adekunle Temitope</t>
  </si>
  <si>
    <t>30/09/2024</t>
  </si>
  <si>
    <t>MS OPEYEMI ADEGOKE r2</t>
  </si>
  <si>
    <t>SL0422</t>
  </si>
  <si>
    <t>BP-C0133</t>
  </si>
  <si>
    <t>Mr Olagbende Oluwashina Oluwaseun</t>
  </si>
  <si>
    <t>MS AWONORIN MAYOWA r2</t>
  </si>
  <si>
    <t>SL0423</t>
  </si>
  <si>
    <t>2024-10</t>
  </si>
  <si>
    <t>OCTOBER TURNOVER</t>
  </si>
  <si>
    <t>2024-02-10</t>
  </si>
  <si>
    <t>MS BLESSING r113</t>
  </si>
  <si>
    <t>SL0424</t>
  </si>
  <si>
    <t>Mr &amp; Mrs Dada Adebayo</t>
  </si>
  <si>
    <t>MRS ABIMBOLA r154</t>
  </si>
  <si>
    <t>SL0425</t>
  </si>
  <si>
    <t>2024-03-10</t>
  </si>
  <si>
    <t>MS BOLANLE r110, MS BLESSING OJI r50</t>
  </si>
  <si>
    <t>SL0426</t>
  </si>
  <si>
    <t>MD r67</t>
  </si>
  <si>
    <t>SL0427</t>
  </si>
  <si>
    <t>MS BOLANLE r109</t>
  </si>
  <si>
    <t>SL0428</t>
  </si>
  <si>
    <t>2024-04-10</t>
  </si>
  <si>
    <t>MD r66</t>
  </si>
  <si>
    <t>SL0429</t>
  </si>
  <si>
    <t>SL0430</t>
  </si>
  <si>
    <t>BP-C0134</t>
  </si>
  <si>
    <t>Mr Salawudeen Bakkey</t>
  </si>
  <si>
    <t>SL0431</t>
  </si>
  <si>
    <t>BP-C0135</t>
  </si>
  <si>
    <t>Mr Okanrende Kazeem Olamilekan</t>
  </si>
  <si>
    <t>2024-08-10</t>
  </si>
  <si>
    <t>MS YETUNDE ABISOYE r70</t>
  </si>
  <si>
    <t>SL0432</t>
  </si>
  <si>
    <t>2024-09-10</t>
  </si>
  <si>
    <t>SL0433</t>
  </si>
  <si>
    <t>BP-C0136</t>
  </si>
  <si>
    <t>Mr Isibor Godwin</t>
  </si>
  <si>
    <t>2024-11-10</t>
  </si>
  <si>
    <t>MS TOBI AJAYI r29</t>
  </si>
  <si>
    <t>SL0434</t>
  </si>
  <si>
    <t>2024-12-10</t>
  </si>
  <si>
    <t>SL0435</t>
  </si>
  <si>
    <t>14/10/2024</t>
  </si>
  <si>
    <t>SL0436</t>
  </si>
  <si>
    <t>17/10/2024</t>
  </si>
  <si>
    <t>MRS ABIMBOLA r136</t>
  </si>
  <si>
    <t>SL0437</t>
  </si>
  <si>
    <t>BP-C0137</t>
  </si>
  <si>
    <t>Mr Boyejo abiodun</t>
  </si>
  <si>
    <t>18/10/2024</t>
  </si>
  <si>
    <t>MS BOLANLE r111</t>
  </si>
  <si>
    <t>SL0438</t>
  </si>
  <si>
    <t>BP-C0138</t>
  </si>
  <si>
    <t>Mr Olowodagba Olatunde Selim</t>
  </si>
  <si>
    <t>OGIDAN r34, MS TOBI AJAYI r30</t>
  </si>
  <si>
    <t>SL0439</t>
  </si>
  <si>
    <t>Scrapays Technologies</t>
  </si>
  <si>
    <t>MD r68</t>
  </si>
  <si>
    <t>SL0440</t>
  </si>
  <si>
    <t>19/10/2024</t>
  </si>
  <si>
    <t>SL0441</t>
  </si>
  <si>
    <t>BP-C0139</t>
  </si>
  <si>
    <t>Mr Felix Oluwatobi Adejumo</t>
  </si>
  <si>
    <t>21/10/2024</t>
  </si>
  <si>
    <t>SL0442</t>
  </si>
  <si>
    <t>OGIDAN r35, MS TOBI AJAYI r31</t>
  </si>
  <si>
    <t>SL0443</t>
  </si>
  <si>
    <t>22/10/2024</t>
  </si>
  <si>
    <t>SL0444</t>
  </si>
  <si>
    <t>SL0445</t>
  </si>
  <si>
    <t>Mr Adekunle Ajayi Temitope</t>
  </si>
  <si>
    <t>MS OPEYEMI ADEGOKE r3</t>
  </si>
  <si>
    <t>SL0446</t>
  </si>
  <si>
    <t>BP-C0140</t>
  </si>
  <si>
    <t>Mr Balogun Akeem Tokunbo</t>
  </si>
  <si>
    <t>23/10/2024</t>
  </si>
  <si>
    <t>MAMA ADEBIMPE r2</t>
  </si>
  <si>
    <t>SL0447</t>
  </si>
  <si>
    <t>MRS ABIMBOLA r137</t>
  </si>
  <si>
    <t>SL0448</t>
  </si>
  <si>
    <t>Miss Akindele Felicia Oluwatoyin</t>
  </si>
  <si>
    <t>25/10/2024</t>
  </si>
  <si>
    <t>MS FISAYO r46</t>
  </si>
  <si>
    <t>SL0449</t>
  </si>
  <si>
    <t>MD r71</t>
  </si>
  <si>
    <t>SL0450</t>
  </si>
  <si>
    <t>MAMA ADEBIMPE r3</t>
  </si>
  <si>
    <t>SL0451</t>
  </si>
  <si>
    <t>Mr Olagbende Oluwashina</t>
  </si>
  <si>
    <t>MS AWONORIN MAYOWA r9</t>
  </si>
  <si>
    <t>SL0452</t>
  </si>
  <si>
    <t>Engr Fagbulu Taiwo</t>
  </si>
  <si>
    <t>26/10/2024</t>
  </si>
  <si>
    <t>SL0453</t>
  </si>
  <si>
    <t>MS OPEYEMI ADEGOKE r4</t>
  </si>
  <si>
    <t>SL0454</t>
  </si>
  <si>
    <t>SL0455</t>
  </si>
  <si>
    <t>28/10/2024</t>
  </si>
  <si>
    <t>MS BLESSING r114</t>
  </si>
  <si>
    <t>SL0456</t>
  </si>
  <si>
    <t>Mr Adigun Muyiwa &amp; Mrs Adigun Folashade</t>
  </si>
  <si>
    <t>MR AYENI MAYOWA r9</t>
  </si>
  <si>
    <t>SL0457</t>
  </si>
  <si>
    <t>MAMA ADEBIMPE r4</t>
  </si>
  <si>
    <t>SL0458</t>
  </si>
  <si>
    <t>29/10/2024</t>
  </si>
  <si>
    <t>MS AWONORIN MAYOWA r10</t>
  </si>
  <si>
    <t>SL0459</t>
  </si>
  <si>
    <t>30/10/2024</t>
  </si>
  <si>
    <t>MR HENRY r19</t>
  </si>
  <si>
    <t>SL0460</t>
  </si>
  <si>
    <t>BP-C0141</t>
  </si>
  <si>
    <t>Mr Aremu Kayode Sarafa</t>
  </si>
  <si>
    <t>OGIDAN r36</t>
  </si>
  <si>
    <t>SL0461</t>
  </si>
  <si>
    <t>SL0462</t>
  </si>
  <si>
    <t>MS AWONORIN MAYOWA r11</t>
  </si>
  <si>
    <t>SL0463</t>
  </si>
  <si>
    <t>BP-C0142</t>
  </si>
  <si>
    <t>Mr Simien Samuel &amp; Mrs Simien Oyindamola Adekunle</t>
  </si>
  <si>
    <t>MAMA ADEBIMPE r36</t>
  </si>
  <si>
    <t>SL0464</t>
  </si>
  <si>
    <t>31/10/2024</t>
  </si>
  <si>
    <t>MR HENRY r20</t>
  </si>
  <si>
    <t>SL0465</t>
  </si>
  <si>
    <t>MS BOLANLE r112, MS BLESSING OJI r52</t>
  </si>
  <si>
    <t>SL0466</t>
  </si>
  <si>
    <t>MS OPEYEMI ADEGOKE r5</t>
  </si>
  <si>
    <t>SL0467</t>
  </si>
  <si>
    <t>2024-11</t>
  </si>
  <si>
    <t>NOVEMBER TURNOVER</t>
  </si>
  <si>
    <t>2024-01-11</t>
  </si>
  <si>
    <t>MRS ABIMBOLA r162</t>
  </si>
  <si>
    <t>SL0468</t>
  </si>
  <si>
    <t>2024-02-11</t>
  </si>
  <si>
    <t>MS BLESSING r121</t>
  </si>
  <si>
    <t>SL0469</t>
  </si>
  <si>
    <t>BP-C0144</t>
  </si>
  <si>
    <t>Miss Thomas Bukola Comfort</t>
  </si>
  <si>
    <t>SL0470</t>
  </si>
  <si>
    <t>SL0471</t>
  </si>
  <si>
    <t>MD r77</t>
  </si>
  <si>
    <t>SL0472</t>
  </si>
  <si>
    <t>MD r78</t>
  </si>
  <si>
    <t>SL0473</t>
  </si>
  <si>
    <t>2024-04-11</t>
  </si>
  <si>
    <t>MS BLESSING r122</t>
  </si>
  <si>
    <t>SL0474</t>
  </si>
  <si>
    <t>2024-05-11</t>
  </si>
  <si>
    <t>SL0475</t>
  </si>
  <si>
    <t>05/11/1014</t>
  </si>
  <si>
    <t>Year typed as 1014 in source (05/11/1014); corrected to 2024 from the sheet month</t>
  </si>
  <si>
    <t>SL0476</t>
  </si>
  <si>
    <t>2024-06-11</t>
  </si>
  <si>
    <t>MS AWONORIN MAYOWA r18</t>
  </si>
  <si>
    <t>SL0477</t>
  </si>
  <si>
    <t>Mr Tedunjaye Ilerioluwa Michael</t>
  </si>
  <si>
    <t>SL0478</t>
  </si>
  <si>
    <t>2024-07-11</t>
  </si>
  <si>
    <t>MD r80</t>
  </si>
  <si>
    <t>SL0479</t>
  </si>
  <si>
    <t>SL0480</t>
  </si>
  <si>
    <t>2024-08-11</t>
  </si>
  <si>
    <t>MS YETUNDE ABISOYE r76</t>
  </si>
  <si>
    <t>SL0481</t>
  </si>
  <si>
    <t>BP-C0145</t>
  </si>
  <si>
    <t>Miss Keshinro Phebe Oluwatunmise</t>
  </si>
  <si>
    <t>2024-09-11</t>
  </si>
  <si>
    <t>MR CHARLES r67</t>
  </si>
  <si>
    <t>SL0482</t>
  </si>
  <si>
    <t>Mr Nweze Oluebube Valentine</t>
  </si>
  <si>
    <t>SL0483</t>
  </si>
  <si>
    <t>2024-11-11</t>
  </si>
  <si>
    <t>SL0484</t>
  </si>
  <si>
    <t>SL0485</t>
  </si>
  <si>
    <t>Lavonda King Family</t>
  </si>
  <si>
    <t>2024-12-11</t>
  </si>
  <si>
    <t>SL0486</t>
  </si>
  <si>
    <t>SL0487</t>
  </si>
  <si>
    <t>13/11/2024</t>
  </si>
  <si>
    <t>MS BOLANLE r118</t>
  </si>
  <si>
    <t>SL0488</t>
  </si>
  <si>
    <t>MS AWONORIN MAYOWA r19</t>
  </si>
  <si>
    <t>SL0489</t>
  </si>
  <si>
    <t>SL0490</t>
  </si>
  <si>
    <t>14/11/2024</t>
  </si>
  <si>
    <t>MS MAYOWA BRAIMOH r54</t>
  </si>
  <si>
    <t>SL0491</t>
  </si>
  <si>
    <t>BP-C0146</t>
  </si>
  <si>
    <t>Mrs Tijani Tawa Motunrayo</t>
  </si>
  <si>
    <t>MS AWONORIN MAYOWA r20</t>
  </si>
  <si>
    <t>SL0492</t>
  </si>
  <si>
    <t>15/11/2024</t>
  </si>
  <si>
    <t>MD r79</t>
  </si>
  <si>
    <t>SL0493</t>
  </si>
  <si>
    <t>SL0494</t>
  </si>
  <si>
    <t>Mr Boyejo Abiodun</t>
  </si>
  <si>
    <t>MS BOLANLE r119</t>
  </si>
  <si>
    <t>SL0495</t>
  </si>
  <si>
    <t>16/11/2024</t>
  </si>
  <si>
    <t>SL0496</t>
  </si>
  <si>
    <t>18/11/2024</t>
  </si>
  <si>
    <t>SL0497</t>
  </si>
  <si>
    <t>SL0498</t>
  </si>
  <si>
    <t>19/11/2024</t>
  </si>
  <si>
    <t>MAMA ADEBIMPE r52</t>
  </si>
  <si>
    <t>SL0499</t>
  </si>
  <si>
    <t>23/11/2024</t>
  </si>
  <si>
    <t>MS BLESSING r123</t>
  </si>
  <si>
    <t>SL0500</t>
  </si>
  <si>
    <t>SL0501</t>
  </si>
  <si>
    <t>24/11/2024</t>
  </si>
  <si>
    <t>MR CHARLES r68</t>
  </si>
  <si>
    <t>SL0502</t>
  </si>
  <si>
    <t>MS TOBI AJAYI r37</t>
  </si>
  <si>
    <t>SL0503</t>
  </si>
  <si>
    <t>26/11/2024</t>
  </si>
  <si>
    <t>MS FISAYO r54</t>
  </si>
  <si>
    <t>SL0504</t>
  </si>
  <si>
    <t>BP-C0147</t>
  </si>
  <si>
    <t>Pastor Ikechukwu Jeremiah &amp; Deaconess Ikechukwu Rose Iju</t>
  </si>
  <si>
    <t>SL0505</t>
  </si>
  <si>
    <t>27/11/2024</t>
  </si>
  <si>
    <t>MS BOLANLE r126, MS BLESSING OJI r64</t>
  </si>
  <si>
    <t>SL0506</t>
  </si>
  <si>
    <t>MD r86</t>
  </si>
  <si>
    <t>SL0507</t>
  </si>
  <si>
    <t>SL0508</t>
  </si>
  <si>
    <t>MD r87</t>
  </si>
  <si>
    <t>SL0509</t>
  </si>
  <si>
    <t>28/11/2024</t>
  </si>
  <si>
    <t>MR AYENI MAYOWA r15</t>
  </si>
  <si>
    <t>SL0510</t>
  </si>
  <si>
    <t>29/11/2024</t>
  </si>
  <si>
    <t>SL0511</t>
  </si>
  <si>
    <t>SL0512</t>
  </si>
  <si>
    <t>SL0513</t>
  </si>
  <si>
    <t>BP-C0148</t>
  </si>
  <si>
    <t>Mr Akinsete Michael Abayomi</t>
  </si>
  <si>
    <t>MD r88</t>
  </si>
  <si>
    <t>SL0514</t>
  </si>
  <si>
    <t>SL0515</t>
  </si>
  <si>
    <t>BP-C0149</t>
  </si>
  <si>
    <t>Mr Uneze Grant Chetanna</t>
  </si>
  <si>
    <t>SL0516</t>
  </si>
  <si>
    <t>BP-C0150</t>
  </si>
  <si>
    <t>Mr Ajiboso Damilare Moses</t>
  </si>
  <si>
    <t>30/11/2024</t>
  </si>
  <si>
    <t>MS ADENIKE r27</t>
  </si>
  <si>
    <t>SL0517</t>
  </si>
  <si>
    <t>BP-C0151</t>
  </si>
  <si>
    <t>Mrs Shotonwa Olamide Abosede</t>
  </si>
  <si>
    <t>MS ADENIKE r26</t>
  </si>
  <si>
    <t>SL0518</t>
  </si>
  <si>
    <t>2024-12</t>
  </si>
  <si>
    <t>DECEMBER TURNOVER</t>
  </si>
  <si>
    <t>2024-02-12</t>
  </si>
  <si>
    <t>SL0519</t>
  </si>
  <si>
    <t>2024-03-12</t>
  </si>
  <si>
    <t>MS BLESSING r130</t>
  </si>
  <si>
    <t>SL0520</t>
  </si>
  <si>
    <t>Mr Pius Ogbu Ejaka</t>
  </si>
  <si>
    <t>MS MAYOWA BRAIMOH r55</t>
  </si>
  <si>
    <t>SL0521</t>
  </si>
  <si>
    <t>2024-04-12</t>
  </si>
  <si>
    <t>MS BLESSING r131</t>
  </si>
  <si>
    <t>SL0522</t>
  </si>
  <si>
    <t>2024-06-12</t>
  </si>
  <si>
    <t>MRS ABIMBOLA r169</t>
  </si>
  <si>
    <t>SL0523</t>
  </si>
  <si>
    <t>SL0524</t>
  </si>
  <si>
    <t>MS ADENIKE r28</t>
  </si>
  <si>
    <t>SL0525</t>
  </si>
  <si>
    <t>2024-07-12</t>
  </si>
  <si>
    <t>MS BOLANLE r127</t>
  </si>
  <si>
    <t>SL0526</t>
  </si>
  <si>
    <t>Mr Okanrende Kazeem</t>
  </si>
  <si>
    <t>2024-08-12</t>
  </si>
  <si>
    <t>MS YETUNDE ABISOYE r82</t>
  </si>
  <si>
    <t>SL0527</t>
  </si>
  <si>
    <t>Mr Aremu Kayode</t>
  </si>
  <si>
    <t>2024-09-12</t>
  </si>
  <si>
    <t>OGIDAN r43</t>
  </si>
  <si>
    <t>SL0528</t>
  </si>
  <si>
    <t>MAMA ADEBIMPE r5</t>
  </si>
  <si>
    <t>SL0529</t>
  </si>
  <si>
    <t>MS YETUNDE ABISOYE r83</t>
  </si>
  <si>
    <t>SL0530</t>
  </si>
  <si>
    <t>2024-11-12</t>
  </si>
  <si>
    <t>MAMA ADEBIMPE r72</t>
  </si>
  <si>
    <t>SL0531</t>
  </si>
  <si>
    <t>Mr Akinsete Michael</t>
  </si>
  <si>
    <t>14/12/2024</t>
  </si>
  <si>
    <t>MD r89</t>
  </si>
  <si>
    <t>SL0532</t>
  </si>
  <si>
    <t>BP-C0153</t>
  </si>
  <si>
    <t>Miss Ademakinwa Abosede Wuraola</t>
  </si>
  <si>
    <t>15/12/2024</t>
  </si>
  <si>
    <t>MS TAIWO r74</t>
  </si>
  <si>
    <t>SL0533</t>
  </si>
  <si>
    <t>BP-C0154</t>
  </si>
  <si>
    <t>Mr Adepoju Adewale Emmanuel</t>
  </si>
  <si>
    <t>SL0534</t>
  </si>
  <si>
    <t>BP-C0155</t>
  </si>
  <si>
    <t>Mr Adeyanju Adebayo Samson</t>
  </si>
  <si>
    <t>SL0535</t>
  </si>
  <si>
    <t>BP-C0156</t>
  </si>
  <si>
    <t>Mr Simien Sauel &amp; Mrs Simien Oyindamola Adekunle</t>
  </si>
  <si>
    <t>SL0536</t>
  </si>
  <si>
    <t>BP-C0157</t>
  </si>
  <si>
    <t>Mrs Adepoju Adebola Adeniran</t>
  </si>
  <si>
    <t>SL0537</t>
  </si>
  <si>
    <t>16/12/2024</t>
  </si>
  <si>
    <t>SL0538</t>
  </si>
  <si>
    <t>MS ADENIKE r29</t>
  </si>
  <si>
    <t>SL0539</t>
  </si>
  <si>
    <t>Mr Taiwo John Adeleye</t>
  </si>
  <si>
    <t>19/12/2024</t>
  </si>
  <si>
    <t>MS JOCHEBED r22</t>
  </si>
  <si>
    <t>SL0540</t>
  </si>
  <si>
    <t>Miss Keshinro Oluwatunmise Phebe</t>
  </si>
  <si>
    <t>20/12/2024</t>
  </si>
  <si>
    <t>MR CHARLES r76</t>
  </si>
  <si>
    <t>SL0541</t>
  </si>
  <si>
    <t>BP-C0158</t>
  </si>
  <si>
    <t>Mr Shino Precious Vincent</t>
  </si>
  <si>
    <t>MR DANIEL r2</t>
  </si>
  <si>
    <t>SL0542</t>
  </si>
  <si>
    <t>BP-C0159</t>
  </si>
  <si>
    <t>Miss Etefe Ava Ogheneyorhe</t>
  </si>
  <si>
    <t>24/12/2024</t>
  </si>
  <si>
    <t>MS ELIZABETH r55</t>
  </si>
  <si>
    <t>SL0543</t>
  </si>
  <si>
    <t>Mr Grant Chetanna</t>
  </si>
  <si>
    <t>SL0544</t>
  </si>
  <si>
    <t>SL0545</t>
  </si>
  <si>
    <t>25/12/2024</t>
  </si>
  <si>
    <t>MD r91</t>
  </si>
  <si>
    <t>SL0546</t>
  </si>
  <si>
    <t>MS TOBI AJAYI r43</t>
  </si>
  <si>
    <t>SL0547</t>
  </si>
  <si>
    <t>27/12/2024</t>
  </si>
  <si>
    <t>SL0548</t>
  </si>
  <si>
    <t>MD r98</t>
  </si>
  <si>
    <t>SL0549</t>
  </si>
  <si>
    <t>MD r97</t>
  </si>
  <si>
    <t>SL0550</t>
  </si>
  <si>
    <t>BP-C0160</t>
  </si>
  <si>
    <t>Mr Okenla Olugboyega Gabriel</t>
  </si>
  <si>
    <t>MS MOFFAT r3, MRS ABIMBOLA r177</t>
  </si>
  <si>
    <t>SL0551</t>
  </si>
  <si>
    <t>MS JOCHEBED r29</t>
  </si>
  <si>
    <t>SL0552</t>
  </si>
  <si>
    <t>Mrs Akindele Felicia</t>
  </si>
  <si>
    <t>MS FISAYO r61</t>
  </si>
  <si>
    <t>SL0553</t>
  </si>
  <si>
    <t>BP-C0161</t>
  </si>
  <si>
    <t>Miss Uthman Alimot Modupe</t>
  </si>
  <si>
    <t>30/12/2024</t>
  </si>
  <si>
    <t>MS TOBI AJAYI r49</t>
  </si>
  <si>
    <t>SL0554</t>
  </si>
  <si>
    <t>MS MOFFAT r4, MRS ABIMBOLA r178</t>
  </si>
  <si>
    <t>SL0555</t>
  </si>
  <si>
    <t>BP-C0163</t>
  </si>
  <si>
    <t>Mr Ajagbe James Olatayo</t>
  </si>
  <si>
    <t>31/12/2024</t>
  </si>
  <si>
    <t>MR BAKI r22</t>
  </si>
  <si>
    <t>SL0556</t>
  </si>
  <si>
    <t>SL0557</t>
  </si>
  <si>
    <t>2025-01</t>
  </si>
  <si>
    <t>2025-01-01</t>
  </si>
  <si>
    <t>SL0558</t>
  </si>
  <si>
    <t>BP-C0164</t>
  </si>
  <si>
    <t>Miss Arogundade Motunrayo Azeezat</t>
  </si>
  <si>
    <t>MR IBUKUN</t>
  </si>
  <si>
    <t>2025-02-01</t>
  </si>
  <si>
    <t>SL0559</t>
  </si>
  <si>
    <t>2025-08-01</t>
  </si>
  <si>
    <t>SL0560</t>
  </si>
  <si>
    <t>Miss Tijani Tawa Motunrayo</t>
  </si>
  <si>
    <t>MS AWONORIN MAYOWA</t>
  </si>
  <si>
    <t>SL0561</t>
  </si>
  <si>
    <t>MAMA ADEBIMPE</t>
  </si>
  <si>
    <t>SL0562</t>
  </si>
  <si>
    <t>MS JOCHEBED</t>
  </si>
  <si>
    <t>2025-10-01</t>
  </si>
  <si>
    <t>SL0563</t>
  </si>
  <si>
    <t>MS FISAYO</t>
  </si>
  <si>
    <t>14/01/2025</t>
  </si>
  <si>
    <t>SL0564</t>
  </si>
  <si>
    <t>BP-C0165</t>
  </si>
  <si>
    <t>Mr Sunday Osabhue Ebosele</t>
  </si>
  <si>
    <t>MD</t>
  </si>
  <si>
    <t>20/01/2025</t>
  </si>
  <si>
    <t>MS SHUBOMI r2</t>
  </si>
  <si>
    <t>SL0565</t>
  </si>
  <si>
    <t>MS MAYOWA BRAIMOH</t>
  </si>
  <si>
    <t>21/01/2025</t>
  </si>
  <si>
    <t>SL0566</t>
  </si>
  <si>
    <t>MS SHUBOMI r3</t>
  </si>
  <si>
    <t>SL0567</t>
  </si>
  <si>
    <t>22/01/2025</t>
  </si>
  <si>
    <t>MS SHUBOMI r4</t>
  </si>
  <si>
    <t>SL0568</t>
  </si>
  <si>
    <t>BP-C0166</t>
  </si>
  <si>
    <t>Mr Showande Lateef Olawale</t>
  </si>
  <si>
    <t>OGIDAN</t>
  </si>
  <si>
    <t>23/01/2025</t>
  </si>
  <si>
    <t>SL0569</t>
  </si>
  <si>
    <t>MS SHUBOMI r5</t>
  </si>
  <si>
    <t>SL0570</t>
  </si>
  <si>
    <t>24/01/2025</t>
  </si>
  <si>
    <t>SL0571</t>
  </si>
  <si>
    <t>MS SHUBOMI</t>
  </si>
  <si>
    <t>SL0572</t>
  </si>
  <si>
    <t>MS TOBI AJAYI</t>
  </si>
  <si>
    <t>25/01/2025</t>
  </si>
  <si>
    <t>SL0573</t>
  </si>
  <si>
    <t>MD r121</t>
  </si>
  <si>
    <t>SL0574</t>
  </si>
  <si>
    <t>26/01/2025</t>
  </si>
  <si>
    <t>SL0575</t>
  </si>
  <si>
    <t>MS ELIZABETH</t>
  </si>
  <si>
    <t>28/01/2025</t>
  </si>
  <si>
    <t>SL0576</t>
  </si>
  <si>
    <t>MR AYENI MAYOWA</t>
  </si>
  <si>
    <t>SL0577</t>
  </si>
  <si>
    <t>BP-C0167</t>
  </si>
  <si>
    <t>Mr Uneze Grant Chetana</t>
  </si>
  <si>
    <t>MS SAMUELLA</t>
  </si>
  <si>
    <t>29/01/2025</t>
  </si>
  <si>
    <t>SL0578</t>
  </si>
  <si>
    <t>MS TAIWO</t>
  </si>
  <si>
    <t>30/01/2025</t>
  </si>
  <si>
    <t>SL0579</t>
  </si>
  <si>
    <t>SL0580</t>
  </si>
  <si>
    <t>SL0581</t>
  </si>
  <si>
    <t>SL0582</t>
  </si>
  <si>
    <t>SL0583</t>
  </si>
  <si>
    <t>SL0584</t>
  </si>
  <si>
    <t>SL0585</t>
  </si>
  <si>
    <t>BP-C0143</t>
  </si>
  <si>
    <t>Mrs Oyindamola Duntoye Adekunle</t>
  </si>
  <si>
    <t>SL0586</t>
  </si>
  <si>
    <t>MS ADENIKE</t>
  </si>
  <si>
    <t>SL0587</t>
  </si>
  <si>
    <t>SL0588</t>
  </si>
  <si>
    <t>31/01/2025</t>
  </si>
  <si>
    <t>SL0589</t>
  </si>
  <si>
    <t>Mr Shino Vincent Precious</t>
  </si>
  <si>
    <t>MR DANIEL</t>
  </si>
  <si>
    <t>SL0590</t>
  </si>
  <si>
    <t>2025-02</t>
  </si>
  <si>
    <t>Mr Ajiboso Damilare Moses &amp; Mrs Ajiboso Gbemisola Rachael</t>
  </si>
  <si>
    <t>2025-03-02</t>
  </si>
  <si>
    <t>SL0591</t>
  </si>
  <si>
    <t>BP-C0168</t>
  </si>
  <si>
    <t>Mrs Adenuga Damilola Grace</t>
  </si>
  <si>
    <t>2025-04-02</t>
  </si>
  <si>
    <t>SL0592</t>
  </si>
  <si>
    <t>2025-05-02</t>
  </si>
  <si>
    <t>SL0593</t>
  </si>
  <si>
    <t>BP-C0170</t>
  </si>
  <si>
    <t>Mr Owomoyela Abiodun Michael</t>
  </si>
  <si>
    <t>MS ABISOLA</t>
  </si>
  <si>
    <t>2025-06-02</t>
  </si>
  <si>
    <t>SL0594</t>
  </si>
  <si>
    <t>2025-10-02</t>
  </si>
  <si>
    <t>SL0595</t>
  </si>
  <si>
    <t>BP-C0172</t>
  </si>
  <si>
    <t>Mr Peter Chidera Eteng</t>
  </si>
  <si>
    <t>MS JENNIFER</t>
  </si>
  <si>
    <t>SL0596</t>
  </si>
  <si>
    <t>Mr Adekunle Temitope Ajayi</t>
  </si>
  <si>
    <t>MS OPEYEMI ADEGOKE</t>
  </si>
  <si>
    <t>2025-11-02</t>
  </si>
  <si>
    <t>SL0597</t>
  </si>
  <si>
    <t>SL0598</t>
  </si>
  <si>
    <t>MD r122</t>
  </si>
  <si>
    <t>SL0599</t>
  </si>
  <si>
    <t>2025-12-02</t>
  </si>
  <si>
    <t>MD r123</t>
  </si>
  <si>
    <t>SL0600</t>
  </si>
  <si>
    <t>SL0601</t>
  </si>
  <si>
    <t>13/02/2025</t>
  </si>
  <si>
    <t>SL0602</t>
  </si>
  <si>
    <t>BP-C0173</t>
  </si>
  <si>
    <t>Miss Julian-Nwadi Hephzibah Chisom</t>
  </si>
  <si>
    <t>MS ROSEMARY</t>
  </si>
  <si>
    <t>14/02/2025</t>
  </si>
  <si>
    <t>SL0603</t>
  </si>
  <si>
    <t>SL0604</t>
  </si>
  <si>
    <t>SL0605</t>
  </si>
  <si>
    <t>18/02/2025</t>
  </si>
  <si>
    <t>SL0606</t>
  </si>
  <si>
    <t>24/02/2025</t>
  </si>
  <si>
    <t>SL0607</t>
  </si>
  <si>
    <t>25/02/2025</t>
  </si>
  <si>
    <t>SL0608</t>
  </si>
  <si>
    <t>SL0609</t>
  </si>
  <si>
    <t>BP-C0174</t>
  </si>
  <si>
    <t>Mr Kafidipe Oladimeji Ayomikusibe</t>
  </si>
  <si>
    <t>MS OLABISI</t>
  </si>
  <si>
    <t>SL0610</t>
  </si>
  <si>
    <t>26/02/2025</t>
  </si>
  <si>
    <t>SL0611</t>
  </si>
  <si>
    <t>BP-C0175</t>
  </si>
  <si>
    <t>Mr Marizu Precious Chisom</t>
  </si>
  <si>
    <t>SL0612</t>
  </si>
  <si>
    <t>BP-C0176</t>
  </si>
  <si>
    <t>Mrs Marizu Geraldine Ijeoma</t>
  </si>
  <si>
    <t>SL0613</t>
  </si>
  <si>
    <t>28/02/2025</t>
  </si>
  <si>
    <t>SL0614</t>
  </si>
  <si>
    <t>SL0615</t>
  </si>
  <si>
    <t>SL0616</t>
  </si>
  <si>
    <t>SL0617</t>
  </si>
  <si>
    <t>SL0618</t>
  </si>
  <si>
    <t>SL0619</t>
  </si>
  <si>
    <t>SL0620</t>
  </si>
  <si>
    <t>SL0621</t>
  </si>
  <si>
    <t>2025-03</t>
  </si>
  <si>
    <t>2025-01-03</t>
  </si>
  <si>
    <t>SL0622</t>
  </si>
  <si>
    <t>BP-C0177</t>
  </si>
  <si>
    <t>Mrs. Osobu Olufunke</t>
  </si>
  <si>
    <t>ENGR. TOBI AJIBOLA</t>
  </si>
  <si>
    <t>2025-02-03</t>
  </si>
  <si>
    <t>SL0623</t>
  </si>
  <si>
    <t>2025-03-03</t>
  </si>
  <si>
    <t>SL0624</t>
  </si>
  <si>
    <t>BP-C0178</t>
  </si>
  <si>
    <t>Mrs Ajiri-Odeh Chioma</t>
  </si>
  <si>
    <t>SL0625</t>
  </si>
  <si>
    <t>SL0626</t>
  </si>
  <si>
    <t>2025-04-03</t>
  </si>
  <si>
    <t>SL0627</t>
  </si>
  <si>
    <t>SL0628</t>
  </si>
  <si>
    <t>2025-05-03</t>
  </si>
  <si>
    <t>SL0629</t>
  </si>
  <si>
    <t>BP-C0179</t>
  </si>
  <si>
    <t>Mr Olajide Afeez</t>
  </si>
  <si>
    <t>2025-06-03</t>
  </si>
  <si>
    <t>SL0630</t>
  </si>
  <si>
    <t>2025-07-03</t>
  </si>
  <si>
    <t>SL0631</t>
  </si>
  <si>
    <t>SL0632</t>
  </si>
  <si>
    <t>2025-08-03</t>
  </si>
  <si>
    <t>SL0633</t>
  </si>
  <si>
    <t>2025-09-03</t>
  </si>
  <si>
    <t>SL0634</t>
  </si>
  <si>
    <t>13/03/2025</t>
  </si>
  <si>
    <t>SL0635</t>
  </si>
  <si>
    <t>BP-C0183</t>
  </si>
  <si>
    <t>Salem Real Estate (Mr Atoyebi Isaac Jesuloba)</t>
  </si>
  <si>
    <t>14/03/2025</t>
  </si>
  <si>
    <t>SALEM REAL ESTATE r2</t>
  </si>
  <si>
    <t>SL0636</t>
  </si>
  <si>
    <t>16/03/2025</t>
  </si>
  <si>
    <t>SALEM REAL ESTATE r3</t>
  </si>
  <si>
    <t>SL0637</t>
  </si>
  <si>
    <t>BP-C0184</t>
  </si>
  <si>
    <t>Mr Klu Jeremiah</t>
  </si>
  <si>
    <t>18/03/2025</t>
  </si>
  <si>
    <t>SL0638</t>
  </si>
  <si>
    <t>MS MOFFAT</t>
  </si>
  <si>
    <t>20/03/2025</t>
  </si>
  <si>
    <t>MRS ABIMBOLA r184</t>
  </si>
  <si>
    <t>SL0639</t>
  </si>
  <si>
    <t>BP-C0185</t>
  </si>
  <si>
    <t>Mr Onwuegbuna Ikechukwu Emmanuel</t>
  </si>
  <si>
    <t>MS LORENCIA</t>
  </si>
  <si>
    <t>SL0640</t>
  </si>
  <si>
    <t>21/03/2025</t>
  </si>
  <si>
    <t>SL0641</t>
  </si>
  <si>
    <t>SL0642</t>
  </si>
  <si>
    <t>BP-C0186</t>
  </si>
  <si>
    <t>Salem real Estate (Mrs Omoko Onora Helen)</t>
  </si>
  <si>
    <t>SALEM REAL ESTATE r4</t>
  </si>
  <si>
    <t>SL0643</t>
  </si>
  <si>
    <t>BP-C0181</t>
  </si>
  <si>
    <t>Miss Joshua Fortune Ufot</t>
  </si>
  <si>
    <t>MS PRAISE</t>
  </si>
  <si>
    <t>23/03/202512/03/2025</t>
  </si>
  <si>
    <t>SL0644</t>
  </si>
  <si>
    <t>BP-C0187</t>
  </si>
  <si>
    <t>Miss Olotu Tabitha Olamide</t>
  </si>
  <si>
    <t>MS OKIKIOLA</t>
  </si>
  <si>
    <t>23/03/2025</t>
  </si>
  <si>
    <t>SL0645</t>
  </si>
  <si>
    <t>SL0646</t>
  </si>
  <si>
    <t>25/03/2025</t>
  </si>
  <si>
    <t>SL0647</t>
  </si>
  <si>
    <t>MS YETUNDE ABISOYE</t>
  </si>
  <si>
    <t>26/03/2025</t>
  </si>
  <si>
    <t>SL0648</t>
  </si>
  <si>
    <t>27/03/2025</t>
  </si>
  <si>
    <t>SL0649</t>
  </si>
  <si>
    <t>SL0650</t>
  </si>
  <si>
    <t>SL0651</t>
  </si>
  <si>
    <t>SL0652</t>
  </si>
  <si>
    <t>SL0653</t>
  </si>
  <si>
    <t>28/03/2025</t>
  </si>
  <si>
    <t>SL0654</t>
  </si>
  <si>
    <t>SL0655</t>
  </si>
  <si>
    <t>Mr Ajiboso Damilare &amp; Mrs Ajiboso Gbemisola</t>
  </si>
  <si>
    <t>29/03/2025</t>
  </si>
  <si>
    <t>SL0656</t>
  </si>
  <si>
    <t>SL0657</t>
  </si>
  <si>
    <t>BP-C0188</t>
  </si>
  <si>
    <t>Mrs Kazeem Mariam Omotunde</t>
  </si>
  <si>
    <t>SL0658</t>
  </si>
  <si>
    <t>BP-C0189</t>
  </si>
  <si>
    <t>Mr Ganiyu &amp; Mrs Yemisi Olowodagba</t>
  </si>
  <si>
    <t>30/03/2025</t>
  </si>
  <si>
    <t>SL0659</t>
  </si>
  <si>
    <t>Mr Olatunde Selim Olowodagba</t>
  </si>
  <si>
    <t>SL0660</t>
  </si>
  <si>
    <t>31/03/2025</t>
  </si>
  <si>
    <t>SL0661</t>
  </si>
  <si>
    <t>BP-C0190</t>
  </si>
  <si>
    <t>Mr Olaiya Oluwatobi</t>
  </si>
  <si>
    <t>SL0662</t>
  </si>
  <si>
    <t>SL0663</t>
  </si>
  <si>
    <t>BP-C0191</t>
  </si>
  <si>
    <t>Mrs Oduomah Jumoke</t>
  </si>
  <si>
    <t>MR KENNY BRUCE</t>
  </si>
  <si>
    <t>SL0664</t>
  </si>
  <si>
    <t>2025-04</t>
  </si>
  <si>
    <t>2025-01-04</t>
  </si>
  <si>
    <t>SL0665</t>
  </si>
  <si>
    <t>SL0666</t>
  </si>
  <si>
    <t>2025-02-04</t>
  </si>
  <si>
    <t>SL0667</t>
  </si>
  <si>
    <t>SL0668</t>
  </si>
  <si>
    <t>SL0669</t>
  </si>
  <si>
    <t>2025-03-04</t>
  </si>
  <si>
    <t>SL0670</t>
  </si>
  <si>
    <t>2025-04-04</t>
  </si>
  <si>
    <t>SL0671</t>
  </si>
  <si>
    <t>BP-C0192</t>
  </si>
  <si>
    <t>Dr Esangbedo Wilson</t>
  </si>
  <si>
    <t>2025-05-04</t>
  </si>
  <si>
    <t>MRS ABIMBOLA r190</t>
  </si>
  <si>
    <t>SL0672</t>
  </si>
  <si>
    <t>2025-06-04</t>
  </si>
  <si>
    <t>SL0673</t>
  </si>
  <si>
    <t>BP-C0193</t>
  </si>
  <si>
    <t>Mr Emmanuel Famous Chinenye</t>
  </si>
  <si>
    <t>2025-07-04</t>
  </si>
  <si>
    <t>SL0674</t>
  </si>
  <si>
    <t>SL0675</t>
  </si>
  <si>
    <t>2025-08-04</t>
  </si>
  <si>
    <t>SL0676</t>
  </si>
  <si>
    <t>2025-09-04</t>
  </si>
  <si>
    <t>SL0677</t>
  </si>
  <si>
    <t>2025-10-04</t>
  </si>
  <si>
    <t>SL0678</t>
  </si>
  <si>
    <t>2025-11-04</t>
  </si>
  <si>
    <t>SL0679</t>
  </si>
  <si>
    <t>SALEM REAL ESTATE r6</t>
  </si>
  <si>
    <t>SL0680</t>
  </si>
  <si>
    <t>BP-C0194</t>
  </si>
  <si>
    <t>Mrs Enitan Pine</t>
  </si>
  <si>
    <t>2025-12-04</t>
  </si>
  <si>
    <t>SL0681</t>
  </si>
  <si>
    <t>14/04/2025</t>
  </si>
  <si>
    <t>SL0682</t>
  </si>
  <si>
    <t>15/04/2025</t>
  </si>
  <si>
    <t>MRS ABIMBOLA r191</t>
  </si>
  <si>
    <t>SL0683</t>
  </si>
  <si>
    <t>16/04/2025</t>
  </si>
  <si>
    <t>SL0684</t>
  </si>
  <si>
    <t>22/04/2025</t>
  </si>
  <si>
    <t>SL0685</t>
  </si>
  <si>
    <t>SALEM REAL ESTATE r5</t>
  </si>
  <si>
    <t>SL0686</t>
  </si>
  <si>
    <t>23/04/2025</t>
  </si>
  <si>
    <t>SL0687</t>
  </si>
  <si>
    <t>SL0688</t>
  </si>
  <si>
    <t>25/04/2025</t>
  </si>
  <si>
    <t>SL0689</t>
  </si>
  <si>
    <t>SL0690</t>
  </si>
  <si>
    <t>SL0691</t>
  </si>
  <si>
    <t>SL0692</t>
  </si>
  <si>
    <t>28/04/2025</t>
  </si>
  <si>
    <t>SL0693</t>
  </si>
  <si>
    <t>29/04/2025</t>
  </si>
  <si>
    <t>SL0694</t>
  </si>
  <si>
    <t>SL0695</t>
  </si>
  <si>
    <t>2025-05</t>
  </si>
  <si>
    <t>2025-01-05</t>
  </si>
  <si>
    <t>SL0696</t>
  </si>
  <si>
    <t>MS MOFFAT r31</t>
  </si>
  <si>
    <t>SL0697</t>
  </si>
  <si>
    <t>SL0698</t>
  </si>
  <si>
    <t>2025-02-05</t>
  </si>
  <si>
    <t>SL0699</t>
  </si>
  <si>
    <t>SL0700</t>
  </si>
  <si>
    <t>2025-07-05</t>
  </si>
  <si>
    <t>SL0701</t>
  </si>
  <si>
    <t>SL0702</t>
  </si>
  <si>
    <t>SL0703</t>
  </si>
  <si>
    <t>2025-09-05</t>
  </si>
  <si>
    <t>SALEM REAL ESTATE r14</t>
  </si>
  <si>
    <t>SL0704</t>
  </si>
  <si>
    <t>SALEM REAL ESTATE r15</t>
  </si>
  <si>
    <t>SL0705</t>
  </si>
  <si>
    <t>13/05/2025</t>
  </si>
  <si>
    <t>SL0706</t>
  </si>
  <si>
    <t>BP-C0195</t>
  </si>
  <si>
    <t>Mr Haruna Adekunle Waheed</t>
  </si>
  <si>
    <t>14/05/2025</t>
  </si>
  <si>
    <t>SL0707</t>
  </si>
  <si>
    <t>17/05/2025</t>
  </si>
  <si>
    <t>SL0708</t>
  </si>
  <si>
    <t>19/05/2025</t>
  </si>
  <si>
    <t>SL0709</t>
  </si>
  <si>
    <t>22/05/2025</t>
  </si>
  <si>
    <t>SL0710</t>
  </si>
  <si>
    <t>SL0711</t>
  </si>
  <si>
    <t>SL0712</t>
  </si>
  <si>
    <t>27/05/2025</t>
  </si>
  <si>
    <t>SL0713</t>
  </si>
  <si>
    <t>SL0714</t>
  </si>
  <si>
    <t>29/05/2025</t>
  </si>
  <si>
    <t>SL0715</t>
  </si>
  <si>
    <t>30/05/2025</t>
  </si>
  <si>
    <t>SL0716</t>
  </si>
  <si>
    <t>SL0717</t>
  </si>
  <si>
    <t>2025-06</t>
  </si>
  <si>
    <t>2025-01-06</t>
  </si>
  <si>
    <t>SL0718</t>
  </si>
  <si>
    <t>2025-02-06</t>
  </si>
  <si>
    <t>MRS ABIMBOLA r208</t>
  </si>
  <si>
    <t>SL0719</t>
  </si>
  <si>
    <t>2025-04-06</t>
  </si>
  <si>
    <t>SALEM REAL ESTATE r22</t>
  </si>
  <si>
    <t>SL0720</t>
  </si>
  <si>
    <t>2025-05-06</t>
  </si>
  <si>
    <t>SL0721</t>
  </si>
  <si>
    <t>SL0722</t>
  </si>
  <si>
    <t>SALEM REAL ESTATE r23</t>
  </si>
  <si>
    <t>SL0723</t>
  </si>
  <si>
    <t>2025-07-06</t>
  </si>
  <si>
    <t>SL0724</t>
  </si>
  <si>
    <t>2025-10-06</t>
  </si>
  <si>
    <t>SL0725</t>
  </si>
  <si>
    <t>2025-11-06</t>
  </si>
  <si>
    <t>SL0726</t>
  </si>
  <si>
    <t>BP-C0196</t>
  </si>
  <si>
    <t>Mr Ikechukwu Godson Agbim</t>
  </si>
  <si>
    <t>SL0727</t>
  </si>
  <si>
    <t>13/06/2025</t>
  </si>
  <si>
    <t>SL0728</t>
  </si>
  <si>
    <t>16/06/2025</t>
  </si>
  <si>
    <t>SALEM REAL ESTATE r24</t>
  </si>
  <si>
    <t>SL0729</t>
  </si>
  <si>
    <t>18/06/2025</t>
  </si>
  <si>
    <t>SL0730</t>
  </si>
  <si>
    <t>20/06/2025</t>
  </si>
  <si>
    <t>SL0731</t>
  </si>
  <si>
    <t>21/06/2025</t>
  </si>
  <si>
    <t>SL0732</t>
  </si>
  <si>
    <t>23/06/2025</t>
  </si>
  <si>
    <t>SL0733</t>
  </si>
  <si>
    <t>SL0734</t>
  </si>
  <si>
    <t>24/06/2025</t>
  </si>
  <si>
    <t>SL0735</t>
  </si>
  <si>
    <t>SL0736</t>
  </si>
  <si>
    <t>SL0737</t>
  </si>
  <si>
    <t>26/06/2025</t>
  </si>
  <si>
    <t>SL0738</t>
  </si>
  <si>
    <t>SALEM REAL ESTATE r31</t>
  </si>
  <si>
    <t>SL0739</t>
  </si>
  <si>
    <t>29/06/2025</t>
  </si>
  <si>
    <t>SL0740</t>
  </si>
  <si>
    <t>SL0741</t>
  </si>
  <si>
    <t>2025-07</t>
  </si>
  <si>
    <t>2025-04-07</t>
  </si>
  <si>
    <t>MRS ABIMBOLA r216</t>
  </si>
  <si>
    <t>SL0742</t>
  </si>
  <si>
    <t>2025-07-07</t>
  </si>
  <si>
    <t>SL0743</t>
  </si>
  <si>
    <t>2025-10-07</t>
  </si>
  <si>
    <t>SL0744</t>
  </si>
  <si>
    <t>2025-11-07</t>
  </si>
  <si>
    <t>SL0745</t>
  </si>
  <si>
    <t>14/07/2025</t>
  </si>
  <si>
    <t>SL0746</t>
  </si>
  <si>
    <t>BP-C0198</t>
  </si>
  <si>
    <t>Mr Akinruntan Adeyinka Benson</t>
  </si>
  <si>
    <t>16/07/2025</t>
  </si>
  <si>
    <t>SL0747</t>
  </si>
  <si>
    <t>BP-C0200</t>
  </si>
  <si>
    <t>Dr Oladeji Ifeoluwa Solomon</t>
  </si>
  <si>
    <t>LANDNEST HOMES</t>
  </si>
  <si>
    <t>22/07/2025</t>
  </si>
  <si>
    <t>SL0748</t>
  </si>
  <si>
    <t>BP-C0199</t>
  </si>
  <si>
    <t>Landnest Homes (Mrs Abimbola)</t>
  </si>
  <si>
    <t>SL0749</t>
  </si>
  <si>
    <t>BP-C0202</t>
  </si>
  <si>
    <t>Miss Yesher Yakubu &amp; Miss Hadassah Yakubu</t>
  </si>
  <si>
    <t>24/07/2025</t>
  </si>
  <si>
    <t>SL0750</t>
  </si>
  <si>
    <t>BP-C0203</t>
  </si>
  <si>
    <t>Mr Ogbomah Ebi Wilfred</t>
  </si>
  <si>
    <t>SL0751</t>
  </si>
  <si>
    <t>BP-C0204</t>
  </si>
  <si>
    <t>Mr Akinjogunla Isaac Ogooluwa</t>
  </si>
  <si>
    <t>25/07/2025</t>
  </si>
  <si>
    <t>SL0752</t>
  </si>
  <si>
    <t>BP-C0205</t>
  </si>
  <si>
    <t>Landnest Homes (Mrs Lukoh)</t>
  </si>
  <si>
    <t>26/07/2025</t>
  </si>
  <si>
    <t>SL0753</t>
  </si>
  <si>
    <t>27/07/2025</t>
  </si>
  <si>
    <t>SALEM REAL ESTATE r38</t>
  </si>
  <si>
    <t>SL0754</t>
  </si>
  <si>
    <t>BP-C0208</t>
  </si>
  <si>
    <t>Dr Areo Olusola Michael</t>
  </si>
  <si>
    <t>29/07/2025</t>
  </si>
  <si>
    <t>SL0755</t>
  </si>
  <si>
    <t>BP-C0207</t>
  </si>
  <si>
    <t>Landnest Homes (Mrs Beatrice)</t>
  </si>
  <si>
    <t>SL0756</t>
  </si>
  <si>
    <t>SL0757</t>
  </si>
  <si>
    <t>BP-C0210</t>
  </si>
  <si>
    <t>Mrs Pine Ritajoe Egbede</t>
  </si>
  <si>
    <t>SL0758</t>
  </si>
  <si>
    <t>2025-08</t>
  </si>
  <si>
    <t>2025-05-08</t>
  </si>
  <si>
    <t>MRS ABIMBOLA r229</t>
  </si>
  <si>
    <t>SL0759</t>
  </si>
  <si>
    <t>SL0760</t>
  </si>
  <si>
    <t>SL0761</t>
  </si>
  <si>
    <t>Mr Adeniji Oluwatosin Ademola</t>
  </si>
  <si>
    <t>2025-06-08</t>
  </si>
  <si>
    <t>SL0762</t>
  </si>
  <si>
    <t>2025-07-08</t>
  </si>
  <si>
    <t>SL0763</t>
  </si>
  <si>
    <t>2025-08-08</t>
  </si>
  <si>
    <t>SL0764</t>
  </si>
  <si>
    <t>SL0765</t>
  </si>
  <si>
    <t>SL0766</t>
  </si>
  <si>
    <t>2025-09-08</t>
  </si>
  <si>
    <t>SL0767</t>
  </si>
  <si>
    <t>2025-10-08</t>
  </si>
  <si>
    <t>SL0768</t>
  </si>
  <si>
    <t>2025-11-08</t>
  </si>
  <si>
    <t>SL0769</t>
  </si>
  <si>
    <t>SL0770</t>
  </si>
  <si>
    <t>2025-12-08</t>
  </si>
  <si>
    <t>SL0771</t>
  </si>
  <si>
    <t>13/08/2025</t>
  </si>
  <si>
    <t>SL0772</t>
  </si>
  <si>
    <t>14/08/2025</t>
  </si>
  <si>
    <t>SL0773</t>
  </si>
  <si>
    <t>15/08/2025</t>
  </si>
  <si>
    <t>SL0774</t>
  </si>
  <si>
    <t>19/08/2025</t>
  </si>
  <si>
    <t>SL0775</t>
  </si>
  <si>
    <t>SL0776</t>
  </si>
  <si>
    <t>20/08/2025</t>
  </si>
  <si>
    <t>SL0777</t>
  </si>
  <si>
    <t>BP-C0213</t>
  </si>
  <si>
    <t>Mr Adelani Ibrahim Akinkunmi</t>
  </si>
  <si>
    <t>23/08/2025</t>
  </si>
  <si>
    <t>SL0778</t>
  </si>
  <si>
    <t>BP-C0214</t>
  </si>
  <si>
    <t>Mrs Taiwo Adeyinka</t>
  </si>
  <si>
    <t>SL0779</t>
  </si>
  <si>
    <t>26/08/2025</t>
  </si>
  <si>
    <t>SL0780</t>
  </si>
  <si>
    <t>SL0781</t>
  </si>
  <si>
    <t>28/08/2025</t>
  </si>
  <si>
    <t>SALEM REAL ESTATE r45</t>
  </si>
  <si>
    <t>SL0782</t>
  </si>
  <si>
    <t>29/08/2025</t>
  </si>
  <si>
    <t>SL0783</t>
  </si>
  <si>
    <t>SL0784</t>
  </si>
  <si>
    <t>SL0785</t>
  </si>
  <si>
    <t>SL0786</t>
  </si>
  <si>
    <t>2025-09</t>
  </si>
  <si>
    <t>BP-C0215</t>
  </si>
  <si>
    <t>Landnest (Mrs Lukoh)</t>
  </si>
  <si>
    <t>2025-03-09</t>
  </si>
  <si>
    <t>SL0787</t>
  </si>
  <si>
    <t>SL0788</t>
  </si>
  <si>
    <t>2025-05-09</t>
  </si>
  <si>
    <t>SL0789</t>
  </si>
  <si>
    <t>15/09/2025</t>
  </si>
  <si>
    <t>SL0790</t>
  </si>
  <si>
    <t>16/09/2025</t>
  </si>
  <si>
    <t>SL0791</t>
  </si>
  <si>
    <t>SL0792</t>
  </si>
  <si>
    <t>18/09/2025</t>
  </si>
  <si>
    <t>SL0793</t>
  </si>
  <si>
    <t>SL0794</t>
  </si>
  <si>
    <t>24/09/2025</t>
  </si>
  <si>
    <t>SL0795</t>
  </si>
  <si>
    <t>25/09/2025</t>
  </si>
  <si>
    <t>SL0796</t>
  </si>
  <si>
    <t>SL0797</t>
  </si>
  <si>
    <t>26/09/2025</t>
  </si>
  <si>
    <t>SL0798</t>
  </si>
  <si>
    <t>29/09/2025</t>
  </si>
  <si>
    <t>SL0799</t>
  </si>
  <si>
    <t>2025-10</t>
  </si>
  <si>
    <t>BP-C0216</t>
  </si>
  <si>
    <t>Mrs Oluwagbemiro Olajumoke Oluwakemi</t>
  </si>
  <si>
    <t>2025-03-10</t>
  </si>
  <si>
    <t>SL0800</t>
  </si>
  <si>
    <t>2025-05-10</t>
  </si>
  <si>
    <t>SL0801</t>
  </si>
  <si>
    <t>SL0802</t>
  </si>
  <si>
    <t>2025-06-10</t>
  </si>
  <si>
    <t>SL0803</t>
  </si>
  <si>
    <t>13/10/2025</t>
  </si>
  <si>
    <t>SL0804</t>
  </si>
  <si>
    <t>22/10/2025</t>
  </si>
  <si>
    <t>SL0805</t>
  </si>
  <si>
    <t>23/10/2025</t>
  </si>
  <si>
    <t>SL0806</t>
  </si>
  <si>
    <t>SL0807</t>
  </si>
  <si>
    <t>24/10/2025</t>
  </si>
  <si>
    <t>SL0808</t>
  </si>
  <si>
    <t>28/10/2025</t>
  </si>
  <si>
    <t>SL0809</t>
  </si>
  <si>
    <t>30/10/2025</t>
  </si>
  <si>
    <t>SL0810</t>
  </si>
  <si>
    <t>31/10/2025</t>
  </si>
  <si>
    <t>SL0811</t>
  </si>
  <si>
    <t>SL0812</t>
  </si>
  <si>
    <t>SL0813</t>
  </si>
  <si>
    <t>SALEM REAL ESTATE r52</t>
  </si>
  <si>
    <t>SL0814</t>
  </si>
  <si>
    <t>2025-11</t>
  </si>
  <si>
    <t>2025-05-11</t>
  </si>
  <si>
    <t>SL0815</t>
  </si>
  <si>
    <t>2025-06-11</t>
  </si>
  <si>
    <t>SL0816</t>
  </si>
  <si>
    <t>BP-C0217</t>
  </si>
  <si>
    <t>Mr Akinsola Joseph Mofoluwaso</t>
  </si>
  <si>
    <t>EXTREME OASIS (MD REALTOR GVC)</t>
  </si>
  <si>
    <t>2025-11-11</t>
  </si>
  <si>
    <t>SL0817</t>
  </si>
  <si>
    <t>2025-12-11</t>
  </si>
  <si>
    <t>SL0818</t>
  </si>
  <si>
    <t>13/11/2025</t>
  </si>
  <si>
    <t>SL0819</t>
  </si>
  <si>
    <t>BP-C0218</t>
  </si>
  <si>
    <t>Landnest Homes (Mrs Ayomipo)</t>
  </si>
  <si>
    <t>SL0820</t>
  </si>
  <si>
    <t>19/11/2025</t>
  </si>
  <si>
    <t>SL0821</t>
  </si>
  <si>
    <t>20/11/2025</t>
  </si>
  <si>
    <t>SL0822</t>
  </si>
  <si>
    <t>21/11/2025</t>
  </si>
  <si>
    <t>SL0823</t>
  </si>
  <si>
    <t>BP-C0219</t>
  </si>
  <si>
    <t>Mr Sunday Ali Patrick</t>
  </si>
  <si>
    <t>MARKETING DEPT</t>
  </si>
  <si>
    <t>MS MAYOWA BRAIMOH r99</t>
  </si>
  <si>
    <t>SL0824</t>
  </si>
  <si>
    <t>25/11/2025</t>
  </si>
  <si>
    <t>SL0825</t>
  </si>
  <si>
    <t>SL0826</t>
  </si>
  <si>
    <t>SL0827</t>
  </si>
  <si>
    <t>26/11/2025</t>
  </si>
  <si>
    <t>SL0828</t>
  </si>
  <si>
    <t>SL0829</t>
  </si>
  <si>
    <t>SL0830</t>
  </si>
  <si>
    <t>27/11/2025</t>
  </si>
  <si>
    <t>SL0831</t>
  </si>
  <si>
    <t>2025-12</t>
  </si>
  <si>
    <t>2025-01-12</t>
  </si>
  <si>
    <t>SL0832</t>
  </si>
  <si>
    <t>2025-05-12</t>
  </si>
  <si>
    <t>SL0833</t>
  </si>
  <si>
    <t>BP-C0220</t>
  </si>
  <si>
    <t>Mr Ayeni Mayowa Olumide Ibitayo Mercy</t>
  </si>
  <si>
    <t>SL0834</t>
  </si>
  <si>
    <t>SALEM REAL ESTATE</t>
  </si>
  <si>
    <t>MR CHARLES r128</t>
  </si>
  <si>
    <t>SL0835</t>
  </si>
  <si>
    <t>2025-07-12</t>
  </si>
  <si>
    <t>SL0836</t>
  </si>
  <si>
    <t>2025-09-12</t>
  </si>
  <si>
    <t>SL0837</t>
  </si>
  <si>
    <t>2025-10-12</t>
  </si>
  <si>
    <t>SL0838</t>
  </si>
  <si>
    <t>SL0839</t>
  </si>
  <si>
    <t>BP-C0221</t>
  </si>
  <si>
    <t>Mr Opeodu Ayodele &amp; Mr Daisi Omokoya</t>
  </si>
  <si>
    <t>SL0840</t>
  </si>
  <si>
    <t>2025-11-12</t>
  </si>
  <si>
    <t>SL0841</t>
  </si>
  <si>
    <t>SL0842</t>
  </si>
  <si>
    <t>15/12/2025</t>
  </si>
  <si>
    <t>SL0843</t>
  </si>
  <si>
    <t>16/12/2025</t>
  </si>
  <si>
    <t>SL0844</t>
  </si>
  <si>
    <t>SL0845</t>
  </si>
  <si>
    <t>SL0846</t>
  </si>
  <si>
    <t>Mr Agbim Ikechukwu Godson</t>
  </si>
  <si>
    <t>17/12/2025</t>
  </si>
  <si>
    <t>SL0847</t>
  </si>
  <si>
    <t>SL0848</t>
  </si>
  <si>
    <t>BP-C0222</t>
  </si>
  <si>
    <t>Mr Omodele Oluseye Johnson</t>
  </si>
  <si>
    <t>OJUMEFOR AGHA</t>
  </si>
  <si>
    <t>19/12/2025</t>
  </si>
  <si>
    <t>SL0849</t>
  </si>
  <si>
    <t>20/12/2025</t>
  </si>
  <si>
    <t>SL0850</t>
  </si>
  <si>
    <t>21/12/2025</t>
  </si>
  <si>
    <t>SL0851</t>
  </si>
  <si>
    <t>23/12/2025</t>
  </si>
  <si>
    <t>SL0852</t>
  </si>
  <si>
    <t>SL0853</t>
  </si>
  <si>
    <t>24/12/2025</t>
  </si>
  <si>
    <t>SL0854</t>
  </si>
  <si>
    <t>BP-C0224</t>
  </si>
  <si>
    <t>Salem real Estate (Mr Adebowale Oyindamola Adewunmi)</t>
  </si>
  <si>
    <t>SALEM REAL ESTATE r66</t>
  </si>
  <si>
    <t>SL0855</t>
  </si>
  <si>
    <t>26/12/2025</t>
  </si>
  <si>
    <t>SL0856</t>
  </si>
  <si>
    <t>27/12/2025</t>
  </si>
  <si>
    <t>SL0857</t>
  </si>
  <si>
    <t>SL0858</t>
  </si>
  <si>
    <t>30/12/2025</t>
  </si>
  <si>
    <t>SL0859</t>
  </si>
  <si>
    <t>31/12/2025</t>
  </si>
  <si>
    <t>Customer subscriptions per client register (subscribed Jan 2022 to Dec 2025)</t>
  </si>
  <si>
    <t>One row per customer per project, as recorded by Client Relations. Contract value and paid-to-date are as stated in the register, not recomputed.</t>
  </si>
  <si>
    <t>Sub ref</t>
  </si>
  <si>
    <t>Customer name (register)</t>
  </si>
  <si>
    <t>Unit / plot</t>
  </si>
  <si>
    <t>Subscription date</t>
  </si>
  <si>
    <t>Contract value (₦)</t>
  </si>
  <si>
    <t>Paid to date per register (₦)</t>
  </si>
  <si>
    <t>Balance per register (₦)</t>
  </si>
  <si>
    <t>Payment plan</t>
  </si>
  <si>
    <t>Status</t>
  </si>
  <si>
    <t>Allocation</t>
  </si>
  <si>
    <t>Documents stage</t>
  </si>
  <si>
    <t>Realtor / contact</t>
  </si>
  <si>
    <t>Date as recorded</t>
  </si>
  <si>
    <t>Note</t>
  </si>
  <si>
    <t>SB0001</t>
  </si>
  <si>
    <t>BP-C0001</t>
  </si>
  <si>
    <t>Mr Meshack Osagie</t>
  </si>
  <si>
    <t>terrace | units: 3.0</t>
  </si>
  <si>
    <t>15MONTHS</t>
  </si>
  <si>
    <t>PAID</t>
  </si>
  <si>
    <t>AKIN PHILIP</t>
  </si>
  <si>
    <t>BAAY PROJECTS CLIENTS &gt; PACIFIC COURT INVESTORS LIST</t>
  </si>
  <si>
    <t>2022-02-01</t>
  </si>
  <si>
    <t>SB0002</t>
  </si>
  <si>
    <t>BP-C0002</t>
  </si>
  <si>
    <t>Temidayo Oniosun</t>
  </si>
  <si>
    <t>fully detached | units: 1.0</t>
  </si>
  <si>
    <t>5MONTHS</t>
  </si>
  <si>
    <t>2022-04-01</t>
  </si>
  <si>
    <t>SB0003</t>
  </si>
  <si>
    <t>BP-C0003</t>
  </si>
  <si>
    <t>Mrs Agbaje</t>
  </si>
  <si>
    <t>10MONTHS</t>
  </si>
  <si>
    <t>MR BIOLA AKOSILE</t>
  </si>
  <si>
    <t>2022-06-01</t>
  </si>
  <si>
    <t>SB0004</t>
  </si>
  <si>
    <t>BP-C0004</t>
  </si>
  <si>
    <t>Mrs Kate</t>
  </si>
  <si>
    <t>terrace | units: 1.0</t>
  </si>
  <si>
    <t>24MONTHS</t>
  </si>
  <si>
    <t>REFUND</t>
  </si>
  <si>
    <t>2022-08-01</t>
  </si>
  <si>
    <t>SB0005</t>
  </si>
  <si>
    <t>BP-C0005</t>
  </si>
  <si>
    <t>Mrs Mo</t>
  </si>
  <si>
    <t>2022-12-01</t>
  </si>
  <si>
    <t>SB0006</t>
  </si>
  <si>
    <t>BP-C0007</t>
  </si>
  <si>
    <t>Mrs Ero</t>
  </si>
  <si>
    <t>3MONTHS</t>
  </si>
  <si>
    <t>PASTOR GABRIEL</t>
  </si>
  <si>
    <t>2023-02-01</t>
  </si>
  <si>
    <t>SB0007</t>
  </si>
  <si>
    <t>Mr Rasaq Roqeeb</t>
  </si>
  <si>
    <t>250sqm</t>
  </si>
  <si>
    <t>6 months</t>
  </si>
  <si>
    <t>Bought</t>
  </si>
  <si>
    <t>BLOCK F1</t>
  </si>
  <si>
    <t>Collected by Client</t>
  </si>
  <si>
    <t>BAAY PROJECTS CLIENTS &gt; GREEN CITY KETU 1 INVESTORS LIS</t>
  </si>
  <si>
    <t>2023-10-02</t>
  </si>
  <si>
    <t>SB0008</t>
  </si>
  <si>
    <t>OLAIYA SUNDAY TEMITOPE</t>
  </si>
  <si>
    <t>600sqm</t>
  </si>
  <si>
    <t>3months</t>
  </si>
  <si>
    <t>BLOCK E2</t>
  </si>
  <si>
    <t>Yet to collect Physical Document with MD</t>
  </si>
  <si>
    <t>Ms Abimbola</t>
  </si>
  <si>
    <t>15/05/2023</t>
  </si>
  <si>
    <t>SB0009</t>
  </si>
  <si>
    <t>MOSHOOD TIJANI</t>
  </si>
  <si>
    <t>BLOCK B2A</t>
  </si>
  <si>
    <t>Yet to collect Deeed</t>
  </si>
  <si>
    <t>27/05/2023</t>
  </si>
  <si>
    <t>SB0010</t>
  </si>
  <si>
    <t>BP-C0014</t>
  </si>
  <si>
    <t>PROF OLUGBENGA AKINADE/MRS ARAWOMO OMOLOLA</t>
  </si>
  <si>
    <t>500sqm</t>
  </si>
  <si>
    <t>BLOCK D7</t>
  </si>
  <si>
    <t>Physical Document Collected</t>
  </si>
  <si>
    <t>2023-06-06</t>
  </si>
  <si>
    <t>SB0011</t>
  </si>
  <si>
    <t>MR Damilare Ositade Owolabi</t>
  </si>
  <si>
    <t>BLOCK D4B</t>
  </si>
  <si>
    <t>Yet to collect Physical Document</t>
  </si>
  <si>
    <t>IDARA</t>
  </si>
  <si>
    <t>SB0012</t>
  </si>
  <si>
    <t>BP-C0016</t>
  </si>
  <si>
    <t>Mr Tobi Adesina</t>
  </si>
  <si>
    <t>incentives</t>
  </si>
  <si>
    <t>BLOCK D6A</t>
  </si>
  <si>
    <t>TOBY AND TYE</t>
  </si>
  <si>
    <t>26/06/2023</t>
  </si>
  <si>
    <t>Paid-to-date in source: PARTNERSHIP</t>
  </si>
  <si>
    <t>SB0013</t>
  </si>
  <si>
    <t>Mr. Taiwo John Adeleye.</t>
  </si>
  <si>
    <t>bought</t>
  </si>
  <si>
    <t>BLOCK D5b</t>
  </si>
  <si>
    <t>22/07/2023</t>
  </si>
  <si>
    <t>SB0014</t>
  </si>
  <si>
    <t>Outright</t>
  </si>
  <si>
    <t>BLOCK D5A</t>
  </si>
  <si>
    <t>Collected by client</t>
  </si>
  <si>
    <t>30/07/2023</t>
  </si>
  <si>
    <t>SB0015</t>
  </si>
  <si>
    <t>BP-C0020</t>
  </si>
  <si>
    <t>Mr Adebowale Oluwapelumi Joseph</t>
  </si>
  <si>
    <t>3 months</t>
  </si>
  <si>
    <t>BLOCK C3</t>
  </si>
  <si>
    <t>Collected by client sister</t>
  </si>
  <si>
    <t>SB0016</t>
  </si>
  <si>
    <t>Mr Oyewole Sheriff Oyewusi</t>
  </si>
  <si>
    <t>BLOCK C6</t>
  </si>
  <si>
    <t>Ms Bolanle</t>
  </si>
  <si>
    <t>SB0017</t>
  </si>
  <si>
    <t>BP-C0022</t>
  </si>
  <si>
    <t>Mr Folaranmi Olatunde</t>
  </si>
  <si>
    <t>Collected by Client representative</t>
  </si>
  <si>
    <t>24/08/2023</t>
  </si>
  <si>
    <t>SB0018</t>
  </si>
  <si>
    <t>BP-C0023</t>
  </si>
  <si>
    <t>MR KOREDE ADESE</t>
  </si>
  <si>
    <t>BLOCK D6b</t>
  </si>
  <si>
    <t>28/8/2023</t>
  </si>
  <si>
    <t>SB0019</t>
  </si>
  <si>
    <t>BP-C0024</t>
  </si>
  <si>
    <t>Ms Peace Ikpotokin</t>
  </si>
  <si>
    <t>6months</t>
  </si>
  <si>
    <t>Promise</t>
  </si>
  <si>
    <t>NIL</t>
  </si>
  <si>
    <t>Initial deposit</t>
  </si>
  <si>
    <t>28/08/2023</t>
  </si>
  <si>
    <t>SB0020</t>
  </si>
  <si>
    <t>BLOCK D4A</t>
  </si>
  <si>
    <t>Barister Nelson</t>
  </si>
  <si>
    <t>SB0021</t>
  </si>
  <si>
    <t>Mr Edun Ayobami Simeon and bro</t>
  </si>
  <si>
    <t>2 units of 600sqm</t>
  </si>
  <si>
    <t>12 months</t>
  </si>
  <si>
    <t>BLOCK F2345</t>
  </si>
  <si>
    <t>Mr Olaiya/MD</t>
  </si>
  <si>
    <t>SB0022</t>
  </si>
  <si>
    <t>BLOCK D2</t>
  </si>
  <si>
    <t>Collected by Client's Brother</t>
  </si>
  <si>
    <t>Mrs Abimbola</t>
  </si>
  <si>
    <t>SB0023</t>
  </si>
  <si>
    <t>BP-C0031</t>
  </si>
  <si>
    <t>Mr Eguavoen Harrison</t>
  </si>
  <si>
    <t>Green City Agbowa</t>
  </si>
  <si>
    <t>Refund</t>
  </si>
  <si>
    <t>Ms Blessing</t>
  </si>
  <si>
    <t>BAAY PROJECTS CLIENTS &gt; GREENCITY AGBOWA</t>
  </si>
  <si>
    <t>SB0024</t>
  </si>
  <si>
    <t>BP-C0032</t>
  </si>
  <si>
    <t>Mr Tomiwa Ibiks *********</t>
  </si>
  <si>
    <t>Paying</t>
  </si>
  <si>
    <t>Not Allocated Yet</t>
  </si>
  <si>
    <t>Not yet submitted subscription form</t>
  </si>
  <si>
    <t>SB0025</t>
  </si>
  <si>
    <t>BLOCK C4</t>
  </si>
  <si>
    <t>Not yet Collected</t>
  </si>
  <si>
    <t>BAAY PROJECTS CLIENTS &gt; GREEN CITY KETU 1 INVESTORS LIS + Foreshore financials sheet</t>
  </si>
  <si>
    <t>SB0026</t>
  </si>
  <si>
    <t>3 Months</t>
  </si>
  <si>
    <t>BLOCK D3A</t>
  </si>
  <si>
    <t>Ms Immaculate</t>
  </si>
  <si>
    <t>SB0027</t>
  </si>
  <si>
    <t>BP-C0035</t>
  </si>
  <si>
    <t>Vacant</t>
  </si>
  <si>
    <t>BLOCK C2</t>
  </si>
  <si>
    <t>SB0028</t>
  </si>
  <si>
    <t>BLOCK D3B</t>
  </si>
  <si>
    <t>Celina</t>
  </si>
  <si>
    <t>SB0029</t>
  </si>
  <si>
    <t>1000sqm &amp; 600sqm</t>
  </si>
  <si>
    <t>BLOCK A45</t>
  </si>
  <si>
    <t>SB0030</t>
  </si>
  <si>
    <t>600sqm Commercial</t>
  </si>
  <si>
    <t>6 Months</t>
  </si>
  <si>
    <t>BLOCK A678</t>
  </si>
  <si>
    <t>2023-10-30</t>
  </si>
  <si>
    <t>SB0031</t>
  </si>
  <si>
    <t>Ohumende Paul Osaze</t>
  </si>
  <si>
    <t>600sqm (6 Units)</t>
  </si>
  <si>
    <t>BLOCK H123456</t>
  </si>
  <si>
    <t>SB0032</t>
  </si>
  <si>
    <t>BP-C0041</t>
  </si>
  <si>
    <t>Alhaji Badamasi Mohammadu</t>
  </si>
  <si>
    <t>BLOCK G1</t>
  </si>
  <si>
    <t>Ms Tobi Associate</t>
  </si>
  <si>
    <t>SB0033</t>
  </si>
  <si>
    <t>Mrs Oladiran Omolola Agnes</t>
  </si>
  <si>
    <t>Convert to ketu 2</t>
  </si>
  <si>
    <t>Mr Pelumi</t>
  </si>
  <si>
    <t>SB0034</t>
  </si>
  <si>
    <t>Oluwase Babajide Victor</t>
  </si>
  <si>
    <t>BLOCK F7</t>
  </si>
  <si>
    <t>SB0035</t>
  </si>
  <si>
    <t>BLOCK E, PLOT 6</t>
  </si>
  <si>
    <t>Not yet Processed</t>
  </si>
  <si>
    <t>Pelumi</t>
  </si>
  <si>
    <t>BAAY PROJECTS CLIENTS &gt; GREEN CITY KETU EPE 2</t>
  </si>
  <si>
    <t>Paid-to-date in source: REFUND</t>
  </si>
  <si>
    <t>SB0036</t>
  </si>
  <si>
    <t>Bolarinwa Iyanuoluwa Simon</t>
  </si>
  <si>
    <t>BLOCK E3</t>
  </si>
  <si>
    <t>SB0037</t>
  </si>
  <si>
    <t>Land | units: 1.0</t>
  </si>
  <si>
    <t>3 MONTHS</t>
  </si>
  <si>
    <t>Barr. Amokeodo</t>
  </si>
  <si>
    <t>2023-12-01</t>
  </si>
  <si>
    <t>SB0038</t>
  </si>
  <si>
    <t>Mr Araokonmi Sodiq Ayinla</t>
  </si>
  <si>
    <t>BLOCK A12</t>
  </si>
  <si>
    <t>Collected by Rep</t>
  </si>
  <si>
    <t>Yetunde/MD</t>
  </si>
  <si>
    <t>SB0039</t>
  </si>
  <si>
    <t>BLOCK G3</t>
  </si>
  <si>
    <t>Collected by rep (Miss Ude Ifunaya)</t>
  </si>
  <si>
    <t>SB0040</t>
  </si>
  <si>
    <t>BLOCK G4</t>
  </si>
  <si>
    <t>14/12/2023</t>
  </si>
  <si>
    <t>SB0041</t>
  </si>
  <si>
    <t>8 Months</t>
  </si>
  <si>
    <t>SB0042</t>
  </si>
  <si>
    <t>SB0043</t>
  </si>
  <si>
    <t>Mathias Ojoma Lilian</t>
  </si>
  <si>
    <t>BLOCK B7A</t>
  </si>
  <si>
    <t>SB0044</t>
  </si>
  <si>
    <t>Ms Elizabeth</t>
  </si>
  <si>
    <t>SB0045</t>
  </si>
  <si>
    <t>1000sqm</t>
  </si>
  <si>
    <t>BLOCK D89</t>
  </si>
  <si>
    <t>SB0046</t>
  </si>
  <si>
    <t>Olasupo Oladimeji</t>
  </si>
  <si>
    <t>BLOCK B45</t>
  </si>
  <si>
    <t>SB0047</t>
  </si>
  <si>
    <t>BLOCK G2A</t>
  </si>
  <si>
    <t>Collected by rep</t>
  </si>
  <si>
    <t>SB0048</t>
  </si>
  <si>
    <t>Mr Oniyide Olaoluwa</t>
  </si>
  <si>
    <t>BLOCK G5</t>
  </si>
  <si>
    <t>Collected By Rep</t>
  </si>
  <si>
    <t>Mr Charles</t>
  </si>
  <si>
    <t>SB0049</t>
  </si>
  <si>
    <t>Elochukwu George</t>
  </si>
  <si>
    <t>BLOCK B3</t>
  </si>
  <si>
    <t>SB0050</t>
  </si>
  <si>
    <t>OGUNKOYA EMMANUEL</t>
  </si>
  <si>
    <t>BLOCK E, PLOT 7</t>
  </si>
  <si>
    <t>SB0051</t>
  </si>
  <si>
    <t>TAIWO JOHN ADELEYE</t>
  </si>
  <si>
    <t>BLOCK D, PLOT 1</t>
  </si>
  <si>
    <t>SB0052</t>
  </si>
  <si>
    <t>Alabi Abdulazeez Toyosi</t>
  </si>
  <si>
    <t>30/01/2024</t>
  </si>
  <si>
    <t>SB0053</t>
  </si>
  <si>
    <t>BLOCK E6</t>
  </si>
  <si>
    <t>Deed Collected by Client</t>
  </si>
  <si>
    <t>SB0054</t>
  </si>
  <si>
    <t>Omodara Adewale David</t>
  </si>
  <si>
    <t>BLOCK D, PLOT 2</t>
  </si>
  <si>
    <t>Ms Taiwo Ajibola</t>
  </si>
  <si>
    <t>2024-04-02</t>
  </si>
  <si>
    <t>SB0055</t>
  </si>
  <si>
    <t>Okosun Damian</t>
  </si>
  <si>
    <t>250Sqm</t>
  </si>
  <si>
    <t>BLOCK E, PLOT 5</t>
  </si>
  <si>
    <t>SB0056</t>
  </si>
  <si>
    <t>BLOCK E, PLOT 8</t>
  </si>
  <si>
    <t>SB0057</t>
  </si>
  <si>
    <t>500Sqm</t>
  </si>
  <si>
    <t>BLOCK D, PLOT 3</t>
  </si>
  <si>
    <t>SB0058</t>
  </si>
  <si>
    <t>BLOCK G, PLOT 5</t>
  </si>
  <si>
    <t>Collected by Client's rep</t>
  </si>
  <si>
    <t>Ms Oji Blessing</t>
  </si>
  <si>
    <t>BAAY PROJECTS CLIENTS &gt; GREEN CITY KETU EPE 2 + Foreshore financials sheet</t>
  </si>
  <si>
    <t>SB0059</t>
  </si>
  <si>
    <t>BLOCK D, PLOT 5</t>
  </si>
  <si>
    <t>Mr Praise</t>
  </si>
  <si>
    <t>SB0060</t>
  </si>
  <si>
    <t>12 Months</t>
  </si>
  <si>
    <t>BLOCK A, PLOT 17</t>
  </si>
  <si>
    <t>Ms blessing</t>
  </si>
  <si>
    <t>SB0061</t>
  </si>
  <si>
    <t>500SQM</t>
  </si>
  <si>
    <t>BLOCK D, PLOT 6</t>
  </si>
  <si>
    <t>SB0062</t>
  </si>
  <si>
    <t>Mrs Oloniluyi Victoria Adetutu Iyabode</t>
  </si>
  <si>
    <t>600Sqm</t>
  </si>
  <si>
    <t>SB0063</t>
  </si>
  <si>
    <t>BLOCK F, PLOT 3</t>
  </si>
  <si>
    <t>Mr Ayo</t>
  </si>
  <si>
    <t>SB0064</t>
  </si>
  <si>
    <t>BLOCK F, PLOT 2</t>
  </si>
  <si>
    <t>SB0065</t>
  </si>
  <si>
    <t>BLOCK F, PLOT 4</t>
  </si>
  <si>
    <t>SB0066</t>
  </si>
  <si>
    <t>Miss Ogidan funmilayo Jumoke</t>
  </si>
  <si>
    <t>250SQM</t>
  </si>
  <si>
    <t>BLOCK E, PLOT 2</t>
  </si>
  <si>
    <t>Mr Ogidan Abiodun</t>
  </si>
  <si>
    <t>SB0067</t>
  </si>
  <si>
    <t>BLOCK D, PLOT 7</t>
  </si>
  <si>
    <t>Ms Olayinka Fasuyi</t>
  </si>
  <si>
    <t>SB0068</t>
  </si>
  <si>
    <t>BLOCK E5</t>
  </si>
  <si>
    <t>Deed Collected by Rep</t>
  </si>
  <si>
    <t>SB0069</t>
  </si>
  <si>
    <t>BLOCK C, PLOT 5 &amp; 6</t>
  </si>
  <si>
    <t>SB0070</t>
  </si>
  <si>
    <t>BLOCK G, PLOT 3</t>
  </si>
  <si>
    <t>Collected by Client's Brother (Mr Ukachi Godfrey)</t>
  </si>
  <si>
    <t>Ms Feyi</t>
  </si>
  <si>
    <t>SB0071</t>
  </si>
  <si>
    <t>BLOCK F, PLOT 6</t>
  </si>
  <si>
    <t>Mr Juwon</t>
  </si>
  <si>
    <t>SB0072</t>
  </si>
  <si>
    <t>BLOCK E, PLOT 4</t>
  </si>
  <si>
    <t>SB0073</t>
  </si>
  <si>
    <t>BLOCK A, PLOT 18</t>
  </si>
  <si>
    <t>SB0074</t>
  </si>
  <si>
    <t>BLOCK B6</t>
  </si>
  <si>
    <t>SB0075</t>
  </si>
  <si>
    <t>BLOCK D1</t>
  </si>
  <si>
    <t>SB0076</t>
  </si>
  <si>
    <t>BLOCK F, PLOT 7</t>
  </si>
  <si>
    <t>SB0077</t>
  </si>
  <si>
    <t>1000SQM</t>
  </si>
  <si>
    <t>BLOCK G, PLOT 1 &amp; 2</t>
  </si>
  <si>
    <t>SB0078</t>
  </si>
  <si>
    <t>BLOCK F, PLOT 8</t>
  </si>
  <si>
    <t>SB0079</t>
  </si>
  <si>
    <t>Mr. Adese Akorede John</t>
  </si>
  <si>
    <t>BLOCK A, PLOT 12</t>
  </si>
  <si>
    <t>SB0080</t>
  </si>
  <si>
    <t>BLOCK E7</t>
  </si>
  <si>
    <t>SB0081</t>
  </si>
  <si>
    <t>One Acre</t>
  </si>
  <si>
    <t>NOT ALLOCATED</t>
  </si>
  <si>
    <t>SB0082</t>
  </si>
  <si>
    <t>BLOCK A, PLOT 14</t>
  </si>
  <si>
    <t>Mr Festus</t>
  </si>
  <si>
    <t>SB0083</t>
  </si>
  <si>
    <t>BLOCK D, PLOT 8</t>
  </si>
  <si>
    <t>SB0084</t>
  </si>
  <si>
    <t>BLOCK F, PLOT 1</t>
  </si>
  <si>
    <t>SB0085</t>
  </si>
  <si>
    <t>BLOCK A, PLOT 10</t>
  </si>
  <si>
    <t>SB0086</t>
  </si>
  <si>
    <t>BLOCK A, PLOT 11</t>
  </si>
  <si>
    <t>SB0087</t>
  </si>
  <si>
    <t>BLOCK G, PLOT 8</t>
  </si>
  <si>
    <t>SB0088</t>
  </si>
  <si>
    <t>BLOCK E, PLOT 3</t>
  </si>
  <si>
    <t>SB0089</t>
  </si>
  <si>
    <t>BLOCK E, PLOT 1</t>
  </si>
  <si>
    <t>SB0090</t>
  </si>
  <si>
    <t>BLOCK C, PLOT 7</t>
  </si>
  <si>
    <t>Ms Fisayo</t>
  </si>
  <si>
    <t>SB0091</t>
  </si>
  <si>
    <t>BLOCK A, PLOT 19</t>
  </si>
  <si>
    <t>PAID 2,100,000 for 250SQM, &amp; 250SQM given as incentive for 1 Acre bought in Phase 1</t>
  </si>
  <si>
    <t>SB0092</t>
  </si>
  <si>
    <t>BLOCK A, PLOT 13</t>
  </si>
  <si>
    <t>Collectd by Client</t>
  </si>
  <si>
    <t>Mr Henry</t>
  </si>
  <si>
    <t>SB0093</t>
  </si>
  <si>
    <t>BLOCK D10A</t>
  </si>
  <si>
    <t>Ms Adenike</t>
  </si>
  <si>
    <t>SB0094</t>
  </si>
  <si>
    <t>BLOCK G, PLOT 4</t>
  </si>
  <si>
    <t>Collected by client Rep</t>
  </si>
  <si>
    <t>Ms Mayowa</t>
  </si>
  <si>
    <t>SB0095</t>
  </si>
  <si>
    <t>BLOCK A, PLOT 9</t>
  </si>
  <si>
    <t>SB0096</t>
  </si>
  <si>
    <t>900Sqm</t>
  </si>
  <si>
    <t>BLOCK A, PLOT 5A, 5B &amp; 6</t>
  </si>
  <si>
    <t>SB0097</t>
  </si>
  <si>
    <t>BLOCK A, PLOT 24</t>
  </si>
  <si>
    <t>SB0098</t>
  </si>
  <si>
    <t>BLOCK A, PLOT 7</t>
  </si>
  <si>
    <t>SB0099</t>
  </si>
  <si>
    <t>BP-C0107</t>
  </si>
  <si>
    <t>Mr Salaudeen Baqi Boladale</t>
  </si>
  <si>
    <t>BLOCK C, PLOT 8</t>
  </si>
  <si>
    <t>Contract of Sales Signed</t>
  </si>
  <si>
    <t>Mr Baqi</t>
  </si>
  <si>
    <t>BAAY PROJECTS CLIENTS &gt; HERITAGE GARDEN</t>
  </si>
  <si>
    <t>SB0100</t>
  </si>
  <si>
    <t>BLOCK H, PLOT 3</t>
  </si>
  <si>
    <t>Not Yet Processed</t>
  </si>
  <si>
    <t>BAAY PROJECTS CLIENTS &gt; GREEN CITY PHASE 3, OMU EPE</t>
  </si>
  <si>
    <t>SB0101</t>
  </si>
  <si>
    <t>Deed Picked up by client</t>
  </si>
  <si>
    <t>Ms Bola</t>
  </si>
  <si>
    <t>BAAY PROJECTS CLIENTS &gt; GREEN CITY PHASE 3, OMU EPE + Foreshore financials sheet</t>
  </si>
  <si>
    <t>Subscription date in source looks mistyped (05/08/0204); left blank</t>
  </si>
  <si>
    <t>SB0102</t>
  </si>
  <si>
    <t>Deed collected by client</t>
  </si>
  <si>
    <t>SB0103</t>
  </si>
  <si>
    <t>SB0104</t>
  </si>
  <si>
    <t>Ms Celina</t>
  </si>
  <si>
    <t>SB0105</t>
  </si>
  <si>
    <t>BLOCK G, PLOT 11</t>
  </si>
  <si>
    <t>Contract of Sales signed.</t>
  </si>
  <si>
    <t>SB0106</t>
  </si>
  <si>
    <t>Semi Detached 3 Bedroom with BQ Carcass | units: 1.0</t>
  </si>
  <si>
    <t>12 days</t>
  </si>
  <si>
    <t>SB0107</t>
  </si>
  <si>
    <t>BLOCK B, PLOT 3</t>
  </si>
  <si>
    <t>Ms Anointing</t>
  </si>
  <si>
    <t>SB0108</t>
  </si>
  <si>
    <t>SB0109</t>
  </si>
  <si>
    <t>Deed Collected by client's rep</t>
  </si>
  <si>
    <t>SB0110</t>
  </si>
  <si>
    <t>Mrs King Lavonda (LAVONDA RENA KING FAMILY &amp; TOCHUWKU CHRISTIAN EJIOFOR</t>
  </si>
  <si>
    <t>SB0111</t>
  </si>
  <si>
    <t>BLOCK F, PLOT 5</t>
  </si>
  <si>
    <t>Deed collected by client's rep</t>
  </si>
  <si>
    <t>SB0112</t>
  </si>
  <si>
    <t>BLOCK C, PLOT 9</t>
  </si>
  <si>
    <t>SB0113</t>
  </si>
  <si>
    <t>Pastor Ikechukwu Kingsley &amp; Deaconess Ikechukwu Rose Uju</t>
  </si>
  <si>
    <t>SB0114</t>
  </si>
  <si>
    <t>Deed dispatched to client, Signed out by rep</t>
  </si>
  <si>
    <t>Ms Taiwo</t>
  </si>
  <si>
    <t>SB0115</t>
  </si>
  <si>
    <t>SB0116</t>
  </si>
  <si>
    <t>BP-C0122</t>
  </si>
  <si>
    <t>Mr Olusegun Dare Micheal</t>
  </si>
  <si>
    <t>SB0117</t>
  </si>
  <si>
    <t>Mr Rapheal</t>
  </si>
  <si>
    <t>SB0118</t>
  </si>
  <si>
    <t>Mrs Adelaja-Idowu Mosebolatan Tomilayo &amp; Mr Tse Mike Terzungwe</t>
  </si>
  <si>
    <t>1000Sqm</t>
  </si>
  <si>
    <t>BLOCK A, PLOT 15 &amp; 16</t>
  </si>
  <si>
    <t>SB0119</t>
  </si>
  <si>
    <t>BLOCK G, PLOT 6</t>
  </si>
  <si>
    <t>SB0120</t>
  </si>
  <si>
    <t>Mr Afolabi Samuel Safe &amp; Mrs Afolabi Temitope Iyanuoluwa</t>
  </si>
  <si>
    <t>Collected by client; expecting acknowledged copy</t>
  </si>
  <si>
    <t>SB0121</t>
  </si>
  <si>
    <t>Mr Mayowa Ayeni</t>
  </si>
  <si>
    <t>SB0122</t>
  </si>
  <si>
    <t>BLOCK C, PLOT 11</t>
  </si>
  <si>
    <t>Ms Tobi</t>
  </si>
  <si>
    <t>SB0123</t>
  </si>
  <si>
    <t>BLOCK C, PLOT 10</t>
  </si>
  <si>
    <t>SB0124</t>
  </si>
  <si>
    <t>Ms Opeyemi</t>
  </si>
  <si>
    <t>SB0125</t>
  </si>
  <si>
    <t>Mr Oluwashina O. Olagbende</t>
  </si>
  <si>
    <t>Ms Mayowa Awonorin</t>
  </si>
  <si>
    <t>SB0126</t>
  </si>
  <si>
    <t>BLOCK G, PLOT 12</t>
  </si>
  <si>
    <t>SB0127</t>
  </si>
  <si>
    <t>5 Months</t>
  </si>
  <si>
    <t>BLOCK A, PLOT 6</t>
  </si>
  <si>
    <t>Contract of Sale signed</t>
  </si>
  <si>
    <t>BAAY PROJECTS CLIENTS &gt; GREEN CITY IBADAN, AKINYELE-MON</t>
  </si>
  <si>
    <t>SB0128</t>
  </si>
  <si>
    <t>BLOCK G, PLOT 2 &amp; 3</t>
  </si>
  <si>
    <t>MD/MS YETUNDE</t>
  </si>
  <si>
    <t>SB0129</t>
  </si>
  <si>
    <t>BLOCK H, PLOT 2</t>
  </si>
  <si>
    <t>SB0130</t>
  </si>
  <si>
    <t>Mr. Olowodagba Olatunde Selim</t>
  </si>
  <si>
    <t>Mr Ogidan</t>
  </si>
  <si>
    <t>SB0131</t>
  </si>
  <si>
    <t>SB0132</t>
  </si>
  <si>
    <t>1,200SQM (COMMERCIAL PLOT)</t>
  </si>
  <si>
    <t>BLOCK B, PLOT 1 &amp; 2</t>
  </si>
  <si>
    <t>Client Relations/Marketing</t>
  </si>
  <si>
    <t>SB0133</t>
  </si>
  <si>
    <t>2 bedroom with a BQ Fully Finished | units: 1.0</t>
  </si>
  <si>
    <t>Clients Relations/Accounts</t>
  </si>
  <si>
    <t>BAAY PROJECTS CLIENTS &gt; PACIFIC APARTMENT</t>
  </si>
  <si>
    <t>SB0134</t>
  </si>
  <si>
    <t>Contract of sales signed</t>
  </si>
  <si>
    <t>SB0135</t>
  </si>
  <si>
    <t>Clients Relation/Accounts</t>
  </si>
  <si>
    <t>SB0136</t>
  </si>
  <si>
    <t>Barr Keshinro Phebe Oluwatunmise</t>
  </si>
  <si>
    <t>2 bedroom with a BQ | units: 1.0</t>
  </si>
  <si>
    <t>SB0137</t>
  </si>
  <si>
    <t>SB0138</t>
  </si>
  <si>
    <t>BLOCK H, PLOT 4</t>
  </si>
  <si>
    <t>SB0139</t>
  </si>
  <si>
    <t>SB0140</t>
  </si>
  <si>
    <t>Ms Samuella</t>
  </si>
  <si>
    <t>SB0141</t>
  </si>
  <si>
    <t>BLOCK G, PLOT 9</t>
  </si>
  <si>
    <t>SB0142</t>
  </si>
  <si>
    <t>BLOCK G, PLOT 10</t>
  </si>
  <si>
    <t>SB0143</t>
  </si>
  <si>
    <t>BP-C0152</t>
  </si>
  <si>
    <t>Mr Iyama Godsauthority Chinedu</t>
  </si>
  <si>
    <t>250 SQM</t>
  </si>
  <si>
    <t>Mr Daniel</t>
  </si>
  <si>
    <t>BAAY PROJECTS CLIENTS &gt; GREEN CITY PHASE 3 EXTENSION, O</t>
  </si>
  <si>
    <t>SB0144</t>
  </si>
  <si>
    <t>Miss Abosede (Team Taiwo)</t>
  </si>
  <si>
    <t>SB0145</t>
  </si>
  <si>
    <t>BLOCK E, PLOT 2 &amp; 3</t>
  </si>
  <si>
    <t>Ms Abosede (Team Taiwo</t>
  </si>
  <si>
    <t>SB0146</t>
  </si>
  <si>
    <t>SB0147</t>
  </si>
  <si>
    <t>BLOCK E, PLOT 5 &amp; 6</t>
  </si>
  <si>
    <t>SB0148</t>
  </si>
  <si>
    <t>Ms Jochebed (Team Moffat)</t>
  </si>
  <si>
    <t>SB0149</t>
  </si>
  <si>
    <t>Migrated</t>
  </si>
  <si>
    <t>Mr Daniel (Team Pelumi)</t>
  </si>
  <si>
    <t>SB0150</t>
  </si>
  <si>
    <t>Not yet Prepared</t>
  </si>
  <si>
    <t>SB0151</t>
  </si>
  <si>
    <t>15 months</t>
  </si>
  <si>
    <t>Ms Moffat</t>
  </si>
  <si>
    <t>SB0152</t>
  </si>
  <si>
    <t>BP-C0162</t>
  </si>
  <si>
    <t>Miss Uthman Alimat Modupe</t>
  </si>
  <si>
    <t>SB0153</t>
  </si>
  <si>
    <t>BLOCK C, PLOT 12</t>
  </si>
  <si>
    <t>SB0154</t>
  </si>
  <si>
    <t>BLOCK D, PLOT 4</t>
  </si>
  <si>
    <t>Mr Ibukun (Team Taiwo)</t>
  </si>
  <si>
    <t>SB0155</t>
  </si>
  <si>
    <t>Mr Ebosele Sunday Osabhue</t>
  </si>
  <si>
    <t>4Bedroom Terrace Triplex | units: 1 unit</t>
  </si>
  <si>
    <t>Ms Adebomi</t>
  </si>
  <si>
    <t>BAAY PROJECTS CLIENTS &gt; GORGE VIEW COURT</t>
  </si>
  <si>
    <t>SB0156</t>
  </si>
  <si>
    <t>Closed</t>
  </si>
  <si>
    <t>BLOCK H, PLOT 5</t>
  </si>
  <si>
    <t>Mr Ogidan Williams</t>
  </si>
  <si>
    <t>SB0157</t>
  </si>
  <si>
    <t>Collected by client rep</t>
  </si>
  <si>
    <t>SB0158</t>
  </si>
  <si>
    <t>BP-C0169</t>
  </si>
  <si>
    <t>Miss Isawumi Daniella Mojoyin</t>
  </si>
  <si>
    <t>BLOCK C, PLOT 6</t>
  </si>
  <si>
    <t>Ms Daniella</t>
  </si>
  <si>
    <t>SB0159</t>
  </si>
  <si>
    <t>BP-C0171</t>
  </si>
  <si>
    <t>Mr Owomoyela Abiodun Micheal</t>
  </si>
  <si>
    <t>500 SQM</t>
  </si>
  <si>
    <t>Ms Abisola (Team Tobi)</t>
  </si>
  <si>
    <t>SB0160</t>
  </si>
  <si>
    <t>SB0161</t>
  </si>
  <si>
    <t>2 bedroom apartment with BQ | units: 1.0</t>
  </si>
  <si>
    <t>Ms Mayowa Awonorin (Team Taiwo)</t>
  </si>
  <si>
    <t>SB0162</t>
  </si>
  <si>
    <t>BLOCK C, PLOT 13</t>
  </si>
  <si>
    <t>Ms Rosemary</t>
  </si>
  <si>
    <t>SB0163</t>
  </si>
  <si>
    <t>SB0164</t>
  </si>
  <si>
    <t>Green Hillside</t>
  </si>
  <si>
    <t>BLOCK C, PLOT 3</t>
  </si>
  <si>
    <t>Not Yet Collected</t>
  </si>
  <si>
    <t>Ms Olabisi</t>
  </si>
  <si>
    <t>BAAY PROJECTS CLIENTS &gt; GREEN HILLSIDE</t>
  </si>
  <si>
    <t>SB0165</t>
  </si>
  <si>
    <t>Mr Adebanjo Isaac Olamilekan</t>
  </si>
  <si>
    <t>BLOCK G, PLOT 7</t>
  </si>
  <si>
    <t>SB0166</t>
  </si>
  <si>
    <t>SB0167</t>
  </si>
  <si>
    <t>SB0168</t>
  </si>
  <si>
    <t>Mrs Ajiri-Odeh Chioma Cynthia</t>
  </si>
  <si>
    <t>Ms Jennifer (Team Kenny Bruce</t>
  </si>
  <si>
    <t>SB0169</t>
  </si>
  <si>
    <t>BP-C0180</t>
  </si>
  <si>
    <t>Mr Olajide Hafeez olakunle</t>
  </si>
  <si>
    <t>2 bedroom apartment | units: 2.0</t>
  </si>
  <si>
    <t>SB0170</t>
  </si>
  <si>
    <t>BLOCK C PLOT 4</t>
  </si>
  <si>
    <t>Ms Praise</t>
  </si>
  <si>
    <t>2025-12-03</t>
  </si>
  <si>
    <t>SB0171</t>
  </si>
  <si>
    <t>BP-C0182</t>
  </si>
  <si>
    <t>Mr Adebayo Adetunji Yusuff</t>
  </si>
  <si>
    <t>Mr Adetunji Yusuf (Team Praise)</t>
  </si>
  <si>
    <t>SB0172</t>
  </si>
  <si>
    <t>SB0173</t>
  </si>
  <si>
    <t>Mrs Omoko Onora Helen (Salem Real Estate Development</t>
  </si>
  <si>
    <t>2 bedroom apartment | units: 1.0</t>
  </si>
  <si>
    <t>Salem Real Estate</t>
  </si>
  <si>
    <t>SB0174</t>
  </si>
  <si>
    <t>Ms Okiki (Team Ope)</t>
  </si>
  <si>
    <t>24/03/2025</t>
  </si>
  <si>
    <t>SB0175</t>
  </si>
  <si>
    <t>Ms Yetunde</t>
  </si>
  <si>
    <t>SB0176</t>
  </si>
  <si>
    <t>BLOCK C, PLOT 1</t>
  </si>
  <si>
    <t>Ms Samuella (Team Pelumi)</t>
  </si>
  <si>
    <t>SB0177</t>
  </si>
  <si>
    <t>Mr Olaiya Oluwatobi Emmanuel</t>
  </si>
  <si>
    <t>BLOCK C, PLOT 2</t>
  </si>
  <si>
    <t>Ms Mayowa (Team Taiwo)</t>
  </si>
  <si>
    <t>SB0178</t>
  </si>
  <si>
    <t>Mr &amp; Mrs Olowodagba Ganiyu</t>
  </si>
  <si>
    <t>1,500 SQM</t>
  </si>
  <si>
    <t>Outright Payment</t>
  </si>
  <si>
    <t>BLOCK G, PLOT 1, 2 &amp; 3</t>
  </si>
  <si>
    <t>Mr William Ogidan</t>
  </si>
  <si>
    <t>SB0179</t>
  </si>
  <si>
    <t>BLOCK B, PLOT 7 &amp; 8</t>
  </si>
  <si>
    <t>SB0180</t>
  </si>
  <si>
    <t>Mrs Oduomah Jumoke Olantun</t>
  </si>
  <si>
    <t>BLOCK F PLOT 1</t>
  </si>
  <si>
    <t>Mr Kenny Bruce</t>
  </si>
  <si>
    <t>SB0181</t>
  </si>
  <si>
    <t>Dr Wilson Esangbedo</t>
  </si>
  <si>
    <t>SB0182</t>
  </si>
  <si>
    <t>SB0183</t>
  </si>
  <si>
    <t>BLOCK G, PLOT 13</t>
  </si>
  <si>
    <t>15/05/2025</t>
  </si>
  <si>
    <t>SB0184</t>
  </si>
  <si>
    <t>300SQM</t>
  </si>
  <si>
    <t>BLOCK E 1B</t>
  </si>
  <si>
    <t>Contract of Sales signed</t>
  </si>
  <si>
    <t>SB0185</t>
  </si>
  <si>
    <t>BP-C0197</t>
  </si>
  <si>
    <t>Miss Awonorin Oluwamayowa Aduragbemi</t>
  </si>
  <si>
    <t>27/06/2025</t>
  </si>
  <si>
    <t>SB0186</t>
  </si>
  <si>
    <t>Not Yet Prepared</t>
  </si>
  <si>
    <t>SB0187</t>
  </si>
  <si>
    <t>BP-C0201</t>
  </si>
  <si>
    <t>Landnest Homes and Properties (Mrs. Abimbola)</t>
  </si>
  <si>
    <t>3 BEDROOM BUNGALOW</t>
  </si>
  <si>
    <t>6 MONTHS</t>
  </si>
  <si>
    <t>Landnest</t>
  </si>
  <si>
    <t>BAAY PROJECTS CLIENTS &gt; BAAY FORESHORE + Foreshore financials sheet</t>
  </si>
  <si>
    <t>SB0188</t>
  </si>
  <si>
    <t>2 bedroomwith a BQ | units: 1.0</t>
  </si>
  <si>
    <t>COMPLETED</t>
  </si>
  <si>
    <t>SB0189</t>
  </si>
  <si>
    <t>SB0190</t>
  </si>
  <si>
    <t>SB0191</t>
  </si>
  <si>
    <t>Landnest Homes and Properties (Dr. Oladeji Ifeoluwa)</t>
  </si>
  <si>
    <t>SB0192</t>
  </si>
  <si>
    <t>BP-C0206</t>
  </si>
  <si>
    <t>Landnest Homes and Properties(Mrs. Beatrice)</t>
  </si>
  <si>
    <t>SB0193</t>
  </si>
  <si>
    <t>Landnest Homes and Properties (Dr, Olusola Areo)</t>
  </si>
  <si>
    <t>SB0194</t>
  </si>
  <si>
    <t>BP-C0209</t>
  </si>
  <si>
    <t>Landnest Homes and Properties(Mrs. Lukoh)</t>
  </si>
  <si>
    <t>Paid</t>
  </si>
  <si>
    <t>SB0195</t>
  </si>
  <si>
    <t>Mr. Adeniji Oluwatosin Ademola</t>
  </si>
  <si>
    <t>2 BEDROOM BUNGALOW</t>
  </si>
  <si>
    <t>12 MONTHS</t>
  </si>
  <si>
    <t>Ms. Tijani Bolanle</t>
  </si>
  <si>
    <t>06/08/2025</t>
  </si>
  <si>
    <t>SB0196</t>
  </si>
  <si>
    <t>Mr. Shino Precious Vincent</t>
  </si>
  <si>
    <t>One time</t>
  </si>
  <si>
    <t>Adeoye Daniel</t>
  </si>
  <si>
    <t>SB0197</t>
  </si>
  <si>
    <t>25O SQM</t>
  </si>
  <si>
    <t>One time payment</t>
  </si>
  <si>
    <t>Mr. Ezekiel</t>
  </si>
  <si>
    <t>SB0198</t>
  </si>
  <si>
    <t>BP-C0211</t>
  </si>
  <si>
    <t>Landnest Homes &amp; Properties (Mrs Abiodun Ayomipo Hannah)</t>
  </si>
  <si>
    <t>BAAY FORESHORE, IBADAN EXPENSES, SUBSCRIBERS &amp; FINANCIALS &gt; BAAY FORESHORE, IBADAN ... FINANCIALS: REVENUE/FINACIALS BY SUBSCRIBERS</t>
  </si>
  <si>
    <t>SB0199</t>
  </si>
  <si>
    <t>BP-C0212</t>
  </si>
  <si>
    <t>Landnest Homes and Properties (Mrs. Ayomiposi)</t>
  </si>
  <si>
    <t>units: 3 bedroom bungalow</t>
  </si>
  <si>
    <t>BAAY PROJECTS CLIENTS &gt; BAAY FORESHORE</t>
  </si>
  <si>
    <t>SB0200</t>
  </si>
  <si>
    <t>Mrs. Taiwo Adeyinka</t>
  </si>
  <si>
    <t>2 BEDROOM BUNGALOW x2</t>
  </si>
  <si>
    <t>SB0201</t>
  </si>
  <si>
    <t>Mr. Adelani Ibrahim Akinkunmi</t>
  </si>
  <si>
    <t>SB0202</t>
  </si>
  <si>
    <t>Mr Rere (Team Tobi)</t>
  </si>
  <si>
    <t>SB0203</t>
  </si>
  <si>
    <t>4Bedroom Terrace | units: 1 unit</t>
  </si>
  <si>
    <t>Md</t>
  </si>
  <si>
    <t>SB0204</t>
  </si>
  <si>
    <t>SB0205</t>
  </si>
  <si>
    <t>Mr Ali Sunday Patrick</t>
  </si>
  <si>
    <t>Ms Braimoh Anointing</t>
  </si>
  <si>
    <t>SB0206</t>
  </si>
  <si>
    <t>Mr Ayeni Mayowa &amp; Mrs Ayeni Olumide Ibitayo Mercy</t>
  </si>
  <si>
    <t>Mayowa Ayeni</t>
  </si>
  <si>
    <t>SB0207</t>
  </si>
  <si>
    <t>Ms Ojumefor</t>
  </si>
  <si>
    <t>SB0208</t>
  </si>
  <si>
    <t>BP-C0223</t>
  </si>
  <si>
    <t>Mr Ojediran Oluwatosin James</t>
  </si>
  <si>
    <t>22/12/2025</t>
  </si>
  <si>
    <t>SB0209</t>
  </si>
  <si>
    <t>BP-C0225</t>
  </si>
  <si>
    <t>Mr Akinsode Adebowale Peter</t>
  </si>
  <si>
    <t>Ms Wuraola</t>
  </si>
  <si>
    <t>Subscription date not recorded in client register</t>
  </si>
  <si>
    <t>SB0210</t>
  </si>
  <si>
    <t>Mr Adebowale Oyindamola Adewunmi</t>
  </si>
  <si>
    <t>SB0211</t>
  </si>
  <si>
    <t>29/12/2025</t>
  </si>
  <si>
    <t>SB0212</t>
  </si>
  <si>
    <t>BP-C0232</t>
  </si>
  <si>
    <t>Mrs Adefila Oluwabukola Ibukunoluwa</t>
  </si>
  <si>
    <t>24 months</t>
  </si>
  <si>
    <t>SB0213</t>
  </si>
  <si>
    <t>BP-C0230</t>
  </si>
  <si>
    <t>Mr Jude</t>
  </si>
  <si>
    <t>ALMOST BOUGHT</t>
  </si>
  <si>
    <t>Didn't buy because of lack of approval</t>
  </si>
  <si>
    <t>SB0214</t>
  </si>
  <si>
    <t>BP-C0233</t>
  </si>
  <si>
    <t>Mrs and Mr Bidemi</t>
  </si>
  <si>
    <t>Wanted longer plan</t>
  </si>
  <si>
    <t>Customer master: everyone who subscribed to or paid for land/housing, 2022 to 2025</t>
  </si>
  <si>
    <t>One row per customer. Receipts pull from Sales_Ledger; contract values pull from Subscriptions. Contact details are for auditor confirmations.</t>
  </si>
  <si>
    <t>Customer name</t>
  </si>
  <si>
    <t>Phone</t>
  </si>
  <si>
    <t>Email</t>
  </si>
  <si>
    <t>Product line(s)</t>
  </si>
  <si>
    <t>Project(s)</t>
  </si>
  <si>
    <t>First subscription date (register)</t>
  </si>
  <si>
    <t>First receipt in ledger</t>
  </si>
  <si>
    <t>Contract value per register (₦)</t>
  </si>
  <si>
    <t>Receipts 2023 (₦)</t>
  </si>
  <si>
    <t>Receipts 2024 (₦)</t>
  </si>
  <si>
    <t>Receipts 2025 (₦)</t>
  </si>
  <si>
    <t>Total receipts 2023-2025 (₦)</t>
  </si>
  <si>
    <t>Identified from</t>
  </si>
  <si>
    <t>Register status</t>
  </si>
  <si>
    <t>Review flag</t>
  </si>
  <si>
    <t>19179388590</t>
  </si>
  <si>
    <t>Client register</t>
  </si>
  <si>
    <t>13024078280</t>
  </si>
  <si>
    <t>SENT</t>
  </si>
  <si>
    <t>353(87)9217662</t>
  </si>
  <si>
    <t>8086769111</t>
  </si>
  <si>
    <t>Green City Phase 1 (Lantaba, Ketu-Epe); Land (estate not stated in source)</t>
  </si>
  <si>
    <t>Client register + Transaction records</t>
  </si>
  <si>
    <t>8102767531</t>
  </si>
  <si>
    <t>Green City Phase 1 (Ketu-Epe); Green City Phase 1 (Lantaba, Ketu-Epe); Green City Phase 2 (Idobi, Ketu-Epe); Green City Phase 2 (Ketu-Epe)</t>
  </si>
  <si>
    <t>971589650958</t>
  </si>
  <si>
    <t>ojiblexin@gmail.com</t>
  </si>
  <si>
    <t>Green City Phase 2 (Ketu-Epe); Green City Phase 3 (Omu-Epe); Land (estate not stated in source); Land: ancillary charges</t>
  </si>
  <si>
    <t>Ms Bolanle, Ms Oji Blessing</t>
  </si>
  <si>
    <t>9044246658</t>
  </si>
  <si>
    <t>Green City Phase 1 (Ketu-Epe); Green City Phase 1 (Lantaba, Ketu-Epe); Land (estate not stated in source)</t>
  </si>
  <si>
    <t>7062737144</t>
  </si>
  <si>
    <t>Green City Phase 1 (Lantaba, Ketu-Epe); Land: ancillary charges</t>
  </si>
  <si>
    <t>8166128579</t>
  </si>
  <si>
    <t>runcheck07@gmail.com</t>
  </si>
  <si>
    <t>Green City Phase 2 (Ketu-Epe); Land (estate not stated in source)</t>
  </si>
  <si>
    <t>7030362595</t>
  </si>
  <si>
    <t>Green City Phase 1 (Ketu-Epe); Green City Phase 1 (Lantaba, Ketu-Epe); Green City Phase 2 (Ketu-Epe)</t>
  </si>
  <si>
    <t>7459465947</t>
  </si>
  <si>
    <t>8061349595</t>
  </si>
  <si>
    <t>Green City Phase 1 (Lantaba, Ketu-Epe); Land (estate not stated in source); Land: ancillary charges</t>
  </si>
  <si>
    <t>8149286156</t>
  </si>
  <si>
    <t>46766349990 / 8035888286 / 09063911358, 08035888286</t>
  </si>
  <si>
    <t>SENT / johnadetaiwo@gmail.com</t>
  </si>
  <si>
    <t>Green City Ibadan (Akinyele-Moniya); Green City Phase 1 (Lantaba, Ketu-Epe); Green City Phase 2 (Idobi, Ketu-Epe); Green City Phase 2 (Ketu-Epe); Land (estate not stated in source)</t>
  </si>
  <si>
    <t>Bought, bought</t>
  </si>
  <si>
    <t>MD, Ms Jochebed (Team Moffat)</t>
  </si>
  <si>
    <t>9051114954</t>
  </si>
  <si>
    <t>07042269222 09027820971</t>
  </si>
  <si>
    <t>ogbu.pius.e@gmail.com</t>
  </si>
  <si>
    <t>Green City Phase 3 (Omu-Epe); Land (estate not stated in source); Land: ancillary charges</t>
  </si>
  <si>
    <t>1(937) 279-4380</t>
  </si>
  <si>
    <t>1(310) 728-5174</t>
  </si>
  <si>
    <t>8064494102</t>
  </si>
  <si>
    <t>8136836779</t>
  </si>
  <si>
    <t>adeseakorede@gmail.com</t>
  </si>
  <si>
    <t>Green City Agbowa; Green City Phase 1 (Lantaba, Ketu-Epe)</t>
  </si>
  <si>
    <t>Bought, Paying</t>
  </si>
  <si>
    <t>2347063665467</t>
  </si>
  <si>
    <t>12149624394</t>
  </si>
  <si>
    <t>8037217444</t>
  </si>
  <si>
    <t>SENT / adebayodada55@gmail.com</t>
  </si>
  <si>
    <t>Green City Phase 1 (Ketu-Epe); Green City Phase 1 (Lantaba, Ketu-Epe); Green City Phase 3 (Omu-Epe); Land (estate not stated in source); Land: ancillary charges</t>
  </si>
  <si>
    <t>13525192389</t>
  </si>
  <si>
    <t>Green City Phase 1 (Ketu-Epe); Green City Phase 1 (Lantaba, Ketu-Epe); Land: ancillary charges</t>
  </si>
  <si>
    <t>9030482388</t>
  </si>
  <si>
    <t>adebanjoisaac4@gmail.com</t>
  </si>
  <si>
    <t>Green City Phase 1 (Ketu-Epe); Green City Phase 2 (Idobi, Ketu-Epe); Green City Phase 2 (Ketu-Epe); Land (estate not stated in source)</t>
  </si>
  <si>
    <t>8034359513</t>
  </si>
  <si>
    <t>SENT / tonyjay202183@gmail.com</t>
  </si>
  <si>
    <t>Green City Phase 1 (Ketu-Epe); Green City Phase 1 (Lantaba, Ketu-Epe); Green City Phase 2 (Idobi, Ketu-Epe); Green City Phase 2 (Ketu-Epe); Land (estate not stated in source)</t>
  </si>
  <si>
    <t>MD, Ms Immaculate</t>
  </si>
  <si>
    <t>Green City Ibadan (Akinyele-Moniya); Green City Phase 1 (Ketu-Epe); Green City Phase 2 (Idobi, Ketu-Epe); Green City Phase 2 (Ketu-Epe); Land (estate not stated in source); Land: ancillary charges</t>
  </si>
  <si>
    <t>harrisoneguavoen@yahoo.com</t>
  </si>
  <si>
    <t>7039367538</t>
  </si>
  <si>
    <t>8033494369</t>
  </si>
  <si>
    <t>9060220053</t>
  </si>
  <si>
    <t>8167516120</t>
  </si>
  <si>
    <t>8165253939</t>
  </si>
  <si>
    <t>SENT / mendes.paul28@gmail.com</t>
  </si>
  <si>
    <t>Green City Phase 1 (Ketu-Epe); Green City Phase 1 (Lantaba, Ketu-Epe); Green City Phase 2 (Ketu-Epe); Land (estate not stated in source); Land: ancillary charges</t>
  </si>
  <si>
    <t>7032342126</t>
  </si>
  <si>
    <t>SENT / okezieifeoma00@gmail.com</t>
  </si>
  <si>
    <t>Green City Phase 1 (Lantaba, Ketu-Epe); Green City Phase 3 (Omu-Epe)</t>
  </si>
  <si>
    <t>Celina, Ms Celina</t>
  </si>
  <si>
    <t>Transaction records</t>
  </si>
  <si>
    <t>7064191538</t>
  </si>
  <si>
    <t>alabitoyosi1616@gmail.com</t>
  </si>
  <si>
    <t>9039054374</t>
  </si>
  <si>
    <t>8033417527</t>
  </si>
  <si>
    <t>Not filled</t>
  </si>
  <si>
    <t>agnesomolola7@gmail.com</t>
  </si>
  <si>
    <t>Green City Agbowa; Green City Phase 2 (Ketu-Epe); Land (estate not stated in source)</t>
  </si>
  <si>
    <t>Convert to ketu 2, REFUND</t>
  </si>
  <si>
    <t>Mr Pelumi, Pelumi</t>
  </si>
  <si>
    <t>8136389666</t>
  </si>
  <si>
    <t>Green City Phase 1 (Ketu-Epe); Green City Phase 1 (Lantaba, Ketu-Epe)</t>
  </si>
  <si>
    <t>7030281365</t>
  </si>
  <si>
    <t>SENT / iyanuoluwabolarinwa@gmail.com</t>
  </si>
  <si>
    <t>Green City Phase 1 (Ketu-Epe); Green City Phase 1 (Lantaba, Ketu-Epe); Land (estate not stated in source); Land: ancillary charges</t>
  </si>
  <si>
    <t>Housing unit (project not stated in source); Pacific Court</t>
  </si>
  <si>
    <t>08032726622, 07058447433</t>
  </si>
  <si>
    <t>8090794894</t>
  </si>
  <si>
    <t>9080257655</t>
  </si>
  <si>
    <t>SENT / patuanya@gmail.com</t>
  </si>
  <si>
    <t>Green City Phase 1 (Ketu-Epe); Green City Phase 1 (Lantaba, Ketu-Epe); Green Hillside; Land (estate not stated in source); Land: ancillary charges</t>
  </si>
  <si>
    <t>Ms Yetunde, Yetunde/MD</t>
  </si>
  <si>
    <t>8139122188</t>
  </si>
  <si>
    <t>SENT / ogunleyeolumide@gmail.com</t>
  </si>
  <si>
    <t>Green City Agbowa; Green City Phase 1 (Lantaba, Ketu-Epe); Green City Phase 2 (Ketu-Epe); Land (estate not stated in source)</t>
  </si>
  <si>
    <t>7056666525</t>
  </si>
  <si>
    <t>447915419823</t>
  </si>
  <si>
    <t>16475612700</t>
  </si>
  <si>
    <t>SENT / demossa2000@gmail.com</t>
  </si>
  <si>
    <t>Green City Phase 1 (Lantaba, Ketu-Epe); Green City Phase 2 (Idobi, Ketu-Epe); Green City Phase 2 (Ketu-Epe); Land (estate not stated in source); Land: ancillary charges</t>
  </si>
  <si>
    <t>447375656023</t>
  </si>
  <si>
    <t>adenijitosin01@yahoo.com</t>
  </si>
  <si>
    <t>Housing, Land</t>
  </si>
  <si>
    <t>Baay Foreshore; Green City Phase 1 (Ketu-Epe); Green City Phase 1 (Lantaba, Ketu-Epe); Land (estate not stated in source)</t>
  </si>
  <si>
    <t>61452614036</t>
  </si>
  <si>
    <t>07057815975 08171666974</t>
  </si>
  <si>
    <t>8132039018</t>
  </si>
  <si>
    <t>13212970320</t>
  </si>
  <si>
    <t>jenn.mitchell48@gmail.com</t>
  </si>
  <si>
    <t>Green City Phase 2 (Idobi, Ketu-Epe); Green City Phase 2 (Ketu-Epe); Heritage Garden; Land (estate not stated in source)</t>
  </si>
  <si>
    <t>8056191865</t>
  </si>
  <si>
    <t>nazareth_emmanuel@yahoo.com</t>
  </si>
  <si>
    <t>Green City Phase 2 (Idobi, Ketu-Epe); Green City Phase 2 (Ketu-Epe); Land (estate not stated in source); Land: ancillary charges</t>
  </si>
  <si>
    <t>353879754960</t>
  </si>
  <si>
    <t>7039678467</t>
  </si>
  <si>
    <t>adewaledavid777@gmail.com</t>
  </si>
  <si>
    <t>8034367176</t>
  </si>
  <si>
    <t>damianokosun@gmail.com</t>
  </si>
  <si>
    <t>8102375562</t>
  </si>
  <si>
    <t>yusufsaheedtaiwo@gmail.com</t>
  </si>
  <si>
    <t>8052506221</t>
  </si>
  <si>
    <t>omosanyaakeju4@gmail.com</t>
  </si>
  <si>
    <t>Ms Bola, Ms Oji Blessing</t>
  </si>
  <si>
    <t>8164722166</t>
  </si>
  <si>
    <t>theoodje@gmail.com</t>
  </si>
  <si>
    <t>447947786248</t>
  </si>
  <si>
    <t>cadizsharon28@gmail.com</t>
  </si>
  <si>
    <t>Green City Phase 2 (Idobi, Ketu-Epe); Green City Phase 2 (Ketu-Epe); Green City Phase 3 (Omu-Epe); Land (estate not stated in source); Land: ancillary charges</t>
  </si>
  <si>
    <t>Ms Blessing, Ms blessing</t>
  </si>
  <si>
    <t>8143671690</t>
  </si>
  <si>
    <t>ayodejimoses96@gmail.com</t>
  </si>
  <si>
    <t>Green City Phase 2 (Ketu-Epe); Land: ancillary charges</t>
  </si>
  <si>
    <t>8098338600</t>
  </si>
  <si>
    <t>olayinka_oyebola@hotmail.com</t>
  </si>
  <si>
    <t>447828073149</t>
  </si>
  <si>
    <t>971543457569</t>
  </si>
  <si>
    <t>funmilayojumaika26@gmail.com</t>
  </si>
  <si>
    <t>8168964986</t>
  </si>
  <si>
    <t>ojobabatunde12@gmail.com</t>
  </si>
  <si>
    <t>8103010747</t>
  </si>
  <si>
    <t>sorbarigodwin@gmail.com</t>
  </si>
  <si>
    <t>Green City Phase 2 (Ketu-Epe); Green City Phase 3 Extension (Omu-Epe); Land (estate not stated in source)</t>
  </si>
  <si>
    <t>16014151259</t>
  </si>
  <si>
    <t>kendrabingham@yhaoo.com</t>
  </si>
  <si>
    <t>Green City Phase 1 (Lantaba, Ketu-Epe); Green City Phase 2 (Ketu-Epe); Land: ancillary charges</t>
  </si>
  <si>
    <t>8167057304</t>
  </si>
  <si>
    <t>florenceukachi0@gmail.com</t>
  </si>
  <si>
    <t>8023407834</t>
  </si>
  <si>
    <t>funshodunamis2007@gmail.com</t>
  </si>
  <si>
    <t>8078173804</t>
  </si>
  <si>
    <t>bobbyskinnys@gmail.com</t>
  </si>
  <si>
    <t>8031992774</t>
  </si>
  <si>
    <t>remzybabie@gmail.com</t>
  </si>
  <si>
    <t>8130147984</t>
  </si>
  <si>
    <t>ariyoadegbayemu@gmail.com</t>
  </si>
  <si>
    <t>8109706363</t>
  </si>
  <si>
    <t>8098482929</t>
  </si>
  <si>
    <t>o.christopherd@yahoo.com</t>
  </si>
  <si>
    <t>8037704778</t>
  </si>
  <si>
    <t>falsonleonard080@gmail.com</t>
  </si>
  <si>
    <t>8084784807</t>
  </si>
  <si>
    <t>silasdele121@gmail.com</t>
  </si>
  <si>
    <t>8169064127</t>
  </si>
  <si>
    <t>lubemajiva@gmail.com</t>
  </si>
  <si>
    <t>7721719614</t>
  </si>
  <si>
    <t>gbengamce@gmail.com</t>
  </si>
  <si>
    <t>Green City Phase 2 (Idobi, Ketu-Epe); Green City Phase 2 (Ketu-Epe); Land: ancillary charges</t>
  </si>
  <si>
    <t>7032875683</t>
  </si>
  <si>
    <t>osemudiamenoriakhi@gmail.com</t>
  </si>
  <si>
    <t>8143520076</t>
  </si>
  <si>
    <t>okuneyekayode0@gmail.com</t>
  </si>
  <si>
    <t>8168572880</t>
  </si>
  <si>
    <t>lasodeo@yahoo.com</t>
  </si>
  <si>
    <t>8038180011</t>
  </si>
  <si>
    <t>taiwofagbulu@gmail.com</t>
  </si>
  <si>
    <t>Land: ancillary charges</t>
  </si>
  <si>
    <t>9050625278</t>
  </si>
  <si>
    <t>12566929341</t>
  </si>
  <si>
    <t>braimohayomide005@gmail.com</t>
  </si>
  <si>
    <t>2247048557</t>
  </si>
  <si>
    <t>testimonyodeyemi@yahoo.com</t>
  </si>
  <si>
    <t>Green City Phase 2 (Idobi, Ketu-Epe); Green City Phase 2 (Ketu-Epe); Land (estate not stated in source)</t>
  </si>
  <si>
    <t>7025874226</t>
  </si>
  <si>
    <t>heskay1234@gmail.com</t>
  </si>
  <si>
    <t>9090499577</t>
  </si>
  <si>
    <t>salaudeenbakkey777@gmail.com</t>
  </si>
  <si>
    <t>15879377761, 08165662400</t>
  </si>
  <si>
    <t>okeyedunt@gmail.com</t>
  </si>
  <si>
    <t>9080350279</t>
  </si>
  <si>
    <t>k4y0d3@hotmail.com</t>
  </si>
  <si>
    <t>08162114151, +447876896057</t>
  </si>
  <si>
    <t>dammiep@gmail.com</t>
  </si>
  <si>
    <t>Green City Phase 3 (Omu-Epe); Land: ancillary charges</t>
  </si>
  <si>
    <t>8035089300</t>
  </si>
  <si>
    <t>393510025679</t>
  </si>
  <si>
    <t>paludoezi10@gmail.com</t>
  </si>
  <si>
    <t>08150836083, 971589863630 09026912389</t>
  </si>
  <si>
    <t>ohaegoijeoma@gmail.com</t>
  </si>
  <si>
    <t>02144638460</t>
  </si>
  <si>
    <t>3kingsleasing@gmail.com</t>
  </si>
  <si>
    <t>09025863980, 971552581706</t>
  </si>
  <si>
    <t>okorierachael2019@gmail.com</t>
  </si>
  <si>
    <t>07067925840, 08066220348</t>
  </si>
  <si>
    <t>jeremiahikechukwu28@gmail.com</t>
  </si>
  <si>
    <t>Green City Phase 3 (Omu-Epe); Land (estate not stated in source)</t>
  </si>
  <si>
    <t>8087596205</t>
  </si>
  <si>
    <t>adedaposolomon4@gmail.com</t>
  </si>
  <si>
    <t>8020600519, 09036119426</t>
  </si>
  <si>
    <t>nwezevalentineoluebube@gmail.com</t>
  </si>
  <si>
    <t>7034383167</t>
  </si>
  <si>
    <t>michaelolusegun990@gmail.com</t>
  </si>
  <si>
    <t>9126694377</t>
  </si>
  <si>
    <t>samuelolaogun161@gmail.com</t>
  </si>
  <si>
    <t>9068909056</t>
  </si>
  <si>
    <t>kehindefatoki33@gmail.com</t>
  </si>
  <si>
    <t>Green City Phase 3 (Omu-Epe); Green City Phase 3 Extension (Omu-Epe); Land (estate not stated in source)</t>
  </si>
  <si>
    <t>09063570799, 09120824557</t>
  </si>
  <si>
    <t>adelajamosebola@gmail.com miketse4@gmail.com</t>
  </si>
  <si>
    <t>447760848936</t>
  </si>
  <si>
    <t>motunrayoogundipe09@gmail.com</t>
  </si>
  <si>
    <t>8060424983</t>
  </si>
  <si>
    <t>muyiwadanieladigun@gmail.com</t>
  </si>
  <si>
    <t>447443968358</t>
  </si>
  <si>
    <t>samuel.afolabi09@gmail.com</t>
  </si>
  <si>
    <t>Green City Phase 2 (Idobi, Ketu-Epe); Green City Phase 2 (Ketu-Epe)</t>
  </si>
  <si>
    <t>08058093936, 09152340869</t>
  </si>
  <si>
    <t>michaeltedunjaye@gmail.com</t>
  </si>
  <si>
    <t>07035505274, 09116314167</t>
  </si>
  <si>
    <t>feliciaoyelade0@gmail.com</t>
  </si>
  <si>
    <t>Heritage Garden; Land (estate not stated in source)</t>
  </si>
  <si>
    <t>8064359691</t>
  </si>
  <si>
    <t>dekunle15@yahoo.com / Dekunle15@yahoo.com</t>
  </si>
  <si>
    <t>Baay Foreshore; Green City Ibadan (Akinyele-Moniya); Green City Phase 3 (Omu-Epe); Land (estate not stated in source); Land: ancillary charges</t>
  </si>
  <si>
    <t>Bought, Paid</t>
  </si>
  <si>
    <t>8028602551, 08032425113 / 8028602551</t>
  </si>
  <si>
    <t>legalclimate76@gmail.com / legalclimate76@yahoo.com</t>
  </si>
  <si>
    <t>Green City Phase 3 (Omu-Epe); Housing unit (project not stated in source); Land (estate not stated in source); Land: ancillary charges; Pacific Apartment</t>
  </si>
  <si>
    <t>Ms Mayowa Awonorin, Ms Mayowa Awonorin (Team Taiwo)</t>
  </si>
  <si>
    <t>09015656705, 08135359400</t>
  </si>
  <si>
    <t>kazeemokanrende@yahoo.com</t>
  </si>
  <si>
    <t>08053331725, 08099856616</t>
  </si>
  <si>
    <t>godwyn.smile@gmail.com</t>
  </si>
  <si>
    <t>4447830988895</t>
  </si>
  <si>
    <t>benjaminking707@gmail.com</t>
  </si>
  <si>
    <t>08106931570, 09132045414</t>
  </si>
  <si>
    <t>olowodagbaolatunde@gmail.com</t>
  </si>
  <si>
    <t>Green City Ibadan (Akinyele-Moniya); Green Hillside; Land (estate not stated in source)</t>
  </si>
  <si>
    <t>Mr Ogidan, Mr William Ogidan</t>
  </si>
  <si>
    <t>08033348231, 09098926630 / 8033348231, 09098926630</t>
  </si>
  <si>
    <t>akeembalogun@hotmail.com</t>
  </si>
  <si>
    <t>Green City Phase 3 (Omu-Epe); Land (estate not stated in source); Pacific Apartment</t>
  </si>
  <si>
    <t>Client Relations/Marketing, Clients Relations/Accounts</t>
  </si>
  <si>
    <t>08028388684, 08161170005</t>
  </si>
  <si>
    <t>aremukayode25@gmail.com</t>
  </si>
  <si>
    <t>8167135621</t>
  </si>
  <si>
    <t>oyinda.simien@yahoo.com</t>
  </si>
  <si>
    <t>8031557468</t>
  </si>
  <si>
    <t>keshinro.phebe@gmail.com</t>
  </si>
  <si>
    <t>09119149931, 07062291891</t>
  </si>
  <si>
    <t>lekanborty@gmail.com</t>
  </si>
  <si>
    <t>9031616467</t>
  </si>
  <si>
    <t>mike.akinsete@gmail.com</t>
  </si>
  <si>
    <t>7015040484, +447376355823</t>
  </si>
  <si>
    <t>grantuneze@gmail.com</t>
  </si>
  <si>
    <t>447405232994, 07404542894</t>
  </si>
  <si>
    <t>ajibosodamilare@gmail.com</t>
  </si>
  <si>
    <t>081306000172, 07014973091</t>
  </si>
  <si>
    <t>shotonwaolamide@gmail.com</t>
  </si>
  <si>
    <t>08109402253, 09134901279</t>
  </si>
  <si>
    <t>godsauthorityiyama@gmail.com</t>
  </si>
  <si>
    <t>07015779671, 08106836680</t>
  </si>
  <si>
    <t>ademakinwaabosede123@gmail.com</t>
  </si>
  <si>
    <t>Green City Ibadan (Akinyele-Moniya); Land (estate not stated in source)</t>
  </si>
  <si>
    <t>08056367523, 09174021220</t>
  </si>
  <si>
    <t>wayles77@gmail.com</t>
  </si>
  <si>
    <t>447827524089, 08024212920</t>
  </si>
  <si>
    <t>baayanju@yahoo.com</t>
  </si>
  <si>
    <t>16146488230, 08056367523</t>
  </si>
  <si>
    <t>lizbol2001@yahoo.com</t>
  </si>
  <si>
    <t>09074686436, 08072047253 / 9074686436</t>
  </si>
  <si>
    <t>shinovin234@gmail.com / shinovin324@gmail.com</t>
  </si>
  <si>
    <t>Green City Phase 3 (Omu-Epe); Green City Phase 3 Extension (Omu-Epe); Heritage Garden; Land (estate not stated in source)</t>
  </si>
  <si>
    <t>Bought, Migrated</t>
  </si>
  <si>
    <t>Adeoye Daniel, Mr Daniel (Team Pelumi)</t>
  </si>
  <si>
    <t>07059827896, 09051727253</t>
  </si>
  <si>
    <t>precz090@gmail.com</t>
  </si>
  <si>
    <t>8037253052, 08179039312</t>
  </si>
  <si>
    <t>okenlagabriel@yahoo.com</t>
  </si>
  <si>
    <t>08084119658, 08035174216</t>
  </si>
  <si>
    <t>alimatuthman123@gmail.com</t>
  </si>
  <si>
    <t>08130308027, 08142184471</t>
  </si>
  <si>
    <t>samsonolawale69@gmail.com</t>
  </si>
  <si>
    <t>Heritage Garden; Land: ancillary charges</t>
  </si>
  <si>
    <t>08038378722, 07019089122</t>
  </si>
  <si>
    <t>motunrayoarogundade2@gmail.com</t>
  </si>
  <si>
    <t>13477224217</t>
  </si>
  <si>
    <t>sunday_ebosele@yahoo.com</t>
  </si>
  <si>
    <t>07087380898, 09067125703</t>
  </si>
  <si>
    <t>olawalefados11@gmail.com</t>
  </si>
  <si>
    <t>8162114151, +447876896057</t>
  </si>
  <si>
    <t>Green City Phase 3 Extension (Omu-Epe); Land (estate not stated in source)</t>
  </si>
  <si>
    <t>09017248116, 07026905379</t>
  </si>
  <si>
    <t>isawumidaniella4@gmail.com</t>
  </si>
  <si>
    <t>9163570306, +27845740756</t>
  </si>
  <si>
    <t>Kingkunta1011@gmail.com</t>
  </si>
  <si>
    <t>08138479659, 08067636002</t>
  </si>
  <si>
    <t>juliannwadi@gmail.com</t>
  </si>
  <si>
    <t>9035216961</t>
  </si>
  <si>
    <t>oladimejikafidipe@yahoo.com</t>
  </si>
  <si>
    <t>Green Hillside; Land (estate not stated in source)</t>
  </si>
  <si>
    <t>8037475848, 08035251271</t>
  </si>
  <si>
    <t>preciousmarizu@gmail.com</t>
  </si>
  <si>
    <t>8065501731, 08035251271</t>
  </si>
  <si>
    <t>ijeomamarizu@gmail.com</t>
  </si>
  <si>
    <t>8103504017, 09130978220</t>
  </si>
  <si>
    <t>chiomaajiriodeh12345@gmail.com</t>
  </si>
  <si>
    <t>8034777397</t>
  </si>
  <si>
    <t>hafeezolajide@yahoo.com</t>
  </si>
  <si>
    <t>8065097815, 09019795100</t>
  </si>
  <si>
    <t>fortunatusreal3@gmail.com</t>
  </si>
  <si>
    <t>8146833679, 07063003795</t>
  </si>
  <si>
    <t>ADEBAYOADETUNJI313@GMAIL.COM</t>
  </si>
  <si>
    <t>09130415985, 09133940546</t>
  </si>
  <si>
    <t>klujeremiah517@gmail.com</t>
  </si>
  <si>
    <t>08037105310, 4407535848203</t>
  </si>
  <si>
    <t>helenomoko@yahoo.com</t>
  </si>
  <si>
    <t>9110166354</t>
  </si>
  <si>
    <t>ifeolamideolotu@gmail.com</t>
  </si>
  <si>
    <t>12243346865, 12244909111</t>
  </si>
  <si>
    <t>mariamkazeem25@gmail.com</t>
  </si>
  <si>
    <t>08063054481, 09168871681</t>
  </si>
  <si>
    <t>ganiyuolowodagba@gmail.com</t>
  </si>
  <si>
    <t>08168018315, 08160177604</t>
  </si>
  <si>
    <t>olaiyatobiemmanuel@yahoo.com</t>
  </si>
  <si>
    <t>08145280755, 08164535386</t>
  </si>
  <si>
    <t>adeyemijumokeolantun@gmail.com</t>
  </si>
  <si>
    <t>8033018765</t>
  </si>
  <si>
    <t>sonedo2000@yahoo.com</t>
  </si>
  <si>
    <t>12027177128</t>
  </si>
  <si>
    <t>rr9itajoe@gmail.com</t>
  </si>
  <si>
    <t>Housing unit (project not stated in source); Pacific Apartment</t>
  </si>
  <si>
    <t>8034238704</t>
  </si>
  <si>
    <t>kunleharuna@gmail.com</t>
  </si>
  <si>
    <t>9042018673, 08148365338 / 2348148365338</t>
  </si>
  <si>
    <t>SENT / agbimikechukwu54</t>
  </si>
  <si>
    <t>Green City Phase 1 (Lantaba, Ketu-Epe); Green City Phase 3 (Omu-Epe); Land (estate not stated in source)</t>
  </si>
  <si>
    <t>Paying, bought</t>
  </si>
  <si>
    <t>7046270771</t>
  </si>
  <si>
    <t>awomayor1@gmail.com</t>
  </si>
  <si>
    <t>9073364482</t>
  </si>
  <si>
    <t>bensonadeyink@gmail.com</t>
  </si>
  <si>
    <t>9066989877</t>
  </si>
  <si>
    <t>landnesthomesandpeoperties@gmail.com</t>
  </si>
  <si>
    <t>08033351916, 09070323563</t>
  </si>
  <si>
    <t>elizabeth.yakubu@gmail.com</t>
  </si>
  <si>
    <t>Baay Foreshore; Pacific Apartment</t>
  </si>
  <si>
    <t>bra.dat@hotmail.com</t>
  </si>
  <si>
    <t>08070323565, 08060692770</t>
  </si>
  <si>
    <t>ogooluwaakinjogunla@yahoo.com</t>
  </si>
  <si>
    <t>447717049384</t>
  </si>
  <si>
    <t>akin4burningfire@gmail.com</t>
  </si>
  <si>
    <t>17739431598</t>
  </si>
  <si>
    <t>flakiejones@gmail.com</t>
  </si>
  <si>
    <t>8026001511, 09137257637</t>
  </si>
  <si>
    <t>jumoke.oj@gmail.com</t>
  </si>
  <si>
    <t>9092370766</t>
  </si>
  <si>
    <t>JosephAkinsola730@gmail.com</t>
  </si>
  <si>
    <t>08124100945, 07030681703</t>
  </si>
  <si>
    <t>alipatrick.sunny@gmail</t>
  </si>
  <si>
    <t>08029932902, 07045113528</t>
  </si>
  <si>
    <t>slimmayo2015@gmail.com</t>
  </si>
  <si>
    <t>61403063455</t>
  </si>
  <si>
    <t>Johnsonomodele72@gmail.com</t>
  </si>
  <si>
    <t>8037063770</t>
  </si>
  <si>
    <t>tosinojediran14@gmail.com</t>
  </si>
  <si>
    <t>8119910961</t>
  </si>
  <si>
    <t>oyindamolaadebowale@gmail.com</t>
  </si>
  <si>
    <t>12405348198</t>
  </si>
  <si>
    <t>peterakinsode@gmail.com</t>
  </si>
  <si>
    <t>BP-C0226</t>
  </si>
  <si>
    <t>Agbaje Achristopher</t>
  </si>
  <si>
    <t>Commission records only (exceptions tab)</t>
  </si>
  <si>
    <t>BP-C0227</t>
  </si>
  <si>
    <t>Mitchel Jennifer</t>
  </si>
  <si>
    <t>BP-C0228</t>
  </si>
  <si>
    <t>Mr Adegbembo Oluwagbemiga Adesin</t>
  </si>
  <si>
    <t>BP-C0229</t>
  </si>
  <si>
    <t>Mr Adeyanju/Mr Adepoju &amp; Mrs Adepoju</t>
  </si>
  <si>
    <t>44794473337</t>
  </si>
  <si>
    <t>BP-C0231</t>
  </si>
  <si>
    <t>Mr Ojo Ayomidde</t>
  </si>
  <si>
    <t>08084349239, 07037742021</t>
  </si>
  <si>
    <t>damselibk@yahoo.com</t>
  </si>
  <si>
    <t>13147759807</t>
  </si>
  <si>
    <t>BP-C0234</t>
  </si>
  <si>
    <t>Okorie Rachael Mmesoma</t>
  </si>
  <si>
    <t>BP-C0235</t>
  </si>
  <si>
    <t>Sharon Aisosa Ebholah</t>
  </si>
  <si>
    <t>BP-C0236</t>
  </si>
  <si>
    <t>Yusuff Saheed</t>
  </si>
  <si>
    <t>Items in the source registers that are not land/housing/construction sales</t>
  </si>
  <si>
    <t>Kept here (not deleted) so the source sheet totals still reconcile. Commission-record duplicates of the same item across sheets are shown once.</t>
  </si>
  <si>
    <t>Date</t>
  </si>
  <si>
    <t>Customer</t>
  </si>
  <si>
    <t>Category in source</t>
  </si>
  <si>
    <t>Reason excluded</t>
  </si>
  <si>
    <t>EX001</t>
  </si>
  <si>
    <t>Credit Memo</t>
  </si>
  <si>
    <t>Credit memo: non-cash transfer of an earlier payment between products; not a new receipt</t>
  </si>
  <si>
    <t>EX002</t>
  </si>
  <si>
    <t>EX003</t>
  </si>
  <si>
    <t>Mr Salawudeen Yusuf Olayemi</t>
  </si>
  <si>
    <t>Co-ownership</t>
  </si>
  <si>
    <t>Co-ownership investment receipt: fixed-return product, not a sale of land/housing</t>
  </si>
  <si>
    <t>EX004</t>
  </si>
  <si>
    <t>Mr Ademola Adeniran</t>
  </si>
  <si>
    <t>12/06/0204</t>
  </si>
  <si>
    <t>EX005</t>
  </si>
  <si>
    <t>24/06/2024</t>
  </si>
  <si>
    <t>EX006</t>
  </si>
  <si>
    <t>26/06/2024</t>
  </si>
  <si>
    <t>EX007</t>
  </si>
  <si>
    <t>EX008</t>
  </si>
  <si>
    <t>(blank)</t>
  </si>
  <si>
    <t>EX009</t>
  </si>
  <si>
    <t>Ferderick Jennifer</t>
  </si>
  <si>
    <t>EX010</t>
  </si>
  <si>
    <t>Mrs Ogunbowale Oluwaseun Mausi</t>
  </si>
  <si>
    <t>17/07/2024</t>
  </si>
  <si>
    <t>EX011</t>
  </si>
  <si>
    <t>EX012</t>
  </si>
  <si>
    <t>Mr Adetona Abayomi</t>
  </si>
  <si>
    <t>28/07/2024</t>
  </si>
  <si>
    <t>EX013</t>
  </si>
  <si>
    <t>Mr Adeniran</t>
  </si>
  <si>
    <t>EX014</t>
  </si>
  <si>
    <t>Mrs Ojelabi Abimbola Adejumoke</t>
  </si>
  <si>
    <t>EX015</t>
  </si>
  <si>
    <t>Olatunji Balikis</t>
  </si>
  <si>
    <t>EX016</t>
  </si>
  <si>
    <t>Mr Boluwatife Arewa</t>
  </si>
  <si>
    <t>Service Engagement</t>
  </si>
  <si>
    <t>Service/engagement income: not a land, housing or construction sale</t>
  </si>
  <si>
    <t>EX017</t>
  </si>
  <si>
    <t>Pastor Jude Usifoh</t>
  </si>
  <si>
    <t>Engagement Service</t>
  </si>
  <si>
    <t>EX018</t>
  </si>
  <si>
    <t>Mr Adenusi David Olamide</t>
  </si>
  <si>
    <t>2024-11-09</t>
  </si>
  <si>
    <t>EX019</t>
  </si>
  <si>
    <t>EX020</t>
  </si>
  <si>
    <t>Mr Oloro Sunday Irewole</t>
  </si>
  <si>
    <t>EX021</t>
  </si>
  <si>
    <t>Mr Agunloye Praise Ayomide</t>
  </si>
  <si>
    <t>EX022</t>
  </si>
  <si>
    <t>Survey</t>
  </si>
  <si>
    <t>EX023</t>
  </si>
  <si>
    <t>EX024</t>
  </si>
  <si>
    <t>EX025</t>
  </si>
  <si>
    <t>Mr Seun</t>
  </si>
  <si>
    <t>EX026</t>
  </si>
  <si>
    <t>Mr Shobola Michael Olakunle</t>
  </si>
  <si>
    <t>EX027</t>
  </si>
  <si>
    <t>Miss Dada Grace Oluwaseun</t>
  </si>
  <si>
    <t>EX028</t>
  </si>
  <si>
    <t>Credit Memo (Omu-Epe)</t>
  </si>
  <si>
    <t>EX029</t>
  </si>
  <si>
    <t>EX030</t>
  </si>
  <si>
    <t>Okonji Tobechukwu Favour</t>
  </si>
  <si>
    <t>CO-OWNNERSHIP</t>
  </si>
  <si>
    <t>MS FAITH</t>
  </si>
  <si>
    <t>EX031</t>
  </si>
  <si>
    <t>Miss Dada Gift Moyosoreoluwa</t>
  </si>
  <si>
    <t>CO-OWNERSHIP</t>
  </si>
  <si>
    <t>2025-05-01</t>
  </si>
  <si>
    <t>EX032</t>
  </si>
  <si>
    <t>Mr Adeniran Ibrahim Ademola</t>
  </si>
  <si>
    <t>16/01/2025</t>
  </si>
  <si>
    <t>EX033</t>
  </si>
  <si>
    <t>EX034</t>
  </si>
  <si>
    <t>Mr Owolabi Taiwo Goodness</t>
  </si>
  <si>
    <t>27/01/2025</t>
  </si>
  <si>
    <t>EX035</t>
  </si>
  <si>
    <t>Mr Adeyera Augustine Adegoke</t>
  </si>
  <si>
    <t>EX036</t>
  </si>
  <si>
    <t>Mr Mmezi Benjamin</t>
  </si>
  <si>
    <t>17/02/2025</t>
  </si>
  <si>
    <t>EX037</t>
  </si>
  <si>
    <t>Mr Olawepo Toheeb Olamilekan</t>
  </si>
  <si>
    <t>MR AFUN SOGO</t>
  </si>
  <si>
    <t>EX038</t>
  </si>
  <si>
    <t>CO-OWNEERSHIP</t>
  </si>
  <si>
    <t>EX039</t>
  </si>
  <si>
    <t>2025-11-03</t>
  </si>
  <si>
    <t>EX040</t>
  </si>
  <si>
    <t>EX041</t>
  </si>
  <si>
    <t>EX042</t>
  </si>
  <si>
    <t>EX043</t>
  </si>
  <si>
    <t>Miss Obilor Uchechukwu Samuella</t>
  </si>
  <si>
    <t>EX044</t>
  </si>
  <si>
    <t>Mrs Adenekan Opeyemi Kafayat</t>
  </si>
  <si>
    <t>EX045</t>
  </si>
  <si>
    <t>Mr Ajibola Oluwatobi Adedamola</t>
  </si>
  <si>
    <t>EX046</t>
  </si>
  <si>
    <t>Mrs Ajibola Abosede F.</t>
  </si>
  <si>
    <t>EX047</t>
  </si>
  <si>
    <t>Mrs Okeleke Elizabeth adeola Adejoke</t>
  </si>
  <si>
    <t>EX048</t>
  </si>
  <si>
    <t>EX049</t>
  </si>
  <si>
    <t>EX050</t>
  </si>
  <si>
    <t>Mr Obilor Udochukwu Justice</t>
  </si>
  <si>
    <t>EX051</t>
  </si>
  <si>
    <t>Ms Ajayi Oluwatobi Tomilola</t>
  </si>
  <si>
    <t>EX052</t>
  </si>
  <si>
    <t>Mrs Olatunde Adeyinka Mojisola</t>
  </si>
  <si>
    <t>EX053</t>
  </si>
  <si>
    <t>Mrs Braimoh Salimot Ajoke</t>
  </si>
  <si>
    <t>24/05/2025</t>
  </si>
  <si>
    <t>EX054</t>
  </si>
  <si>
    <t>26/05/2025</t>
  </si>
  <si>
    <t>EX055</t>
  </si>
  <si>
    <t>EX056</t>
  </si>
  <si>
    <t>Mr Olafusi Oladapo Alexander</t>
  </si>
  <si>
    <t>MR ALEX OLAFUSI</t>
  </si>
  <si>
    <t>2025-03-06</t>
  </si>
  <si>
    <t>EX057</t>
  </si>
  <si>
    <t>Miss Olotu Oyinkansola Comfort</t>
  </si>
  <si>
    <t>MS TABITHA OLOTU</t>
  </si>
  <si>
    <t>EX058</t>
  </si>
  <si>
    <t>Mr Salami Babatunde</t>
  </si>
  <si>
    <t>EX059</t>
  </si>
  <si>
    <t>Dr Afowowe Tosin Oladipo</t>
  </si>
  <si>
    <t>EX060</t>
  </si>
  <si>
    <t>Mrs Albert Chinelo Gift</t>
  </si>
  <si>
    <t>EX061</t>
  </si>
  <si>
    <t>19/06/2025</t>
  </si>
  <si>
    <t>EX062</t>
  </si>
  <si>
    <t>Mr Omoria Emmanuel Osaikweme</t>
  </si>
  <si>
    <t>MS DORCAS</t>
  </si>
  <si>
    <t>EX063</t>
  </si>
  <si>
    <t>Mrs Ezeh Amaka Nnenna</t>
  </si>
  <si>
    <t>MS AMAKA</t>
  </si>
  <si>
    <t>EX064</t>
  </si>
  <si>
    <t>EX065</t>
  </si>
  <si>
    <t>Mr Dada Oladele John</t>
  </si>
  <si>
    <t>EX066</t>
  </si>
  <si>
    <t>Mr Ogunleye Oladapo Johnson</t>
  </si>
  <si>
    <t>EX067</t>
  </si>
  <si>
    <t>Mrs Ezeh Amaka Ajoke Nnenna</t>
  </si>
  <si>
    <t>2025-03-07</t>
  </si>
  <si>
    <t>EX068</t>
  </si>
  <si>
    <t>Miss Omotoso Cathrine Ayobami</t>
  </si>
  <si>
    <t>EX069</t>
  </si>
  <si>
    <t>Mrs Sonuga Morenike Oluwayemisi</t>
  </si>
  <si>
    <t>13/07/2025</t>
  </si>
  <si>
    <t>EX070</t>
  </si>
  <si>
    <t>Mrs Akinsanya Adebimpe Idowu</t>
  </si>
  <si>
    <t>17/07/2025</t>
  </si>
  <si>
    <t>EX071</t>
  </si>
  <si>
    <t>EX072</t>
  </si>
  <si>
    <t>EX073</t>
  </si>
  <si>
    <t>EX074</t>
  </si>
  <si>
    <t>Ms Uzochukwu Adaeze Keren</t>
  </si>
  <si>
    <t>2025-01-08</t>
  </si>
  <si>
    <t>EX075</t>
  </si>
  <si>
    <t>EX076</t>
  </si>
  <si>
    <t>EX077</t>
  </si>
  <si>
    <t>Engr Ogungbamigbe Samuel Oluwagbemisola</t>
  </si>
  <si>
    <t>18/08/2025</t>
  </si>
  <si>
    <t>EX078</t>
  </si>
  <si>
    <t>27/08/2025</t>
  </si>
  <si>
    <t>EX079</t>
  </si>
  <si>
    <t>Miss Oyedele Christianah Omofoyeke</t>
  </si>
  <si>
    <t>EX080</t>
  </si>
  <si>
    <t>EX081</t>
  </si>
  <si>
    <t>Zaynab Oyewo</t>
  </si>
  <si>
    <t>2025-01-09</t>
  </si>
  <si>
    <t>EX082</t>
  </si>
  <si>
    <t>Mr Agunloye Praise Ayodeji</t>
  </si>
  <si>
    <t>MR PRAISE</t>
  </si>
  <si>
    <t>2025-02-09</t>
  </si>
  <si>
    <t>EX083</t>
  </si>
  <si>
    <t>Mr Salawudeen Yusuff Olayemi</t>
  </si>
  <si>
    <t>MR BAKI</t>
  </si>
  <si>
    <t>EX084</t>
  </si>
  <si>
    <t>EX085</t>
  </si>
  <si>
    <t>Mr Okelezo David Emmanuel</t>
  </si>
  <si>
    <t>19/09/2025</t>
  </si>
  <si>
    <t>EX086</t>
  </si>
  <si>
    <t>Mr Kolawole babatunde Olupona</t>
  </si>
  <si>
    <t>20/09/2025</t>
  </si>
  <si>
    <t>EX087</t>
  </si>
  <si>
    <t>22/09/2025</t>
  </si>
  <si>
    <t>EX088</t>
  </si>
  <si>
    <t>EX089</t>
  </si>
  <si>
    <t>23/09/2025</t>
  </si>
  <si>
    <t>EX090</t>
  </si>
  <si>
    <t>Mr Sholagbade Mustapha</t>
  </si>
  <si>
    <t>MS KENNY MARKETING ODUSANYA</t>
  </si>
  <si>
    <t>EX091</t>
  </si>
  <si>
    <t>14/10/2025</t>
  </si>
  <si>
    <t>EX092</t>
  </si>
  <si>
    <t>EX093</t>
  </si>
  <si>
    <t>Miss Uzochukwu Adaeze Keren</t>
  </si>
  <si>
    <t>EX094</t>
  </si>
  <si>
    <t>Mr William-Ogidan Abiodun</t>
  </si>
  <si>
    <t>EX095</t>
  </si>
  <si>
    <t>Miss Ezeribeaku Chinenye Andaline</t>
  </si>
  <si>
    <t>2025-10-11</t>
  </si>
  <si>
    <t>EX096</t>
  </si>
  <si>
    <t>Sanni Balqis Ometere</t>
  </si>
  <si>
    <t>BALQIS OMOTERE</t>
  </si>
  <si>
    <t>EX097</t>
  </si>
  <si>
    <t>28/11/2025</t>
  </si>
  <si>
    <t>EX098</t>
  </si>
  <si>
    <t>Ms Oluwadolapo Osobu</t>
  </si>
  <si>
    <t>EX099</t>
  </si>
  <si>
    <t>Mr Michael Olakunle</t>
  </si>
  <si>
    <t>EX100</t>
  </si>
  <si>
    <t>EX101</t>
  </si>
  <si>
    <t>EX102</t>
  </si>
  <si>
    <t>Mrs Oladele Adenike Monsura</t>
  </si>
  <si>
    <t>25/12/2025</t>
  </si>
  <si>
    <t>EX103</t>
  </si>
  <si>
    <t>Toyyibah Olabisi</t>
  </si>
  <si>
    <t>EX104</t>
  </si>
  <si>
    <t>Mr Olabanji Peace Oluwatoyin</t>
  </si>
  <si>
    <t>MS.OLABANJI TEAM ABIMBOLA</t>
  </si>
  <si>
    <t>Secondary records not matched one-to-one to the monthly turnover register (Dec 2023 to Dec 2024)</t>
  </si>
  <si>
    <t>Not added to Sales_Ledger, to avoid double counting. Most are aggregates or splits of receipts already in the register; a few may be receipts missing from it. Agree each to bank.</t>
  </si>
  <si>
    <t>Project (as inferred)</t>
  </si>
  <si>
    <t>XC001</t>
  </si>
  <si>
    <t>XC002</t>
  </si>
  <si>
    <t>MS YETUNDE ABISOYE r10</t>
  </si>
  <si>
    <t>XC003</t>
  </si>
  <si>
    <t>MS BOLANLE r15</t>
  </si>
  <si>
    <t>XC004</t>
  </si>
  <si>
    <t>XC005</t>
  </si>
  <si>
    <t>XC006</t>
  </si>
  <si>
    <t>XC007</t>
  </si>
  <si>
    <t>XC008</t>
  </si>
  <si>
    <t>Taiwo John Adeleye</t>
  </si>
  <si>
    <t>XC009</t>
  </si>
  <si>
    <t>XC010</t>
  </si>
  <si>
    <t>XC011</t>
  </si>
  <si>
    <t>Alabi Abdulazeez</t>
  </si>
  <si>
    <t>XC012</t>
  </si>
  <si>
    <t>XC013</t>
  </si>
  <si>
    <t>XC014</t>
  </si>
  <si>
    <t>XC015</t>
  </si>
  <si>
    <t>XC016</t>
  </si>
  <si>
    <t>XC017</t>
  </si>
  <si>
    <t>XC018</t>
  </si>
  <si>
    <t>XC019</t>
  </si>
  <si>
    <t>XC020</t>
  </si>
  <si>
    <t>MS BOLANLE r23, MS BLESSING OJI r2</t>
  </si>
  <si>
    <t>20/02/2024</t>
  </si>
  <si>
    <t>XC021</t>
  </si>
  <si>
    <t>XC022</t>
  </si>
  <si>
    <t>XC023</t>
  </si>
  <si>
    <t>XC024</t>
  </si>
  <si>
    <t>2024-02-03</t>
  </si>
  <si>
    <t>XC025</t>
  </si>
  <si>
    <t>XC026</t>
  </si>
  <si>
    <t>MS BOLANLE r35</t>
  </si>
  <si>
    <t>XC027</t>
  </si>
  <si>
    <t>Adese Akorede</t>
  </si>
  <si>
    <t>XC028</t>
  </si>
  <si>
    <t>FASUYI OLAYINKA</t>
  </si>
  <si>
    <t>XC029</t>
  </si>
  <si>
    <t>XC030</t>
  </si>
  <si>
    <t>FASUYI OLAYINKA r20, BARRISTER AYO r4</t>
  </si>
  <si>
    <t>XC031</t>
  </si>
  <si>
    <t>XC032</t>
  </si>
  <si>
    <t>MS BOLANLE r37</t>
  </si>
  <si>
    <t>XC033</t>
  </si>
  <si>
    <t>XC034</t>
  </si>
  <si>
    <t>XC035</t>
  </si>
  <si>
    <t>XC036</t>
  </si>
  <si>
    <t>XC037</t>
  </si>
  <si>
    <t>Ogunkoya Emmanuel</t>
  </si>
  <si>
    <t>XC038</t>
  </si>
  <si>
    <t>XC039</t>
  </si>
  <si>
    <t>XC040</t>
  </si>
  <si>
    <t>XC041</t>
  </si>
  <si>
    <t>MS BOLANLE r53, MS BLESSING OJI r11</t>
  </si>
  <si>
    <t>19/04/2024</t>
  </si>
  <si>
    <t>XC042</t>
  </si>
  <si>
    <t>MR CHARLES r27</t>
  </si>
  <si>
    <t>XC043</t>
  </si>
  <si>
    <t>XC044</t>
  </si>
  <si>
    <t>XC045</t>
  </si>
  <si>
    <t>XC046</t>
  </si>
  <si>
    <t>XC047</t>
  </si>
  <si>
    <t>MS IMMACULATE r33</t>
  </si>
  <si>
    <t>XC048</t>
  </si>
  <si>
    <t>IDAH MARYDAVID r3</t>
  </si>
  <si>
    <t>XC049</t>
  </si>
  <si>
    <t>XC050</t>
  </si>
  <si>
    <t>XC051</t>
  </si>
  <si>
    <t>FASUYI OLAYINKA r21, BARRISTER AYO r5</t>
  </si>
  <si>
    <t>2024-07-05</t>
  </si>
  <si>
    <t>XC052</t>
  </si>
  <si>
    <t>XC053</t>
  </si>
  <si>
    <t>XC054</t>
  </si>
  <si>
    <t>XC055</t>
  </si>
  <si>
    <t>XC056</t>
  </si>
  <si>
    <t>2024-07-06</t>
  </si>
  <si>
    <t>XC057</t>
  </si>
  <si>
    <t>XC058</t>
  </si>
  <si>
    <t>XC059</t>
  </si>
  <si>
    <t>XC060</t>
  </si>
  <si>
    <t>XC061</t>
  </si>
  <si>
    <t>XC062</t>
  </si>
  <si>
    <t>XC063</t>
  </si>
  <si>
    <t>MS MAYOWA BRAIMOH r18</t>
  </si>
  <si>
    <t>XC064</t>
  </si>
  <si>
    <t>MS BLESSING OJI</t>
  </si>
  <si>
    <t>XC065</t>
  </si>
  <si>
    <t>XC066</t>
  </si>
  <si>
    <t>FESTUS</t>
  </si>
  <si>
    <t>XC067</t>
  </si>
  <si>
    <t>XC068</t>
  </si>
  <si>
    <t>XC069</t>
  </si>
  <si>
    <t>XC070</t>
  </si>
  <si>
    <t>XC071</t>
  </si>
  <si>
    <t>Mrs Lawani Opemipo Oluwatobi</t>
  </si>
  <si>
    <t>XC072</t>
  </si>
  <si>
    <t>XC073</t>
  </si>
  <si>
    <t>XC074</t>
  </si>
  <si>
    <t>XC075</t>
  </si>
  <si>
    <t>XC076</t>
  </si>
  <si>
    <t>MR HENRY</t>
  </si>
  <si>
    <t>XC077</t>
  </si>
  <si>
    <t>XC078</t>
  </si>
  <si>
    <t>XC079</t>
  </si>
  <si>
    <t>XC080</t>
  </si>
  <si>
    <t>XC081</t>
  </si>
  <si>
    <t>XC082</t>
  </si>
  <si>
    <t>MS BLESSING OJI r58</t>
  </si>
  <si>
    <t>XC083</t>
  </si>
  <si>
    <t>XC084</t>
  </si>
  <si>
    <t>XC085</t>
  </si>
  <si>
    <t>XC086</t>
  </si>
  <si>
    <t>XC087</t>
  </si>
  <si>
    <t>XC088</t>
  </si>
  <si>
    <t>XC089</t>
  </si>
  <si>
    <t>XC090</t>
  </si>
  <si>
    <t>Reconciliation: extracted lines vs totals stated in the monthly turnover sheets</t>
  </si>
  <si>
    <t>Source: BAAY PROJECTS FINANCIALS 2024.xlsx. Stated totals typed in blue from the cell named; blank where the source sheet carries no total.</t>
  </si>
  <si>
    <t>Total stated in source (₦)</t>
  </si>
  <si>
    <t>Where stated</t>
  </si>
  <si>
    <t>In Sales_Ledger (₦)</t>
  </si>
  <si>
    <t>In Exclusions (₦)</t>
  </si>
  <si>
    <t>Extracted total (₦)</t>
  </si>
  <si>
    <t>Difference (₦)</t>
  </si>
  <si>
    <t>C31 "TOTAL SALES AS AT DECEMBER 2023"</t>
  </si>
  <si>
    <t>C30 "TOTAL SALES FOR JANUARY 2024"</t>
  </si>
  <si>
    <t>No total in sheet</t>
  </si>
  <si>
    <t>C40 "GRAND TOTAL"</t>
  </si>
  <si>
    <t>A38 "Total"</t>
  </si>
  <si>
    <t>C47 "TOTAL TURNOVER FOR SEPTEMBER"</t>
  </si>
  <si>
    <t>C36 "TOTAL TURNOVER FOR OCTOBER"</t>
  </si>
  <si>
    <t>C42 "TOTAL REVENUE FOR NOVEMBER"</t>
  </si>
  <si>
    <t>C35 "GRAND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</si>
</sst>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8" x14ac:knownFonts="1">
    <font>
      <sz val="11"/>
      <color theme="1"/>
      <name val="Calibri"/>
      <family val="2"/>
      <charset val="1"/>
    </font>
    <font>
      <b/>
      <sz val="14"/>
      <name val="Arial"/>
      <charset val="1"/>
    </font>
    <font>
      <i/>
      <sz val="10"/>
      <color rgb="FF595959"/>
      <name val="Arial"/>
      <charset val="1"/>
    </font>
    <font>
      <b/>
      <sz val="11"/>
      <color rgb="FF1F3864"/>
      <name val="Arial"/>
      <charset val="1"/>
    </font>
    <font>
      <b/>
      <sz val="10"/>
      <color rgb="FFFFFFFF"/>
      <name val="Arial"/>
      <charset val="1"/>
    </font>
    <font>
      <sz val="10"/>
      <name val="Arial"/>
      <charset val="1"/>
    </font>
    <font>
      <b/>
      <sz val="10"/>
      <name val="Arial"/>
      <charset val="1"/>
    </font>
    <font>
      <sz val="10"/>
      <color rgb="FF0000FF"/>
      <name val="Arial"/>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left" wrapText="1"/>
    </xf>
    <xf numFmtId="0" fontId="4" fillId="2" borderId="1" xfId="0" applyFont="1" applyFill="1" applyBorder="1" applyAlignment="1">
      <alignment horizontal="center" wrapText="1"/>
    </xf>
    <xf numFmtId="0" fontId="5" fillId="0" borderId="1" xfId="0" applyFont="1" applyBorder="1"/>
    <xf numFmtId="164" fontId="5" fillId="0" borderId="1" xfId="0" applyNumberFormat="1" applyFont="1" applyBorder="1"/>
    <xf numFmtId="0" fontId="6" fillId="3" borderId="1" xfId="0" applyFont="1" applyFill="1" applyBorder="1"/>
    <xf numFmtId="164" fontId="6" fillId="3" borderId="1" xfId="0" applyNumberFormat="1" applyFont="1" applyFill="1" applyBorder="1"/>
    <xf numFmtId="0" fontId="2" fillId="0" borderId="1" xfId="0" applyFont="1" applyBorder="1"/>
    <xf numFmtId="3" fontId="5" fillId="0" borderId="1" xfId="0" applyNumberFormat="1" applyFont="1" applyBorder="1"/>
    <xf numFmtId="0" fontId="6" fillId="0" borderId="0" xfId="0" applyFont="1" applyAlignment="1">
      <alignment vertical="top" wrapText="1"/>
    </xf>
    <xf numFmtId="0" fontId="5" fillId="0" borderId="0" xfId="0" applyFont="1" applyAlignment="1">
      <alignment vertical="top" wrapText="1"/>
    </xf>
    <xf numFmtId="0" fontId="4" fillId="2" borderId="1" xfId="0" applyFont="1" applyFill="1" applyBorder="1" applyAlignment="1">
      <alignment vertical="center" wrapText="1"/>
    </xf>
    <xf numFmtId="0" fontId="5" fillId="0" borderId="0" xfId="0" applyFont="1"/>
    <xf numFmtId="165" fontId="5" fillId="0" borderId="0" xfId="0" applyNumberFormat="1" applyFont="1"/>
    <xf numFmtId="164" fontId="5" fillId="0" borderId="0" xfId="0" applyNumberFormat="1" applyFont="1"/>
    <xf numFmtId="0" fontId="6" fillId="0" borderId="0" xfId="0" applyFont="1"/>
    <xf numFmtId="164" fontId="6" fillId="0" borderId="0" xfId="0" applyNumberFormat="1" applyFont="1"/>
    <xf numFmtId="164" fontId="7"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zoomScaleNormal="100" workbookViewId="0">
      <pane xSplit="1" ySplit="3" topLeftCell="B52" activePane="bottomRight" state="frozen"/>
      <selection pane="topRight" activeCell="B1" sqref="B1"/>
      <selection pane="bottomLeft" activeCell="A4" sqref="A4"/>
      <selection pane="bottomRight" activeCell="F7" sqref="F7"/>
    </sheetView>
  </sheetViews>
  <sheetFormatPr defaultColWidth="8.6328125" defaultRowHeight="14.5" x14ac:dyDescent="0.35"/>
  <cols>
    <col min="1" max="1" width="44" customWidth="1"/>
    <col min="2" max="5" width="15" customWidth="1"/>
    <col min="6" max="6" width="17" customWidth="1"/>
  </cols>
  <sheetData>
    <row r="1" spans="1:6" ht="18" x14ac:dyDescent="0.4">
      <c r="A1" s="1" t="s">
        <v>0</v>
      </c>
    </row>
    <row r="2" spans="1:6" x14ac:dyDescent="0.35">
      <c r="A2" s="2" t="s">
        <v>1</v>
      </c>
    </row>
    <row r="4" spans="1:6" x14ac:dyDescent="0.35">
      <c r="A4" s="3" t="s">
        <v>2</v>
      </c>
    </row>
    <row r="5" spans="1:6" x14ac:dyDescent="0.35">
      <c r="A5" s="2" t="s">
        <v>3</v>
      </c>
    </row>
    <row r="6" spans="1:6" x14ac:dyDescent="0.35">
      <c r="A6" s="4" t="s">
        <v>4</v>
      </c>
      <c r="B6" s="5" t="s">
        <v>5</v>
      </c>
      <c r="C6" s="5" t="s">
        <v>6</v>
      </c>
      <c r="D6" s="5" t="s">
        <v>7</v>
      </c>
      <c r="E6" s="5" t="s">
        <v>8</v>
      </c>
      <c r="F6" s="5" t="s">
        <v>9</v>
      </c>
    </row>
    <row r="7" spans="1:6" x14ac:dyDescent="0.35">
      <c r="A7" s="6" t="s">
        <v>10</v>
      </c>
      <c r="B7" s="7">
        <f>SUMIFS(Sales_Ledger!$J$5:$J$863,Sales_Ledger!$E$5:$E$863,"Land",Sales_Ledger!$D$5:$D$863,2022,Sales_Ledger!$F$5:$F$863,"Plot / unit price")</f>
        <v>0</v>
      </c>
      <c r="C7" s="7">
        <f>SUMIFS(Sales_Ledger!$J$5:$J$863,Sales_Ledger!$E$5:$E$863,"Land",Sales_Ledger!$D$5:$D$863,2023,Sales_Ledger!$F$5:$F$863,"Plot / unit price")</f>
        <v>104120000</v>
      </c>
      <c r="D7" s="7">
        <f>SUMIFS(Sales_Ledger!$J$5:$J$863,Sales_Ledger!$E$5:$E$863,"Land",Sales_Ledger!$D$5:$D$863,2024,Sales_Ledger!$F$5:$F$863,"Plot / unit price")</f>
        <v>440615600</v>
      </c>
      <c r="E7" s="7">
        <f>SUMIFS(Sales_Ledger!$J$5:$J$863,Sales_Ledger!$E$5:$E$863,"Land",Sales_Ledger!$D$5:$D$863,2025,Sales_Ledger!$F$5:$F$863,"Plot / unit price")</f>
        <v>126443400</v>
      </c>
      <c r="F7" s="7">
        <f>SUM(B7:E7)</f>
        <v>671179000</v>
      </c>
    </row>
    <row r="8" spans="1:6" x14ac:dyDescent="0.35">
      <c r="A8" s="6" t="s">
        <v>11</v>
      </c>
      <c r="B8" s="7">
        <f>SUMIFS(Sales_Ledger!$J$5:$J$863,Sales_Ledger!$E$5:$E$863,"Land",Sales_Ledger!$D$5:$D$863,2022,Sales_Ledger!$F$5:$F$863,"Ancillary charge")</f>
        <v>0</v>
      </c>
      <c r="C8" s="7">
        <f>SUMIFS(Sales_Ledger!$J$5:$J$863,Sales_Ledger!$E$5:$E$863,"Land",Sales_Ledger!$D$5:$D$863,2023,Sales_Ledger!$F$5:$F$863,"Ancillary charge")</f>
        <v>0</v>
      </c>
      <c r="D8" s="7">
        <f>SUMIFS(Sales_Ledger!$J$5:$J$863,Sales_Ledger!$E$5:$E$863,"Land",Sales_Ledger!$D$5:$D$863,2024,Sales_Ledger!$F$5:$F$863,"Ancillary charge")</f>
        <v>8965000</v>
      </c>
      <c r="E8" s="7">
        <f>SUMIFS(Sales_Ledger!$J$5:$J$863,Sales_Ledger!$E$5:$E$863,"Land",Sales_Ledger!$D$5:$D$863,2025,Sales_Ledger!$F$5:$F$863,"Ancillary charge")</f>
        <v>0</v>
      </c>
      <c r="F8" s="7">
        <f>SUM(B8:E8)</f>
        <v>8965000</v>
      </c>
    </row>
    <row r="9" spans="1:6" x14ac:dyDescent="0.35">
      <c r="A9" s="6" t="s">
        <v>12</v>
      </c>
      <c r="B9" s="7">
        <f>SUMIFS(Sales_Ledger!$J$5:$J$863,Sales_Ledger!$E$5:$E$863,"Housing",Sales_Ledger!$D$5:$D$863,2022,Sales_Ledger!$F$5:$F$863,"Plot / unit price")</f>
        <v>0</v>
      </c>
      <c r="C9" s="7">
        <f>SUMIFS(Sales_Ledger!$J$5:$J$863,Sales_Ledger!$E$5:$E$863,"Housing",Sales_Ledger!$D$5:$D$863,2023,Sales_Ledger!$F$5:$F$863,"Plot / unit price")</f>
        <v>21500000</v>
      </c>
      <c r="D9" s="7">
        <f>SUMIFS(Sales_Ledger!$J$5:$J$863,Sales_Ledger!$E$5:$E$863,"Housing",Sales_Ledger!$D$5:$D$863,2024,Sales_Ledger!$F$5:$F$863,"Plot / unit price")</f>
        <v>144500000</v>
      </c>
      <c r="E9" s="7">
        <f>SUMIFS(Sales_Ledger!$J$5:$J$863,Sales_Ledger!$E$5:$E$863,"Housing",Sales_Ledger!$D$5:$D$863,2025,Sales_Ledger!$F$5:$F$863,"Plot / unit price")</f>
        <v>1738670000</v>
      </c>
      <c r="F9" s="7">
        <f>SUM(B9:E9)</f>
        <v>1904670000</v>
      </c>
    </row>
    <row r="10" spans="1:6" x14ac:dyDescent="0.35">
      <c r="A10" s="6" t="s">
        <v>13</v>
      </c>
      <c r="B10" s="7">
        <f>SUMIFS(Sales_Ledger!$J$5:$J$863,Sales_Ledger!$E$5:$E$863,"Construction",Sales_Ledger!$D$5:$D$863,2022)</f>
        <v>0</v>
      </c>
      <c r="C10" s="7">
        <f>SUMIFS(Sales_Ledger!$J$5:$J$863,Sales_Ledger!$E$5:$E$863,"Construction",Sales_Ledger!$D$5:$D$863,2023)</f>
        <v>0</v>
      </c>
      <c r="D10" s="7">
        <f>SUMIFS(Sales_Ledger!$J$5:$J$863,Sales_Ledger!$E$5:$E$863,"Construction",Sales_Ledger!$D$5:$D$863,2024)</f>
        <v>0</v>
      </c>
      <c r="E10" s="7">
        <f>SUMIFS(Sales_Ledger!$J$5:$J$863,Sales_Ledger!$E$5:$E$863,"Construction",Sales_Ledger!$D$5:$D$863,2025)</f>
        <v>0</v>
      </c>
      <c r="F10" s="7">
        <f>SUM(B10:E10)</f>
        <v>0</v>
      </c>
    </row>
    <row r="11" spans="1:6" x14ac:dyDescent="0.35">
      <c r="A11" s="8" t="s">
        <v>14</v>
      </c>
      <c r="B11" s="9">
        <f>SUM(B7:B10)</f>
        <v>0</v>
      </c>
      <c r="C11" s="9">
        <f>SUM(C7:C10)</f>
        <v>125620000</v>
      </c>
      <c r="D11" s="9">
        <f>SUM(D7:D10)</f>
        <v>594080600</v>
      </c>
      <c r="E11" s="9">
        <f>SUM(E7:E10)</f>
        <v>1865113400</v>
      </c>
      <c r="F11" s="9">
        <f>SUM(F7:F10)</f>
        <v>2584814000</v>
      </c>
    </row>
    <row r="12" spans="1:6" x14ac:dyDescent="0.35">
      <c r="A12" s="10" t="s">
        <v>15</v>
      </c>
      <c r="B12" s="7"/>
      <c r="C12" s="7"/>
      <c r="D12" s="7"/>
      <c r="E12" s="7"/>
      <c r="F12" s="7">
        <f>F11-SUM(Sales_Ledger!$J$5:$J$863)</f>
        <v>0</v>
      </c>
    </row>
    <row r="14" spans="1:6" x14ac:dyDescent="0.35">
      <c r="A14" s="3" t="s">
        <v>16</v>
      </c>
    </row>
    <row r="15" spans="1:6" x14ac:dyDescent="0.35">
      <c r="A15" s="2" t="s">
        <v>17</v>
      </c>
    </row>
    <row r="16" spans="1:6" x14ac:dyDescent="0.35">
      <c r="A16" s="4" t="s">
        <v>18</v>
      </c>
      <c r="B16" s="5" t="s">
        <v>5</v>
      </c>
      <c r="C16" s="5" t="s">
        <v>6</v>
      </c>
      <c r="D16" s="5" t="s">
        <v>7</v>
      </c>
      <c r="E16" s="5" t="s">
        <v>8</v>
      </c>
      <c r="F16" s="5" t="s">
        <v>19</v>
      </c>
    </row>
    <row r="17" spans="1:6" x14ac:dyDescent="0.35">
      <c r="A17" s="6" t="s">
        <v>20</v>
      </c>
      <c r="B17" s="7">
        <f>SUMIFS(Sales_Ledger!$J$5:$J$863,Sales_Ledger!$L$5:$L$863,"Primary: monthly turnover register",Sales_Ledger!$D$5:$D$863,2022)</f>
        <v>0</v>
      </c>
      <c r="C17" s="7">
        <f>SUMIFS(Sales_Ledger!$J$5:$J$863,Sales_Ledger!$L$5:$L$863,"Primary: monthly turnover register",Sales_Ledger!$D$5:$D$863,2023)</f>
        <v>35270000</v>
      </c>
      <c r="D17" s="7">
        <f>SUMIFS(Sales_Ledger!$J$5:$J$863,Sales_Ledger!$L$5:$L$863,"Primary: monthly turnover register",Sales_Ledger!$D$5:$D$863,2024)</f>
        <v>594080600</v>
      </c>
      <c r="E17" s="7">
        <f>SUMIFS(Sales_Ledger!$J$5:$J$863,Sales_Ledger!$L$5:$L$863,"Primary: monthly turnover register",Sales_Ledger!$D$5:$D$863,2025)</f>
        <v>0</v>
      </c>
      <c r="F17" s="7">
        <f>SUM(B17:E17)</f>
        <v>629350600</v>
      </c>
    </row>
    <row r="18" spans="1:6" x14ac:dyDescent="0.35">
      <c r="A18" s="6" t="s">
        <v>21</v>
      </c>
      <c r="B18" s="7">
        <f>SUMIFS(Sales_Ledger!$J$5:$J$863,Sales_Ledger!$L$5:$L$863,"Secondary: turnover schedule (Green City Ph1/Ph2 payment history); no monthly turnover register for this period",Sales_Ledger!$D$5:$D$863,2022)</f>
        <v>0</v>
      </c>
      <c r="C18" s="7">
        <f>SUMIFS(Sales_Ledger!$J$5:$J$863,Sales_Ledger!$L$5:$L$863,"Secondary: turnover schedule (Green City Ph1/Ph2 payment history); no monthly turnover register for this period",Sales_Ledger!$D$5:$D$863,2023)</f>
        <v>42906000</v>
      </c>
      <c r="D18" s="7">
        <f>SUMIFS(Sales_Ledger!$J$5:$J$863,Sales_Ledger!$L$5:$L$863,"Secondary: turnover schedule (Green City Ph1/Ph2 payment history); no monthly turnover register for this period",Sales_Ledger!$D$5:$D$863,2024)</f>
        <v>0</v>
      </c>
      <c r="E18" s="7">
        <f>SUMIFS(Sales_Ledger!$J$5:$J$863,Sales_Ledger!$L$5:$L$863,"Secondary: turnover schedule (Green City Ph1/Ph2 payment history); no monthly turnover register for this period",Sales_Ledger!$D$5:$D$863,2025)</f>
        <v>0</v>
      </c>
      <c r="F18" s="7">
        <f>SUM(B18:E18)</f>
        <v>42906000</v>
      </c>
    </row>
    <row r="19" spans="1:6" x14ac:dyDescent="0.35">
      <c r="A19" s="6" t="s">
        <v>22</v>
      </c>
      <c r="B19" s="7">
        <f>SUMIFS(Sales_Ledger!$J$5:$J$863,Sales_Ledger!$L$5:$L$863,"Secondary: commission records; no monthly turnover register for this period",Sales_Ledger!$D$5:$D$863,2022)</f>
        <v>0</v>
      </c>
      <c r="C19" s="7">
        <f>SUMIFS(Sales_Ledger!$J$5:$J$863,Sales_Ledger!$L$5:$L$863,"Secondary: commission records; no monthly turnover register for this period",Sales_Ledger!$D$5:$D$863,2023)</f>
        <v>47444000</v>
      </c>
      <c r="D19" s="7">
        <f>SUMIFS(Sales_Ledger!$J$5:$J$863,Sales_Ledger!$L$5:$L$863,"Secondary: commission records; no monthly turnover register for this period",Sales_Ledger!$D$5:$D$863,2024)</f>
        <v>0</v>
      </c>
      <c r="E19" s="7">
        <f>SUMIFS(Sales_Ledger!$J$5:$J$863,Sales_Ledger!$L$5:$L$863,"Secondary: commission records; no monthly turnover register for this period",Sales_Ledger!$D$5:$D$863,2025)</f>
        <v>1865113400</v>
      </c>
      <c r="F19" s="7">
        <f>SUM(B19:E19)</f>
        <v>1912557400</v>
      </c>
    </row>
    <row r="20" spans="1:6" x14ac:dyDescent="0.35">
      <c r="A20" s="8" t="s">
        <v>19</v>
      </c>
      <c r="B20" s="9">
        <f>SUM(B17:B19)</f>
        <v>0</v>
      </c>
      <c r="C20" s="9">
        <f>SUM(C17:C19)</f>
        <v>125620000</v>
      </c>
      <c r="D20" s="9">
        <f>SUM(D17:D19)</f>
        <v>594080600</v>
      </c>
      <c r="E20" s="9">
        <f>SUM(E17:E19)</f>
        <v>1865113400</v>
      </c>
      <c r="F20" s="9">
        <f>SUM(F17:F19)</f>
        <v>2584814000</v>
      </c>
    </row>
    <row r="22" spans="1:6" x14ac:dyDescent="0.35">
      <c r="A22" s="3" t="s">
        <v>23</v>
      </c>
    </row>
    <row r="23" spans="1:6" x14ac:dyDescent="0.35">
      <c r="A23" s="4" t="s">
        <v>24</v>
      </c>
      <c r="B23" s="5" t="s">
        <v>5</v>
      </c>
      <c r="C23" s="5" t="s">
        <v>6</v>
      </c>
      <c r="D23" s="5" t="s">
        <v>7</v>
      </c>
      <c r="E23" s="5" t="s">
        <v>8</v>
      </c>
      <c r="F23" s="5" t="s">
        <v>19</v>
      </c>
    </row>
    <row r="24" spans="1:6" x14ac:dyDescent="0.35">
      <c r="A24" s="6" t="s">
        <v>25</v>
      </c>
      <c r="B24" s="7">
        <f>SUMIFS(Sales_Ledger!$J$5:$J$863,Sales_Ledger!$G$5:$G$863,$A24,Sales_Ledger!$D$5:$D$863,2022)</f>
        <v>0</v>
      </c>
      <c r="C24" s="7">
        <f>SUMIFS(Sales_Ledger!$J$5:$J$863,Sales_Ledger!$G$5:$G$863,$A24,Sales_Ledger!$D$5:$D$863,2023)</f>
        <v>0</v>
      </c>
      <c r="D24" s="7">
        <f>SUMIFS(Sales_Ledger!$J$5:$J$863,Sales_Ledger!$G$5:$G$863,$A24,Sales_Ledger!$D$5:$D$863,2024)</f>
        <v>0</v>
      </c>
      <c r="E24" s="7">
        <f>SUMIFS(Sales_Ledger!$J$5:$J$863,Sales_Ledger!$G$5:$G$863,$A24,Sales_Ledger!$D$5:$D$863,2025)</f>
        <v>262245000</v>
      </c>
      <c r="F24" s="7">
        <f t="shared" ref="F24:F41" si="0">SUM(B24:E24)</f>
        <v>262245000</v>
      </c>
    </row>
    <row r="25" spans="1:6" x14ac:dyDescent="0.35">
      <c r="A25" s="6" t="s">
        <v>26</v>
      </c>
      <c r="B25" s="7">
        <f>SUMIFS(Sales_Ledger!$J$5:$J$863,Sales_Ledger!$G$5:$G$863,$A25,Sales_Ledger!$D$5:$D$863,2022)</f>
        <v>0</v>
      </c>
      <c r="C25" s="7">
        <f>SUMIFS(Sales_Ledger!$J$5:$J$863,Sales_Ledger!$G$5:$G$863,$A25,Sales_Ledger!$D$5:$D$863,2023)</f>
        <v>0</v>
      </c>
      <c r="D25" s="7">
        <f>SUMIFS(Sales_Ledger!$J$5:$J$863,Sales_Ledger!$G$5:$G$863,$A25,Sales_Ledger!$D$5:$D$863,2024)</f>
        <v>0</v>
      </c>
      <c r="E25" s="7">
        <f>SUMIFS(Sales_Ledger!$J$5:$J$863,Sales_Ledger!$G$5:$G$863,$A25,Sales_Ledger!$D$5:$D$863,2025)</f>
        <v>780000000</v>
      </c>
      <c r="F25" s="7">
        <f t="shared" si="0"/>
        <v>780000000</v>
      </c>
    </row>
    <row r="26" spans="1:6" x14ac:dyDescent="0.35">
      <c r="A26" s="6" t="s">
        <v>27</v>
      </c>
      <c r="B26" s="7">
        <f>SUMIFS(Sales_Ledger!$J$5:$J$863,Sales_Ledger!$G$5:$G$863,$A26,Sales_Ledger!$D$5:$D$863,2022)</f>
        <v>0</v>
      </c>
      <c r="C26" s="7">
        <f>SUMIFS(Sales_Ledger!$J$5:$J$863,Sales_Ledger!$G$5:$G$863,$A26,Sales_Ledger!$D$5:$D$863,2023)</f>
        <v>0</v>
      </c>
      <c r="D26" s="7">
        <f>SUMIFS(Sales_Ledger!$J$5:$J$863,Sales_Ledger!$G$5:$G$863,$A26,Sales_Ledger!$D$5:$D$863,2024)</f>
        <v>9255000</v>
      </c>
      <c r="E26" s="7">
        <f>SUMIFS(Sales_Ledger!$J$5:$J$863,Sales_Ledger!$G$5:$G$863,$A26,Sales_Ledger!$D$5:$D$863,2025)</f>
        <v>0</v>
      </c>
      <c r="F26" s="7">
        <f t="shared" si="0"/>
        <v>9255000</v>
      </c>
    </row>
    <row r="27" spans="1:6" x14ac:dyDescent="0.35">
      <c r="A27" s="6" t="s">
        <v>28</v>
      </c>
      <c r="B27" s="7">
        <f>SUMIFS(Sales_Ledger!$J$5:$J$863,Sales_Ledger!$G$5:$G$863,$A27,Sales_Ledger!$D$5:$D$863,2022)</f>
        <v>0</v>
      </c>
      <c r="C27" s="7">
        <f>SUMIFS(Sales_Ledger!$J$5:$J$863,Sales_Ledger!$G$5:$G$863,$A27,Sales_Ledger!$D$5:$D$863,2023)</f>
        <v>23666000</v>
      </c>
      <c r="D27" s="7">
        <f>SUMIFS(Sales_Ledger!$J$5:$J$863,Sales_Ledger!$G$5:$G$863,$A27,Sales_Ledger!$D$5:$D$863,2024)</f>
        <v>0</v>
      </c>
      <c r="E27" s="7">
        <f>SUMIFS(Sales_Ledger!$J$5:$J$863,Sales_Ledger!$G$5:$G$863,$A27,Sales_Ledger!$D$5:$D$863,2025)</f>
        <v>0</v>
      </c>
      <c r="F27" s="7">
        <f t="shared" si="0"/>
        <v>23666000</v>
      </c>
    </row>
    <row r="28" spans="1:6" x14ac:dyDescent="0.35">
      <c r="A28" s="6" t="s">
        <v>29</v>
      </c>
      <c r="B28" s="7">
        <f>SUMIFS(Sales_Ledger!$J$5:$J$863,Sales_Ledger!$G$5:$G$863,$A28,Sales_Ledger!$D$5:$D$863,2022)</f>
        <v>0</v>
      </c>
      <c r="C28" s="7">
        <f>SUMIFS(Sales_Ledger!$J$5:$J$863,Sales_Ledger!$G$5:$G$863,$A28,Sales_Ledger!$D$5:$D$863,2023)</f>
        <v>0</v>
      </c>
      <c r="D28" s="7">
        <f>SUMIFS(Sales_Ledger!$J$5:$J$863,Sales_Ledger!$G$5:$G$863,$A28,Sales_Ledger!$D$5:$D$863,2024)</f>
        <v>127235000</v>
      </c>
      <c r="E28" s="7">
        <f>SUMIFS(Sales_Ledger!$J$5:$J$863,Sales_Ledger!$G$5:$G$863,$A28,Sales_Ledger!$D$5:$D$863,2025)</f>
        <v>0</v>
      </c>
      <c r="F28" s="7">
        <f t="shared" si="0"/>
        <v>127235000</v>
      </c>
    </row>
    <row r="29" spans="1:6" x14ac:dyDescent="0.35">
      <c r="A29" s="6" t="s">
        <v>30</v>
      </c>
      <c r="B29" s="7">
        <f>SUMIFS(Sales_Ledger!$J$5:$J$863,Sales_Ledger!$G$5:$G$863,$A29,Sales_Ledger!$D$5:$D$863,2022)</f>
        <v>0</v>
      </c>
      <c r="C29" s="7">
        <f>SUMIFS(Sales_Ledger!$J$5:$J$863,Sales_Ledger!$G$5:$G$863,$A29,Sales_Ledger!$D$5:$D$863,2023)</f>
        <v>0</v>
      </c>
      <c r="D29" s="7">
        <f>SUMIFS(Sales_Ledger!$J$5:$J$863,Sales_Ledger!$G$5:$G$863,$A29,Sales_Ledger!$D$5:$D$863,2024)</f>
        <v>44512500</v>
      </c>
      <c r="E29" s="7">
        <f>SUMIFS(Sales_Ledger!$J$5:$J$863,Sales_Ledger!$G$5:$G$863,$A29,Sales_Ledger!$D$5:$D$863,2025)</f>
        <v>0</v>
      </c>
      <c r="F29" s="7">
        <f t="shared" si="0"/>
        <v>44512500</v>
      </c>
    </row>
    <row r="30" spans="1:6" x14ac:dyDescent="0.35">
      <c r="A30" s="6" t="s">
        <v>31</v>
      </c>
      <c r="B30" s="7">
        <f>SUMIFS(Sales_Ledger!$J$5:$J$863,Sales_Ledger!$G$5:$G$863,$A30,Sales_Ledger!$D$5:$D$863,2022)</f>
        <v>0</v>
      </c>
      <c r="C30" s="7">
        <f>SUMIFS(Sales_Ledger!$J$5:$J$863,Sales_Ledger!$G$5:$G$863,$A30,Sales_Ledger!$D$5:$D$863,2023)</f>
        <v>2740000</v>
      </c>
      <c r="D30" s="7">
        <f>SUMIFS(Sales_Ledger!$J$5:$J$863,Sales_Ledger!$G$5:$G$863,$A30,Sales_Ledger!$D$5:$D$863,2024)</f>
        <v>117466100</v>
      </c>
      <c r="E30" s="7">
        <f>SUMIFS(Sales_Ledger!$J$5:$J$863,Sales_Ledger!$G$5:$G$863,$A30,Sales_Ledger!$D$5:$D$863,2025)</f>
        <v>0</v>
      </c>
      <c r="F30" s="7">
        <f t="shared" si="0"/>
        <v>120206100</v>
      </c>
    </row>
    <row r="31" spans="1:6" x14ac:dyDescent="0.35">
      <c r="A31" s="6" t="s">
        <v>32</v>
      </c>
      <c r="B31" s="7">
        <f>SUMIFS(Sales_Ledger!$J$5:$J$863,Sales_Ledger!$G$5:$G$863,$A31,Sales_Ledger!$D$5:$D$863,2022)</f>
        <v>0</v>
      </c>
      <c r="C31" s="7">
        <f>SUMIFS(Sales_Ledger!$J$5:$J$863,Sales_Ledger!$G$5:$G$863,$A31,Sales_Ledger!$D$5:$D$863,2023)</f>
        <v>0</v>
      </c>
      <c r="D31" s="7">
        <f>SUMIFS(Sales_Ledger!$J$5:$J$863,Sales_Ledger!$G$5:$G$863,$A31,Sales_Ledger!$D$5:$D$863,2024)</f>
        <v>138007000</v>
      </c>
      <c r="E31" s="7">
        <f>SUMIFS(Sales_Ledger!$J$5:$J$863,Sales_Ledger!$G$5:$G$863,$A31,Sales_Ledger!$D$5:$D$863,2025)</f>
        <v>0</v>
      </c>
      <c r="F31" s="7">
        <f t="shared" si="0"/>
        <v>138007000</v>
      </c>
    </row>
    <row r="32" spans="1:6" x14ac:dyDescent="0.35">
      <c r="A32" s="6" t="s">
        <v>33</v>
      </c>
      <c r="B32" s="7">
        <f>SUMIFS(Sales_Ledger!$J$5:$J$863,Sales_Ledger!$G$5:$G$863,$A32,Sales_Ledger!$D$5:$D$863,2022)</f>
        <v>0</v>
      </c>
      <c r="C32" s="7">
        <f>SUMIFS(Sales_Ledger!$J$5:$J$863,Sales_Ledger!$G$5:$G$863,$A32,Sales_Ledger!$D$5:$D$863,2023)</f>
        <v>0</v>
      </c>
      <c r="D32" s="7">
        <f>SUMIFS(Sales_Ledger!$J$5:$J$863,Sales_Ledger!$G$5:$G$863,$A32,Sales_Ledger!$D$5:$D$863,2024)</f>
        <v>300000</v>
      </c>
      <c r="E32" s="7">
        <f>SUMIFS(Sales_Ledger!$J$5:$J$863,Sales_Ledger!$G$5:$G$863,$A32,Sales_Ledger!$D$5:$D$863,2025)</f>
        <v>0</v>
      </c>
      <c r="F32" s="7">
        <f t="shared" si="0"/>
        <v>300000</v>
      </c>
    </row>
    <row r="33" spans="1:6" x14ac:dyDescent="0.35">
      <c r="A33" s="6" t="s">
        <v>34</v>
      </c>
      <c r="B33" s="7">
        <f>SUMIFS(Sales_Ledger!$J$5:$J$863,Sales_Ledger!$G$5:$G$863,$A33,Sales_Ledger!$D$5:$D$863,2022)</f>
        <v>0</v>
      </c>
      <c r="C33" s="7">
        <f>SUMIFS(Sales_Ledger!$J$5:$J$863,Sales_Ledger!$G$5:$G$863,$A33,Sales_Ledger!$D$5:$D$863,2023)</f>
        <v>0</v>
      </c>
      <c r="D33" s="7">
        <f>SUMIFS(Sales_Ledger!$J$5:$J$863,Sales_Ledger!$G$5:$G$863,$A33,Sales_Ledger!$D$5:$D$863,2024)</f>
        <v>3590000</v>
      </c>
      <c r="E33" s="7">
        <f>SUMIFS(Sales_Ledger!$J$5:$J$863,Sales_Ledger!$G$5:$G$863,$A33,Sales_Ledger!$D$5:$D$863,2025)</f>
        <v>1000000</v>
      </c>
      <c r="F33" s="7">
        <f t="shared" si="0"/>
        <v>4590000</v>
      </c>
    </row>
    <row r="34" spans="1:6" x14ac:dyDescent="0.35">
      <c r="A34" s="6" t="s">
        <v>35</v>
      </c>
      <c r="B34" s="7">
        <f>SUMIFS(Sales_Ledger!$J$5:$J$863,Sales_Ledger!$G$5:$G$863,$A34,Sales_Ledger!$D$5:$D$863,2022)</f>
        <v>0</v>
      </c>
      <c r="C34" s="7">
        <f>SUMIFS(Sales_Ledger!$J$5:$J$863,Sales_Ledger!$G$5:$G$863,$A34,Sales_Ledger!$D$5:$D$863,2023)</f>
        <v>5000000</v>
      </c>
      <c r="D34" s="7">
        <f>SUMIFS(Sales_Ledger!$J$5:$J$863,Sales_Ledger!$G$5:$G$863,$A34,Sales_Ledger!$D$5:$D$863,2024)</f>
        <v>55000000</v>
      </c>
      <c r="E34" s="7">
        <f>SUMIFS(Sales_Ledger!$J$5:$J$863,Sales_Ledger!$G$5:$G$863,$A34,Sales_Ledger!$D$5:$D$863,2025)</f>
        <v>86100000</v>
      </c>
      <c r="F34" s="7">
        <f t="shared" si="0"/>
        <v>146100000</v>
      </c>
    </row>
    <row r="35" spans="1:6" x14ac:dyDescent="0.35">
      <c r="A35" s="6" t="s">
        <v>36</v>
      </c>
      <c r="B35" s="7">
        <f>SUMIFS(Sales_Ledger!$J$5:$J$863,Sales_Ledger!$G$5:$G$863,$A35,Sales_Ledger!$D$5:$D$863,2022)</f>
        <v>0</v>
      </c>
      <c r="C35" s="7">
        <f>SUMIFS(Sales_Ledger!$J$5:$J$863,Sales_Ledger!$G$5:$G$863,$A35,Sales_Ledger!$D$5:$D$863,2023)</f>
        <v>77714000</v>
      </c>
      <c r="D35" s="7">
        <f>SUMIFS(Sales_Ledger!$J$5:$J$863,Sales_Ledger!$G$5:$G$863,$A35,Sales_Ledger!$D$5:$D$863,2024)</f>
        <v>250000</v>
      </c>
      <c r="E35" s="7">
        <f>SUMIFS(Sales_Ledger!$J$5:$J$863,Sales_Ledger!$G$5:$G$863,$A35,Sales_Ledger!$D$5:$D$863,2025)</f>
        <v>125443400</v>
      </c>
      <c r="F35" s="7">
        <f t="shared" si="0"/>
        <v>203407400</v>
      </c>
    </row>
    <row r="36" spans="1:6" x14ac:dyDescent="0.35">
      <c r="A36" s="6" t="s">
        <v>37</v>
      </c>
      <c r="B36" s="7">
        <f>SUMIFS(Sales_Ledger!$J$5:$J$863,Sales_Ledger!$G$5:$G$863,$A36,Sales_Ledger!$D$5:$D$863,2022)</f>
        <v>0</v>
      </c>
      <c r="C36" s="7">
        <f>SUMIFS(Sales_Ledger!$J$5:$J$863,Sales_Ledger!$G$5:$G$863,$A36,Sales_Ledger!$D$5:$D$863,2023)</f>
        <v>0</v>
      </c>
      <c r="D36" s="7">
        <f>SUMIFS(Sales_Ledger!$J$5:$J$863,Sales_Ledger!$G$5:$G$863,$A36,Sales_Ledger!$D$5:$D$863,2024)</f>
        <v>7090000</v>
      </c>
      <c r="E36" s="7">
        <f>SUMIFS(Sales_Ledger!$J$5:$J$863,Sales_Ledger!$G$5:$G$863,$A36,Sales_Ledger!$D$5:$D$863,2025)</f>
        <v>0</v>
      </c>
      <c r="F36" s="7">
        <f t="shared" si="0"/>
        <v>7090000</v>
      </c>
    </row>
    <row r="37" spans="1:6" x14ac:dyDescent="0.35">
      <c r="A37" s="6" t="s">
        <v>38</v>
      </c>
      <c r="B37" s="7">
        <f>SUMIFS(Sales_Ledger!$J$5:$J$863,Sales_Ledger!$G$5:$G$863,$A37,Sales_Ledger!$D$5:$D$863,2022)</f>
        <v>0</v>
      </c>
      <c r="C37" s="7">
        <f>SUMIFS(Sales_Ledger!$J$5:$J$863,Sales_Ledger!$G$5:$G$863,$A37,Sales_Ledger!$D$5:$D$863,2023)</f>
        <v>0</v>
      </c>
      <c r="D37" s="7">
        <f>SUMIFS(Sales_Ledger!$J$5:$J$863,Sales_Ledger!$G$5:$G$863,$A37,Sales_Ledger!$D$5:$D$863,2024)</f>
        <v>400000</v>
      </c>
      <c r="E37" s="7">
        <f>SUMIFS(Sales_Ledger!$J$5:$J$863,Sales_Ledger!$G$5:$G$863,$A37,Sales_Ledger!$D$5:$D$863,2025)</f>
        <v>0</v>
      </c>
      <c r="F37" s="7">
        <f t="shared" si="0"/>
        <v>400000</v>
      </c>
    </row>
    <row r="38" spans="1:6" x14ac:dyDescent="0.35">
      <c r="A38" s="6" t="s">
        <v>39</v>
      </c>
      <c r="B38" s="7">
        <f>SUMIFS(Sales_Ledger!$J$5:$J$863,Sales_Ledger!$G$5:$G$863,$A38,Sales_Ledger!$D$5:$D$863,2022)</f>
        <v>0</v>
      </c>
      <c r="C38" s="7">
        <f>SUMIFS(Sales_Ledger!$J$5:$J$863,Sales_Ledger!$G$5:$G$863,$A38,Sales_Ledger!$D$5:$D$863,2023)</f>
        <v>0</v>
      </c>
      <c r="D38" s="7">
        <f>SUMIFS(Sales_Ledger!$J$5:$J$863,Sales_Ledger!$G$5:$G$863,$A38,Sales_Ledger!$D$5:$D$863,2024)</f>
        <v>1475000</v>
      </c>
      <c r="E38" s="7">
        <f>SUMIFS(Sales_Ledger!$J$5:$J$863,Sales_Ledger!$G$5:$G$863,$A38,Sales_Ledger!$D$5:$D$863,2025)</f>
        <v>0</v>
      </c>
      <c r="F38" s="7">
        <f t="shared" si="0"/>
        <v>1475000</v>
      </c>
    </row>
    <row r="39" spans="1:6" x14ac:dyDescent="0.35">
      <c r="A39" s="6" t="s">
        <v>40</v>
      </c>
      <c r="B39" s="7">
        <f>SUMIFS(Sales_Ledger!$J$5:$J$863,Sales_Ledger!$G$5:$G$863,$A39,Sales_Ledger!$D$5:$D$863,2022)</f>
        <v>0</v>
      </c>
      <c r="C39" s="7">
        <f>SUMIFS(Sales_Ledger!$J$5:$J$863,Sales_Ledger!$G$5:$G$863,$A39,Sales_Ledger!$D$5:$D$863,2023)</f>
        <v>0</v>
      </c>
      <c r="D39" s="7">
        <f>SUMIFS(Sales_Ledger!$J$5:$J$863,Sales_Ledger!$G$5:$G$863,$A39,Sales_Ledger!$D$5:$D$863,2024)</f>
        <v>89500000</v>
      </c>
      <c r="E39" s="7">
        <f>SUMIFS(Sales_Ledger!$J$5:$J$863,Sales_Ledger!$G$5:$G$863,$A39,Sales_Ledger!$D$5:$D$863,2025)</f>
        <v>574325000</v>
      </c>
      <c r="F39" s="7">
        <f t="shared" si="0"/>
        <v>663825000</v>
      </c>
    </row>
    <row r="40" spans="1:6" x14ac:dyDescent="0.35">
      <c r="A40" s="6" t="s">
        <v>41</v>
      </c>
      <c r="B40" s="7">
        <f>SUMIFS(Sales_Ledger!$J$5:$J$863,Sales_Ledger!$G$5:$G$863,$A40,Sales_Ledger!$D$5:$D$863,2022)</f>
        <v>0</v>
      </c>
      <c r="C40" s="7">
        <f>SUMIFS(Sales_Ledger!$J$5:$J$863,Sales_Ledger!$G$5:$G$863,$A40,Sales_Ledger!$D$5:$D$863,2023)</f>
        <v>16500000</v>
      </c>
      <c r="D40" s="7">
        <f>SUMIFS(Sales_Ledger!$J$5:$J$863,Sales_Ledger!$G$5:$G$863,$A40,Sales_Ledger!$D$5:$D$863,2024)</f>
        <v>0</v>
      </c>
      <c r="E40" s="7">
        <f>SUMIFS(Sales_Ledger!$J$5:$J$863,Sales_Ledger!$G$5:$G$863,$A40,Sales_Ledger!$D$5:$D$863,2025)</f>
        <v>0</v>
      </c>
      <c r="F40" s="7">
        <f t="shared" si="0"/>
        <v>16500000</v>
      </c>
    </row>
    <row r="41" spans="1:6" x14ac:dyDescent="0.35">
      <c r="A41" s="6" t="s">
        <v>42</v>
      </c>
      <c r="B41" s="7">
        <f>SUMIFS(Sales_Ledger!$J$5:$J$863,Sales_Ledger!$G$5:$G$863,$A41,Sales_Ledger!$D$5:$D$863,2022)</f>
        <v>0</v>
      </c>
      <c r="C41" s="7">
        <f>SUMIFS(Sales_Ledger!$J$5:$J$863,Sales_Ledger!$G$5:$G$863,$A41,Sales_Ledger!$D$5:$D$863,2023)</f>
        <v>0</v>
      </c>
      <c r="D41" s="7">
        <f>SUMIFS(Sales_Ledger!$J$5:$J$863,Sales_Ledger!$G$5:$G$863,$A41,Sales_Ledger!$D$5:$D$863,2024)</f>
        <v>0</v>
      </c>
      <c r="E41" s="7">
        <f>SUMIFS(Sales_Ledger!$J$5:$J$863,Sales_Ledger!$G$5:$G$863,$A41,Sales_Ledger!$D$5:$D$863,2025)</f>
        <v>36000000</v>
      </c>
      <c r="F41" s="7">
        <f t="shared" si="0"/>
        <v>36000000</v>
      </c>
    </row>
    <row r="42" spans="1:6" x14ac:dyDescent="0.35">
      <c r="A42" s="8" t="s">
        <v>19</v>
      </c>
      <c r="B42" s="9">
        <f>SUM(B24:B41)</f>
        <v>0</v>
      </c>
      <c r="C42" s="9">
        <f>SUM(C24:C41)</f>
        <v>125620000</v>
      </c>
      <c r="D42" s="9">
        <f>SUM(D24:D41)</f>
        <v>594080600</v>
      </c>
      <c r="E42" s="9">
        <f>SUM(E24:E41)</f>
        <v>1865113400</v>
      </c>
      <c r="F42" s="9">
        <f>SUM(F24:F41)</f>
        <v>2584814000</v>
      </c>
    </row>
    <row r="44" spans="1:6" x14ac:dyDescent="0.35">
      <c r="A44" s="3" t="s">
        <v>43</v>
      </c>
    </row>
    <row r="45" spans="1:6" x14ac:dyDescent="0.35">
      <c r="A45" s="2" t="s">
        <v>44</v>
      </c>
    </row>
    <row r="46" spans="1:6" x14ac:dyDescent="0.35">
      <c r="A46" s="4" t="s">
        <v>45</v>
      </c>
      <c r="B46" s="5" t="s">
        <v>5</v>
      </c>
      <c r="C46" s="5" t="s">
        <v>6</v>
      </c>
      <c r="D46" s="5" t="s">
        <v>7</v>
      </c>
      <c r="E46" s="5" t="s">
        <v>8</v>
      </c>
      <c r="F46" s="5" t="s">
        <v>19</v>
      </c>
    </row>
    <row r="47" spans="1:6" x14ac:dyDescent="0.35">
      <c r="A47" s="6" t="s">
        <v>46</v>
      </c>
      <c r="B47" s="7">
        <f>COUNTIFS(Subscriptions!$D$5:$D$218,"Land",Subscriptions!$H$5:$H$218,2022)</f>
        <v>0</v>
      </c>
      <c r="C47" s="7">
        <f>COUNTIFS(Subscriptions!$D$5:$D$218,"Land",Subscriptions!$H$5:$H$218,2023)</f>
        <v>42</v>
      </c>
      <c r="D47" s="7">
        <f>COUNTIFS(Subscriptions!$D$5:$D$218,"Land",Subscriptions!$H$5:$H$218,2024)</f>
        <v>99</v>
      </c>
      <c r="E47" s="7">
        <f>COUNTIFS(Subscriptions!$D$5:$D$218,"Land",Subscriptions!$H$5:$H$218,2025)</f>
        <v>33</v>
      </c>
      <c r="F47" s="7">
        <f>SUM(B47:E47)</f>
        <v>174</v>
      </c>
    </row>
    <row r="48" spans="1:6" x14ac:dyDescent="0.35">
      <c r="A48" s="6" t="s">
        <v>47</v>
      </c>
      <c r="B48" s="7">
        <f>COUNTIFS(Subscriptions!$D$5:$D$218,"Housing",Subscriptions!$H$5:$H$218,2022)</f>
        <v>5</v>
      </c>
      <c r="C48" s="7">
        <f>COUNTIFS(Subscriptions!$D$5:$D$218,"Housing",Subscriptions!$H$5:$H$218,2023)</f>
        <v>2</v>
      </c>
      <c r="D48" s="7">
        <f>COUNTIFS(Subscriptions!$D$5:$D$218,"Housing",Subscriptions!$H$5:$H$218,2024)</f>
        <v>5</v>
      </c>
      <c r="E48" s="7">
        <f>COUNTIFS(Subscriptions!$D$5:$D$218,"Housing",Subscriptions!$H$5:$H$218,2025)</f>
        <v>25</v>
      </c>
      <c r="F48" s="7">
        <f>SUM(B48:E48)</f>
        <v>37</v>
      </c>
    </row>
    <row r="49" spans="1:6" x14ac:dyDescent="0.35">
      <c r="A49" s="6" t="s">
        <v>13</v>
      </c>
      <c r="B49" s="7">
        <f>COUNTIFS(Subscriptions!$D$5:$D$218,"Construction",Subscriptions!$H$5:$H$218,2022)</f>
        <v>0</v>
      </c>
      <c r="C49" s="7">
        <f>COUNTIFS(Subscriptions!$D$5:$D$218,"Construction",Subscriptions!$H$5:$H$218,2023)</f>
        <v>0</v>
      </c>
      <c r="D49" s="7">
        <f>COUNTIFS(Subscriptions!$D$5:$D$218,"Construction",Subscriptions!$H$5:$H$218,2024)</f>
        <v>0</v>
      </c>
      <c r="E49" s="7">
        <f>COUNTIFS(Subscriptions!$D$5:$D$218,"Construction",Subscriptions!$H$5:$H$218,2025)</f>
        <v>0</v>
      </c>
      <c r="F49" s="7">
        <f>SUM(B49:E49)</f>
        <v>0</v>
      </c>
    </row>
    <row r="50" spans="1:6" x14ac:dyDescent="0.35">
      <c r="A50" s="8" t="s">
        <v>48</v>
      </c>
      <c r="B50" s="9">
        <f>SUM(B47:B49)</f>
        <v>5</v>
      </c>
      <c r="C50" s="9">
        <f>SUM(C47:C49)</f>
        <v>44</v>
      </c>
      <c r="D50" s="9">
        <f>SUM(D47:D49)</f>
        <v>104</v>
      </c>
      <c r="E50" s="9">
        <f>SUM(E47:E49)</f>
        <v>58</v>
      </c>
      <c r="F50" s="9">
        <f>SUM(F47:F49)</f>
        <v>211</v>
      </c>
    </row>
    <row r="51" spans="1:6" x14ac:dyDescent="0.35">
      <c r="A51" s="6" t="s">
        <v>49</v>
      </c>
      <c r="B51" s="7"/>
      <c r="C51" s="7"/>
      <c r="D51" s="7"/>
      <c r="E51" s="7"/>
      <c r="F51" s="7">
        <f>COUNTIFS(Subscriptions!$A$5:$A$218,"SB*",Subscriptions!$G$5:$G$218,"")</f>
        <v>3</v>
      </c>
    </row>
    <row r="54" spans="1:6" x14ac:dyDescent="0.35">
      <c r="A54" s="6" t="s">
        <v>50</v>
      </c>
      <c r="B54" s="7"/>
      <c r="C54" s="7"/>
      <c r="D54" s="7"/>
      <c r="E54" s="7"/>
      <c r="F54" s="11">
        <f>COUNTIF(Customer_Master!$A$5:$A$240,"BP-C*")</f>
        <v>236</v>
      </c>
    </row>
    <row r="55" spans="1:6" x14ac:dyDescent="0.35">
      <c r="A55" s="6" t="s">
        <v>51</v>
      </c>
      <c r="B55" s="7"/>
      <c r="C55" s="7"/>
      <c r="D55" s="7"/>
      <c r="E55" s="7"/>
      <c r="F55" s="11">
        <f>COUNTIF(Customer_Master!$E$5:$E$240,"*Land*")</f>
        <v>187</v>
      </c>
    </row>
    <row r="56" spans="1:6" x14ac:dyDescent="0.35">
      <c r="A56" s="6" t="s">
        <v>52</v>
      </c>
      <c r="B56" s="7"/>
      <c r="C56" s="7"/>
      <c r="D56" s="7"/>
      <c r="E56" s="7"/>
      <c r="F56" s="11">
        <f>COUNTIF(Customer_Master!$E$5:$E$240,"*Housing*")</f>
        <v>53</v>
      </c>
    </row>
    <row r="57" spans="1:6" x14ac:dyDescent="0.35">
      <c r="A57" s="6" t="s">
        <v>53</v>
      </c>
      <c r="B57" s="7"/>
      <c r="C57" s="7"/>
      <c r="D57" s="7"/>
      <c r="E57" s="7"/>
      <c r="F57" s="11">
        <f>COUNTIF(Customer_Master!$O$5:$O$240,"Client register + Transaction records")</f>
        <v>154</v>
      </c>
    </row>
    <row r="58" spans="1:6" x14ac:dyDescent="0.35">
      <c r="A58" s="6" t="s">
        <v>54</v>
      </c>
      <c r="B58" s="7"/>
      <c r="C58" s="7"/>
      <c r="D58" s="7"/>
      <c r="E58" s="7"/>
      <c r="F58" s="11">
        <f>COUNTIF(Customer_Master!$O$5:$O$240,"Client register")</f>
        <v>35</v>
      </c>
    </row>
    <row r="59" spans="1:6" x14ac:dyDescent="0.35">
      <c r="A59" s="6" t="s">
        <v>55</v>
      </c>
      <c r="B59" s="7"/>
      <c r="C59" s="7"/>
      <c r="D59" s="7"/>
      <c r="E59" s="7"/>
      <c r="F59" s="11">
        <f>COUNTIF(Customer_Master!$O$5:$O$240,"Transaction records")</f>
        <v>39</v>
      </c>
    </row>
    <row r="60" spans="1:6" x14ac:dyDescent="0.35">
      <c r="A60" s="6" t="s">
        <v>56</v>
      </c>
      <c r="B60" s="7"/>
      <c r="C60" s="7"/>
      <c r="D60" s="7"/>
      <c r="E60" s="7"/>
      <c r="F60" s="11">
        <f>COUNTIF(Customer_Master!$O$5:$O$240,"Commission records only*")</f>
        <v>8</v>
      </c>
    </row>
    <row r="61" spans="1:6" x14ac:dyDescent="0.35">
      <c r="A61" s="6" t="s">
        <v>57</v>
      </c>
      <c r="B61" s="7"/>
      <c r="C61" s="7"/>
      <c r="D61" s="7"/>
      <c r="E61" s="7"/>
      <c r="F61" s="11">
        <f>COUNTIF(Customer_Master!$R$5:$R$240,"?*")</f>
        <v>83</v>
      </c>
    </row>
    <row r="63" spans="1:6" x14ac:dyDescent="0.35">
      <c r="A63" s="3" t="s">
        <v>58</v>
      </c>
    </row>
    <row r="64" spans="1:6" x14ac:dyDescent="0.35">
      <c r="A64" s="4" t="s">
        <v>59</v>
      </c>
      <c r="B64" s="5" t="s">
        <v>5</v>
      </c>
      <c r="C64" s="5" t="s">
        <v>6</v>
      </c>
      <c r="D64" s="5" t="s">
        <v>7</v>
      </c>
      <c r="E64" s="5" t="s">
        <v>8</v>
      </c>
      <c r="F64" s="5" t="s">
        <v>19</v>
      </c>
    </row>
    <row r="65" spans="1:6" x14ac:dyDescent="0.35">
      <c r="A65" s="6" t="s">
        <v>60</v>
      </c>
      <c r="B65" s="7">
        <f>SUMIFS(Exclusions!$F$5:$F$108,Exclusions!$H$5:$H$108,"Co-ownership investment receipt: fixed-r*",Exclusions!$D$5:$D$108,2022)</f>
        <v>0</v>
      </c>
      <c r="C65" s="7">
        <f>SUMIFS(Exclusions!$F$5:$F$108,Exclusions!$H$5:$H$108,"Co-ownership investment receipt: fixed-r*",Exclusions!$D$5:$D$108,2023)</f>
        <v>0</v>
      </c>
      <c r="D65" s="7">
        <f>SUMIFS(Exclusions!$F$5:$F$108,Exclusions!$H$5:$H$108,"Co-ownership investment receipt: fixed-r*",Exclusions!$D$5:$D$108,2024)</f>
        <v>23420000</v>
      </c>
      <c r="E65" s="7">
        <f>SUMIFS(Exclusions!$F$5:$F$108,Exclusions!$H$5:$H$108,"Co-ownership investment receipt: fixed-r*",Exclusions!$D$5:$D$108,2025)</f>
        <v>212250500</v>
      </c>
      <c r="F65" s="7">
        <f>SUM(B65:E65)</f>
        <v>235670500</v>
      </c>
    </row>
    <row r="66" spans="1:6" x14ac:dyDescent="0.35">
      <c r="A66" s="6" t="s">
        <v>61</v>
      </c>
      <c r="B66" s="7">
        <f>SUMIFS(Exclusions!$F$5:$F$108,Exclusions!$H$5:$H$108,"Credit memo: non-cash transfer of an ear*",Exclusions!$D$5:$D$108,2022)</f>
        <v>0</v>
      </c>
      <c r="C66" s="7">
        <f>SUMIFS(Exclusions!$F$5:$F$108,Exclusions!$H$5:$H$108,"Credit memo: non-cash transfer of an ear*",Exclusions!$D$5:$D$108,2023)</f>
        <v>0</v>
      </c>
      <c r="D66" s="7">
        <f>SUMIFS(Exclusions!$F$5:$F$108,Exclusions!$H$5:$H$108,"Credit memo: non-cash transfer of an ear*",Exclusions!$D$5:$D$108,2024)</f>
        <v>613250</v>
      </c>
      <c r="E66" s="7">
        <f>SUMIFS(Exclusions!$F$5:$F$108,Exclusions!$H$5:$H$108,"Credit memo: non-cash transfer of an ear*",Exclusions!$D$5:$D$108,2025)</f>
        <v>0</v>
      </c>
      <c r="F66" s="7">
        <f>SUM(B66:E66)</f>
        <v>613250</v>
      </c>
    </row>
    <row r="67" spans="1:6" x14ac:dyDescent="0.35">
      <c r="A67" s="6" t="s">
        <v>62</v>
      </c>
      <c r="B67" s="7">
        <f>SUMIFS(Exclusions!$F$5:$F$108,Exclusions!$H$5:$H$108,"Service/engagement income: not a land, h*",Exclusions!$D$5:$D$108,2022)</f>
        <v>0</v>
      </c>
      <c r="C67" s="7">
        <f>SUMIFS(Exclusions!$F$5:$F$108,Exclusions!$H$5:$H$108,"Service/engagement income: not a land, h*",Exclusions!$D$5:$D$108,2023)</f>
        <v>0</v>
      </c>
      <c r="D67" s="7">
        <f>SUMIFS(Exclusions!$F$5:$F$108,Exclusions!$H$5:$H$108,"Service/engagement income: not a land, h*",Exclusions!$D$5:$D$108,2024)</f>
        <v>2650000</v>
      </c>
      <c r="E67" s="7">
        <f>SUMIFS(Exclusions!$F$5:$F$108,Exclusions!$H$5:$H$108,"Service/engagement income: not a land, h*",Exclusions!$D$5:$D$108,2025)</f>
        <v>0</v>
      </c>
      <c r="F67" s="7">
        <f>SUM(B67:E67)</f>
        <v>2650000</v>
      </c>
    </row>
    <row r="68" spans="1:6" x14ac:dyDescent="0.35">
      <c r="A68" s="8" t="s">
        <v>63</v>
      </c>
      <c r="B68" s="9">
        <f>SUM(B65:B67)</f>
        <v>0</v>
      </c>
      <c r="C68" s="9">
        <f>SUM(C65:C67)</f>
        <v>0</v>
      </c>
      <c r="D68" s="9">
        <f>SUM(D65:D67)</f>
        <v>26683250</v>
      </c>
      <c r="E68" s="9">
        <f>SUM(E65:E67)</f>
        <v>212250500</v>
      </c>
      <c r="F68" s="9">
        <f>SUM(F65:F67)</f>
        <v>238933750</v>
      </c>
    </row>
    <row r="70" spans="1:6" x14ac:dyDescent="0.35">
      <c r="A70" s="3" t="s">
        <v>64</v>
      </c>
    </row>
    <row r="71" spans="1:6" x14ac:dyDescent="0.35">
      <c r="A71" s="6" t="s">
        <v>65</v>
      </c>
      <c r="B71" s="7"/>
      <c r="C71" s="7"/>
      <c r="D71" s="7"/>
      <c r="E71" s="7"/>
      <c r="F71" s="7">
        <f>SUM(Exceptions_Dec23_Dec24!$F$5:$F$94)</f>
        <v>138364537</v>
      </c>
    </row>
    <row r="72" spans="1:6" x14ac:dyDescent="0.35">
      <c r="A72" s="6" t="s">
        <v>66</v>
      </c>
      <c r="B72" s="7"/>
      <c r="C72" s="7"/>
      <c r="D72" s="7"/>
      <c r="E72" s="7"/>
      <c r="F72" s="7">
        <f>SUM(Turnover_Recon!H5:H17)</f>
        <v>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22" zoomScaleNormal="100" workbookViewId="0">
      <selection activeCell="B9" sqref="B9"/>
    </sheetView>
  </sheetViews>
  <sheetFormatPr defaultColWidth="8.6328125" defaultRowHeight="14.5" x14ac:dyDescent="0.35"/>
  <cols>
    <col min="1" max="1" width="34" customWidth="1"/>
    <col min="2" max="2" width="120" customWidth="1"/>
  </cols>
  <sheetData>
    <row r="1" spans="1:2" ht="18" x14ac:dyDescent="0.4">
      <c r="A1" s="1" t="s">
        <v>67</v>
      </c>
    </row>
    <row r="4" spans="1:2" x14ac:dyDescent="0.35">
      <c r="A4" s="3" t="s">
        <v>68</v>
      </c>
    </row>
    <row r="5" spans="1:2" ht="45" customHeight="1" x14ac:dyDescent="0.35">
      <c r="A5" s="12" t="s">
        <v>69</v>
      </c>
      <c r="B5" s="13" t="s">
        <v>70</v>
      </c>
    </row>
    <row r="6" spans="1:2" ht="45" customHeight="1" x14ac:dyDescent="0.35">
      <c r="A6" s="12" t="s">
        <v>71</v>
      </c>
      <c r="B6" s="13" t="s">
        <v>72</v>
      </c>
    </row>
    <row r="8" spans="1:2" x14ac:dyDescent="0.35">
      <c r="A8" s="3" t="s">
        <v>73</v>
      </c>
    </row>
    <row r="9" spans="1:2" ht="45" customHeight="1" x14ac:dyDescent="0.35">
      <c r="A9" s="12" t="s">
        <v>74</v>
      </c>
      <c r="B9" s="13" t="s">
        <v>75</v>
      </c>
    </row>
    <row r="10" spans="1:2" ht="60" customHeight="1" x14ac:dyDescent="0.35">
      <c r="A10" s="12" t="s">
        <v>76</v>
      </c>
      <c r="B10" s="13" t="s">
        <v>77</v>
      </c>
    </row>
    <row r="11" spans="1:2" ht="45" customHeight="1" x14ac:dyDescent="0.35">
      <c r="A11" s="12" t="s">
        <v>78</v>
      </c>
      <c r="B11" s="13" t="s">
        <v>79</v>
      </c>
    </row>
    <row r="12" spans="1:2" ht="30" customHeight="1" x14ac:dyDescent="0.35">
      <c r="A12" s="12" t="s">
        <v>80</v>
      </c>
      <c r="B12" s="13" t="s">
        <v>81</v>
      </c>
    </row>
    <row r="13" spans="1:2" ht="30" customHeight="1" x14ac:dyDescent="0.35">
      <c r="A13" s="12" t="s">
        <v>82</v>
      </c>
      <c r="B13" s="13" t="s">
        <v>83</v>
      </c>
    </row>
    <row r="15" spans="1:2" x14ac:dyDescent="0.35">
      <c r="A15" s="3" t="s">
        <v>84</v>
      </c>
    </row>
    <row r="16" spans="1:2" ht="30" customHeight="1" x14ac:dyDescent="0.35">
      <c r="A16" s="12" t="s">
        <v>5</v>
      </c>
      <c r="B16" s="13" t="s">
        <v>85</v>
      </c>
    </row>
    <row r="17" spans="1:2" ht="30" customHeight="1" x14ac:dyDescent="0.35">
      <c r="A17" s="12" t="s">
        <v>86</v>
      </c>
      <c r="B17" s="13" t="s">
        <v>87</v>
      </c>
    </row>
    <row r="18" spans="1:2" ht="45" customHeight="1" x14ac:dyDescent="0.35">
      <c r="A18" s="12" t="s">
        <v>88</v>
      </c>
      <c r="B18" s="13" t="s">
        <v>89</v>
      </c>
    </row>
    <row r="19" spans="1:2" ht="45" customHeight="1" x14ac:dyDescent="0.35">
      <c r="A19" s="12" t="s">
        <v>8</v>
      </c>
      <c r="B19" s="13" t="s">
        <v>90</v>
      </c>
    </row>
    <row r="20" spans="1:2" ht="30" customHeight="1" x14ac:dyDescent="0.35">
      <c r="A20" s="12" t="s">
        <v>13</v>
      </c>
      <c r="B20" s="13" t="s">
        <v>91</v>
      </c>
    </row>
    <row r="22" spans="1:2" x14ac:dyDescent="0.35">
      <c r="A22" s="3" t="s">
        <v>92</v>
      </c>
    </row>
    <row r="23" spans="1:2" ht="75" customHeight="1" x14ac:dyDescent="0.35">
      <c r="A23" s="12" t="s">
        <v>93</v>
      </c>
      <c r="B23" s="13" t="s">
        <v>94</v>
      </c>
    </row>
    <row r="24" spans="1:2" ht="45" customHeight="1" x14ac:dyDescent="0.35">
      <c r="A24" s="12" t="s">
        <v>95</v>
      </c>
      <c r="B24" s="13" t="s">
        <v>96</v>
      </c>
    </row>
    <row r="25" spans="1:2" ht="45" customHeight="1" x14ac:dyDescent="0.35">
      <c r="A25" s="12" t="s">
        <v>97</v>
      </c>
      <c r="B25" s="13" t="s">
        <v>98</v>
      </c>
    </row>
    <row r="26" spans="1:2" ht="45" customHeight="1" x14ac:dyDescent="0.35">
      <c r="A26" s="12" t="s">
        <v>99</v>
      </c>
      <c r="B26" s="13" t="s">
        <v>100</v>
      </c>
    </row>
    <row r="27" spans="1:2" ht="30" customHeight="1" x14ac:dyDescent="0.35">
      <c r="A27" s="12" t="s">
        <v>101</v>
      </c>
      <c r="B27" s="13" t="s">
        <v>102</v>
      </c>
    </row>
    <row r="29" spans="1:2" x14ac:dyDescent="0.35">
      <c r="A29" s="3" t="s">
        <v>103</v>
      </c>
    </row>
    <row r="30" spans="1:2" ht="15" customHeight="1" x14ac:dyDescent="0.35">
      <c r="A30" s="12" t="s">
        <v>104</v>
      </c>
      <c r="B30" s="13" t="s">
        <v>105</v>
      </c>
    </row>
    <row r="31" spans="1:2" ht="15" customHeight="1" x14ac:dyDescent="0.35">
      <c r="A31" s="12" t="s">
        <v>106</v>
      </c>
      <c r="B31" s="13" t="s">
        <v>107</v>
      </c>
    </row>
    <row r="32" spans="1:2" ht="45" customHeight="1" x14ac:dyDescent="0.35">
      <c r="A32" s="12" t="s">
        <v>108</v>
      </c>
      <c r="B32" s="13" t="s">
        <v>109</v>
      </c>
    </row>
    <row r="33" spans="1:2" ht="30" customHeight="1" x14ac:dyDescent="0.35">
      <c r="A33" s="12" t="s">
        <v>110</v>
      </c>
      <c r="B33" s="13" t="s">
        <v>111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64"/>
  <sheetViews>
    <sheetView zoomScaleNormal="100" workbookViewId="0">
      <pane xSplit="2" ySplit="4" topLeftCell="C239" activePane="bottomRight" state="frozen"/>
      <selection pane="topRight" activeCell="C1" sqref="C1"/>
      <selection pane="bottomLeft" activeCell="A5" sqref="A5"/>
      <selection pane="bottomRight"/>
    </sheetView>
  </sheetViews>
  <sheetFormatPr defaultColWidth="8.6328125" defaultRowHeight="14.5" x14ac:dyDescent="0.35"/>
  <cols>
    <col min="1" max="1" width="10" customWidth="1"/>
    <col min="2" max="2" width="12" customWidth="1"/>
    <col min="3" max="3" width="11" customWidth="1"/>
    <col min="4" max="4" width="7" customWidth="1"/>
    <col min="5" max="5" width="11" customWidth="1"/>
    <col min="6" max="6" width="16" customWidth="1"/>
    <col min="7" max="7" width="30" customWidth="1"/>
    <col min="8" max="8" width="11" customWidth="1"/>
    <col min="9" max="9" width="34" customWidth="1"/>
    <col min="10" max="11" width="15" customWidth="1"/>
    <col min="12" max="12" width="40" customWidth="1"/>
    <col min="13" max="13" width="34" customWidth="1"/>
    <col min="14" max="14" width="22" customWidth="1"/>
    <col min="15" max="15" width="8" customWidth="1"/>
    <col min="16" max="16" width="14" customWidth="1"/>
    <col min="17" max="17" width="30" customWidth="1"/>
    <col min="18" max="18" width="46" customWidth="1"/>
  </cols>
  <sheetData>
    <row r="1" spans="1:18" ht="18" x14ac:dyDescent="0.4">
      <c r="A1" s="1" t="s">
        <v>112</v>
      </c>
    </row>
    <row r="2" spans="1:18" x14ac:dyDescent="0.35">
      <c r="A2" s="2" t="s">
        <v>113</v>
      </c>
    </row>
    <row r="4" spans="1:18" ht="30" customHeight="1" x14ac:dyDescent="0.35">
      <c r="A4" s="14" t="s">
        <v>114</v>
      </c>
      <c r="B4" s="14" t="s">
        <v>115</v>
      </c>
      <c r="C4" s="14" t="s">
        <v>116</v>
      </c>
      <c r="D4" s="14" t="s">
        <v>117</v>
      </c>
      <c r="E4" s="14" t="s">
        <v>4</v>
      </c>
      <c r="F4" s="14" t="s">
        <v>118</v>
      </c>
      <c r="G4" s="14" t="s">
        <v>24</v>
      </c>
      <c r="H4" s="14" t="s">
        <v>119</v>
      </c>
      <c r="I4" s="14" t="s">
        <v>120</v>
      </c>
      <c r="J4" s="14" t="s">
        <v>121</v>
      </c>
      <c r="K4" s="14" t="s">
        <v>122</v>
      </c>
      <c r="L4" s="14" t="s">
        <v>18</v>
      </c>
      <c r="M4" s="14" t="s">
        <v>123</v>
      </c>
      <c r="N4" s="14" t="s">
        <v>124</v>
      </c>
      <c r="O4" s="14" t="s">
        <v>125</v>
      </c>
      <c r="P4" s="14" t="s">
        <v>126</v>
      </c>
      <c r="Q4" s="14" t="s">
        <v>127</v>
      </c>
      <c r="R4" s="14" t="s">
        <v>128</v>
      </c>
    </row>
    <row r="5" spans="1:18" x14ac:dyDescent="0.35">
      <c r="A5" s="15" t="s">
        <v>129</v>
      </c>
      <c r="B5" s="16">
        <v>44957</v>
      </c>
      <c r="C5" s="15" t="s">
        <v>130</v>
      </c>
      <c r="D5" s="15">
        <v>2023</v>
      </c>
      <c r="E5" s="15" t="s">
        <v>46</v>
      </c>
      <c r="F5" s="15" t="s">
        <v>131</v>
      </c>
      <c r="G5" s="15" t="s">
        <v>36</v>
      </c>
      <c r="H5" s="15" t="s">
        <v>132</v>
      </c>
      <c r="I5" s="15" t="s">
        <v>133</v>
      </c>
      <c r="J5" s="17">
        <v>894000</v>
      </c>
      <c r="K5" s="15"/>
      <c r="L5" s="15" t="s">
        <v>134</v>
      </c>
      <c r="M5" s="15" t="s">
        <v>76</v>
      </c>
      <c r="N5" s="15" t="s">
        <v>135</v>
      </c>
      <c r="O5" s="15">
        <v>15</v>
      </c>
      <c r="P5" s="15" t="s">
        <v>136</v>
      </c>
      <c r="Q5" s="15"/>
      <c r="R5" s="15" t="s">
        <v>137</v>
      </c>
    </row>
    <row r="6" spans="1:18" x14ac:dyDescent="0.35">
      <c r="A6" s="15" t="s">
        <v>138</v>
      </c>
      <c r="B6" s="16">
        <v>44987</v>
      </c>
      <c r="C6" s="15" t="s">
        <v>139</v>
      </c>
      <c r="D6" s="15">
        <v>2023</v>
      </c>
      <c r="E6" s="15" t="s">
        <v>46</v>
      </c>
      <c r="F6" s="15" t="s">
        <v>131</v>
      </c>
      <c r="G6" s="15" t="s">
        <v>31</v>
      </c>
      <c r="H6" s="15" t="s">
        <v>140</v>
      </c>
      <c r="I6" s="15" t="s">
        <v>141</v>
      </c>
      <c r="J6" s="17">
        <v>740000</v>
      </c>
      <c r="K6" s="15"/>
      <c r="L6" s="15" t="s">
        <v>142</v>
      </c>
      <c r="M6" s="15" t="s">
        <v>74</v>
      </c>
      <c r="N6" s="15" t="s">
        <v>143</v>
      </c>
      <c r="O6" s="15">
        <v>111</v>
      </c>
      <c r="P6" s="15" t="s">
        <v>144</v>
      </c>
      <c r="Q6" s="15"/>
      <c r="R6" s="15"/>
    </row>
    <row r="7" spans="1:18" x14ac:dyDescent="0.35">
      <c r="A7" s="15" t="s">
        <v>145</v>
      </c>
      <c r="B7" s="16">
        <v>45059</v>
      </c>
      <c r="C7" s="15" t="s">
        <v>146</v>
      </c>
      <c r="D7" s="15">
        <v>2023</v>
      </c>
      <c r="E7" s="15" t="s">
        <v>46</v>
      </c>
      <c r="F7" s="15" t="s">
        <v>131</v>
      </c>
      <c r="G7" s="15" t="s">
        <v>36</v>
      </c>
      <c r="H7" s="15" t="s">
        <v>147</v>
      </c>
      <c r="I7" s="15" t="s">
        <v>148</v>
      </c>
      <c r="J7" s="17">
        <v>300000</v>
      </c>
      <c r="K7" s="15"/>
      <c r="L7" s="15" t="s">
        <v>134</v>
      </c>
      <c r="M7" s="15" t="s">
        <v>76</v>
      </c>
      <c r="N7" s="15" t="s">
        <v>149</v>
      </c>
      <c r="O7" s="15">
        <v>44</v>
      </c>
      <c r="P7" s="15" t="s">
        <v>150</v>
      </c>
      <c r="Q7" s="15"/>
      <c r="R7" s="15" t="s">
        <v>137</v>
      </c>
    </row>
    <row r="8" spans="1:18" x14ac:dyDescent="0.35">
      <c r="A8" s="15" t="s">
        <v>151</v>
      </c>
      <c r="B8" s="16">
        <v>45063</v>
      </c>
      <c r="C8" s="15" t="s">
        <v>146</v>
      </c>
      <c r="D8" s="15">
        <v>2023</v>
      </c>
      <c r="E8" s="15" t="s">
        <v>46</v>
      </c>
      <c r="F8" s="15" t="s">
        <v>131</v>
      </c>
      <c r="G8" s="15" t="s">
        <v>31</v>
      </c>
      <c r="H8" s="15" t="s">
        <v>152</v>
      </c>
      <c r="I8" s="15" t="s">
        <v>153</v>
      </c>
      <c r="J8" s="17">
        <v>1000000</v>
      </c>
      <c r="K8" s="15"/>
      <c r="L8" s="15" t="s">
        <v>142</v>
      </c>
      <c r="M8" s="15" t="s">
        <v>74</v>
      </c>
      <c r="N8" s="15" t="s">
        <v>143</v>
      </c>
      <c r="O8" s="15">
        <v>310</v>
      </c>
      <c r="P8" s="15" t="s">
        <v>154</v>
      </c>
      <c r="Q8" s="15"/>
      <c r="R8" s="15"/>
    </row>
    <row r="9" spans="1:18" x14ac:dyDescent="0.35">
      <c r="A9" s="15" t="s">
        <v>155</v>
      </c>
      <c r="B9" s="16">
        <v>45076</v>
      </c>
      <c r="C9" s="15" t="s">
        <v>146</v>
      </c>
      <c r="D9" s="15">
        <v>2023</v>
      </c>
      <c r="E9" s="15" t="s">
        <v>46</v>
      </c>
      <c r="F9" s="15" t="s">
        <v>131</v>
      </c>
      <c r="G9" s="15" t="s">
        <v>28</v>
      </c>
      <c r="H9" s="15" t="s">
        <v>156</v>
      </c>
      <c r="I9" s="15" t="s">
        <v>157</v>
      </c>
      <c r="J9" s="17">
        <v>1000000</v>
      </c>
      <c r="K9" s="15"/>
      <c r="L9" s="15" t="s">
        <v>142</v>
      </c>
      <c r="M9" s="15" t="s">
        <v>74</v>
      </c>
      <c r="N9" s="15" t="s">
        <v>143</v>
      </c>
      <c r="O9" s="15">
        <v>282</v>
      </c>
      <c r="P9" s="15" t="s">
        <v>158</v>
      </c>
      <c r="Q9" s="15"/>
      <c r="R9" s="15"/>
    </row>
    <row r="10" spans="1:18" x14ac:dyDescent="0.35">
      <c r="A10" s="15" t="s">
        <v>159</v>
      </c>
      <c r="B10" s="16">
        <v>45092</v>
      </c>
      <c r="C10" s="15" t="s">
        <v>160</v>
      </c>
      <c r="D10" s="15">
        <v>2023</v>
      </c>
      <c r="E10" s="15" t="s">
        <v>46</v>
      </c>
      <c r="F10" s="15" t="s">
        <v>131</v>
      </c>
      <c r="G10" s="15" t="s">
        <v>36</v>
      </c>
      <c r="H10" s="15" t="s">
        <v>161</v>
      </c>
      <c r="I10" s="15" t="s">
        <v>162</v>
      </c>
      <c r="J10" s="17">
        <v>1500000</v>
      </c>
      <c r="K10" s="15"/>
      <c r="L10" s="15" t="s">
        <v>134</v>
      </c>
      <c r="M10" s="15" t="s">
        <v>76</v>
      </c>
      <c r="N10" s="15" t="s">
        <v>163</v>
      </c>
      <c r="O10" s="15">
        <v>7</v>
      </c>
      <c r="P10" s="15" t="s">
        <v>164</v>
      </c>
      <c r="Q10" s="15"/>
      <c r="R10" s="15" t="s">
        <v>137</v>
      </c>
    </row>
    <row r="11" spans="1:18" x14ac:dyDescent="0.35">
      <c r="A11" s="15" t="s">
        <v>165</v>
      </c>
      <c r="B11" s="16">
        <v>45152</v>
      </c>
      <c r="C11" s="15" t="s">
        <v>166</v>
      </c>
      <c r="D11" s="15">
        <v>2023</v>
      </c>
      <c r="E11" s="15" t="s">
        <v>46</v>
      </c>
      <c r="F11" s="15" t="s">
        <v>131</v>
      </c>
      <c r="G11" s="15" t="s">
        <v>36</v>
      </c>
      <c r="H11" s="15" t="s">
        <v>167</v>
      </c>
      <c r="I11" s="15" t="s">
        <v>168</v>
      </c>
      <c r="J11" s="17">
        <v>1500000</v>
      </c>
      <c r="K11" s="15"/>
      <c r="L11" s="15" t="s">
        <v>134</v>
      </c>
      <c r="M11" s="15" t="s">
        <v>76</v>
      </c>
      <c r="N11" s="15" t="s">
        <v>169</v>
      </c>
      <c r="O11" s="15">
        <v>90</v>
      </c>
      <c r="P11" s="15" t="s">
        <v>170</v>
      </c>
      <c r="Q11" s="15" t="s">
        <v>171</v>
      </c>
      <c r="R11" s="15" t="s">
        <v>137</v>
      </c>
    </row>
    <row r="12" spans="1:18" x14ac:dyDescent="0.35">
      <c r="A12" s="15" t="s">
        <v>172</v>
      </c>
      <c r="B12" s="16">
        <v>45161</v>
      </c>
      <c r="C12" s="15" t="s">
        <v>166</v>
      </c>
      <c r="D12" s="15">
        <v>2023</v>
      </c>
      <c r="E12" s="15" t="s">
        <v>46</v>
      </c>
      <c r="F12" s="15" t="s">
        <v>131</v>
      </c>
      <c r="G12" s="15" t="s">
        <v>36</v>
      </c>
      <c r="H12" s="15" t="s">
        <v>173</v>
      </c>
      <c r="I12" s="15" t="s">
        <v>174</v>
      </c>
      <c r="J12" s="17">
        <v>1000000</v>
      </c>
      <c r="K12" s="15"/>
      <c r="L12" s="15" t="s">
        <v>134</v>
      </c>
      <c r="M12" s="15" t="s">
        <v>76</v>
      </c>
      <c r="N12" s="15" t="s">
        <v>175</v>
      </c>
      <c r="O12" s="15">
        <v>7</v>
      </c>
      <c r="P12" s="15" t="s">
        <v>176</v>
      </c>
      <c r="Q12" s="15"/>
      <c r="R12" s="15" t="s">
        <v>137</v>
      </c>
    </row>
    <row r="13" spans="1:18" x14ac:dyDescent="0.35">
      <c r="A13" s="15" t="s">
        <v>177</v>
      </c>
      <c r="B13" s="16">
        <v>45173</v>
      </c>
      <c r="C13" s="15" t="s">
        <v>178</v>
      </c>
      <c r="D13" s="15">
        <v>2023</v>
      </c>
      <c r="E13" s="15" t="s">
        <v>46</v>
      </c>
      <c r="F13" s="15" t="s">
        <v>131</v>
      </c>
      <c r="G13" s="15" t="s">
        <v>36</v>
      </c>
      <c r="H13" s="15" t="s">
        <v>179</v>
      </c>
      <c r="I13" s="15" t="s">
        <v>180</v>
      </c>
      <c r="J13" s="17">
        <v>1500000</v>
      </c>
      <c r="K13" s="15"/>
      <c r="L13" s="15" t="s">
        <v>134</v>
      </c>
      <c r="M13" s="15" t="s">
        <v>76</v>
      </c>
      <c r="N13" s="15" t="s">
        <v>181</v>
      </c>
      <c r="O13" s="15">
        <v>7</v>
      </c>
      <c r="P13" s="15" t="s">
        <v>182</v>
      </c>
      <c r="Q13" s="15"/>
      <c r="R13" s="15" t="s">
        <v>137</v>
      </c>
    </row>
    <row r="14" spans="1:18" x14ac:dyDescent="0.35">
      <c r="A14" s="15" t="s">
        <v>183</v>
      </c>
      <c r="B14" s="16">
        <v>45184</v>
      </c>
      <c r="C14" s="15" t="s">
        <v>178</v>
      </c>
      <c r="D14" s="15">
        <v>2023</v>
      </c>
      <c r="E14" s="15" t="s">
        <v>46</v>
      </c>
      <c r="F14" s="15" t="s">
        <v>131</v>
      </c>
      <c r="G14" s="15" t="s">
        <v>28</v>
      </c>
      <c r="H14" s="15" t="s">
        <v>184</v>
      </c>
      <c r="I14" s="15" t="s">
        <v>185</v>
      </c>
      <c r="J14" s="17">
        <v>400000</v>
      </c>
      <c r="K14" s="15"/>
      <c r="L14" s="15" t="s">
        <v>142</v>
      </c>
      <c r="M14" s="15" t="s">
        <v>74</v>
      </c>
      <c r="N14" s="15" t="s">
        <v>143</v>
      </c>
      <c r="O14" s="15">
        <v>6</v>
      </c>
      <c r="P14" s="15" t="s">
        <v>186</v>
      </c>
      <c r="Q14" s="15"/>
      <c r="R14" s="15"/>
    </row>
    <row r="15" spans="1:18" x14ac:dyDescent="0.35">
      <c r="A15" s="15" t="s">
        <v>187</v>
      </c>
      <c r="B15" s="16">
        <v>45190</v>
      </c>
      <c r="C15" s="15" t="s">
        <v>178</v>
      </c>
      <c r="D15" s="15">
        <v>2023</v>
      </c>
      <c r="E15" s="15" t="s">
        <v>46</v>
      </c>
      <c r="F15" s="15" t="s">
        <v>131</v>
      </c>
      <c r="G15" s="15" t="s">
        <v>28</v>
      </c>
      <c r="H15" s="15" t="s">
        <v>188</v>
      </c>
      <c r="I15" s="15" t="s">
        <v>189</v>
      </c>
      <c r="J15" s="17">
        <v>1000000</v>
      </c>
      <c r="K15" s="15"/>
      <c r="L15" s="15" t="s">
        <v>142</v>
      </c>
      <c r="M15" s="15" t="s">
        <v>74</v>
      </c>
      <c r="N15" s="15" t="s">
        <v>143</v>
      </c>
      <c r="O15" s="15">
        <v>125</v>
      </c>
      <c r="P15" s="15" t="s">
        <v>190</v>
      </c>
      <c r="Q15" s="15" t="s">
        <v>191</v>
      </c>
      <c r="R15" s="15"/>
    </row>
    <row r="16" spans="1:18" x14ac:dyDescent="0.35">
      <c r="A16" s="15" t="s">
        <v>192</v>
      </c>
      <c r="B16" s="16">
        <v>45190</v>
      </c>
      <c r="C16" s="15" t="s">
        <v>178</v>
      </c>
      <c r="D16" s="15">
        <v>2023</v>
      </c>
      <c r="E16" s="15" t="s">
        <v>46</v>
      </c>
      <c r="F16" s="15" t="s">
        <v>131</v>
      </c>
      <c r="G16" s="15" t="s">
        <v>36</v>
      </c>
      <c r="H16" s="15" t="s">
        <v>193</v>
      </c>
      <c r="I16" s="15" t="s">
        <v>194</v>
      </c>
      <c r="J16" s="17">
        <v>1500000</v>
      </c>
      <c r="K16" s="15"/>
      <c r="L16" s="15" t="s">
        <v>134</v>
      </c>
      <c r="M16" s="15" t="s">
        <v>76</v>
      </c>
      <c r="N16" s="15" t="s">
        <v>169</v>
      </c>
      <c r="O16" s="15">
        <v>7</v>
      </c>
      <c r="P16" s="15" t="s">
        <v>190</v>
      </c>
      <c r="Q16" s="15"/>
      <c r="R16" s="15" t="s">
        <v>137</v>
      </c>
    </row>
    <row r="17" spans="1:18" x14ac:dyDescent="0.35">
      <c r="A17" s="15" t="s">
        <v>195</v>
      </c>
      <c r="B17" s="16">
        <v>45197</v>
      </c>
      <c r="C17" s="15" t="s">
        <v>178</v>
      </c>
      <c r="D17" s="15">
        <v>2023</v>
      </c>
      <c r="E17" s="15" t="s">
        <v>46</v>
      </c>
      <c r="F17" s="15" t="s">
        <v>131</v>
      </c>
      <c r="G17" s="15" t="s">
        <v>28</v>
      </c>
      <c r="H17" s="15" t="s">
        <v>196</v>
      </c>
      <c r="I17" s="15" t="s">
        <v>197</v>
      </c>
      <c r="J17" s="17">
        <v>1000000</v>
      </c>
      <c r="K17" s="15"/>
      <c r="L17" s="15" t="s">
        <v>142</v>
      </c>
      <c r="M17" s="15" t="s">
        <v>74</v>
      </c>
      <c r="N17" s="15" t="s">
        <v>143</v>
      </c>
      <c r="O17" s="15">
        <v>198</v>
      </c>
      <c r="P17" s="15" t="s">
        <v>198</v>
      </c>
      <c r="Q17" s="15"/>
      <c r="R17" s="15"/>
    </row>
    <row r="18" spans="1:18" x14ac:dyDescent="0.35">
      <c r="A18" s="15" t="s">
        <v>199</v>
      </c>
      <c r="B18" s="16">
        <v>45197</v>
      </c>
      <c r="C18" s="15" t="s">
        <v>178</v>
      </c>
      <c r="D18" s="15">
        <v>2023</v>
      </c>
      <c r="E18" s="15" t="s">
        <v>46</v>
      </c>
      <c r="F18" s="15" t="s">
        <v>131</v>
      </c>
      <c r="G18" s="15" t="s">
        <v>28</v>
      </c>
      <c r="H18" s="15" t="s">
        <v>184</v>
      </c>
      <c r="I18" s="15" t="s">
        <v>185</v>
      </c>
      <c r="J18" s="17">
        <v>300000</v>
      </c>
      <c r="K18" s="15"/>
      <c r="L18" s="15" t="s">
        <v>142</v>
      </c>
      <c r="M18" s="15" t="s">
        <v>74</v>
      </c>
      <c r="N18" s="15" t="s">
        <v>143</v>
      </c>
      <c r="O18" s="15">
        <v>7</v>
      </c>
      <c r="P18" s="15" t="s">
        <v>198</v>
      </c>
      <c r="Q18" s="15"/>
      <c r="R18" s="15"/>
    </row>
    <row r="19" spans="1:18" x14ac:dyDescent="0.35">
      <c r="A19" s="15" t="s">
        <v>200</v>
      </c>
      <c r="B19" s="16">
        <v>45197</v>
      </c>
      <c r="C19" s="15" t="s">
        <v>178</v>
      </c>
      <c r="D19" s="15">
        <v>2023</v>
      </c>
      <c r="E19" s="15" t="s">
        <v>46</v>
      </c>
      <c r="F19" s="15" t="s">
        <v>131</v>
      </c>
      <c r="G19" s="15" t="s">
        <v>36</v>
      </c>
      <c r="H19" s="15" t="s">
        <v>173</v>
      </c>
      <c r="I19" s="15" t="s">
        <v>174</v>
      </c>
      <c r="J19" s="17">
        <v>1000000</v>
      </c>
      <c r="K19" s="15"/>
      <c r="L19" s="15" t="s">
        <v>134</v>
      </c>
      <c r="M19" s="15" t="s">
        <v>76</v>
      </c>
      <c r="N19" s="15" t="s">
        <v>175</v>
      </c>
      <c r="O19" s="15">
        <v>8</v>
      </c>
      <c r="P19" s="15" t="s">
        <v>198</v>
      </c>
      <c r="Q19" s="15"/>
      <c r="R19" s="15" t="s">
        <v>137</v>
      </c>
    </row>
    <row r="20" spans="1:18" x14ac:dyDescent="0.35">
      <c r="A20" s="15" t="s">
        <v>201</v>
      </c>
      <c r="B20" s="16">
        <v>45202</v>
      </c>
      <c r="C20" s="15" t="s">
        <v>202</v>
      </c>
      <c r="D20" s="15">
        <v>2023</v>
      </c>
      <c r="E20" s="15" t="s">
        <v>46</v>
      </c>
      <c r="F20" s="15" t="s">
        <v>131</v>
      </c>
      <c r="G20" s="15" t="s">
        <v>28</v>
      </c>
      <c r="H20" s="15" t="s">
        <v>203</v>
      </c>
      <c r="I20" s="15" t="s">
        <v>204</v>
      </c>
      <c r="J20" s="17">
        <v>1000000</v>
      </c>
      <c r="K20" s="15"/>
      <c r="L20" s="15" t="s">
        <v>142</v>
      </c>
      <c r="M20" s="15" t="s">
        <v>74</v>
      </c>
      <c r="N20" s="15" t="s">
        <v>143</v>
      </c>
      <c r="O20" s="15">
        <v>202</v>
      </c>
      <c r="P20" s="15" t="s">
        <v>205</v>
      </c>
      <c r="Q20" s="15"/>
      <c r="R20" s="15"/>
    </row>
    <row r="21" spans="1:18" x14ac:dyDescent="0.35">
      <c r="A21" s="15" t="s">
        <v>206</v>
      </c>
      <c r="B21" s="16">
        <v>45202</v>
      </c>
      <c r="C21" s="15" t="s">
        <v>202</v>
      </c>
      <c r="D21" s="15">
        <v>2023</v>
      </c>
      <c r="E21" s="15" t="s">
        <v>46</v>
      </c>
      <c r="F21" s="15" t="s">
        <v>131</v>
      </c>
      <c r="G21" s="15" t="s">
        <v>28</v>
      </c>
      <c r="H21" s="15" t="s">
        <v>203</v>
      </c>
      <c r="I21" s="15" t="s">
        <v>204</v>
      </c>
      <c r="J21" s="17">
        <v>100000</v>
      </c>
      <c r="K21" s="15"/>
      <c r="L21" s="15" t="s">
        <v>142</v>
      </c>
      <c r="M21" s="15" t="s">
        <v>74</v>
      </c>
      <c r="N21" s="15" t="s">
        <v>143</v>
      </c>
      <c r="O21" s="15">
        <v>203</v>
      </c>
      <c r="P21" s="15" t="s">
        <v>205</v>
      </c>
      <c r="Q21" s="15"/>
      <c r="R21" s="15"/>
    </row>
    <row r="22" spans="1:18" x14ac:dyDescent="0.35">
      <c r="A22" s="15" t="s">
        <v>207</v>
      </c>
      <c r="B22" s="16">
        <v>45202</v>
      </c>
      <c r="C22" s="15" t="s">
        <v>202</v>
      </c>
      <c r="D22" s="15">
        <v>2023</v>
      </c>
      <c r="E22" s="15" t="s">
        <v>46</v>
      </c>
      <c r="F22" s="15" t="s">
        <v>131</v>
      </c>
      <c r="G22" s="15" t="s">
        <v>36</v>
      </c>
      <c r="H22" s="15" t="s">
        <v>208</v>
      </c>
      <c r="I22" s="15" t="s">
        <v>209</v>
      </c>
      <c r="J22" s="17">
        <v>3000000</v>
      </c>
      <c r="K22" s="15"/>
      <c r="L22" s="15" t="s">
        <v>134</v>
      </c>
      <c r="M22" s="15" t="s">
        <v>76</v>
      </c>
      <c r="N22" s="15" t="s">
        <v>210</v>
      </c>
      <c r="O22" s="15">
        <v>8</v>
      </c>
      <c r="P22" s="15" t="s">
        <v>205</v>
      </c>
      <c r="Q22" s="15"/>
      <c r="R22" s="15" t="s">
        <v>137</v>
      </c>
    </row>
    <row r="23" spans="1:18" x14ac:dyDescent="0.35">
      <c r="A23" s="15" t="s">
        <v>211</v>
      </c>
      <c r="B23" s="16">
        <v>45202</v>
      </c>
      <c r="C23" s="15" t="s">
        <v>202</v>
      </c>
      <c r="D23" s="15">
        <v>2023</v>
      </c>
      <c r="E23" s="15" t="s">
        <v>46</v>
      </c>
      <c r="F23" s="15" t="s">
        <v>131</v>
      </c>
      <c r="G23" s="15" t="s">
        <v>28</v>
      </c>
      <c r="H23" s="15" t="s">
        <v>212</v>
      </c>
      <c r="I23" s="15" t="s">
        <v>213</v>
      </c>
      <c r="J23" s="17">
        <v>300000</v>
      </c>
      <c r="K23" s="15"/>
      <c r="L23" s="15" t="s">
        <v>142</v>
      </c>
      <c r="M23" s="15" t="s">
        <v>74</v>
      </c>
      <c r="N23" s="15" t="s">
        <v>143</v>
      </c>
      <c r="O23" s="15">
        <v>182</v>
      </c>
      <c r="P23" s="15" t="s">
        <v>205</v>
      </c>
      <c r="Q23" s="15"/>
      <c r="R23" s="15"/>
    </row>
    <row r="24" spans="1:18" x14ac:dyDescent="0.35">
      <c r="A24" s="15" t="s">
        <v>214</v>
      </c>
      <c r="B24" s="16">
        <v>45202</v>
      </c>
      <c r="C24" s="15" t="s">
        <v>202</v>
      </c>
      <c r="D24" s="15">
        <v>2023</v>
      </c>
      <c r="E24" s="15" t="s">
        <v>46</v>
      </c>
      <c r="F24" s="15" t="s">
        <v>131</v>
      </c>
      <c r="G24" s="15" t="s">
        <v>28</v>
      </c>
      <c r="H24" s="15" t="s">
        <v>212</v>
      </c>
      <c r="I24" s="15" t="s">
        <v>213</v>
      </c>
      <c r="J24" s="17">
        <v>200000</v>
      </c>
      <c r="K24" s="15"/>
      <c r="L24" s="15" t="s">
        <v>142</v>
      </c>
      <c r="M24" s="15" t="s">
        <v>74</v>
      </c>
      <c r="N24" s="15" t="s">
        <v>143</v>
      </c>
      <c r="O24" s="15">
        <v>183</v>
      </c>
      <c r="P24" s="15" t="s">
        <v>205</v>
      </c>
      <c r="Q24" s="15"/>
      <c r="R24" s="15"/>
    </row>
    <row r="25" spans="1:18" x14ac:dyDescent="0.35">
      <c r="A25" s="15" t="s">
        <v>215</v>
      </c>
      <c r="B25" s="16">
        <v>45205</v>
      </c>
      <c r="C25" s="15" t="s">
        <v>202</v>
      </c>
      <c r="D25" s="15">
        <v>2023</v>
      </c>
      <c r="E25" s="15" t="s">
        <v>46</v>
      </c>
      <c r="F25" s="15" t="s">
        <v>131</v>
      </c>
      <c r="G25" s="15" t="s">
        <v>36</v>
      </c>
      <c r="H25" s="15" t="s">
        <v>184</v>
      </c>
      <c r="I25" s="15" t="s">
        <v>216</v>
      </c>
      <c r="J25" s="17">
        <v>3000000</v>
      </c>
      <c r="K25" s="15"/>
      <c r="L25" s="15" t="s">
        <v>134</v>
      </c>
      <c r="M25" s="15" t="s">
        <v>76</v>
      </c>
      <c r="N25" s="15" t="s">
        <v>135</v>
      </c>
      <c r="O25" s="15">
        <v>7</v>
      </c>
      <c r="P25" s="15" t="s">
        <v>217</v>
      </c>
      <c r="Q25" s="15"/>
      <c r="R25" s="15" t="s">
        <v>137</v>
      </c>
    </row>
    <row r="26" spans="1:18" x14ac:dyDescent="0.35">
      <c r="A26" s="15" t="s">
        <v>218</v>
      </c>
      <c r="B26" s="16">
        <v>45205</v>
      </c>
      <c r="C26" s="15" t="s">
        <v>202</v>
      </c>
      <c r="D26" s="15">
        <v>2023</v>
      </c>
      <c r="E26" s="15" t="s">
        <v>46</v>
      </c>
      <c r="F26" s="15" t="s">
        <v>131</v>
      </c>
      <c r="G26" s="15" t="s">
        <v>28</v>
      </c>
      <c r="H26" s="15" t="s">
        <v>184</v>
      </c>
      <c r="I26" s="15" t="s">
        <v>185</v>
      </c>
      <c r="J26" s="17">
        <v>300000</v>
      </c>
      <c r="K26" s="15"/>
      <c r="L26" s="15" t="s">
        <v>142</v>
      </c>
      <c r="M26" s="15" t="s">
        <v>74</v>
      </c>
      <c r="N26" s="15" t="s">
        <v>143</v>
      </c>
      <c r="O26" s="15">
        <v>8</v>
      </c>
      <c r="P26" s="15" t="s">
        <v>217</v>
      </c>
      <c r="Q26" s="15"/>
      <c r="R26" s="15"/>
    </row>
    <row r="27" spans="1:18" x14ac:dyDescent="0.35">
      <c r="A27" s="15" t="s">
        <v>219</v>
      </c>
      <c r="B27" s="16">
        <v>45209</v>
      </c>
      <c r="C27" s="15" t="s">
        <v>202</v>
      </c>
      <c r="D27" s="15">
        <v>2023</v>
      </c>
      <c r="E27" s="15" t="s">
        <v>46</v>
      </c>
      <c r="F27" s="15" t="s">
        <v>131</v>
      </c>
      <c r="G27" s="15" t="s">
        <v>36</v>
      </c>
      <c r="H27" s="15" t="s">
        <v>208</v>
      </c>
      <c r="I27" s="15" t="s">
        <v>209</v>
      </c>
      <c r="J27" s="17">
        <v>1500000</v>
      </c>
      <c r="K27" s="15"/>
      <c r="L27" s="15" t="s">
        <v>134</v>
      </c>
      <c r="M27" s="15" t="s">
        <v>76</v>
      </c>
      <c r="N27" s="15" t="s">
        <v>210</v>
      </c>
      <c r="O27" s="15">
        <v>7</v>
      </c>
      <c r="P27" s="15" t="s">
        <v>220</v>
      </c>
      <c r="Q27" s="15"/>
      <c r="R27" s="15" t="s">
        <v>137</v>
      </c>
    </row>
    <row r="28" spans="1:18" x14ac:dyDescent="0.35">
      <c r="A28" s="15" t="s">
        <v>221</v>
      </c>
      <c r="B28" s="16">
        <v>45211</v>
      </c>
      <c r="C28" s="15" t="s">
        <v>202</v>
      </c>
      <c r="D28" s="15">
        <v>2023</v>
      </c>
      <c r="E28" s="15" t="s">
        <v>46</v>
      </c>
      <c r="F28" s="15" t="s">
        <v>131</v>
      </c>
      <c r="G28" s="15" t="s">
        <v>28</v>
      </c>
      <c r="H28" s="15" t="s">
        <v>222</v>
      </c>
      <c r="I28" s="15" t="s">
        <v>223</v>
      </c>
      <c r="J28" s="17">
        <v>1000000</v>
      </c>
      <c r="K28" s="15"/>
      <c r="L28" s="15" t="s">
        <v>142</v>
      </c>
      <c r="M28" s="15" t="s">
        <v>74</v>
      </c>
      <c r="N28" s="15" t="s">
        <v>143</v>
      </c>
      <c r="O28" s="15">
        <v>155</v>
      </c>
      <c r="P28" s="15" t="s">
        <v>224</v>
      </c>
      <c r="Q28" s="15" t="s">
        <v>225</v>
      </c>
      <c r="R28" s="15"/>
    </row>
    <row r="29" spans="1:18" x14ac:dyDescent="0.35">
      <c r="A29" s="15" t="s">
        <v>226</v>
      </c>
      <c r="B29" s="16">
        <v>45211</v>
      </c>
      <c r="C29" s="15" t="s">
        <v>202</v>
      </c>
      <c r="D29" s="15">
        <v>2023</v>
      </c>
      <c r="E29" s="15" t="s">
        <v>46</v>
      </c>
      <c r="F29" s="15" t="s">
        <v>131</v>
      </c>
      <c r="G29" s="15" t="s">
        <v>36</v>
      </c>
      <c r="H29" s="15" t="s">
        <v>227</v>
      </c>
      <c r="I29" s="15" t="s">
        <v>228</v>
      </c>
      <c r="J29" s="17">
        <v>1500000</v>
      </c>
      <c r="K29" s="15"/>
      <c r="L29" s="15" t="s">
        <v>134</v>
      </c>
      <c r="M29" s="15" t="s">
        <v>76</v>
      </c>
      <c r="N29" s="15" t="s">
        <v>210</v>
      </c>
      <c r="O29" s="15">
        <v>9</v>
      </c>
      <c r="P29" s="15" t="s">
        <v>224</v>
      </c>
      <c r="Q29" s="15"/>
      <c r="R29" s="15" t="s">
        <v>137</v>
      </c>
    </row>
    <row r="30" spans="1:18" x14ac:dyDescent="0.35">
      <c r="A30" s="15" t="s">
        <v>229</v>
      </c>
      <c r="B30" s="16">
        <v>45219</v>
      </c>
      <c r="C30" s="15" t="s">
        <v>202</v>
      </c>
      <c r="D30" s="15">
        <v>2023</v>
      </c>
      <c r="E30" s="15" t="s">
        <v>46</v>
      </c>
      <c r="F30" s="15" t="s">
        <v>131</v>
      </c>
      <c r="G30" s="15" t="s">
        <v>36</v>
      </c>
      <c r="H30" s="15" t="s">
        <v>173</v>
      </c>
      <c r="I30" s="15" t="s">
        <v>174</v>
      </c>
      <c r="J30" s="17">
        <v>1000000</v>
      </c>
      <c r="K30" s="15"/>
      <c r="L30" s="15" t="s">
        <v>134</v>
      </c>
      <c r="M30" s="15" t="s">
        <v>76</v>
      </c>
      <c r="N30" s="15" t="s">
        <v>175</v>
      </c>
      <c r="O30" s="15">
        <v>9</v>
      </c>
      <c r="P30" s="15" t="s">
        <v>230</v>
      </c>
      <c r="Q30" s="15"/>
      <c r="R30" s="15" t="s">
        <v>137</v>
      </c>
    </row>
    <row r="31" spans="1:18" x14ac:dyDescent="0.35">
      <c r="A31" s="15" t="s">
        <v>231</v>
      </c>
      <c r="B31" s="16">
        <v>45222</v>
      </c>
      <c r="C31" s="15" t="s">
        <v>202</v>
      </c>
      <c r="D31" s="15">
        <v>2023</v>
      </c>
      <c r="E31" s="15" t="s">
        <v>46</v>
      </c>
      <c r="F31" s="15" t="s">
        <v>131</v>
      </c>
      <c r="G31" s="15" t="s">
        <v>28</v>
      </c>
      <c r="H31" s="15" t="s">
        <v>188</v>
      </c>
      <c r="I31" s="15" t="s">
        <v>189</v>
      </c>
      <c r="J31" s="17">
        <v>700000</v>
      </c>
      <c r="K31" s="15"/>
      <c r="L31" s="15" t="s">
        <v>142</v>
      </c>
      <c r="M31" s="15" t="s">
        <v>74</v>
      </c>
      <c r="N31" s="15" t="s">
        <v>143</v>
      </c>
      <c r="O31" s="15">
        <v>126</v>
      </c>
      <c r="P31" s="15" t="s">
        <v>232</v>
      </c>
      <c r="Q31" s="15" t="s">
        <v>233</v>
      </c>
      <c r="R31" s="15"/>
    </row>
    <row r="32" spans="1:18" x14ac:dyDescent="0.35">
      <c r="A32" s="15" t="s">
        <v>234</v>
      </c>
      <c r="B32" s="16">
        <v>45226</v>
      </c>
      <c r="C32" s="15" t="s">
        <v>202</v>
      </c>
      <c r="D32" s="15">
        <v>2023</v>
      </c>
      <c r="E32" s="15" t="s">
        <v>46</v>
      </c>
      <c r="F32" s="15" t="s">
        <v>131</v>
      </c>
      <c r="G32" s="15" t="s">
        <v>28</v>
      </c>
      <c r="H32" s="15" t="s">
        <v>222</v>
      </c>
      <c r="I32" s="15" t="s">
        <v>223</v>
      </c>
      <c r="J32" s="17">
        <v>1000000</v>
      </c>
      <c r="K32" s="15"/>
      <c r="L32" s="15" t="s">
        <v>142</v>
      </c>
      <c r="M32" s="15" t="s">
        <v>74</v>
      </c>
      <c r="N32" s="15" t="s">
        <v>143</v>
      </c>
      <c r="O32" s="15">
        <v>156</v>
      </c>
      <c r="P32" s="15" t="s">
        <v>235</v>
      </c>
      <c r="Q32" s="15" t="s">
        <v>236</v>
      </c>
      <c r="R32" s="15"/>
    </row>
    <row r="33" spans="1:18" x14ac:dyDescent="0.35">
      <c r="A33" s="15" t="s">
        <v>237</v>
      </c>
      <c r="B33" s="16">
        <v>45227</v>
      </c>
      <c r="C33" s="15" t="s">
        <v>202</v>
      </c>
      <c r="D33" s="15">
        <v>2023</v>
      </c>
      <c r="E33" s="15" t="s">
        <v>46</v>
      </c>
      <c r="F33" s="15" t="s">
        <v>131</v>
      </c>
      <c r="G33" s="15" t="s">
        <v>28</v>
      </c>
      <c r="H33" s="15" t="s">
        <v>238</v>
      </c>
      <c r="I33" s="15" t="s">
        <v>239</v>
      </c>
      <c r="J33" s="17">
        <v>3000000</v>
      </c>
      <c r="K33" s="15"/>
      <c r="L33" s="15" t="s">
        <v>142</v>
      </c>
      <c r="M33" s="15" t="s">
        <v>74</v>
      </c>
      <c r="N33" s="15" t="s">
        <v>143</v>
      </c>
      <c r="O33" s="15">
        <v>117</v>
      </c>
      <c r="P33" s="15" t="s">
        <v>240</v>
      </c>
      <c r="Q33" s="15"/>
      <c r="R33" s="15"/>
    </row>
    <row r="34" spans="1:18" x14ac:dyDescent="0.35">
      <c r="A34" s="15" t="s">
        <v>241</v>
      </c>
      <c r="B34" s="16">
        <v>45228</v>
      </c>
      <c r="C34" s="15" t="s">
        <v>202</v>
      </c>
      <c r="D34" s="15">
        <v>2023</v>
      </c>
      <c r="E34" s="15" t="s">
        <v>46</v>
      </c>
      <c r="F34" s="15" t="s">
        <v>131</v>
      </c>
      <c r="G34" s="15" t="s">
        <v>36</v>
      </c>
      <c r="H34" s="15" t="s">
        <v>208</v>
      </c>
      <c r="I34" s="15" t="s">
        <v>209</v>
      </c>
      <c r="J34" s="17">
        <v>9000000</v>
      </c>
      <c r="K34" s="15"/>
      <c r="L34" s="15" t="s">
        <v>134</v>
      </c>
      <c r="M34" s="15" t="s">
        <v>76</v>
      </c>
      <c r="N34" s="15" t="s">
        <v>210</v>
      </c>
      <c r="O34" s="15">
        <v>10</v>
      </c>
      <c r="P34" s="15" t="s">
        <v>242</v>
      </c>
      <c r="Q34" s="15"/>
      <c r="R34" s="15" t="s">
        <v>137</v>
      </c>
    </row>
    <row r="35" spans="1:18" x14ac:dyDescent="0.35">
      <c r="A35" s="15" t="s">
        <v>243</v>
      </c>
      <c r="B35" s="16">
        <v>45228</v>
      </c>
      <c r="C35" s="15" t="s">
        <v>202</v>
      </c>
      <c r="D35" s="15">
        <v>2023</v>
      </c>
      <c r="E35" s="15" t="s">
        <v>46</v>
      </c>
      <c r="F35" s="15" t="s">
        <v>131</v>
      </c>
      <c r="G35" s="15" t="s">
        <v>36</v>
      </c>
      <c r="H35" s="15" t="s">
        <v>244</v>
      </c>
      <c r="I35" s="15" t="s">
        <v>245</v>
      </c>
      <c r="J35" s="17">
        <v>2000000</v>
      </c>
      <c r="K35" s="15"/>
      <c r="L35" s="15" t="s">
        <v>134</v>
      </c>
      <c r="M35" s="15" t="s">
        <v>76</v>
      </c>
      <c r="N35" s="15" t="s">
        <v>246</v>
      </c>
      <c r="O35" s="15">
        <v>7</v>
      </c>
      <c r="P35" s="15" t="s">
        <v>242</v>
      </c>
      <c r="Q35" s="15"/>
      <c r="R35" s="15" t="s">
        <v>137</v>
      </c>
    </row>
    <row r="36" spans="1:18" x14ac:dyDescent="0.35">
      <c r="A36" s="15" t="s">
        <v>247</v>
      </c>
      <c r="B36" s="16">
        <v>45229</v>
      </c>
      <c r="C36" s="15" t="s">
        <v>202</v>
      </c>
      <c r="D36" s="15">
        <v>2023</v>
      </c>
      <c r="E36" s="15" t="s">
        <v>46</v>
      </c>
      <c r="F36" s="15" t="s">
        <v>131</v>
      </c>
      <c r="G36" s="15" t="s">
        <v>36</v>
      </c>
      <c r="H36" s="15" t="s">
        <v>248</v>
      </c>
      <c r="I36" s="15" t="s">
        <v>249</v>
      </c>
      <c r="J36" s="17">
        <v>9000000</v>
      </c>
      <c r="K36" s="15"/>
      <c r="L36" s="15" t="s">
        <v>134</v>
      </c>
      <c r="M36" s="15" t="s">
        <v>76</v>
      </c>
      <c r="N36" s="15" t="s">
        <v>210</v>
      </c>
      <c r="O36" s="15">
        <v>11</v>
      </c>
      <c r="P36" s="15" t="s">
        <v>250</v>
      </c>
      <c r="Q36" s="15"/>
      <c r="R36" s="15" t="s">
        <v>137</v>
      </c>
    </row>
    <row r="37" spans="1:18" x14ac:dyDescent="0.35">
      <c r="A37" s="15" t="s">
        <v>251</v>
      </c>
      <c r="B37" s="16">
        <v>45229</v>
      </c>
      <c r="C37" s="15" t="s">
        <v>202</v>
      </c>
      <c r="D37" s="15">
        <v>2023</v>
      </c>
      <c r="E37" s="15" t="s">
        <v>46</v>
      </c>
      <c r="F37" s="15" t="s">
        <v>131</v>
      </c>
      <c r="G37" s="15" t="s">
        <v>36</v>
      </c>
      <c r="H37" s="15" t="s">
        <v>248</v>
      </c>
      <c r="I37" s="15" t="s">
        <v>249</v>
      </c>
      <c r="J37" s="17">
        <v>3000000</v>
      </c>
      <c r="K37" s="15"/>
      <c r="L37" s="15" t="s">
        <v>134</v>
      </c>
      <c r="M37" s="15" t="s">
        <v>76</v>
      </c>
      <c r="N37" s="15" t="s">
        <v>210</v>
      </c>
      <c r="O37" s="15">
        <v>12</v>
      </c>
      <c r="P37" s="15" t="s">
        <v>250</v>
      </c>
      <c r="Q37" s="15"/>
      <c r="R37" s="15" t="s">
        <v>137</v>
      </c>
    </row>
    <row r="38" spans="1:18" x14ac:dyDescent="0.35">
      <c r="A38" s="15" t="s">
        <v>252</v>
      </c>
      <c r="B38" s="16">
        <v>45229</v>
      </c>
      <c r="C38" s="15" t="s">
        <v>202</v>
      </c>
      <c r="D38" s="15">
        <v>2023</v>
      </c>
      <c r="E38" s="15" t="s">
        <v>46</v>
      </c>
      <c r="F38" s="15" t="s">
        <v>131</v>
      </c>
      <c r="G38" s="15" t="s">
        <v>28</v>
      </c>
      <c r="H38" s="15" t="s">
        <v>203</v>
      </c>
      <c r="I38" s="15" t="s">
        <v>204</v>
      </c>
      <c r="J38" s="17">
        <v>100000</v>
      </c>
      <c r="K38" s="15"/>
      <c r="L38" s="15" t="s">
        <v>142</v>
      </c>
      <c r="M38" s="15" t="s">
        <v>74</v>
      </c>
      <c r="N38" s="15" t="s">
        <v>143</v>
      </c>
      <c r="O38" s="15">
        <v>204</v>
      </c>
      <c r="P38" s="15" t="s">
        <v>250</v>
      </c>
      <c r="Q38" s="15"/>
      <c r="R38" s="15"/>
    </row>
    <row r="39" spans="1:18" x14ac:dyDescent="0.35">
      <c r="A39" s="15" t="s">
        <v>253</v>
      </c>
      <c r="B39" s="16">
        <v>45229</v>
      </c>
      <c r="C39" s="15" t="s">
        <v>202</v>
      </c>
      <c r="D39" s="15">
        <v>2023</v>
      </c>
      <c r="E39" s="15" t="s">
        <v>46</v>
      </c>
      <c r="F39" s="15" t="s">
        <v>131</v>
      </c>
      <c r="G39" s="15" t="s">
        <v>31</v>
      </c>
      <c r="H39" s="15" t="s">
        <v>254</v>
      </c>
      <c r="I39" s="15" t="s">
        <v>255</v>
      </c>
      <c r="J39" s="17">
        <v>1000000</v>
      </c>
      <c r="K39" s="15"/>
      <c r="L39" s="15" t="s">
        <v>142</v>
      </c>
      <c r="M39" s="15" t="s">
        <v>74</v>
      </c>
      <c r="N39" s="15" t="s">
        <v>143</v>
      </c>
      <c r="O39" s="15">
        <v>195</v>
      </c>
      <c r="P39" s="15" t="s">
        <v>250</v>
      </c>
      <c r="Q39" s="15"/>
      <c r="R39" s="15"/>
    </row>
    <row r="40" spans="1:18" x14ac:dyDescent="0.35">
      <c r="A40" s="15" t="s">
        <v>256</v>
      </c>
      <c r="B40" s="16">
        <v>45229</v>
      </c>
      <c r="C40" s="15" t="s">
        <v>202</v>
      </c>
      <c r="D40" s="15">
        <v>2023</v>
      </c>
      <c r="E40" s="15" t="s">
        <v>46</v>
      </c>
      <c r="F40" s="15" t="s">
        <v>131</v>
      </c>
      <c r="G40" s="15" t="s">
        <v>28</v>
      </c>
      <c r="H40" s="15" t="s">
        <v>208</v>
      </c>
      <c r="I40" s="15" t="s">
        <v>257</v>
      </c>
      <c r="J40" s="17">
        <v>1000000</v>
      </c>
      <c r="K40" s="15"/>
      <c r="L40" s="15" t="s">
        <v>142</v>
      </c>
      <c r="M40" s="15" t="s">
        <v>74</v>
      </c>
      <c r="N40" s="15" t="s">
        <v>143</v>
      </c>
      <c r="O40" s="15">
        <v>17</v>
      </c>
      <c r="P40" s="15" t="s">
        <v>250</v>
      </c>
      <c r="Q40" s="15"/>
      <c r="R40" s="15"/>
    </row>
    <row r="41" spans="1:18" x14ac:dyDescent="0.35">
      <c r="A41" s="15" t="s">
        <v>258</v>
      </c>
      <c r="B41" s="16">
        <v>45229</v>
      </c>
      <c r="C41" s="15" t="s">
        <v>202</v>
      </c>
      <c r="D41" s="15">
        <v>2023</v>
      </c>
      <c r="E41" s="15" t="s">
        <v>46</v>
      </c>
      <c r="F41" s="15" t="s">
        <v>131</v>
      </c>
      <c r="G41" s="15" t="s">
        <v>28</v>
      </c>
      <c r="H41" s="15" t="s">
        <v>208</v>
      </c>
      <c r="I41" s="15" t="s">
        <v>257</v>
      </c>
      <c r="J41" s="17">
        <v>1000000</v>
      </c>
      <c r="K41" s="15"/>
      <c r="L41" s="15" t="s">
        <v>142</v>
      </c>
      <c r="M41" s="15" t="s">
        <v>74</v>
      </c>
      <c r="N41" s="15" t="s">
        <v>143</v>
      </c>
      <c r="O41" s="15">
        <v>163</v>
      </c>
      <c r="P41" s="15" t="s">
        <v>250</v>
      </c>
      <c r="Q41" s="15"/>
      <c r="R41" s="15"/>
    </row>
    <row r="42" spans="1:18" x14ac:dyDescent="0.35">
      <c r="A42" s="15" t="s">
        <v>259</v>
      </c>
      <c r="B42" s="16">
        <v>45229</v>
      </c>
      <c r="C42" s="15" t="s">
        <v>202</v>
      </c>
      <c r="D42" s="15">
        <v>2023</v>
      </c>
      <c r="E42" s="15" t="s">
        <v>46</v>
      </c>
      <c r="F42" s="15" t="s">
        <v>131</v>
      </c>
      <c r="G42" s="15" t="s">
        <v>36</v>
      </c>
      <c r="H42" s="15" t="s">
        <v>173</v>
      </c>
      <c r="I42" s="15" t="s">
        <v>174</v>
      </c>
      <c r="J42" s="17">
        <v>600000</v>
      </c>
      <c r="K42" s="15"/>
      <c r="L42" s="15" t="s">
        <v>134</v>
      </c>
      <c r="M42" s="15" t="s">
        <v>76</v>
      </c>
      <c r="N42" s="15" t="s">
        <v>175</v>
      </c>
      <c r="O42" s="15">
        <v>10</v>
      </c>
      <c r="P42" s="15" t="s">
        <v>250</v>
      </c>
      <c r="Q42" s="15"/>
      <c r="R42" s="15" t="s">
        <v>137</v>
      </c>
    </row>
    <row r="43" spans="1:18" x14ac:dyDescent="0.35">
      <c r="A43" s="15" t="s">
        <v>260</v>
      </c>
      <c r="B43" s="16">
        <v>45232</v>
      </c>
      <c r="C43" s="15" t="s">
        <v>261</v>
      </c>
      <c r="D43" s="15">
        <v>2023</v>
      </c>
      <c r="E43" s="15" t="s">
        <v>46</v>
      </c>
      <c r="F43" s="15" t="s">
        <v>131</v>
      </c>
      <c r="G43" s="15" t="s">
        <v>28</v>
      </c>
      <c r="H43" s="15" t="s">
        <v>238</v>
      </c>
      <c r="I43" s="15" t="s">
        <v>239</v>
      </c>
      <c r="J43" s="17">
        <v>3000000</v>
      </c>
      <c r="K43" s="15"/>
      <c r="L43" s="15" t="s">
        <v>142</v>
      </c>
      <c r="M43" s="15" t="s">
        <v>74</v>
      </c>
      <c r="N43" s="15" t="s">
        <v>143</v>
      </c>
      <c r="O43" s="15">
        <v>118</v>
      </c>
      <c r="P43" s="15" t="s">
        <v>262</v>
      </c>
      <c r="Q43" s="15"/>
      <c r="R43" s="15"/>
    </row>
    <row r="44" spans="1:18" x14ac:dyDescent="0.35">
      <c r="A44" s="15" t="s">
        <v>263</v>
      </c>
      <c r="B44" s="16">
        <v>45233</v>
      </c>
      <c r="C44" s="15" t="s">
        <v>261</v>
      </c>
      <c r="D44" s="15">
        <v>2023</v>
      </c>
      <c r="E44" s="15" t="s">
        <v>46</v>
      </c>
      <c r="F44" s="15" t="s">
        <v>131</v>
      </c>
      <c r="G44" s="15" t="s">
        <v>36</v>
      </c>
      <c r="H44" s="15" t="s">
        <v>264</v>
      </c>
      <c r="I44" s="15" t="s">
        <v>265</v>
      </c>
      <c r="J44" s="17">
        <v>3900000</v>
      </c>
      <c r="K44" s="15"/>
      <c r="L44" s="15" t="s">
        <v>134</v>
      </c>
      <c r="M44" s="15" t="s">
        <v>76</v>
      </c>
      <c r="N44" s="15" t="s">
        <v>266</v>
      </c>
      <c r="O44" s="15">
        <v>7</v>
      </c>
      <c r="P44" s="15" t="s">
        <v>267</v>
      </c>
      <c r="Q44" s="15"/>
      <c r="R44" s="15" t="s">
        <v>137</v>
      </c>
    </row>
    <row r="45" spans="1:18" x14ac:dyDescent="0.35">
      <c r="A45" s="15" t="s">
        <v>268</v>
      </c>
      <c r="B45" s="16">
        <v>45239</v>
      </c>
      <c r="C45" s="15" t="s">
        <v>261</v>
      </c>
      <c r="D45" s="15">
        <v>2023</v>
      </c>
      <c r="E45" s="15" t="s">
        <v>46</v>
      </c>
      <c r="F45" s="15" t="s">
        <v>131</v>
      </c>
      <c r="G45" s="15" t="s">
        <v>28</v>
      </c>
      <c r="H45" s="15" t="s">
        <v>184</v>
      </c>
      <c r="I45" s="15" t="s">
        <v>185</v>
      </c>
      <c r="J45" s="17">
        <v>200000</v>
      </c>
      <c r="K45" s="15"/>
      <c r="L45" s="15" t="s">
        <v>142</v>
      </c>
      <c r="M45" s="15" t="s">
        <v>74</v>
      </c>
      <c r="N45" s="15" t="s">
        <v>143</v>
      </c>
      <c r="O45" s="15">
        <v>9</v>
      </c>
      <c r="P45" s="15" t="s">
        <v>269</v>
      </c>
      <c r="Q45" s="15"/>
      <c r="R45" s="15"/>
    </row>
    <row r="46" spans="1:18" x14ac:dyDescent="0.35">
      <c r="A46" s="15" t="s">
        <v>270</v>
      </c>
      <c r="B46" s="16">
        <v>45239</v>
      </c>
      <c r="C46" s="15" t="s">
        <v>261</v>
      </c>
      <c r="D46" s="15">
        <v>2023</v>
      </c>
      <c r="E46" s="15" t="s">
        <v>46</v>
      </c>
      <c r="F46" s="15" t="s">
        <v>131</v>
      </c>
      <c r="G46" s="15" t="s">
        <v>28</v>
      </c>
      <c r="H46" s="15" t="s">
        <v>271</v>
      </c>
      <c r="I46" s="15" t="s">
        <v>272</v>
      </c>
      <c r="J46" s="17">
        <v>1200000</v>
      </c>
      <c r="K46" s="15"/>
      <c r="L46" s="15" t="s">
        <v>142</v>
      </c>
      <c r="M46" s="15" t="s">
        <v>74</v>
      </c>
      <c r="N46" s="15" t="s">
        <v>143</v>
      </c>
      <c r="O46" s="15">
        <v>189</v>
      </c>
      <c r="P46" s="15" t="s">
        <v>269</v>
      </c>
      <c r="Q46" s="15"/>
      <c r="R46" s="15"/>
    </row>
    <row r="47" spans="1:18" x14ac:dyDescent="0.35">
      <c r="A47" s="15" t="s">
        <v>273</v>
      </c>
      <c r="B47" s="16">
        <v>45239</v>
      </c>
      <c r="C47" s="15" t="s">
        <v>261</v>
      </c>
      <c r="D47" s="15">
        <v>2023</v>
      </c>
      <c r="E47" s="15" t="s">
        <v>46</v>
      </c>
      <c r="F47" s="15" t="s">
        <v>131</v>
      </c>
      <c r="G47" s="15" t="s">
        <v>36</v>
      </c>
      <c r="H47" s="15" t="s">
        <v>274</v>
      </c>
      <c r="I47" s="15" t="s">
        <v>275</v>
      </c>
      <c r="J47" s="17">
        <v>750000</v>
      </c>
      <c r="K47" s="15"/>
      <c r="L47" s="15" t="s">
        <v>134</v>
      </c>
      <c r="M47" s="15" t="s">
        <v>76</v>
      </c>
      <c r="N47" s="15" t="s">
        <v>276</v>
      </c>
      <c r="O47" s="15">
        <v>7</v>
      </c>
      <c r="P47" s="15" t="s">
        <v>269</v>
      </c>
      <c r="Q47" s="15"/>
      <c r="R47" s="15" t="s">
        <v>137</v>
      </c>
    </row>
    <row r="48" spans="1:18" x14ac:dyDescent="0.35">
      <c r="A48" s="15" t="s">
        <v>277</v>
      </c>
      <c r="B48" s="16">
        <v>45245</v>
      </c>
      <c r="C48" s="15" t="s">
        <v>261</v>
      </c>
      <c r="D48" s="15">
        <v>2023</v>
      </c>
      <c r="E48" s="15" t="s">
        <v>46</v>
      </c>
      <c r="F48" s="15" t="s">
        <v>131</v>
      </c>
      <c r="G48" s="15" t="s">
        <v>28</v>
      </c>
      <c r="H48" s="15" t="s">
        <v>278</v>
      </c>
      <c r="I48" s="15" t="s">
        <v>279</v>
      </c>
      <c r="J48" s="17">
        <v>1000000</v>
      </c>
      <c r="K48" s="15"/>
      <c r="L48" s="15" t="s">
        <v>142</v>
      </c>
      <c r="M48" s="15" t="s">
        <v>74</v>
      </c>
      <c r="N48" s="15" t="s">
        <v>143</v>
      </c>
      <c r="O48" s="15">
        <v>265</v>
      </c>
      <c r="P48" s="15" t="s">
        <v>280</v>
      </c>
      <c r="Q48" s="15"/>
      <c r="R48" s="15"/>
    </row>
    <row r="49" spans="1:18" x14ac:dyDescent="0.35">
      <c r="A49" s="15" t="s">
        <v>281</v>
      </c>
      <c r="B49" s="16">
        <v>45246</v>
      </c>
      <c r="C49" s="15" t="s">
        <v>261</v>
      </c>
      <c r="D49" s="15">
        <v>2023</v>
      </c>
      <c r="E49" s="15" t="s">
        <v>46</v>
      </c>
      <c r="F49" s="15" t="s">
        <v>131</v>
      </c>
      <c r="G49" s="15" t="s">
        <v>28</v>
      </c>
      <c r="H49" s="15" t="s">
        <v>188</v>
      </c>
      <c r="I49" s="15" t="s">
        <v>189</v>
      </c>
      <c r="J49" s="17">
        <v>700000</v>
      </c>
      <c r="K49" s="15"/>
      <c r="L49" s="15" t="s">
        <v>142</v>
      </c>
      <c r="M49" s="15" t="s">
        <v>74</v>
      </c>
      <c r="N49" s="15" t="s">
        <v>143</v>
      </c>
      <c r="O49" s="15">
        <v>127</v>
      </c>
      <c r="P49" s="15" t="s">
        <v>282</v>
      </c>
      <c r="Q49" s="15" t="s">
        <v>283</v>
      </c>
      <c r="R49" s="15"/>
    </row>
    <row r="50" spans="1:18" x14ac:dyDescent="0.35">
      <c r="A50" s="15" t="s">
        <v>284</v>
      </c>
      <c r="B50" s="16">
        <v>45251</v>
      </c>
      <c r="C50" s="15" t="s">
        <v>261</v>
      </c>
      <c r="D50" s="15">
        <v>2023</v>
      </c>
      <c r="E50" s="15" t="s">
        <v>46</v>
      </c>
      <c r="F50" s="15" t="s">
        <v>131</v>
      </c>
      <c r="G50" s="15" t="s">
        <v>28</v>
      </c>
      <c r="H50" s="15" t="s">
        <v>285</v>
      </c>
      <c r="I50" s="15" t="s">
        <v>286</v>
      </c>
      <c r="J50" s="17">
        <v>1000000</v>
      </c>
      <c r="K50" s="15"/>
      <c r="L50" s="15" t="s">
        <v>142</v>
      </c>
      <c r="M50" s="15" t="s">
        <v>74</v>
      </c>
      <c r="N50" s="15" t="s">
        <v>143</v>
      </c>
      <c r="O50" s="15">
        <v>169</v>
      </c>
      <c r="P50" s="15" t="s">
        <v>287</v>
      </c>
      <c r="Q50" s="15"/>
      <c r="R50" s="15"/>
    </row>
    <row r="51" spans="1:18" x14ac:dyDescent="0.35">
      <c r="A51" s="15" t="s">
        <v>288</v>
      </c>
      <c r="B51" s="16">
        <v>45254</v>
      </c>
      <c r="C51" s="15" t="s">
        <v>261</v>
      </c>
      <c r="D51" s="15">
        <v>2023</v>
      </c>
      <c r="E51" s="15" t="s">
        <v>47</v>
      </c>
      <c r="F51" s="15" t="s">
        <v>131</v>
      </c>
      <c r="G51" s="15" t="s">
        <v>41</v>
      </c>
      <c r="H51" s="15" t="s">
        <v>289</v>
      </c>
      <c r="I51" s="15" t="s">
        <v>290</v>
      </c>
      <c r="J51" s="17">
        <v>16500000</v>
      </c>
      <c r="K51" s="15"/>
      <c r="L51" s="15" t="s">
        <v>142</v>
      </c>
      <c r="M51" s="15" t="s">
        <v>74</v>
      </c>
      <c r="N51" s="15" t="s">
        <v>143</v>
      </c>
      <c r="O51" s="15">
        <v>211</v>
      </c>
      <c r="P51" s="15" t="s">
        <v>291</v>
      </c>
      <c r="Q51" s="15"/>
      <c r="R51" s="15"/>
    </row>
    <row r="52" spans="1:18" x14ac:dyDescent="0.35">
      <c r="A52" s="15" t="s">
        <v>292</v>
      </c>
      <c r="B52" s="16">
        <v>45255</v>
      </c>
      <c r="C52" s="15" t="s">
        <v>261</v>
      </c>
      <c r="D52" s="15">
        <v>2023</v>
      </c>
      <c r="E52" s="15" t="s">
        <v>46</v>
      </c>
      <c r="F52" s="15" t="s">
        <v>131</v>
      </c>
      <c r="G52" s="15" t="s">
        <v>28</v>
      </c>
      <c r="H52" s="15" t="s">
        <v>184</v>
      </c>
      <c r="I52" s="15" t="s">
        <v>185</v>
      </c>
      <c r="J52" s="17">
        <v>200000</v>
      </c>
      <c r="K52" s="15"/>
      <c r="L52" s="15" t="s">
        <v>142</v>
      </c>
      <c r="M52" s="15" t="s">
        <v>74</v>
      </c>
      <c r="N52" s="15" t="s">
        <v>143</v>
      </c>
      <c r="O52" s="15">
        <v>11</v>
      </c>
      <c r="P52" s="15" t="s">
        <v>293</v>
      </c>
      <c r="Q52" s="15"/>
      <c r="R52" s="15"/>
    </row>
    <row r="53" spans="1:18" x14ac:dyDescent="0.35">
      <c r="A53" s="15" t="s">
        <v>294</v>
      </c>
      <c r="B53" s="16">
        <v>45259</v>
      </c>
      <c r="C53" s="15" t="s">
        <v>261</v>
      </c>
      <c r="D53" s="15">
        <v>2023</v>
      </c>
      <c r="E53" s="15" t="s">
        <v>46</v>
      </c>
      <c r="F53" s="15" t="s">
        <v>131</v>
      </c>
      <c r="G53" s="15" t="s">
        <v>28</v>
      </c>
      <c r="H53" s="15" t="s">
        <v>208</v>
      </c>
      <c r="I53" s="15" t="s">
        <v>257</v>
      </c>
      <c r="J53" s="17">
        <v>1483000</v>
      </c>
      <c r="K53" s="15"/>
      <c r="L53" s="15" t="s">
        <v>142</v>
      </c>
      <c r="M53" s="15" t="s">
        <v>74</v>
      </c>
      <c r="N53" s="15" t="s">
        <v>143</v>
      </c>
      <c r="O53" s="15">
        <v>18</v>
      </c>
      <c r="P53" s="15" t="s">
        <v>295</v>
      </c>
      <c r="Q53" s="15"/>
      <c r="R53" s="15"/>
    </row>
    <row r="54" spans="1:18" x14ac:dyDescent="0.35">
      <c r="A54" s="15" t="s">
        <v>296</v>
      </c>
      <c r="B54" s="16">
        <v>45259</v>
      </c>
      <c r="C54" s="15" t="s">
        <v>261</v>
      </c>
      <c r="D54" s="15">
        <v>2023</v>
      </c>
      <c r="E54" s="15" t="s">
        <v>46</v>
      </c>
      <c r="F54" s="15" t="s">
        <v>131</v>
      </c>
      <c r="G54" s="15" t="s">
        <v>28</v>
      </c>
      <c r="H54" s="15" t="s">
        <v>208</v>
      </c>
      <c r="I54" s="15" t="s">
        <v>257</v>
      </c>
      <c r="J54" s="17">
        <v>1483000</v>
      </c>
      <c r="K54" s="15"/>
      <c r="L54" s="15" t="s">
        <v>142</v>
      </c>
      <c r="M54" s="15" t="s">
        <v>74</v>
      </c>
      <c r="N54" s="15" t="s">
        <v>143</v>
      </c>
      <c r="O54" s="15">
        <v>164</v>
      </c>
      <c r="P54" s="15" t="s">
        <v>295</v>
      </c>
      <c r="Q54" s="15"/>
      <c r="R54" s="15"/>
    </row>
    <row r="55" spans="1:18" x14ac:dyDescent="0.35">
      <c r="A55" s="15" t="s">
        <v>297</v>
      </c>
      <c r="B55" s="16">
        <v>45261</v>
      </c>
      <c r="C55" s="15" t="s">
        <v>298</v>
      </c>
      <c r="D55" s="15">
        <v>2023</v>
      </c>
      <c r="E55" s="15" t="s">
        <v>46</v>
      </c>
      <c r="F55" s="15" t="s">
        <v>131</v>
      </c>
      <c r="G55" s="15" t="s">
        <v>36</v>
      </c>
      <c r="H55" s="15" t="s">
        <v>184</v>
      </c>
      <c r="I55" s="15" t="s">
        <v>185</v>
      </c>
      <c r="J55" s="17">
        <v>300000</v>
      </c>
      <c r="K55" s="15" t="s">
        <v>299</v>
      </c>
      <c r="L55" s="15" t="s">
        <v>300</v>
      </c>
      <c r="M55" s="15" t="s">
        <v>74</v>
      </c>
      <c r="N55" s="15" t="s">
        <v>301</v>
      </c>
      <c r="O55" s="15">
        <v>6</v>
      </c>
      <c r="P55" s="15" t="s">
        <v>302</v>
      </c>
      <c r="Q55" s="15" t="s">
        <v>303</v>
      </c>
      <c r="R55" s="15"/>
    </row>
    <row r="56" spans="1:18" x14ac:dyDescent="0.35">
      <c r="A56" s="15" t="s">
        <v>304</v>
      </c>
      <c r="B56" s="16">
        <v>45264</v>
      </c>
      <c r="C56" s="15" t="s">
        <v>298</v>
      </c>
      <c r="D56" s="15">
        <v>2023</v>
      </c>
      <c r="E56" s="15" t="s">
        <v>46</v>
      </c>
      <c r="F56" s="15" t="s">
        <v>131</v>
      </c>
      <c r="G56" s="15" t="s">
        <v>36</v>
      </c>
      <c r="H56" s="15" t="s">
        <v>238</v>
      </c>
      <c r="I56" s="15" t="s">
        <v>239</v>
      </c>
      <c r="J56" s="17">
        <v>4600000</v>
      </c>
      <c r="K56" s="15" t="s">
        <v>299</v>
      </c>
      <c r="L56" s="15" t="s">
        <v>300</v>
      </c>
      <c r="M56" s="15" t="s">
        <v>74</v>
      </c>
      <c r="N56" s="15" t="s">
        <v>301</v>
      </c>
      <c r="O56" s="15">
        <v>7</v>
      </c>
      <c r="P56" s="15" t="s">
        <v>305</v>
      </c>
      <c r="Q56" s="15" t="s">
        <v>306</v>
      </c>
      <c r="R56" s="15"/>
    </row>
    <row r="57" spans="1:18" x14ac:dyDescent="0.35">
      <c r="A57" s="15" t="s">
        <v>307</v>
      </c>
      <c r="B57" s="16">
        <v>45264</v>
      </c>
      <c r="C57" s="15" t="s">
        <v>298</v>
      </c>
      <c r="D57" s="15">
        <v>2023</v>
      </c>
      <c r="E57" s="15" t="s">
        <v>47</v>
      </c>
      <c r="F57" s="15" t="s">
        <v>131</v>
      </c>
      <c r="G57" s="15" t="s">
        <v>35</v>
      </c>
      <c r="H57" s="15" t="s">
        <v>289</v>
      </c>
      <c r="I57" s="15" t="s">
        <v>290</v>
      </c>
      <c r="J57" s="17">
        <v>2500000</v>
      </c>
      <c r="K57" s="15" t="s">
        <v>299</v>
      </c>
      <c r="L57" s="15" t="s">
        <v>300</v>
      </c>
      <c r="M57" s="15" t="s">
        <v>74</v>
      </c>
      <c r="N57" s="15" t="s">
        <v>301</v>
      </c>
      <c r="O57" s="15">
        <v>8</v>
      </c>
      <c r="P57" s="15" t="s">
        <v>305</v>
      </c>
      <c r="Q57" s="15" t="s">
        <v>308</v>
      </c>
      <c r="R57" s="15"/>
    </row>
    <row r="58" spans="1:18" x14ac:dyDescent="0.35">
      <c r="A58" s="15" t="s">
        <v>309</v>
      </c>
      <c r="B58" s="16">
        <v>45266</v>
      </c>
      <c r="C58" s="15" t="s">
        <v>298</v>
      </c>
      <c r="D58" s="15">
        <v>2023</v>
      </c>
      <c r="E58" s="15" t="s">
        <v>46</v>
      </c>
      <c r="F58" s="15" t="s">
        <v>131</v>
      </c>
      <c r="G58" s="15" t="s">
        <v>36</v>
      </c>
      <c r="H58" s="15" t="s">
        <v>254</v>
      </c>
      <c r="I58" s="15" t="s">
        <v>255</v>
      </c>
      <c r="J58" s="17">
        <v>800000</v>
      </c>
      <c r="K58" s="15" t="s">
        <v>299</v>
      </c>
      <c r="L58" s="15" t="s">
        <v>300</v>
      </c>
      <c r="M58" s="15" t="s">
        <v>74</v>
      </c>
      <c r="N58" s="15" t="s">
        <v>301</v>
      </c>
      <c r="O58" s="15">
        <v>9</v>
      </c>
      <c r="P58" s="15" t="s">
        <v>310</v>
      </c>
      <c r="Q58" s="15" t="s">
        <v>311</v>
      </c>
      <c r="R58" s="15"/>
    </row>
    <row r="59" spans="1:18" x14ac:dyDescent="0.35">
      <c r="A59" s="15" t="s">
        <v>312</v>
      </c>
      <c r="B59" s="16">
        <v>45268</v>
      </c>
      <c r="C59" s="15" t="s">
        <v>298</v>
      </c>
      <c r="D59" s="15">
        <v>2023</v>
      </c>
      <c r="E59" s="15" t="s">
        <v>46</v>
      </c>
      <c r="F59" s="15" t="s">
        <v>131</v>
      </c>
      <c r="G59" s="15" t="s">
        <v>36</v>
      </c>
      <c r="H59" s="15" t="s">
        <v>313</v>
      </c>
      <c r="I59" s="15" t="s">
        <v>314</v>
      </c>
      <c r="J59" s="17">
        <v>2600000</v>
      </c>
      <c r="K59" s="15" t="s">
        <v>299</v>
      </c>
      <c r="L59" s="15" t="s">
        <v>300</v>
      </c>
      <c r="M59" s="15" t="s">
        <v>74</v>
      </c>
      <c r="N59" s="15" t="s">
        <v>301</v>
      </c>
      <c r="O59" s="15">
        <v>10</v>
      </c>
      <c r="P59" s="15" t="s">
        <v>315</v>
      </c>
      <c r="Q59" s="15" t="s">
        <v>316</v>
      </c>
      <c r="R59" s="15"/>
    </row>
    <row r="60" spans="1:18" x14ac:dyDescent="0.35">
      <c r="A60" s="15" t="s">
        <v>317</v>
      </c>
      <c r="B60" s="16">
        <v>45270</v>
      </c>
      <c r="C60" s="15" t="s">
        <v>298</v>
      </c>
      <c r="D60" s="15">
        <v>2023</v>
      </c>
      <c r="E60" s="15" t="s">
        <v>46</v>
      </c>
      <c r="F60" s="15" t="s">
        <v>131</v>
      </c>
      <c r="G60" s="15" t="s">
        <v>36</v>
      </c>
      <c r="H60" s="15" t="s">
        <v>196</v>
      </c>
      <c r="I60" s="15" t="s">
        <v>197</v>
      </c>
      <c r="J60" s="17">
        <v>250000</v>
      </c>
      <c r="K60" s="15" t="s">
        <v>299</v>
      </c>
      <c r="L60" s="15" t="s">
        <v>300</v>
      </c>
      <c r="M60" s="15" t="s">
        <v>74</v>
      </c>
      <c r="N60" s="15" t="s">
        <v>301</v>
      </c>
      <c r="O60" s="15">
        <v>11</v>
      </c>
      <c r="P60" s="15" t="s">
        <v>318</v>
      </c>
      <c r="Q60" s="15" t="s">
        <v>319</v>
      </c>
      <c r="R60" s="15"/>
    </row>
    <row r="61" spans="1:18" x14ac:dyDescent="0.35">
      <c r="A61" s="15" t="s">
        <v>320</v>
      </c>
      <c r="B61" s="16">
        <v>45270</v>
      </c>
      <c r="C61" s="15" t="s">
        <v>298</v>
      </c>
      <c r="D61" s="15">
        <v>2023</v>
      </c>
      <c r="E61" s="15" t="s">
        <v>47</v>
      </c>
      <c r="F61" s="15" t="s">
        <v>131</v>
      </c>
      <c r="G61" s="15" t="s">
        <v>35</v>
      </c>
      <c r="H61" s="15" t="s">
        <v>289</v>
      </c>
      <c r="I61" s="15" t="s">
        <v>290</v>
      </c>
      <c r="J61" s="17">
        <v>2500000</v>
      </c>
      <c r="K61" s="15" t="s">
        <v>299</v>
      </c>
      <c r="L61" s="15" t="s">
        <v>300</v>
      </c>
      <c r="M61" s="15" t="s">
        <v>74</v>
      </c>
      <c r="N61" s="15" t="s">
        <v>301</v>
      </c>
      <c r="O61" s="15">
        <v>12</v>
      </c>
      <c r="P61" s="15" t="s">
        <v>318</v>
      </c>
      <c r="Q61" s="15" t="s">
        <v>321</v>
      </c>
      <c r="R61" s="15"/>
    </row>
    <row r="62" spans="1:18" x14ac:dyDescent="0.35">
      <c r="A62" s="15" t="s">
        <v>322</v>
      </c>
      <c r="B62" s="16">
        <v>45271</v>
      </c>
      <c r="C62" s="15" t="s">
        <v>298</v>
      </c>
      <c r="D62" s="15">
        <v>2023</v>
      </c>
      <c r="E62" s="15" t="s">
        <v>46</v>
      </c>
      <c r="F62" s="15" t="s">
        <v>131</v>
      </c>
      <c r="G62" s="15" t="s">
        <v>36</v>
      </c>
      <c r="H62" s="15" t="s">
        <v>323</v>
      </c>
      <c r="I62" s="15" t="s">
        <v>324</v>
      </c>
      <c r="J62" s="17">
        <v>5040000</v>
      </c>
      <c r="K62" s="15" t="s">
        <v>299</v>
      </c>
      <c r="L62" s="15" t="s">
        <v>300</v>
      </c>
      <c r="M62" s="15" t="s">
        <v>74</v>
      </c>
      <c r="N62" s="15" t="s">
        <v>301</v>
      </c>
      <c r="O62" s="15">
        <v>13</v>
      </c>
      <c r="P62" s="15" t="s">
        <v>325</v>
      </c>
      <c r="Q62" s="15" t="s">
        <v>326</v>
      </c>
      <c r="R62" s="15"/>
    </row>
    <row r="63" spans="1:18" x14ac:dyDescent="0.35">
      <c r="A63" s="15" t="s">
        <v>327</v>
      </c>
      <c r="B63" s="16">
        <v>45278</v>
      </c>
      <c r="C63" s="15" t="s">
        <v>298</v>
      </c>
      <c r="D63" s="15">
        <v>2023</v>
      </c>
      <c r="E63" s="15" t="s">
        <v>46</v>
      </c>
      <c r="F63" s="15" t="s">
        <v>131</v>
      </c>
      <c r="G63" s="15" t="s">
        <v>36</v>
      </c>
      <c r="H63" s="15" t="s">
        <v>184</v>
      </c>
      <c r="I63" s="15" t="s">
        <v>185</v>
      </c>
      <c r="J63" s="17">
        <v>500000</v>
      </c>
      <c r="K63" s="15" t="s">
        <v>299</v>
      </c>
      <c r="L63" s="15" t="s">
        <v>300</v>
      </c>
      <c r="M63" s="15" t="s">
        <v>74</v>
      </c>
      <c r="N63" s="15" t="s">
        <v>301</v>
      </c>
      <c r="O63" s="15">
        <v>14</v>
      </c>
      <c r="P63" s="15" t="s">
        <v>328</v>
      </c>
      <c r="Q63" s="15" t="s">
        <v>329</v>
      </c>
      <c r="R63" s="15"/>
    </row>
    <row r="64" spans="1:18" x14ac:dyDescent="0.35">
      <c r="A64" s="15" t="s">
        <v>330</v>
      </c>
      <c r="B64" s="16">
        <v>45279</v>
      </c>
      <c r="C64" s="15" t="s">
        <v>298</v>
      </c>
      <c r="D64" s="15">
        <v>2023</v>
      </c>
      <c r="E64" s="15" t="s">
        <v>46</v>
      </c>
      <c r="F64" s="15" t="s">
        <v>131</v>
      </c>
      <c r="G64" s="15" t="s">
        <v>36</v>
      </c>
      <c r="H64" s="15" t="s">
        <v>184</v>
      </c>
      <c r="I64" s="15" t="s">
        <v>185</v>
      </c>
      <c r="J64" s="17">
        <v>500000</v>
      </c>
      <c r="K64" s="15" t="s">
        <v>299</v>
      </c>
      <c r="L64" s="15" t="s">
        <v>300</v>
      </c>
      <c r="M64" s="15" t="s">
        <v>74</v>
      </c>
      <c r="N64" s="15" t="s">
        <v>301</v>
      </c>
      <c r="O64" s="15">
        <v>15</v>
      </c>
      <c r="P64" s="15" t="s">
        <v>331</v>
      </c>
      <c r="Q64" s="15" t="s">
        <v>332</v>
      </c>
      <c r="R64" s="15"/>
    </row>
    <row r="65" spans="1:18" x14ac:dyDescent="0.35">
      <c r="A65" s="15" t="s">
        <v>333</v>
      </c>
      <c r="B65" s="16">
        <v>45280</v>
      </c>
      <c r="C65" s="15" t="s">
        <v>298</v>
      </c>
      <c r="D65" s="15">
        <v>2023</v>
      </c>
      <c r="E65" s="15" t="s">
        <v>46</v>
      </c>
      <c r="F65" s="15" t="s">
        <v>131</v>
      </c>
      <c r="G65" s="15" t="s">
        <v>36</v>
      </c>
      <c r="H65" s="15" t="s">
        <v>222</v>
      </c>
      <c r="I65" s="15" t="s">
        <v>223</v>
      </c>
      <c r="J65" s="17">
        <v>1000000</v>
      </c>
      <c r="K65" s="15" t="s">
        <v>299</v>
      </c>
      <c r="L65" s="15" t="s">
        <v>300</v>
      </c>
      <c r="M65" s="15" t="s">
        <v>74</v>
      </c>
      <c r="N65" s="15" t="s">
        <v>301</v>
      </c>
      <c r="O65" s="15">
        <v>16</v>
      </c>
      <c r="P65" s="15" t="s">
        <v>334</v>
      </c>
      <c r="Q65" s="15" t="s">
        <v>335</v>
      </c>
      <c r="R65" s="15"/>
    </row>
    <row r="66" spans="1:18" x14ac:dyDescent="0.35">
      <c r="A66" s="15" t="s">
        <v>336</v>
      </c>
      <c r="B66" s="16">
        <v>45281</v>
      </c>
      <c r="C66" s="15" t="s">
        <v>298</v>
      </c>
      <c r="D66" s="15">
        <v>2023</v>
      </c>
      <c r="E66" s="15" t="s">
        <v>46</v>
      </c>
      <c r="F66" s="15" t="s">
        <v>131</v>
      </c>
      <c r="G66" s="15" t="s">
        <v>36</v>
      </c>
      <c r="H66" s="15" t="s">
        <v>337</v>
      </c>
      <c r="I66" s="15" t="s">
        <v>338</v>
      </c>
      <c r="J66" s="17">
        <v>500000</v>
      </c>
      <c r="K66" s="15" t="s">
        <v>299</v>
      </c>
      <c r="L66" s="15" t="s">
        <v>300</v>
      </c>
      <c r="M66" s="15" t="s">
        <v>74</v>
      </c>
      <c r="N66" s="15" t="s">
        <v>301</v>
      </c>
      <c r="O66" s="15">
        <v>17</v>
      </c>
      <c r="P66" s="15" t="s">
        <v>339</v>
      </c>
      <c r="Q66" s="15" t="s">
        <v>340</v>
      </c>
      <c r="R66" s="15"/>
    </row>
    <row r="67" spans="1:18" x14ac:dyDescent="0.35">
      <c r="A67" s="15" t="s">
        <v>341</v>
      </c>
      <c r="B67" s="16">
        <v>45283</v>
      </c>
      <c r="C67" s="15" t="s">
        <v>298</v>
      </c>
      <c r="D67" s="15">
        <v>2023</v>
      </c>
      <c r="E67" s="15" t="s">
        <v>46</v>
      </c>
      <c r="F67" s="15" t="s">
        <v>131</v>
      </c>
      <c r="G67" s="15" t="s">
        <v>36</v>
      </c>
      <c r="H67" s="15" t="s">
        <v>203</v>
      </c>
      <c r="I67" s="15" t="s">
        <v>204</v>
      </c>
      <c r="J67" s="17">
        <v>100000</v>
      </c>
      <c r="K67" s="15" t="s">
        <v>299</v>
      </c>
      <c r="L67" s="15" t="s">
        <v>300</v>
      </c>
      <c r="M67" s="15" t="s">
        <v>74</v>
      </c>
      <c r="N67" s="15" t="s">
        <v>301</v>
      </c>
      <c r="O67" s="15">
        <v>18</v>
      </c>
      <c r="P67" s="15" t="s">
        <v>342</v>
      </c>
      <c r="Q67" s="15" t="s">
        <v>343</v>
      </c>
      <c r="R67" s="15"/>
    </row>
    <row r="68" spans="1:18" x14ac:dyDescent="0.35">
      <c r="A68" s="15" t="s">
        <v>344</v>
      </c>
      <c r="B68" s="16">
        <v>45283</v>
      </c>
      <c r="C68" s="15" t="s">
        <v>298</v>
      </c>
      <c r="D68" s="15">
        <v>2023</v>
      </c>
      <c r="E68" s="15" t="s">
        <v>46</v>
      </c>
      <c r="F68" s="15" t="s">
        <v>131</v>
      </c>
      <c r="G68" s="15" t="s">
        <v>36</v>
      </c>
      <c r="H68" s="15" t="s">
        <v>345</v>
      </c>
      <c r="I68" s="15" t="s">
        <v>346</v>
      </c>
      <c r="J68" s="17">
        <v>1000000</v>
      </c>
      <c r="K68" s="15" t="s">
        <v>299</v>
      </c>
      <c r="L68" s="15" t="s">
        <v>300</v>
      </c>
      <c r="M68" s="15" t="s">
        <v>74</v>
      </c>
      <c r="N68" s="15" t="s">
        <v>301</v>
      </c>
      <c r="O68" s="15">
        <v>19</v>
      </c>
      <c r="P68" s="15" t="s">
        <v>342</v>
      </c>
      <c r="Q68" s="15" t="s">
        <v>347</v>
      </c>
      <c r="R68" s="15"/>
    </row>
    <row r="69" spans="1:18" x14ac:dyDescent="0.35">
      <c r="A69" s="15" t="s">
        <v>348</v>
      </c>
      <c r="B69" s="16">
        <v>45284</v>
      </c>
      <c r="C69" s="15" t="s">
        <v>298</v>
      </c>
      <c r="D69" s="15">
        <v>2023</v>
      </c>
      <c r="E69" s="15" t="s">
        <v>46</v>
      </c>
      <c r="F69" s="15" t="s">
        <v>131</v>
      </c>
      <c r="G69" s="15" t="s">
        <v>36</v>
      </c>
      <c r="H69" s="15" t="s">
        <v>203</v>
      </c>
      <c r="I69" s="15" t="s">
        <v>204</v>
      </c>
      <c r="J69" s="17">
        <v>100000</v>
      </c>
      <c r="K69" s="15" t="s">
        <v>299</v>
      </c>
      <c r="L69" s="15" t="s">
        <v>300</v>
      </c>
      <c r="M69" s="15" t="s">
        <v>74</v>
      </c>
      <c r="N69" s="15" t="s">
        <v>301</v>
      </c>
      <c r="O69" s="15">
        <v>20</v>
      </c>
      <c r="P69" s="15" t="s">
        <v>349</v>
      </c>
      <c r="Q69" s="15" t="s">
        <v>350</v>
      </c>
      <c r="R69" s="15"/>
    </row>
    <row r="70" spans="1:18" x14ac:dyDescent="0.35">
      <c r="A70" s="15" t="s">
        <v>351</v>
      </c>
      <c r="B70" s="16">
        <v>45286</v>
      </c>
      <c r="C70" s="15" t="s">
        <v>298</v>
      </c>
      <c r="D70" s="15">
        <v>2023</v>
      </c>
      <c r="E70" s="15" t="s">
        <v>46</v>
      </c>
      <c r="F70" s="15" t="s">
        <v>131</v>
      </c>
      <c r="G70" s="15" t="s">
        <v>36</v>
      </c>
      <c r="H70" s="15" t="s">
        <v>352</v>
      </c>
      <c r="I70" s="15" t="s">
        <v>353</v>
      </c>
      <c r="J70" s="17">
        <v>500000</v>
      </c>
      <c r="K70" s="15" t="s">
        <v>299</v>
      </c>
      <c r="L70" s="15" t="s">
        <v>300</v>
      </c>
      <c r="M70" s="15" t="s">
        <v>74</v>
      </c>
      <c r="N70" s="15" t="s">
        <v>301</v>
      </c>
      <c r="O70" s="15">
        <v>21</v>
      </c>
      <c r="P70" s="15" t="s">
        <v>354</v>
      </c>
      <c r="Q70" s="15" t="s">
        <v>355</v>
      </c>
      <c r="R70" s="15"/>
    </row>
    <row r="71" spans="1:18" x14ac:dyDescent="0.35">
      <c r="A71" s="15" t="s">
        <v>356</v>
      </c>
      <c r="B71" s="16">
        <v>45288</v>
      </c>
      <c r="C71" s="15" t="s">
        <v>298</v>
      </c>
      <c r="D71" s="15">
        <v>2023</v>
      </c>
      <c r="E71" s="15" t="s">
        <v>46</v>
      </c>
      <c r="F71" s="15" t="s">
        <v>131</v>
      </c>
      <c r="G71" s="15" t="s">
        <v>36</v>
      </c>
      <c r="H71" s="15" t="s">
        <v>357</v>
      </c>
      <c r="I71" s="15" t="s">
        <v>358</v>
      </c>
      <c r="J71" s="17">
        <v>2000000</v>
      </c>
      <c r="K71" s="15" t="s">
        <v>299</v>
      </c>
      <c r="L71" s="15" t="s">
        <v>300</v>
      </c>
      <c r="M71" s="15" t="s">
        <v>74</v>
      </c>
      <c r="N71" s="15" t="s">
        <v>301</v>
      </c>
      <c r="O71" s="15">
        <v>22</v>
      </c>
      <c r="P71" s="15" t="s">
        <v>359</v>
      </c>
      <c r="Q71" s="15" t="s">
        <v>360</v>
      </c>
      <c r="R71" s="15"/>
    </row>
    <row r="72" spans="1:18" x14ac:dyDescent="0.35">
      <c r="A72" s="15" t="s">
        <v>361</v>
      </c>
      <c r="B72" s="16">
        <v>45288</v>
      </c>
      <c r="C72" s="15" t="s">
        <v>298</v>
      </c>
      <c r="D72" s="15">
        <v>2023</v>
      </c>
      <c r="E72" s="15" t="s">
        <v>46</v>
      </c>
      <c r="F72" s="15" t="s">
        <v>131</v>
      </c>
      <c r="G72" s="15" t="s">
        <v>36</v>
      </c>
      <c r="H72" s="15" t="s">
        <v>362</v>
      </c>
      <c r="I72" s="15" t="s">
        <v>363</v>
      </c>
      <c r="J72" s="17">
        <v>2000000</v>
      </c>
      <c r="K72" s="15" t="s">
        <v>299</v>
      </c>
      <c r="L72" s="15" t="s">
        <v>300</v>
      </c>
      <c r="M72" s="15" t="s">
        <v>74</v>
      </c>
      <c r="N72" s="15" t="s">
        <v>301</v>
      </c>
      <c r="O72" s="15">
        <v>23</v>
      </c>
      <c r="P72" s="15" t="s">
        <v>359</v>
      </c>
      <c r="Q72" s="15" t="s">
        <v>364</v>
      </c>
      <c r="R72" s="15"/>
    </row>
    <row r="73" spans="1:18" x14ac:dyDescent="0.35">
      <c r="A73" s="15" t="s">
        <v>365</v>
      </c>
      <c r="B73" s="16">
        <v>45288</v>
      </c>
      <c r="C73" s="15" t="s">
        <v>298</v>
      </c>
      <c r="D73" s="15">
        <v>2023</v>
      </c>
      <c r="E73" s="15" t="s">
        <v>46</v>
      </c>
      <c r="F73" s="15" t="s">
        <v>131</v>
      </c>
      <c r="G73" s="15" t="s">
        <v>36</v>
      </c>
      <c r="H73" s="15" t="s">
        <v>132</v>
      </c>
      <c r="I73" s="15" t="s">
        <v>366</v>
      </c>
      <c r="J73" s="17">
        <v>2000000</v>
      </c>
      <c r="K73" s="15" t="s">
        <v>299</v>
      </c>
      <c r="L73" s="15" t="s">
        <v>300</v>
      </c>
      <c r="M73" s="15" t="s">
        <v>74</v>
      </c>
      <c r="N73" s="15" t="s">
        <v>301</v>
      </c>
      <c r="O73" s="15">
        <v>24</v>
      </c>
      <c r="P73" s="15" t="s">
        <v>359</v>
      </c>
      <c r="Q73" s="15" t="s">
        <v>367</v>
      </c>
      <c r="R73" s="15"/>
    </row>
    <row r="74" spans="1:18" x14ac:dyDescent="0.35">
      <c r="A74" s="15" t="s">
        <v>368</v>
      </c>
      <c r="B74" s="16">
        <v>45289</v>
      </c>
      <c r="C74" s="15" t="s">
        <v>298</v>
      </c>
      <c r="D74" s="15">
        <v>2023</v>
      </c>
      <c r="E74" s="15" t="s">
        <v>46</v>
      </c>
      <c r="F74" s="15" t="s">
        <v>131</v>
      </c>
      <c r="G74" s="15" t="s">
        <v>36</v>
      </c>
      <c r="H74" s="15" t="s">
        <v>369</v>
      </c>
      <c r="I74" s="15" t="s">
        <v>370</v>
      </c>
      <c r="J74" s="17">
        <v>500000</v>
      </c>
      <c r="K74" s="15" t="s">
        <v>299</v>
      </c>
      <c r="L74" s="15" t="s">
        <v>300</v>
      </c>
      <c r="M74" s="15" t="s">
        <v>74</v>
      </c>
      <c r="N74" s="15" t="s">
        <v>301</v>
      </c>
      <c r="O74" s="15">
        <v>25</v>
      </c>
      <c r="P74" s="15" t="s">
        <v>371</v>
      </c>
      <c r="Q74" s="15" t="s">
        <v>372</v>
      </c>
      <c r="R74" s="15"/>
    </row>
    <row r="75" spans="1:18" x14ac:dyDescent="0.35">
      <c r="A75" s="15" t="s">
        <v>373</v>
      </c>
      <c r="B75" s="16">
        <v>45289</v>
      </c>
      <c r="C75" s="15" t="s">
        <v>298</v>
      </c>
      <c r="D75" s="15">
        <v>2023</v>
      </c>
      <c r="E75" s="15" t="s">
        <v>46</v>
      </c>
      <c r="F75" s="15" t="s">
        <v>131</v>
      </c>
      <c r="G75" s="15" t="s">
        <v>36</v>
      </c>
      <c r="H75" s="15" t="s">
        <v>208</v>
      </c>
      <c r="I75" s="15" t="s">
        <v>257</v>
      </c>
      <c r="J75" s="17">
        <v>1490000</v>
      </c>
      <c r="K75" s="15" t="s">
        <v>299</v>
      </c>
      <c r="L75" s="15" t="s">
        <v>300</v>
      </c>
      <c r="M75" s="15" t="s">
        <v>74</v>
      </c>
      <c r="N75" s="15" t="s">
        <v>301</v>
      </c>
      <c r="O75" s="15">
        <v>26</v>
      </c>
      <c r="P75" s="15" t="s">
        <v>371</v>
      </c>
      <c r="Q75" s="15" t="s">
        <v>374</v>
      </c>
      <c r="R75" s="15"/>
    </row>
    <row r="76" spans="1:18" x14ac:dyDescent="0.35">
      <c r="A76" s="15" t="s">
        <v>375</v>
      </c>
      <c r="B76" s="16">
        <v>45289</v>
      </c>
      <c r="C76" s="15" t="s">
        <v>298</v>
      </c>
      <c r="D76" s="15">
        <v>2023</v>
      </c>
      <c r="E76" s="15" t="s">
        <v>46</v>
      </c>
      <c r="F76" s="15" t="s">
        <v>131</v>
      </c>
      <c r="G76" s="15" t="s">
        <v>36</v>
      </c>
      <c r="H76" s="15" t="s">
        <v>208</v>
      </c>
      <c r="I76" s="15" t="s">
        <v>257</v>
      </c>
      <c r="J76" s="17">
        <v>1490000</v>
      </c>
      <c r="K76" s="15" t="s">
        <v>299</v>
      </c>
      <c r="L76" s="15" t="s">
        <v>300</v>
      </c>
      <c r="M76" s="15" t="s">
        <v>74</v>
      </c>
      <c r="N76" s="15" t="s">
        <v>301</v>
      </c>
      <c r="O76" s="15">
        <v>27</v>
      </c>
      <c r="P76" s="15" t="s">
        <v>371</v>
      </c>
      <c r="Q76" s="15" t="s">
        <v>376</v>
      </c>
      <c r="R76" s="15"/>
    </row>
    <row r="77" spans="1:18" x14ac:dyDescent="0.35">
      <c r="A77" s="15" t="s">
        <v>377</v>
      </c>
      <c r="B77" s="16">
        <v>45289</v>
      </c>
      <c r="C77" s="15" t="s">
        <v>298</v>
      </c>
      <c r="D77" s="15">
        <v>2023</v>
      </c>
      <c r="E77" s="15" t="s">
        <v>46</v>
      </c>
      <c r="F77" s="15" t="s">
        <v>131</v>
      </c>
      <c r="G77" s="15" t="s">
        <v>36</v>
      </c>
      <c r="H77" s="15" t="s">
        <v>378</v>
      </c>
      <c r="I77" s="15" t="s">
        <v>379</v>
      </c>
      <c r="J77" s="17">
        <v>2000000</v>
      </c>
      <c r="K77" s="15" t="s">
        <v>299</v>
      </c>
      <c r="L77" s="15" t="s">
        <v>300</v>
      </c>
      <c r="M77" s="15" t="s">
        <v>74</v>
      </c>
      <c r="N77" s="15" t="s">
        <v>301</v>
      </c>
      <c r="O77" s="15">
        <v>28</v>
      </c>
      <c r="P77" s="15" t="s">
        <v>371</v>
      </c>
      <c r="Q77" s="15" t="s">
        <v>380</v>
      </c>
      <c r="R77" s="15"/>
    </row>
    <row r="78" spans="1:18" x14ac:dyDescent="0.35">
      <c r="A78" s="15" t="s">
        <v>381</v>
      </c>
      <c r="B78" s="16">
        <v>45290</v>
      </c>
      <c r="C78" s="15" t="s">
        <v>298</v>
      </c>
      <c r="D78" s="15">
        <v>2023</v>
      </c>
      <c r="E78" s="15" t="s">
        <v>46</v>
      </c>
      <c r="F78" s="15" t="s">
        <v>131</v>
      </c>
      <c r="G78" s="15" t="s">
        <v>36</v>
      </c>
      <c r="H78" s="15" t="s">
        <v>382</v>
      </c>
      <c r="I78" s="15" t="s">
        <v>383</v>
      </c>
      <c r="J78" s="17">
        <v>500000</v>
      </c>
      <c r="K78" s="15" t="s">
        <v>299</v>
      </c>
      <c r="L78" s="15" t="s">
        <v>300</v>
      </c>
      <c r="M78" s="15" t="s">
        <v>74</v>
      </c>
      <c r="N78" s="15" t="s">
        <v>301</v>
      </c>
      <c r="O78" s="15">
        <v>29</v>
      </c>
      <c r="P78" s="15" t="s">
        <v>384</v>
      </c>
      <c r="Q78" s="15" t="s">
        <v>385</v>
      </c>
      <c r="R78" s="15"/>
    </row>
    <row r="79" spans="1:18" x14ac:dyDescent="0.35">
      <c r="A79" s="15" t="s">
        <v>386</v>
      </c>
      <c r="B79" s="16">
        <v>45291</v>
      </c>
      <c r="C79" s="15" t="s">
        <v>298</v>
      </c>
      <c r="D79" s="15">
        <v>2023</v>
      </c>
      <c r="E79" s="15" t="s">
        <v>46</v>
      </c>
      <c r="F79" s="15" t="s">
        <v>131</v>
      </c>
      <c r="G79" s="15" t="s">
        <v>36</v>
      </c>
      <c r="H79" s="15" t="s">
        <v>387</v>
      </c>
      <c r="I79" s="15" t="s">
        <v>388</v>
      </c>
      <c r="J79" s="17">
        <v>500000</v>
      </c>
      <c r="K79" s="15" t="s">
        <v>299</v>
      </c>
      <c r="L79" s="15" t="s">
        <v>300</v>
      </c>
      <c r="M79" s="15" t="s">
        <v>74</v>
      </c>
      <c r="N79" s="15" t="s">
        <v>301</v>
      </c>
      <c r="O79" s="15">
        <v>30</v>
      </c>
      <c r="P79" s="15" t="s">
        <v>389</v>
      </c>
      <c r="Q79" s="15" t="s">
        <v>390</v>
      </c>
      <c r="R79" s="15"/>
    </row>
    <row r="80" spans="1:18" x14ac:dyDescent="0.35">
      <c r="A80" s="15" t="s">
        <v>391</v>
      </c>
      <c r="B80" s="16">
        <v>45292</v>
      </c>
      <c r="C80" s="15" t="s">
        <v>392</v>
      </c>
      <c r="D80" s="15">
        <v>2024</v>
      </c>
      <c r="E80" s="15" t="s">
        <v>46</v>
      </c>
      <c r="F80" s="15" t="s">
        <v>131</v>
      </c>
      <c r="G80" s="15" t="s">
        <v>29</v>
      </c>
      <c r="H80" s="15" t="s">
        <v>285</v>
      </c>
      <c r="I80" s="15" t="s">
        <v>286</v>
      </c>
      <c r="J80" s="17">
        <v>200000</v>
      </c>
      <c r="K80" s="15" t="s">
        <v>299</v>
      </c>
      <c r="L80" s="15" t="s">
        <v>300</v>
      </c>
      <c r="M80" s="15" t="s">
        <v>74</v>
      </c>
      <c r="N80" s="15" t="s">
        <v>393</v>
      </c>
      <c r="O80" s="15">
        <v>6</v>
      </c>
      <c r="P80" s="15" t="s">
        <v>394</v>
      </c>
      <c r="Q80" s="15" t="s">
        <v>395</v>
      </c>
      <c r="R80" s="15"/>
    </row>
    <row r="81" spans="1:18" x14ac:dyDescent="0.35">
      <c r="A81" s="15" t="s">
        <v>396</v>
      </c>
      <c r="B81" s="16">
        <v>45292</v>
      </c>
      <c r="C81" s="15" t="s">
        <v>392</v>
      </c>
      <c r="D81" s="15">
        <v>2024</v>
      </c>
      <c r="E81" s="15" t="s">
        <v>46</v>
      </c>
      <c r="F81" s="15" t="s">
        <v>131</v>
      </c>
      <c r="G81" s="15" t="s">
        <v>30</v>
      </c>
      <c r="H81" s="15" t="s">
        <v>397</v>
      </c>
      <c r="I81" s="15" t="s">
        <v>398</v>
      </c>
      <c r="J81" s="17">
        <v>200000</v>
      </c>
      <c r="K81" s="15" t="s">
        <v>299</v>
      </c>
      <c r="L81" s="15" t="s">
        <v>300</v>
      </c>
      <c r="M81" s="15" t="s">
        <v>74</v>
      </c>
      <c r="N81" s="15" t="s">
        <v>393</v>
      </c>
      <c r="O81" s="15">
        <v>7</v>
      </c>
      <c r="P81" s="15" t="s">
        <v>394</v>
      </c>
      <c r="Q81" s="15" t="s">
        <v>399</v>
      </c>
      <c r="R81" s="15"/>
    </row>
    <row r="82" spans="1:18" x14ac:dyDescent="0.35">
      <c r="A82" s="15" t="s">
        <v>400</v>
      </c>
      <c r="B82" s="16">
        <v>45293</v>
      </c>
      <c r="C82" s="15" t="s">
        <v>392</v>
      </c>
      <c r="D82" s="15">
        <v>2024</v>
      </c>
      <c r="E82" s="15" t="s">
        <v>46</v>
      </c>
      <c r="F82" s="15" t="s">
        <v>131</v>
      </c>
      <c r="G82" s="15" t="s">
        <v>29</v>
      </c>
      <c r="H82" s="15" t="s">
        <v>188</v>
      </c>
      <c r="I82" s="15" t="s">
        <v>189</v>
      </c>
      <c r="J82" s="17">
        <v>1000000</v>
      </c>
      <c r="K82" s="15" t="s">
        <v>299</v>
      </c>
      <c r="L82" s="15" t="s">
        <v>300</v>
      </c>
      <c r="M82" s="15" t="s">
        <v>74</v>
      </c>
      <c r="N82" s="15" t="s">
        <v>393</v>
      </c>
      <c r="O82" s="15">
        <v>8</v>
      </c>
      <c r="P82" s="15" t="s">
        <v>401</v>
      </c>
      <c r="Q82" s="15" t="s">
        <v>402</v>
      </c>
      <c r="R82" s="15"/>
    </row>
    <row r="83" spans="1:18" x14ac:dyDescent="0.35">
      <c r="A83" s="15" t="s">
        <v>403</v>
      </c>
      <c r="B83" s="16">
        <v>45294</v>
      </c>
      <c r="C83" s="15" t="s">
        <v>392</v>
      </c>
      <c r="D83" s="15">
        <v>2024</v>
      </c>
      <c r="E83" s="15" t="s">
        <v>46</v>
      </c>
      <c r="F83" s="15" t="s">
        <v>131</v>
      </c>
      <c r="G83" s="15" t="s">
        <v>30</v>
      </c>
      <c r="H83" s="15" t="s">
        <v>212</v>
      </c>
      <c r="I83" s="15" t="s">
        <v>213</v>
      </c>
      <c r="J83" s="17">
        <v>100000</v>
      </c>
      <c r="K83" s="15" t="s">
        <v>299</v>
      </c>
      <c r="L83" s="15" t="s">
        <v>300</v>
      </c>
      <c r="M83" s="15" t="s">
        <v>74</v>
      </c>
      <c r="N83" s="15" t="s">
        <v>393</v>
      </c>
      <c r="O83" s="15">
        <v>9</v>
      </c>
      <c r="P83" s="15" t="s">
        <v>404</v>
      </c>
      <c r="Q83" s="15" t="s">
        <v>405</v>
      </c>
      <c r="R83" s="15"/>
    </row>
    <row r="84" spans="1:18" x14ac:dyDescent="0.35">
      <c r="A84" s="15" t="s">
        <v>406</v>
      </c>
      <c r="B84" s="16">
        <v>45294</v>
      </c>
      <c r="C84" s="15" t="s">
        <v>392</v>
      </c>
      <c r="D84" s="15">
        <v>2024</v>
      </c>
      <c r="E84" s="15" t="s">
        <v>46</v>
      </c>
      <c r="F84" s="15" t="s">
        <v>131</v>
      </c>
      <c r="G84" s="15" t="s">
        <v>30</v>
      </c>
      <c r="H84" s="15" t="s">
        <v>212</v>
      </c>
      <c r="I84" s="15" t="s">
        <v>213</v>
      </c>
      <c r="J84" s="17">
        <v>400000</v>
      </c>
      <c r="K84" s="15" t="s">
        <v>299</v>
      </c>
      <c r="L84" s="15" t="s">
        <v>300</v>
      </c>
      <c r="M84" s="15" t="s">
        <v>74</v>
      </c>
      <c r="N84" s="15" t="s">
        <v>393</v>
      </c>
      <c r="O84" s="15">
        <v>10</v>
      </c>
      <c r="P84" s="15" t="s">
        <v>404</v>
      </c>
      <c r="Q84" s="15" t="s">
        <v>407</v>
      </c>
      <c r="R84" s="15"/>
    </row>
    <row r="85" spans="1:18" x14ac:dyDescent="0.35">
      <c r="A85" s="15" t="s">
        <v>408</v>
      </c>
      <c r="B85" s="16">
        <v>45296</v>
      </c>
      <c r="C85" s="15" t="s">
        <v>392</v>
      </c>
      <c r="D85" s="15">
        <v>2024</v>
      </c>
      <c r="E85" s="15" t="s">
        <v>46</v>
      </c>
      <c r="F85" s="15" t="s">
        <v>131</v>
      </c>
      <c r="G85" s="15" t="s">
        <v>30</v>
      </c>
      <c r="H85" s="15" t="s">
        <v>409</v>
      </c>
      <c r="I85" s="15" t="s">
        <v>410</v>
      </c>
      <c r="J85" s="17">
        <v>1500000</v>
      </c>
      <c r="K85" s="15" t="s">
        <v>299</v>
      </c>
      <c r="L85" s="15" t="s">
        <v>300</v>
      </c>
      <c r="M85" s="15" t="s">
        <v>74</v>
      </c>
      <c r="N85" s="15" t="s">
        <v>393</v>
      </c>
      <c r="O85" s="15">
        <v>11</v>
      </c>
      <c r="P85" s="15" t="s">
        <v>411</v>
      </c>
      <c r="Q85" s="15" t="s">
        <v>412</v>
      </c>
      <c r="R85" s="15"/>
    </row>
    <row r="86" spans="1:18" x14ac:dyDescent="0.35">
      <c r="A86" s="15" t="s">
        <v>413</v>
      </c>
      <c r="B86" s="16">
        <v>45306</v>
      </c>
      <c r="C86" s="15" t="s">
        <v>392</v>
      </c>
      <c r="D86" s="15">
        <v>2024</v>
      </c>
      <c r="E86" s="15" t="s">
        <v>46</v>
      </c>
      <c r="F86" s="15" t="s">
        <v>131</v>
      </c>
      <c r="G86" s="15" t="s">
        <v>30</v>
      </c>
      <c r="H86" s="15" t="s">
        <v>414</v>
      </c>
      <c r="I86" s="15" t="s">
        <v>415</v>
      </c>
      <c r="J86" s="17">
        <v>1000000</v>
      </c>
      <c r="K86" s="15" t="s">
        <v>299</v>
      </c>
      <c r="L86" s="15" t="s">
        <v>300</v>
      </c>
      <c r="M86" s="15" t="s">
        <v>74</v>
      </c>
      <c r="N86" s="15" t="s">
        <v>393</v>
      </c>
      <c r="O86" s="15">
        <v>12</v>
      </c>
      <c r="P86" s="15" t="s">
        <v>416</v>
      </c>
      <c r="Q86" s="15" t="s">
        <v>417</v>
      </c>
      <c r="R86" s="15"/>
    </row>
    <row r="87" spans="1:18" x14ac:dyDescent="0.35">
      <c r="A87" s="15" t="s">
        <v>418</v>
      </c>
      <c r="B87" s="16">
        <v>45308</v>
      </c>
      <c r="C87" s="15" t="s">
        <v>392</v>
      </c>
      <c r="D87" s="15">
        <v>2024</v>
      </c>
      <c r="E87" s="15" t="s">
        <v>46</v>
      </c>
      <c r="F87" s="15" t="s">
        <v>131</v>
      </c>
      <c r="G87" s="15" t="s">
        <v>30</v>
      </c>
      <c r="H87" s="15" t="s">
        <v>196</v>
      </c>
      <c r="I87" s="15" t="s">
        <v>197</v>
      </c>
      <c r="J87" s="17">
        <v>250000</v>
      </c>
      <c r="K87" s="15" t="s">
        <v>299</v>
      </c>
      <c r="L87" s="15" t="s">
        <v>300</v>
      </c>
      <c r="M87" s="15" t="s">
        <v>74</v>
      </c>
      <c r="N87" s="15" t="s">
        <v>393</v>
      </c>
      <c r="O87" s="15">
        <v>13</v>
      </c>
      <c r="P87" s="15" t="s">
        <v>419</v>
      </c>
      <c r="Q87" s="15" t="s">
        <v>420</v>
      </c>
      <c r="R87" s="15"/>
    </row>
    <row r="88" spans="1:18" x14ac:dyDescent="0.35">
      <c r="A88" s="15" t="s">
        <v>421</v>
      </c>
      <c r="B88" s="16">
        <v>45308</v>
      </c>
      <c r="C88" s="15" t="s">
        <v>392</v>
      </c>
      <c r="D88" s="15">
        <v>2024</v>
      </c>
      <c r="E88" s="15" t="s">
        <v>46</v>
      </c>
      <c r="F88" s="15" t="s">
        <v>131</v>
      </c>
      <c r="G88" s="15" t="s">
        <v>29</v>
      </c>
      <c r="H88" s="15" t="s">
        <v>188</v>
      </c>
      <c r="I88" s="15" t="s">
        <v>189</v>
      </c>
      <c r="J88" s="17">
        <v>800000</v>
      </c>
      <c r="K88" s="15" t="s">
        <v>299</v>
      </c>
      <c r="L88" s="15" t="s">
        <v>300</v>
      </c>
      <c r="M88" s="15" t="s">
        <v>74</v>
      </c>
      <c r="N88" s="15" t="s">
        <v>393</v>
      </c>
      <c r="O88" s="15">
        <v>14</v>
      </c>
      <c r="P88" s="15" t="s">
        <v>419</v>
      </c>
      <c r="Q88" s="15" t="s">
        <v>422</v>
      </c>
      <c r="R88" s="15"/>
    </row>
    <row r="89" spans="1:18" x14ac:dyDescent="0.35">
      <c r="A89" s="15" t="s">
        <v>423</v>
      </c>
      <c r="B89" s="16">
        <v>45309</v>
      </c>
      <c r="C89" s="15" t="s">
        <v>392</v>
      </c>
      <c r="D89" s="15">
        <v>2024</v>
      </c>
      <c r="E89" s="15" t="s">
        <v>46</v>
      </c>
      <c r="F89" s="15" t="s">
        <v>131</v>
      </c>
      <c r="G89" s="15" t="s">
        <v>29</v>
      </c>
      <c r="H89" s="15" t="s">
        <v>414</v>
      </c>
      <c r="I89" s="15" t="s">
        <v>415</v>
      </c>
      <c r="J89" s="17">
        <v>500000</v>
      </c>
      <c r="K89" s="15" t="s">
        <v>299</v>
      </c>
      <c r="L89" s="15" t="s">
        <v>300</v>
      </c>
      <c r="M89" s="15" t="s">
        <v>74</v>
      </c>
      <c r="N89" s="15" t="s">
        <v>393</v>
      </c>
      <c r="O89" s="15">
        <v>15</v>
      </c>
      <c r="P89" s="15" t="s">
        <v>424</v>
      </c>
      <c r="Q89" s="15" t="s">
        <v>425</v>
      </c>
      <c r="R89" s="15"/>
    </row>
    <row r="90" spans="1:18" x14ac:dyDescent="0.35">
      <c r="A90" s="15" t="s">
        <v>426</v>
      </c>
      <c r="B90" s="16">
        <v>45309</v>
      </c>
      <c r="C90" s="15" t="s">
        <v>392</v>
      </c>
      <c r="D90" s="15">
        <v>2024</v>
      </c>
      <c r="E90" s="15" t="s">
        <v>46</v>
      </c>
      <c r="F90" s="15" t="s">
        <v>131</v>
      </c>
      <c r="G90" s="15" t="s">
        <v>29</v>
      </c>
      <c r="H90" s="15" t="s">
        <v>337</v>
      </c>
      <c r="I90" s="15" t="s">
        <v>338</v>
      </c>
      <c r="J90" s="17">
        <v>500000</v>
      </c>
      <c r="K90" s="15" t="s">
        <v>299</v>
      </c>
      <c r="L90" s="15" t="s">
        <v>300</v>
      </c>
      <c r="M90" s="15" t="s">
        <v>74</v>
      </c>
      <c r="N90" s="15" t="s">
        <v>393</v>
      </c>
      <c r="O90" s="15">
        <v>16</v>
      </c>
      <c r="P90" s="15" t="s">
        <v>424</v>
      </c>
      <c r="Q90" s="15" t="s">
        <v>427</v>
      </c>
      <c r="R90" s="15"/>
    </row>
    <row r="91" spans="1:18" x14ac:dyDescent="0.35">
      <c r="A91" s="15" t="s">
        <v>428</v>
      </c>
      <c r="B91" s="16">
        <v>45314</v>
      </c>
      <c r="C91" s="15" t="s">
        <v>392</v>
      </c>
      <c r="D91" s="15">
        <v>2024</v>
      </c>
      <c r="E91" s="15" t="s">
        <v>46</v>
      </c>
      <c r="F91" s="15" t="s">
        <v>131</v>
      </c>
      <c r="G91" s="15" t="s">
        <v>29</v>
      </c>
      <c r="H91" s="15" t="s">
        <v>271</v>
      </c>
      <c r="I91" s="15" t="s">
        <v>272</v>
      </c>
      <c r="J91" s="17">
        <v>900000</v>
      </c>
      <c r="K91" s="15" t="s">
        <v>299</v>
      </c>
      <c r="L91" s="15" t="s">
        <v>300</v>
      </c>
      <c r="M91" s="15" t="s">
        <v>74</v>
      </c>
      <c r="N91" s="15" t="s">
        <v>393</v>
      </c>
      <c r="O91" s="15">
        <v>17</v>
      </c>
      <c r="P91" s="15" t="s">
        <v>429</v>
      </c>
      <c r="Q91" s="15" t="s">
        <v>430</v>
      </c>
      <c r="R91" s="15"/>
    </row>
    <row r="92" spans="1:18" x14ac:dyDescent="0.35">
      <c r="A92" s="15" t="s">
        <v>431</v>
      </c>
      <c r="B92" s="16">
        <v>45315</v>
      </c>
      <c r="C92" s="15" t="s">
        <v>392</v>
      </c>
      <c r="D92" s="15">
        <v>2024</v>
      </c>
      <c r="E92" s="15" t="s">
        <v>46</v>
      </c>
      <c r="F92" s="15" t="s">
        <v>131</v>
      </c>
      <c r="G92" s="15" t="s">
        <v>29</v>
      </c>
      <c r="H92" s="15" t="s">
        <v>387</v>
      </c>
      <c r="I92" s="15" t="s">
        <v>388</v>
      </c>
      <c r="J92" s="17">
        <v>4000000</v>
      </c>
      <c r="K92" s="15" t="s">
        <v>299</v>
      </c>
      <c r="L92" s="15" t="s">
        <v>300</v>
      </c>
      <c r="M92" s="15" t="s">
        <v>74</v>
      </c>
      <c r="N92" s="15" t="s">
        <v>393</v>
      </c>
      <c r="O92" s="15">
        <v>18</v>
      </c>
      <c r="P92" s="15" t="s">
        <v>432</v>
      </c>
      <c r="Q92" s="15" t="s">
        <v>433</v>
      </c>
      <c r="R92" s="15"/>
    </row>
    <row r="93" spans="1:18" x14ac:dyDescent="0.35">
      <c r="A93" s="15" t="s">
        <v>434</v>
      </c>
      <c r="B93" s="16">
        <v>45315</v>
      </c>
      <c r="C93" s="15" t="s">
        <v>392</v>
      </c>
      <c r="D93" s="15">
        <v>2024</v>
      </c>
      <c r="E93" s="15" t="s">
        <v>46</v>
      </c>
      <c r="F93" s="15" t="s">
        <v>131</v>
      </c>
      <c r="G93" s="15" t="s">
        <v>29</v>
      </c>
      <c r="H93" s="15" t="s">
        <v>285</v>
      </c>
      <c r="I93" s="15" t="s">
        <v>286</v>
      </c>
      <c r="J93" s="17">
        <v>200000</v>
      </c>
      <c r="K93" s="15" t="s">
        <v>299</v>
      </c>
      <c r="L93" s="15" t="s">
        <v>300</v>
      </c>
      <c r="M93" s="15" t="s">
        <v>74</v>
      </c>
      <c r="N93" s="15" t="s">
        <v>393</v>
      </c>
      <c r="O93" s="15">
        <v>19</v>
      </c>
      <c r="P93" s="15" t="s">
        <v>432</v>
      </c>
      <c r="Q93" s="15" t="s">
        <v>435</v>
      </c>
      <c r="R93" s="15"/>
    </row>
    <row r="94" spans="1:18" x14ac:dyDescent="0.35">
      <c r="A94" s="15" t="s">
        <v>436</v>
      </c>
      <c r="B94" s="16">
        <v>45315</v>
      </c>
      <c r="C94" s="15" t="s">
        <v>392</v>
      </c>
      <c r="D94" s="15">
        <v>2024</v>
      </c>
      <c r="E94" s="15" t="s">
        <v>46</v>
      </c>
      <c r="F94" s="15" t="s">
        <v>131</v>
      </c>
      <c r="G94" s="15" t="s">
        <v>29</v>
      </c>
      <c r="H94" s="15" t="s">
        <v>369</v>
      </c>
      <c r="I94" s="15" t="s">
        <v>370</v>
      </c>
      <c r="J94" s="17">
        <v>740000</v>
      </c>
      <c r="K94" s="15" t="s">
        <v>299</v>
      </c>
      <c r="L94" s="15" t="s">
        <v>300</v>
      </c>
      <c r="M94" s="15" t="s">
        <v>74</v>
      </c>
      <c r="N94" s="15" t="s">
        <v>393</v>
      </c>
      <c r="O94" s="15">
        <v>20</v>
      </c>
      <c r="P94" s="15" t="s">
        <v>432</v>
      </c>
      <c r="Q94" s="15" t="s">
        <v>437</v>
      </c>
      <c r="R94" s="15"/>
    </row>
    <row r="95" spans="1:18" x14ac:dyDescent="0.35">
      <c r="A95" s="15" t="s">
        <v>438</v>
      </c>
      <c r="B95" s="16">
        <v>45315</v>
      </c>
      <c r="C95" s="15" t="s">
        <v>392</v>
      </c>
      <c r="D95" s="15">
        <v>2024</v>
      </c>
      <c r="E95" s="15" t="s">
        <v>46</v>
      </c>
      <c r="F95" s="15" t="s">
        <v>131</v>
      </c>
      <c r="G95" s="15" t="s">
        <v>29</v>
      </c>
      <c r="H95" s="15" t="s">
        <v>378</v>
      </c>
      <c r="I95" s="15" t="s">
        <v>379</v>
      </c>
      <c r="J95" s="17">
        <v>1000000</v>
      </c>
      <c r="K95" s="15" t="s">
        <v>299</v>
      </c>
      <c r="L95" s="15" t="s">
        <v>300</v>
      </c>
      <c r="M95" s="15" t="s">
        <v>74</v>
      </c>
      <c r="N95" s="15" t="s">
        <v>393</v>
      </c>
      <c r="O95" s="15">
        <v>21</v>
      </c>
      <c r="P95" s="15" t="s">
        <v>432</v>
      </c>
      <c r="Q95" s="15" t="s">
        <v>439</v>
      </c>
      <c r="R95" s="15"/>
    </row>
    <row r="96" spans="1:18" x14ac:dyDescent="0.35">
      <c r="A96" s="15" t="s">
        <v>440</v>
      </c>
      <c r="B96" s="16">
        <v>45317</v>
      </c>
      <c r="C96" s="15" t="s">
        <v>392</v>
      </c>
      <c r="D96" s="15">
        <v>2024</v>
      </c>
      <c r="E96" s="15" t="s">
        <v>46</v>
      </c>
      <c r="F96" s="15" t="s">
        <v>131</v>
      </c>
      <c r="G96" s="15" t="s">
        <v>29</v>
      </c>
      <c r="H96" s="15" t="s">
        <v>352</v>
      </c>
      <c r="I96" s="15" t="s">
        <v>353</v>
      </c>
      <c r="J96" s="17">
        <v>1000000</v>
      </c>
      <c r="K96" s="15" t="s">
        <v>299</v>
      </c>
      <c r="L96" s="15" t="s">
        <v>300</v>
      </c>
      <c r="M96" s="15" t="s">
        <v>74</v>
      </c>
      <c r="N96" s="15" t="s">
        <v>393</v>
      </c>
      <c r="O96" s="15">
        <v>22</v>
      </c>
      <c r="P96" s="15" t="s">
        <v>441</v>
      </c>
      <c r="Q96" s="15" t="s">
        <v>442</v>
      </c>
      <c r="R96" s="15"/>
    </row>
    <row r="97" spans="1:18" x14ac:dyDescent="0.35">
      <c r="A97" s="15" t="s">
        <v>443</v>
      </c>
      <c r="B97" s="16">
        <v>45317</v>
      </c>
      <c r="C97" s="15" t="s">
        <v>392</v>
      </c>
      <c r="D97" s="15">
        <v>2024</v>
      </c>
      <c r="E97" s="15" t="s">
        <v>46</v>
      </c>
      <c r="F97" s="15" t="s">
        <v>131</v>
      </c>
      <c r="G97" s="15" t="s">
        <v>30</v>
      </c>
      <c r="H97" s="15" t="s">
        <v>414</v>
      </c>
      <c r="I97" s="15" t="s">
        <v>415</v>
      </c>
      <c r="J97" s="17">
        <v>500000</v>
      </c>
      <c r="K97" s="15" t="s">
        <v>299</v>
      </c>
      <c r="L97" s="15" t="s">
        <v>300</v>
      </c>
      <c r="M97" s="15" t="s">
        <v>74</v>
      </c>
      <c r="N97" s="15" t="s">
        <v>393</v>
      </c>
      <c r="O97" s="15">
        <v>23</v>
      </c>
      <c r="P97" s="15" t="s">
        <v>441</v>
      </c>
      <c r="Q97" s="15" t="s">
        <v>444</v>
      </c>
      <c r="R97" s="15"/>
    </row>
    <row r="98" spans="1:18" x14ac:dyDescent="0.35">
      <c r="A98" s="15" t="s">
        <v>445</v>
      </c>
      <c r="B98" s="16">
        <v>45320</v>
      </c>
      <c r="C98" s="15" t="s">
        <v>392</v>
      </c>
      <c r="D98" s="15">
        <v>2024</v>
      </c>
      <c r="E98" s="15" t="s">
        <v>46</v>
      </c>
      <c r="F98" s="15" t="s">
        <v>131</v>
      </c>
      <c r="G98" s="15" t="s">
        <v>29</v>
      </c>
      <c r="H98" s="15" t="s">
        <v>357</v>
      </c>
      <c r="I98" s="15" t="s">
        <v>358</v>
      </c>
      <c r="J98" s="17">
        <v>3000000</v>
      </c>
      <c r="K98" s="15" t="s">
        <v>299</v>
      </c>
      <c r="L98" s="15" t="s">
        <v>300</v>
      </c>
      <c r="M98" s="15" t="s">
        <v>74</v>
      </c>
      <c r="N98" s="15" t="s">
        <v>393</v>
      </c>
      <c r="O98" s="15">
        <v>24</v>
      </c>
      <c r="P98" s="15" t="s">
        <v>446</v>
      </c>
      <c r="Q98" s="15" t="s">
        <v>447</v>
      </c>
      <c r="R98" s="15"/>
    </row>
    <row r="99" spans="1:18" x14ac:dyDescent="0.35">
      <c r="A99" s="15" t="s">
        <v>448</v>
      </c>
      <c r="B99" s="16">
        <v>45320</v>
      </c>
      <c r="C99" s="15" t="s">
        <v>392</v>
      </c>
      <c r="D99" s="15">
        <v>2024</v>
      </c>
      <c r="E99" s="15" t="s">
        <v>46</v>
      </c>
      <c r="F99" s="15" t="s">
        <v>131</v>
      </c>
      <c r="G99" s="15" t="s">
        <v>29</v>
      </c>
      <c r="H99" s="15" t="s">
        <v>362</v>
      </c>
      <c r="I99" s="15" t="s">
        <v>363</v>
      </c>
      <c r="J99" s="17">
        <v>3000000</v>
      </c>
      <c r="K99" s="15" t="s">
        <v>299</v>
      </c>
      <c r="L99" s="15" t="s">
        <v>300</v>
      </c>
      <c r="M99" s="15" t="s">
        <v>74</v>
      </c>
      <c r="N99" s="15" t="s">
        <v>393</v>
      </c>
      <c r="O99" s="15">
        <v>25</v>
      </c>
      <c r="P99" s="15" t="s">
        <v>446</v>
      </c>
      <c r="Q99" s="15" t="s">
        <v>449</v>
      </c>
      <c r="R99" s="15"/>
    </row>
    <row r="100" spans="1:18" x14ac:dyDescent="0.35">
      <c r="A100" s="15" t="s">
        <v>450</v>
      </c>
      <c r="B100" s="16">
        <v>45320</v>
      </c>
      <c r="C100" s="15" t="s">
        <v>392</v>
      </c>
      <c r="D100" s="15">
        <v>2024</v>
      </c>
      <c r="E100" s="15" t="s">
        <v>46</v>
      </c>
      <c r="F100" s="15" t="s">
        <v>131</v>
      </c>
      <c r="G100" s="15" t="s">
        <v>30</v>
      </c>
      <c r="H100" s="15" t="s">
        <v>414</v>
      </c>
      <c r="I100" s="15" t="s">
        <v>415</v>
      </c>
      <c r="J100" s="17">
        <v>500000</v>
      </c>
      <c r="K100" s="15" t="s">
        <v>299</v>
      </c>
      <c r="L100" s="15" t="s">
        <v>300</v>
      </c>
      <c r="M100" s="15" t="s">
        <v>74</v>
      </c>
      <c r="N100" s="15" t="s">
        <v>393</v>
      </c>
      <c r="O100" s="15">
        <v>26</v>
      </c>
      <c r="P100" s="15" t="s">
        <v>446</v>
      </c>
      <c r="Q100" s="15" t="s">
        <v>451</v>
      </c>
      <c r="R100" s="15"/>
    </row>
    <row r="101" spans="1:18" x14ac:dyDescent="0.35">
      <c r="A101" s="15" t="s">
        <v>452</v>
      </c>
      <c r="B101" s="16">
        <v>45320</v>
      </c>
      <c r="C101" s="15" t="s">
        <v>392</v>
      </c>
      <c r="D101" s="15">
        <v>2024</v>
      </c>
      <c r="E101" s="15" t="s">
        <v>46</v>
      </c>
      <c r="F101" s="15" t="s">
        <v>131</v>
      </c>
      <c r="G101" s="15" t="s">
        <v>29</v>
      </c>
      <c r="H101" s="15" t="s">
        <v>208</v>
      </c>
      <c r="I101" s="15" t="s">
        <v>257</v>
      </c>
      <c r="J101" s="17">
        <v>1500000</v>
      </c>
      <c r="K101" s="15" t="s">
        <v>299</v>
      </c>
      <c r="L101" s="15" t="s">
        <v>300</v>
      </c>
      <c r="M101" s="15" t="s">
        <v>74</v>
      </c>
      <c r="N101" s="15" t="s">
        <v>393</v>
      </c>
      <c r="O101" s="15">
        <v>27</v>
      </c>
      <c r="P101" s="15" t="s">
        <v>446</v>
      </c>
      <c r="Q101" s="15" t="s">
        <v>453</v>
      </c>
      <c r="R101" s="15"/>
    </row>
    <row r="102" spans="1:18" x14ac:dyDescent="0.35">
      <c r="A102" s="15" t="s">
        <v>454</v>
      </c>
      <c r="B102" s="16">
        <v>45322</v>
      </c>
      <c r="C102" s="15" t="s">
        <v>392</v>
      </c>
      <c r="D102" s="15">
        <v>2024</v>
      </c>
      <c r="E102" s="15" t="s">
        <v>46</v>
      </c>
      <c r="F102" s="15" t="s">
        <v>131</v>
      </c>
      <c r="G102" s="15" t="s">
        <v>29</v>
      </c>
      <c r="H102" s="15" t="s">
        <v>132</v>
      </c>
      <c r="I102" s="15" t="s">
        <v>366</v>
      </c>
      <c r="J102" s="17">
        <v>894000</v>
      </c>
      <c r="K102" s="15" t="s">
        <v>299</v>
      </c>
      <c r="L102" s="15" t="s">
        <v>300</v>
      </c>
      <c r="M102" s="15" t="s">
        <v>74</v>
      </c>
      <c r="N102" s="15" t="s">
        <v>393</v>
      </c>
      <c r="O102" s="15">
        <v>28</v>
      </c>
      <c r="P102" s="15" t="s">
        <v>455</v>
      </c>
      <c r="Q102" s="15" t="s">
        <v>456</v>
      </c>
      <c r="R102" s="15"/>
    </row>
    <row r="103" spans="1:18" x14ac:dyDescent="0.35">
      <c r="A103" s="15" t="s">
        <v>457</v>
      </c>
      <c r="B103" s="16">
        <v>45322</v>
      </c>
      <c r="C103" s="15" t="s">
        <v>392</v>
      </c>
      <c r="D103" s="15">
        <v>2024</v>
      </c>
      <c r="E103" s="15" t="s">
        <v>46</v>
      </c>
      <c r="F103" s="15" t="s">
        <v>131</v>
      </c>
      <c r="G103" s="15" t="s">
        <v>29</v>
      </c>
      <c r="H103" s="15" t="s">
        <v>382</v>
      </c>
      <c r="I103" s="15" t="s">
        <v>383</v>
      </c>
      <c r="J103" s="17">
        <v>400000</v>
      </c>
      <c r="K103" s="15" t="s">
        <v>299</v>
      </c>
      <c r="L103" s="15" t="s">
        <v>300</v>
      </c>
      <c r="M103" s="15" t="s">
        <v>74</v>
      </c>
      <c r="N103" s="15" t="s">
        <v>393</v>
      </c>
      <c r="O103" s="15">
        <v>29</v>
      </c>
      <c r="P103" s="15" t="s">
        <v>455</v>
      </c>
      <c r="Q103" s="15" t="s">
        <v>458</v>
      </c>
      <c r="R103" s="15"/>
    </row>
    <row r="104" spans="1:18" x14ac:dyDescent="0.35">
      <c r="A104" s="15" t="s">
        <v>459</v>
      </c>
      <c r="B104" s="16">
        <v>45323</v>
      </c>
      <c r="C104" s="15" t="s">
        <v>460</v>
      </c>
      <c r="D104" s="15">
        <v>2024</v>
      </c>
      <c r="E104" s="15" t="s">
        <v>46</v>
      </c>
      <c r="F104" s="15" t="s">
        <v>131</v>
      </c>
      <c r="G104" s="15" t="s">
        <v>31</v>
      </c>
      <c r="H104" s="15" t="s">
        <v>409</v>
      </c>
      <c r="I104" s="15" t="s">
        <v>410</v>
      </c>
      <c r="J104" s="17">
        <v>200000</v>
      </c>
      <c r="K104" s="15" t="s">
        <v>299</v>
      </c>
      <c r="L104" s="15" t="s">
        <v>300</v>
      </c>
      <c r="M104" s="15" t="s">
        <v>74</v>
      </c>
      <c r="N104" s="15" t="s">
        <v>461</v>
      </c>
      <c r="O104" s="15">
        <v>6</v>
      </c>
      <c r="P104" s="15" t="s">
        <v>462</v>
      </c>
      <c r="Q104" s="15" t="s">
        <v>463</v>
      </c>
      <c r="R104" s="15"/>
    </row>
    <row r="105" spans="1:18" x14ac:dyDescent="0.35">
      <c r="A105" s="15" t="s">
        <v>464</v>
      </c>
      <c r="B105" s="16">
        <v>45323</v>
      </c>
      <c r="C105" s="15" t="s">
        <v>460</v>
      </c>
      <c r="D105" s="15">
        <v>2024</v>
      </c>
      <c r="E105" s="15" t="s">
        <v>46</v>
      </c>
      <c r="F105" s="15" t="s">
        <v>131</v>
      </c>
      <c r="G105" s="15" t="s">
        <v>29</v>
      </c>
      <c r="H105" s="15" t="s">
        <v>382</v>
      </c>
      <c r="I105" s="15" t="s">
        <v>383</v>
      </c>
      <c r="J105" s="17">
        <v>450000</v>
      </c>
      <c r="K105" s="15" t="s">
        <v>299</v>
      </c>
      <c r="L105" s="15" t="s">
        <v>300</v>
      </c>
      <c r="M105" s="15" t="s">
        <v>74</v>
      </c>
      <c r="N105" s="15" t="s">
        <v>461</v>
      </c>
      <c r="O105" s="15">
        <v>7</v>
      </c>
      <c r="P105" s="15" t="s">
        <v>462</v>
      </c>
      <c r="Q105" s="15" t="s">
        <v>465</v>
      </c>
      <c r="R105" s="15"/>
    </row>
    <row r="106" spans="1:18" x14ac:dyDescent="0.35">
      <c r="A106" s="15" t="s">
        <v>466</v>
      </c>
      <c r="B106" s="16">
        <v>45323</v>
      </c>
      <c r="C106" s="15" t="s">
        <v>460</v>
      </c>
      <c r="D106" s="15">
        <v>2024</v>
      </c>
      <c r="E106" s="15" t="s">
        <v>46</v>
      </c>
      <c r="F106" s="15" t="s">
        <v>131</v>
      </c>
      <c r="G106" s="15" t="s">
        <v>31</v>
      </c>
      <c r="H106" s="15" t="s">
        <v>397</v>
      </c>
      <c r="I106" s="15" t="s">
        <v>398</v>
      </c>
      <c r="J106" s="17">
        <v>200000</v>
      </c>
      <c r="K106" s="15" t="s">
        <v>299</v>
      </c>
      <c r="L106" s="15" t="s">
        <v>300</v>
      </c>
      <c r="M106" s="15" t="s">
        <v>74</v>
      </c>
      <c r="N106" s="15" t="s">
        <v>461</v>
      </c>
      <c r="O106" s="15">
        <v>8</v>
      </c>
      <c r="P106" s="15" t="s">
        <v>462</v>
      </c>
      <c r="Q106" s="15" t="s">
        <v>467</v>
      </c>
      <c r="R106" s="15"/>
    </row>
    <row r="107" spans="1:18" x14ac:dyDescent="0.35">
      <c r="A107" s="15" t="s">
        <v>468</v>
      </c>
      <c r="B107" s="16">
        <v>45324</v>
      </c>
      <c r="C107" s="15" t="s">
        <v>460</v>
      </c>
      <c r="D107" s="15">
        <v>2024</v>
      </c>
      <c r="E107" s="15" t="s">
        <v>46</v>
      </c>
      <c r="F107" s="15" t="s">
        <v>131</v>
      </c>
      <c r="G107" s="15" t="s">
        <v>29</v>
      </c>
      <c r="H107" s="15" t="s">
        <v>469</v>
      </c>
      <c r="I107" s="15" t="s">
        <v>470</v>
      </c>
      <c r="J107" s="17">
        <v>4500000</v>
      </c>
      <c r="K107" s="15" t="s">
        <v>299</v>
      </c>
      <c r="L107" s="15" t="s">
        <v>300</v>
      </c>
      <c r="M107" s="15" t="s">
        <v>74</v>
      </c>
      <c r="N107" s="15" t="s">
        <v>461</v>
      </c>
      <c r="O107" s="15">
        <v>9</v>
      </c>
      <c r="P107" s="15" t="s">
        <v>471</v>
      </c>
      <c r="Q107" s="15" t="s">
        <v>472</v>
      </c>
      <c r="R107" s="15"/>
    </row>
    <row r="108" spans="1:18" x14ac:dyDescent="0.35">
      <c r="A108" s="15" t="s">
        <v>473</v>
      </c>
      <c r="B108" s="16">
        <v>45324</v>
      </c>
      <c r="C108" s="15" t="s">
        <v>460</v>
      </c>
      <c r="D108" s="15">
        <v>2024</v>
      </c>
      <c r="E108" s="15" t="s">
        <v>46</v>
      </c>
      <c r="F108" s="15" t="s">
        <v>131</v>
      </c>
      <c r="G108" s="15" t="s">
        <v>29</v>
      </c>
      <c r="H108" s="15" t="s">
        <v>414</v>
      </c>
      <c r="I108" s="15" t="s">
        <v>415</v>
      </c>
      <c r="J108" s="17">
        <v>500000</v>
      </c>
      <c r="K108" s="15" t="s">
        <v>299</v>
      </c>
      <c r="L108" s="15" t="s">
        <v>300</v>
      </c>
      <c r="M108" s="15" t="s">
        <v>74</v>
      </c>
      <c r="N108" s="15" t="s">
        <v>461</v>
      </c>
      <c r="O108" s="15">
        <v>10</v>
      </c>
      <c r="P108" s="15" t="s">
        <v>471</v>
      </c>
      <c r="Q108" s="15" t="s">
        <v>474</v>
      </c>
      <c r="R108" s="15"/>
    </row>
    <row r="109" spans="1:18" x14ac:dyDescent="0.35">
      <c r="A109" s="15" t="s">
        <v>475</v>
      </c>
      <c r="B109" s="16">
        <v>45324</v>
      </c>
      <c r="C109" s="15" t="s">
        <v>460</v>
      </c>
      <c r="D109" s="15">
        <v>2024</v>
      </c>
      <c r="E109" s="15" t="s">
        <v>46</v>
      </c>
      <c r="F109" s="15" t="s">
        <v>131</v>
      </c>
      <c r="G109" s="15" t="s">
        <v>29</v>
      </c>
      <c r="H109" s="15" t="s">
        <v>132</v>
      </c>
      <c r="I109" s="15" t="s">
        <v>366</v>
      </c>
      <c r="J109" s="17">
        <v>506000</v>
      </c>
      <c r="K109" s="15" t="s">
        <v>299</v>
      </c>
      <c r="L109" s="15" t="s">
        <v>300</v>
      </c>
      <c r="M109" s="15" t="s">
        <v>74</v>
      </c>
      <c r="N109" s="15" t="s">
        <v>461</v>
      </c>
      <c r="O109" s="15">
        <v>11</v>
      </c>
      <c r="P109" s="15" t="s">
        <v>471</v>
      </c>
      <c r="Q109" s="15" t="s">
        <v>476</v>
      </c>
      <c r="R109" s="15"/>
    </row>
    <row r="110" spans="1:18" x14ac:dyDescent="0.35">
      <c r="A110" s="15" t="s">
        <v>477</v>
      </c>
      <c r="B110" s="16">
        <v>45325</v>
      </c>
      <c r="C110" s="15" t="s">
        <v>460</v>
      </c>
      <c r="D110" s="15">
        <v>2024</v>
      </c>
      <c r="E110" s="15" t="s">
        <v>46</v>
      </c>
      <c r="F110" s="15" t="s">
        <v>131</v>
      </c>
      <c r="G110" s="15" t="s">
        <v>31</v>
      </c>
      <c r="H110" s="15" t="s">
        <v>478</v>
      </c>
      <c r="I110" s="15" t="s">
        <v>479</v>
      </c>
      <c r="J110" s="17">
        <v>1000000</v>
      </c>
      <c r="K110" s="15" t="s">
        <v>299</v>
      </c>
      <c r="L110" s="15" t="s">
        <v>300</v>
      </c>
      <c r="M110" s="15" t="s">
        <v>74</v>
      </c>
      <c r="N110" s="15" t="s">
        <v>461</v>
      </c>
      <c r="O110" s="15">
        <v>12</v>
      </c>
      <c r="P110" s="15" t="s">
        <v>480</v>
      </c>
      <c r="Q110" s="15" t="s">
        <v>481</v>
      </c>
      <c r="R110" s="15"/>
    </row>
    <row r="111" spans="1:18" x14ac:dyDescent="0.35">
      <c r="A111" s="15" t="s">
        <v>482</v>
      </c>
      <c r="B111" s="16">
        <v>45327</v>
      </c>
      <c r="C111" s="15" t="s">
        <v>460</v>
      </c>
      <c r="D111" s="15">
        <v>2024</v>
      </c>
      <c r="E111" s="15" t="s">
        <v>46</v>
      </c>
      <c r="F111" s="15" t="s">
        <v>131</v>
      </c>
      <c r="G111" s="15" t="s">
        <v>29</v>
      </c>
      <c r="H111" s="15" t="s">
        <v>238</v>
      </c>
      <c r="I111" s="15" t="s">
        <v>239</v>
      </c>
      <c r="J111" s="17">
        <v>10000000</v>
      </c>
      <c r="K111" s="15" t="s">
        <v>299</v>
      </c>
      <c r="L111" s="15" t="s">
        <v>300</v>
      </c>
      <c r="M111" s="15" t="s">
        <v>74</v>
      </c>
      <c r="N111" s="15" t="s">
        <v>461</v>
      </c>
      <c r="O111" s="15">
        <v>13</v>
      </c>
      <c r="P111" s="15" t="s">
        <v>483</v>
      </c>
      <c r="Q111" s="15" t="s">
        <v>484</v>
      </c>
      <c r="R111" s="15"/>
    </row>
    <row r="112" spans="1:18" x14ac:dyDescent="0.35">
      <c r="A112" s="15" t="s">
        <v>485</v>
      </c>
      <c r="B112" s="16">
        <v>45328</v>
      </c>
      <c r="C112" s="15" t="s">
        <v>460</v>
      </c>
      <c r="D112" s="15">
        <v>2024</v>
      </c>
      <c r="E112" s="15" t="s">
        <v>46</v>
      </c>
      <c r="F112" s="15" t="s">
        <v>131</v>
      </c>
      <c r="G112" s="15" t="s">
        <v>31</v>
      </c>
      <c r="H112" s="15" t="s">
        <v>486</v>
      </c>
      <c r="I112" s="15" t="s">
        <v>487</v>
      </c>
      <c r="J112" s="17">
        <v>500000</v>
      </c>
      <c r="K112" s="15" t="s">
        <v>299</v>
      </c>
      <c r="L112" s="15" t="s">
        <v>300</v>
      </c>
      <c r="M112" s="15" t="s">
        <v>74</v>
      </c>
      <c r="N112" s="15" t="s">
        <v>461</v>
      </c>
      <c r="O112" s="15">
        <v>14</v>
      </c>
      <c r="P112" s="15" t="s">
        <v>488</v>
      </c>
      <c r="Q112" s="15" t="s">
        <v>489</v>
      </c>
      <c r="R112" s="15"/>
    </row>
    <row r="113" spans="1:18" x14ac:dyDescent="0.35">
      <c r="A113" s="15" t="s">
        <v>490</v>
      </c>
      <c r="B113" s="16">
        <v>45328</v>
      </c>
      <c r="C113" s="15" t="s">
        <v>460</v>
      </c>
      <c r="D113" s="15">
        <v>2024</v>
      </c>
      <c r="E113" s="15" t="s">
        <v>46</v>
      </c>
      <c r="F113" s="15" t="s">
        <v>131</v>
      </c>
      <c r="G113" s="15" t="s">
        <v>29</v>
      </c>
      <c r="H113" s="15" t="s">
        <v>378</v>
      </c>
      <c r="I113" s="15" t="s">
        <v>379</v>
      </c>
      <c r="J113" s="17">
        <v>1000000</v>
      </c>
      <c r="K113" s="15" t="s">
        <v>299</v>
      </c>
      <c r="L113" s="15" t="s">
        <v>300</v>
      </c>
      <c r="M113" s="15" t="s">
        <v>74</v>
      </c>
      <c r="N113" s="15" t="s">
        <v>461</v>
      </c>
      <c r="O113" s="15">
        <v>15</v>
      </c>
      <c r="P113" s="15" t="s">
        <v>488</v>
      </c>
      <c r="Q113" s="15" t="s">
        <v>491</v>
      </c>
      <c r="R113" s="15"/>
    </row>
    <row r="114" spans="1:18" x14ac:dyDescent="0.35">
      <c r="A114" s="15" t="s">
        <v>492</v>
      </c>
      <c r="B114" s="16">
        <v>45328</v>
      </c>
      <c r="C114" s="15" t="s">
        <v>460</v>
      </c>
      <c r="D114" s="15">
        <v>2024</v>
      </c>
      <c r="E114" s="15" t="s">
        <v>46</v>
      </c>
      <c r="F114" s="15" t="s">
        <v>131</v>
      </c>
      <c r="G114" s="15" t="s">
        <v>31</v>
      </c>
      <c r="H114" s="15" t="s">
        <v>493</v>
      </c>
      <c r="I114" s="15" t="s">
        <v>494</v>
      </c>
      <c r="J114" s="17">
        <v>1800000</v>
      </c>
      <c r="K114" s="15" t="s">
        <v>299</v>
      </c>
      <c r="L114" s="15" t="s">
        <v>300</v>
      </c>
      <c r="M114" s="15" t="s">
        <v>74</v>
      </c>
      <c r="N114" s="15" t="s">
        <v>461</v>
      </c>
      <c r="O114" s="15">
        <v>16</v>
      </c>
      <c r="P114" s="15" t="s">
        <v>488</v>
      </c>
      <c r="Q114" s="15" t="s">
        <v>495</v>
      </c>
      <c r="R114" s="15"/>
    </row>
    <row r="115" spans="1:18" x14ac:dyDescent="0.35">
      <c r="A115" s="15" t="s">
        <v>496</v>
      </c>
      <c r="B115" s="16">
        <v>45331</v>
      </c>
      <c r="C115" s="15" t="s">
        <v>460</v>
      </c>
      <c r="D115" s="15">
        <v>2024</v>
      </c>
      <c r="E115" s="15" t="s">
        <v>46</v>
      </c>
      <c r="F115" s="15" t="s">
        <v>131</v>
      </c>
      <c r="G115" s="15" t="s">
        <v>29</v>
      </c>
      <c r="H115" s="15" t="s">
        <v>382</v>
      </c>
      <c r="I115" s="15" t="s">
        <v>497</v>
      </c>
      <c r="J115" s="17">
        <v>160000</v>
      </c>
      <c r="K115" s="15" t="s">
        <v>299</v>
      </c>
      <c r="L115" s="15" t="s">
        <v>300</v>
      </c>
      <c r="M115" s="15" t="s">
        <v>74</v>
      </c>
      <c r="N115" s="15" t="s">
        <v>461</v>
      </c>
      <c r="O115" s="15">
        <v>17</v>
      </c>
      <c r="P115" s="15" t="s">
        <v>498</v>
      </c>
      <c r="Q115" s="15" t="s">
        <v>499</v>
      </c>
      <c r="R115" s="15"/>
    </row>
    <row r="116" spans="1:18" x14ac:dyDescent="0.35">
      <c r="A116" s="15" t="s">
        <v>500</v>
      </c>
      <c r="B116" s="16">
        <v>45333</v>
      </c>
      <c r="C116" s="15" t="s">
        <v>460</v>
      </c>
      <c r="D116" s="15">
        <v>2024</v>
      </c>
      <c r="E116" s="15" t="s">
        <v>46</v>
      </c>
      <c r="F116" s="15" t="s">
        <v>131</v>
      </c>
      <c r="G116" s="15" t="s">
        <v>29</v>
      </c>
      <c r="H116" s="15" t="s">
        <v>132</v>
      </c>
      <c r="I116" s="15" t="s">
        <v>366</v>
      </c>
      <c r="J116" s="17">
        <v>1612600</v>
      </c>
      <c r="K116" s="15" t="s">
        <v>299</v>
      </c>
      <c r="L116" s="15" t="s">
        <v>300</v>
      </c>
      <c r="M116" s="15" t="s">
        <v>74</v>
      </c>
      <c r="N116" s="15" t="s">
        <v>461</v>
      </c>
      <c r="O116" s="15">
        <v>18</v>
      </c>
      <c r="P116" s="15" t="s">
        <v>501</v>
      </c>
      <c r="Q116" s="15" t="s">
        <v>502</v>
      </c>
      <c r="R116" s="15"/>
    </row>
    <row r="117" spans="1:18" x14ac:dyDescent="0.35">
      <c r="A117" s="15" t="s">
        <v>503</v>
      </c>
      <c r="B117" s="16">
        <v>45334</v>
      </c>
      <c r="C117" s="15" t="s">
        <v>460</v>
      </c>
      <c r="D117" s="15">
        <v>2024</v>
      </c>
      <c r="E117" s="15" t="s">
        <v>46</v>
      </c>
      <c r="F117" s="15" t="s">
        <v>131</v>
      </c>
      <c r="G117" s="15" t="s">
        <v>31</v>
      </c>
      <c r="H117" s="15" t="s">
        <v>140</v>
      </c>
      <c r="I117" s="15" t="s">
        <v>141</v>
      </c>
      <c r="J117" s="17">
        <v>1500000</v>
      </c>
      <c r="K117" s="15" t="s">
        <v>299</v>
      </c>
      <c r="L117" s="15" t="s">
        <v>300</v>
      </c>
      <c r="M117" s="15" t="s">
        <v>74</v>
      </c>
      <c r="N117" s="15" t="s">
        <v>461</v>
      </c>
      <c r="O117" s="15">
        <v>19</v>
      </c>
      <c r="P117" s="15" t="s">
        <v>504</v>
      </c>
      <c r="Q117" s="15" t="s">
        <v>505</v>
      </c>
      <c r="R117" s="15"/>
    </row>
    <row r="118" spans="1:18" x14ac:dyDescent="0.35">
      <c r="A118" s="15" t="s">
        <v>506</v>
      </c>
      <c r="B118" s="16">
        <v>45341</v>
      </c>
      <c r="C118" s="15" t="s">
        <v>460</v>
      </c>
      <c r="D118" s="15">
        <v>2024</v>
      </c>
      <c r="E118" s="15" t="s">
        <v>46</v>
      </c>
      <c r="F118" s="15" t="s">
        <v>131</v>
      </c>
      <c r="G118" s="15" t="s">
        <v>29</v>
      </c>
      <c r="H118" s="15" t="s">
        <v>387</v>
      </c>
      <c r="I118" s="15" t="s">
        <v>507</v>
      </c>
      <c r="J118" s="17">
        <v>540000</v>
      </c>
      <c r="K118" s="15" t="s">
        <v>299</v>
      </c>
      <c r="L118" s="15" t="s">
        <v>300</v>
      </c>
      <c r="M118" s="15" t="s">
        <v>74</v>
      </c>
      <c r="N118" s="15" t="s">
        <v>461</v>
      </c>
      <c r="O118" s="15">
        <v>20</v>
      </c>
      <c r="P118" s="15" t="s">
        <v>508</v>
      </c>
      <c r="Q118" s="15" t="s">
        <v>509</v>
      </c>
      <c r="R118" s="15"/>
    </row>
    <row r="119" spans="1:18" x14ac:dyDescent="0.35">
      <c r="A119" s="15" t="s">
        <v>510</v>
      </c>
      <c r="B119" s="16">
        <v>45341</v>
      </c>
      <c r="C119" s="15" t="s">
        <v>460</v>
      </c>
      <c r="D119" s="15">
        <v>2024</v>
      </c>
      <c r="E119" s="15" t="s">
        <v>46</v>
      </c>
      <c r="F119" s="15" t="s">
        <v>131</v>
      </c>
      <c r="G119" s="15" t="s">
        <v>31</v>
      </c>
      <c r="H119" s="15" t="s">
        <v>486</v>
      </c>
      <c r="I119" s="15" t="s">
        <v>511</v>
      </c>
      <c r="J119" s="17">
        <v>1000000</v>
      </c>
      <c r="K119" s="15" t="s">
        <v>299</v>
      </c>
      <c r="L119" s="15" t="s">
        <v>300</v>
      </c>
      <c r="M119" s="15" t="s">
        <v>74</v>
      </c>
      <c r="N119" s="15" t="s">
        <v>461</v>
      </c>
      <c r="O119" s="15">
        <v>21</v>
      </c>
      <c r="P119" s="15" t="s">
        <v>508</v>
      </c>
      <c r="Q119" s="15" t="s">
        <v>512</v>
      </c>
      <c r="R119" s="15"/>
    </row>
    <row r="120" spans="1:18" x14ac:dyDescent="0.35">
      <c r="A120" s="15" t="s">
        <v>513</v>
      </c>
      <c r="B120" s="16">
        <v>45343</v>
      </c>
      <c r="C120" s="15" t="s">
        <v>460</v>
      </c>
      <c r="D120" s="15">
        <v>2024</v>
      </c>
      <c r="E120" s="15" t="s">
        <v>46</v>
      </c>
      <c r="F120" s="15" t="s">
        <v>131</v>
      </c>
      <c r="G120" s="15" t="s">
        <v>29</v>
      </c>
      <c r="H120" s="15" t="s">
        <v>369</v>
      </c>
      <c r="I120" s="15" t="s">
        <v>514</v>
      </c>
      <c r="J120" s="17">
        <v>740000</v>
      </c>
      <c r="K120" s="15" t="s">
        <v>299</v>
      </c>
      <c r="L120" s="15" t="s">
        <v>300</v>
      </c>
      <c r="M120" s="15" t="s">
        <v>74</v>
      </c>
      <c r="N120" s="15" t="s">
        <v>461</v>
      </c>
      <c r="O120" s="15">
        <v>22</v>
      </c>
      <c r="P120" s="15" t="s">
        <v>515</v>
      </c>
      <c r="Q120" s="15" t="s">
        <v>516</v>
      </c>
      <c r="R120" s="15"/>
    </row>
    <row r="121" spans="1:18" x14ac:dyDescent="0.35">
      <c r="A121" s="15" t="s">
        <v>517</v>
      </c>
      <c r="B121" s="16">
        <v>45344</v>
      </c>
      <c r="C121" s="15" t="s">
        <v>460</v>
      </c>
      <c r="D121" s="15">
        <v>2024</v>
      </c>
      <c r="E121" s="15" t="s">
        <v>46</v>
      </c>
      <c r="F121" s="15" t="s">
        <v>131</v>
      </c>
      <c r="G121" s="15" t="s">
        <v>29</v>
      </c>
      <c r="H121" s="15" t="s">
        <v>369</v>
      </c>
      <c r="I121" s="15" t="s">
        <v>514</v>
      </c>
      <c r="J121" s="17">
        <v>660000</v>
      </c>
      <c r="K121" s="15" t="s">
        <v>299</v>
      </c>
      <c r="L121" s="15" t="s">
        <v>300</v>
      </c>
      <c r="M121" s="15" t="s">
        <v>74</v>
      </c>
      <c r="N121" s="15" t="s">
        <v>461</v>
      </c>
      <c r="O121" s="15">
        <v>24</v>
      </c>
      <c r="P121" s="15" t="s">
        <v>518</v>
      </c>
      <c r="Q121" s="15" t="s">
        <v>519</v>
      </c>
      <c r="R121" s="15"/>
    </row>
    <row r="122" spans="1:18" x14ac:dyDescent="0.35">
      <c r="A122" s="15" t="s">
        <v>520</v>
      </c>
      <c r="B122" s="16">
        <v>45344</v>
      </c>
      <c r="C122" s="15" t="s">
        <v>460</v>
      </c>
      <c r="D122" s="15">
        <v>2024</v>
      </c>
      <c r="E122" s="15" t="s">
        <v>46</v>
      </c>
      <c r="F122" s="15" t="s">
        <v>131</v>
      </c>
      <c r="G122" s="15" t="s">
        <v>29</v>
      </c>
      <c r="H122" s="15" t="s">
        <v>271</v>
      </c>
      <c r="I122" s="15" t="s">
        <v>272</v>
      </c>
      <c r="J122" s="17">
        <v>715000</v>
      </c>
      <c r="K122" s="15" t="s">
        <v>299</v>
      </c>
      <c r="L122" s="15" t="s">
        <v>300</v>
      </c>
      <c r="M122" s="15" t="s">
        <v>74</v>
      </c>
      <c r="N122" s="15" t="s">
        <v>461</v>
      </c>
      <c r="O122" s="15">
        <v>23</v>
      </c>
      <c r="P122" s="15" t="s">
        <v>518</v>
      </c>
      <c r="Q122" s="15" t="s">
        <v>521</v>
      </c>
      <c r="R122" s="15"/>
    </row>
    <row r="123" spans="1:18" x14ac:dyDescent="0.35">
      <c r="A123" s="15" t="s">
        <v>522</v>
      </c>
      <c r="B123" s="16">
        <v>45345</v>
      </c>
      <c r="C123" s="15" t="s">
        <v>460</v>
      </c>
      <c r="D123" s="15">
        <v>2024</v>
      </c>
      <c r="E123" s="15" t="s">
        <v>46</v>
      </c>
      <c r="F123" s="15" t="s">
        <v>131</v>
      </c>
      <c r="G123" s="15" t="s">
        <v>29</v>
      </c>
      <c r="H123" s="15" t="s">
        <v>352</v>
      </c>
      <c r="I123" s="15" t="s">
        <v>523</v>
      </c>
      <c r="J123" s="17">
        <v>1000000</v>
      </c>
      <c r="K123" s="15" t="s">
        <v>299</v>
      </c>
      <c r="L123" s="15" t="s">
        <v>300</v>
      </c>
      <c r="M123" s="15" t="s">
        <v>74</v>
      </c>
      <c r="N123" s="15" t="s">
        <v>461</v>
      </c>
      <c r="O123" s="15">
        <v>25</v>
      </c>
      <c r="P123" s="15" t="s">
        <v>524</v>
      </c>
      <c r="Q123" s="15" t="s">
        <v>525</v>
      </c>
      <c r="R123" s="15"/>
    </row>
    <row r="124" spans="1:18" x14ac:dyDescent="0.35">
      <c r="A124" s="15" t="s">
        <v>526</v>
      </c>
      <c r="B124" s="16">
        <v>45347</v>
      </c>
      <c r="C124" s="15" t="s">
        <v>460</v>
      </c>
      <c r="D124" s="15">
        <v>2024</v>
      </c>
      <c r="E124" s="15" t="s">
        <v>46</v>
      </c>
      <c r="F124" s="15" t="s">
        <v>131</v>
      </c>
      <c r="G124" s="15" t="s">
        <v>29</v>
      </c>
      <c r="H124" s="15" t="s">
        <v>188</v>
      </c>
      <c r="I124" s="15" t="s">
        <v>189</v>
      </c>
      <c r="J124" s="17">
        <v>700000</v>
      </c>
      <c r="K124" s="15" t="s">
        <v>299</v>
      </c>
      <c r="L124" s="15" t="s">
        <v>300</v>
      </c>
      <c r="M124" s="15" t="s">
        <v>74</v>
      </c>
      <c r="N124" s="15" t="s">
        <v>461</v>
      </c>
      <c r="O124" s="15">
        <v>26</v>
      </c>
      <c r="P124" s="15" t="s">
        <v>527</v>
      </c>
      <c r="Q124" s="15" t="s">
        <v>528</v>
      </c>
      <c r="R124" s="15"/>
    </row>
    <row r="125" spans="1:18" x14ac:dyDescent="0.35">
      <c r="A125" s="15" t="s">
        <v>529</v>
      </c>
      <c r="B125" s="16">
        <v>45348</v>
      </c>
      <c r="C125" s="15" t="s">
        <v>460</v>
      </c>
      <c r="D125" s="15">
        <v>2024</v>
      </c>
      <c r="E125" s="15" t="s">
        <v>46</v>
      </c>
      <c r="F125" s="15" t="s">
        <v>131</v>
      </c>
      <c r="G125" s="15" t="s">
        <v>29</v>
      </c>
      <c r="H125" s="15" t="s">
        <v>285</v>
      </c>
      <c r="I125" s="15" t="s">
        <v>530</v>
      </c>
      <c r="J125" s="17">
        <v>100000</v>
      </c>
      <c r="K125" s="15" t="s">
        <v>299</v>
      </c>
      <c r="L125" s="15" t="s">
        <v>300</v>
      </c>
      <c r="M125" s="15" t="s">
        <v>74</v>
      </c>
      <c r="N125" s="15" t="s">
        <v>461</v>
      </c>
      <c r="O125" s="15">
        <v>29</v>
      </c>
      <c r="P125" s="15" t="s">
        <v>531</v>
      </c>
      <c r="Q125" s="15" t="s">
        <v>532</v>
      </c>
      <c r="R125" s="15"/>
    </row>
    <row r="126" spans="1:18" x14ac:dyDescent="0.35">
      <c r="A126" s="15" t="s">
        <v>533</v>
      </c>
      <c r="B126" s="16">
        <v>45348</v>
      </c>
      <c r="C126" s="15" t="s">
        <v>460</v>
      </c>
      <c r="D126" s="15">
        <v>2024</v>
      </c>
      <c r="E126" s="15" t="s">
        <v>46</v>
      </c>
      <c r="F126" s="15" t="s">
        <v>131</v>
      </c>
      <c r="G126" s="15" t="s">
        <v>31</v>
      </c>
      <c r="H126" s="15" t="s">
        <v>534</v>
      </c>
      <c r="I126" s="15" t="s">
        <v>535</v>
      </c>
      <c r="J126" s="17">
        <v>3500000</v>
      </c>
      <c r="K126" s="15" t="s">
        <v>299</v>
      </c>
      <c r="L126" s="15" t="s">
        <v>300</v>
      </c>
      <c r="M126" s="15" t="s">
        <v>74</v>
      </c>
      <c r="N126" s="15" t="s">
        <v>461</v>
      </c>
      <c r="O126" s="15">
        <v>30</v>
      </c>
      <c r="P126" s="15" t="s">
        <v>531</v>
      </c>
      <c r="Q126" s="15" t="s">
        <v>536</v>
      </c>
      <c r="R126" s="15"/>
    </row>
    <row r="127" spans="1:18" x14ac:dyDescent="0.35">
      <c r="A127" s="15" t="s">
        <v>537</v>
      </c>
      <c r="B127" s="16">
        <v>45348</v>
      </c>
      <c r="C127" s="15" t="s">
        <v>460</v>
      </c>
      <c r="D127" s="15">
        <v>2024</v>
      </c>
      <c r="E127" s="15" t="s">
        <v>46</v>
      </c>
      <c r="F127" s="15" t="s">
        <v>131</v>
      </c>
      <c r="G127" s="15" t="s">
        <v>31</v>
      </c>
      <c r="H127" s="15" t="s">
        <v>478</v>
      </c>
      <c r="I127" s="15" t="s">
        <v>479</v>
      </c>
      <c r="J127" s="17">
        <v>2000000</v>
      </c>
      <c r="K127" s="15" t="s">
        <v>299</v>
      </c>
      <c r="L127" s="15" t="s">
        <v>300</v>
      </c>
      <c r="M127" s="15" t="s">
        <v>74</v>
      </c>
      <c r="N127" s="15" t="s">
        <v>461</v>
      </c>
      <c r="O127" s="15">
        <v>31</v>
      </c>
      <c r="P127" s="15" t="s">
        <v>531</v>
      </c>
      <c r="Q127" s="15" t="s">
        <v>538</v>
      </c>
      <c r="R127" s="15"/>
    </row>
    <row r="128" spans="1:18" x14ac:dyDescent="0.35">
      <c r="A128" s="15" t="s">
        <v>539</v>
      </c>
      <c r="B128" s="16">
        <v>45348</v>
      </c>
      <c r="C128" s="15" t="s">
        <v>460</v>
      </c>
      <c r="D128" s="15">
        <v>2024</v>
      </c>
      <c r="E128" s="15" t="s">
        <v>46</v>
      </c>
      <c r="F128" s="15" t="s">
        <v>131</v>
      </c>
      <c r="G128" s="15" t="s">
        <v>29</v>
      </c>
      <c r="H128" s="15" t="s">
        <v>378</v>
      </c>
      <c r="I128" s="15" t="s">
        <v>379</v>
      </c>
      <c r="J128" s="17">
        <v>1040000</v>
      </c>
      <c r="K128" s="15" t="s">
        <v>299</v>
      </c>
      <c r="L128" s="15" t="s">
        <v>300</v>
      </c>
      <c r="M128" s="15" t="s">
        <v>74</v>
      </c>
      <c r="N128" s="15" t="s">
        <v>461</v>
      </c>
      <c r="O128" s="15">
        <v>27</v>
      </c>
      <c r="P128" s="15" t="s">
        <v>531</v>
      </c>
      <c r="Q128" s="15" t="s">
        <v>540</v>
      </c>
      <c r="R128" s="15"/>
    </row>
    <row r="129" spans="1:18" x14ac:dyDescent="0.35">
      <c r="A129" s="15" t="s">
        <v>541</v>
      </c>
      <c r="B129" s="16">
        <v>45348</v>
      </c>
      <c r="C129" s="15" t="s">
        <v>460</v>
      </c>
      <c r="D129" s="15">
        <v>2024</v>
      </c>
      <c r="E129" s="15" t="s">
        <v>46</v>
      </c>
      <c r="F129" s="15" t="s">
        <v>131</v>
      </c>
      <c r="G129" s="15" t="s">
        <v>31</v>
      </c>
      <c r="H129" s="15" t="s">
        <v>212</v>
      </c>
      <c r="I129" s="15" t="s">
        <v>542</v>
      </c>
      <c r="J129" s="17">
        <v>500000</v>
      </c>
      <c r="K129" s="15" t="s">
        <v>299</v>
      </c>
      <c r="L129" s="15" t="s">
        <v>300</v>
      </c>
      <c r="M129" s="15" t="s">
        <v>74</v>
      </c>
      <c r="N129" s="15" t="s">
        <v>461</v>
      </c>
      <c r="O129" s="15">
        <v>28</v>
      </c>
      <c r="P129" s="15" t="s">
        <v>531</v>
      </c>
      <c r="Q129" s="15" t="s">
        <v>543</v>
      </c>
      <c r="R129" s="15"/>
    </row>
    <row r="130" spans="1:18" x14ac:dyDescent="0.35">
      <c r="A130" s="15" t="s">
        <v>544</v>
      </c>
      <c r="B130" s="16">
        <v>45349</v>
      </c>
      <c r="C130" s="15" t="s">
        <v>460</v>
      </c>
      <c r="D130" s="15">
        <v>2024</v>
      </c>
      <c r="E130" s="15" t="s">
        <v>46</v>
      </c>
      <c r="F130" s="15" t="s">
        <v>131</v>
      </c>
      <c r="G130" s="15" t="s">
        <v>29</v>
      </c>
      <c r="H130" s="15" t="s">
        <v>285</v>
      </c>
      <c r="I130" s="15" t="s">
        <v>530</v>
      </c>
      <c r="J130" s="17">
        <v>100000</v>
      </c>
      <c r="K130" s="15" t="s">
        <v>299</v>
      </c>
      <c r="L130" s="15" t="s">
        <v>300</v>
      </c>
      <c r="M130" s="15" t="s">
        <v>74</v>
      </c>
      <c r="N130" s="15" t="s">
        <v>461</v>
      </c>
      <c r="O130" s="15">
        <v>32</v>
      </c>
      <c r="P130" s="15" t="s">
        <v>545</v>
      </c>
      <c r="Q130" s="15" t="s">
        <v>546</v>
      </c>
      <c r="R130" s="15"/>
    </row>
    <row r="131" spans="1:18" x14ac:dyDescent="0.35">
      <c r="A131" s="15" t="s">
        <v>547</v>
      </c>
      <c r="B131" s="16">
        <v>45350</v>
      </c>
      <c r="C131" s="15" t="s">
        <v>460</v>
      </c>
      <c r="D131" s="15">
        <v>2024</v>
      </c>
      <c r="E131" s="15" t="s">
        <v>46</v>
      </c>
      <c r="F131" s="15" t="s">
        <v>131</v>
      </c>
      <c r="G131" s="15" t="s">
        <v>29</v>
      </c>
      <c r="H131" s="15" t="s">
        <v>208</v>
      </c>
      <c r="I131" s="15" t="s">
        <v>257</v>
      </c>
      <c r="J131" s="17">
        <v>1511250</v>
      </c>
      <c r="K131" s="15" t="s">
        <v>299</v>
      </c>
      <c r="L131" s="15" t="s">
        <v>300</v>
      </c>
      <c r="M131" s="15" t="s">
        <v>74</v>
      </c>
      <c r="N131" s="15" t="s">
        <v>461</v>
      </c>
      <c r="O131" s="15">
        <v>33</v>
      </c>
      <c r="P131" s="15" t="s">
        <v>548</v>
      </c>
      <c r="Q131" s="15" t="s">
        <v>549</v>
      </c>
      <c r="R131" s="15"/>
    </row>
    <row r="132" spans="1:18" x14ac:dyDescent="0.35">
      <c r="A132" s="15" t="s">
        <v>550</v>
      </c>
      <c r="B132" s="16">
        <v>45352</v>
      </c>
      <c r="C132" s="15" t="s">
        <v>551</v>
      </c>
      <c r="D132" s="15">
        <v>2024</v>
      </c>
      <c r="E132" s="15" t="s">
        <v>46</v>
      </c>
      <c r="F132" s="15" t="s">
        <v>131</v>
      </c>
      <c r="G132" s="15" t="s">
        <v>29</v>
      </c>
      <c r="H132" s="15" t="s">
        <v>362</v>
      </c>
      <c r="I132" s="15" t="s">
        <v>363</v>
      </c>
      <c r="J132" s="17">
        <v>3000000</v>
      </c>
      <c r="K132" s="15" t="s">
        <v>299</v>
      </c>
      <c r="L132" s="15" t="s">
        <v>300</v>
      </c>
      <c r="M132" s="15" t="s">
        <v>74</v>
      </c>
      <c r="N132" s="15" t="s">
        <v>552</v>
      </c>
      <c r="O132" s="15">
        <v>7</v>
      </c>
      <c r="P132" s="15" t="s">
        <v>553</v>
      </c>
      <c r="Q132" s="15" t="s">
        <v>554</v>
      </c>
      <c r="R132" s="15"/>
    </row>
    <row r="133" spans="1:18" x14ac:dyDescent="0.35">
      <c r="A133" s="15" t="s">
        <v>555</v>
      </c>
      <c r="B133" s="16">
        <v>45352</v>
      </c>
      <c r="C133" s="15" t="s">
        <v>551</v>
      </c>
      <c r="D133" s="15">
        <v>2024</v>
      </c>
      <c r="E133" s="15" t="s">
        <v>46</v>
      </c>
      <c r="F133" s="15" t="s">
        <v>131</v>
      </c>
      <c r="G133" s="15" t="s">
        <v>31</v>
      </c>
      <c r="H133" s="15" t="s">
        <v>486</v>
      </c>
      <c r="I133" s="15" t="s">
        <v>487</v>
      </c>
      <c r="J133" s="17">
        <v>300000</v>
      </c>
      <c r="K133" s="15" t="s">
        <v>299</v>
      </c>
      <c r="L133" s="15" t="s">
        <v>300</v>
      </c>
      <c r="M133" s="15" t="s">
        <v>74</v>
      </c>
      <c r="N133" s="15" t="s">
        <v>552</v>
      </c>
      <c r="O133" s="15">
        <v>8</v>
      </c>
      <c r="P133" s="15" t="s">
        <v>553</v>
      </c>
      <c r="Q133" s="15" t="s">
        <v>556</v>
      </c>
      <c r="R133" s="15"/>
    </row>
    <row r="134" spans="1:18" x14ac:dyDescent="0.35">
      <c r="A134" s="15" t="s">
        <v>557</v>
      </c>
      <c r="B134" s="16">
        <v>45352</v>
      </c>
      <c r="C134" s="15" t="s">
        <v>551</v>
      </c>
      <c r="D134" s="15">
        <v>2024</v>
      </c>
      <c r="E134" s="15" t="s">
        <v>46</v>
      </c>
      <c r="F134" s="15" t="s">
        <v>131</v>
      </c>
      <c r="G134" s="15" t="s">
        <v>31</v>
      </c>
      <c r="H134" s="15" t="s">
        <v>212</v>
      </c>
      <c r="I134" s="15" t="s">
        <v>542</v>
      </c>
      <c r="J134" s="17">
        <v>150000</v>
      </c>
      <c r="K134" s="15" t="s">
        <v>299</v>
      </c>
      <c r="L134" s="15" t="s">
        <v>300</v>
      </c>
      <c r="M134" s="15" t="s">
        <v>74</v>
      </c>
      <c r="N134" s="15" t="s">
        <v>552</v>
      </c>
      <c r="O134" s="15">
        <v>6</v>
      </c>
      <c r="P134" s="15" t="s">
        <v>553</v>
      </c>
      <c r="Q134" s="15" t="s">
        <v>558</v>
      </c>
      <c r="R134" s="15"/>
    </row>
    <row r="135" spans="1:18" x14ac:dyDescent="0.35">
      <c r="A135" s="15" t="s">
        <v>559</v>
      </c>
      <c r="B135" s="16">
        <v>45353</v>
      </c>
      <c r="C135" s="15" t="s">
        <v>551</v>
      </c>
      <c r="D135" s="15">
        <v>2024</v>
      </c>
      <c r="E135" s="15" t="s">
        <v>46</v>
      </c>
      <c r="F135" s="15" t="s">
        <v>131</v>
      </c>
      <c r="G135" s="15" t="s">
        <v>31</v>
      </c>
      <c r="H135" s="15" t="s">
        <v>140</v>
      </c>
      <c r="I135" s="15" t="s">
        <v>560</v>
      </c>
      <c r="J135" s="17">
        <v>740000</v>
      </c>
      <c r="K135" s="15" t="s">
        <v>299</v>
      </c>
      <c r="L135" s="15" t="s">
        <v>300</v>
      </c>
      <c r="M135" s="15" t="s">
        <v>74</v>
      </c>
      <c r="N135" s="15" t="s">
        <v>552</v>
      </c>
      <c r="O135" s="15">
        <v>9</v>
      </c>
      <c r="P135" s="15" t="s">
        <v>561</v>
      </c>
      <c r="Q135" s="15"/>
      <c r="R135" s="15" t="s">
        <v>562</v>
      </c>
    </row>
    <row r="136" spans="1:18" x14ac:dyDescent="0.35">
      <c r="A136" s="15" t="s">
        <v>563</v>
      </c>
      <c r="B136" s="16">
        <v>45354</v>
      </c>
      <c r="C136" s="15" t="s">
        <v>551</v>
      </c>
      <c r="D136" s="15">
        <v>2024</v>
      </c>
      <c r="E136" s="15" t="s">
        <v>46</v>
      </c>
      <c r="F136" s="15" t="s">
        <v>131</v>
      </c>
      <c r="G136" s="15" t="s">
        <v>31</v>
      </c>
      <c r="H136" s="15" t="s">
        <v>397</v>
      </c>
      <c r="I136" s="15" t="s">
        <v>564</v>
      </c>
      <c r="J136" s="17">
        <v>200000</v>
      </c>
      <c r="K136" s="15" t="s">
        <v>299</v>
      </c>
      <c r="L136" s="15" t="s">
        <v>300</v>
      </c>
      <c r="M136" s="15" t="s">
        <v>74</v>
      </c>
      <c r="N136" s="15" t="s">
        <v>552</v>
      </c>
      <c r="O136" s="15">
        <v>10</v>
      </c>
      <c r="P136" s="15" t="s">
        <v>565</v>
      </c>
      <c r="Q136" s="15" t="s">
        <v>566</v>
      </c>
      <c r="R136" s="15"/>
    </row>
    <row r="137" spans="1:18" x14ac:dyDescent="0.35">
      <c r="A137" s="15" t="s">
        <v>567</v>
      </c>
      <c r="B137" s="16">
        <v>45354</v>
      </c>
      <c r="C137" s="15" t="s">
        <v>551</v>
      </c>
      <c r="D137" s="15">
        <v>2024</v>
      </c>
      <c r="E137" s="15" t="s">
        <v>46</v>
      </c>
      <c r="F137" s="15" t="s">
        <v>131</v>
      </c>
      <c r="G137" s="15" t="s">
        <v>31</v>
      </c>
      <c r="H137" s="15" t="s">
        <v>568</v>
      </c>
      <c r="I137" s="15" t="s">
        <v>569</v>
      </c>
      <c r="J137" s="17">
        <v>1650000</v>
      </c>
      <c r="K137" s="15" t="s">
        <v>299</v>
      </c>
      <c r="L137" s="15" t="s">
        <v>300</v>
      </c>
      <c r="M137" s="15" t="s">
        <v>74</v>
      </c>
      <c r="N137" s="15" t="s">
        <v>552</v>
      </c>
      <c r="O137" s="15">
        <v>11</v>
      </c>
      <c r="P137" s="15" t="s">
        <v>565</v>
      </c>
      <c r="Q137" s="15" t="s">
        <v>570</v>
      </c>
      <c r="R137" s="15"/>
    </row>
    <row r="138" spans="1:18" x14ac:dyDescent="0.35">
      <c r="A138" s="15" t="s">
        <v>571</v>
      </c>
      <c r="B138" s="16">
        <v>45355</v>
      </c>
      <c r="C138" s="15" t="s">
        <v>551</v>
      </c>
      <c r="D138" s="15">
        <v>2024</v>
      </c>
      <c r="E138" s="15" t="s">
        <v>46</v>
      </c>
      <c r="F138" s="15" t="s">
        <v>131</v>
      </c>
      <c r="G138" s="15" t="s">
        <v>29</v>
      </c>
      <c r="H138" s="15" t="s">
        <v>132</v>
      </c>
      <c r="I138" s="15" t="s">
        <v>133</v>
      </c>
      <c r="J138" s="17">
        <v>460500</v>
      </c>
      <c r="K138" s="15" t="s">
        <v>299</v>
      </c>
      <c r="L138" s="15" t="s">
        <v>300</v>
      </c>
      <c r="M138" s="15" t="s">
        <v>74</v>
      </c>
      <c r="N138" s="15" t="s">
        <v>552</v>
      </c>
      <c r="O138" s="15">
        <v>13</v>
      </c>
      <c r="P138" s="15" t="s">
        <v>572</v>
      </c>
      <c r="Q138" s="15" t="s">
        <v>573</v>
      </c>
      <c r="R138" s="15"/>
    </row>
    <row r="139" spans="1:18" x14ac:dyDescent="0.35">
      <c r="A139" s="15" t="s">
        <v>574</v>
      </c>
      <c r="B139" s="16">
        <v>45356</v>
      </c>
      <c r="C139" s="15" t="s">
        <v>551</v>
      </c>
      <c r="D139" s="15">
        <v>2024</v>
      </c>
      <c r="E139" s="15" t="s">
        <v>46</v>
      </c>
      <c r="F139" s="15" t="s">
        <v>131</v>
      </c>
      <c r="G139" s="15" t="s">
        <v>31</v>
      </c>
      <c r="H139" s="15" t="s">
        <v>203</v>
      </c>
      <c r="I139" s="15" t="s">
        <v>575</v>
      </c>
      <c r="J139" s="17">
        <v>900000</v>
      </c>
      <c r="K139" s="15" t="s">
        <v>299</v>
      </c>
      <c r="L139" s="15" t="s">
        <v>300</v>
      </c>
      <c r="M139" s="15" t="s">
        <v>74</v>
      </c>
      <c r="N139" s="15" t="s">
        <v>552</v>
      </c>
      <c r="O139" s="15">
        <v>14</v>
      </c>
      <c r="P139" s="15" t="s">
        <v>576</v>
      </c>
      <c r="Q139" s="15" t="s">
        <v>577</v>
      </c>
      <c r="R139" s="15"/>
    </row>
    <row r="140" spans="1:18" x14ac:dyDescent="0.35">
      <c r="A140" s="15" t="s">
        <v>578</v>
      </c>
      <c r="B140" s="16">
        <v>45357</v>
      </c>
      <c r="C140" s="15" t="s">
        <v>551</v>
      </c>
      <c r="D140" s="15">
        <v>2024</v>
      </c>
      <c r="E140" s="15" t="s">
        <v>46</v>
      </c>
      <c r="F140" s="15" t="s">
        <v>131</v>
      </c>
      <c r="G140" s="15" t="s">
        <v>29</v>
      </c>
      <c r="H140" s="15" t="s">
        <v>579</v>
      </c>
      <c r="I140" s="15" t="s">
        <v>580</v>
      </c>
      <c r="J140" s="17">
        <v>135000</v>
      </c>
      <c r="K140" s="15" t="s">
        <v>299</v>
      </c>
      <c r="L140" s="15" t="s">
        <v>300</v>
      </c>
      <c r="M140" s="15" t="s">
        <v>74</v>
      </c>
      <c r="N140" s="15" t="s">
        <v>552</v>
      </c>
      <c r="O140" s="15">
        <v>17</v>
      </c>
      <c r="P140" s="15" t="s">
        <v>581</v>
      </c>
      <c r="Q140" s="15"/>
      <c r="R140" s="15"/>
    </row>
    <row r="141" spans="1:18" x14ac:dyDescent="0.35">
      <c r="A141" s="15" t="s">
        <v>582</v>
      </c>
      <c r="B141" s="16">
        <v>45357</v>
      </c>
      <c r="C141" s="15" t="s">
        <v>551</v>
      </c>
      <c r="D141" s="15">
        <v>2024</v>
      </c>
      <c r="E141" s="15" t="s">
        <v>46</v>
      </c>
      <c r="F141" s="15" t="s">
        <v>131</v>
      </c>
      <c r="G141" s="15" t="s">
        <v>31</v>
      </c>
      <c r="H141" s="15" t="s">
        <v>583</v>
      </c>
      <c r="I141" s="15" t="s">
        <v>584</v>
      </c>
      <c r="J141" s="17">
        <v>1000000</v>
      </c>
      <c r="K141" s="15" t="s">
        <v>299</v>
      </c>
      <c r="L141" s="15" t="s">
        <v>300</v>
      </c>
      <c r="M141" s="15" t="s">
        <v>74</v>
      </c>
      <c r="N141" s="15" t="s">
        <v>552</v>
      </c>
      <c r="O141" s="15">
        <v>16</v>
      </c>
      <c r="P141" s="15" t="s">
        <v>581</v>
      </c>
      <c r="Q141" s="15" t="s">
        <v>585</v>
      </c>
      <c r="R141" s="15"/>
    </row>
    <row r="142" spans="1:18" x14ac:dyDescent="0.35">
      <c r="A142" s="15" t="s">
        <v>586</v>
      </c>
      <c r="B142" s="16">
        <v>45357</v>
      </c>
      <c r="C142" s="15" t="s">
        <v>551</v>
      </c>
      <c r="D142" s="15">
        <v>2024</v>
      </c>
      <c r="E142" s="15" t="s">
        <v>46</v>
      </c>
      <c r="F142" s="15" t="s">
        <v>131</v>
      </c>
      <c r="G142" s="15" t="s">
        <v>31</v>
      </c>
      <c r="H142" s="15" t="s">
        <v>478</v>
      </c>
      <c r="I142" s="15" t="s">
        <v>479</v>
      </c>
      <c r="J142" s="17">
        <v>500000</v>
      </c>
      <c r="K142" s="15" t="s">
        <v>299</v>
      </c>
      <c r="L142" s="15" t="s">
        <v>300</v>
      </c>
      <c r="M142" s="15" t="s">
        <v>74</v>
      </c>
      <c r="N142" s="15" t="s">
        <v>552</v>
      </c>
      <c r="O142" s="15">
        <v>15</v>
      </c>
      <c r="P142" s="15" t="s">
        <v>581</v>
      </c>
      <c r="Q142" s="15" t="s">
        <v>587</v>
      </c>
      <c r="R142" s="15"/>
    </row>
    <row r="143" spans="1:18" x14ac:dyDescent="0.35">
      <c r="A143" s="15" t="s">
        <v>588</v>
      </c>
      <c r="B143" s="16">
        <v>45359</v>
      </c>
      <c r="C143" s="15" t="s">
        <v>551</v>
      </c>
      <c r="D143" s="15">
        <v>2024</v>
      </c>
      <c r="E143" s="15" t="s">
        <v>46</v>
      </c>
      <c r="F143" s="15" t="s">
        <v>131</v>
      </c>
      <c r="G143" s="15" t="s">
        <v>31</v>
      </c>
      <c r="H143" s="15" t="s">
        <v>589</v>
      </c>
      <c r="I143" s="15" t="s">
        <v>590</v>
      </c>
      <c r="J143" s="17">
        <v>1500000</v>
      </c>
      <c r="K143" s="15" t="s">
        <v>299</v>
      </c>
      <c r="L143" s="15" t="s">
        <v>300</v>
      </c>
      <c r="M143" s="15" t="s">
        <v>74</v>
      </c>
      <c r="N143" s="15" t="s">
        <v>552</v>
      </c>
      <c r="O143" s="15">
        <v>19</v>
      </c>
      <c r="P143" s="15" t="s">
        <v>591</v>
      </c>
      <c r="Q143" s="15" t="s">
        <v>592</v>
      </c>
      <c r="R143" s="15"/>
    </row>
    <row r="144" spans="1:18" x14ac:dyDescent="0.35">
      <c r="A144" s="15" t="s">
        <v>593</v>
      </c>
      <c r="B144" s="16">
        <v>45359</v>
      </c>
      <c r="C144" s="15" t="s">
        <v>551</v>
      </c>
      <c r="D144" s="15">
        <v>2024</v>
      </c>
      <c r="E144" s="15" t="s">
        <v>46</v>
      </c>
      <c r="F144" s="15" t="s">
        <v>131</v>
      </c>
      <c r="G144" s="15" t="s">
        <v>31</v>
      </c>
      <c r="H144" s="15" t="s">
        <v>594</v>
      </c>
      <c r="I144" s="15" t="s">
        <v>595</v>
      </c>
      <c r="J144" s="17">
        <v>1500000</v>
      </c>
      <c r="K144" s="15" t="s">
        <v>299</v>
      </c>
      <c r="L144" s="15" t="s">
        <v>300</v>
      </c>
      <c r="M144" s="15" t="s">
        <v>74</v>
      </c>
      <c r="N144" s="15" t="s">
        <v>552</v>
      </c>
      <c r="O144" s="15">
        <v>21</v>
      </c>
      <c r="P144" s="15" t="s">
        <v>591</v>
      </c>
      <c r="Q144" s="15" t="s">
        <v>596</v>
      </c>
      <c r="R144" s="15"/>
    </row>
    <row r="145" spans="1:18" x14ac:dyDescent="0.35">
      <c r="A145" s="15" t="s">
        <v>597</v>
      </c>
      <c r="B145" s="16">
        <v>45359</v>
      </c>
      <c r="C145" s="15" t="s">
        <v>551</v>
      </c>
      <c r="D145" s="15">
        <v>2024</v>
      </c>
      <c r="E145" s="15" t="s">
        <v>46</v>
      </c>
      <c r="F145" s="15" t="s">
        <v>131</v>
      </c>
      <c r="G145" s="15" t="s">
        <v>31</v>
      </c>
      <c r="H145" s="15" t="s">
        <v>598</v>
      </c>
      <c r="I145" s="15" t="s">
        <v>599</v>
      </c>
      <c r="J145" s="17">
        <v>1500000</v>
      </c>
      <c r="K145" s="15" t="s">
        <v>299</v>
      </c>
      <c r="L145" s="15" t="s">
        <v>300</v>
      </c>
      <c r="M145" s="15" t="s">
        <v>74</v>
      </c>
      <c r="N145" s="15" t="s">
        <v>552</v>
      </c>
      <c r="O145" s="15">
        <v>20</v>
      </c>
      <c r="P145" s="15" t="s">
        <v>591</v>
      </c>
      <c r="Q145" s="15" t="s">
        <v>600</v>
      </c>
      <c r="R145" s="15"/>
    </row>
    <row r="146" spans="1:18" x14ac:dyDescent="0.35">
      <c r="A146" s="15" t="s">
        <v>601</v>
      </c>
      <c r="B146" s="16">
        <v>45359</v>
      </c>
      <c r="C146" s="15" t="s">
        <v>551</v>
      </c>
      <c r="D146" s="15">
        <v>2024</v>
      </c>
      <c r="E146" s="15" t="s">
        <v>46</v>
      </c>
      <c r="F146" s="15" t="s">
        <v>131</v>
      </c>
      <c r="G146" s="15" t="s">
        <v>31</v>
      </c>
      <c r="H146" s="15" t="s">
        <v>156</v>
      </c>
      <c r="I146" s="15" t="s">
        <v>157</v>
      </c>
      <c r="J146" s="17">
        <v>400000</v>
      </c>
      <c r="K146" s="15" t="s">
        <v>299</v>
      </c>
      <c r="L146" s="15" t="s">
        <v>300</v>
      </c>
      <c r="M146" s="15" t="s">
        <v>74</v>
      </c>
      <c r="N146" s="15" t="s">
        <v>552</v>
      </c>
      <c r="O146" s="15">
        <v>22</v>
      </c>
      <c r="P146" s="15" t="s">
        <v>591</v>
      </c>
      <c r="Q146" s="15" t="s">
        <v>602</v>
      </c>
      <c r="R146" s="15"/>
    </row>
    <row r="147" spans="1:18" x14ac:dyDescent="0.35">
      <c r="A147" s="15" t="s">
        <v>603</v>
      </c>
      <c r="B147" s="16">
        <v>45359</v>
      </c>
      <c r="C147" s="15" t="s">
        <v>551</v>
      </c>
      <c r="D147" s="15">
        <v>2024</v>
      </c>
      <c r="E147" s="15" t="s">
        <v>46</v>
      </c>
      <c r="F147" s="15" t="s">
        <v>131</v>
      </c>
      <c r="G147" s="15" t="s">
        <v>29</v>
      </c>
      <c r="H147" s="15" t="s">
        <v>604</v>
      </c>
      <c r="I147" s="15" t="s">
        <v>605</v>
      </c>
      <c r="J147" s="17">
        <v>7000000</v>
      </c>
      <c r="K147" s="15" t="s">
        <v>299</v>
      </c>
      <c r="L147" s="15" t="s">
        <v>300</v>
      </c>
      <c r="M147" s="15" t="s">
        <v>74</v>
      </c>
      <c r="N147" s="15" t="s">
        <v>552</v>
      </c>
      <c r="O147" s="15">
        <v>18</v>
      </c>
      <c r="P147" s="15" t="s">
        <v>591</v>
      </c>
      <c r="Q147" s="15" t="s">
        <v>606</v>
      </c>
      <c r="R147" s="15"/>
    </row>
    <row r="148" spans="1:18" x14ac:dyDescent="0.35">
      <c r="A148" s="15" t="s">
        <v>607</v>
      </c>
      <c r="B148" s="16">
        <v>45360</v>
      </c>
      <c r="C148" s="15" t="s">
        <v>551</v>
      </c>
      <c r="D148" s="15">
        <v>2024</v>
      </c>
      <c r="E148" s="15" t="s">
        <v>46</v>
      </c>
      <c r="F148" s="15" t="s">
        <v>131</v>
      </c>
      <c r="G148" s="15" t="s">
        <v>29</v>
      </c>
      <c r="H148" s="15" t="s">
        <v>222</v>
      </c>
      <c r="I148" s="15" t="s">
        <v>608</v>
      </c>
      <c r="J148" s="17">
        <v>1000000</v>
      </c>
      <c r="K148" s="15" t="s">
        <v>299</v>
      </c>
      <c r="L148" s="15" t="s">
        <v>300</v>
      </c>
      <c r="M148" s="15" t="s">
        <v>74</v>
      </c>
      <c r="N148" s="15" t="s">
        <v>552</v>
      </c>
      <c r="O148" s="15">
        <v>25</v>
      </c>
      <c r="P148" s="15" t="s">
        <v>609</v>
      </c>
      <c r="Q148" s="15" t="s">
        <v>610</v>
      </c>
      <c r="R148" s="15"/>
    </row>
    <row r="149" spans="1:18" x14ac:dyDescent="0.35">
      <c r="A149" s="15" t="s">
        <v>611</v>
      </c>
      <c r="B149" s="16">
        <v>45360</v>
      </c>
      <c r="C149" s="15" t="s">
        <v>551</v>
      </c>
      <c r="D149" s="15">
        <v>2024</v>
      </c>
      <c r="E149" s="15" t="s">
        <v>46</v>
      </c>
      <c r="F149" s="15" t="s">
        <v>131</v>
      </c>
      <c r="G149" s="15" t="s">
        <v>31</v>
      </c>
      <c r="H149" s="15" t="s">
        <v>612</v>
      </c>
      <c r="I149" s="15" t="s">
        <v>613</v>
      </c>
      <c r="J149" s="17">
        <v>300000</v>
      </c>
      <c r="K149" s="15" t="s">
        <v>299</v>
      </c>
      <c r="L149" s="15" t="s">
        <v>300</v>
      </c>
      <c r="M149" s="15" t="s">
        <v>74</v>
      </c>
      <c r="N149" s="15" t="s">
        <v>552</v>
      </c>
      <c r="O149" s="15">
        <v>24</v>
      </c>
      <c r="P149" s="15" t="s">
        <v>609</v>
      </c>
      <c r="Q149" s="15" t="s">
        <v>614</v>
      </c>
      <c r="R149" s="15"/>
    </row>
    <row r="150" spans="1:18" x14ac:dyDescent="0.35">
      <c r="A150" s="15" t="s">
        <v>615</v>
      </c>
      <c r="B150" s="16">
        <v>45360</v>
      </c>
      <c r="C150" s="15" t="s">
        <v>551</v>
      </c>
      <c r="D150" s="15">
        <v>2024</v>
      </c>
      <c r="E150" s="15" t="s">
        <v>46</v>
      </c>
      <c r="F150" s="15" t="s">
        <v>131</v>
      </c>
      <c r="G150" s="15" t="s">
        <v>31</v>
      </c>
      <c r="H150" s="15" t="s">
        <v>616</v>
      </c>
      <c r="I150" s="15" t="s">
        <v>617</v>
      </c>
      <c r="J150" s="17">
        <v>500000</v>
      </c>
      <c r="K150" s="15" t="s">
        <v>299</v>
      </c>
      <c r="L150" s="15" t="s">
        <v>300</v>
      </c>
      <c r="M150" s="15" t="s">
        <v>74</v>
      </c>
      <c r="N150" s="15" t="s">
        <v>552</v>
      </c>
      <c r="O150" s="15">
        <v>23</v>
      </c>
      <c r="P150" s="15" t="s">
        <v>609</v>
      </c>
      <c r="Q150" s="15" t="s">
        <v>618</v>
      </c>
      <c r="R150" s="15"/>
    </row>
    <row r="151" spans="1:18" x14ac:dyDescent="0.35">
      <c r="A151" s="15" t="s">
        <v>619</v>
      </c>
      <c r="B151" s="16">
        <v>45361</v>
      </c>
      <c r="C151" s="15" t="s">
        <v>551</v>
      </c>
      <c r="D151" s="15">
        <v>2024</v>
      </c>
      <c r="E151" s="15" t="s">
        <v>46</v>
      </c>
      <c r="F151" s="15" t="s">
        <v>131</v>
      </c>
      <c r="G151" s="15" t="s">
        <v>31</v>
      </c>
      <c r="H151" s="15" t="s">
        <v>620</v>
      </c>
      <c r="I151" s="15" t="s">
        <v>621</v>
      </c>
      <c r="J151" s="17">
        <v>300000</v>
      </c>
      <c r="K151" s="15" t="s">
        <v>299</v>
      </c>
      <c r="L151" s="15" t="s">
        <v>300</v>
      </c>
      <c r="M151" s="15" t="s">
        <v>74</v>
      </c>
      <c r="N151" s="15" t="s">
        <v>552</v>
      </c>
      <c r="O151" s="15">
        <v>26</v>
      </c>
      <c r="P151" s="15" t="s">
        <v>622</v>
      </c>
      <c r="Q151" s="15" t="s">
        <v>623</v>
      </c>
      <c r="R151" s="15"/>
    </row>
    <row r="152" spans="1:18" x14ac:dyDescent="0.35">
      <c r="A152" s="15" t="s">
        <v>624</v>
      </c>
      <c r="B152" s="16">
        <v>45362</v>
      </c>
      <c r="C152" s="15" t="s">
        <v>551</v>
      </c>
      <c r="D152" s="15">
        <v>2024</v>
      </c>
      <c r="E152" s="15" t="s">
        <v>46</v>
      </c>
      <c r="F152" s="15" t="s">
        <v>131</v>
      </c>
      <c r="G152" s="15" t="s">
        <v>29</v>
      </c>
      <c r="H152" s="15" t="s">
        <v>625</v>
      </c>
      <c r="I152" s="15" t="s">
        <v>626</v>
      </c>
      <c r="J152" s="17">
        <v>2000000</v>
      </c>
      <c r="K152" s="15" t="s">
        <v>299</v>
      </c>
      <c r="L152" s="15" t="s">
        <v>300</v>
      </c>
      <c r="M152" s="15" t="s">
        <v>74</v>
      </c>
      <c r="N152" s="15" t="s">
        <v>552</v>
      </c>
      <c r="O152" s="15">
        <v>28</v>
      </c>
      <c r="P152" s="15" t="s">
        <v>627</v>
      </c>
      <c r="Q152" s="15" t="s">
        <v>628</v>
      </c>
      <c r="R152" s="15"/>
    </row>
    <row r="153" spans="1:18" x14ac:dyDescent="0.35">
      <c r="A153" s="15" t="s">
        <v>629</v>
      </c>
      <c r="B153" s="16">
        <v>45362</v>
      </c>
      <c r="C153" s="15" t="s">
        <v>551</v>
      </c>
      <c r="D153" s="15">
        <v>2024</v>
      </c>
      <c r="E153" s="15" t="s">
        <v>46</v>
      </c>
      <c r="F153" s="15" t="s">
        <v>131</v>
      </c>
      <c r="G153" s="15" t="s">
        <v>31</v>
      </c>
      <c r="H153" s="15" t="s">
        <v>625</v>
      </c>
      <c r="I153" s="15" t="s">
        <v>626</v>
      </c>
      <c r="J153" s="17">
        <v>1000000</v>
      </c>
      <c r="K153" s="15" t="s">
        <v>299</v>
      </c>
      <c r="L153" s="15" t="s">
        <v>300</v>
      </c>
      <c r="M153" s="15" t="s">
        <v>74</v>
      </c>
      <c r="N153" s="15" t="s">
        <v>552</v>
      </c>
      <c r="O153" s="15">
        <v>29</v>
      </c>
      <c r="P153" s="15" t="s">
        <v>627</v>
      </c>
      <c r="Q153" s="15" t="s">
        <v>630</v>
      </c>
      <c r="R153" s="15"/>
    </row>
    <row r="154" spans="1:18" x14ac:dyDescent="0.35">
      <c r="A154" s="15" t="s">
        <v>631</v>
      </c>
      <c r="B154" s="16">
        <v>45362</v>
      </c>
      <c r="C154" s="15" t="s">
        <v>551</v>
      </c>
      <c r="D154" s="15">
        <v>2024</v>
      </c>
      <c r="E154" s="15" t="s">
        <v>46</v>
      </c>
      <c r="F154" s="15" t="s">
        <v>131</v>
      </c>
      <c r="G154" s="15" t="s">
        <v>31</v>
      </c>
      <c r="H154" s="15" t="s">
        <v>583</v>
      </c>
      <c r="I154" s="15" t="s">
        <v>584</v>
      </c>
      <c r="J154" s="17">
        <v>1500000</v>
      </c>
      <c r="K154" s="15" t="s">
        <v>299</v>
      </c>
      <c r="L154" s="15" t="s">
        <v>300</v>
      </c>
      <c r="M154" s="15" t="s">
        <v>74</v>
      </c>
      <c r="N154" s="15" t="s">
        <v>552</v>
      </c>
      <c r="O154" s="15">
        <v>27</v>
      </c>
      <c r="P154" s="15" t="s">
        <v>627</v>
      </c>
      <c r="Q154" s="15" t="s">
        <v>632</v>
      </c>
      <c r="R154" s="15"/>
    </row>
    <row r="155" spans="1:18" x14ac:dyDescent="0.35">
      <c r="A155" s="15" t="s">
        <v>633</v>
      </c>
      <c r="B155" s="16">
        <v>45362</v>
      </c>
      <c r="C155" s="15" t="s">
        <v>551</v>
      </c>
      <c r="D155" s="15">
        <v>2024</v>
      </c>
      <c r="E155" s="15" t="s">
        <v>46</v>
      </c>
      <c r="F155" s="15" t="s">
        <v>131</v>
      </c>
      <c r="G155" s="15" t="s">
        <v>29</v>
      </c>
      <c r="H155" s="15" t="s">
        <v>132</v>
      </c>
      <c r="I155" s="15" t="s">
        <v>133</v>
      </c>
      <c r="J155" s="17">
        <v>954000</v>
      </c>
      <c r="K155" s="15" t="s">
        <v>299</v>
      </c>
      <c r="L155" s="15" t="s">
        <v>300</v>
      </c>
      <c r="M155" s="15" t="s">
        <v>74</v>
      </c>
      <c r="N155" s="15" t="s">
        <v>552</v>
      </c>
      <c r="O155" s="15">
        <v>31</v>
      </c>
      <c r="P155" s="15" t="s">
        <v>627</v>
      </c>
      <c r="Q155" s="15" t="s">
        <v>634</v>
      </c>
      <c r="R155" s="15"/>
    </row>
    <row r="156" spans="1:18" x14ac:dyDescent="0.35">
      <c r="A156" s="15" t="s">
        <v>635</v>
      </c>
      <c r="B156" s="16">
        <v>45362</v>
      </c>
      <c r="C156" s="15" t="s">
        <v>551</v>
      </c>
      <c r="D156" s="15">
        <v>2024</v>
      </c>
      <c r="E156" s="15" t="s">
        <v>46</v>
      </c>
      <c r="F156" s="15" t="s">
        <v>131</v>
      </c>
      <c r="G156" s="15" t="s">
        <v>31</v>
      </c>
      <c r="H156" s="15" t="s">
        <v>636</v>
      </c>
      <c r="I156" s="15" t="s">
        <v>637</v>
      </c>
      <c r="J156" s="17">
        <v>500000</v>
      </c>
      <c r="K156" s="15" t="s">
        <v>299</v>
      </c>
      <c r="L156" s="15" t="s">
        <v>300</v>
      </c>
      <c r="M156" s="15" t="s">
        <v>74</v>
      </c>
      <c r="N156" s="15" t="s">
        <v>552</v>
      </c>
      <c r="O156" s="15">
        <v>30</v>
      </c>
      <c r="P156" s="15" t="s">
        <v>627</v>
      </c>
      <c r="Q156" s="15" t="s">
        <v>638</v>
      </c>
      <c r="R156" s="15"/>
    </row>
    <row r="157" spans="1:18" x14ac:dyDescent="0.35">
      <c r="A157" s="15" t="s">
        <v>639</v>
      </c>
      <c r="B157" s="16">
        <v>45363</v>
      </c>
      <c r="C157" s="15" t="s">
        <v>551</v>
      </c>
      <c r="D157" s="15">
        <v>2024</v>
      </c>
      <c r="E157" s="15" t="s">
        <v>46</v>
      </c>
      <c r="F157" s="15" t="s">
        <v>131</v>
      </c>
      <c r="G157" s="15" t="s">
        <v>31</v>
      </c>
      <c r="H157" s="15" t="s">
        <v>640</v>
      </c>
      <c r="I157" s="15" t="s">
        <v>641</v>
      </c>
      <c r="J157" s="17">
        <v>2000000</v>
      </c>
      <c r="K157" s="15" t="s">
        <v>299</v>
      </c>
      <c r="L157" s="15" t="s">
        <v>300</v>
      </c>
      <c r="M157" s="15" t="s">
        <v>74</v>
      </c>
      <c r="N157" s="15" t="s">
        <v>552</v>
      </c>
      <c r="O157" s="15">
        <v>36</v>
      </c>
      <c r="P157" s="15" t="s">
        <v>642</v>
      </c>
      <c r="Q157" s="15" t="s">
        <v>643</v>
      </c>
      <c r="R157" s="15"/>
    </row>
    <row r="158" spans="1:18" x14ac:dyDescent="0.35">
      <c r="A158" s="15" t="s">
        <v>644</v>
      </c>
      <c r="B158" s="16">
        <v>45363</v>
      </c>
      <c r="C158" s="15" t="s">
        <v>551</v>
      </c>
      <c r="D158" s="15">
        <v>2024</v>
      </c>
      <c r="E158" s="15" t="s">
        <v>46</v>
      </c>
      <c r="F158" s="15" t="s">
        <v>131</v>
      </c>
      <c r="G158" s="15" t="s">
        <v>29</v>
      </c>
      <c r="H158" s="15" t="s">
        <v>382</v>
      </c>
      <c r="I158" s="15" t="s">
        <v>645</v>
      </c>
      <c r="J158" s="17">
        <v>300000</v>
      </c>
      <c r="K158" s="15" t="s">
        <v>299</v>
      </c>
      <c r="L158" s="15" t="s">
        <v>300</v>
      </c>
      <c r="M158" s="15" t="s">
        <v>74</v>
      </c>
      <c r="N158" s="15" t="s">
        <v>552</v>
      </c>
      <c r="O158" s="15">
        <v>32</v>
      </c>
      <c r="P158" s="15" t="s">
        <v>642</v>
      </c>
      <c r="Q158" s="15" t="s">
        <v>646</v>
      </c>
      <c r="R158" s="15"/>
    </row>
    <row r="159" spans="1:18" x14ac:dyDescent="0.35">
      <c r="A159" s="15" t="s">
        <v>647</v>
      </c>
      <c r="B159" s="16">
        <v>45363</v>
      </c>
      <c r="C159" s="15" t="s">
        <v>551</v>
      </c>
      <c r="D159" s="15">
        <v>2024</v>
      </c>
      <c r="E159" s="15" t="s">
        <v>46</v>
      </c>
      <c r="F159" s="15" t="s">
        <v>131</v>
      </c>
      <c r="G159" s="15" t="s">
        <v>31</v>
      </c>
      <c r="H159" s="15" t="s">
        <v>583</v>
      </c>
      <c r="I159" s="15" t="s">
        <v>584</v>
      </c>
      <c r="J159" s="17">
        <v>1000000</v>
      </c>
      <c r="K159" s="15" t="s">
        <v>299</v>
      </c>
      <c r="L159" s="15" t="s">
        <v>300</v>
      </c>
      <c r="M159" s="15" t="s">
        <v>74</v>
      </c>
      <c r="N159" s="15" t="s">
        <v>552</v>
      </c>
      <c r="O159" s="15">
        <v>33</v>
      </c>
      <c r="P159" s="15" t="s">
        <v>642</v>
      </c>
      <c r="Q159" s="15" t="s">
        <v>648</v>
      </c>
      <c r="R159" s="15"/>
    </row>
    <row r="160" spans="1:18" x14ac:dyDescent="0.35">
      <c r="A160" s="15" t="s">
        <v>649</v>
      </c>
      <c r="B160" s="16">
        <v>45363</v>
      </c>
      <c r="C160" s="15" t="s">
        <v>551</v>
      </c>
      <c r="D160" s="15">
        <v>2024</v>
      </c>
      <c r="E160" s="15" t="s">
        <v>46</v>
      </c>
      <c r="F160" s="15" t="s">
        <v>131</v>
      </c>
      <c r="G160" s="15" t="s">
        <v>31</v>
      </c>
      <c r="H160" s="15" t="s">
        <v>650</v>
      </c>
      <c r="I160" s="15" t="s">
        <v>651</v>
      </c>
      <c r="J160" s="17">
        <v>500000</v>
      </c>
      <c r="K160" s="15" t="s">
        <v>299</v>
      </c>
      <c r="L160" s="15" t="s">
        <v>300</v>
      </c>
      <c r="M160" s="15" t="s">
        <v>74</v>
      </c>
      <c r="N160" s="15" t="s">
        <v>552</v>
      </c>
      <c r="O160" s="15">
        <v>34</v>
      </c>
      <c r="P160" s="15" t="s">
        <v>642</v>
      </c>
      <c r="Q160" s="15" t="s">
        <v>652</v>
      </c>
      <c r="R160" s="15"/>
    </row>
    <row r="161" spans="1:18" x14ac:dyDescent="0.35">
      <c r="A161" s="15" t="s">
        <v>653</v>
      </c>
      <c r="B161" s="16">
        <v>45363</v>
      </c>
      <c r="C161" s="15" t="s">
        <v>551</v>
      </c>
      <c r="D161" s="15">
        <v>2024</v>
      </c>
      <c r="E161" s="15" t="s">
        <v>46</v>
      </c>
      <c r="F161" s="15" t="s">
        <v>131</v>
      </c>
      <c r="G161" s="15" t="s">
        <v>31</v>
      </c>
      <c r="H161" s="15" t="s">
        <v>654</v>
      </c>
      <c r="I161" s="15" t="s">
        <v>655</v>
      </c>
      <c r="J161" s="17">
        <v>500000</v>
      </c>
      <c r="K161" s="15" t="s">
        <v>299</v>
      </c>
      <c r="L161" s="15" t="s">
        <v>300</v>
      </c>
      <c r="M161" s="15" t="s">
        <v>74</v>
      </c>
      <c r="N161" s="15" t="s">
        <v>552</v>
      </c>
      <c r="O161" s="15">
        <v>35</v>
      </c>
      <c r="P161" s="15" t="s">
        <v>642</v>
      </c>
      <c r="Q161" s="15" t="s">
        <v>656</v>
      </c>
      <c r="R161" s="15"/>
    </row>
    <row r="162" spans="1:18" x14ac:dyDescent="0.35">
      <c r="A162" s="15" t="s">
        <v>657</v>
      </c>
      <c r="B162" s="16">
        <v>45364</v>
      </c>
      <c r="C162" s="15" t="s">
        <v>551</v>
      </c>
      <c r="D162" s="15">
        <v>2024</v>
      </c>
      <c r="E162" s="15" t="s">
        <v>46</v>
      </c>
      <c r="F162" s="15" t="s">
        <v>131</v>
      </c>
      <c r="G162" s="15" t="s">
        <v>29</v>
      </c>
      <c r="H162" s="15" t="s">
        <v>132</v>
      </c>
      <c r="I162" s="15" t="s">
        <v>133</v>
      </c>
      <c r="J162" s="17">
        <v>700000</v>
      </c>
      <c r="K162" s="15" t="s">
        <v>299</v>
      </c>
      <c r="L162" s="15" t="s">
        <v>300</v>
      </c>
      <c r="M162" s="15" t="s">
        <v>74</v>
      </c>
      <c r="N162" s="15" t="s">
        <v>552</v>
      </c>
      <c r="O162" s="15">
        <v>37</v>
      </c>
      <c r="P162" s="15" t="s">
        <v>658</v>
      </c>
      <c r="Q162" s="15" t="s">
        <v>659</v>
      </c>
      <c r="R162" s="15"/>
    </row>
    <row r="163" spans="1:18" x14ac:dyDescent="0.35">
      <c r="A163" s="15" t="s">
        <v>660</v>
      </c>
      <c r="B163" s="16">
        <v>45365</v>
      </c>
      <c r="C163" s="15" t="s">
        <v>551</v>
      </c>
      <c r="D163" s="15">
        <v>2024</v>
      </c>
      <c r="E163" s="15" t="s">
        <v>46</v>
      </c>
      <c r="F163" s="15" t="s">
        <v>131</v>
      </c>
      <c r="G163" s="15" t="s">
        <v>29</v>
      </c>
      <c r="H163" s="15" t="s">
        <v>661</v>
      </c>
      <c r="I163" s="15" t="s">
        <v>662</v>
      </c>
      <c r="J163" s="17">
        <v>3000000</v>
      </c>
      <c r="K163" s="15" t="s">
        <v>299</v>
      </c>
      <c r="L163" s="15" t="s">
        <v>300</v>
      </c>
      <c r="M163" s="15" t="s">
        <v>74</v>
      </c>
      <c r="N163" s="15" t="s">
        <v>552</v>
      </c>
      <c r="O163" s="15">
        <v>38</v>
      </c>
      <c r="P163" s="15" t="s">
        <v>663</v>
      </c>
      <c r="Q163" s="15"/>
      <c r="R163" s="15"/>
    </row>
    <row r="164" spans="1:18" x14ac:dyDescent="0.35">
      <c r="A164" s="15" t="s">
        <v>664</v>
      </c>
      <c r="B164" s="16">
        <v>45366</v>
      </c>
      <c r="C164" s="15" t="s">
        <v>551</v>
      </c>
      <c r="D164" s="15">
        <v>2024</v>
      </c>
      <c r="E164" s="15" t="s">
        <v>46</v>
      </c>
      <c r="F164" s="15" t="s">
        <v>131</v>
      </c>
      <c r="G164" s="15" t="s">
        <v>29</v>
      </c>
      <c r="H164" s="15" t="s">
        <v>238</v>
      </c>
      <c r="I164" s="15" t="s">
        <v>239</v>
      </c>
      <c r="J164" s="17">
        <v>7000000</v>
      </c>
      <c r="K164" s="15" t="s">
        <v>299</v>
      </c>
      <c r="L164" s="15" t="s">
        <v>300</v>
      </c>
      <c r="M164" s="15" t="s">
        <v>74</v>
      </c>
      <c r="N164" s="15" t="s">
        <v>552</v>
      </c>
      <c r="O164" s="15">
        <v>39</v>
      </c>
      <c r="P164" s="15" t="s">
        <v>665</v>
      </c>
      <c r="Q164" s="15" t="s">
        <v>666</v>
      </c>
      <c r="R164" s="15"/>
    </row>
    <row r="165" spans="1:18" x14ac:dyDescent="0.35">
      <c r="A165" s="15" t="s">
        <v>667</v>
      </c>
      <c r="B165" s="16">
        <v>45367</v>
      </c>
      <c r="C165" s="15" t="s">
        <v>551</v>
      </c>
      <c r="D165" s="15">
        <v>2024</v>
      </c>
      <c r="E165" s="15" t="s">
        <v>46</v>
      </c>
      <c r="F165" s="15" t="s">
        <v>131</v>
      </c>
      <c r="G165" s="15" t="s">
        <v>29</v>
      </c>
      <c r="H165" s="15" t="s">
        <v>278</v>
      </c>
      <c r="I165" s="15" t="s">
        <v>279</v>
      </c>
      <c r="J165" s="17">
        <v>3600000</v>
      </c>
      <c r="K165" s="15" t="s">
        <v>299</v>
      </c>
      <c r="L165" s="15" t="s">
        <v>300</v>
      </c>
      <c r="M165" s="15" t="s">
        <v>74</v>
      </c>
      <c r="N165" s="15" t="s">
        <v>552</v>
      </c>
      <c r="O165" s="15">
        <v>40</v>
      </c>
      <c r="P165" s="15" t="s">
        <v>668</v>
      </c>
      <c r="Q165" s="15" t="s">
        <v>669</v>
      </c>
      <c r="R165" s="15"/>
    </row>
    <row r="166" spans="1:18" x14ac:dyDescent="0.35">
      <c r="A166" s="15" t="s">
        <v>670</v>
      </c>
      <c r="B166" s="16">
        <v>45367</v>
      </c>
      <c r="C166" s="15" t="s">
        <v>551</v>
      </c>
      <c r="D166" s="15">
        <v>2024</v>
      </c>
      <c r="E166" s="15" t="s">
        <v>46</v>
      </c>
      <c r="F166" s="15" t="s">
        <v>131</v>
      </c>
      <c r="G166" s="15" t="s">
        <v>31</v>
      </c>
      <c r="H166" s="15" t="s">
        <v>337</v>
      </c>
      <c r="I166" s="15" t="s">
        <v>671</v>
      </c>
      <c r="J166" s="17">
        <v>150000</v>
      </c>
      <c r="K166" s="15" t="s">
        <v>299</v>
      </c>
      <c r="L166" s="15" t="s">
        <v>300</v>
      </c>
      <c r="M166" s="15" t="s">
        <v>74</v>
      </c>
      <c r="N166" s="15" t="s">
        <v>552</v>
      </c>
      <c r="O166" s="15">
        <v>41</v>
      </c>
      <c r="P166" s="15" t="s">
        <v>668</v>
      </c>
      <c r="Q166" s="15" t="s">
        <v>672</v>
      </c>
      <c r="R166" s="15"/>
    </row>
    <row r="167" spans="1:18" x14ac:dyDescent="0.35">
      <c r="A167" s="15" t="s">
        <v>673</v>
      </c>
      <c r="B167" s="16">
        <v>45367</v>
      </c>
      <c r="C167" s="15" t="s">
        <v>551</v>
      </c>
      <c r="D167" s="15">
        <v>2024</v>
      </c>
      <c r="E167" s="15" t="s">
        <v>46</v>
      </c>
      <c r="F167" s="15" t="s">
        <v>131</v>
      </c>
      <c r="G167" s="15" t="s">
        <v>29</v>
      </c>
      <c r="H167" s="15" t="s">
        <v>337</v>
      </c>
      <c r="I167" s="15" t="s">
        <v>671</v>
      </c>
      <c r="J167" s="17">
        <v>500000</v>
      </c>
      <c r="K167" s="15" t="s">
        <v>299</v>
      </c>
      <c r="L167" s="15" t="s">
        <v>300</v>
      </c>
      <c r="M167" s="15" t="s">
        <v>74</v>
      </c>
      <c r="N167" s="15" t="s">
        <v>552</v>
      </c>
      <c r="O167" s="15">
        <v>42</v>
      </c>
      <c r="P167" s="15" t="s">
        <v>668</v>
      </c>
      <c r="Q167" s="15" t="s">
        <v>674</v>
      </c>
      <c r="R167" s="15"/>
    </row>
    <row r="168" spans="1:18" x14ac:dyDescent="0.35">
      <c r="A168" s="15" t="s">
        <v>675</v>
      </c>
      <c r="B168" s="16">
        <v>45371</v>
      </c>
      <c r="C168" s="15" t="s">
        <v>551</v>
      </c>
      <c r="D168" s="15">
        <v>2024</v>
      </c>
      <c r="E168" s="15" t="s">
        <v>46</v>
      </c>
      <c r="F168" s="15" t="s">
        <v>131</v>
      </c>
      <c r="G168" s="15" t="s">
        <v>29</v>
      </c>
      <c r="H168" s="15" t="s">
        <v>382</v>
      </c>
      <c r="I168" s="15" t="s">
        <v>645</v>
      </c>
      <c r="J168" s="17">
        <v>550000</v>
      </c>
      <c r="K168" s="15" t="s">
        <v>299</v>
      </c>
      <c r="L168" s="15" t="s">
        <v>300</v>
      </c>
      <c r="M168" s="15" t="s">
        <v>74</v>
      </c>
      <c r="N168" s="15" t="s">
        <v>552</v>
      </c>
      <c r="O168" s="15">
        <v>43</v>
      </c>
      <c r="P168" s="15" t="s">
        <v>676</v>
      </c>
      <c r="Q168" s="15" t="s">
        <v>677</v>
      </c>
      <c r="R168" s="15"/>
    </row>
    <row r="169" spans="1:18" x14ac:dyDescent="0.35">
      <c r="A169" s="15" t="s">
        <v>678</v>
      </c>
      <c r="B169" s="16">
        <v>45372</v>
      </c>
      <c r="C169" s="15" t="s">
        <v>551</v>
      </c>
      <c r="D169" s="15">
        <v>2024</v>
      </c>
      <c r="E169" s="15" t="s">
        <v>46</v>
      </c>
      <c r="F169" s="15" t="s">
        <v>131</v>
      </c>
      <c r="G169" s="15" t="s">
        <v>31</v>
      </c>
      <c r="H169" s="15" t="s">
        <v>589</v>
      </c>
      <c r="I169" s="15" t="s">
        <v>590</v>
      </c>
      <c r="J169" s="17">
        <v>1500000</v>
      </c>
      <c r="K169" s="15" t="s">
        <v>299</v>
      </c>
      <c r="L169" s="15" t="s">
        <v>300</v>
      </c>
      <c r="M169" s="15" t="s">
        <v>74</v>
      </c>
      <c r="N169" s="15" t="s">
        <v>552</v>
      </c>
      <c r="O169" s="15">
        <v>44</v>
      </c>
      <c r="P169" s="15" t="s">
        <v>679</v>
      </c>
      <c r="Q169" s="15" t="s">
        <v>680</v>
      </c>
      <c r="R169" s="15"/>
    </row>
    <row r="170" spans="1:18" x14ac:dyDescent="0.35">
      <c r="A170" s="15" t="s">
        <v>681</v>
      </c>
      <c r="B170" s="16">
        <v>45372</v>
      </c>
      <c r="C170" s="15" t="s">
        <v>551</v>
      </c>
      <c r="D170" s="15">
        <v>2024</v>
      </c>
      <c r="E170" s="15" t="s">
        <v>46</v>
      </c>
      <c r="F170" s="15" t="s">
        <v>131</v>
      </c>
      <c r="G170" s="15" t="s">
        <v>29</v>
      </c>
      <c r="H170" s="15" t="s">
        <v>132</v>
      </c>
      <c r="I170" s="15" t="s">
        <v>133</v>
      </c>
      <c r="J170" s="17">
        <v>875350</v>
      </c>
      <c r="K170" s="15" t="s">
        <v>299</v>
      </c>
      <c r="L170" s="15" t="s">
        <v>300</v>
      </c>
      <c r="M170" s="15" t="s">
        <v>74</v>
      </c>
      <c r="N170" s="15" t="s">
        <v>552</v>
      </c>
      <c r="O170" s="15">
        <v>47</v>
      </c>
      <c r="P170" s="15" t="s">
        <v>679</v>
      </c>
      <c r="Q170" s="15" t="s">
        <v>682</v>
      </c>
      <c r="R170" s="15"/>
    </row>
    <row r="171" spans="1:18" x14ac:dyDescent="0.35">
      <c r="A171" s="15" t="s">
        <v>683</v>
      </c>
      <c r="B171" s="16">
        <v>45372</v>
      </c>
      <c r="C171" s="15" t="s">
        <v>551</v>
      </c>
      <c r="D171" s="15">
        <v>2024</v>
      </c>
      <c r="E171" s="15" t="s">
        <v>46</v>
      </c>
      <c r="F171" s="15" t="s">
        <v>131</v>
      </c>
      <c r="G171" s="15" t="s">
        <v>31</v>
      </c>
      <c r="H171" s="15" t="s">
        <v>594</v>
      </c>
      <c r="I171" s="15" t="s">
        <v>595</v>
      </c>
      <c r="J171" s="17">
        <v>1500000</v>
      </c>
      <c r="K171" s="15" t="s">
        <v>299</v>
      </c>
      <c r="L171" s="15" t="s">
        <v>300</v>
      </c>
      <c r="M171" s="15" t="s">
        <v>74</v>
      </c>
      <c r="N171" s="15" t="s">
        <v>552</v>
      </c>
      <c r="O171" s="15">
        <v>46</v>
      </c>
      <c r="P171" s="15" t="s">
        <v>679</v>
      </c>
      <c r="Q171" s="15" t="s">
        <v>684</v>
      </c>
      <c r="R171" s="15"/>
    </row>
    <row r="172" spans="1:18" x14ac:dyDescent="0.35">
      <c r="A172" s="15" t="s">
        <v>685</v>
      </c>
      <c r="B172" s="16">
        <v>45372</v>
      </c>
      <c r="C172" s="15" t="s">
        <v>551</v>
      </c>
      <c r="D172" s="15">
        <v>2024</v>
      </c>
      <c r="E172" s="15" t="s">
        <v>46</v>
      </c>
      <c r="F172" s="15" t="s">
        <v>131</v>
      </c>
      <c r="G172" s="15" t="s">
        <v>31</v>
      </c>
      <c r="H172" s="15" t="s">
        <v>598</v>
      </c>
      <c r="I172" s="15" t="s">
        <v>599</v>
      </c>
      <c r="J172" s="17">
        <v>1500000</v>
      </c>
      <c r="K172" s="15" t="s">
        <v>299</v>
      </c>
      <c r="L172" s="15" t="s">
        <v>300</v>
      </c>
      <c r="M172" s="15" t="s">
        <v>74</v>
      </c>
      <c r="N172" s="15" t="s">
        <v>552</v>
      </c>
      <c r="O172" s="15">
        <v>45</v>
      </c>
      <c r="P172" s="15" t="s">
        <v>679</v>
      </c>
      <c r="Q172" s="15" t="s">
        <v>686</v>
      </c>
      <c r="R172" s="15"/>
    </row>
    <row r="173" spans="1:18" x14ac:dyDescent="0.35">
      <c r="A173" s="15" t="s">
        <v>687</v>
      </c>
      <c r="B173" s="16">
        <v>45373</v>
      </c>
      <c r="C173" s="15" t="s">
        <v>551</v>
      </c>
      <c r="D173" s="15">
        <v>2024</v>
      </c>
      <c r="E173" s="15" t="s">
        <v>46</v>
      </c>
      <c r="F173" s="15" t="s">
        <v>131</v>
      </c>
      <c r="G173" s="15" t="s">
        <v>29</v>
      </c>
      <c r="H173" s="15" t="s">
        <v>352</v>
      </c>
      <c r="I173" s="15" t="s">
        <v>688</v>
      </c>
      <c r="J173" s="17">
        <v>1000000</v>
      </c>
      <c r="K173" s="15" t="s">
        <v>299</v>
      </c>
      <c r="L173" s="15" t="s">
        <v>300</v>
      </c>
      <c r="M173" s="15" t="s">
        <v>74</v>
      </c>
      <c r="N173" s="15" t="s">
        <v>552</v>
      </c>
      <c r="O173" s="15">
        <v>48</v>
      </c>
      <c r="P173" s="15" t="s">
        <v>689</v>
      </c>
      <c r="Q173" s="15" t="s">
        <v>690</v>
      </c>
      <c r="R173" s="15"/>
    </row>
    <row r="174" spans="1:18" x14ac:dyDescent="0.35">
      <c r="A174" s="15" t="s">
        <v>691</v>
      </c>
      <c r="B174" s="16">
        <v>45376</v>
      </c>
      <c r="C174" s="15" t="s">
        <v>551</v>
      </c>
      <c r="D174" s="15">
        <v>2024</v>
      </c>
      <c r="E174" s="15" t="s">
        <v>46</v>
      </c>
      <c r="F174" s="15" t="s">
        <v>131</v>
      </c>
      <c r="G174" s="15" t="s">
        <v>29</v>
      </c>
      <c r="H174" s="15" t="s">
        <v>285</v>
      </c>
      <c r="I174" s="15" t="s">
        <v>530</v>
      </c>
      <c r="J174" s="17">
        <v>100000</v>
      </c>
      <c r="K174" s="15" t="s">
        <v>299</v>
      </c>
      <c r="L174" s="15" t="s">
        <v>300</v>
      </c>
      <c r="M174" s="15" t="s">
        <v>74</v>
      </c>
      <c r="N174" s="15" t="s">
        <v>552</v>
      </c>
      <c r="O174" s="15">
        <v>49</v>
      </c>
      <c r="P174" s="15" t="s">
        <v>692</v>
      </c>
      <c r="Q174" s="15" t="s">
        <v>693</v>
      </c>
      <c r="R174" s="15"/>
    </row>
    <row r="175" spans="1:18" x14ac:dyDescent="0.35">
      <c r="A175" s="15" t="s">
        <v>694</v>
      </c>
      <c r="B175" s="16">
        <v>45376</v>
      </c>
      <c r="C175" s="15" t="s">
        <v>551</v>
      </c>
      <c r="D175" s="15">
        <v>2024</v>
      </c>
      <c r="E175" s="15" t="s">
        <v>46</v>
      </c>
      <c r="F175" s="15" t="s">
        <v>131</v>
      </c>
      <c r="G175" s="15" t="s">
        <v>31</v>
      </c>
      <c r="H175" s="15" t="s">
        <v>152</v>
      </c>
      <c r="I175" s="15" t="s">
        <v>153</v>
      </c>
      <c r="J175" s="17">
        <v>1800000</v>
      </c>
      <c r="K175" s="15" t="s">
        <v>299</v>
      </c>
      <c r="L175" s="15" t="s">
        <v>300</v>
      </c>
      <c r="M175" s="15" t="s">
        <v>74</v>
      </c>
      <c r="N175" s="15" t="s">
        <v>552</v>
      </c>
      <c r="O175" s="15">
        <v>50</v>
      </c>
      <c r="P175" s="15" t="s">
        <v>692</v>
      </c>
      <c r="Q175" s="15" t="s">
        <v>695</v>
      </c>
      <c r="R175" s="15"/>
    </row>
    <row r="176" spans="1:18" x14ac:dyDescent="0.35">
      <c r="A176" s="15" t="s">
        <v>696</v>
      </c>
      <c r="B176" s="16">
        <v>45376</v>
      </c>
      <c r="C176" s="15" t="s">
        <v>551</v>
      </c>
      <c r="D176" s="15">
        <v>2024</v>
      </c>
      <c r="E176" s="15" t="s">
        <v>46</v>
      </c>
      <c r="F176" s="15" t="s">
        <v>131</v>
      </c>
      <c r="G176" s="15" t="s">
        <v>31</v>
      </c>
      <c r="H176" s="15" t="s">
        <v>697</v>
      </c>
      <c r="I176" s="15" t="s">
        <v>698</v>
      </c>
      <c r="J176" s="17">
        <v>1430000</v>
      </c>
      <c r="K176" s="15" t="s">
        <v>299</v>
      </c>
      <c r="L176" s="15" t="s">
        <v>300</v>
      </c>
      <c r="M176" s="15" t="s">
        <v>74</v>
      </c>
      <c r="N176" s="15" t="s">
        <v>552</v>
      </c>
      <c r="O176" s="15">
        <v>51</v>
      </c>
      <c r="P176" s="15" t="s">
        <v>692</v>
      </c>
      <c r="Q176" s="15"/>
      <c r="R176" s="15"/>
    </row>
    <row r="177" spans="1:18" x14ac:dyDescent="0.35">
      <c r="A177" s="15" t="s">
        <v>699</v>
      </c>
      <c r="B177" s="16">
        <v>45376</v>
      </c>
      <c r="C177" s="15" t="s">
        <v>551</v>
      </c>
      <c r="D177" s="15">
        <v>2024</v>
      </c>
      <c r="E177" s="15" t="s">
        <v>46</v>
      </c>
      <c r="F177" s="15" t="s">
        <v>131</v>
      </c>
      <c r="G177" s="15" t="s">
        <v>31</v>
      </c>
      <c r="H177" s="15" t="s">
        <v>414</v>
      </c>
      <c r="I177" s="15" t="s">
        <v>700</v>
      </c>
      <c r="J177" s="17">
        <v>1000000</v>
      </c>
      <c r="K177" s="15" t="s">
        <v>299</v>
      </c>
      <c r="L177" s="15" t="s">
        <v>300</v>
      </c>
      <c r="M177" s="15" t="s">
        <v>74</v>
      </c>
      <c r="N177" s="15" t="s">
        <v>552</v>
      </c>
      <c r="O177" s="15">
        <v>52</v>
      </c>
      <c r="P177" s="15" t="s">
        <v>701</v>
      </c>
      <c r="Q177" s="15"/>
      <c r="R177" s="15" t="s">
        <v>702</v>
      </c>
    </row>
    <row r="178" spans="1:18" x14ac:dyDescent="0.35">
      <c r="A178" s="15" t="s">
        <v>703</v>
      </c>
      <c r="B178" s="16">
        <v>45377</v>
      </c>
      <c r="C178" s="15" t="s">
        <v>551</v>
      </c>
      <c r="D178" s="15">
        <v>2024</v>
      </c>
      <c r="E178" s="15" t="s">
        <v>46</v>
      </c>
      <c r="F178" s="15" t="s">
        <v>131</v>
      </c>
      <c r="G178" s="15" t="s">
        <v>29</v>
      </c>
      <c r="H178" s="15" t="s">
        <v>704</v>
      </c>
      <c r="I178" s="15" t="s">
        <v>705</v>
      </c>
      <c r="J178" s="17">
        <v>3000000</v>
      </c>
      <c r="K178" s="15" t="s">
        <v>299</v>
      </c>
      <c r="L178" s="15" t="s">
        <v>300</v>
      </c>
      <c r="M178" s="15" t="s">
        <v>74</v>
      </c>
      <c r="N178" s="15" t="s">
        <v>552</v>
      </c>
      <c r="O178" s="15">
        <v>54</v>
      </c>
      <c r="P178" s="15" t="s">
        <v>706</v>
      </c>
      <c r="Q178" s="15" t="s">
        <v>707</v>
      </c>
      <c r="R178" s="15"/>
    </row>
    <row r="179" spans="1:18" x14ac:dyDescent="0.35">
      <c r="A179" s="15" t="s">
        <v>708</v>
      </c>
      <c r="B179" s="16">
        <v>45377</v>
      </c>
      <c r="C179" s="15" t="s">
        <v>551</v>
      </c>
      <c r="D179" s="15">
        <v>2024</v>
      </c>
      <c r="E179" s="15" t="s">
        <v>46</v>
      </c>
      <c r="F179" s="15" t="s">
        <v>131</v>
      </c>
      <c r="G179" s="15" t="s">
        <v>29</v>
      </c>
      <c r="H179" s="15" t="s">
        <v>285</v>
      </c>
      <c r="I179" s="15" t="s">
        <v>530</v>
      </c>
      <c r="J179" s="17">
        <v>100000</v>
      </c>
      <c r="K179" s="15" t="s">
        <v>299</v>
      </c>
      <c r="L179" s="15" t="s">
        <v>300</v>
      </c>
      <c r="M179" s="15" t="s">
        <v>74</v>
      </c>
      <c r="N179" s="15" t="s">
        <v>552</v>
      </c>
      <c r="O179" s="15">
        <v>55</v>
      </c>
      <c r="P179" s="15" t="s">
        <v>706</v>
      </c>
      <c r="Q179" s="15" t="s">
        <v>709</v>
      </c>
      <c r="R179" s="15"/>
    </row>
    <row r="180" spans="1:18" x14ac:dyDescent="0.35">
      <c r="A180" s="15" t="s">
        <v>710</v>
      </c>
      <c r="B180" s="16">
        <v>45377</v>
      </c>
      <c r="C180" s="15" t="s">
        <v>551</v>
      </c>
      <c r="D180" s="15">
        <v>2024</v>
      </c>
      <c r="E180" s="15" t="s">
        <v>46</v>
      </c>
      <c r="F180" s="15" t="s">
        <v>131</v>
      </c>
      <c r="G180" s="15" t="s">
        <v>31</v>
      </c>
      <c r="H180" s="15" t="s">
        <v>616</v>
      </c>
      <c r="I180" s="15" t="s">
        <v>617</v>
      </c>
      <c r="J180" s="17">
        <v>3000000</v>
      </c>
      <c r="K180" s="15" t="s">
        <v>299</v>
      </c>
      <c r="L180" s="15" t="s">
        <v>300</v>
      </c>
      <c r="M180" s="15" t="s">
        <v>74</v>
      </c>
      <c r="N180" s="15" t="s">
        <v>552</v>
      </c>
      <c r="O180" s="15">
        <v>53</v>
      </c>
      <c r="P180" s="15" t="s">
        <v>706</v>
      </c>
      <c r="Q180" s="15" t="s">
        <v>711</v>
      </c>
      <c r="R180" s="15"/>
    </row>
    <row r="181" spans="1:18" x14ac:dyDescent="0.35">
      <c r="A181" s="15" t="s">
        <v>712</v>
      </c>
      <c r="B181" s="16">
        <v>45379</v>
      </c>
      <c r="C181" s="15" t="s">
        <v>551</v>
      </c>
      <c r="D181" s="15">
        <v>2024</v>
      </c>
      <c r="E181" s="15" t="s">
        <v>46</v>
      </c>
      <c r="F181" s="15" t="s">
        <v>131</v>
      </c>
      <c r="G181" s="15" t="s">
        <v>31</v>
      </c>
      <c r="H181" s="15" t="s">
        <v>713</v>
      </c>
      <c r="I181" s="15" t="s">
        <v>714</v>
      </c>
      <c r="J181" s="17">
        <v>500000</v>
      </c>
      <c r="K181" s="15" t="s">
        <v>299</v>
      </c>
      <c r="L181" s="15" t="s">
        <v>300</v>
      </c>
      <c r="M181" s="15" t="s">
        <v>74</v>
      </c>
      <c r="N181" s="15" t="s">
        <v>552</v>
      </c>
      <c r="O181" s="15">
        <v>57</v>
      </c>
      <c r="P181" s="15" t="s">
        <v>715</v>
      </c>
      <c r="Q181" s="15" t="s">
        <v>716</v>
      </c>
      <c r="R181" s="15"/>
    </row>
    <row r="182" spans="1:18" x14ac:dyDescent="0.35">
      <c r="A182" s="15" t="s">
        <v>717</v>
      </c>
      <c r="B182" s="16">
        <v>45379</v>
      </c>
      <c r="C182" s="15" t="s">
        <v>551</v>
      </c>
      <c r="D182" s="15">
        <v>2024</v>
      </c>
      <c r="E182" s="15" t="s">
        <v>46</v>
      </c>
      <c r="F182" s="15" t="s">
        <v>131</v>
      </c>
      <c r="G182" s="15" t="s">
        <v>31</v>
      </c>
      <c r="H182" s="15" t="s">
        <v>568</v>
      </c>
      <c r="I182" s="15" t="s">
        <v>569</v>
      </c>
      <c r="J182" s="17">
        <v>850000</v>
      </c>
      <c r="K182" s="15" t="s">
        <v>299</v>
      </c>
      <c r="L182" s="15" t="s">
        <v>300</v>
      </c>
      <c r="M182" s="15" t="s">
        <v>74</v>
      </c>
      <c r="N182" s="15" t="s">
        <v>552</v>
      </c>
      <c r="O182" s="15">
        <v>56</v>
      </c>
      <c r="P182" s="15" t="s">
        <v>715</v>
      </c>
      <c r="Q182" s="15" t="s">
        <v>718</v>
      </c>
      <c r="R182" s="15"/>
    </row>
    <row r="183" spans="1:18" x14ac:dyDescent="0.35">
      <c r="A183" s="15" t="s">
        <v>719</v>
      </c>
      <c r="B183" s="16">
        <v>45381</v>
      </c>
      <c r="C183" s="15" t="s">
        <v>551</v>
      </c>
      <c r="D183" s="15">
        <v>2024</v>
      </c>
      <c r="E183" s="15" t="s">
        <v>46</v>
      </c>
      <c r="F183" s="15" t="s">
        <v>131</v>
      </c>
      <c r="G183" s="15" t="s">
        <v>29</v>
      </c>
      <c r="H183" s="15" t="s">
        <v>188</v>
      </c>
      <c r="I183" s="15" t="s">
        <v>189</v>
      </c>
      <c r="J183" s="17">
        <v>700000</v>
      </c>
      <c r="K183" s="15" t="s">
        <v>299</v>
      </c>
      <c r="L183" s="15" t="s">
        <v>300</v>
      </c>
      <c r="M183" s="15" t="s">
        <v>74</v>
      </c>
      <c r="N183" s="15" t="s">
        <v>552</v>
      </c>
      <c r="O183" s="15">
        <v>61</v>
      </c>
      <c r="P183" s="15" t="s">
        <v>720</v>
      </c>
      <c r="Q183" s="15" t="s">
        <v>721</v>
      </c>
      <c r="R183" s="15"/>
    </row>
    <row r="184" spans="1:18" x14ac:dyDescent="0.35">
      <c r="A184" s="15" t="s">
        <v>722</v>
      </c>
      <c r="B184" s="16">
        <v>45381</v>
      </c>
      <c r="C184" s="15" t="s">
        <v>551</v>
      </c>
      <c r="D184" s="15">
        <v>2024</v>
      </c>
      <c r="E184" s="15" t="s">
        <v>46</v>
      </c>
      <c r="F184" s="15" t="s">
        <v>131</v>
      </c>
      <c r="G184" s="15" t="s">
        <v>29</v>
      </c>
      <c r="H184" s="15" t="s">
        <v>208</v>
      </c>
      <c r="I184" s="15" t="s">
        <v>723</v>
      </c>
      <c r="J184" s="17">
        <v>1500000</v>
      </c>
      <c r="K184" s="15" t="s">
        <v>299</v>
      </c>
      <c r="L184" s="15" t="s">
        <v>300</v>
      </c>
      <c r="M184" s="15" t="s">
        <v>74</v>
      </c>
      <c r="N184" s="15" t="s">
        <v>552</v>
      </c>
      <c r="O184" s="15">
        <v>60</v>
      </c>
      <c r="P184" s="15" t="s">
        <v>720</v>
      </c>
      <c r="Q184" s="15" t="s">
        <v>724</v>
      </c>
      <c r="R184" s="15"/>
    </row>
    <row r="185" spans="1:18" x14ac:dyDescent="0.35">
      <c r="A185" s="15" t="s">
        <v>725</v>
      </c>
      <c r="B185" s="16">
        <v>45381</v>
      </c>
      <c r="C185" s="15" t="s">
        <v>551</v>
      </c>
      <c r="D185" s="15">
        <v>2024</v>
      </c>
      <c r="E185" s="15" t="s">
        <v>46</v>
      </c>
      <c r="F185" s="15" t="s">
        <v>131</v>
      </c>
      <c r="G185" s="15" t="s">
        <v>31</v>
      </c>
      <c r="H185" s="15" t="s">
        <v>612</v>
      </c>
      <c r="I185" s="15" t="s">
        <v>613</v>
      </c>
      <c r="J185" s="17">
        <v>700000</v>
      </c>
      <c r="K185" s="15" t="s">
        <v>299</v>
      </c>
      <c r="L185" s="15" t="s">
        <v>300</v>
      </c>
      <c r="M185" s="15" t="s">
        <v>74</v>
      </c>
      <c r="N185" s="15" t="s">
        <v>552</v>
      </c>
      <c r="O185" s="15">
        <v>59</v>
      </c>
      <c r="P185" s="15" t="s">
        <v>720</v>
      </c>
      <c r="Q185" s="15" t="s">
        <v>726</v>
      </c>
      <c r="R185" s="15"/>
    </row>
    <row r="186" spans="1:18" x14ac:dyDescent="0.35">
      <c r="A186" s="15" t="s">
        <v>727</v>
      </c>
      <c r="B186" s="16">
        <v>45382</v>
      </c>
      <c r="C186" s="15" t="s">
        <v>551</v>
      </c>
      <c r="D186" s="15">
        <v>2024</v>
      </c>
      <c r="E186" s="15" t="s">
        <v>46</v>
      </c>
      <c r="F186" s="15" t="s">
        <v>131</v>
      </c>
      <c r="G186" s="15" t="s">
        <v>31</v>
      </c>
      <c r="H186" s="15" t="s">
        <v>654</v>
      </c>
      <c r="I186" s="15" t="s">
        <v>655</v>
      </c>
      <c r="J186" s="17">
        <v>500000</v>
      </c>
      <c r="K186" s="15" t="s">
        <v>299</v>
      </c>
      <c r="L186" s="15" t="s">
        <v>300</v>
      </c>
      <c r="M186" s="15" t="s">
        <v>74</v>
      </c>
      <c r="N186" s="15" t="s">
        <v>552</v>
      </c>
      <c r="O186" s="15">
        <v>62</v>
      </c>
      <c r="P186" s="15" t="s">
        <v>728</v>
      </c>
      <c r="Q186" s="15" t="s">
        <v>729</v>
      </c>
      <c r="R186" s="15"/>
    </row>
    <row r="187" spans="1:18" x14ac:dyDescent="0.35">
      <c r="A187" s="15" t="s">
        <v>730</v>
      </c>
      <c r="B187" s="16">
        <v>45383</v>
      </c>
      <c r="C187" s="15" t="s">
        <v>731</v>
      </c>
      <c r="D187" s="15">
        <v>2024</v>
      </c>
      <c r="E187" s="15" t="s">
        <v>46</v>
      </c>
      <c r="F187" s="15" t="s">
        <v>131</v>
      </c>
      <c r="G187" s="15" t="s">
        <v>31</v>
      </c>
      <c r="H187" s="15" t="s">
        <v>337</v>
      </c>
      <c r="I187" s="15" t="s">
        <v>732</v>
      </c>
      <c r="J187" s="17">
        <v>250000</v>
      </c>
      <c r="K187" s="15" t="s">
        <v>299</v>
      </c>
      <c r="L187" s="15" t="s">
        <v>300</v>
      </c>
      <c r="M187" s="15" t="s">
        <v>74</v>
      </c>
      <c r="N187" s="15" t="s">
        <v>733</v>
      </c>
      <c r="O187" s="15">
        <v>6</v>
      </c>
      <c r="P187" s="15" t="s">
        <v>734</v>
      </c>
      <c r="Q187" s="15" t="s">
        <v>735</v>
      </c>
      <c r="R187" s="15"/>
    </row>
    <row r="188" spans="1:18" x14ac:dyDescent="0.35">
      <c r="A188" s="15" t="s">
        <v>736</v>
      </c>
      <c r="B188" s="16">
        <v>45383</v>
      </c>
      <c r="C188" s="15" t="s">
        <v>731</v>
      </c>
      <c r="D188" s="15">
        <v>2024</v>
      </c>
      <c r="E188" s="15" t="s">
        <v>46</v>
      </c>
      <c r="F188" s="15" t="s">
        <v>131</v>
      </c>
      <c r="G188" s="15" t="s">
        <v>29</v>
      </c>
      <c r="H188" s="15" t="s">
        <v>337</v>
      </c>
      <c r="I188" s="15" t="s">
        <v>732</v>
      </c>
      <c r="J188" s="17">
        <v>200000</v>
      </c>
      <c r="K188" s="15" t="s">
        <v>299</v>
      </c>
      <c r="L188" s="15" t="s">
        <v>300</v>
      </c>
      <c r="M188" s="15" t="s">
        <v>74</v>
      </c>
      <c r="N188" s="15" t="s">
        <v>733</v>
      </c>
      <c r="O188" s="15">
        <v>7</v>
      </c>
      <c r="P188" s="15" t="s">
        <v>734</v>
      </c>
      <c r="Q188" s="15" t="s">
        <v>737</v>
      </c>
      <c r="R188" s="15"/>
    </row>
    <row r="189" spans="1:18" x14ac:dyDescent="0.35">
      <c r="A189" s="15" t="s">
        <v>738</v>
      </c>
      <c r="B189" s="16">
        <v>45383</v>
      </c>
      <c r="C189" s="15" t="s">
        <v>731</v>
      </c>
      <c r="D189" s="15">
        <v>2024</v>
      </c>
      <c r="E189" s="15" t="s">
        <v>46</v>
      </c>
      <c r="F189" s="15" t="s">
        <v>131</v>
      </c>
      <c r="G189" s="15" t="s">
        <v>31</v>
      </c>
      <c r="H189" s="15" t="s">
        <v>208</v>
      </c>
      <c r="I189" s="15" t="s">
        <v>723</v>
      </c>
      <c r="J189" s="17">
        <v>500000</v>
      </c>
      <c r="K189" s="15" t="s">
        <v>299</v>
      </c>
      <c r="L189" s="15" t="s">
        <v>300</v>
      </c>
      <c r="M189" s="15" t="s">
        <v>74</v>
      </c>
      <c r="N189" s="15" t="s">
        <v>733</v>
      </c>
      <c r="O189" s="15">
        <v>8</v>
      </c>
      <c r="P189" s="15" t="s">
        <v>734</v>
      </c>
      <c r="Q189" s="15" t="s">
        <v>739</v>
      </c>
      <c r="R189" s="15"/>
    </row>
    <row r="190" spans="1:18" x14ac:dyDescent="0.35">
      <c r="A190" s="15" t="s">
        <v>740</v>
      </c>
      <c r="B190" s="16">
        <v>45384</v>
      </c>
      <c r="C190" s="15" t="s">
        <v>731</v>
      </c>
      <c r="D190" s="15">
        <v>2024</v>
      </c>
      <c r="E190" s="15" t="s">
        <v>46</v>
      </c>
      <c r="F190" s="15" t="s">
        <v>131</v>
      </c>
      <c r="G190" s="15" t="s">
        <v>29</v>
      </c>
      <c r="H190" s="15" t="s">
        <v>362</v>
      </c>
      <c r="I190" s="15" t="s">
        <v>363</v>
      </c>
      <c r="J190" s="17">
        <v>2000000</v>
      </c>
      <c r="K190" s="15" t="s">
        <v>299</v>
      </c>
      <c r="L190" s="15" t="s">
        <v>300</v>
      </c>
      <c r="M190" s="15" t="s">
        <v>74</v>
      </c>
      <c r="N190" s="15" t="s">
        <v>733</v>
      </c>
      <c r="O190" s="15">
        <v>9</v>
      </c>
      <c r="P190" s="15" t="s">
        <v>741</v>
      </c>
      <c r="Q190" s="15" t="s">
        <v>742</v>
      </c>
      <c r="R190" s="15"/>
    </row>
    <row r="191" spans="1:18" x14ac:dyDescent="0.35">
      <c r="A191" s="15" t="s">
        <v>743</v>
      </c>
      <c r="B191" s="16">
        <v>45384</v>
      </c>
      <c r="C191" s="15" t="s">
        <v>731</v>
      </c>
      <c r="D191" s="15">
        <v>2024</v>
      </c>
      <c r="E191" s="15" t="s">
        <v>46</v>
      </c>
      <c r="F191" s="15" t="s">
        <v>131</v>
      </c>
      <c r="G191" s="15" t="s">
        <v>29</v>
      </c>
      <c r="H191" s="15" t="s">
        <v>271</v>
      </c>
      <c r="I191" s="15" t="s">
        <v>272</v>
      </c>
      <c r="J191" s="17">
        <v>585000</v>
      </c>
      <c r="K191" s="15" t="s">
        <v>299</v>
      </c>
      <c r="L191" s="15" t="s">
        <v>300</v>
      </c>
      <c r="M191" s="15" t="s">
        <v>74</v>
      </c>
      <c r="N191" s="15" t="s">
        <v>733</v>
      </c>
      <c r="O191" s="15">
        <v>10</v>
      </c>
      <c r="P191" s="15" t="s">
        <v>741</v>
      </c>
      <c r="Q191" s="15" t="s">
        <v>744</v>
      </c>
      <c r="R191" s="15"/>
    </row>
    <row r="192" spans="1:18" x14ac:dyDescent="0.35">
      <c r="A192" s="15" t="s">
        <v>745</v>
      </c>
      <c r="B192" s="16">
        <v>45385</v>
      </c>
      <c r="C192" s="15" t="s">
        <v>731</v>
      </c>
      <c r="D192" s="15">
        <v>2024</v>
      </c>
      <c r="E192" s="15" t="s">
        <v>46</v>
      </c>
      <c r="F192" s="15" t="s">
        <v>131</v>
      </c>
      <c r="G192" s="15" t="s">
        <v>31</v>
      </c>
      <c r="H192" s="15" t="s">
        <v>746</v>
      </c>
      <c r="I192" s="15" t="s">
        <v>747</v>
      </c>
      <c r="J192" s="17">
        <v>1000000</v>
      </c>
      <c r="K192" s="15" t="s">
        <v>299</v>
      </c>
      <c r="L192" s="15" t="s">
        <v>300</v>
      </c>
      <c r="M192" s="15" t="s">
        <v>74</v>
      </c>
      <c r="N192" s="15" t="s">
        <v>733</v>
      </c>
      <c r="O192" s="15">
        <v>13</v>
      </c>
      <c r="P192" s="15" t="s">
        <v>748</v>
      </c>
      <c r="Q192" s="15" t="s">
        <v>749</v>
      </c>
      <c r="R192" s="15"/>
    </row>
    <row r="193" spans="1:18" x14ac:dyDescent="0.35">
      <c r="A193" s="15" t="s">
        <v>750</v>
      </c>
      <c r="B193" s="16">
        <v>45385</v>
      </c>
      <c r="C193" s="15" t="s">
        <v>731</v>
      </c>
      <c r="D193" s="15">
        <v>2024</v>
      </c>
      <c r="E193" s="15" t="s">
        <v>46</v>
      </c>
      <c r="F193" s="15" t="s">
        <v>131</v>
      </c>
      <c r="G193" s="15" t="s">
        <v>29</v>
      </c>
      <c r="H193" s="15" t="s">
        <v>625</v>
      </c>
      <c r="I193" s="15" t="s">
        <v>751</v>
      </c>
      <c r="J193" s="17">
        <v>2000000</v>
      </c>
      <c r="K193" s="15" t="s">
        <v>299</v>
      </c>
      <c r="L193" s="15" t="s">
        <v>300</v>
      </c>
      <c r="M193" s="15" t="s">
        <v>74</v>
      </c>
      <c r="N193" s="15" t="s">
        <v>733</v>
      </c>
      <c r="O193" s="15">
        <v>11</v>
      </c>
      <c r="P193" s="15" t="s">
        <v>748</v>
      </c>
      <c r="Q193" s="15" t="s">
        <v>752</v>
      </c>
      <c r="R193" s="15"/>
    </row>
    <row r="194" spans="1:18" x14ac:dyDescent="0.35">
      <c r="A194" s="15" t="s">
        <v>753</v>
      </c>
      <c r="B194" s="16">
        <v>45385</v>
      </c>
      <c r="C194" s="15" t="s">
        <v>731</v>
      </c>
      <c r="D194" s="15">
        <v>2024</v>
      </c>
      <c r="E194" s="15" t="s">
        <v>46</v>
      </c>
      <c r="F194" s="15" t="s">
        <v>131</v>
      </c>
      <c r="G194" s="15" t="s">
        <v>31</v>
      </c>
      <c r="H194" s="15" t="s">
        <v>625</v>
      </c>
      <c r="I194" s="15" t="s">
        <v>751</v>
      </c>
      <c r="J194" s="17">
        <v>2000000</v>
      </c>
      <c r="K194" s="15" t="s">
        <v>299</v>
      </c>
      <c r="L194" s="15" t="s">
        <v>300</v>
      </c>
      <c r="M194" s="15" t="s">
        <v>74</v>
      </c>
      <c r="N194" s="15" t="s">
        <v>733</v>
      </c>
      <c r="O194" s="15">
        <v>12</v>
      </c>
      <c r="P194" s="15" t="s">
        <v>748</v>
      </c>
      <c r="Q194" s="15" t="s">
        <v>754</v>
      </c>
      <c r="R194" s="15"/>
    </row>
    <row r="195" spans="1:18" x14ac:dyDescent="0.35">
      <c r="A195" s="15" t="s">
        <v>755</v>
      </c>
      <c r="B195" s="16">
        <v>45386</v>
      </c>
      <c r="C195" s="15" t="s">
        <v>731</v>
      </c>
      <c r="D195" s="15">
        <v>2024</v>
      </c>
      <c r="E195" s="15" t="s">
        <v>46</v>
      </c>
      <c r="F195" s="15" t="s">
        <v>131</v>
      </c>
      <c r="G195" s="15" t="s">
        <v>31</v>
      </c>
      <c r="H195" s="15" t="s">
        <v>650</v>
      </c>
      <c r="I195" s="15" t="s">
        <v>756</v>
      </c>
      <c r="J195" s="17">
        <v>500000</v>
      </c>
      <c r="K195" s="15" t="s">
        <v>299</v>
      </c>
      <c r="L195" s="15" t="s">
        <v>300</v>
      </c>
      <c r="M195" s="15" t="s">
        <v>74</v>
      </c>
      <c r="N195" s="15" t="s">
        <v>733</v>
      </c>
      <c r="O195" s="15">
        <v>14</v>
      </c>
      <c r="P195" s="15" t="s">
        <v>757</v>
      </c>
      <c r="Q195" s="15" t="s">
        <v>758</v>
      </c>
      <c r="R195" s="15"/>
    </row>
    <row r="196" spans="1:18" x14ac:dyDescent="0.35">
      <c r="A196" s="15" t="s">
        <v>759</v>
      </c>
      <c r="B196" s="16">
        <v>45391</v>
      </c>
      <c r="C196" s="15" t="s">
        <v>731</v>
      </c>
      <c r="D196" s="15">
        <v>2024</v>
      </c>
      <c r="E196" s="15" t="s">
        <v>46</v>
      </c>
      <c r="F196" s="15" t="s">
        <v>131</v>
      </c>
      <c r="G196" s="15" t="s">
        <v>29</v>
      </c>
      <c r="H196" s="15" t="s">
        <v>704</v>
      </c>
      <c r="I196" s="15" t="s">
        <v>705</v>
      </c>
      <c r="J196" s="17">
        <v>500000</v>
      </c>
      <c r="K196" s="15" t="s">
        <v>299</v>
      </c>
      <c r="L196" s="15" t="s">
        <v>300</v>
      </c>
      <c r="M196" s="15" t="s">
        <v>74</v>
      </c>
      <c r="N196" s="15" t="s">
        <v>733</v>
      </c>
      <c r="O196" s="15">
        <v>15</v>
      </c>
      <c r="P196" s="15" t="s">
        <v>760</v>
      </c>
      <c r="Q196" s="15" t="s">
        <v>761</v>
      </c>
      <c r="R196" s="15"/>
    </row>
    <row r="197" spans="1:18" x14ac:dyDescent="0.35">
      <c r="A197" s="15" t="s">
        <v>762</v>
      </c>
      <c r="B197" s="16">
        <v>45391</v>
      </c>
      <c r="C197" s="15" t="s">
        <v>731</v>
      </c>
      <c r="D197" s="15">
        <v>2024</v>
      </c>
      <c r="E197" s="15" t="s">
        <v>46</v>
      </c>
      <c r="F197" s="15" t="s">
        <v>131</v>
      </c>
      <c r="G197" s="15" t="s">
        <v>31</v>
      </c>
      <c r="H197" s="15" t="s">
        <v>140</v>
      </c>
      <c r="I197" s="15" t="s">
        <v>141</v>
      </c>
      <c r="J197" s="17">
        <v>1000000</v>
      </c>
      <c r="K197" s="15" t="s">
        <v>299</v>
      </c>
      <c r="L197" s="15" t="s">
        <v>300</v>
      </c>
      <c r="M197" s="15" t="s">
        <v>74</v>
      </c>
      <c r="N197" s="15" t="s">
        <v>733</v>
      </c>
      <c r="O197" s="15">
        <v>18</v>
      </c>
      <c r="P197" s="15" t="s">
        <v>760</v>
      </c>
      <c r="Q197" s="15" t="s">
        <v>763</v>
      </c>
      <c r="R197" s="15"/>
    </row>
    <row r="198" spans="1:18" x14ac:dyDescent="0.35">
      <c r="A198" s="15" t="s">
        <v>764</v>
      </c>
      <c r="B198" s="16">
        <v>45391</v>
      </c>
      <c r="C198" s="15" t="s">
        <v>731</v>
      </c>
      <c r="D198" s="15">
        <v>2024</v>
      </c>
      <c r="E198" s="15" t="s">
        <v>46</v>
      </c>
      <c r="F198" s="15" t="s">
        <v>131</v>
      </c>
      <c r="G198" s="15" t="s">
        <v>29</v>
      </c>
      <c r="H198" s="15" t="s">
        <v>345</v>
      </c>
      <c r="I198" s="15" t="s">
        <v>765</v>
      </c>
      <c r="J198" s="17">
        <v>1640000</v>
      </c>
      <c r="K198" s="15" t="s">
        <v>299</v>
      </c>
      <c r="L198" s="15" t="s">
        <v>300</v>
      </c>
      <c r="M198" s="15" t="s">
        <v>74</v>
      </c>
      <c r="N198" s="15" t="s">
        <v>733</v>
      </c>
      <c r="O198" s="15">
        <v>16</v>
      </c>
      <c r="P198" s="15" t="s">
        <v>760</v>
      </c>
      <c r="Q198" s="15" t="s">
        <v>766</v>
      </c>
      <c r="R198" s="15"/>
    </row>
    <row r="199" spans="1:18" x14ac:dyDescent="0.35">
      <c r="A199" s="15" t="s">
        <v>767</v>
      </c>
      <c r="B199" s="16">
        <v>45391</v>
      </c>
      <c r="C199" s="15" t="s">
        <v>731</v>
      </c>
      <c r="D199" s="15">
        <v>2024</v>
      </c>
      <c r="E199" s="15" t="s">
        <v>46</v>
      </c>
      <c r="F199" s="15" t="s">
        <v>131</v>
      </c>
      <c r="G199" s="15" t="s">
        <v>29</v>
      </c>
      <c r="H199" s="15" t="s">
        <v>382</v>
      </c>
      <c r="I199" s="15" t="s">
        <v>497</v>
      </c>
      <c r="J199" s="17">
        <v>760000</v>
      </c>
      <c r="K199" s="15" t="s">
        <v>299</v>
      </c>
      <c r="L199" s="15" t="s">
        <v>300</v>
      </c>
      <c r="M199" s="15" t="s">
        <v>74</v>
      </c>
      <c r="N199" s="15" t="s">
        <v>733</v>
      </c>
      <c r="O199" s="15">
        <v>17</v>
      </c>
      <c r="P199" s="15" t="s">
        <v>760</v>
      </c>
      <c r="Q199" s="15" t="s">
        <v>768</v>
      </c>
      <c r="R199" s="15"/>
    </row>
    <row r="200" spans="1:18" x14ac:dyDescent="0.35">
      <c r="A200" s="15" t="s">
        <v>769</v>
      </c>
      <c r="B200" s="16">
        <v>45391</v>
      </c>
      <c r="C200" s="15" t="s">
        <v>731</v>
      </c>
      <c r="D200" s="15">
        <v>2024</v>
      </c>
      <c r="E200" s="15" t="s">
        <v>46</v>
      </c>
      <c r="F200" s="15" t="s">
        <v>131</v>
      </c>
      <c r="G200" s="15" t="s">
        <v>31</v>
      </c>
      <c r="H200" s="15" t="s">
        <v>770</v>
      </c>
      <c r="I200" s="15" t="s">
        <v>771</v>
      </c>
      <c r="J200" s="17">
        <v>1000000</v>
      </c>
      <c r="K200" s="15" t="s">
        <v>299</v>
      </c>
      <c r="L200" s="15" t="s">
        <v>300</v>
      </c>
      <c r="M200" s="15" t="s">
        <v>74</v>
      </c>
      <c r="N200" s="15" t="s">
        <v>733</v>
      </c>
      <c r="O200" s="15">
        <v>19</v>
      </c>
      <c r="P200" s="15" t="s">
        <v>760</v>
      </c>
      <c r="Q200" s="15" t="s">
        <v>772</v>
      </c>
      <c r="R200" s="15"/>
    </row>
    <row r="201" spans="1:18" x14ac:dyDescent="0.35">
      <c r="A201" s="15" t="s">
        <v>773</v>
      </c>
      <c r="B201" s="16">
        <v>45393</v>
      </c>
      <c r="C201" s="15" t="s">
        <v>731</v>
      </c>
      <c r="D201" s="15">
        <v>2024</v>
      </c>
      <c r="E201" s="15" t="s">
        <v>46</v>
      </c>
      <c r="F201" s="15" t="s">
        <v>131</v>
      </c>
      <c r="G201" s="15" t="s">
        <v>31</v>
      </c>
      <c r="H201" s="15" t="s">
        <v>770</v>
      </c>
      <c r="I201" s="15" t="s">
        <v>771</v>
      </c>
      <c r="J201" s="17">
        <v>3200000</v>
      </c>
      <c r="K201" s="15" t="s">
        <v>299</v>
      </c>
      <c r="L201" s="15" t="s">
        <v>300</v>
      </c>
      <c r="M201" s="15" t="s">
        <v>74</v>
      </c>
      <c r="N201" s="15" t="s">
        <v>733</v>
      </c>
      <c r="O201" s="15">
        <v>20</v>
      </c>
      <c r="P201" s="15" t="s">
        <v>774</v>
      </c>
      <c r="Q201" s="15" t="s">
        <v>775</v>
      </c>
      <c r="R201" s="15"/>
    </row>
    <row r="202" spans="1:18" x14ac:dyDescent="0.35">
      <c r="A202" s="15" t="s">
        <v>776</v>
      </c>
      <c r="B202" s="16">
        <v>45397</v>
      </c>
      <c r="C202" s="15" t="s">
        <v>731</v>
      </c>
      <c r="D202" s="15">
        <v>2024</v>
      </c>
      <c r="E202" s="15" t="s">
        <v>46</v>
      </c>
      <c r="F202" s="15" t="s">
        <v>131</v>
      </c>
      <c r="G202" s="15" t="s">
        <v>31</v>
      </c>
      <c r="H202" s="15" t="s">
        <v>636</v>
      </c>
      <c r="I202" s="15" t="s">
        <v>777</v>
      </c>
      <c r="J202" s="17">
        <v>1500000</v>
      </c>
      <c r="K202" s="15" t="s">
        <v>299</v>
      </c>
      <c r="L202" s="15" t="s">
        <v>300</v>
      </c>
      <c r="M202" s="15" t="s">
        <v>74</v>
      </c>
      <c r="N202" s="15" t="s">
        <v>733</v>
      </c>
      <c r="O202" s="15">
        <v>21</v>
      </c>
      <c r="P202" s="15" t="s">
        <v>778</v>
      </c>
      <c r="Q202" s="15" t="s">
        <v>779</v>
      </c>
      <c r="R202" s="15"/>
    </row>
    <row r="203" spans="1:18" x14ac:dyDescent="0.35">
      <c r="A203" s="15" t="s">
        <v>780</v>
      </c>
      <c r="B203" s="16">
        <v>45398</v>
      </c>
      <c r="C203" s="15" t="s">
        <v>731</v>
      </c>
      <c r="D203" s="15">
        <v>2024</v>
      </c>
      <c r="E203" s="15" t="s">
        <v>46</v>
      </c>
      <c r="F203" s="15" t="s">
        <v>131</v>
      </c>
      <c r="G203" s="15" t="s">
        <v>31</v>
      </c>
      <c r="H203" s="15" t="s">
        <v>640</v>
      </c>
      <c r="I203" s="15" t="s">
        <v>641</v>
      </c>
      <c r="J203" s="17">
        <v>1000000</v>
      </c>
      <c r="K203" s="15" t="s">
        <v>299</v>
      </c>
      <c r="L203" s="15" t="s">
        <v>300</v>
      </c>
      <c r="M203" s="15" t="s">
        <v>74</v>
      </c>
      <c r="N203" s="15" t="s">
        <v>733</v>
      </c>
      <c r="O203" s="15">
        <v>24</v>
      </c>
      <c r="P203" s="15" t="s">
        <v>781</v>
      </c>
      <c r="Q203" s="15" t="s">
        <v>782</v>
      </c>
      <c r="R203" s="15"/>
    </row>
    <row r="204" spans="1:18" x14ac:dyDescent="0.35">
      <c r="A204" s="15" t="s">
        <v>783</v>
      </c>
      <c r="B204" s="16">
        <v>45398</v>
      </c>
      <c r="C204" s="15" t="s">
        <v>731</v>
      </c>
      <c r="D204" s="15">
        <v>2024</v>
      </c>
      <c r="E204" s="15" t="s">
        <v>46</v>
      </c>
      <c r="F204" s="15" t="s">
        <v>131</v>
      </c>
      <c r="G204" s="15" t="s">
        <v>31</v>
      </c>
      <c r="H204" s="15" t="s">
        <v>784</v>
      </c>
      <c r="I204" s="15" t="s">
        <v>785</v>
      </c>
      <c r="J204" s="17">
        <v>4000000</v>
      </c>
      <c r="K204" s="15" t="s">
        <v>299</v>
      </c>
      <c r="L204" s="15" t="s">
        <v>300</v>
      </c>
      <c r="M204" s="15" t="s">
        <v>74</v>
      </c>
      <c r="N204" s="15" t="s">
        <v>733</v>
      </c>
      <c r="O204" s="15">
        <v>23</v>
      </c>
      <c r="P204" s="15" t="s">
        <v>781</v>
      </c>
      <c r="Q204" s="15" t="s">
        <v>786</v>
      </c>
      <c r="R204" s="15"/>
    </row>
    <row r="205" spans="1:18" x14ac:dyDescent="0.35">
      <c r="A205" s="15" t="s">
        <v>787</v>
      </c>
      <c r="B205" s="16">
        <v>45398</v>
      </c>
      <c r="C205" s="15" t="s">
        <v>731</v>
      </c>
      <c r="D205" s="15">
        <v>2024</v>
      </c>
      <c r="E205" s="15" t="s">
        <v>46</v>
      </c>
      <c r="F205" s="15" t="s">
        <v>131</v>
      </c>
      <c r="G205" s="15" t="s">
        <v>31</v>
      </c>
      <c r="H205" s="15" t="s">
        <v>337</v>
      </c>
      <c r="I205" s="15" t="s">
        <v>732</v>
      </c>
      <c r="J205" s="17">
        <v>400000</v>
      </c>
      <c r="K205" s="15" t="s">
        <v>299</v>
      </c>
      <c r="L205" s="15" t="s">
        <v>300</v>
      </c>
      <c r="M205" s="15" t="s">
        <v>74</v>
      </c>
      <c r="N205" s="15" t="s">
        <v>733</v>
      </c>
      <c r="O205" s="15">
        <v>22</v>
      </c>
      <c r="P205" s="15" t="s">
        <v>781</v>
      </c>
      <c r="Q205" s="15" t="s">
        <v>788</v>
      </c>
      <c r="R205" s="15"/>
    </row>
    <row r="206" spans="1:18" x14ac:dyDescent="0.35">
      <c r="A206" s="15" t="s">
        <v>789</v>
      </c>
      <c r="B206" s="16">
        <v>45399</v>
      </c>
      <c r="C206" s="15" t="s">
        <v>731</v>
      </c>
      <c r="D206" s="15">
        <v>2024</v>
      </c>
      <c r="E206" s="15" t="s">
        <v>46</v>
      </c>
      <c r="F206" s="15" t="s">
        <v>131</v>
      </c>
      <c r="G206" s="15" t="s">
        <v>29</v>
      </c>
      <c r="H206" s="15" t="s">
        <v>382</v>
      </c>
      <c r="I206" s="15" t="s">
        <v>497</v>
      </c>
      <c r="J206" s="17">
        <v>420000</v>
      </c>
      <c r="K206" s="15" t="s">
        <v>299</v>
      </c>
      <c r="L206" s="15" t="s">
        <v>300</v>
      </c>
      <c r="M206" s="15" t="s">
        <v>74</v>
      </c>
      <c r="N206" s="15" t="s">
        <v>733</v>
      </c>
      <c r="O206" s="15">
        <v>25</v>
      </c>
      <c r="P206" s="15" t="s">
        <v>790</v>
      </c>
      <c r="Q206" s="15" t="s">
        <v>791</v>
      </c>
      <c r="R206" s="15"/>
    </row>
    <row r="207" spans="1:18" x14ac:dyDescent="0.35">
      <c r="A207" s="15" t="s">
        <v>792</v>
      </c>
      <c r="B207" s="16">
        <v>45399</v>
      </c>
      <c r="C207" s="15" t="s">
        <v>731</v>
      </c>
      <c r="D207" s="15">
        <v>2024</v>
      </c>
      <c r="E207" s="15" t="s">
        <v>46</v>
      </c>
      <c r="F207" s="15" t="s">
        <v>131</v>
      </c>
      <c r="G207" s="15" t="s">
        <v>31</v>
      </c>
      <c r="H207" s="15" t="s">
        <v>397</v>
      </c>
      <c r="I207" s="15" t="s">
        <v>793</v>
      </c>
      <c r="J207" s="17">
        <v>188600</v>
      </c>
      <c r="K207" s="15" t="s">
        <v>299</v>
      </c>
      <c r="L207" s="15" t="s">
        <v>300</v>
      </c>
      <c r="M207" s="15" t="s">
        <v>74</v>
      </c>
      <c r="N207" s="15" t="s">
        <v>733</v>
      </c>
      <c r="O207" s="15">
        <v>26</v>
      </c>
      <c r="P207" s="15" t="s">
        <v>790</v>
      </c>
      <c r="Q207" s="15" t="s">
        <v>794</v>
      </c>
      <c r="R207" s="15"/>
    </row>
    <row r="208" spans="1:18" x14ac:dyDescent="0.35">
      <c r="A208" s="15" t="s">
        <v>795</v>
      </c>
      <c r="B208" s="16">
        <v>45400</v>
      </c>
      <c r="C208" s="15" t="s">
        <v>731</v>
      </c>
      <c r="D208" s="15">
        <v>2024</v>
      </c>
      <c r="E208" s="15" t="s">
        <v>46</v>
      </c>
      <c r="F208" s="15" t="s">
        <v>131</v>
      </c>
      <c r="G208" s="15" t="s">
        <v>29</v>
      </c>
      <c r="H208" s="15" t="s">
        <v>352</v>
      </c>
      <c r="I208" s="15" t="s">
        <v>523</v>
      </c>
      <c r="J208" s="17">
        <v>500000</v>
      </c>
      <c r="K208" s="15" t="s">
        <v>299</v>
      </c>
      <c r="L208" s="15" t="s">
        <v>300</v>
      </c>
      <c r="M208" s="15" t="s">
        <v>74</v>
      </c>
      <c r="N208" s="15" t="s">
        <v>733</v>
      </c>
      <c r="O208" s="15">
        <v>29</v>
      </c>
      <c r="P208" s="15" t="s">
        <v>796</v>
      </c>
      <c r="Q208" s="15" t="s">
        <v>797</v>
      </c>
      <c r="R208" s="15"/>
    </row>
    <row r="209" spans="1:18" x14ac:dyDescent="0.35">
      <c r="A209" s="15" t="s">
        <v>798</v>
      </c>
      <c r="B209" s="16">
        <v>45400</v>
      </c>
      <c r="C209" s="15" t="s">
        <v>731</v>
      </c>
      <c r="D209" s="15">
        <v>2024</v>
      </c>
      <c r="E209" s="15" t="s">
        <v>46</v>
      </c>
      <c r="F209" s="15" t="s">
        <v>131</v>
      </c>
      <c r="G209" s="15" t="s">
        <v>31</v>
      </c>
      <c r="H209" s="15" t="s">
        <v>625</v>
      </c>
      <c r="I209" s="15" t="s">
        <v>751</v>
      </c>
      <c r="J209" s="17">
        <v>500000</v>
      </c>
      <c r="K209" s="15" t="s">
        <v>299</v>
      </c>
      <c r="L209" s="15" t="s">
        <v>300</v>
      </c>
      <c r="M209" s="15" t="s">
        <v>74</v>
      </c>
      <c r="N209" s="15" t="s">
        <v>733</v>
      </c>
      <c r="O209" s="15">
        <v>27</v>
      </c>
      <c r="P209" s="15" t="s">
        <v>796</v>
      </c>
      <c r="Q209" s="15" t="s">
        <v>799</v>
      </c>
      <c r="R209" s="15"/>
    </row>
    <row r="210" spans="1:18" x14ac:dyDescent="0.35">
      <c r="A210" s="15" t="s">
        <v>800</v>
      </c>
      <c r="B210" s="16">
        <v>45400</v>
      </c>
      <c r="C210" s="15" t="s">
        <v>731</v>
      </c>
      <c r="D210" s="15">
        <v>2024</v>
      </c>
      <c r="E210" s="15" t="s">
        <v>46</v>
      </c>
      <c r="F210" s="15" t="s">
        <v>131</v>
      </c>
      <c r="G210" s="15" t="s">
        <v>29</v>
      </c>
      <c r="H210" s="15" t="s">
        <v>625</v>
      </c>
      <c r="I210" s="15" t="s">
        <v>751</v>
      </c>
      <c r="J210" s="17">
        <v>3600000</v>
      </c>
      <c r="K210" s="15" t="s">
        <v>299</v>
      </c>
      <c r="L210" s="15" t="s">
        <v>300</v>
      </c>
      <c r="M210" s="15" t="s">
        <v>74</v>
      </c>
      <c r="N210" s="15" t="s">
        <v>733</v>
      </c>
      <c r="O210" s="15">
        <v>28</v>
      </c>
      <c r="P210" s="15" t="s">
        <v>796</v>
      </c>
      <c r="Q210" s="15" t="s">
        <v>801</v>
      </c>
      <c r="R210" s="15"/>
    </row>
    <row r="211" spans="1:18" x14ac:dyDescent="0.35">
      <c r="A211" s="15" t="s">
        <v>802</v>
      </c>
      <c r="B211" s="16">
        <v>45404</v>
      </c>
      <c r="C211" s="15" t="s">
        <v>731</v>
      </c>
      <c r="D211" s="15">
        <v>2024</v>
      </c>
      <c r="E211" s="15" t="s">
        <v>46</v>
      </c>
      <c r="F211" s="15" t="s">
        <v>131</v>
      </c>
      <c r="G211" s="15" t="s">
        <v>29</v>
      </c>
      <c r="H211" s="15" t="s">
        <v>222</v>
      </c>
      <c r="I211" s="15" t="s">
        <v>608</v>
      </c>
      <c r="J211" s="17">
        <v>2800000</v>
      </c>
      <c r="K211" s="15" t="s">
        <v>299</v>
      </c>
      <c r="L211" s="15" t="s">
        <v>300</v>
      </c>
      <c r="M211" s="15" t="s">
        <v>74</v>
      </c>
      <c r="N211" s="15" t="s">
        <v>733</v>
      </c>
      <c r="O211" s="15">
        <v>30</v>
      </c>
      <c r="P211" s="15" t="s">
        <v>803</v>
      </c>
      <c r="Q211" s="15" t="s">
        <v>804</v>
      </c>
      <c r="R211" s="15"/>
    </row>
    <row r="212" spans="1:18" x14ac:dyDescent="0.35">
      <c r="A212" s="15" t="s">
        <v>805</v>
      </c>
      <c r="B212" s="16">
        <v>45404</v>
      </c>
      <c r="C212" s="15" t="s">
        <v>731</v>
      </c>
      <c r="D212" s="15">
        <v>2024</v>
      </c>
      <c r="E212" s="15" t="s">
        <v>46</v>
      </c>
      <c r="F212" s="15" t="s">
        <v>131</v>
      </c>
      <c r="G212" s="15" t="s">
        <v>29</v>
      </c>
      <c r="H212" s="15" t="s">
        <v>147</v>
      </c>
      <c r="I212" s="15" t="s">
        <v>148</v>
      </c>
      <c r="J212" s="17">
        <v>3000000</v>
      </c>
      <c r="K212" s="15" t="s">
        <v>299</v>
      </c>
      <c r="L212" s="15" t="s">
        <v>300</v>
      </c>
      <c r="M212" s="15" t="s">
        <v>74</v>
      </c>
      <c r="N212" s="15" t="s">
        <v>733</v>
      </c>
      <c r="O212" s="15">
        <v>31</v>
      </c>
      <c r="P212" s="15" t="s">
        <v>803</v>
      </c>
      <c r="Q212" s="15" t="s">
        <v>806</v>
      </c>
      <c r="R212" s="15"/>
    </row>
    <row r="213" spans="1:18" x14ac:dyDescent="0.35">
      <c r="A213" s="15" t="s">
        <v>807</v>
      </c>
      <c r="B213" s="16">
        <v>45405</v>
      </c>
      <c r="C213" s="15" t="s">
        <v>731</v>
      </c>
      <c r="D213" s="15">
        <v>2024</v>
      </c>
      <c r="E213" s="15" t="s">
        <v>46</v>
      </c>
      <c r="F213" s="15" t="s">
        <v>131</v>
      </c>
      <c r="G213" s="15" t="s">
        <v>29</v>
      </c>
      <c r="H213" s="15" t="s">
        <v>285</v>
      </c>
      <c r="I213" s="15" t="s">
        <v>286</v>
      </c>
      <c r="J213" s="17">
        <v>100000</v>
      </c>
      <c r="K213" s="15" t="s">
        <v>299</v>
      </c>
      <c r="L213" s="15" t="s">
        <v>300</v>
      </c>
      <c r="M213" s="15" t="s">
        <v>74</v>
      </c>
      <c r="N213" s="15" t="s">
        <v>733</v>
      </c>
      <c r="O213" s="15">
        <v>32</v>
      </c>
      <c r="P213" s="15" t="s">
        <v>808</v>
      </c>
      <c r="Q213" s="15" t="s">
        <v>809</v>
      </c>
      <c r="R213" s="15"/>
    </row>
    <row r="214" spans="1:18" x14ac:dyDescent="0.35">
      <c r="A214" s="15" t="s">
        <v>810</v>
      </c>
      <c r="B214" s="16">
        <v>45406</v>
      </c>
      <c r="C214" s="15" t="s">
        <v>731</v>
      </c>
      <c r="D214" s="15">
        <v>2024</v>
      </c>
      <c r="E214" s="15" t="s">
        <v>46</v>
      </c>
      <c r="F214" s="15" t="s">
        <v>131</v>
      </c>
      <c r="G214" s="15" t="s">
        <v>29</v>
      </c>
      <c r="H214" s="15" t="s">
        <v>285</v>
      </c>
      <c r="I214" s="15" t="s">
        <v>286</v>
      </c>
      <c r="J214" s="17">
        <v>100000</v>
      </c>
      <c r="K214" s="15" t="s">
        <v>299</v>
      </c>
      <c r="L214" s="15" t="s">
        <v>300</v>
      </c>
      <c r="M214" s="15" t="s">
        <v>74</v>
      </c>
      <c r="N214" s="15" t="s">
        <v>733</v>
      </c>
      <c r="O214" s="15">
        <v>33</v>
      </c>
      <c r="P214" s="15" t="s">
        <v>811</v>
      </c>
      <c r="Q214" s="15" t="s">
        <v>812</v>
      </c>
      <c r="R214" s="15"/>
    </row>
    <row r="215" spans="1:18" x14ac:dyDescent="0.35">
      <c r="A215" s="15" t="s">
        <v>813</v>
      </c>
      <c r="B215" s="16">
        <v>45408</v>
      </c>
      <c r="C215" s="15" t="s">
        <v>731</v>
      </c>
      <c r="D215" s="15">
        <v>2024</v>
      </c>
      <c r="E215" s="15" t="s">
        <v>46</v>
      </c>
      <c r="F215" s="15" t="s">
        <v>131</v>
      </c>
      <c r="G215" s="15" t="s">
        <v>31</v>
      </c>
      <c r="H215" s="15" t="s">
        <v>654</v>
      </c>
      <c r="I215" s="15" t="s">
        <v>655</v>
      </c>
      <c r="J215" s="17">
        <v>1000000</v>
      </c>
      <c r="K215" s="15" t="s">
        <v>299</v>
      </c>
      <c r="L215" s="15" t="s">
        <v>300</v>
      </c>
      <c r="M215" s="15" t="s">
        <v>74</v>
      </c>
      <c r="N215" s="15" t="s">
        <v>733</v>
      </c>
      <c r="O215" s="15">
        <v>34</v>
      </c>
      <c r="P215" s="15" t="s">
        <v>814</v>
      </c>
      <c r="Q215" s="15" t="s">
        <v>815</v>
      </c>
      <c r="R215" s="15"/>
    </row>
    <row r="216" spans="1:18" x14ac:dyDescent="0.35">
      <c r="A216" s="15" t="s">
        <v>816</v>
      </c>
      <c r="B216" s="16">
        <v>45408</v>
      </c>
      <c r="C216" s="15" t="s">
        <v>731</v>
      </c>
      <c r="D216" s="15">
        <v>2024</v>
      </c>
      <c r="E216" s="15" t="s">
        <v>46</v>
      </c>
      <c r="F216" s="15" t="s">
        <v>131</v>
      </c>
      <c r="G216" s="15" t="s">
        <v>31</v>
      </c>
      <c r="H216" s="15" t="s">
        <v>713</v>
      </c>
      <c r="I216" s="15" t="s">
        <v>817</v>
      </c>
      <c r="J216" s="17">
        <v>500000</v>
      </c>
      <c r="K216" s="15" t="s">
        <v>299</v>
      </c>
      <c r="L216" s="15" t="s">
        <v>300</v>
      </c>
      <c r="M216" s="15" t="s">
        <v>74</v>
      </c>
      <c r="N216" s="15" t="s">
        <v>733</v>
      </c>
      <c r="O216" s="15">
        <v>35</v>
      </c>
      <c r="P216" s="15" t="s">
        <v>814</v>
      </c>
      <c r="Q216" s="15" t="s">
        <v>818</v>
      </c>
      <c r="R216" s="15"/>
    </row>
    <row r="217" spans="1:18" x14ac:dyDescent="0.35">
      <c r="A217" s="15" t="s">
        <v>819</v>
      </c>
      <c r="B217" s="16">
        <v>45409</v>
      </c>
      <c r="C217" s="15" t="s">
        <v>731</v>
      </c>
      <c r="D217" s="15">
        <v>2024</v>
      </c>
      <c r="E217" s="15" t="s">
        <v>46</v>
      </c>
      <c r="F217" s="15" t="s">
        <v>131</v>
      </c>
      <c r="G217" s="15" t="s">
        <v>31</v>
      </c>
      <c r="H217" s="15" t="s">
        <v>820</v>
      </c>
      <c r="I217" s="15" t="s">
        <v>821</v>
      </c>
      <c r="J217" s="17">
        <v>500000</v>
      </c>
      <c r="K217" s="15" t="s">
        <v>299</v>
      </c>
      <c r="L217" s="15" t="s">
        <v>300</v>
      </c>
      <c r="M217" s="15" t="s">
        <v>74</v>
      </c>
      <c r="N217" s="15" t="s">
        <v>733</v>
      </c>
      <c r="O217" s="15">
        <v>37</v>
      </c>
      <c r="P217" s="15" t="s">
        <v>822</v>
      </c>
      <c r="Q217" s="15" t="s">
        <v>823</v>
      </c>
      <c r="R217" s="15"/>
    </row>
    <row r="218" spans="1:18" x14ac:dyDescent="0.35">
      <c r="A218" s="15" t="s">
        <v>824</v>
      </c>
      <c r="B218" s="16">
        <v>45409</v>
      </c>
      <c r="C218" s="15" t="s">
        <v>731</v>
      </c>
      <c r="D218" s="15">
        <v>2024</v>
      </c>
      <c r="E218" s="15" t="s">
        <v>46</v>
      </c>
      <c r="F218" s="15" t="s">
        <v>131</v>
      </c>
      <c r="G218" s="15" t="s">
        <v>31</v>
      </c>
      <c r="H218" s="15" t="s">
        <v>620</v>
      </c>
      <c r="I218" s="15" t="s">
        <v>825</v>
      </c>
      <c r="J218" s="17">
        <v>200000</v>
      </c>
      <c r="K218" s="15" t="s">
        <v>299</v>
      </c>
      <c r="L218" s="15" t="s">
        <v>300</v>
      </c>
      <c r="M218" s="15" t="s">
        <v>74</v>
      </c>
      <c r="N218" s="15" t="s">
        <v>733</v>
      </c>
      <c r="O218" s="15">
        <v>36</v>
      </c>
      <c r="P218" s="15" t="s">
        <v>822</v>
      </c>
      <c r="Q218" s="15" t="s">
        <v>826</v>
      </c>
      <c r="R218" s="15"/>
    </row>
    <row r="219" spans="1:18" x14ac:dyDescent="0.35">
      <c r="A219" s="15" t="s">
        <v>827</v>
      </c>
      <c r="B219" s="16">
        <v>45411</v>
      </c>
      <c r="C219" s="15" t="s">
        <v>731</v>
      </c>
      <c r="D219" s="15">
        <v>2024</v>
      </c>
      <c r="E219" s="15" t="s">
        <v>46</v>
      </c>
      <c r="F219" s="15" t="s">
        <v>131</v>
      </c>
      <c r="G219" s="15" t="s">
        <v>29</v>
      </c>
      <c r="H219" s="15" t="s">
        <v>188</v>
      </c>
      <c r="I219" s="15" t="s">
        <v>189</v>
      </c>
      <c r="J219" s="17">
        <v>810000</v>
      </c>
      <c r="K219" s="15" t="s">
        <v>299</v>
      </c>
      <c r="L219" s="15" t="s">
        <v>300</v>
      </c>
      <c r="M219" s="15" t="s">
        <v>74</v>
      </c>
      <c r="N219" s="15" t="s">
        <v>733</v>
      </c>
      <c r="O219" s="15">
        <v>38</v>
      </c>
      <c r="P219" s="15" t="s">
        <v>828</v>
      </c>
      <c r="Q219" s="15" t="s">
        <v>829</v>
      </c>
      <c r="R219" s="15"/>
    </row>
    <row r="220" spans="1:18" x14ac:dyDescent="0.35">
      <c r="A220" s="15" t="s">
        <v>830</v>
      </c>
      <c r="B220" s="16">
        <v>45412</v>
      </c>
      <c r="C220" s="15" t="s">
        <v>731</v>
      </c>
      <c r="D220" s="15">
        <v>2024</v>
      </c>
      <c r="E220" s="15" t="s">
        <v>46</v>
      </c>
      <c r="F220" s="15" t="s">
        <v>131</v>
      </c>
      <c r="G220" s="15" t="s">
        <v>31</v>
      </c>
      <c r="H220" s="15" t="s">
        <v>203</v>
      </c>
      <c r="I220" s="15" t="s">
        <v>831</v>
      </c>
      <c r="J220" s="17">
        <v>200000</v>
      </c>
      <c r="K220" s="15" t="s">
        <v>299</v>
      </c>
      <c r="L220" s="15" t="s">
        <v>300</v>
      </c>
      <c r="M220" s="15" t="s">
        <v>74</v>
      </c>
      <c r="N220" s="15" t="s">
        <v>733</v>
      </c>
      <c r="O220" s="15">
        <v>42</v>
      </c>
      <c r="P220" s="15" t="s">
        <v>832</v>
      </c>
      <c r="Q220" s="15" t="s">
        <v>833</v>
      </c>
      <c r="R220" s="15"/>
    </row>
    <row r="221" spans="1:18" x14ac:dyDescent="0.35">
      <c r="A221" s="15" t="s">
        <v>834</v>
      </c>
      <c r="B221" s="16">
        <v>45412</v>
      </c>
      <c r="C221" s="15" t="s">
        <v>731</v>
      </c>
      <c r="D221" s="15">
        <v>2024</v>
      </c>
      <c r="E221" s="15" t="s">
        <v>46</v>
      </c>
      <c r="F221" s="15" t="s">
        <v>131</v>
      </c>
      <c r="G221" s="15" t="s">
        <v>29</v>
      </c>
      <c r="H221" s="15" t="s">
        <v>382</v>
      </c>
      <c r="I221" s="15" t="s">
        <v>497</v>
      </c>
      <c r="J221" s="17">
        <v>270000</v>
      </c>
      <c r="K221" s="15" t="s">
        <v>299</v>
      </c>
      <c r="L221" s="15" t="s">
        <v>300</v>
      </c>
      <c r="M221" s="15" t="s">
        <v>74</v>
      </c>
      <c r="N221" s="15" t="s">
        <v>733</v>
      </c>
      <c r="O221" s="15">
        <v>40</v>
      </c>
      <c r="P221" s="15" t="s">
        <v>832</v>
      </c>
      <c r="Q221" s="15" t="s">
        <v>835</v>
      </c>
      <c r="R221" s="15"/>
    </row>
    <row r="222" spans="1:18" x14ac:dyDescent="0.35">
      <c r="A222" s="15" t="s">
        <v>836</v>
      </c>
      <c r="B222" s="16">
        <v>45412</v>
      </c>
      <c r="C222" s="15" t="s">
        <v>731</v>
      </c>
      <c r="D222" s="15">
        <v>2024</v>
      </c>
      <c r="E222" s="15" t="s">
        <v>46</v>
      </c>
      <c r="F222" s="15" t="s">
        <v>131</v>
      </c>
      <c r="G222" s="15" t="s">
        <v>29</v>
      </c>
      <c r="H222" s="15" t="s">
        <v>278</v>
      </c>
      <c r="I222" s="15" t="s">
        <v>279</v>
      </c>
      <c r="J222" s="17">
        <v>500000</v>
      </c>
      <c r="K222" s="15" t="s">
        <v>299</v>
      </c>
      <c r="L222" s="15" t="s">
        <v>300</v>
      </c>
      <c r="M222" s="15" t="s">
        <v>74</v>
      </c>
      <c r="N222" s="15" t="s">
        <v>733</v>
      </c>
      <c r="O222" s="15">
        <v>41</v>
      </c>
      <c r="P222" s="15" t="s">
        <v>832</v>
      </c>
      <c r="Q222" s="15" t="s">
        <v>837</v>
      </c>
      <c r="R222" s="15"/>
    </row>
    <row r="223" spans="1:18" x14ac:dyDescent="0.35">
      <c r="A223" s="15" t="s">
        <v>838</v>
      </c>
      <c r="B223" s="16">
        <v>45412</v>
      </c>
      <c r="C223" s="15" t="s">
        <v>731</v>
      </c>
      <c r="D223" s="15">
        <v>2024</v>
      </c>
      <c r="E223" s="15" t="s">
        <v>46</v>
      </c>
      <c r="F223" s="15" t="s">
        <v>131</v>
      </c>
      <c r="G223" s="15" t="s">
        <v>31</v>
      </c>
      <c r="H223" s="15" t="s">
        <v>337</v>
      </c>
      <c r="I223" s="15" t="s">
        <v>732</v>
      </c>
      <c r="J223" s="17">
        <v>450000</v>
      </c>
      <c r="K223" s="15" t="s">
        <v>299</v>
      </c>
      <c r="L223" s="15" t="s">
        <v>300</v>
      </c>
      <c r="M223" s="15" t="s">
        <v>74</v>
      </c>
      <c r="N223" s="15" t="s">
        <v>733</v>
      </c>
      <c r="O223" s="15">
        <v>39</v>
      </c>
      <c r="P223" s="15" t="s">
        <v>832</v>
      </c>
      <c r="Q223" s="15" t="s">
        <v>839</v>
      </c>
      <c r="R223" s="15"/>
    </row>
    <row r="224" spans="1:18" x14ac:dyDescent="0.35">
      <c r="A224" s="15" t="s">
        <v>840</v>
      </c>
      <c r="B224" s="16">
        <v>45412</v>
      </c>
      <c r="C224" s="15" t="s">
        <v>731</v>
      </c>
      <c r="D224" s="15">
        <v>2024</v>
      </c>
      <c r="E224" s="15" t="s">
        <v>46</v>
      </c>
      <c r="F224" s="15" t="s">
        <v>131</v>
      </c>
      <c r="G224" s="15" t="s">
        <v>29</v>
      </c>
      <c r="H224" s="15" t="s">
        <v>208</v>
      </c>
      <c r="I224" s="15" t="s">
        <v>723</v>
      </c>
      <c r="J224" s="17">
        <v>1000000</v>
      </c>
      <c r="K224" s="15" t="s">
        <v>299</v>
      </c>
      <c r="L224" s="15" t="s">
        <v>300</v>
      </c>
      <c r="M224" s="15" t="s">
        <v>74</v>
      </c>
      <c r="N224" s="15" t="s">
        <v>733</v>
      </c>
      <c r="O224" s="15">
        <v>44</v>
      </c>
      <c r="P224" s="15" t="s">
        <v>832</v>
      </c>
      <c r="Q224" s="15"/>
      <c r="R224" s="15"/>
    </row>
    <row r="225" spans="1:18" x14ac:dyDescent="0.35">
      <c r="A225" s="15" t="s">
        <v>841</v>
      </c>
      <c r="B225" s="16">
        <v>45412</v>
      </c>
      <c r="C225" s="15" t="s">
        <v>731</v>
      </c>
      <c r="D225" s="15">
        <v>2024</v>
      </c>
      <c r="E225" s="15" t="s">
        <v>46</v>
      </c>
      <c r="F225" s="15" t="s">
        <v>131</v>
      </c>
      <c r="G225" s="15" t="s">
        <v>31</v>
      </c>
      <c r="H225" s="15" t="s">
        <v>612</v>
      </c>
      <c r="I225" s="15" t="s">
        <v>842</v>
      </c>
      <c r="J225" s="17">
        <v>300000</v>
      </c>
      <c r="K225" s="15" t="s">
        <v>299</v>
      </c>
      <c r="L225" s="15" t="s">
        <v>300</v>
      </c>
      <c r="M225" s="15" t="s">
        <v>74</v>
      </c>
      <c r="N225" s="15" t="s">
        <v>733</v>
      </c>
      <c r="O225" s="15">
        <v>43</v>
      </c>
      <c r="P225" s="15" t="s">
        <v>832</v>
      </c>
      <c r="Q225" s="15" t="s">
        <v>843</v>
      </c>
      <c r="R225" s="15"/>
    </row>
    <row r="226" spans="1:18" x14ac:dyDescent="0.35">
      <c r="A226" s="15" t="s">
        <v>844</v>
      </c>
      <c r="B226" s="16">
        <v>45413</v>
      </c>
      <c r="C226" s="15" t="s">
        <v>845</v>
      </c>
      <c r="D226" s="15">
        <v>2024</v>
      </c>
      <c r="E226" s="15" t="s">
        <v>46</v>
      </c>
      <c r="F226" s="15" t="s">
        <v>131</v>
      </c>
      <c r="G226" s="15" t="s">
        <v>29</v>
      </c>
      <c r="H226" s="15" t="s">
        <v>208</v>
      </c>
      <c r="I226" s="15" t="s">
        <v>257</v>
      </c>
      <c r="J226" s="17">
        <v>973000</v>
      </c>
      <c r="K226" s="15" t="s">
        <v>299</v>
      </c>
      <c r="L226" s="15" t="s">
        <v>300</v>
      </c>
      <c r="M226" s="15" t="s">
        <v>74</v>
      </c>
      <c r="N226" s="15" t="s">
        <v>846</v>
      </c>
      <c r="O226" s="15">
        <v>7</v>
      </c>
      <c r="P226" s="15" t="s">
        <v>847</v>
      </c>
      <c r="Q226" s="15" t="s">
        <v>848</v>
      </c>
      <c r="R226" s="15"/>
    </row>
    <row r="227" spans="1:18" x14ac:dyDescent="0.35">
      <c r="A227" s="15" t="s">
        <v>849</v>
      </c>
      <c r="B227" s="16">
        <v>45413</v>
      </c>
      <c r="C227" s="15" t="s">
        <v>845</v>
      </c>
      <c r="D227" s="15">
        <v>2024</v>
      </c>
      <c r="E227" s="15" t="s">
        <v>46</v>
      </c>
      <c r="F227" s="15" t="s">
        <v>131</v>
      </c>
      <c r="G227" s="15" t="s">
        <v>29</v>
      </c>
      <c r="H227" s="15" t="s">
        <v>271</v>
      </c>
      <c r="I227" s="15" t="s">
        <v>850</v>
      </c>
      <c r="J227" s="17">
        <v>1000000</v>
      </c>
      <c r="K227" s="15" t="s">
        <v>299</v>
      </c>
      <c r="L227" s="15" t="s">
        <v>300</v>
      </c>
      <c r="M227" s="15" t="s">
        <v>74</v>
      </c>
      <c r="N227" s="15" t="s">
        <v>846</v>
      </c>
      <c r="O227" s="15">
        <v>6</v>
      </c>
      <c r="P227" s="15" t="s">
        <v>847</v>
      </c>
      <c r="Q227" s="15" t="s">
        <v>851</v>
      </c>
      <c r="R227" s="15"/>
    </row>
    <row r="228" spans="1:18" x14ac:dyDescent="0.35">
      <c r="A228" s="15" t="s">
        <v>852</v>
      </c>
      <c r="B228" s="16">
        <v>45414</v>
      </c>
      <c r="C228" s="15" t="s">
        <v>845</v>
      </c>
      <c r="D228" s="15">
        <v>2024</v>
      </c>
      <c r="E228" s="15" t="s">
        <v>46</v>
      </c>
      <c r="F228" s="15" t="s">
        <v>131</v>
      </c>
      <c r="G228" s="15" t="s">
        <v>31</v>
      </c>
      <c r="H228" s="15" t="s">
        <v>152</v>
      </c>
      <c r="I228" s="15" t="s">
        <v>153</v>
      </c>
      <c r="J228" s="17">
        <v>700000</v>
      </c>
      <c r="K228" s="15" t="s">
        <v>299</v>
      </c>
      <c r="L228" s="15" t="s">
        <v>300</v>
      </c>
      <c r="M228" s="15" t="s">
        <v>74</v>
      </c>
      <c r="N228" s="15" t="s">
        <v>846</v>
      </c>
      <c r="O228" s="15">
        <v>8</v>
      </c>
      <c r="P228" s="15" t="s">
        <v>853</v>
      </c>
      <c r="Q228" s="15" t="s">
        <v>854</v>
      </c>
      <c r="R228" s="15"/>
    </row>
    <row r="229" spans="1:18" x14ac:dyDescent="0.35">
      <c r="A229" s="15" t="s">
        <v>855</v>
      </c>
      <c r="B229" s="16">
        <v>45415</v>
      </c>
      <c r="C229" s="15" t="s">
        <v>845</v>
      </c>
      <c r="D229" s="15">
        <v>2024</v>
      </c>
      <c r="E229" s="15" t="s">
        <v>46</v>
      </c>
      <c r="F229" s="15" t="s">
        <v>131</v>
      </c>
      <c r="G229" s="15" t="s">
        <v>29</v>
      </c>
      <c r="H229" s="15" t="s">
        <v>208</v>
      </c>
      <c r="I229" s="15" t="s">
        <v>257</v>
      </c>
      <c r="J229" s="17">
        <v>1334750</v>
      </c>
      <c r="K229" s="15" t="s">
        <v>299</v>
      </c>
      <c r="L229" s="15" t="s">
        <v>300</v>
      </c>
      <c r="M229" s="15" t="s">
        <v>74</v>
      </c>
      <c r="N229" s="15" t="s">
        <v>846</v>
      </c>
      <c r="O229" s="15">
        <v>9</v>
      </c>
      <c r="P229" s="15" t="s">
        <v>856</v>
      </c>
      <c r="Q229" s="15" t="s">
        <v>857</v>
      </c>
      <c r="R229" s="15"/>
    </row>
    <row r="230" spans="1:18" x14ac:dyDescent="0.35">
      <c r="A230" s="15" t="s">
        <v>858</v>
      </c>
      <c r="B230" s="16">
        <v>45415</v>
      </c>
      <c r="C230" s="15" t="s">
        <v>845</v>
      </c>
      <c r="D230" s="15">
        <v>2024</v>
      </c>
      <c r="E230" s="15" t="s">
        <v>46</v>
      </c>
      <c r="F230" s="15" t="s">
        <v>131</v>
      </c>
      <c r="G230" s="15" t="s">
        <v>31</v>
      </c>
      <c r="H230" s="15" t="s">
        <v>746</v>
      </c>
      <c r="I230" s="15" t="s">
        <v>747</v>
      </c>
      <c r="J230" s="17">
        <v>1600000</v>
      </c>
      <c r="K230" s="15" t="s">
        <v>299</v>
      </c>
      <c r="L230" s="15" t="s">
        <v>300</v>
      </c>
      <c r="M230" s="15" t="s">
        <v>74</v>
      </c>
      <c r="N230" s="15" t="s">
        <v>846</v>
      </c>
      <c r="O230" s="15">
        <v>10</v>
      </c>
      <c r="P230" s="15" t="s">
        <v>856</v>
      </c>
      <c r="Q230" s="15" t="s">
        <v>859</v>
      </c>
      <c r="R230" s="15"/>
    </row>
    <row r="231" spans="1:18" x14ac:dyDescent="0.35">
      <c r="A231" s="15" t="s">
        <v>860</v>
      </c>
      <c r="B231" s="16">
        <v>45418</v>
      </c>
      <c r="C231" s="15" t="s">
        <v>845</v>
      </c>
      <c r="D231" s="15">
        <v>2024</v>
      </c>
      <c r="E231" s="15" t="s">
        <v>46</v>
      </c>
      <c r="F231" s="15" t="s">
        <v>131</v>
      </c>
      <c r="G231" s="15" t="s">
        <v>31</v>
      </c>
      <c r="H231" s="15" t="s">
        <v>208</v>
      </c>
      <c r="I231" s="15" t="s">
        <v>257</v>
      </c>
      <c r="J231" s="17">
        <v>148000</v>
      </c>
      <c r="K231" s="15" t="s">
        <v>299</v>
      </c>
      <c r="L231" s="15" t="s">
        <v>300</v>
      </c>
      <c r="M231" s="15" t="s">
        <v>74</v>
      </c>
      <c r="N231" s="15" t="s">
        <v>846</v>
      </c>
      <c r="O231" s="15">
        <v>11</v>
      </c>
      <c r="P231" s="15" t="s">
        <v>861</v>
      </c>
      <c r="Q231" s="15" t="s">
        <v>862</v>
      </c>
      <c r="R231" s="15"/>
    </row>
    <row r="232" spans="1:18" x14ac:dyDescent="0.35">
      <c r="A232" s="15" t="s">
        <v>863</v>
      </c>
      <c r="B232" s="16">
        <v>45420</v>
      </c>
      <c r="C232" s="15" t="s">
        <v>845</v>
      </c>
      <c r="D232" s="15">
        <v>2024</v>
      </c>
      <c r="E232" s="15" t="s">
        <v>46</v>
      </c>
      <c r="F232" s="15" t="s">
        <v>131</v>
      </c>
      <c r="G232" s="15" t="s">
        <v>31</v>
      </c>
      <c r="H232" s="15" t="s">
        <v>820</v>
      </c>
      <c r="I232" s="15" t="s">
        <v>821</v>
      </c>
      <c r="J232" s="17">
        <v>50000</v>
      </c>
      <c r="K232" s="15" t="s">
        <v>299</v>
      </c>
      <c r="L232" s="15" t="s">
        <v>300</v>
      </c>
      <c r="M232" s="15" t="s">
        <v>74</v>
      </c>
      <c r="N232" s="15" t="s">
        <v>846</v>
      </c>
      <c r="O232" s="15">
        <v>12</v>
      </c>
      <c r="P232" s="15" t="s">
        <v>864</v>
      </c>
      <c r="Q232" s="15" t="s">
        <v>865</v>
      </c>
      <c r="R232" s="15"/>
    </row>
    <row r="233" spans="1:18" x14ac:dyDescent="0.35">
      <c r="A233" s="15" t="s">
        <v>866</v>
      </c>
      <c r="B233" s="16">
        <v>45421</v>
      </c>
      <c r="C233" s="15" t="s">
        <v>845</v>
      </c>
      <c r="D233" s="15">
        <v>2024</v>
      </c>
      <c r="E233" s="15" t="s">
        <v>46</v>
      </c>
      <c r="F233" s="15" t="s">
        <v>131</v>
      </c>
      <c r="G233" s="15" t="s">
        <v>29</v>
      </c>
      <c r="H233" s="15" t="s">
        <v>188</v>
      </c>
      <c r="I233" s="15" t="s">
        <v>867</v>
      </c>
      <c r="J233" s="17">
        <v>720000</v>
      </c>
      <c r="K233" s="15" t="s">
        <v>299</v>
      </c>
      <c r="L233" s="15" t="s">
        <v>300</v>
      </c>
      <c r="M233" s="15" t="s">
        <v>74</v>
      </c>
      <c r="N233" s="15" t="s">
        <v>846</v>
      </c>
      <c r="O233" s="15">
        <v>14</v>
      </c>
      <c r="P233" s="15" t="s">
        <v>868</v>
      </c>
      <c r="Q233" s="15" t="s">
        <v>869</v>
      </c>
      <c r="R233" s="15"/>
    </row>
    <row r="234" spans="1:18" x14ac:dyDescent="0.35">
      <c r="A234" s="15" t="s">
        <v>870</v>
      </c>
      <c r="B234" s="16">
        <v>45421</v>
      </c>
      <c r="C234" s="15" t="s">
        <v>845</v>
      </c>
      <c r="D234" s="15">
        <v>2024</v>
      </c>
      <c r="E234" s="15" t="s">
        <v>46</v>
      </c>
      <c r="F234" s="15" t="s">
        <v>131</v>
      </c>
      <c r="G234" s="15" t="s">
        <v>29</v>
      </c>
      <c r="H234" s="15" t="s">
        <v>132</v>
      </c>
      <c r="I234" s="15" t="s">
        <v>133</v>
      </c>
      <c r="J234" s="17">
        <v>1000000</v>
      </c>
      <c r="K234" s="15" t="s">
        <v>299</v>
      </c>
      <c r="L234" s="15" t="s">
        <v>300</v>
      </c>
      <c r="M234" s="15" t="s">
        <v>74</v>
      </c>
      <c r="N234" s="15" t="s">
        <v>846</v>
      </c>
      <c r="O234" s="15">
        <v>13</v>
      </c>
      <c r="P234" s="15" t="s">
        <v>868</v>
      </c>
      <c r="Q234" s="15"/>
      <c r="R234" s="15"/>
    </row>
    <row r="235" spans="1:18" x14ac:dyDescent="0.35">
      <c r="A235" s="15" t="s">
        <v>871</v>
      </c>
      <c r="B235" s="16">
        <v>45422</v>
      </c>
      <c r="C235" s="15" t="s">
        <v>845</v>
      </c>
      <c r="D235" s="15">
        <v>2024</v>
      </c>
      <c r="E235" s="15" t="s">
        <v>46</v>
      </c>
      <c r="F235" s="15" t="s">
        <v>131</v>
      </c>
      <c r="G235" s="15" t="s">
        <v>31</v>
      </c>
      <c r="H235" s="15" t="s">
        <v>820</v>
      </c>
      <c r="I235" s="15" t="s">
        <v>821</v>
      </c>
      <c r="J235" s="17">
        <v>50000</v>
      </c>
      <c r="K235" s="15" t="s">
        <v>299</v>
      </c>
      <c r="L235" s="15" t="s">
        <v>300</v>
      </c>
      <c r="M235" s="15" t="s">
        <v>74</v>
      </c>
      <c r="N235" s="15" t="s">
        <v>846</v>
      </c>
      <c r="O235" s="15">
        <v>15</v>
      </c>
      <c r="P235" s="15" t="s">
        <v>872</v>
      </c>
      <c r="Q235" s="15" t="s">
        <v>873</v>
      </c>
      <c r="R235" s="15"/>
    </row>
    <row r="236" spans="1:18" x14ac:dyDescent="0.35">
      <c r="A236" s="15" t="s">
        <v>874</v>
      </c>
      <c r="B236" s="16">
        <v>45424</v>
      </c>
      <c r="C236" s="15" t="s">
        <v>845</v>
      </c>
      <c r="D236" s="15">
        <v>2024</v>
      </c>
      <c r="E236" s="15" t="s">
        <v>46</v>
      </c>
      <c r="F236" s="15" t="s">
        <v>131</v>
      </c>
      <c r="G236" s="15" t="s">
        <v>31</v>
      </c>
      <c r="H236" s="15" t="s">
        <v>568</v>
      </c>
      <c r="I236" s="15" t="s">
        <v>875</v>
      </c>
      <c r="J236" s="17">
        <v>1200000</v>
      </c>
      <c r="K236" s="15" t="s">
        <v>299</v>
      </c>
      <c r="L236" s="15" t="s">
        <v>300</v>
      </c>
      <c r="M236" s="15" t="s">
        <v>74</v>
      </c>
      <c r="N236" s="15" t="s">
        <v>846</v>
      </c>
      <c r="O236" s="15">
        <v>17</v>
      </c>
      <c r="P236" s="15" t="s">
        <v>876</v>
      </c>
      <c r="Q236" s="15" t="s">
        <v>877</v>
      </c>
      <c r="R236" s="15"/>
    </row>
    <row r="237" spans="1:18" x14ac:dyDescent="0.35">
      <c r="A237" s="15" t="s">
        <v>878</v>
      </c>
      <c r="B237" s="16">
        <v>45424</v>
      </c>
      <c r="C237" s="15" t="s">
        <v>845</v>
      </c>
      <c r="D237" s="15">
        <v>2024</v>
      </c>
      <c r="E237" s="15" t="s">
        <v>46</v>
      </c>
      <c r="F237" s="15" t="s">
        <v>131</v>
      </c>
      <c r="G237" s="15" t="s">
        <v>31</v>
      </c>
      <c r="H237" s="15" t="s">
        <v>879</v>
      </c>
      <c r="I237" s="15" t="s">
        <v>880</v>
      </c>
      <c r="J237" s="17">
        <v>1500000</v>
      </c>
      <c r="K237" s="15" t="s">
        <v>299</v>
      </c>
      <c r="L237" s="15" t="s">
        <v>300</v>
      </c>
      <c r="M237" s="15" t="s">
        <v>74</v>
      </c>
      <c r="N237" s="15" t="s">
        <v>846</v>
      </c>
      <c r="O237" s="15">
        <v>16</v>
      </c>
      <c r="P237" s="15" t="s">
        <v>876</v>
      </c>
      <c r="Q237" s="15" t="s">
        <v>881</v>
      </c>
      <c r="R237" s="15"/>
    </row>
    <row r="238" spans="1:18" x14ac:dyDescent="0.35">
      <c r="A238" s="15" t="s">
        <v>882</v>
      </c>
      <c r="B238" s="16">
        <v>45425</v>
      </c>
      <c r="C238" s="15" t="s">
        <v>845</v>
      </c>
      <c r="D238" s="15">
        <v>2024</v>
      </c>
      <c r="E238" s="15" t="s">
        <v>46</v>
      </c>
      <c r="F238" s="15" t="s">
        <v>131</v>
      </c>
      <c r="G238" s="15" t="s">
        <v>31</v>
      </c>
      <c r="H238" s="15" t="s">
        <v>820</v>
      </c>
      <c r="I238" s="15" t="s">
        <v>821</v>
      </c>
      <c r="J238" s="17">
        <v>50000</v>
      </c>
      <c r="K238" s="15" t="s">
        <v>299</v>
      </c>
      <c r="L238" s="15" t="s">
        <v>300</v>
      </c>
      <c r="M238" s="15" t="s">
        <v>74</v>
      </c>
      <c r="N238" s="15" t="s">
        <v>846</v>
      </c>
      <c r="O238" s="15">
        <v>18</v>
      </c>
      <c r="P238" s="15" t="s">
        <v>883</v>
      </c>
      <c r="Q238" s="15" t="s">
        <v>884</v>
      </c>
      <c r="R238" s="15"/>
    </row>
    <row r="239" spans="1:18" x14ac:dyDescent="0.35">
      <c r="A239" s="15" t="s">
        <v>885</v>
      </c>
      <c r="B239" s="16">
        <v>45425</v>
      </c>
      <c r="C239" s="15" t="s">
        <v>845</v>
      </c>
      <c r="D239" s="15">
        <v>2024</v>
      </c>
      <c r="E239" s="15" t="s">
        <v>46</v>
      </c>
      <c r="F239" s="15" t="s">
        <v>131</v>
      </c>
      <c r="G239" s="15" t="s">
        <v>29</v>
      </c>
      <c r="H239" s="15" t="s">
        <v>147</v>
      </c>
      <c r="I239" s="15" t="s">
        <v>148</v>
      </c>
      <c r="J239" s="17">
        <v>2300000</v>
      </c>
      <c r="K239" s="15" t="s">
        <v>299</v>
      </c>
      <c r="L239" s="15" t="s">
        <v>300</v>
      </c>
      <c r="M239" s="15" t="s">
        <v>74</v>
      </c>
      <c r="N239" s="15" t="s">
        <v>846</v>
      </c>
      <c r="O239" s="15">
        <v>19</v>
      </c>
      <c r="P239" s="15" t="s">
        <v>883</v>
      </c>
      <c r="Q239" s="15" t="s">
        <v>886</v>
      </c>
      <c r="R239" s="15"/>
    </row>
    <row r="240" spans="1:18" x14ac:dyDescent="0.35">
      <c r="A240" s="15" t="s">
        <v>887</v>
      </c>
      <c r="B240" s="16">
        <v>45427</v>
      </c>
      <c r="C240" s="15" t="s">
        <v>845</v>
      </c>
      <c r="D240" s="15">
        <v>2024</v>
      </c>
      <c r="E240" s="15" t="s">
        <v>46</v>
      </c>
      <c r="F240" s="15" t="s">
        <v>131</v>
      </c>
      <c r="G240" s="15" t="s">
        <v>31</v>
      </c>
      <c r="H240" s="15" t="s">
        <v>640</v>
      </c>
      <c r="I240" s="15" t="s">
        <v>641</v>
      </c>
      <c r="J240" s="17">
        <v>500000</v>
      </c>
      <c r="K240" s="15" t="s">
        <v>299</v>
      </c>
      <c r="L240" s="15" t="s">
        <v>300</v>
      </c>
      <c r="M240" s="15" t="s">
        <v>74</v>
      </c>
      <c r="N240" s="15" t="s">
        <v>846</v>
      </c>
      <c r="O240" s="15">
        <v>21</v>
      </c>
      <c r="P240" s="15" t="s">
        <v>888</v>
      </c>
      <c r="Q240" s="15" t="s">
        <v>889</v>
      </c>
      <c r="R240" s="15"/>
    </row>
    <row r="241" spans="1:18" x14ac:dyDescent="0.35">
      <c r="A241" s="15" t="s">
        <v>890</v>
      </c>
      <c r="B241" s="16">
        <v>45427</v>
      </c>
      <c r="C241" s="15" t="s">
        <v>845</v>
      </c>
      <c r="D241" s="15">
        <v>2024</v>
      </c>
      <c r="E241" s="15" t="s">
        <v>46</v>
      </c>
      <c r="F241" s="15" t="s">
        <v>131</v>
      </c>
      <c r="G241" s="15" t="s">
        <v>31</v>
      </c>
      <c r="H241" s="15" t="s">
        <v>636</v>
      </c>
      <c r="I241" s="15" t="s">
        <v>891</v>
      </c>
      <c r="J241" s="17">
        <v>1000000</v>
      </c>
      <c r="K241" s="15" t="s">
        <v>299</v>
      </c>
      <c r="L241" s="15" t="s">
        <v>300</v>
      </c>
      <c r="M241" s="15" t="s">
        <v>74</v>
      </c>
      <c r="N241" s="15" t="s">
        <v>846</v>
      </c>
      <c r="O241" s="15">
        <v>22</v>
      </c>
      <c r="P241" s="15" t="s">
        <v>888</v>
      </c>
      <c r="Q241" s="15" t="s">
        <v>892</v>
      </c>
      <c r="R241" s="15"/>
    </row>
    <row r="242" spans="1:18" x14ac:dyDescent="0.35">
      <c r="A242" s="15" t="s">
        <v>893</v>
      </c>
      <c r="B242" s="16">
        <v>45427</v>
      </c>
      <c r="C242" s="15" t="s">
        <v>845</v>
      </c>
      <c r="D242" s="15">
        <v>2024</v>
      </c>
      <c r="E242" s="15" t="s">
        <v>46</v>
      </c>
      <c r="F242" s="15" t="s">
        <v>131</v>
      </c>
      <c r="G242" s="15" t="s">
        <v>31</v>
      </c>
      <c r="H242" s="15" t="s">
        <v>337</v>
      </c>
      <c r="I242" s="15" t="s">
        <v>671</v>
      </c>
      <c r="J242" s="17">
        <v>400000</v>
      </c>
      <c r="K242" s="15" t="s">
        <v>299</v>
      </c>
      <c r="L242" s="15" t="s">
        <v>300</v>
      </c>
      <c r="M242" s="15" t="s">
        <v>74</v>
      </c>
      <c r="N242" s="15" t="s">
        <v>846</v>
      </c>
      <c r="O242" s="15">
        <v>20</v>
      </c>
      <c r="P242" s="15" t="s">
        <v>888</v>
      </c>
      <c r="Q242" s="15" t="s">
        <v>894</v>
      </c>
      <c r="R242" s="15"/>
    </row>
    <row r="243" spans="1:18" x14ac:dyDescent="0.35">
      <c r="A243" s="15" t="s">
        <v>895</v>
      </c>
      <c r="B243" s="16">
        <v>45428</v>
      </c>
      <c r="C243" s="15" t="s">
        <v>845</v>
      </c>
      <c r="D243" s="15">
        <v>2024</v>
      </c>
      <c r="E243" s="15" t="s">
        <v>46</v>
      </c>
      <c r="F243" s="15" t="s">
        <v>131</v>
      </c>
      <c r="G243" s="15" t="s">
        <v>29</v>
      </c>
      <c r="H243" s="15" t="s">
        <v>132</v>
      </c>
      <c r="I243" s="15" t="s">
        <v>133</v>
      </c>
      <c r="J243" s="17">
        <v>1000000</v>
      </c>
      <c r="K243" s="15" t="s">
        <v>299</v>
      </c>
      <c r="L243" s="15" t="s">
        <v>300</v>
      </c>
      <c r="M243" s="15" t="s">
        <v>74</v>
      </c>
      <c r="N243" s="15" t="s">
        <v>846</v>
      </c>
      <c r="O243" s="15">
        <v>23</v>
      </c>
      <c r="P243" s="15" t="s">
        <v>896</v>
      </c>
      <c r="Q243" s="15" t="s">
        <v>897</v>
      </c>
      <c r="R243" s="15"/>
    </row>
    <row r="244" spans="1:18" x14ac:dyDescent="0.35">
      <c r="A244" s="15" t="s">
        <v>898</v>
      </c>
      <c r="B244" s="16">
        <v>45429</v>
      </c>
      <c r="C244" s="15" t="s">
        <v>845</v>
      </c>
      <c r="D244" s="15">
        <v>2024</v>
      </c>
      <c r="E244" s="15" t="s">
        <v>46</v>
      </c>
      <c r="F244" s="15" t="s">
        <v>131</v>
      </c>
      <c r="G244" s="15" t="s">
        <v>29</v>
      </c>
      <c r="H244" s="15" t="s">
        <v>352</v>
      </c>
      <c r="I244" s="15" t="s">
        <v>688</v>
      </c>
      <c r="J244" s="17">
        <v>1000000</v>
      </c>
      <c r="K244" s="15" t="s">
        <v>299</v>
      </c>
      <c r="L244" s="15" t="s">
        <v>300</v>
      </c>
      <c r="M244" s="15" t="s">
        <v>74</v>
      </c>
      <c r="N244" s="15" t="s">
        <v>846</v>
      </c>
      <c r="O244" s="15">
        <v>25</v>
      </c>
      <c r="P244" s="15" t="s">
        <v>899</v>
      </c>
      <c r="Q244" s="15"/>
      <c r="R244" s="15"/>
    </row>
    <row r="245" spans="1:18" x14ac:dyDescent="0.35">
      <c r="A245" s="15" t="s">
        <v>900</v>
      </c>
      <c r="B245" s="16">
        <v>45429</v>
      </c>
      <c r="C245" s="15" t="s">
        <v>845</v>
      </c>
      <c r="D245" s="15">
        <v>2024</v>
      </c>
      <c r="E245" s="15" t="s">
        <v>46</v>
      </c>
      <c r="F245" s="15" t="s">
        <v>131</v>
      </c>
      <c r="G245" s="15" t="s">
        <v>31</v>
      </c>
      <c r="H245" s="15" t="s">
        <v>152</v>
      </c>
      <c r="I245" s="15" t="s">
        <v>153</v>
      </c>
      <c r="J245" s="17">
        <v>1000000</v>
      </c>
      <c r="K245" s="15" t="s">
        <v>299</v>
      </c>
      <c r="L245" s="15" t="s">
        <v>300</v>
      </c>
      <c r="M245" s="15" t="s">
        <v>74</v>
      </c>
      <c r="N245" s="15" t="s">
        <v>846</v>
      </c>
      <c r="O245" s="15">
        <v>27</v>
      </c>
      <c r="P245" s="15" t="s">
        <v>899</v>
      </c>
      <c r="Q245" s="15" t="s">
        <v>901</v>
      </c>
      <c r="R245" s="15"/>
    </row>
    <row r="246" spans="1:18" x14ac:dyDescent="0.35">
      <c r="A246" s="15" t="s">
        <v>902</v>
      </c>
      <c r="B246" s="16">
        <v>45429</v>
      </c>
      <c r="C246" s="15" t="s">
        <v>845</v>
      </c>
      <c r="D246" s="15">
        <v>2024</v>
      </c>
      <c r="E246" s="15" t="s">
        <v>46</v>
      </c>
      <c r="F246" s="15" t="s">
        <v>131</v>
      </c>
      <c r="G246" s="15" t="s">
        <v>29</v>
      </c>
      <c r="H246" s="15" t="s">
        <v>132</v>
      </c>
      <c r="I246" s="15" t="s">
        <v>133</v>
      </c>
      <c r="J246" s="17">
        <v>97550</v>
      </c>
      <c r="K246" s="15" t="s">
        <v>299</v>
      </c>
      <c r="L246" s="15" t="s">
        <v>300</v>
      </c>
      <c r="M246" s="15" t="s">
        <v>74</v>
      </c>
      <c r="N246" s="15" t="s">
        <v>846</v>
      </c>
      <c r="O246" s="15">
        <v>24</v>
      </c>
      <c r="P246" s="15" t="s">
        <v>899</v>
      </c>
      <c r="Q246" s="15" t="s">
        <v>903</v>
      </c>
      <c r="R246" s="15"/>
    </row>
    <row r="247" spans="1:18" x14ac:dyDescent="0.35">
      <c r="A247" s="15" t="s">
        <v>904</v>
      </c>
      <c r="B247" s="16">
        <v>45429</v>
      </c>
      <c r="C247" s="15" t="s">
        <v>845</v>
      </c>
      <c r="D247" s="15">
        <v>2024</v>
      </c>
      <c r="E247" s="15" t="s">
        <v>46</v>
      </c>
      <c r="F247" s="15" t="s">
        <v>131</v>
      </c>
      <c r="G247" s="15" t="s">
        <v>31</v>
      </c>
      <c r="H247" s="15" t="s">
        <v>905</v>
      </c>
      <c r="I247" s="15" t="s">
        <v>906</v>
      </c>
      <c r="J247" s="17">
        <v>1500000</v>
      </c>
      <c r="K247" s="15" t="s">
        <v>299</v>
      </c>
      <c r="L247" s="15" t="s">
        <v>300</v>
      </c>
      <c r="M247" s="15" t="s">
        <v>74</v>
      </c>
      <c r="N247" s="15" t="s">
        <v>846</v>
      </c>
      <c r="O247" s="15">
        <v>26</v>
      </c>
      <c r="P247" s="15" t="s">
        <v>899</v>
      </c>
      <c r="Q247" s="15" t="s">
        <v>907</v>
      </c>
      <c r="R247" s="15"/>
    </row>
    <row r="248" spans="1:18" x14ac:dyDescent="0.35">
      <c r="A248" s="15" t="s">
        <v>908</v>
      </c>
      <c r="B248" s="16">
        <v>45429</v>
      </c>
      <c r="C248" s="15" t="s">
        <v>845</v>
      </c>
      <c r="D248" s="15">
        <v>2024</v>
      </c>
      <c r="E248" s="15" t="s">
        <v>46</v>
      </c>
      <c r="F248" s="15" t="s">
        <v>131</v>
      </c>
      <c r="G248" s="15" t="s">
        <v>31</v>
      </c>
      <c r="H248" s="15" t="s">
        <v>650</v>
      </c>
      <c r="I248" s="15" t="s">
        <v>756</v>
      </c>
      <c r="J248" s="17">
        <v>500000</v>
      </c>
      <c r="K248" s="15" t="s">
        <v>299</v>
      </c>
      <c r="L248" s="15" t="s">
        <v>300</v>
      </c>
      <c r="M248" s="15" t="s">
        <v>74</v>
      </c>
      <c r="N248" s="15" t="s">
        <v>846</v>
      </c>
      <c r="O248" s="15">
        <v>28</v>
      </c>
      <c r="P248" s="15" t="s">
        <v>899</v>
      </c>
      <c r="Q248" s="15" t="s">
        <v>909</v>
      </c>
      <c r="R248" s="15"/>
    </row>
    <row r="249" spans="1:18" x14ac:dyDescent="0.35">
      <c r="A249" s="15" t="s">
        <v>910</v>
      </c>
      <c r="B249" s="16">
        <v>45431</v>
      </c>
      <c r="C249" s="15" t="s">
        <v>845</v>
      </c>
      <c r="D249" s="15">
        <v>2024</v>
      </c>
      <c r="E249" s="15" t="s">
        <v>46</v>
      </c>
      <c r="F249" s="15" t="s">
        <v>131</v>
      </c>
      <c r="G249" s="15" t="s">
        <v>29</v>
      </c>
      <c r="H249" s="15" t="s">
        <v>704</v>
      </c>
      <c r="I249" s="15" t="s">
        <v>911</v>
      </c>
      <c r="J249" s="17">
        <v>500000</v>
      </c>
      <c r="K249" s="15" t="s">
        <v>299</v>
      </c>
      <c r="L249" s="15" t="s">
        <v>300</v>
      </c>
      <c r="M249" s="15" t="s">
        <v>74</v>
      </c>
      <c r="N249" s="15" t="s">
        <v>846</v>
      </c>
      <c r="O249" s="15">
        <v>29</v>
      </c>
      <c r="P249" s="15" t="s">
        <v>912</v>
      </c>
      <c r="Q249" s="15" t="s">
        <v>913</v>
      </c>
      <c r="R249" s="15"/>
    </row>
    <row r="250" spans="1:18" x14ac:dyDescent="0.35">
      <c r="A250" s="15" t="s">
        <v>914</v>
      </c>
      <c r="B250" s="16">
        <v>45431</v>
      </c>
      <c r="C250" s="15" t="s">
        <v>845</v>
      </c>
      <c r="D250" s="15">
        <v>2024</v>
      </c>
      <c r="E250" s="15" t="s">
        <v>46</v>
      </c>
      <c r="F250" s="15" t="s">
        <v>131</v>
      </c>
      <c r="G250" s="15" t="s">
        <v>31</v>
      </c>
      <c r="H250" s="15" t="s">
        <v>337</v>
      </c>
      <c r="I250" s="15" t="s">
        <v>671</v>
      </c>
      <c r="J250" s="17">
        <v>135000</v>
      </c>
      <c r="K250" s="15" t="s">
        <v>299</v>
      </c>
      <c r="L250" s="15" t="s">
        <v>300</v>
      </c>
      <c r="M250" s="15" t="s">
        <v>74</v>
      </c>
      <c r="N250" s="15" t="s">
        <v>846</v>
      </c>
      <c r="O250" s="15">
        <v>30</v>
      </c>
      <c r="P250" s="15" t="s">
        <v>912</v>
      </c>
      <c r="Q250" s="15"/>
      <c r="R250" s="15"/>
    </row>
    <row r="251" spans="1:18" x14ac:dyDescent="0.35">
      <c r="A251" s="15" t="s">
        <v>915</v>
      </c>
      <c r="B251" s="16">
        <v>45433</v>
      </c>
      <c r="C251" s="15" t="s">
        <v>845</v>
      </c>
      <c r="D251" s="15">
        <v>2024</v>
      </c>
      <c r="E251" s="15" t="s">
        <v>46</v>
      </c>
      <c r="F251" s="15" t="s">
        <v>131</v>
      </c>
      <c r="G251" s="15" t="s">
        <v>31</v>
      </c>
      <c r="H251" s="15" t="s">
        <v>916</v>
      </c>
      <c r="I251" s="15" t="s">
        <v>917</v>
      </c>
      <c r="J251" s="17">
        <v>500000</v>
      </c>
      <c r="K251" s="15" t="s">
        <v>299</v>
      </c>
      <c r="L251" s="15" t="s">
        <v>300</v>
      </c>
      <c r="M251" s="15" t="s">
        <v>74</v>
      </c>
      <c r="N251" s="15" t="s">
        <v>846</v>
      </c>
      <c r="O251" s="15">
        <v>31</v>
      </c>
      <c r="P251" s="15" t="s">
        <v>918</v>
      </c>
      <c r="Q251" s="15" t="s">
        <v>919</v>
      </c>
      <c r="R251" s="15"/>
    </row>
    <row r="252" spans="1:18" x14ac:dyDescent="0.35">
      <c r="A252" s="15" t="s">
        <v>920</v>
      </c>
      <c r="B252" s="16">
        <v>45434</v>
      </c>
      <c r="C252" s="15" t="s">
        <v>845</v>
      </c>
      <c r="D252" s="15">
        <v>2024</v>
      </c>
      <c r="E252" s="15" t="s">
        <v>46</v>
      </c>
      <c r="F252" s="15" t="s">
        <v>131</v>
      </c>
      <c r="G252" s="15" t="s">
        <v>31</v>
      </c>
      <c r="H252" s="15" t="s">
        <v>397</v>
      </c>
      <c r="I252" s="15" t="s">
        <v>921</v>
      </c>
      <c r="J252" s="17">
        <v>192000</v>
      </c>
      <c r="K252" s="15" t="s">
        <v>299</v>
      </c>
      <c r="L252" s="15" t="s">
        <v>300</v>
      </c>
      <c r="M252" s="15" t="s">
        <v>74</v>
      </c>
      <c r="N252" s="15" t="s">
        <v>846</v>
      </c>
      <c r="O252" s="15">
        <v>34</v>
      </c>
      <c r="P252" s="15" t="s">
        <v>922</v>
      </c>
      <c r="Q252" s="15"/>
      <c r="R252" s="15"/>
    </row>
    <row r="253" spans="1:18" x14ac:dyDescent="0.35">
      <c r="A253" s="15" t="s">
        <v>923</v>
      </c>
      <c r="B253" s="16">
        <v>45434</v>
      </c>
      <c r="C253" s="15" t="s">
        <v>845</v>
      </c>
      <c r="D253" s="15">
        <v>2024</v>
      </c>
      <c r="E253" s="15" t="s">
        <v>46</v>
      </c>
      <c r="F253" s="15" t="s">
        <v>131</v>
      </c>
      <c r="G253" s="15" t="s">
        <v>31</v>
      </c>
      <c r="H253" s="15" t="s">
        <v>924</v>
      </c>
      <c r="I253" s="15" t="s">
        <v>925</v>
      </c>
      <c r="J253" s="17">
        <v>2885000</v>
      </c>
      <c r="K253" s="15" t="s">
        <v>299</v>
      </c>
      <c r="L253" s="15" t="s">
        <v>300</v>
      </c>
      <c r="M253" s="15" t="s">
        <v>74</v>
      </c>
      <c r="N253" s="15" t="s">
        <v>846</v>
      </c>
      <c r="O253" s="15">
        <v>32</v>
      </c>
      <c r="P253" s="15" t="s">
        <v>922</v>
      </c>
      <c r="Q253" s="15" t="s">
        <v>926</v>
      </c>
      <c r="R253" s="15"/>
    </row>
    <row r="254" spans="1:18" x14ac:dyDescent="0.35">
      <c r="A254" s="15" t="s">
        <v>927</v>
      </c>
      <c r="B254" s="16">
        <v>45434</v>
      </c>
      <c r="C254" s="15" t="s">
        <v>845</v>
      </c>
      <c r="D254" s="15">
        <v>2024</v>
      </c>
      <c r="E254" s="15" t="s">
        <v>46</v>
      </c>
      <c r="F254" s="15" t="s">
        <v>131</v>
      </c>
      <c r="G254" s="15" t="s">
        <v>31</v>
      </c>
      <c r="H254" s="15" t="s">
        <v>928</v>
      </c>
      <c r="I254" s="15" t="s">
        <v>929</v>
      </c>
      <c r="J254" s="17">
        <v>1000000</v>
      </c>
      <c r="K254" s="15" t="s">
        <v>299</v>
      </c>
      <c r="L254" s="15" t="s">
        <v>300</v>
      </c>
      <c r="M254" s="15" t="s">
        <v>74</v>
      </c>
      <c r="N254" s="15" t="s">
        <v>846</v>
      </c>
      <c r="O254" s="15">
        <v>33</v>
      </c>
      <c r="P254" s="15" t="s">
        <v>922</v>
      </c>
      <c r="Q254" s="15"/>
      <c r="R254" s="15"/>
    </row>
    <row r="255" spans="1:18" x14ac:dyDescent="0.35">
      <c r="A255" s="15" t="s">
        <v>930</v>
      </c>
      <c r="B255" s="16">
        <v>45436</v>
      </c>
      <c r="C255" s="15" t="s">
        <v>845</v>
      </c>
      <c r="D255" s="15">
        <v>2024</v>
      </c>
      <c r="E255" s="15" t="s">
        <v>46</v>
      </c>
      <c r="F255" s="15" t="s">
        <v>131</v>
      </c>
      <c r="G255" s="15" t="s">
        <v>31</v>
      </c>
      <c r="H255" s="15" t="s">
        <v>820</v>
      </c>
      <c r="I255" s="15" t="s">
        <v>821</v>
      </c>
      <c r="J255" s="17">
        <v>500000</v>
      </c>
      <c r="K255" s="15" t="s">
        <v>299</v>
      </c>
      <c r="L255" s="15" t="s">
        <v>300</v>
      </c>
      <c r="M255" s="15" t="s">
        <v>74</v>
      </c>
      <c r="N255" s="15" t="s">
        <v>846</v>
      </c>
      <c r="O255" s="15">
        <v>35</v>
      </c>
      <c r="P255" s="15" t="s">
        <v>931</v>
      </c>
      <c r="Q255" s="15" t="s">
        <v>932</v>
      </c>
      <c r="R255" s="15"/>
    </row>
    <row r="256" spans="1:18" x14ac:dyDescent="0.35">
      <c r="A256" s="15" t="s">
        <v>933</v>
      </c>
      <c r="B256" s="16">
        <v>45437</v>
      </c>
      <c r="C256" s="15" t="s">
        <v>934</v>
      </c>
      <c r="D256" s="15">
        <v>2024</v>
      </c>
      <c r="E256" s="15" t="s">
        <v>46</v>
      </c>
      <c r="F256" s="15" t="s">
        <v>131</v>
      </c>
      <c r="G256" s="15" t="s">
        <v>29</v>
      </c>
      <c r="H256" s="15" t="s">
        <v>188</v>
      </c>
      <c r="I256" s="15" t="s">
        <v>867</v>
      </c>
      <c r="J256" s="17">
        <v>1208000</v>
      </c>
      <c r="K256" s="15" t="s">
        <v>935</v>
      </c>
      <c r="L256" s="15" t="s">
        <v>300</v>
      </c>
      <c r="M256" s="15" t="s">
        <v>74</v>
      </c>
      <c r="N256" s="15" t="s">
        <v>936</v>
      </c>
      <c r="O256" s="15">
        <v>37</v>
      </c>
      <c r="P256" s="15" t="s">
        <v>937</v>
      </c>
      <c r="Q256" s="15" t="s">
        <v>938</v>
      </c>
      <c r="R256" s="15" t="s">
        <v>939</v>
      </c>
    </row>
    <row r="257" spans="1:18" x14ac:dyDescent="0.35">
      <c r="A257" s="15" t="s">
        <v>940</v>
      </c>
      <c r="B257" s="16">
        <v>45438</v>
      </c>
      <c r="C257" s="15" t="s">
        <v>845</v>
      </c>
      <c r="D257" s="15">
        <v>2024</v>
      </c>
      <c r="E257" s="15" t="s">
        <v>46</v>
      </c>
      <c r="F257" s="15" t="s">
        <v>131</v>
      </c>
      <c r="G257" s="15" t="s">
        <v>29</v>
      </c>
      <c r="H257" s="15" t="s">
        <v>132</v>
      </c>
      <c r="I257" s="15" t="s">
        <v>133</v>
      </c>
      <c r="J257" s="17">
        <v>285000</v>
      </c>
      <c r="K257" s="15" t="s">
        <v>299</v>
      </c>
      <c r="L257" s="15" t="s">
        <v>300</v>
      </c>
      <c r="M257" s="15" t="s">
        <v>74</v>
      </c>
      <c r="N257" s="15" t="s">
        <v>846</v>
      </c>
      <c r="O257" s="15">
        <v>36</v>
      </c>
      <c r="P257" s="15" t="s">
        <v>941</v>
      </c>
      <c r="Q257" s="15"/>
      <c r="R257" s="15"/>
    </row>
    <row r="258" spans="1:18" x14ac:dyDescent="0.35">
      <c r="A258" s="15" t="s">
        <v>942</v>
      </c>
      <c r="B258" s="16">
        <v>45439</v>
      </c>
      <c r="C258" s="15" t="s">
        <v>845</v>
      </c>
      <c r="D258" s="15">
        <v>2024</v>
      </c>
      <c r="E258" s="15" t="s">
        <v>46</v>
      </c>
      <c r="F258" s="15" t="s">
        <v>131</v>
      </c>
      <c r="G258" s="15" t="s">
        <v>31</v>
      </c>
      <c r="H258" s="15" t="s">
        <v>203</v>
      </c>
      <c r="I258" s="15" t="s">
        <v>943</v>
      </c>
      <c r="J258" s="17">
        <v>200000</v>
      </c>
      <c r="K258" s="15" t="s">
        <v>299</v>
      </c>
      <c r="L258" s="15" t="s">
        <v>300</v>
      </c>
      <c r="M258" s="15" t="s">
        <v>74</v>
      </c>
      <c r="N258" s="15" t="s">
        <v>846</v>
      </c>
      <c r="O258" s="15">
        <v>37</v>
      </c>
      <c r="P258" s="15" t="s">
        <v>944</v>
      </c>
      <c r="Q258" s="15"/>
      <c r="R258" s="15"/>
    </row>
    <row r="259" spans="1:18" x14ac:dyDescent="0.35">
      <c r="A259" s="15" t="s">
        <v>945</v>
      </c>
      <c r="B259" s="16">
        <v>45439</v>
      </c>
      <c r="C259" s="15" t="s">
        <v>845</v>
      </c>
      <c r="D259" s="15">
        <v>2024</v>
      </c>
      <c r="E259" s="15" t="s">
        <v>46</v>
      </c>
      <c r="F259" s="15" t="s">
        <v>131</v>
      </c>
      <c r="G259" s="15" t="s">
        <v>31</v>
      </c>
      <c r="H259" s="15" t="s">
        <v>203</v>
      </c>
      <c r="I259" s="15" t="s">
        <v>943</v>
      </c>
      <c r="J259" s="17">
        <v>50000</v>
      </c>
      <c r="K259" s="15" t="s">
        <v>299</v>
      </c>
      <c r="L259" s="15" t="s">
        <v>300</v>
      </c>
      <c r="M259" s="15" t="s">
        <v>74</v>
      </c>
      <c r="N259" s="15" t="s">
        <v>846</v>
      </c>
      <c r="O259" s="15">
        <v>38</v>
      </c>
      <c r="P259" s="15" t="s">
        <v>944</v>
      </c>
      <c r="Q259" s="15"/>
      <c r="R259" s="15"/>
    </row>
    <row r="260" spans="1:18" x14ac:dyDescent="0.35">
      <c r="A260" s="15" t="s">
        <v>946</v>
      </c>
      <c r="B260" s="16">
        <v>45440</v>
      </c>
      <c r="C260" s="15" t="s">
        <v>845</v>
      </c>
      <c r="D260" s="15">
        <v>2024</v>
      </c>
      <c r="E260" s="15" t="s">
        <v>46</v>
      </c>
      <c r="F260" s="15" t="s">
        <v>131</v>
      </c>
      <c r="G260" s="15" t="s">
        <v>31</v>
      </c>
      <c r="H260" s="15" t="s">
        <v>947</v>
      </c>
      <c r="I260" s="15" t="s">
        <v>948</v>
      </c>
      <c r="J260" s="17">
        <v>295000</v>
      </c>
      <c r="K260" s="15" t="s">
        <v>299</v>
      </c>
      <c r="L260" s="15" t="s">
        <v>300</v>
      </c>
      <c r="M260" s="15" t="s">
        <v>74</v>
      </c>
      <c r="N260" s="15" t="s">
        <v>846</v>
      </c>
      <c r="O260" s="15">
        <v>41</v>
      </c>
      <c r="P260" s="15" t="s">
        <v>949</v>
      </c>
      <c r="Q260" s="15"/>
      <c r="R260" s="15"/>
    </row>
    <row r="261" spans="1:18" x14ac:dyDescent="0.35">
      <c r="A261" s="15" t="s">
        <v>950</v>
      </c>
      <c r="B261" s="16">
        <v>45440</v>
      </c>
      <c r="C261" s="15" t="s">
        <v>845</v>
      </c>
      <c r="D261" s="15">
        <v>2024</v>
      </c>
      <c r="E261" s="15" t="s">
        <v>46</v>
      </c>
      <c r="F261" s="15" t="s">
        <v>131</v>
      </c>
      <c r="G261" s="15" t="s">
        <v>29</v>
      </c>
      <c r="H261" s="15" t="s">
        <v>285</v>
      </c>
      <c r="I261" s="15" t="s">
        <v>286</v>
      </c>
      <c r="J261" s="17">
        <v>100000</v>
      </c>
      <c r="K261" s="15" t="s">
        <v>299</v>
      </c>
      <c r="L261" s="15" t="s">
        <v>300</v>
      </c>
      <c r="M261" s="15" t="s">
        <v>74</v>
      </c>
      <c r="N261" s="15" t="s">
        <v>846</v>
      </c>
      <c r="O261" s="15">
        <v>40</v>
      </c>
      <c r="P261" s="15" t="s">
        <v>949</v>
      </c>
      <c r="Q261" s="15" t="s">
        <v>951</v>
      </c>
      <c r="R261" s="15"/>
    </row>
    <row r="262" spans="1:18" x14ac:dyDescent="0.35">
      <c r="A262" s="15" t="s">
        <v>952</v>
      </c>
      <c r="B262" s="16">
        <v>45440</v>
      </c>
      <c r="C262" s="15" t="s">
        <v>845</v>
      </c>
      <c r="D262" s="15">
        <v>2024</v>
      </c>
      <c r="E262" s="15" t="s">
        <v>46</v>
      </c>
      <c r="F262" s="15" t="s">
        <v>131</v>
      </c>
      <c r="G262" s="15" t="s">
        <v>29</v>
      </c>
      <c r="H262" s="15" t="s">
        <v>278</v>
      </c>
      <c r="I262" s="15" t="s">
        <v>279</v>
      </c>
      <c r="J262" s="17">
        <v>500000</v>
      </c>
      <c r="K262" s="15" t="s">
        <v>299</v>
      </c>
      <c r="L262" s="15" t="s">
        <v>300</v>
      </c>
      <c r="M262" s="15" t="s">
        <v>74</v>
      </c>
      <c r="N262" s="15" t="s">
        <v>846</v>
      </c>
      <c r="O262" s="15">
        <v>39</v>
      </c>
      <c r="P262" s="15" t="s">
        <v>949</v>
      </c>
      <c r="Q262" s="15" t="s">
        <v>953</v>
      </c>
      <c r="R262" s="15"/>
    </row>
    <row r="263" spans="1:18" x14ac:dyDescent="0.35">
      <c r="A263" s="15" t="s">
        <v>954</v>
      </c>
      <c r="B263" s="16">
        <v>45441</v>
      </c>
      <c r="C263" s="15" t="s">
        <v>845</v>
      </c>
      <c r="D263" s="15">
        <v>2024</v>
      </c>
      <c r="E263" s="15" t="s">
        <v>46</v>
      </c>
      <c r="F263" s="15" t="s">
        <v>131</v>
      </c>
      <c r="G263" s="15" t="s">
        <v>29</v>
      </c>
      <c r="H263" s="15" t="s">
        <v>285</v>
      </c>
      <c r="I263" s="15" t="s">
        <v>286</v>
      </c>
      <c r="J263" s="17">
        <v>100000</v>
      </c>
      <c r="K263" s="15" t="s">
        <v>299</v>
      </c>
      <c r="L263" s="15" t="s">
        <v>300</v>
      </c>
      <c r="M263" s="15" t="s">
        <v>74</v>
      </c>
      <c r="N263" s="15" t="s">
        <v>846</v>
      </c>
      <c r="O263" s="15">
        <v>43</v>
      </c>
      <c r="P263" s="15" t="s">
        <v>955</v>
      </c>
      <c r="Q263" s="15" t="s">
        <v>956</v>
      </c>
      <c r="R263" s="15"/>
    </row>
    <row r="264" spans="1:18" x14ac:dyDescent="0.35">
      <c r="A264" s="15" t="s">
        <v>957</v>
      </c>
      <c r="B264" s="16">
        <v>45441</v>
      </c>
      <c r="C264" s="15" t="s">
        <v>845</v>
      </c>
      <c r="D264" s="15">
        <v>2024</v>
      </c>
      <c r="E264" s="15" t="s">
        <v>46</v>
      </c>
      <c r="F264" s="15" t="s">
        <v>131</v>
      </c>
      <c r="G264" s="15" t="s">
        <v>29</v>
      </c>
      <c r="H264" s="15" t="s">
        <v>382</v>
      </c>
      <c r="I264" s="15" t="s">
        <v>497</v>
      </c>
      <c r="J264" s="17">
        <v>150000</v>
      </c>
      <c r="K264" s="15" t="s">
        <v>299</v>
      </c>
      <c r="L264" s="15" t="s">
        <v>300</v>
      </c>
      <c r="M264" s="15" t="s">
        <v>74</v>
      </c>
      <c r="N264" s="15" t="s">
        <v>846</v>
      </c>
      <c r="O264" s="15">
        <v>42</v>
      </c>
      <c r="P264" s="15" t="s">
        <v>955</v>
      </c>
      <c r="Q264" s="15" t="s">
        <v>958</v>
      </c>
      <c r="R264" s="15"/>
    </row>
    <row r="265" spans="1:18" x14ac:dyDescent="0.35">
      <c r="A265" s="15" t="s">
        <v>959</v>
      </c>
      <c r="B265" s="16">
        <v>45442</v>
      </c>
      <c r="C265" s="15" t="s">
        <v>845</v>
      </c>
      <c r="D265" s="15">
        <v>2024</v>
      </c>
      <c r="E265" s="15" t="s">
        <v>46</v>
      </c>
      <c r="F265" s="15" t="s">
        <v>131</v>
      </c>
      <c r="G265" s="15" t="s">
        <v>29</v>
      </c>
      <c r="H265" s="15" t="s">
        <v>271</v>
      </c>
      <c r="I265" s="15" t="s">
        <v>850</v>
      </c>
      <c r="J265" s="17">
        <v>890000</v>
      </c>
      <c r="K265" s="15" t="s">
        <v>299</v>
      </c>
      <c r="L265" s="15" t="s">
        <v>300</v>
      </c>
      <c r="M265" s="15" t="s">
        <v>74</v>
      </c>
      <c r="N265" s="15" t="s">
        <v>846</v>
      </c>
      <c r="O265" s="15">
        <v>44</v>
      </c>
      <c r="P265" s="15" t="s">
        <v>960</v>
      </c>
      <c r="Q265" s="15" t="s">
        <v>961</v>
      </c>
      <c r="R265" s="15"/>
    </row>
    <row r="266" spans="1:18" x14ac:dyDescent="0.35">
      <c r="A266" s="15" t="s">
        <v>962</v>
      </c>
      <c r="B266" s="16">
        <v>45443</v>
      </c>
      <c r="C266" s="15" t="s">
        <v>845</v>
      </c>
      <c r="D266" s="15">
        <v>2024</v>
      </c>
      <c r="E266" s="15" t="s">
        <v>46</v>
      </c>
      <c r="F266" s="15" t="s">
        <v>131</v>
      </c>
      <c r="G266" s="15" t="s">
        <v>29</v>
      </c>
      <c r="H266" s="15" t="s">
        <v>362</v>
      </c>
      <c r="I266" s="15" t="s">
        <v>363</v>
      </c>
      <c r="J266" s="17">
        <v>135000</v>
      </c>
      <c r="K266" s="15" t="s">
        <v>299</v>
      </c>
      <c r="L266" s="15" t="s">
        <v>300</v>
      </c>
      <c r="M266" s="15" t="s">
        <v>74</v>
      </c>
      <c r="N266" s="15" t="s">
        <v>846</v>
      </c>
      <c r="O266" s="15">
        <v>45</v>
      </c>
      <c r="P266" s="15" t="s">
        <v>963</v>
      </c>
      <c r="Q266" s="15"/>
      <c r="R266" s="15"/>
    </row>
    <row r="267" spans="1:18" x14ac:dyDescent="0.35">
      <c r="A267" s="15" t="s">
        <v>964</v>
      </c>
      <c r="B267" s="16">
        <v>45443</v>
      </c>
      <c r="C267" s="15" t="s">
        <v>845</v>
      </c>
      <c r="D267" s="15">
        <v>2024</v>
      </c>
      <c r="E267" s="15" t="s">
        <v>46</v>
      </c>
      <c r="F267" s="15" t="s">
        <v>131</v>
      </c>
      <c r="G267" s="15" t="s">
        <v>31</v>
      </c>
      <c r="H267" s="15" t="s">
        <v>746</v>
      </c>
      <c r="I267" s="15" t="s">
        <v>747</v>
      </c>
      <c r="J267" s="17">
        <v>1600000</v>
      </c>
      <c r="K267" s="15" t="s">
        <v>299</v>
      </c>
      <c r="L267" s="15" t="s">
        <v>300</v>
      </c>
      <c r="M267" s="15" t="s">
        <v>74</v>
      </c>
      <c r="N267" s="15" t="s">
        <v>846</v>
      </c>
      <c r="O267" s="15">
        <v>47</v>
      </c>
      <c r="P267" s="15" t="s">
        <v>963</v>
      </c>
      <c r="Q267" s="15" t="s">
        <v>965</v>
      </c>
      <c r="R267" s="15"/>
    </row>
    <row r="268" spans="1:18" x14ac:dyDescent="0.35">
      <c r="A268" s="15" t="s">
        <v>966</v>
      </c>
      <c r="B268" s="16">
        <v>45443</v>
      </c>
      <c r="C268" s="15" t="s">
        <v>845</v>
      </c>
      <c r="D268" s="15">
        <v>2024</v>
      </c>
      <c r="E268" s="15" t="s">
        <v>46</v>
      </c>
      <c r="F268" s="15" t="s">
        <v>131</v>
      </c>
      <c r="G268" s="15" t="s">
        <v>31</v>
      </c>
      <c r="H268" s="15" t="s">
        <v>654</v>
      </c>
      <c r="I268" s="15" t="s">
        <v>967</v>
      </c>
      <c r="J268" s="17">
        <v>1500000</v>
      </c>
      <c r="K268" s="15" t="s">
        <v>299</v>
      </c>
      <c r="L268" s="15" t="s">
        <v>300</v>
      </c>
      <c r="M268" s="15" t="s">
        <v>74</v>
      </c>
      <c r="N268" s="15" t="s">
        <v>846</v>
      </c>
      <c r="O268" s="15">
        <v>46</v>
      </c>
      <c r="P268" s="15" t="s">
        <v>963</v>
      </c>
      <c r="Q268" s="15" t="s">
        <v>968</v>
      </c>
      <c r="R268" s="15"/>
    </row>
    <row r="269" spans="1:18" x14ac:dyDescent="0.35">
      <c r="A269" s="15" t="s">
        <v>969</v>
      </c>
      <c r="B269" s="16">
        <v>45447</v>
      </c>
      <c r="C269" s="15" t="s">
        <v>934</v>
      </c>
      <c r="D269" s="15">
        <v>2024</v>
      </c>
      <c r="E269" s="15" t="s">
        <v>46</v>
      </c>
      <c r="F269" s="15" t="s">
        <v>131</v>
      </c>
      <c r="G269" s="15" t="s">
        <v>31</v>
      </c>
      <c r="H269" s="15" t="s">
        <v>568</v>
      </c>
      <c r="I269" s="15" t="s">
        <v>875</v>
      </c>
      <c r="J269" s="17">
        <v>1000000</v>
      </c>
      <c r="K269" s="15" t="s">
        <v>935</v>
      </c>
      <c r="L269" s="15" t="s">
        <v>300</v>
      </c>
      <c r="M269" s="15" t="s">
        <v>74</v>
      </c>
      <c r="N269" s="15" t="s">
        <v>936</v>
      </c>
      <c r="O269" s="15">
        <v>10</v>
      </c>
      <c r="P269" s="15" t="s">
        <v>970</v>
      </c>
      <c r="Q269" s="15" t="s">
        <v>971</v>
      </c>
      <c r="R269" s="15"/>
    </row>
    <row r="270" spans="1:18" x14ac:dyDescent="0.35">
      <c r="A270" s="15" t="s">
        <v>972</v>
      </c>
      <c r="B270" s="16">
        <v>45447</v>
      </c>
      <c r="C270" s="15" t="s">
        <v>934</v>
      </c>
      <c r="D270" s="15">
        <v>2024</v>
      </c>
      <c r="E270" s="15" t="s">
        <v>46</v>
      </c>
      <c r="F270" s="15" t="s">
        <v>131</v>
      </c>
      <c r="G270" s="15" t="s">
        <v>29</v>
      </c>
      <c r="H270" s="15" t="s">
        <v>382</v>
      </c>
      <c r="I270" s="15" t="s">
        <v>973</v>
      </c>
      <c r="J270" s="17">
        <v>60000</v>
      </c>
      <c r="K270" s="15" t="s">
        <v>935</v>
      </c>
      <c r="L270" s="15" t="s">
        <v>300</v>
      </c>
      <c r="M270" s="15" t="s">
        <v>74</v>
      </c>
      <c r="N270" s="15" t="s">
        <v>936</v>
      </c>
      <c r="O270" s="15">
        <v>8</v>
      </c>
      <c r="P270" s="15" t="s">
        <v>970</v>
      </c>
      <c r="Q270" s="15" t="s">
        <v>974</v>
      </c>
      <c r="R270" s="15"/>
    </row>
    <row r="271" spans="1:18" x14ac:dyDescent="0.35">
      <c r="A271" s="15" t="s">
        <v>975</v>
      </c>
      <c r="B271" s="16">
        <v>45447</v>
      </c>
      <c r="C271" s="15" t="s">
        <v>934</v>
      </c>
      <c r="D271" s="15">
        <v>2024</v>
      </c>
      <c r="E271" s="15" t="s">
        <v>46</v>
      </c>
      <c r="F271" s="15" t="s">
        <v>131</v>
      </c>
      <c r="G271" s="15" t="s">
        <v>31</v>
      </c>
      <c r="H271" s="15" t="s">
        <v>879</v>
      </c>
      <c r="I271" s="15" t="s">
        <v>880</v>
      </c>
      <c r="J271" s="17">
        <v>900000</v>
      </c>
      <c r="K271" s="15" t="s">
        <v>935</v>
      </c>
      <c r="L271" s="15" t="s">
        <v>300</v>
      </c>
      <c r="M271" s="15" t="s">
        <v>74</v>
      </c>
      <c r="N271" s="15" t="s">
        <v>936</v>
      </c>
      <c r="O271" s="15">
        <v>7</v>
      </c>
      <c r="P271" s="15" t="s">
        <v>970</v>
      </c>
      <c r="Q271" s="15" t="s">
        <v>976</v>
      </c>
      <c r="R271" s="15"/>
    </row>
    <row r="272" spans="1:18" x14ac:dyDescent="0.35">
      <c r="A272" s="15" t="s">
        <v>977</v>
      </c>
      <c r="B272" s="16">
        <v>45449</v>
      </c>
      <c r="C272" s="15" t="s">
        <v>934</v>
      </c>
      <c r="D272" s="15">
        <v>2024</v>
      </c>
      <c r="E272" s="15" t="s">
        <v>46</v>
      </c>
      <c r="F272" s="15" t="s">
        <v>131</v>
      </c>
      <c r="G272" s="15" t="s">
        <v>31</v>
      </c>
      <c r="H272" s="15" t="s">
        <v>612</v>
      </c>
      <c r="I272" s="15" t="s">
        <v>978</v>
      </c>
      <c r="J272" s="17">
        <v>500000</v>
      </c>
      <c r="K272" s="15" t="s">
        <v>935</v>
      </c>
      <c r="L272" s="15" t="s">
        <v>300</v>
      </c>
      <c r="M272" s="15" t="s">
        <v>74</v>
      </c>
      <c r="N272" s="15" t="s">
        <v>936</v>
      </c>
      <c r="O272" s="15">
        <v>11</v>
      </c>
      <c r="P272" s="15" t="s">
        <v>979</v>
      </c>
      <c r="Q272" s="15" t="s">
        <v>980</v>
      </c>
      <c r="R272" s="15"/>
    </row>
    <row r="273" spans="1:18" x14ac:dyDescent="0.35">
      <c r="A273" s="15" t="s">
        <v>981</v>
      </c>
      <c r="B273" s="16">
        <v>45449</v>
      </c>
      <c r="C273" s="15" t="s">
        <v>934</v>
      </c>
      <c r="D273" s="15">
        <v>2024</v>
      </c>
      <c r="E273" s="15" t="s">
        <v>46</v>
      </c>
      <c r="F273" s="15" t="s">
        <v>982</v>
      </c>
      <c r="G273" s="15" t="s">
        <v>37</v>
      </c>
      <c r="H273" s="15" t="s">
        <v>612</v>
      </c>
      <c r="I273" s="15" t="s">
        <v>978</v>
      </c>
      <c r="J273" s="17">
        <v>135000</v>
      </c>
      <c r="K273" s="15" t="s">
        <v>935</v>
      </c>
      <c r="L273" s="15" t="s">
        <v>300</v>
      </c>
      <c r="M273" s="15" t="s">
        <v>74</v>
      </c>
      <c r="N273" s="15" t="s">
        <v>936</v>
      </c>
      <c r="O273" s="15">
        <v>12</v>
      </c>
      <c r="P273" s="15" t="s">
        <v>979</v>
      </c>
      <c r="Q273" s="15"/>
      <c r="R273" s="15"/>
    </row>
    <row r="274" spans="1:18" x14ac:dyDescent="0.35">
      <c r="A274" s="15" t="s">
        <v>983</v>
      </c>
      <c r="B274" s="16">
        <v>45449</v>
      </c>
      <c r="C274" s="15" t="s">
        <v>934</v>
      </c>
      <c r="D274" s="15">
        <v>2024</v>
      </c>
      <c r="E274" s="15" t="s">
        <v>46</v>
      </c>
      <c r="F274" s="15" t="s">
        <v>982</v>
      </c>
      <c r="G274" s="15" t="s">
        <v>38</v>
      </c>
      <c r="H274" s="15" t="s">
        <v>203</v>
      </c>
      <c r="I274" s="15" t="s">
        <v>984</v>
      </c>
      <c r="J274" s="17">
        <v>50000</v>
      </c>
      <c r="K274" s="15" t="s">
        <v>935</v>
      </c>
      <c r="L274" s="15" t="s">
        <v>300</v>
      </c>
      <c r="M274" s="15" t="s">
        <v>74</v>
      </c>
      <c r="N274" s="15" t="s">
        <v>936</v>
      </c>
      <c r="O274" s="15">
        <v>13</v>
      </c>
      <c r="P274" s="15" t="s">
        <v>979</v>
      </c>
      <c r="Q274" s="15"/>
      <c r="R274" s="15"/>
    </row>
    <row r="275" spans="1:18" x14ac:dyDescent="0.35">
      <c r="A275" s="15" t="s">
        <v>985</v>
      </c>
      <c r="B275" s="16">
        <v>45449</v>
      </c>
      <c r="C275" s="15" t="s">
        <v>934</v>
      </c>
      <c r="D275" s="15">
        <v>2024</v>
      </c>
      <c r="E275" s="15" t="s">
        <v>46</v>
      </c>
      <c r="F275" s="15" t="s">
        <v>131</v>
      </c>
      <c r="G275" s="15" t="s">
        <v>31</v>
      </c>
      <c r="H275" s="15" t="s">
        <v>203</v>
      </c>
      <c r="I275" s="15" t="s">
        <v>984</v>
      </c>
      <c r="J275" s="17">
        <v>200000</v>
      </c>
      <c r="K275" s="15" t="s">
        <v>935</v>
      </c>
      <c r="L275" s="15" t="s">
        <v>300</v>
      </c>
      <c r="M275" s="15" t="s">
        <v>74</v>
      </c>
      <c r="N275" s="15" t="s">
        <v>936</v>
      </c>
      <c r="O275" s="15">
        <v>14</v>
      </c>
      <c r="P275" s="15" t="s">
        <v>979</v>
      </c>
      <c r="Q275" s="15" t="s">
        <v>986</v>
      </c>
      <c r="R275" s="15"/>
    </row>
    <row r="276" spans="1:18" x14ac:dyDescent="0.35">
      <c r="A276" s="15" t="s">
        <v>987</v>
      </c>
      <c r="B276" s="16">
        <v>45452</v>
      </c>
      <c r="C276" s="15" t="s">
        <v>934</v>
      </c>
      <c r="D276" s="15">
        <v>2024</v>
      </c>
      <c r="E276" s="15" t="s">
        <v>46</v>
      </c>
      <c r="F276" s="15" t="s">
        <v>131</v>
      </c>
      <c r="G276" s="15" t="s">
        <v>31</v>
      </c>
      <c r="H276" s="15" t="s">
        <v>988</v>
      </c>
      <c r="I276" s="15" t="s">
        <v>989</v>
      </c>
      <c r="J276" s="17">
        <v>500000</v>
      </c>
      <c r="K276" s="15" t="s">
        <v>935</v>
      </c>
      <c r="L276" s="15" t="s">
        <v>300</v>
      </c>
      <c r="M276" s="15" t="s">
        <v>74</v>
      </c>
      <c r="N276" s="15" t="s">
        <v>936</v>
      </c>
      <c r="O276" s="15">
        <v>15</v>
      </c>
      <c r="P276" s="15" t="s">
        <v>990</v>
      </c>
      <c r="Q276" s="15" t="s">
        <v>991</v>
      </c>
      <c r="R276" s="15"/>
    </row>
    <row r="277" spans="1:18" x14ac:dyDescent="0.35">
      <c r="A277" s="15" t="s">
        <v>992</v>
      </c>
      <c r="B277" s="16">
        <v>45453</v>
      </c>
      <c r="C277" s="15" t="s">
        <v>934</v>
      </c>
      <c r="D277" s="15">
        <v>2024</v>
      </c>
      <c r="E277" s="15" t="s">
        <v>46</v>
      </c>
      <c r="F277" s="15" t="s">
        <v>131</v>
      </c>
      <c r="G277" s="15" t="s">
        <v>31</v>
      </c>
      <c r="H277" s="15" t="s">
        <v>238</v>
      </c>
      <c r="I277" s="15" t="s">
        <v>993</v>
      </c>
      <c r="J277" s="17">
        <v>2100000</v>
      </c>
      <c r="K277" s="15" t="s">
        <v>935</v>
      </c>
      <c r="L277" s="15" t="s">
        <v>300</v>
      </c>
      <c r="M277" s="15" t="s">
        <v>74</v>
      </c>
      <c r="N277" s="15" t="s">
        <v>936</v>
      </c>
      <c r="O277" s="15">
        <v>16</v>
      </c>
      <c r="P277" s="15" t="s">
        <v>994</v>
      </c>
      <c r="Q277" s="15" t="s">
        <v>995</v>
      </c>
      <c r="R277" s="15"/>
    </row>
    <row r="278" spans="1:18" x14ac:dyDescent="0.35">
      <c r="A278" s="15" t="s">
        <v>996</v>
      </c>
      <c r="B278" s="16">
        <v>45454</v>
      </c>
      <c r="C278" s="15" t="s">
        <v>934</v>
      </c>
      <c r="D278" s="15">
        <v>2024</v>
      </c>
      <c r="E278" s="15" t="s">
        <v>46</v>
      </c>
      <c r="F278" s="15" t="s">
        <v>131</v>
      </c>
      <c r="G278" s="15" t="s">
        <v>31</v>
      </c>
      <c r="H278" s="15" t="s">
        <v>997</v>
      </c>
      <c r="I278" s="15" t="s">
        <v>998</v>
      </c>
      <c r="J278" s="17">
        <v>2100000</v>
      </c>
      <c r="K278" s="15" t="s">
        <v>999</v>
      </c>
      <c r="L278" s="15" t="s">
        <v>300</v>
      </c>
      <c r="M278" s="15" t="s">
        <v>74</v>
      </c>
      <c r="N278" s="15" t="s">
        <v>936</v>
      </c>
      <c r="O278" s="15">
        <v>7</v>
      </c>
      <c r="P278" s="15" t="s">
        <v>1000</v>
      </c>
      <c r="Q278" s="15" t="s">
        <v>1001</v>
      </c>
      <c r="R278" s="15"/>
    </row>
    <row r="279" spans="1:18" x14ac:dyDescent="0.35">
      <c r="A279" s="15" t="s">
        <v>1002</v>
      </c>
      <c r="B279" s="16">
        <v>45454</v>
      </c>
      <c r="C279" s="15" t="s">
        <v>934</v>
      </c>
      <c r="D279" s="15">
        <v>2024</v>
      </c>
      <c r="E279" s="15" t="s">
        <v>46</v>
      </c>
      <c r="F279" s="15" t="s">
        <v>982</v>
      </c>
      <c r="G279" s="15" t="s">
        <v>37</v>
      </c>
      <c r="H279" s="15" t="s">
        <v>625</v>
      </c>
      <c r="I279" s="15" t="s">
        <v>626</v>
      </c>
      <c r="J279" s="17">
        <v>250000</v>
      </c>
      <c r="K279" s="15" t="s">
        <v>935</v>
      </c>
      <c r="L279" s="15" t="s">
        <v>300</v>
      </c>
      <c r="M279" s="15" t="s">
        <v>74</v>
      </c>
      <c r="N279" s="15" t="s">
        <v>936</v>
      </c>
      <c r="O279" s="15">
        <v>19</v>
      </c>
      <c r="P279" s="15" t="s">
        <v>1000</v>
      </c>
      <c r="Q279" s="15"/>
      <c r="R279" s="15"/>
    </row>
    <row r="280" spans="1:18" x14ac:dyDescent="0.35">
      <c r="A280" s="15" t="s">
        <v>1003</v>
      </c>
      <c r="B280" s="16">
        <v>45454</v>
      </c>
      <c r="C280" s="15" t="s">
        <v>934</v>
      </c>
      <c r="D280" s="15">
        <v>2024</v>
      </c>
      <c r="E280" s="15" t="s">
        <v>46</v>
      </c>
      <c r="F280" s="15" t="s">
        <v>982</v>
      </c>
      <c r="G280" s="15" t="s">
        <v>37</v>
      </c>
      <c r="H280" s="15" t="s">
        <v>369</v>
      </c>
      <c r="I280" s="15" t="s">
        <v>370</v>
      </c>
      <c r="J280" s="17">
        <v>135000</v>
      </c>
      <c r="K280" s="15" t="s">
        <v>935</v>
      </c>
      <c r="L280" s="15" t="s">
        <v>300</v>
      </c>
      <c r="M280" s="15" t="s">
        <v>74</v>
      </c>
      <c r="N280" s="15" t="s">
        <v>936</v>
      </c>
      <c r="O280" s="15">
        <v>17</v>
      </c>
      <c r="P280" s="15" t="s">
        <v>1000</v>
      </c>
      <c r="Q280" s="15"/>
      <c r="R280" s="15"/>
    </row>
    <row r="281" spans="1:18" x14ac:dyDescent="0.35">
      <c r="A281" s="15" t="s">
        <v>1004</v>
      </c>
      <c r="B281" s="16">
        <v>45454</v>
      </c>
      <c r="C281" s="15" t="s">
        <v>934</v>
      </c>
      <c r="D281" s="15">
        <v>2024</v>
      </c>
      <c r="E281" s="15" t="s">
        <v>46</v>
      </c>
      <c r="F281" s="15" t="s">
        <v>982</v>
      </c>
      <c r="G281" s="15" t="s">
        <v>37</v>
      </c>
      <c r="H281" s="15" t="s">
        <v>1005</v>
      </c>
      <c r="I281" s="15" t="s">
        <v>1006</v>
      </c>
      <c r="J281" s="17">
        <v>135000</v>
      </c>
      <c r="K281" s="15" t="s">
        <v>935</v>
      </c>
      <c r="L281" s="15" t="s">
        <v>300</v>
      </c>
      <c r="M281" s="15" t="s">
        <v>74</v>
      </c>
      <c r="N281" s="15" t="s">
        <v>936</v>
      </c>
      <c r="O281" s="15">
        <v>20</v>
      </c>
      <c r="P281" s="15" t="s">
        <v>1000</v>
      </c>
      <c r="Q281" s="15"/>
      <c r="R281" s="15"/>
    </row>
    <row r="282" spans="1:18" x14ac:dyDescent="0.35">
      <c r="A282" s="15" t="s">
        <v>1007</v>
      </c>
      <c r="B282" s="16">
        <v>45454</v>
      </c>
      <c r="C282" s="15" t="s">
        <v>934</v>
      </c>
      <c r="D282" s="15">
        <v>2024</v>
      </c>
      <c r="E282" s="15" t="s">
        <v>46</v>
      </c>
      <c r="F282" s="15" t="s">
        <v>131</v>
      </c>
      <c r="G282" s="15" t="s">
        <v>31</v>
      </c>
      <c r="H282" s="15" t="s">
        <v>916</v>
      </c>
      <c r="I282" s="15" t="s">
        <v>917</v>
      </c>
      <c r="J282" s="17">
        <v>1100000</v>
      </c>
      <c r="K282" s="15" t="s">
        <v>935</v>
      </c>
      <c r="L282" s="15" t="s">
        <v>300</v>
      </c>
      <c r="M282" s="15" t="s">
        <v>74</v>
      </c>
      <c r="N282" s="15" t="s">
        <v>936</v>
      </c>
      <c r="O282" s="15">
        <v>18</v>
      </c>
      <c r="P282" s="15" t="s">
        <v>1000</v>
      </c>
      <c r="Q282" s="15" t="s">
        <v>1008</v>
      </c>
      <c r="R282" s="15"/>
    </row>
    <row r="283" spans="1:18" x14ac:dyDescent="0.35">
      <c r="A283" s="15" t="s">
        <v>1009</v>
      </c>
      <c r="B283" s="16">
        <v>45454</v>
      </c>
      <c r="C283" s="15" t="s">
        <v>934</v>
      </c>
      <c r="D283" s="15">
        <v>2024</v>
      </c>
      <c r="E283" s="15" t="s">
        <v>46</v>
      </c>
      <c r="F283" s="15" t="s">
        <v>131</v>
      </c>
      <c r="G283" s="15" t="s">
        <v>29</v>
      </c>
      <c r="H283" s="15" t="s">
        <v>1010</v>
      </c>
      <c r="I283" s="15" t="s">
        <v>1011</v>
      </c>
      <c r="J283" s="17">
        <v>500000</v>
      </c>
      <c r="K283" s="15" t="s">
        <v>935</v>
      </c>
      <c r="L283" s="15" t="s">
        <v>300</v>
      </c>
      <c r="M283" s="15" t="s">
        <v>74</v>
      </c>
      <c r="N283" s="15" t="s">
        <v>936</v>
      </c>
      <c r="O283" s="15">
        <v>21</v>
      </c>
      <c r="P283" s="15" t="s">
        <v>1000</v>
      </c>
      <c r="Q283" s="15" t="s">
        <v>1012</v>
      </c>
      <c r="R283" s="15"/>
    </row>
    <row r="284" spans="1:18" x14ac:dyDescent="0.35">
      <c r="A284" s="15" t="s">
        <v>1013</v>
      </c>
      <c r="B284" s="16">
        <v>45456</v>
      </c>
      <c r="C284" s="15" t="s">
        <v>934</v>
      </c>
      <c r="D284" s="15">
        <v>2024</v>
      </c>
      <c r="E284" s="15" t="s">
        <v>46</v>
      </c>
      <c r="F284" s="15" t="s">
        <v>131</v>
      </c>
      <c r="G284" s="15" t="s">
        <v>29</v>
      </c>
      <c r="H284" s="15" t="s">
        <v>285</v>
      </c>
      <c r="I284" s="15" t="s">
        <v>1014</v>
      </c>
      <c r="J284" s="17">
        <v>100000</v>
      </c>
      <c r="K284" s="15" t="s">
        <v>935</v>
      </c>
      <c r="L284" s="15" t="s">
        <v>300</v>
      </c>
      <c r="M284" s="15" t="s">
        <v>74</v>
      </c>
      <c r="N284" s="15" t="s">
        <v>936</v>
      </c>
      <c r="O284" s="15">
        <v>23</v>
      </c>
      <c r="P284" s="15" t="s">
        <v>1015</v>
      </c>
      <c r="Q284" s="15"/>
      <c r="R284" s="15"/>
    </row>
    <row r="285" spans="1:18" x14ac:dyDescent="0.35">
      <c r="A285" s="15" t="s">
        <v>1016</v>
      </c>
      <c r="B285" s="16">
        <v>45457</v>
      </c>
      <c r="C285" s="15" t="s">
        <v>934</v>
      </c>
      <c r="D285" s="15">
        <v>2024</v>
      </c>
      <c r="E285" s="15" t="s">
        <v>46</v>
      </c>
      <c r="F285" s="15" t="s">
        <v>131</v>
      </c>
      <c r="G285" s="15" t="s">
        <v>29</v>
      </c>
      <c r="H285" s="15" t="s">
        <v>1010</v>
      </c>
      <c r="I285" s="15" t="s">
        <v>1011</v>
      </c>
      <c r="J285" s="17">
        <v>500000</v>
      </c>
      <c r="K285" s="15" t="s">
        <v>935</v>
      </c>
      <c r="L285" s="15" t="s">
        <v>300</v>
      </c>
      <c r="M285" s="15" t="s">
        <v>74</v>
      </c>
      <c r="N285" s="15" t="s">
        <v>936</v>
      </c>
      <c r="O285" s="15">
        <v>24</v>
      </c>
      <c r="P285" s="15" t="s">
        <v>1017</v>
      </c>
      <c r="Q285" s="15" t="s">
        <v>1018</v>
      </c>
      <c r="R285" s="15"/>
    </row>
    <row r="286" spans="1:18" x14ac:dyDescent="0.35">
      <c r="A286" s="15" t="s">
        <v>1019</v>
      </c>
      <c r="B286" s="16">
        <v>45457</v>
      </c>
      <c r="C286" s="15" t="s">
        <v>934</v>
      </c>
      <c r="D286" s="15">
        <v>2024</v>
      </c>
      <c r="E286" s="15" t="s">
        <v>46</v>
      </c>
      <c r="F286" s="15" t="s">
        <v>982</v>
      </c>
      <c r="G286" s="15" t="s">
        <v>37</v>
      </c>
      <c r="H286" s="15" t="s">
        <v>1020</v>
      </c>
      <c r="I286" s="15" t="s">
        <v>1021</v>
      </c>
      <c r="J286" s="17">
        <v>135000</v>
      </c>
      <c r="K286" s="15" t="s">
        <v>935</v>
      </c>
      <c r="L286" s="15" t="s">
        <v>300</v>
      </c>
      <c r="M286" s="15" t="s">
        <v>74</v>
      </c>
      <c r="N286" s="15" t="s">
        <v>936</v>
      </c>
      <c r="O286" s="15">
        <v>25</v>
      </c>
      <c r="P286" s="15" t="s">
        <v>1017</v>
      </c>
      <c r="Q286" s="15"/>
      <c r="R286" s="15"/>
    </row>
    <row r="287" spans="1:18" x14ac:dyDescent="0.35">
      <c r="A287" s="15" t="s">
        <v>1022</v>
      </c>
      <c r="B287" s="16">
        <v>45458</v>
      </c>
      <c r="C287" s="15" t="s">
        <v>934</v>
      </c>
      <c r="D287" s="15">
        <v>2024</v>
      </c>
      <c r="E287" s="15" t="s">
        <v>46</v>
      </c>
      <c r="F287" s="15" t="s">
        <v>131</v>
      </c>
      <c r="G287" s="15" t="s">
        <v>31</v>
      </c>
      <c r="H287" s="15" t="s">
        <v>1023</v>
      </c>
      <c r="I287" s="15" t="s">
        <v>1024</v>
      </c>
      <c r="J287" s="17">
        <v>250000</v>
      </c>
      <c r="K287" s="15" t="s">
        <v>999</v>
      </c>
      <c r="L287" s="15" t="s">
        <v>300</v>
      </c>
      <c r="M287" s="15" t="s">
        <v>74</v>
      </c>
      <c r="N287" s="15" t="s">
        <v>936</v>
      </c>
      <c r="O287" s="15">
        <v>9</v>
      </c>
      <c r="P287" s="15" t="s">
        <v>1025</v>
      </c>
      <c r="Q287" s="15" t="s">
        <v>1026</v>
      </c>
      <c r="R287" s="15"/>
    </row>
    <row r="288" spans="1:18" x14ac:dyDescent="0.35">
      <c r="A288" s="15" t="s">
        <v>1027</v>
      </c>
      <c r="B288" s="16">
        <v>45458</v>
      </c>
      <c r="C288" s="15" t="s">
        <v>934</v>
      </c>
      <c r="D288" s="15">
        <v>2024</v>
      </c>
      <c r="E288" s="15" t="s">
        <v>46</v>
      </c>
      <c r="F288" s="15" t="s">
        <v>131</v>
      </c>
      <c r="G288" s="15" t="s">
        <v>31</v>
      </c>
      <c r="H288" s="15" t="s">
        <v>636</v>
      </c>
      <c r="I288" s="15" t="s">
        <v>637</v>
      </c>
      <c r="J288" s="17">
        <v>500000</v>
      </c>
      <c r="K288" s="15" t="s">
        <v>999</v>
      </c>
      <c r="L288" s="15" t="s">
        <v>300</v>
      </c>
      <c r="M288" s="15" t="s">
        <v>74</v>
      </c>
      <c r="N288" s="15" t="s">
        <v>936</v>
      </c>
      <c r="O288" s="15">
        <v>8</v>
      </c>
      <c r="P288" s="15" t="s">
        <v>1025</v>
      </c>
      <c r="Q288" s="15" t="s">
        <v>1028</v>
      </c>
      <c r="R288" s="15"/>
    </row>
    <row r="289" spans="1:18" x14ac:dyDescent="0.35">
      <c r="A289" s="15" t="s">
        <v>1029</v>
      </c>
      <c r="B289" s="16">
        <v>45460</v>
      </c>
      <c r="C289" s="15" t="s">
        <v>934</v>
      </c>
      <c r="D289" s="15">
        <v>2024</v>
      </c>
      <c r="E289" s="15" t="s">
        <v>46</v>
      </c>
      <c r="F289" s="15" t="s">
        <v>131</v>
      </c>
      <c r="G289" s="15" t="s">
        <v>31</v>
      </c>
      <c r="H289" s="15" t="s">
        <v>568</v>
      </c>
      <c r="I289" s="15" t="s">
        <v>875</v>
      </c>
      <c r="J289" s="17">
        <v>1000000</v>
      </c>
      <c r="K289" s="15" t="s">
        <v>935</v>
      </c>
      <c r="L289" s="15" t="s">
        <v>300</v>
      </c>
      <c r="M289" s="15" t="s">
        <v>74</v>
      </c>
      <c r="N289" s="15" t="s">
        <v>936</v>
      </c>
      <c r="O289" s="15">
        <v>27</v>
      </c>
      <c r="P289" s="15" t="s">
        <v>1030</v>
      </c>
      <c r="Q289" s="15" t="s">
        <v>1031</v>
      </c>
      <c r="R289" s="15"/>
    </row>
    <row r="290" spans="1:18" x14ac:dyDescent="0.35">
      <c r="A290" s="15" t="s">
        <v>1032</v>
      </c>
      <c r="B290" s="16">
        <v>45460</v>
      </c>
      <c r="C290" s="15" t="s">
        <v>934</v>
      </c>
      <c r="D290" s="15">
        <v>2024</v>
      </c>
      <c r="E290" s="15" t="s">
        <v>46</v>
      </c>
      <c r="F290" s="15" t="s">
        <v>982</v>
      </c>
      <c r="G290" s="15" t="s">
        <v>37</v>
      </c>
      <c r="H290" s="15" t="s">
        <v>616</v>
      </c>
      <c r="I290" s="15" t="s">
        <v>1033</v>
      </c>
      <c r="J290" s="17">
        <v>135000</v>
      </c>
      <c r="K290" s="15" t="s">
        <v>935</v>
      </c>
      <c r="L290" s="15" t="s">
        <v>300</v>
      </c>
      <c r="M290" s="15" t="s">
        <v>74</v>
      </c>
      <c r="N290" s="15" t="s">
        <v>936</v>
      </c>
      <c r="O290" s="15">
        <v>26</v>
      </c>
      <c r="P290" s="15" t="s">
        <v>1030</v>
      </c>
      <c r="Q290" s="15"/>
      <c r="R290" s="15"/>
    </row>
    <row r="291" spans="1:18" x14ac:dyDescent="0.35">
      <c r="A291" s="15" t="s">
        <v>1034</v>
      </c>
      <c r="B291" s="16">
        <v>45460</v>
      </c>
      <c r="C291" s="15" t="s">
        <v>934</v>
      </c>
      <c r="D291" s="15">
        <v>2024</v>
      </c>
      <c r="E291" s="15" t="s">
        <v>46</v>
      </c>
      <c r="F291" s="15" t="s">
        <v>982</v>
      </c>
      <c r="G291" s="15" t="s">
        <v>37</v>
      </c>
      <c r="H291" s="15" t="s">
        <v>905</v>
      </c>
      <c r="I291" s="15" t="s">
        <v>906</v>
      </c>
      <c r="J291" s="17">
        <v>135000</v>
      </c>
      <c r="K291" s="15" t="s">
        <v>999</v>
      </c>
      <c r="L291" s="15" t="s">
        <v>300</v>
      </c>
      <c r="M291" s="15" t="s">
        <v>74</v>
      </c>
      <c r="N291" s="15" t="s">
        <v>936</v>
      </c>
      <c r="O291" s="15">
        <v>10</v>
      </c>
      <c r="P291" s="15" t="s">
        <v>1030</v>
      </c>
      <c r="Q291" s="15"/>
      <c r="R291" s="15"/>
    </row>
    <row r="292" spans="1:18" x14ac:dyDescent="0.35">
      <c r="A292" s="15" t="s">
        <v>1035</v>
      </c>
      <c r="B292" s="16">
        <v>45461</v>
      </c>
      <c r="C292" s="15" t="s">
        <v>934</v>
      </c>
      <c r="D292" s="15">
        <v>2024</v>
      </c>
      <c r="E292" s="15" t="s">
        <v>46</v>
      </c>
      <c r="F292" s="15" t="s">
        <v>131</v>
      </c>
      <c r="G292" s="15" t="s">
        <v>31</v>
      </c>
      <c r="H292" s="15" t="s">
        <v>650</v>
      </c>
      <c r="I292" s="15" t="s">
        <v>651</v>
      </c>
      <c r="J292" s="17">
        <v>300000</v>
      </c>
      <c r="K292" s="15" t="s">
        <v>999</v>
      </c>
      <c r="L292" s="15" t="s">
        <v>300</v>
      </c>
      <c r="M292" s="15" t="s">
        <v>74</v>
      </c>
      <c r="N292" s="15" t="s">
        <v>936</v>
      </c>
      <c r="O292" s="15">
        <v>11</v>
      </c>
      <c r="P292" s="15" t="s">
        <v>1036</v>
      </c>
      <c r="Q292" s="15" t="s">
        <v>1037</v>
      </c>
      <c r="R292" s="15"/>
    </row>
    <row r="293" spans="1:18" x14ac:dyDescent="0.35">
      <c r="A293" s="15" t="s">
        <v>1038</v>
      </c>
      <c r="B293" s="16">
        <v>45463</v>
      </c>
      <c r="C293" s="15" t="s">
        <v>934</v>
      </c>
      <c r="D293" s="15">
        <v>2024</v>
      </c>
      <c r="E293" s="15" t="s">
        <v>46</v>
      </c>
      <c r="F293" s="15" t="s">
        <v>982</v>
      </c>
      <c r="G293" s="15" t="s">
        <v>37</v>
      </c>
      <c r="H293" s="15" t="s">
        <v>997</v>
      </c>
      <c r="I293" s="15" t="s">
        <v>998</v>
      </c>
      <c r="J293" s="17">
        <v>135000</v>
      </c>
      <c r="K293" s="15" t="s">
        <v>999</v>
      </c>
      <c r="L293" s="15" t="s">
        <v>300</v>
      </c>
      <c r="M293" s="15" t="s">
        <v>74</v>
      </c>
      <c r="N293" s="15" t="s">
        <v>936</v>
      </c>
      <c r="O293" s="15">
        <v>12</v>
      </c>
      <c r="P293" s="15" t="s">
        <v>1039</v>
      </c>
      <c r="Q293" s="15"/>
      <c r="R293" s="15"/>
    </row>
    <row r="294" spans="1:18" x14ac:dyDescent="0.35">
      <c r="A294" s="15" t="s">
        <v>1040</v>
      </c>
      <c r="B294" s="16">
        <v>45463</v>
      </c>
      <c r="C294" s="15" t="s">
        <v>934</v>
      </c>
      <c r="D294" s="15">
        <v>2024</v>
      </c>
      <c r="E294" s="15" t="s">
        <v>46</v>
      </c>
      <c r="F294" s="15" t="s">
        <v>982</v>
      </c>
      <c r="G294" s="15" t="s">
        <v>37</v>
      </c>
      <c r="H294" s="15" t="s">
        <v>1041</v>
      </c>
      <c r="I294" s="15" t="s">
        <v>1042</v>
      </c>
      <c r="J294" s="17">
        <v>135000</v>
      </c>
      <c r="K294" s="15" t="s">
        <v>935</v>
      </c>
      <c r="L294" s="15" t="s">
        <v>300</v>
      </c>
      <c r="M294" s="15" t="s">
        <v>74</v>
      </c>
      <c r="N294" s="15" t="s">
        <v>936</v>
      </c>
      <c r="O294" s="15">
        <v>28</v>
      </c>
      <c r="P294" s="15" t="s">
        <v>1039</v>
      </c>
      <c r="Q294" s="15"/>
      <c r="R294" s="15"/>
    </row>
    <row r="295" spans="1:18" x14ac:dyDescent="0.35">
      <c r="A295" s="15" t="s">
        <v>1043</v>
      </c>
      <c r="B295" s="16">
        <v>45464</v>
      </c>
      <c r="C295" s="15" t="s">
        <v>934</v>
      </c>
      <c r="D295" s="15">
        <v>2024</v>
      </c>
      <c r="E295" s="15" t="s">
        <v>46</v>
      </c>
      <c r="F295" s="15" t="s">
        <v>131</v>
      </c>
      <c r="G295" s="15" t="s">
        <v>31</v>
      </c>
      <c r="H295" s="15" t="s">
        <v>1044</v>
      </c>
      <c r="I295" s="15" t="s">
        <v>1045</v>
      </c>
      <c r="J295" s="17">
        <v>1000000</v>
      </c>
      <c r="K295" s="15" t="s">
        <v>935</v>
      </c>
      <c r="L295" s="15" t="s">
        <v>300</v>
      </c>
      <c r="M295" s="15" t="s">
        <v>74</v>
      </c>
      <c r="N295" s="15" t="s">
        <v>936</v>
      </c>
      <c r="O295" s="15">
        <v>30</v>
      </c>
      <c r="P295" s="15" t="s">
        <v>1046</v>
      </c>
      <c r="Q295" s="15" t="s">
        <v>1047</v>
      </c>
      <c r="R295" s="15"/>
    </row>
    <row r="296" spans="1:18" x14ac:dyDescent="0.35">
      <c r="A296" s="15" t="s">
        <v>1048</v>
      </c>
      <c r="B296" s="16">
        <v>45464</v>
      </c>
      <c r="C296" s="15" t="s">
        <v>934</v>
      </c>
      <c r="D296" s="15">
        <v>2024</v>
      </c>
      <c r="E296" s="15" t="s">
        <v>46</v>
      </c>
      <c r="F296" s="15" t="s">
        <v>982</v>
      </c>
      <c r="G296" s="15" t="s">
        <v>37</v>
      </c>
      <c r="H296" s="15" t="s">
        <v>140</v>
      </c>
      <c r="I296" s="15" t="s">
        <v>141</v>
      </c>
      <c r="J296" s="17">
        <v>135000</v>
      </c>
      <c r="K296" s="15" t="s">
        <v>935</v>
      </c>
      <c r="L296" s="15" t="s">
        <v>300</v>
      </c>
      <c r="M296" s="15" t="s">
        <v>74</v>
      </c>
      <c r="N296" s="15" t="s">
        <v>936</v>
      </c>
      <c r="O296" s="15">
        <v>31</v>
      </c>
      <c r="P296" s="15" t="s">
        <v>1046</v>
      </c>
      <c r="Q296" s="15"/>
      <c r="R296" s="15"/>
    </row>
    <row r="297" spans="1:18" x14ac:dyDescent="0.35">
      <c r="A297" s="15" t="s">
        <v>1049</v>
      </c>
      <c r="B297" s="16">
        <v>45464</v>
      </c>
      <c r="C297" s="15" t="s">
        <v>934</v>
      </c>
      <c r="D297" s="15">
        <v>2024</v>
      </c>
      <c r="E297" s="15" t="s">
        <v>46</v>
      </c>
      <c r="F297" s="15" t="s">
        <v>982</v>
      </c>
      <c r="G297" s="15" t="s">
        <v>37</v>
      </c>
      <c r="H297" s="15" t="s">
        <v>568</v>
      </c>
      <c r="I297" s="15" t="s">
        <v>875</v>
      </c>
      <c r="J297" s="17">
        <v>135000</v>
      </c>
      <c r="K297" s="15" t="s">
        <v>935</v>
      </c>
      <c r="L297" s="15" t="s">
        <v>300</v>
      </c>
      <c r="M297" s="15" t="s">
        <v>74</v>
      </c>
      <c r="N297" s="15" t="s">
        <v>936</v>
      </c>
      <c r="O297" s="15">
        <v>32</v>
      </c>
      <c r="P297" s="15" t="s">
        <v>1046</v>
      </c>
      <c r="Q297" s="15"/>
      <c r="R297" s="15"/>
    </row>
    <row r="298" spans="1:18" x14ac:dyDescent="0.35">
      <c r="A298" s="15" t="s">
        <v>1050</v>
      </c>
      <c r="B298" s="16">
        <v>45464</v>
      </c>
      <c r="C298" s="15" t="s">
        <v>934</v>
      </c>
      <c r="D298" s="15">
        <v>2024</v>
      </c>
      <c r="E298" s="15" t="s">
        <v>46</v>
      </c>
      <c r="F298" s="15" t="s">
        <v>131</v>
      </c>
      <c r="G298" s="15" t="s">
        <v>31</v>
      </c>
      <c r="H298" s="15" t="s">
        <v>362</v>
      </c>
      <c r="I298" s="15" t="s">
        <v>1051</v>
      </c>
      <c r="J298" s="17">
        <v>2000000</v>
      </c>
      <c r="K298" s="15" t="s">
        <v>935</v>
      </c>
      <c r="L298" s="15" t="s">
        <v>300</v>
      </c>
      <c r="M298" s="15" t="s">
        <v>74</v>
      </c>
      <c r="N298" s="15" t="s">
        <v>936</v>
      </c>
      <c r="O298" s="15">
        <v>29</v>
      </c>
      <c r="P298" s="15" t="s">
        <v>1046</v>
      </c>
      <c r="Q298" s="15" t="s">
        <v>1052</v>
      </c>
      <c r="R298" s="15"/>
    </row>
    <row r="299" spans="1:18" x14ac:dyDescent="0.35">
      <c r="A299" s="15" t="s">
        <v>1053</v>
      </c>
      <c r="B299" s="16">
        <v>45464</v>
      </c>
      <c r="C299" s="15" t="s">
        <v>934</v>
      </c>
      <c r="D299" s="15">
        <v>2024</v>
      </c>
      <c r="E299" s="15" t="s">
        <v>46</v>
      </c>
      <c r="F299" s="15" t="s">
        <v>982</v>
      </c>
      <c r="G299" s="15" t="s">
        <v>37</v>
      </c>
      <c r="H299" s="15" t="s">
        <v>784</v>
      </c>
      <c r="I299" s="15" t="s">
        <v>785</v>
      </c>
      <c r="J299" s="17">
        <v>135000</v>
      </c>
      <c r="K299" s="15" t="s">
        <v>999</v>
      </c>
      <c r="L299" s="15" t="s">
        <v>300</v>
      </c>
      <c r="M299" s="15" t="s">
        <v>74</v>
      </c>
      <c r="N299" s="15" t="s">
        <v>936</v>
      </c>
      <c r="O299" s="15">
        <v>13</v>
      </c>
      <c r="P299" s="15" t="s">
        <v>1046</v>
      </c>
      <c r="Q299" s="15"/>
      <c r="R299" s="15"/>
    </row>
    <row r="300" spans="1:18" x14ac:dyDescent="0.35">
      <c r="A300" s="15" t="s">
        <v>1054</v>
      </c>
      <c r="B300" s="16">
        <v>45464</v>
      </c>
      <c r="C300" s="15" t="s">
        <v>934</v>
      </c>
      <c r="D300" s="15">
        <v>2024</v>
      </c>
      <c r="E300" s="15" t="s">
        <v>46</v>
      </c>
      <c r="F300" s="15" t="s">
        <v>982</v>
      </c>
      <c r="G300" s="15" t="s">
        <v>37</v>
      </c>
      <c r="H300" s="15" t="s">
        <v>594</v>
      </c>
      <c r="I300" s="15" t="s">
        <v>1055</v>
      </c>
      <c r="J300" s="17">
        <v>135000</v>
      </c>
      <c r="K300" s="15" t="s">
        <v>999</v>
      </c>
      <c r="L300" s="15" t="s">
        <v>300</v>
      </c>
      <c r="M300" s="15" t="s">
        <v>74</v>
      </c>
      <c r="N300" s="15" t="s">
        <v>936</v>
      </c>
      <c r="O300" s="15">
        <v>14</v>
      </c>
      <c r="P300" s="15" t="s">
        <v>1046</v>
      </c>
      <c r="Q300" s="15"/>
      <c r="R300" s="15"/>
    </row>
    <row r="301" spans="1:18" x14ac:dyDescent="0.35">
      <c r="A301" s="15" t="s">
        <v>1056</v>
      </c>
      <c r="B301" s="16">
        <v>45465</v>
      </c>
      <c r="C301" s="15" t="s">
        <v>934</v>
      </c>
      <c r="D301" s="15">
        <v>2024</v>
      </c>
      <c r="E301" s="15" t="s">
        <v>46</v>
      </c>
      <c r="F301" s="15" t="s">
        <v>131</v>
      </c>
      <c r="G301" s="15" t="s">
        <v>31</v>
      </c>
      <c r="H301" s="15" t="s">
        <v>1057</v>
      </c>
      <c r="I301" s="15" t="s">
        <v>1058</v>
      </c>
      <c r="J301" s="17">
        <v>500000</v>
      </c>
      <c r="K301" s="15" t="s">
        <v>935</v>
      </c>
      <c r="L301" s="15" t="s">
        <v>300</v>
      </c>
      <c r="M301" s="15" t="s">
        <v>74</v>
      </c>
      <c r="N301" s="15" t="s">
        <v>936</v>
      </c>
      <c r="O301" s="15">
        <v>34</v>
      </c>
      <c r="P301" s="15" t="s">
        <v>1059</v>
      </c>
      <c r="Q301" s="15" t="s">
        <v>1060</v>
      </c>
      <c r="R301" s="15"/>
    </row>
    <row r="302" spans="1:18" x14ac:dyDescent="0.35">
      <c r="A302" s="15" t="s">
        <v>1061</v>
      </c>
      <c r="B302" s="16">
        <v>45465</v>
      </c>
      <c r="C302" s="15" t="s">
        <v>934</v>
      </c>
      <c r="D302" s="15">
        <v>2024</v>
      </c>
      <c r="E302" s="15" t="s">
        <v>46</v>
      </c>
      <c r="F302" s="15" t="s">
        <v>131</v>
      </c>
      <c r="G302" s="15" t="s">
        <v>29</v>
      </c>
      <c r="H302" s="15" t="s">
        <v>704</v>
      </c>
      <c r="I302" s="15" t="s">
        <v>705</v>
      </c>
      <c r="J302" s="17">
        <v>500000</v>
      </c>
      <c r="K302" s="15" t="s">
        <v>935</v>
      </c>
      <c r="L302" s="15" t="s">
        <v>300</v>
      </c>
      <c r="M302" s="15" t="s">
        <v>74</v>
      </c>
      <c r="N302" s="15" t="s">
        <v>936</v>
      </c>
      <c r="O302" s="15">
        <v>33</v>
      </c>
      <c r="P302" s="15" t="s">
        <v>1059</v>
      </c>
      <c r="Q302" s="15" t="s">
        <v>1062</v>
      </c>
      <c r="R302" s="15"/>
    </row>
    <row r="303" spans="1:18" x14ac:dyDescent="0.35">
      <c r="A303" s="15" t="s">
        <v>1063</v>
      </c>
      <c r="B303" s="16">
        <v>45468</v>
      </c>
      <c r="C303" s="15" t="s">
        <v>934</v>
      </c>
      <c r="D303" s="15">
        <v>2024</v>
      </c>
      <c r="E303" s="15" t="s">
        <v>46</v>
      </c>
      <c r="F303" s="15" t="s">
        <v>131</v>
      </c>
      <c r="G303" s="15" t="s">
        <v>31</v>
      </c>
      <c r="H303" s="15" t="s">
        <v>1064</v>
      </c>
      <c r="I303" s="15" t="s">
        <v>1065</v>
      </c>
      <c r="J303" s="17">
        <v>1000000</v>
      </c>
      <c r="K303" s="15" t="s">
        <v>935</v>
      </c>
      <c r="L303" s="15" t="s">
        <v>300</v>
      </c>
      <c r="M303" s="15" t="s">
        <v>74</v>
      </c>
      <c r="N303" s="15" t="s">
        <v>936</v>
      </c>
      <c r="O303" s="15">
        <v>38</v>
      </c>
      <c r="P303" s="15" t="s">
        <v>1066</v>
      </c>
      <c r="Q303" s="15" t="s">
        <v>1067</v>
      </c>
      <c r="R303" s="15"/>
    </row>
    <row r="304" spans="1:18" x14ac:dyDescent="0.35">
      <c r="A304" s="15" t="s">
        <v>1068</v>
      </c>
      <c r="B304" s="16">
        <v>45468</v>
      </c>
      <c r="C304" s="15" t="s">
        <v>934</v>
      </c>
      <c r="D304" s="15">
        <v>2024</v>
      </c>
      <c r="E304" s="15" t="s">
        <v>46</v>
      </c>
      <c r="F304" s="15" t="s">
        <v>131</v>
      </c>
      <c r="G304" s="15" t="s">
        <v>29</v>
      </c>
      <c r="H304" s="15" t="s">
        <v>382</v>
      </c>
      <c r="I304" s="15" t="s">
        <v>973</v>
      </c>
      <c r="J304" s="17">
        <v>480000</v>
      </c>
      <c r="K304" s="15" t="s">
        <v>935</v>
      </c>
      <c r="L304" s="15" t="s">
        <v>300</v>
      </c>
      <c r="M304" s="15" t="s">
        <v>74</v>
      </c>
      <c r="N304" s="15" t="s">
        <v>936</v>
      </c>
      <c r="O304" s="15">
        <v>36</v>
      </c>
      <c r="P304" s="15" t="s">
        <v>1066</v>
      </c>
      <c r="Q304" s="15" t="s">
        <v>1069</v>
      </c>
      <c r="R304" s="15"/>
    </row>
    <row r="305" spans="1:18" x14ac:dyDescent="0.35">
      <c r="A305" s="15" t="s">
        <v>1070</v>
      </c>
      <c r="B305" s="16">
        <v>45470</v>
      </c>
      <c r="C305" s="15" t="s">
        <v>934</v>
      </c>
      <c r="D305" s="15">
        <v>2024</v>
      </c>
      <c r="E305" s="15" t="s">
        <v>46</v>
      </c>
      <c r="F305" s="15" t="s">
        <v>131</v>
      </c>
      <c r="G305" s="15" t="s">
        <v>36</v>
      </c>
      <c r="H305" s="15" t="s">
        <v>1023</v>
      </c>
      <c r="I305" s="15" t="s">
        <v>1024</v>
      </c>
      <c r="J305" s="17">
        <v>250000</v>
      </c>
      <c r="K305" s="15" t="s">
        <v>999</v>
      </c>
      <c r="L305" s="15" t="s">
        <v>300</v>
      </c>
      <c r="M305" s="15" t="s">
        <v>74</v>
      </c>
      <c r="N305" s="15" t="s">
        <v>936</v>
      </c>
      <c r="O305" s="15">
        <v>15</v>
      </c>
      <c r="P305" s="15" t="s">
        <v>1071</v>
      </c>
      <c r="Q305" s="15" t="s">
        <v>1072</v>
      </c>
      <c r="R305" s="15"/>
    </row>
    <row r="306" spans="1:18" x14ac:dyDescent="0.35">
      <c r="A306" s="15" t="s">
        <v>1073</v>
      </c>
      <c r="B306" s="16">
        <v>45471</v>
      </c>
      <c r="C306" s="15" t="s">
        <v>934</v>
      </c>
      <c r="D306" s="15">
        <v>2024</v>
      </c>
      <c r="E306" s="15" t="s">
        <v>46</v>
      </c>
      <c r="F306" s="15" t="s">
        <v>131</v>
      </c>
      <c r="G306" s="15" t="s">
        <v>31</v>
      </c>
      <c r="H306" s="15" t="s">
        <v>713</v>
      </c>
      <c r="I306" s="15" t="s">
        <v>714</v>
      </c>
      <c r="J306" s="17">
        <v>295000</v>
      </c>
      <c r="K306" s="15" t="s">
        <v>999</v>
      </c>
      <c r="L306" s="15" t="s">
        <v>300</v>
      </c>
      <c r="M306" s="15" t="s">
        <v>74</v>
      </c>
      <c r="N306" s="15" t="s">
        <v>936</v>
      </c>
      <c r="O306" s="15">
        <v>16</v>
      </c>
      <c r="P306" s="15" t="s">
        <v>1074</v>
      </c>
      <c r="Q306" s="15" t="s">
        <v>1075</v>
      </c>
      <c r="R306" s="15"/>
    </row>
    <row r="307" spans="1:18" x14ac:dyDescent="0.35">
      <c r="A307" s="15" t="s">
        <v>1076</v>
      </c>
      <c r="B307" s="16">
        <v>45471</v>
      </c>
      <c r="C307" s="15" t="s">
        <v>934</v>
      </c>
      <c r="D307" s="15">
        <v>2024</v>
      </c>
      <c r="E307" s="15" t="s">
        <v>46</v>
      </c>
      <c r="F307" s="15" t="s">
        <v>982</v>
      </c>
      <c r="G307" s="15" t="s">
        <v>37</v>
      </c>
      <c r="H307" s="15" t="s">
        <v>604</v>
      </c>
      <c r="I307" s="15" t="s">
        <v>1077</v>
      </c>
      <c r="J307" s="17">
        <v>135000</v>
      </c>
      <c r="K307" s="15" t="s">
        <v>935</v>
      </c>
      <c r="L307" s="15" t="s">
        <v>300</v>
      </c>
      <c r="M307" s="15" t="s">
        <v>74</v>
      </c>
      <c r="N307" s="15" t="s">
        <v>936</v>
      </c>
      <c r="O307" s="15">
        <v>41</v>
      </c>
      <c r="P307" s="15" t="s">
        <v>1074</v>
      </c>
      <c r="Q307" s="15"/>
      <c r="R307" s="15"/>
    </row>
    <row r="308" spans="1:18" x14ac:dyDescent="0.35">
      <c r="A308" s="15" t="s">
        <v>1078</v>
      </c>
      <c r="B308" s="16">
        <v>45473</v>
      </c>
      <c r="C308" s="15" t="s">
        <v>934</v>
      </c>
      <c r="D308" s="15">
        <v>2024</v>
      </c>
      <c r="E308" s="15" t="s">
        <v>46</v>
      </c>
      <c r="F308" s="15" t="s">
        <v>982</v>
      </c>
      <c r="G308" s="15" t="s">
        <v>37</v>
      </c>
      <c r="H308" s="15" t="s">
        <v>1079</v>
      </c>
      <c r="I308" s="15" t="s">
        <v>1080</v>
      </c>
      <c r="J308" s="17">
        <v>135000</v>
      </c>
      <c r="K308" s="15" t="s">
        <v>999</v>
      </c>
      <c r="L308" s="15" t="s">
        <v>300</v>
      </c>
      <c r="M308" s="15" t="s">
        <v>74</v>
      </c>
      <c r="N308" s="15" t="s">
        <v>936</v>
      </c>
      <c r="O308" s="15">
        <v>17</v>
      </c>
      <c r="P308" s="15" t="s">
        <v>1081</v>
      </c>
      <c r="Q308" s="15"/>
      <c r="R308" s="15"/>
    </row>
    <row r="309" spans="1:18" x14ac:dyDescent="0.35">
      <c r="A309" s="15" t="s">
        <v>1082</v>
      </c>
      <c r="B309" s="16">
        <v>45474</v>
      </c>
      <c r="C309" s="15" t="s">
        <v>1083</v>
      </c>
      <c r="D309" s="15">
        <v>2024</v>
      </c>
      <c r="E309" s="15" t="s">
        <v>46</v>
      </c>
      <c r="F309" s="15" t="s">
        <v>131</v>
      </c>
      <c r="G309" s="15" t="s">
        <v>30</v>
      </c>
      <c r="H309" s="15" t="s">
        <v>1057</v>
      </c>
      <c r="I309" s="15" t="s">
        <v>1084</v>
      </c>
      <c r="J309" s="17">
        <v>500000</v>
      </c>
      <c r="K309" s="15" t="s">
        <v>935</v>
      </c>
      <c r="L309" s="15" t="s">
        <v>300</v>
      </c>
      <c r="M309" s="15" t="s">
        <v>74</v>
      </c>
      <c r="N309" s="15" t="s">
        <v>1085</v>
      </c>
      <c r="O309" s="15">
        <v>7</v>
      </c>
      <c r="P309" s="15" t="s">
        <v>1086</v>
      </c>
      <c r="Q309" s="15" t="s">
        <v>1087</v>
      </c>
      <c r="R309" s="15"/>
    </row>
    <row r="310" spans="1:18" x14ac:dyDescent="0.35">
      <c r="A310" s="15" t="s">
        <v>1088</v>
      </c>
      <c r="B310" s="16">
        <v>45475</v>
      </c>
      <c r="C310" s="15" t="s">
        <v>1083</v>
      </c>
      <c r="D310" s="15">
        <v>2024</v>
      </c>
      <c r="E310" s="15" t="s">
        <v>46</v>
      </c>
      <c r="F310" s="15" t="s">
        <v>131</v>
      </c>
      <c r="G310" s="15" t="s">
        <v>29</v>
      </c>
      <c r="H310" s="15" t="s">
        <v>704</v>
      </c>
      <c r="I310" s="15" t="s">
        <v>705</v>
      </c>
      <c r="J310" s="17">
        <v>500000</v>
      </c>
      <c r="K310" s="15" t="s">
        <v>935</v>
      </c>
      <c r="L310" s="15" t="s">
        <v>300</v>
      </c>
      <c r="M310" s="15" t="s">
        <v>74</v>
      </c>
      <c r="N310" s="15" t="s">
        <v>1085</v>
      </c>
      <c r="O310" s="15">
        <v>8</v>
      </c>
      <c r="P310" s="15" t="s">
        <v>1089</v>
      </c>
      <c r="Q310" s="15" t="s">
        <v>1090</v>
      </c>
      <c r="R310" s="15"/>
    </row>
    <row r="311" spans="1:18" x14ac:dyDescent="0.35">
      <c r="A311" s="15" t="s">
        <v>1091</v>
      </c>
      <c r="B311" s="16">
        <v>45475</v>
      </c>
      <c r="C311" s="15" t="s">
        <v>1083</v>
      </c>
      <c r="D311" s="15">
        <v>2024</v>
      </c>
      <c r="E311" s="15" t="s">
        <v>46</v>
      </c>
      <c r="F311" s="15" t="s">
        <v>131</v>
      </c>
      <c r="G311" s="15" t="s">
        <v>29</v>
      </c>
      <c r="H311" s="15" t="s">
        <v>188</v>
      </c>
      <c r="I311" s="15" t="s">
        <v>189</v>
      </c>
      <c r="J311" s="17">
        <v>62000</v>
      </c>
      <c r="K311" s="15" t="s">
        <v>935</v>
      </c>
      <c r="L311" s="15" t="s">
        <v>300</v>
      </c>
      <c r="M311" s="15" t="s">
        <v>74</v>
      </c>
      <c r="N311" s="15" t="s">
        <v>1085</v>
      </c>
      <c r="O311" s="15">
        <v>9</v>
      </c>
      <c r="P311" s="15" t="s">
        <v>1089</v>
      </c>
      <c r="Q311" s="15"/>
      <c r="R311" s="15"/>
    </row>
    <row r="312" spans="1:18" x14ac:dyDescent="0.35">
      <c r="A312" s="15" t="s">
        <v>1092</v>
      </c>
      <c r="B312" s="16">
        <v>45475</v>
      </c>
      <c r="C312" s="15" t="s">
        <v>1083</v>
      </c>
      <c r="D312" s="15">
        <v>2024</v>
      </c>
      <c r="E312" s="15" t="s">
        <v>46</v>
      </c>
      <c r="F312" s="15" t="s">
        <v>982</v>
      </c>
      <c r="G312" s="15" t="s">
        <v>37</v>
      </c>
      <c r="H312" s="15" t="s">
        <v>188</v>
      </c>
      <c r="I312" s="15" t="s">
        <v>189</v>
      </c>
      <c r="J312" s="17">
        <v>135000</v>
      </c>
      <c r="K312" s="15" t="s">
        <v>935</v>
      </c>
      <c r="L312" s="15" t="s">
        <v>300</v>
      </c>
      <c r="M312" s="15" t="s">
        <v>74</v>
      </c>
      <c r="N312" s="15" t="s">
        <v>1085</v>
      </c>
      <c r="O312" s="15">
        <v>10</v>
      </c>
      <c r="P312" s="15" t="s">
        <v>1089</v>
      </c>
      <c r="Q312" s="15"/>
      <c r="R312" s="15"/>
    </row>
    <row r="313" spans="1:18" x14ac:dyDescent="0.35">
      <c r="A313" s="15" t="s">
        <v>1093</v>
      </c>
      <c r="B313" s="16">
        <v>45476</v>
      </c>
      <c r="C313" s="15" t="s">
        <v>1083</v>
      </c>
      <c r="D313" s="15">
        <v>2024</v>
      </c>
      <c r="E313" s="15" t="s">
        <v>46</v>
      </c>
      <c r="F313" s="15" t="s">
        <v>131</v>
      </c>
      <c r="G313" s="15" t="s">
        <v>30</v>
      </c>
      <c r="H313" s="15" t="s">
        <v>879</v>
      </c>
      <c r="I313" s="15" t="s">
        <v>880</v>
      </c>
      <c r="J313" s="17">
        <v>900000</v>
      </c>
      <c r="K313" s="15" t="s">
        <v>935</v>
      </c>
      <c r="L313" s="15" t="s">
        <v>300</v>
      </c>
      <c r="M313" s="15" t="s">
        <v>74</v>
      </c>
      <c r="N313" s="15" t="s">
        <v>1085</v>
      </c>
      <c r="O313" s="15">
        <v>11</v>
      </c>
      <c r="P313" s="15" t="s">
        <v>1094</v>
      </c>
      <c r="Q313" s="15" t="s">
        <v>1095</v>
      </c>
      <c r="R313" s="15"/>
    </row>
    <row r="314" spans="1:18" x14ac:dyDescent="0.35">
      <c r="A314" s="15" t="s">
        <v>1096</v>
      </c>
      <c r="B314" s="16">
        <v>45476</v>
      </c>
      <c r="C314" s="15" t="s">
        <v>1083</v>
      </c>
      <c r="D314" s="15">
        <v>2024</v>
      </c>
      <c r="E314" s="15" t="s">
        <v>46</v>
      </c>
      <c r="F314" s="15" t="s">
        <v>982</v>
      </c>
      <c r="G314" s="15" t="s">
        <v>37</v>
      </c>
      <c r="H314" s="15" t="s">
        <v>161</v>
      </c>
      <c r="I314" s="15" t="s">
        <v>1097</v>
      </c>
      <c r="J314" s="17">
        <v>135000</v>
      </c>
      <c r="K314" s="15" t="s">
        <v>935</v>
      </c>
      <c r="L314" s="15" t="s">
        <v>300</v>
      </c>
      <c r="M314" s="15" t="s">
        <v>74</v>
      </c>
      <c r="N314" s="15" t="s">
        <v>1085</v>
      </c>
      <c r="O314" s="15">
        <v>12</v>
      </c>
      <c r="P314" s="15" t="s">
        <v>1094</v>
      </c>
      <c r="Q314" s="15"/>
      <c r="R314" s="15"/>
    </row>
    <row r="315" spans="1:18" x14ac:dyDescent="0.35">
      <c r="A315" s="15" t="s">
        <v>1098</v>
      </c>
      <c r="B315" s="16">
        <v>45477</v>
      </c>
      <c r="C315" s="15" t="s">
        <v>1083</v>
      </c>
      <c r="D315" s="15">
        <v>2024</v>
      </c>
      <c r="E315" s="15" t="s">
        <v>46</v>
      </c>
      <c r="F315" s="15" t="s">
        <v>982</v>
      </c>
      <c r="G315" s="15" t="s">
        <v>37</v>
      </c>
      <c r="H315" s="15" t="s">
        <v>1099</v>
      </c>
      <c r="I315" s="15" t="s">
        <v>1100</v>
      </c>
      <c r="J315" s="17">
        <v>135000</v>
      </c>
      <c r="K315" s="15" t="s">
        <v>935</v>
      </c>
      <c r="L315" s="15" t="s">
        <v>300</v>
      </c>
      <c r="M315" s="15" t="s">
        <v>74</v>
      </c>
      <c r="N315" s="15" t="s">
        <v>1085</v>
      </c>
      <c r="O315" s="15">
        <v>15</v>
      </c>
      <c r="P315" s="15" t="s">
        <v>1101</v>
      </c>
      <c r="Q315" s="15"/>
      <c r="R315" s="15"/>
    </row>
    <row r="316" spans="1:18" x14ac:dyDescent="0.35">
      <c r="A316" s="15" t="s">
        <v>1102</v>
      </c>
      <c r="B316" s="16">
        <v>45477</v>
      </c>
      <c r="C316" s="15" t="s">
        <v>1083</v>
      </c>
      <c r="D316" s="15">
        <v>2024</v>
      </c>
      <c r="E316" s="15" t="s">
        <v>46</v>
      </c>
      <c r="F316" s="15" t="s">
        <v>982</v>
      </c>
      <c r="G316" s="15" t="s">
        <v>37</v>
      </c>
      <c r="H316" s="15" t="s">
        <v>382</v>
      </c>
      <c r="I316" s="15" t="s">
        <v>497</v>
      </c>
      <c r="J316" s="17">
        <v>135000</v>
      </c>
      <c r="K316" s="15" t="s">
        <v>935</v>
      </c>
      <c r="L316" s="15" t="s">
        <v>300</v>
      </c>
      <c r="M316" s="15" t="s">
        <v>74</v>
      </c>
      <c r="N316" s="15" t="s">
        <v>1085</v>
      </c>
      <c r="O316" s="15">
        <v>13</v>
      </c>
      <c r="P316" s="15" t="s">
        <v>1101</v>
      </c>
      <c r="Q316" s="15"/>
      <c r="R316" s="15"/>
    </row>
    <row r="317" spans="1:18" x14ac:dyDescent="0.35">
      <c r="A317" s="15" t="s">
        <v>1103</v>
      </c>
      <c r="B317" s="16">
        <v>45477</v>
      </c>
      <c r="C317" s="15" t="s">
        <v>1083</v>
      </c>
      <c r="D317" s="15">
        <v>2024</v>
      </c>
      <c r="E317" s="15" t="s">
        <v>46</v>
      </c>
      <c r="F317" s="15" t="s">
        <v>982</v>
      </c>
      <c r="G317" s="15" t="s">
        <v>37</v>
      </c>
      <c r="H317" s="15" t="s">
        <v>238</v>
      </c>
      <c r="I317" s="15" t="s">
        <v>239</v>
      </c>
      <c r="J317" s="17">
        <v>270000</v>
      </c>
      <c r="K317" s="15" t="s">
        <v>935</v>
      </c>
      <c r="L317" s="15" t="s">
        <v>300</v>
      </c>
      <c r="M317" s="15" t="s">
        <v>74</v>
      </c>
      <c r="N317" s="15" t="s">
        <v>1085</v>
      </c>
      <c r="O317" s="15">
        <v>14</v>
      </c>
      <c r="P317" s="15" t="s">
        <v>1101</v>
      </c>
      <c r="Q317" s="15"/>
      <c r="R317" s="15"/>
    </row>
    <row r="318" spans="1:18" x14ac:dyDescent="0.35">
      <c r="A318" s="15" t="s">
        <v>1104</v>
      </c>
      <c r="B318" s="16">
        <v>45478</v>
      </c>
      <c r="C318" s="15" t="s">
        <v>1083</v>
      </c>
      <c r="D318" s="15">
        <v>2024</v>
      </c>
      <c r="E318" s="15" t="s">
        <v>46</v>
      </c>
      <c r="F318" s="15" t="s">
        <v>131</v>
      </c>
      <c r="G318" s="15" t="s">
        <v>30</v>
      </c>
      <c r="H318" s="15" t="s">
        <v>203</v>
      </c>
      <c r="I318" s="15" t="s">
        <v>943</v>
      </c>
      <c r="J318" s="17">
        <v>200000</v>
      </c>
      <c r="K318" s="15" t="s">
        <v>935</v>
      </c>
      <c r="L318" s="15" t="s">
        <v>300</v>
      </c>
      <c r="M318" s="15" t="s">
        <v>74</v>
      </c>
      <c r="N318" s="15" t="s">
        <v>1085</v>
      </c>
      <c r="O318" s="15">
        <v>16</v>
      </c>
      <c r="P318" s="15" t="s">
        <v>1105</v>
      </c>
      <c r="Q318" s="15" t="s">
        <v>1106</v>
      </c>
      <c r="R318" s="15"/>
    </row>
    <row r="319" spans="1:18" x14ac:dyDescent="0.35">
      <c r="A319" s="15" t="s">
        <v>1107</v>
      </c>
      <c r="B319" s="16">
        <v>45478</v>
      </c>
      <c r="C319" s="15" t="s">
        <v>1083</v>
      </c>
      <c r="D319" s="15">
        <v>2024</v>
      </c>
      <c r="E319" s="15" t="s">
        <v>46</v>
      </c>
      <c r="F319" s="15" t="s">
        <v>982</v>
      </c>
      <c r="G319" s="15" t="s">
        <v>38</v>
      </c>
      <c r="H319" s="15" t="s">
        <v>203</v>
      </c>
      <c r="I319" s="15" t="s">
        <v>943</v>
      </c>
      <c r="J319" s="17">
        <v>50000</v>
      </c>
      <c r="K319" s="15" t="s">
        <v>935</v>
      </c>
      <c r="L319" s="15" t="s">
        <v>300</v>
      </c>
      <c r="M319" s="15" t="s">
        <v>74</v>
      </c>
      <c r="N319" s="15" t="s">
        <v>1085</v>
      </c>
      <c r="O319" s="15">
        <v>17</v>
      </c>
      <c r="P319" s="15" t="s">
        <v>1105</v>
      </c>
      <c r="Q319" s="15"/>
      <c r="R319" s="15"/>
    </row>
    <row r="320" spans="1:18" x14ac:dyDescent="0.35">
      <c r="A320" s="15" t="s">
        <v>1108</v>
      </c>
      <c r="B320" s="16">
        <v>45482</v>
      </c>
      <c r="C320" s="15" t="s">
        <v>1083</v>
      </c>
      <c r="D320" s="15">
        <v>2024</v>
      </c>
      <c r="E320" s="15" t="s">
        <v>46</v>
      </c>
      <c r="F320" s="15" t="s">
        <v>131</v>
      </c>
      <c r="G320" s="15" t="s">
        <v>30</v>
      </c>
      <c r="H320" s="15" t="s">
        <v>905</v>
      </c>
      <c r="I320" s="15" t="s">
        <v>906</v>
      </c>
      <c r="J320" s="17">
        <v>1000000</v>
      </c>
      <c r="K320" s="15" t="s">
        <v>999</v>
      </c>
      <c r="L320" s="15" t="s">
        <v>300</v>
      </c>
      <c r="M320" s="15" t="s">
        <v>74</v>
      </c>
      <c r="N320" s="15" t="s">
        <v>1085</v>
      </c>
      <c r="O320" s="15">
        <v>7</v>
      </c>
      <c r="P320" s="15" t="s">
        <v>1109</v>
      </c>
      <c r="Q320" s="15" t="s">
        <v>1110</v>
      </c>
      <c r="R320" s="15"/>
    </row>
    <row r="321" spans="1:18" x14ac:dyDescent="0.35">
      <c r="A321" s="15" t="s">
        <v>1111</v>
      </c>
      <c r="B321" s="16">
        <v>45482</v>
      </c>
      <c r="C321" s="15" t="s">
        <v>1083</v>
      </c>
      <c r="D321" s="15">
        <v>2024</v>
      </c>
      <c r="E321" s="15" t="s">
        <v>46</v>
      </c>
      <c r="F321" s="15" t="s">
        <v>131</v>
      </c>
      <c r="G321" s="15" t="s">
        <v>34</v>
      </c>
      <c r="H321" s="15" t="s">
        <v>1112</v>
      </c>
      <c r="I321" s="15" t="s">
        <v>1113</v>
      </c>
      <c r="J321" s="17">
        <v>200000</v>
      </c>
      <c r="K321" s="15" t="s">
        <v>935</v>
      </c>
      <c r="L321" s="15" t="s">
        <v>300</v>
      </c>
      <c r="M321" s="15" t="s">
        <v>74</v>
      </c>
      <c r="N321" s="15" t="s">
        <v>1085</v>
      </c>
      <c r="O321" s="15">
        <v>18</v>
      </c>
      <c r="P321" s="15" t="s">
        <v>1109</v>
      </c>
      <c r="Q321" s="15"/>
      <c r="R321" s="15"/>
    </row>
    <row r="322" spans="1:18" x14ac:dyDescent="0.35">
      <c r="A322" s="15" t="s">
        <v>1114</v>
      </c>
      <c r="B322" s="16">
        <v>45483</v>
      </c>
      <c r="C322" s="15" t="s">
        <v>1083</v>
      </c>
      <c r="D322" s="15">
        <v>2024</v>
      </c>
      <c r="E322" s="15" t="s">
        <v>46</v>
      </c>
      <c r="F322" s="15" t="s">
        <v>982</v>
      </c>
      <c r="G322" s="15" t="s">
        <v>37</v>
      </c>
      <c r="H322" s="15" t="s">
        <v>409</v>
      </c>
      <c r="I322" s="15" t="s">
        <v>410</v>
      </c>
      <c r="J322" s="17">
        <v>130000</v>
      </c>
      <c r="K322" s="15" t="s">
        <v>935</v>
      </c>
      <c r="L322" s="15" t="s">
        <v>300</v>
      </c>
      <c r="M322" s="15" t="s">
        <v>74</v>
      </c>
      <c r="N322" s="15" t="s">
        <v>1085</v>
      </c>
      <c r="O322" s="15">
        <v>19</v>
      </c>
      <c r="P322" s="15" t="s">
        <v>1115</v>
      </c>
      <c r="Q322" s="15"/>
      <c r="R322" s="15"/>
    </row>
    <row r="323" spans="1:18" x14ac:dyDescent="0.35">
      <c r="A323" s="15" t="s">
        <v>1116</v>
      </c>
      <c r="B323" s="16">
        <v>45484</v>
      </c>
      <c r="C323" s="15" t="s">
        <v>1083</v>
      </c>
      <c r="D323" s="15">
        <v>2024</v>
      </c>
      <c r="E323" s="15" t="s">
        <v>46</v>
      </c>
      <c r="F323" s="15" t="s">
        <v>131</v>
      </c>
      <c r="G323" s="15" t="s">
        <v>30</v>
      </c>
      <c r="H323" s="15" t="s">
        <v>997</v>
      </c>
      <c r="I323" s="15" t="s">
        <v>1117</v>
      </c>
      <c r="J323" s="17">
        <v>400000</v>
      </c>
      <c r="K323" s="15" t="s">
        <v>999</v>
      </c>
      <c r="L323" s="15" t="s">
        <v>300</v>
      </c>
      <c r="M323" s="15" t="s">
        <v>74</v>
      </c>
      <c r="N323" s="15" t="s">
        <v>1085</v>
      </c>
      <c r="O323" s="15">
        <v>8</v>
      </c>
      <c r="P323" s="15" t="s">
        <v>1118</v>
      </c>
      <c r="Q323" s="15" t="s">
        <v>1119</v>
      </c>
      <c r="R323" s="15"/>
    </row>
    <row r="324" spans="1:18" x14ac:dyDescent="0.35">
      <c r="A324" s="15" t="s">
        <v>1120</v>
      </c>
      <c r="B324" s="16">
        <v>45484</v>
      </c>
      <c r="C324" s="15" t="s">
        <v>1083</v>
      </c>
      <c r="D324" s="15">
        <v>2024</v>
      </c>
      <c r="E324" s="15" t="s">
        <v>46</v>
      </c>
      <c r="F324" s="15" t="s">
        <v>131</v>
      </c>
      <c r="G324" s="15" t="s">
        <v>30</v>
      </c>
      <c r="H324" s="15" t="s">
        <v>820</v>
      </c>
      <c r="I324" s="15" t="s">
        <v>821</v>
      </c>
      <c r="J324" s="17">
        <v>50000</v>
      </c>
      <c r="K324" s="15" t="s">
        <v>935</v>
      </c>
      <c r="L324" s="15" t="s">
        <v>300</v>
      </c>
      <c r="M324" s="15" t="s">
        <v>74</v>
      </c>
      <c r="N324" s="15" t="s">
        <v>1085</v>
      </c>
      <c r="O324" s="15">
        <v>21</v>
      </c>
      <c r="P324" s="15" t="s">
        <v>1118</v>
      </c>
      <c r="Q324" s="15" t="s">
        <v>1121</v>
      </c>
      <c r="R324" s="15"/>
    </row>
    <row r="325" spans="1:18" x14ac:dyDescent="0.35">
      <c r="A325" s="15" t="s">
        <v>1122</v>
      </c>
      <c r="B325" s="16">
        <v>45484</v>
      </c>
      <c r="C325" s="15" t="s">
        <v>1083</v>
      </c>
      <c r="D325" s="15">
        <v>2024</v>
      </c>
      <c r="E325" s="15" t="s">
        <v>46</v>
      </c>
      <c r="F325" s="15" t="s">
        <v>131</v>
      </c>
      <c r="G325" s="15" t="s">
        <v>30</v>
      </c>
      <c r="H325" s="15" t="s">
        <v>988</v>
      </c>
      <c r="I325" s="15" t="s">
        <v>1123</v>
      </c>
      <c r="J325" s="17">
        <v>555000</v>
      </c>
      <c r="K325" s="15" t="s">
        <v>935</v>
      </c>
      <c r="L325" s="15" t="s">
        <v>300</v>
      </c>
      <c r="M325" s="15" t="s">
        <v>74</v>
      </c>
      <c r="N325" s="15" t="s">
        <v>1085</v>
      </c>
      <c r="O325" s="15">
        <v>20</v>
      </c>
      <c r="P325" s="15" t="s">
        <v>1118</v>
      </c>
      <c r="Q325" s="15" t="s">
        <v>1124</v>
      </c>
      <c r="R325" s="15"/>
    </row>
    <row r="326" spans="1:18" x14ac:dyDescent="0.35">
      <c r="A326" s="15" t="s">
        <v>1125</v>
      </c>
      <c r="B326" s="16">
        <v>45486</v>
      </c>
      <c r="C326" s="15" t="s">
        <v>1083</v>
      </c>
      <c r="D326" s="15">
        <v>2024</v>
      </c>
      <c r="E326" s="15" t="s">
        <v>46</v>
      </c>
      <c r="F326" s="15" t="s">
        <v>131</v>
      </c>
      <c r="G326" s="15" t="s">
        <v>30</v>
      </c>
      <c r="H326" s="15" t="s">
        <v>916</v>
      </c>
      <c r="I326" s="15" t="s">
        <v>917</v>
      </c>
      <c r="J326" s="17">
        <v>560000</v>
      </c>
      <c r="K326" s="15" t="s">
        <v>935</v>
      </c>
      <c r="L326" s="15" t="s">
        <v>300</v>
      </c>
      <c r="M326" s="15" t="s">
        <v>74</v>
      </c>
      <c r="N326" s="15" t="s">
        <v>1085</v>
      </c>
      <c r="O326" s="15">
        <v>22</v>
      </c>
      <c r="P326" s="15" t="s">
        <v>1126</v>
      </c>
      <c r="Q326" s="15" t="s">
        <v>1127</v>
      </c>
      <c r="R326" s="15"/>
    </row>
    <row r="327" spans="1:18" x14ac:dyDescent="0.35">
      <c r="A327" s="15" t="s">
        <v>1128</v>
      </c>
      <c r="B327" s="16">
        <v>45486</v>
      </c>
      <c r="C327" s="15" t="s">
        <v>1083</v>
      </c>
      <c r="D327" s="15">
        <v>2024</v>
      </c>
      <c r="E327" s="15" t="s">
        <v>46</v>
      </c>
      <c r="F327" s="15" t="s">
        <v>982</v>
      </c>
      <c r="G327" s="15" t="s">
        <v>37</v>
      </c>
      <c r="H327" s="15" t="s">
        <v>916</v>
      </c>
      <c r="I327" s="15" t="s">
        <v>917</v>
      </c>
      <c r="J327" s="17">
        <v>135000</v>
      </c>
      <c r="K327" s="15" t="s">
        <v>935</v>
      </c>
      <c r="L327" s="15" t="s">
        <v>300</v>
      </c>
      <c r="M327" s="15" t="s">
        <v>74</v>
      </c>
      <c r="N327" s="15" t="s">
        <v>1085</v>
      </c>
      <c r="O327" s="15">
        <v>23</v>
      </c>
      <c r="P327" s="15" t="s">
        <v>1126</v>
      </c>
      <c r="Q327" s="15"/>
      <c r="R327" s="15"/>
    </row>
    <row r="328" spans="1:18" x14ac:dyDescent="0.35">
      <c r="A328" s="15" t="s">
        <v>1129</v>
      </c>
      <c r="B328" s="16">
        <v>45488</v>
      </c>
      <c r="C328" s="15" t="s">
        <v>1083</v>
      </c>
      <c r="D328" s="15">
        <v>2024</v>
      </c>
      <c r="E328" s="15" t="s">
        <v>46</v>
      </c>
      <c r="F328" s="15" t="s">
        <v>131</v>
      </c>
      <c r="G328" s="15" t="s">
        <v>30</v>
      </c>
      <c r="H328" s="15" t="s">
        <v>997</v>
      </c>
      <c r="I328" s="15" t="s">
        <v>1117</v>
      </c>
      <c r="J328" s="17">
        <v>300000</v>
      </c>
      <c r="K328" s="15" t="s">
        <v>999</v>
      </c>
      <c r="L328" s="15" t="s">
        <v>300</v>
      </c>
      <c r="M328" s="15" t="s">
        <v>74</v>
      </c>
      <c r="N328" s="15" t="s">
        <v>1085</v>
      </c>
      <c r="O328" s="15">
        <v>9</v>
      </c>
      <c r="P328" s="15" t="s">
        <v>1130</v>
      </c>
      <c r="Q328" s="15" t="s">
        <v>1131</v>
      </c>
      <c r="R328" s="15"/>
    </row>
    <row r="329" spans="1:18" x14ac:dyDescent="0.35">
      <c r="A329" s="15" t="s">
        <v>1132</v>
      </c>
      <c r="B329" s="16">
        <v>45488</v>
      </c>
      <c r="C329" s="15" t="s">
        <v>1083</v>
      </c>
      <c r="D329" s="15">
        <v>2024</v>
      </c>
      <c r="E329" s="15" t="s">
        <v>46</v>
      </c>
      <c r="F329" s="15" t="s">
        <v>131</v>
      </c>
      <c r="G329" s="15" t="s">
        <v>29</v>
      </c>
      <c r="H329" s="15" t="s">
        <v>1010</v>
      </c>
      <c r="I329" s="15" t="s">
        <v>1133</v>
      </c>
      <c r="J329" s="17">
        <v>1200000</v>
      </c>
      <c r="K329" s="15" t="s">
        <v>999</v>
      </c>
      <c r="L329" s="15" t="s">
        <v>300</v>
      </c>
      <c r="M329" s="15" t="s">
        <v>74</v>
      </c>
      <c r="N329" s="15" t="s">
        <v>1085</v>
      </c>
      <c r="O329" s="15">
        <v>10</v>
      </c>
      <c r="P329" s="15" t="s">
        <v>1130</v>
      </c>
      <c r="Q329" s="15" t="s">
        <v>1134</v>
      </c>
      <c r="R329" s="15"/>
    </row>
    <row r="330" spans="1:18" x14ac:dyDescent="0.35">
      <c r="A330" s="15" t="s">
        <v>1135</v>
      </c>
      <c r="B330" s="16">
        <v>45491</v>
      </c>
      <c r="C330" s="15" t="s">
        <v>1083</v>
      </c>
      <c r="D330" s="15">
        <v>2024</v>
      </c>
      <c r="E330" s="15" t="s">
        <v>46</v>
      </c>
      <c r="F330" s="15" t="s">
        <v>982</v>
      </c>
      <c r="G330" s="15" t="s">
        <v>39</v>
      </c>
      <c r="H330" s="15" t="s">
        <v>1136</v>
      </c>
      <c r="I330" s="15" t="s">
        <v>1137</v>
      </c>
      <c r="J330" s="17">
        <v>475000</v>
      </c>
      <c r="K330" s="15" t="s">
        <v>935</v>
      </c>
      <c r="L330" s="15" t="s">
        <v>300</v>
      </c>
      <c r="M330" s="15" t="s">
        <v>74</v>
      </c>
      <c r="N330" s="15" t="s">
        <v>1085</v>
      </c>
      <c r="O330" s="15">
        <v>26</v>
      </c>
      <c r="P330" s="15" t="s">
        <v>1138</v>
      </c>
      <c r="Q330" s="15"/>
      <c r="R330" s="15"/>
    </row>
    <row r="331" spans="1:18" x14ac:dyDescent="0.35">
      <c r="A331" s="15" t="s">
        <v>1139</v>
      </c>
      <c r="B331" s="16">
        <v>45491</v>
      </c>
      <c r="C331" s="15" t="s">
        <v>1083</v>
      </c>
      <c r="D331" s="15">
        <v>2024</v>
      </c>
      <c r="E331" s="15" t="s">
        <v>46</v>
      </c>
      <c r="F331" s="15" t="s">
        <v>131</v>
      </c>
      <c r="G331" s="15" t="s">
        <v>34</v>
      </c>
      <c r="H331" s="15" t="s">
        <v>1112</v>
      </c>
      <c r="I331" s="15" t="s">
        <v>1113</v>
      </c>
      <c r="J331" s="17">
        <v>150000</v>
      </c>
      <c r="K331" s="15" t="s">
        <v>935</v>
      </c>
      <c r="L331" s="15" t="s">
        <v>300</v>
      </c>
      <c r="M331" s="15" t="s">
        <v>74</v>
      </c>
      <c r="N331" s="15" t="s">
        <v>1085</v>
      </c>
      <c r="O331" s="15">
        <v>25</v>
      </c>
      <c r="P331" s="15" t="s">
        <v>1138</v>
      </c>
      <c r="Q331" s="15"/>
      <c r="R331" s="15"/>
    </row>
    <row r="332" spans="1:18" x14ac:dyDescent="0.35">
      <c r="A332" s="15" t="s">
        <v>1140</v>
      </c>
      <c r="B332" s="16">
        <v>45491</v>
      </c>
      <c r="C332" s="15" t="s">
        <v>1083</v>
      </c>
      <c r="D332" s="15">
        <v>2024</v>
      </c>
      <c r="E332" s="15" t="s">
        <v>46</v>
      </c>
      <c r="F332" s="15" t="s">
        <v>982</v>
      </c>
      <c r="G332" s="15" t="s">
        <v>39</v>
      </c>
      <c r="H332" s="15" t="s">
        <v>625</v>
      </c>
      <c r="I332" s="15" t="s">
        <v>751</v>
      </c>
      <c r="J332" s="17">
        <v>950000</v>
      </c>
      <c r="K332" s="15" t="s">
        <v>935</v>
      </c>
      <c r="L332" s="15" t="s">
        <v>300</v>
      </c>
      <c r="M332" s="15" t="s">
        <v>74</v>
      </c>
      <c r="N332" s="15" t="s">
        <v>1085</v>
      </c>
      <c r="O332" s="15">
        <v>27</v>
      </c>
      <c r="P332" s="15" t="s">
        <v>1138</v>
      </c>
      <c r="Q332" s="15"/>
      <c r="R332" s="15"/>
    </row>
    <row r="333" spans="1:18" x14ac:dyDescent="0.35">
      <c r="A333" s="15" t="s">
        <v>1141</v>
      </c>
      <c r="B333" s="16">
        <v>45492</v>
      </c>
      <c r="C333" s="15" t="s">
        <v>1083</v>
      </c>
      <c r="D333" s="15">
        <v>2024</v>
      </c>
      <c r="E333" s="15" t="s">
        <v>46</v>
      </c>
      <c r="F333" s="15" t="s">
        <v>131</v>
      </c>
      <c r="G333" s="15" t="s">
        <v>32</v>
      </c>
      <c r="H333" s="15" t="s">
        <v>1142</v>
      </c>
      <c r="I333" s="15" t="s">
        <v>1143</v>
      </c>
      <c r="J333" s="17">
        <v>300000</v>
      </c>
      <c r="K333" s="15" t="s">
        <v>935</v>
      </c>
      <c r="L333" s="15" t="s">
        <v>300</v>
      </c>
      <c r="M333" s="15" t="s">
        <v>74</v>
      </c>
      <c r="N333" s="15" t="s">
        <v>1085</v>
      </c>
      <c r="O333" s="15">
        <v>28</v>
      </c>
      <c r="P333" s="15" t="s">
        <v>1144</v>
      </c>
      <c r="Q333" s="15" t="s">
        <v>1145</v>
      </c>
      <c r="R333" s="15"/>
    </row>
    <row r="334" spans="1:18" x14ac:dyDescent="0.35">
      <c r="A334" s="15" t="s">
        <v>1146</v>
      </c>
      <c r="B334" s="16">
        <v>45496</v>
      </c>
      <c r="C334" s="15" t="s">
        <v>1083</v>
      </c>
      <c r="D334" s="15">
        <v>2024</v>
      </c>
      <c r="E334" s="15" t="s">
        <v>46</v>
      </c>
      <c r="F334" s="15" t="s">
        <v>131</v>
      </c>
      <c r="G334" s="15" t="s">
        <v>32</v>
      </c>
      <c r="H334" s="15" t="s">
        <v>1147</v>
      </c>
      <c r="I334" s="15" t="s">
        <v>1148</v>
      </c>
      <c r="J334" s="17">
        <v>500000</v>
      </c>
      <c r="K334" s="15" t="s">
        <v>935</v>
      </c>
      <c r="L334" s="15" t="s">
        <v>300</v>
      </c>
      <c r="M334" s="15" t="s">
        <v>74</v>
      </c>
      <c r="N334" s="15" t="s">
        <v>1085</v>
      </c>
      <c r="O334" s="15">
        <v>29</v>
      </c>
      <c r="P334" s="15" t="s">
        <v>1149</v>
      </c>
      <c r="Q334" s="15" t="s">
        <v>1150</v>
      </c>
      <c r="R334" s="15"/>
    </row>
    <row r="335" spans="1:18" x14ac:dyDescent="0.35">
      <c r="A335" s="15" t="s">
        <v>1151</v>
      </c>
      <c r="B335" s="16">
        <v>45497</v>
      </c>
      <c r="C335" s="15" t="s">
        <v>1083</v>
      </c>
      <c r="D335" s="15">
        <v>2024</v>
      </c>
      <c r="E335" s="15" t="s">
        <v>46</v>
      </c>
      <c r="F335" s="15" t="s">
        <v>131</v>
      </c>
      <c r="G335" s="15" t="s">
        <v>30</v>
      </c>
      <c r="H335" s="15" t="s">
        <v>362</v>
      </c>
      <c r="I335" s="15" t="s">
        <v>1051</v>
      </c>
      <c r="J335" s="17">
        <v>2400000</v>
      </c>
      <c r="K335" s="15" t="s">
        <v>935</v>
      </c>
      <c r="L335" s="15" t="s">
        <v>300</v>
      </c>
      <c r="M335" s="15" t="s">
        <v>74</v>
      </c>
      <c r="N335" s="15" t="s">
        <v>1085</v>
      </c>
      <c r="O335" s="15">
        <v>30</v>
      </c>
      <c r="P335" s="15" t="s">
        <v>1152</v>
      </c>
      <c r="Q335" s="15" t="s">
        <v>1153</v>
      </c>
      <c r="R335" s="15"/>
    </row>
    <row r="336" spans="1:18" x14ac:dyDescent="0.35">
      <c r="A336" s="15" t="s">
        <v>1154</v>
      </c>
      <c r="B336" s="16">
        <v>45498</v>
      </c>
      <c r="C336" s="15" t="s">
        <v>1083</v>
      </c>
      <c r="D336" s="15">
        <v>2024</v>
      </c>
      <c r="E336" s="15" t="s">
        <v>46</v>
      </c>
      <c r="F336" s="15" t="s">
        <v>982</v>
      </c>
      <c r="G336" s="15" t="s">
        <v>37</v>
      </c>
      <c r="H336" s="15" t="s">
        <v>583</v>
      </c>
      <c r="I336" s="15" t="s">
        <v>1155</v>
      </c>
      <c r="J336" s="17">
        <v>135000</v>
      </c>
      <c r="K336" s="15" t="s">
        <v>999</v>
      </c>
      <c r="L336" s="15" t="s">
        <v>300</v>
      </c>
      <c r="M336" s="15" t="s">
        <v>74</v>
      </c>
      <c r="N336" s="15" t="s">
        <v>1085</v>
      </c>
      <c r="O336" s="15">
        <v>12</v>
      </c>
      <c r="P336" s="15" t="s">
        <v>1156</v>
      </c>
      <c r="Q336" s="15"/>
      <c r="R336" s="15"/>
    </row>
    <row r="337" spans="1:18" x14ac:dyDescent="0.35">
      <c r="A337" s="15" t="s">
        <v>1157</v>
      </c>
      <c r="B337" s="16">
        <v>45500</v>
      </c>
      <c r="C337" s="15" t="s">
        <v>1083</v>
      </c>
      <c r="D337" s="15">
        <v>2024</v>
      </c>
      <c r="E337" s="15" t="s">
        <v>46</v>
      </c>
      <c r="F337" s="15" t="s">
        <v>131</v>
      </c>
      <c r="G337" s="15" t="s">
        <v>30</v>
      </c>
      <c r="H337" s="15" t="s">
        <v>713</v>
      </c>
      <c r="I337" s="15" t="s">
        <v>714</v>
      </c>
      <c r="J337" s="17">
        <v>300000</v>
      </c>
      <c r="K337" s="15" t="s">
        <v>999</v>
      </c>
      <c r="L337" s="15" t="s">
        <v>300</v>
      </c>
      <c r="M337" s="15" t="s">
        <v>74</v>
      </c>
      <c r="N337" s="15" t="s">
        <v>1085</v>
      </c>
      <c r="O337" s="15">
        <v>13</v>
      </c>
      <c r="P337" s="15" t="s">
        <v>1158</v>
      </c>
      <c r="Q337" s="15"/>
      <c r="R337" s="15"/>
    </row>
    <row r="338" spans="1:18" x14ac:dyDescent="0.35">
      <c r="A338" s="15" t="s">
        <v>1159</v>
      </c>
      <c r="B338" s="16">
        <v>45500</v>
      </c>
      <c r="C338" s="15" t="s">
        <v>1083</v>
      </c>
      <c r="D338" s="15">
        <v>2024</v>
      </c>
      <c r="E338" s="15" t="s">
        <v>46</v>
      </c>
      <c r="F338" s="15" t="s">
        <v>131</v>
      </c>
      <c r="G338" s="15" t="s">
        <v>30</v>
      </c>
      <c r="H338" s="15" t="s">
        <v>1023</v>
      </c>
      <c r="I338" s="15" t="s">
        <v>1160</v>
      </c>
      <c r="J338" s="17">
        <v>1235000</v>
      </c>
      <c r="K338" s="15" t="s">
        <v>999</v>
      </c>
      <c r="L338" s="15" t="s">
        <v>300</v>
      </c>
      <c r="M338" s="15" t="s">
        <v>74</v>
      </c>
      <c r="N338" s="15" t="s">
        <v>1085</v>
      </c>
      <c r="O338" s="15">
        <v>14</v>
      </c>
      <c r="P338" s="15" t="s">
        <v>1158</v>
      </c>
      <c r="Q338" s="15" t="s">
        <v>1161</v>
      </c>
      <c r="R338" s="15"/>
    </row>
    <row r="339" spans="1:18" x14ac:dyDescent="0.35">
      <c r="A339" s="15" t="s">
        <v>1162</v>
      </c>
      <c r="B339" s="16">
        <v>45502</v>
      </c>
      <c r="C339" s="15" t="s">
        <v>1083</v>
      </c>
      <c r="D339" s="15">
        <v>2024</v>
      </c>
      <c r="E339" s="15" t="s">
        <v>46</v>
      </c>
      <c r="F339" s="15" t="s">
        <v>982</v>
      </c>
      <c r="G339" s="15" t="s">
        <v>37</v>
      </c>
      <c r="H339" s="15" t="s">
        <v>640</v>
      </c>
      <c r="I339" s="15" t="s">
        <v>641</v>
      </c>
      <c r="J339" s="17">
        <v>135000</v>
      </c>
      <c r="K339" s="15" t="s">
        <v>999</v>
      </c>
      <c r="L339" s="15" t="s">
        <v>300</v>
      </c>
      <c r="M339" s="15" t="s">
        <v>74</v>
      </c>
      <c r="N339" s="15" t="s">
        <v>1085</v>
      </c>
      <c r="O339" s="15">
        <v>15</v>
      </c>
      <c r="P339" s="15" t="s">
        <v>1163</v>
      </c>
      <c r="Q339" s="15"/>
      <c r="R339" s="15"/>
    </row>
    <row r="340" spans="1:18" x14ac:dyDescent="0.35">
      <c r="A340" s="15" t="s">
        <v>1164</v>
      </c>
      <c r="B340" s="16">
        <v>45502</v>
      </c>
      <c r="C340" s="15" t="s">
        <v>1083</v>
      </c>
      <c r="D340" s="15">
        <v>2024</v>
      </c>
      <c r="E340" s="15" t="s">
        <v>46</v>
      </c>
      <c r="F340" s="15" t="s">
        <v>131</v>
      </c>
      <c r="G340" s="15" t="s">
        <v>30</v>
      </c>
      <c r="H340" s="15" t="s">
        <v>820</v>
      </c>
      <c r="I340" s="15" t="s">
        <v>821</v>
      </c>
      <c r="J340" s="17">
        <v>300000</v>
      </c>
      <c r="K340" s="15" t="s">
        <v>935</v>
      </c>
      <c r="L340" s="15" t="s">
        <v>300</v>
      </c>
      <c r="M340" s="15" t="s">
        <v>74</v>
      </c>
      <c r="N340" s="15" t="s">
        <v>1085</v>
      </c>
      <c r="O340" s="15">
        <v>33</v>
      </c>
      <c r="P340" s="15" t="s">
        <v>1163</v>
      </c>
      <c r="Q340" s="15" t="s">
        <v>1165</v>
      </c>
      <c r="R340" s="15"/>
    </row>
    <row r="341" spans="1:18" x14ac:dyDescent="0.35">
      <c r="A341" s="15" t="s">
        <v>1166</v>
      </c>
      <c r="B341" s="16">
        <v>45504</v>
      </c>
      <c r="C341" s="15" t="s">
        <v>1083</v>
      </c>
      <c r="D341" s="15">
        <v>2024</v>
      </c>
      <c r="E341" s="15" t="s">
        <v>46</v>
      </c>
      <c r="F341" s="15" t="s">
        <v>131</v>
      </c>
      <c r="G341" s="15" t="s">
        <v>32</v>
      </c>
      <c r="H341" s="15" t="s">
        <v>1147</v>
      </c>
      <c r="I341" s="15" t="s">
        <v>1148</v>
      </c>
      <c r="J341" s="17">
        <v>2500000</v>
      </c>
      <c r="K341" s="15" t="s">
        <v>935</v>
      </c>
      <c r="L341" s="15" t="s">
        <v>300</v>
      </c>
      <c r="M341" s="15" t="s">
        <v>74</v>
      </c>
      <c r="N341" s="15" t="s">
        <v>1085</v>
      </c>
      <c r="O341" s="15">
        <v>35</v>
      </c>
      <c r="P341" s="15" t="s">
        <v>1167</v>
      </c>
      <c r="Q341" s="15"/>
      <c r="R341" s="15"/>
    </row>
    <row r="342" spans="1:18" x14ac:dyDescent="0.35">
      <c r="A342" s="15" t="s">
        <v>1168</v>
      </c>
      <c r="B342" s="16">
        <v>45504</v>
      </c>
      <c r="C342" s="15" t="s">
        <v>1083</v>
      </c>
      <c r="D342" s="15">
        <v>2024</v>
      </c>
      <c r="E342" s="15" t="s">
        <v>46</v>
      </c>
      <c r="F342" s="15" t="s">
        <v>131</v>
      </c>
      <c r="G342" s="15" t="s">
        <v>29</v>
      </c>
      <c r="H342" s="15" t="s">
        <v>337</v>
      </c>
      <c r="I342" s="15" t="s">
        <v>671</v>
      </c>
      <c r="J342" s="17">
        <v>100000</v>
      </c>
      <c r="K342" s="15" t="s">
        <v>935</v>
      </c>
      <c r="L342" s="15" t="s">
        <v>300</v>
      </c>
      <c r="M342" s="15" t="s">
        <v>74</v>
      </c>
      <c r="N342" s="15" t="s">
        <v>1085</v>
      </c>
      <c r="O342" s="15">
        <v>36</v>
      </c>
      <c r="P342" s="15" t="s">
        <v>1167</v>
      </c>
      <c r="Q342" s="15"/>
      <c r="R342" s="15"/>
    </row>
    <row r="343" spans="1:18" x14ac:dyDescent="0.35">
      <c r="A343" s="15" t="s">
        <v>1169</v>
      </c>
      <c r="B343" s="16">
        <v>45504</v>
      </c>
      <c r="C343" s="15" t="s">
        <v>1083</v>
      </c>
      <c r="D343" s="15">
        <v>2024</v>
      </c>
      <c r="E343" s="15" t="s">
        <v>46</v>
      </c>
      <c r="F343" s="15" t="s">
        <v>131</v>
      </c>
      <c r="G343" s="15" t="s">
        <v>30</v>
      </c>
      <c r="H343" s="15" t="s">
        <v>879</v>
      </c>
      <c r="I343" s="15" t="s">
        <v>880</v>
      </c>
      <c r="J343" s="17">
        <v>900000</v>
      </c>
      <c r="K343" s="15" t="s">
        <v>935</v>
      </c>
      <c r="L343" s="15" t="s">
        <v>300</v>
      </c>
      <c r="M343" s="15" t="s">
        <v>74</v>
      </c>
      <c r="N343" s="15" t="s">
        <v>1085</v>
      </c>
      <c r="O343" s="15">
        <v>34</v>
      </c>
      <c r="P343" s="15" t="s">
        <v>1167</v>
      </c>
      <c r="Q343" s="15" t="s">
        <v>1170</v>
      </c>
      <c r="R343" s="15"/>
    </row>
    <row r="344" spans="1:18" x14ac:dyDescent="0.35">
      <c r="A344" s="15" t="s">
        <v>1171</v>
      </c>
      <c r="B344" s="16">
        <v>45505</v>
      </c>
      <c r="C344" s="15" t="s">
        <v>1172</v>
      </c>
      <c r="D344" s="15">
        <v>2024</v>
      </c>
      <c r="E344" s="15" t="s">
        <v>46</v>
      </c>
      <c r="F344" s="15" t="s">
        <v>131</v>
      </c>
      <c r="G344" s="15" t="s">
        <v>30</v>
      </c>
      <c r="H344" s="15" t="s">
        <v>820</v>
      </c>
      <c r="I344" s="15" t="s">
        <v>821</v>
      </c>
      <c r="J344" s="17">
        <v>200000</v>
      </c>
      <c r="K344" s="15" t="s">
        <v>935</v>
      </c>
      <c r="L344" s="15" t="s">
        <v>300</v>
      </c>
      <c r="M344" s="15" t="s">
        <v>74</v>
      </c>
      <c r="N344" s="15" t="s">
        <v>1173</v>
      </c>
      <c r="O344" s="15">
        <v>7</v>
      </c>
      <c r="P344" s="15" t="s">
        <v>1174</v>
      </c>
      <c r="Q344" s="15"/>
      <c r="R344" s="15"/>
    </row>
    <row r="345" spans="1:18" x14ac:dyDescent="0.35">
      <c r="A345" s="15" t="s">
        <v>1175</v>
      </c>
      <c r="B345" s="16">
        <v>45506</v>
      </c>
      <c r="C345" s="15" t="s">
        <v>1172</v>
      </c>
      <c r="D345" s="15">
        <v>2024</v>
      </c>
      <c r="E345" s="15" t="s">
        <v>46</v>
      </c>
      <c r="F345" s="15" t="s">
        <v>131</v>
      </c>
      <c r="G345" s="15" t="s">
        <v>32</v>
      </c>
      <c r="H345" s="15" t="s">
        <v>184</v>
      </c>
      <c r="I345" s="15" t="s">
        <v>216</v>
      </c>
      <c r="J345" s="17">
        <v>500000</v>
      </c>
      <c r="K345" s="15" t="s">
        <v>935</v>
      </c>
      <c r="L345" s="15" t="s">
        <v>300</v>
      </c>
      <c r="M345" s="15" t="s">
        <v>74</v>
      </c>
      <c r="N345" s="15" t="s">
        <v>1173</v>
      </c>
      <c r="O345" s="15">
        <v>8</v>
      </c>
      <c r="P345" s="15" t="s">
        <v>1176</v>
      </c>
      <c r="Q345" s="15" t="s">
        <v>1177</v>
      </c>
      <c r="R345" s="15"/>
    </row>
    <row r="346" spans="1:18" x14ac:dyDescent="0.35">
      <c r="A346" s="15" t="s">
        <v>1178</v>
      </c>
      <c r="B346" s="16">
        <v>45506</v>
      </c>
      <c r="C346" s="15" t="s">
        <v>1172</v>
      </c>
      <c r="D346" s="15">
        <v>2024</v>
      </c>
      <c r="E346" s="15" t="s">
        <v>46</v>
      </c>
      <c r="F346" s="15" t="s">
        <v>131</v>
      </c>
      <c r="G346" s="15" t="s">
        <v>32</v>
      </c>
      <c r="H346" s="15" t="s">
        <v>1179</v>
      </c>
      <c r="I346" s="15" t="s">
        <v>1180</v>
      </c>
      <c r="J346" s="17">
        <v>500000</v>
      </c>
      <c r="K346" s="15" t="s">
        <v>999</v>
      </c>
      <c r="L346" s="15" t="s">
        <v>300</v>
      </c>
      <c r="M346" s="15" t="s">
        <v>74</v>
      </c>
      <c r="N346" s="15" t="s">
        <v>1173</v>
      </c>
      <c r="O346" s="15">
        <v>7</v>
      </c>
      <c r="P346" s="15" t="s">
        <v>1176</v>
      </c>
      <c r="Q346" s="15" t="s">
        <v>1181</v>
      </c>
      <c r="R346" s="15"/>
    </row>
    <row r="347" spans="1:18" x14ac:dyDescent="0.35">
      <c r="A347" s="15" t="s">
        <v>1182</v>
      </c>
      <c r="B347" s="16">
        <v>45508</v>
      </c>
      <c r="C347" s="15" t="s">
        <v>1172</v>
      </c>
      <c r="D347" s="15">
        <v>2024</v>
      </c>
      <c r="E347" s="15" t="s">
        <v>46</v>
      </c>
      <c r="F347" s="15" t="s">
        <v>131</v>
      </c>
      <c r="G347" s="15" t="s">
        <v>32</v>
      </c>
      <c r="H347" s="15" t="s">
        <v>1183</v>
      </c>
      <c r="I347" s="15" t="s">
        <v>1184</v>
      </c>
      <c r="J347" s="17">
        <v>1000000</v>
      </c>
      <c r="K347" s="15" t="s">
        <v>999</v>
      </c>
      <c r="L347" s="15" t="s">
        <v>300</v>
      </c>
      <c r="M347" s="15" t="s">
        <v>74</v>
      </c>
      <c r="N347" s="15" t="s">
        <v>1173</v>
      </c>
      <c r="O347" s="15">
        <v>9</v>
      </c>
      <c r="P347" s="15" t="s">
        <v>1185</v>
      </c>
      <c r="Q347" s="15" t="s">
        <v>1186</v>
      </c>
      <c r="R347" s="15"/>
    </row>
    <row r="348" spans="1:18" x14ac:dyDescent="0.35">
      <c r="A348" s="15" t="s">
        <v>1187</v>
      </c>
      <c r="B348" s="16">
        <v>45508</v>
      </c>
      <c r="C348" s="15" t="s">
        <v>1172</v>
      </c>
      <c r="D348" s="15">
        <v>2024</v>
      </c>
      <c r="E348" s="15" t="s">
        <v>46</v>
      </c>
      <c r="F348" s="15" t="s">
        <v>131</v>
      </c>
      <c r="G348" s="15" t="s">
        <v>32</v>
      </c>
      <c r="H348" s="15" t="s">
        <v>1179</v>
      </c>
      <c r="I348" s="15" t="s">
        <v>1180</v>
      </c>
      <c r="J348" s="17">
        <v>1360000</v>
      </c>
      <c r="K348" s="15" t="s">
        <v>999</v>
      </c>
      <c r="L348" s="15" t="s">
        <v>300</v>
      </c>
      <c r="M348" s="15" t="s">
        <v>74</v>
      </c>
      <c r="N348" s="15" t="s">
        <v>1173</v>
      </c>
      <c r="O348" s="15">
        <v>8</v>
      </c>
      <c r="P348" s="15" t="s">
        <v>1185</v>
      </c>
      <c r="Q348" s="15" t="s">
        <v>1188</v>
      </c>
      <c r="R348" s="15"/>
    </row>
    <row r="349" spans="1:18" x14ac:dyDescent="0.35">
      <c r="A349" s="15" t="s">
        <v>1189</v>
      </c>
      <c r="B349" s="16">
        <v>45509</v>
      </c>
      <c r="C349" s="15" t="s">
        <v>1172</v>
      </c>
      <c r="D349" s="15">
        <v>2024</v>
      </c>
      <c r="E349" s="15" t="s">
        <v>46</v>
      </c>
      <c r="F349" s="15" t="s">
        <v>131</v>
      </c>
      <c r="G349" s="15" t="s">
        <v>29</v>
      </c>
      <c r="H349" s="15" t="s">
        <v>704</v>
      </c>
      <c r="I349" s="15" t="s">
        <v>911</v>
      </c>
      <c r="J349" s="17">
        <v>400000</v>
      </c>
      <c r="K349" s="15" t="s">
        <v>935</v>
      </c>
      <c r="L349" s="15" t="s">
        <v>300</v>
      </c>
      <c r="M349" s="15" t="s">
        <v>74</v>
      </c>
      <c r="N349" s="15" t="s">
        <v>1173</v>
      </c>
      <c r="O349" s="15">
        <v>14</v>
      </c>
      <c r="P349" s="15" t="s">
        <v>1190</v>
      </c>
      <c r="Q349" s="15" t="s">
        <v>1191</v>
      </c>
      <c r="R349" s="15"/>
    </row>
    <row r="350" spans="1:18" x14ac:dyDescent="0.35">
      <c r="A350" s="15" t="s">
        <v>1192</v>
      </c>
      <c r="B350" s="16">
        <v>45509</v>
      </c>
      <c r="C350" s="15" t="s">
        <v>1172</v>
      </c>
      <c r="D350" s="15">
        <v>2024</v>
      </c>
      <c r="E350" s="15" t="s">
        <v>46</v>
      </c>
      <c r="F350" s="15" t="s">
        <v>131</v>
      </c>
      <c r="G350" s="15" t="s">
        <v>32</v>
      </c>
      <c r="H350" s="15" t="s">
        <v>1183</v>
      </c>
      <c r="I350" s="15" t="s">
        <v>1184</v>
      </c>
      <c r="J350" s="17">
        <v>860000</v>
      </c>
      <c r="K350" s="15" t="s">
        <v>999</v>
      </c>
      <c r="L350" s="15" t="s">
        <v>300</v>
      </c>
      <c r="M350" s="15" t="s">
        <v>74</v>
      </c>
      <c r="N350" s="15" t="s">
        <v>1173</v>
      </c>
      <c r="O350" s="15">
        <v>10</v>
      </c>
      <c r="P350" s="15" t="s">
        <v>1190</v>
      </c>
      <c r="Q350" s="15" t="s">
        <v>1193</v>
      </c>
      <c r="R350" s="15"/>
    </row>
    <row r="351" spans="1:18" x14ac:dyDescent="0.35">
      <c r="A351" s="15" t="s">
        <v>1194</v>
      </c>
      <c r="B351" s="16">
        <v>45509</v>
      </c>
      <c r="C351" s="15" t="s">
        <v>1172</v>
      </c>
      <c r="D351" s="15">
        <v>2024</v>
      </c>
      <c r="E351" s="15" t="s">
        <v>46</v>
      </c>
      <c r="F351" s="15" t="s">
        <v>131</v>
      </c>
      <c r="G351" s="15" t="s">
        <v>32</v>
      </c>
      <c r="H351" s="15" t="s">
        <v>568</v>
      </c>
      <c r="I351" s="15" t="s">
        <v>875</v>
      </c>
      <c r="J351" s="17">
        <v>500000</v>
      </c>
      <c r="K351" s="15" t="s">
        <v>935</v>
      </c>
      <c r="L351" s="15" t="s">
        <v>300</v>
      </c>
      <c r="M351" s="15" t="s">
        <v>74</v>
      </c>
      <c r="N351" s="15" t="s">
        <v>1173</v>
      </c>
      <c r="O351" s="15">
        <v>15</v>
      </c>
      <c r="P351" s="15" t="s">
        <v>1190</v>
      </c>
      <c r="Q351" s="15" t="s">
        <v>1195</v>
      </c>
      <c r="R351" s="15"/>
    </row>
    <row r="352" spans="1:18" x14ac:dyDescent="0.35">
      <c r="A352" s="15" t="s">
        <v>1196</v>
      </c>
      <c r="B352" s="16">
        <v>45509</v>
      </c>
      <c r="C352" s="15" t="s">
        <v>1172</v>
      </c>
      <c r="D352" s="15">
        <v>2024</v>
      </c>
      <c r="E352" s="15" t="s">
        <v>46</v>
      </c>
      <c r="F352" s="15" t="s">
        <v>131</v>
      </c>
      <c r="G352" s="15" t="s">
        <v>30</v>
      </c>
      <c r="H352" s="15" t="s">
        <v>203</v>
      </c>
      <c r="I352" s="15" t="s">
        <v>943</v>
      </c>
      <c r="J352" s="17">
        <v>200000</v>
      </c>
      <c r="K352" s="15" t="s">
        <v>935</v>
      </c>
      <c r="L352" s="15" t="s">
        <v>300</v>
      </c>
      <c r="M352" s="15" t="s">
        <v>74</v>
      </c>
      <c r="N352" s="15" t="s">
        <v>1173</v>
      </c>
      <c r="O352" s="15">
        <v>9</v>
      </c>
      <c r="P352" s="15" t="s">
        <v>1190</v>
      </c>
      <c r="Q352" s="15" t="s">
        <v>1197</v>
      </c>
      <c r="R352" s="15"/>
    </row>
    <row r="353" spans="1:18" x14ac:dyDescent="0.35">
      <c r="A353" s="15" t="s">
        <v>1198</v>
      </c>
      <c r="B353" s="16">
        <v>45509</v>
      </c>
      <c r="C353" s="15" t="s">
        <v>1172</v>
      </c>
      <c r="D353" s="15">
        <v>2024</v>
      </c>
      <c r="E353" s="15" t="s">
        <v>46</v>
      </c>
      <c r="F353" s="15" t="s">
        <v>982</v>
      </c>
      <c r="G353" s="15" t="s">
        <v>38</v>
      </c>
      <c r="H353" s="15" t="s">
        <v>203</v>
      </c>
      <c r="I353" s="15" t="s">
        <v>943</v>
      </c>
      <c r="J353" s="17">
        <v>50000</v>
      </c>
      <c r="K353" s="15" t="s">
        <v>935</v>
      </c>
      <c r="L353" s="15" t="s">
        <v>300</v>
      </c>
      <c r="M353" s="15" t="s">
        <v>74</v>
      </c>
      <c r="N353" s="15" t="s">
        <v>1173</v>
      </c>
      <c r="O353" s="15">
        <v>10</v>
      </c>
      <c r="P353" s="15" t="s">
        <v>1190</v>
      </c>
      <c r="Q353" s="15"/>
      <c r="R353" s="15"/>
    </row>
    <row r="354" spans="1:18" x14ac:dyDescent="0.35">
      <c r="A354" s="15" t="s">
        <v>1199</v>
      </c>
      <c r="B354" s="16">
        <v>45509</v>
      </c>
      <c r="C354" s="15" t="s">
        <v>1172</v>
      </c>
      <c r="D354" s="15">
        <v>2024</v>
      </c>
      <c r="E354" s="15" t="s">
        <v>46</v>
      </c>
      <c r="F354" s="15" t="s">
        <v>131</v>
      </c>
      <c r="G354" s="15" t="s">
        <v>32</v>
      </c>
      <c r="H354" s="15" t="s">
        <v>1147</v>
      </c>
      <c r="I354" s="15" t="s">
        <v>1148</v>
      </c>
      <c r="J354" s="17">
        <v>500000</v>
      </c>
      <c r="K354" s="15" t="s">
        <v>935</v>
      </c>
      <c r="L354" s="15" t="s">
        <v>300</v>
      </c>
      <c r="M354" s="15" t="s">
        <v>74</v>
      </c>
      <c r="N354" s="15" t="s">
        <v>1173</v>
      </c>
      <c r="O354" s="15">
        <v>13</v>
      </c>
      <c r="P354" s="15" t="s">
        <v>1190</v>
      </c>
      <c r="Q354" s="15" t="s">
        <v>1200</v>
      </c>
      <c r="R354" s="15"/>
    </row>
    <row r="355" spans="1:18" x14ac:dyDescent="0.35">
      <c r="A355" s="15" t="s">
        <v>1201</v>
      </c>
      <c r="B355" s="16">
        <v>45509</v>
      </c>
      <c r="C355" s="15" t="s">
        <v>1172</v>
      </c>
      <c r="D355" s="15">
        <v>2024</v>
      </c>
      <c r="E355" s="15" t="s">
        <v>46</v>
      </c>
      <c r="F355" s="15" t="s">
        <v>131</v>
      </c>
      <c r="G355" s="15" t="s">
        <v>30</v>
      </c>
      <c r="H355" s="15" t="s">
        <v>820</v>
      </c>
      <c r="I355" s="15" t="s">
        <v>821</v>
      </c>
      <c r="J355" s="17">
        <v>460000</v>
      </c>
      <c r="K355" s="15" t="s">
        <v>935</v>
      </c>
      <c r="L355" s="15" t="s">
        <v>300</v>
      </c>
      <c r="M355" s="15" t="s">
        <v>74</v>
      </c>
      <c r="N355" s="15" t="s">
        <v>1173</v>
      </c>
      <c r="O355" s="15">
        <v>11</v>
      </c>
      <c r="P355" s="15" t="s">
        <v>1190</v>
      </c>
      <c r="Q355" s="15" t="s">
        <v>1202</v>
      </c>
      <c r="R355" s="15"/>
    </row>
    <row r="356" spans="1:18" x14ac:dyDescent="0.35">
      <c r="A356" s="15" t="s">
        <v>1203</v>
      </c>
      <c r="B356" s="16">
        <v>45512</v>
      </c>
      <c r="C356" s="15" t="s">
        <v>1172</v>
      </c>
      <c r="D356" s="15">
        <v>2024</v>
      </c>
      <c r="E356" s="15" t="s">
        <v>47</v>
      </c>
      <c r="F356" s="15" t="s">
        <v>131</v>
      </c>
      <c r="G356" s="15" t="s">
        <v>35</v>
      </c>
      <c r="H356" s="15" t="s">
        <v>1204</v>
      </c>
      <c r="I356" s="15" t="s">
        <v>1205</v>
      </c>
      <c r="J356" s="17">
        <v>20000000</v>
      </c>
      <c r="K356" s="15" t="s">
        <v>999</v>
      </c>
      <c r="L356" s="15" t="s">
        <v>300</v>
      </c>
      <c r="M356" s="15" t="s">
        <v>74</v>
      </c>
      <c r="N356" s="15" t="s">
        <v>1173</v>
      </c>
      <c r="O356" s="15">
        <v>11</v>
      </c>
      <c r="P356" s="15" t="s">
        <v>1206</v>
      </c>
      <c r="Q356" s="15" t="s">
        <v>1207</v>
      </c>
      <c r="R356" s="15"/>
    </row>
    <row r="357" spans="1:18" x14ac:dyDescent="0.35">
      <c r="A357" s="15" t="s">
        <v>1208</v>
      </c>
      <c r="B357" s="16">
        <v>45512</v>
      </c>
      <c r="C357" s="15" t="s">
        <v>1172</v>
      </c>
      <c r="D357" s="15">
        <v>2024</v>
      </c>
      <c r="E357" s="15" t="s">
        <v>46</v>
      </c>
      <c r="F357" s="15" t="s">
        <v>131</v>
      </c>
      <c r="G357" s="15" t="s">
        <v>30</v>
      </c>
      <c r="H357" s="15" t="s">
        <v>905</v>
      </c>
      <c r="I357" s="15" t="s">
        <v>906</v>
      </c>
      <c r="J357" s="17">
        <v>1000000</v>
      </c>
      <c r="K357" s="15" t="s">
        <v>999</v>
      </c>
      <c r="L357" s="15" t="s">
        <v>300</v>
      </c>
      <c r="M357" s="15" t="s">
        <v>74</v>
      </c>
      <c r="N357" s="15" t="s">
        <v>1173</v>
      </c>
      <c r="O357" s="15">
        <v>12</v>
      </c>
      <c r="P357" s="15" t="s">
        <v>1206</v>
      </c>
      <c r="Q357" s="15" t="s">
        <v>1209</v>
      </c>
      <c r="R357" s="15"/>
    </row>
    <row r="358" spans="1:18" x14ac:dyDescent="0.35">
      <c r="A358" s="15" t="s">
        <v>1210</v>
      </c>
      <c r="B358" s="16">
        <v>45513</v>
      </c>
      <c r="C358" s="15" t="s">
        <v>1172</v>
      </c>
      <c r="D358" s="15">
        <v>2024</v>
      </c>
      <c r="E358" s="15" t="s">
        <v>46</v>
      </c>
      <c r="F358" s="15" t="s">
        <v>131</v>
      </c>
      <c r="G358" s="15" t="s">
        <v>32</v>
      </c>
      <c r="H358" s="15" t="s">
        <v>1147</v>
      </c>
      <c r="I358" s="15" t="s">
        <v>1148</v>
      </c>
      <c r="J358" s="17">
        <v>800000</v>
      </c>
      <c r="K358" s="15" t="s">
        <v>935</v>
      </c>
      <c r="L358" s="15" t="s">
        <v>300</v>
      </c>
      <c r="M358" s="15" t="s">
        <v>74</v>
      </c>
      <c r="N358" s="15" t="s">
        <v>1173</v>
      </c>
      <c r="O358" s="15">
        <v>17</v>
      </c>
      <c r="P358" s="15" t="s">
        <v>1211</v>
      </c>
      <c r="Q358" s="15" t="s">
        <v>1212</v>
      </c>
      <c r="R358" s="15"/>
    </row>
    <row r="359" spans="1:18" x14ac:dyDescent="0.35">
      <c r="A359" s="15" t="s">
        <v>1213</v>
      </c>
      <c r="B359" s="16">
        <v>45513</v>
      </c>
      <c r="C359" s="15" t="s">
        <v>1172</v>
      </c>
      <c r="D359" s="15">
        <v>2024</v>
      </c>
      <c r="E359" s="15" t="s">
        <v>47</v>
      </c>
      <c r="F359" s="15" t="s">
        <v>131</v>
      </c>
      <c r="G359" s="15" t="s">
        <v>35</v>
      </c>
      <c r="H359" s="15" t="s">
        <v>1204</v>
      </c>
      <c r="I359" s="15" t="s">
        <v>1205</v>
      </c>
      <c r="J359" s="17">
        <v>30000000</v>
      </c>
      <c r="K359" s="15" t="s">
        <v>999</v>
      </c>
      <c r="L359" s="15" t="s">
        <v>300</v>
      </c>
      <c r="M359" s="15" t="s">
        <v>74</v>
      </c>
      <c r="N359" s="15" t="s">
        <v>1173</v>
      </c>
      <c r="O359" s="15">
        <v>13</v>
      </c>
      <c r="P359" s="15" t="s">
        <v>1211</v>
      </c>
      <c r="Q359" s="15" t="s">
        <v>1214</v>
      </c>
      <c r="R359" s="15"/>
    </row>
    <row r="360" spans="1:18" x14ac:dyDescent="0.35">
      <c r="A360" s="15" t="s">
        <v>1215</v>
      </c>
      <c r="B360" s="16">
        <v>45513</v>
      </c>
      <c r="C360" s="15" t="s">
        <v>1172</v>
      </c>
      <c r="D360" s="15">
        <v>2024</v>
      </c>
      <c r="E360" s="15" t="s">
        <v>46</v>
      </c>
      <c r="F360" s="15" t="s">
        <v>131</v>
      </c>
      <c r="G360" s="15" t="s">
        <v>29</v>
      </c>
      <c r="H360" s="15" t="s">
        <v>1010</v>
      </c>
      <c r="I360" s="15" t="s">
        <v>1133</v>
      </c>
      <c r="J360" s="17">
        <v>1200000</v>
      </c>
      <c r="K360" s="15" t="s">
        <v>999</v>
      </c>
      <c r="L360" s="15" t="s">
        <v>300</v>
      </c>
      <c r="M360" s="15" t="s">
        <v>74</v>
      </c>
      <c r="N360" s="15" t="s">
        <v>1173</v>
      </c>
      <c r="O360" s="15">
        <v>14</v>
      </c>
      <c r="P360" s="15" t="s">
        <v>1211</v>
      </c>
      <c r="Q360" s="15" t="s">
        <v>1216</v>
      </c>
      <c r="R360" s="15"/>
    </row>
    <row r="361" spans="1:18" x14ac:dyDescent="0.35">
      <c r="A361" s="15" t="s">
        <v>1217</v>
      </c>
      <c r="B361" s="16">
        <v>45516</v>
      </c>
      <c r="C361" s="15" t="s">
        <v>1172</v>
      </c>
      <c r="D361" s="15">
        <v>2024</v>
      </c>
      <c r="E361" s="15" t="s">
        <v>46</v>
      </c>
      <c r="F361" s="15" t="s">
        <v>131</v>
      </c>
      <c r="G361" s="15" t="s">
        <v>32</v>
      </c>
      <c r="H361" s="15" t="s">
        <v>167</v>
      </c>
      <c r="I361" s="15" t="s">
        <v>168</v>
      </c>
      <c r="J361" s="17">
        <v>3150000</v>
      </c>
      <c r="K361" s="15" t="s">
        <v>999</v>
      </c>
      <c r="L361" s="15" t="s">
        <v>300</v>
      </c>
      <c r="M361" s="15" t="s">
        <v>74</v>
      </c>
      <c r="N361" s="15" t="s">
        <v>1173</v>
      </c>
      <c r="O361" s="15">
        <v>15</v>
      </c>
      <c r="P361" s="15" t="s">
        <v>1218</v>
      </c>
      <c r="Q361" s="15"/>
      <c r="R361" s="15"/>
    </row>
    <row r="362" spans="1:18" x14ac:dyDescent="0.35">
      <c r="A362" s="15" t="s">
        <v>1219</v>
      </c>
      <c r="B362" s="16">
        <v>45516</v>
      </c>
      <c r="C362" s="15" t="s">
        <v>1172</v>
      </c>
      <c r="D362" s="15">
        <v>2024</v>
      </c>
      <c r="E362" s="15" t="s">
        <v>46</v>
      </c>
      <c r="F362" s="15" t="s">
        <v>131</v>
      </c>
      <c r="G362" s="15" t="s">
        <v>32</v>
      </c>
      <c r="H362" s="15" t="s">
        <v>1220</v>
      </c>
      <c r="I362" s="15" t="s">
        <v>1221</v>
      </c>
      <c r="J362" s="17">
        <v>100000</v>
      </c>
      <c r="K362" s="15" t="s">
        <v>999</v>
      </c>
      <c r="L362" s="15" t="s">
        <v>300</v>
      </c>
      <c r="M362" s="15" t="s">
        <v>74</v>
      </c>
      <c r="N362" s="15" t="s">
        <v>1173</v>
      </c>
      <c r="O362" s="15">
        <v>16</v>
      </c>
      <c r="P362" s="15" t="s">
        <v>1218</v>
      </c>
      <c r="Q362" s="15" t="s">
        <v>1222</v>
      </c>
      <c r="R362" s="15"/>
    </row>
    <row r="363" spans="1:18" x14ac:dyDescent="0.35">
      <c r="A363" s="15" t="s">
        <v>1223</v>
      </c>
      <c r="B363" s="16">
        <v>45516</v>
      </c>
      <c r="C363" s="15" t="s">
        <v>1172</v>
      </c>
      <c r="D363" s="15">
        <v>2024</v>
      </c>
      <c r="E363" s="15" t="s">
        <v>46</v>
      </c>
      <c r="F363" s="15" t="s">
        <v>131</v>
      </c>
      <c r="G363" s="15" t="s">
        <v>30</v>
      </c>
      <c r="H363" s="15" t="s">
        <v>988</v>
      </c>
      <c r="I363" s="15" t="s">
        <v>1224</v>
      </c>
      <c r="J363" s="17">
        <v>550000</v>
      </c>
      <c r="K363" s="15" t="s">
        <v>935</v>
      </c>
      <c r="L363" s="15" t="s">
        <v>300</v>
      </c>
      <c r="M363" s="15" t="s">
        <v>74</v>
      </c>
      <c r="N363" s="15" t="s">
        <v>1173</v>
      </c>
      <c r="O363" s="15">
        <v>18</v>
      </c>
      <c r="P363" s="15" t="s">
        <v>1218</v>
      </c>
      <c r="Q363" s="15" t="s">
        <v>1225</v>
      </c>
      <c r="R363" s="15"/>
    </row>
    <row r="364" spans="1:18" x14ac:dyDescent="0.35">
      <c r="A364" s="15" t="s">
        <v>1226</v>
      </c>
      <c r="B364" s="16">
        <v>45518</v>
      </c>
      <c r="C364" s="15" t="s">
        <v>1172</v>
      </c>
      <c r="D364" s="15">
        <v>2024</v>
      </c>
      <c r="E364" s="15" t="s">
        <v>46</v>
      </c>
      <c r="F364" s="15" t="s">
        <v>131</v>
      </c>
      <c r="G364" s="15" t="s">
        <v>32</v>
      </c>
      <c r="H364" s="15" t="s">
        <v>167</v>
      </c>
      <c r="I364" s="15" t="s">
        <v>168</v>
      </c>
      <c r="J364" s="17">
        <v>1500000</v>
      </c>
      <c r="K364" s="15" t="s">
        <v>999</v>
      </c>
      <c r="L364" s="15" t="s">
        <v>300</v>
      </c>
      <c r="M364" s="15" t="s">
        <v>74</v>
      </c>
      <c r="N364" s="15" t="s">
        <v>1173</v>
      </c>
      <c r="O364" s="15">
        <v>17</v>
      </c>
      <c r="P364" s="15" t="s">
        <v>1227</v>
      </c>
      <c r="Q364" s="15"/>
      <c r="R364" s="15"/>
    </row>
    <row r="365" spans="1:18" x14ac:dyDescent="0.35">
      <c r="A365" s="15" t="s">
        <v>1228</v>
      </c>
      <c r="B365" s="16">
        <v>45519</v>
      </c>
      <c r="C365" s="15" t="s">
        <v>1172</v>
      </c>
      <c r="D365" s="15">
        <v>2024</v>
      </c>
      <c r="E365" s="15" t="s">
        <v>46</v>
      </c>
      <c r="F365" s="15" t="s">
        <v>982</v>
      </c>
      <c r="G365" s="15" t="s">
        <v>37</v>
      </c>
      <c r="H365" s="15" t="s">
        <v>179</v>
      </c>
      <c r="I365" s="15" t="s">
        <v>180</v>
      </c>
      <c r="J365" s="17">
        <v>135000</v>
      </c>
      <c r="K365" s="15" t="s">
        <v>999</v>
      </c>
      <c r="L365" s="15" t="s">
        <v>300</v>
      </c>
      <c r="M365" s="15" t="s">
        <v>74</v>
      </c>
      <c r="N365" s="15" t="s">
        <v>1173</v>
      </c>
      <c r="O365" s="15">
        <v>18</v>
      </c>
      <c r="P365" s="15" t="s">
        <v>1229</v>
      </c>
      <c r="Q365" s="15"/>
      <c r="R365" s="15"/>
    </row>
    <row r="366" spans="1:18" x14ac:dyDescent="0.35">
      <c r="A366" s="15" t="s">
        <v>1230</v>
      </c>
      <c r="B366" s="16">
        <v>45520</v>
      </c>
      <c r="C366" s="15" t="s">
        <v>1172</v>
      </c>
      <c r="D366" s="15">
        <v>2024</v>
      </c>
      <c r="E366" s="15" t="s">
        <v>46</v>
      </c>
      <c r="F366" s="15" t="s">
        <v>131</v>
      </c>
      <c r="G366" s="15" t="s">
        <v>32</v>
      </c>
      <c r="H366" s="15" t="s">
        <v>1231</v>
      </c>
      <c r="I366" s="15" t="s">
        <v>1232</v>
      </c>
      <c r="J366" s="17">
        <v>1000000</v>
      </c>
      <c r="K366" s="15" t="s">
        <v>935</v>
      </c>
      <c r="L366" s="15" t="s">
        <v>300</v>
      </c>
      <c r="M366" s="15" t="s">
        <v>74</v>
      </c>
      <c r="N366" s="15" t="s">
        <v>1173</v>
      </c>
      <c r="O366" s="15">
        <v>20</v>
      </c>
      <c r="P366" s="15" t="s">
        <v>1233</v>
      </c>
      <c r="Q366" s="15" t="s">
        <v>1234</v>
      </c>
      <c r="R366" s="15"/>
    </row>
    <row r="367" spans="1:18" x14ac:dyDescent="0.35">
      <c r="A367" s="15" t="s">
        <v>1235</v>
      </c>
      <c r="B367" s="16">
        <v>45521</v>
      </c>
      <c r="C367" s="15" t="s">
        <v>1172</v>
      </c>
      <c r="D367" s="15">
        <v>2024</v>
      </c>
      <c r="E367" s="15" t="s">
        <v>46</v>
      </c>
      <c r="F367" s="15" t="s">
        <v>131</v>
      </c>
      <c r="G367" s="15" t="s">
        <v>32</v>
      </c>
      <c r="H367" s="15" t="s">
        <v>1236</v>
      </c>
      <c r="I367" s="15" t="s">
        <v>1237</v>
      </c>
      <c r="J367" s="17">
        <v>500000</v>
      </c>
      <c r="K367" s="15" t="s">
        <v>935</v>
      </c>
      <c r="L367" s="15" t="s">
        <v>300</v>
      </c>
      <c r="M367" s="15" t="s">
        <v>74</v>
      </c>
      <c r="N367" s="15" t="s">
        <v>1173</v>
      </c>
      <c r="O367" s="15">
        <v>21</v>
      </c>
      <c r="P367" s="15" t="s">
        <v>1238</v>
      </c>
      <c r="Q367" s="15" t="s">
        <v>1239</v>
      </c>
      <c r="R367" s="15"/>
    </row>
    <row r="368" spans="1:18" x14ac:dyDescent="0.35">
      <c r="A368" s="15" t="s">
        <v>1240</v>
      </c>
      <c r="B368" s="16">
        <v>45522</v>
      </c>
      <c r="C368" s="15" t="s">
        <v>1172</v>
      </c>
      <c r="D368" s="15">
        <v>2024</v>
      </c>
      <c r="E368" s="15" t="s">
        <v>46</v>
      </c>
      <c r="F368" s="15" t="s">
        <v>131</v>
      </c>
      <c r="G368" s="15" t="s">
        <v>32</v>
      </c>
      <c r="H368" s="15" t="s">
        <v>1241</v>
      </c>
      <c r="I368" s="15" t="s">
        <v>1242</v>
      </c>
      <c r="J368" s="17">
        <v>256000</v>
      </c>
      <c r="K368" s="15" t="s">
        <v>935</v>
      </c>
      <c r="L368" s="15" t="s">
        <v>300</v>
      </c>
      <c r="M368" s="15" t="s">
        <v>74</v>
      </c>
      <c r="N368" s="15" t="s">
        <v>1173</v>
      </c>
      <c r="O368" s="15">
        <v>22</v>
      </c>
      <c r="P368" s="15" t="s">
        <v>1243</v>
      </c>
      <c r="Q368" s="15"/>
      <c r="R368" s="15"/>
    </row>
    <row r="369" spans="1:18" x14ac:dyDescent="0.35">
      <c r="A369" s="15" t="s">
        <v>1244</v>
      </c>
      <c r="B369" s="16">
        <v>45523</v>
      </c>
      <c r="C369" s="15" t="s">
        <v>1172</v>
      </c>
      <c r="D369" s="15">
        <v>2024</v>
      </c>
      <c r="E369" s="15" t="s">
        <v>46</v>
      </c>
      <c r="F369" s="15" t="s">
        <v>131</v>
      </c>
      <c r="G369" s="15" t="s">
        <v>32</v>
      </c>
      <c r="H369" s="15" t="s">
        <v>1220</v>
      </c>
      <c r="I369" s="15" t="s">
        <v>1221</v>
      </c>
      <c r="J369" s="17">
        <v>400000</v>
      </c>
      <c r="K369" s="15" t="s">
        <v>999</v>
      </c>
      <c r="L369" s="15" t="s">
        <v>300</v>
      </c>
      <c r="M369" s="15" t="s">
        <v>74</v>
      </c>
      <c r="N369" s="15" t="s">
        <v>1173</v>
      </c>
      <c r="O369" s="15">
        <v>19</v>
      </c>
      <c r="P369" s="15" t="s">
        <v>1245</v>
      </c>
      <c r="Q369" s="15" t="s">
        <v>1246</v>
      </c>
      <c r="R369" s="15"/>
    </row>
    <row r="370" spans="1:18" x14ac:dyDescent="0.35">
      <c r="A370" s="15" t="s">
        <v>1247</v>
      </c>
      <c r="B370" s="16">
        <v>45524</v>
      </c>
      <c r="C370" s="15" t="s">
        <v>1172</v>
      </c>
      <c r="D370" s="15">
        <v>2024</v>
      </c>
      <c r="E370" s="15" t="s">
        <v>46</v>
      </c>
      <c r="F370" s="15" t="s">
        <v>131</v>
      </c>
      <c r="G370" s="15" t="s">
        <v>32</v>
      </c>
      <c r="H370" s="15" t="s">
        <v>1241</v>
      </c>
      <c r="I370" s="15" t="s">
        <v>1242</v>
      </c>
      <c r="J370" s="17">
        <v>244000</v>
      </c>
      <c r="K370" s="15" t="s">
        <v>935</v>
      </c>
      <c r="L370" s="15" t="s">
        <v>300</v>
      </c>
      <c r="M370" s="15" t="s">
        <v>74</v>
      </c>
      <c r="N370" s="15" t="s">
        <v>1173</v>
      </c>
      <c r="O370" s="15">
        <v>23</v>
      </c>
      <c r="P370" s="15" t="s">
        <v>1248</v>
      </c>
      <c r="Q370" s="15"/>
      <c r="R370" s="15"/>
    </row>
    <row r="371" spans="1:18" x14ac:dyDescent="0.35">
      <c r="A371" s="15" t="s">
        <v>1249</v>
      </c>
      <c r="B371" s="16">
        <v>45525</v>
      </c>
      <c r="C371" s="15" t="s">
        <v>1172</v>
      </c>
      <c r="D371" s="15">
        <v>2024</v>
      </c>
      <c r="E371" s="15" t="s">
        <v>46</v>
      </c>
      <c r="F371" s="15" t="s">
        <v>131</v>
      </c>
      <c r="G371" s="15" t="s">
        <v>32</v>
      </c>
      <c r="H371" s="15" t="s">
        <v>167</v>
      </c>
      <c r="I371" s="15" t="s">
        <v>168</v>
      </c>
      <c r="J371" s="17">
        <v>1500000</v>
      </c>
      <c r="K371" s="15" t="s">
        <v>999</v>
      </c>
      <c r="L371" s="15" t="s">
        <v>300</v>
      </c>
      <c r="M371" s="15" t="s">
        <v>74</v>
      </c>
      <c r="N371" s="15" t="s">
        <v>1173</v>
      </c>
      <c r="O371" s="15">
        <v>20</v>
      </c>
      <c r="P371" s="15" t="s">
        <v>1250</v>
      </c>
      <c r="Q371" s="15" t="s">
        <v>1251</v>
      </c>
      <c r="R371" s="15"/>
    </row>
    <row r="372" spans="1:18" x14ac:dyDescent="0.35">
      <c r="A372" s="15" t="s">
        <v>1252</v>
      </c>
      <c r="B372" s="16">
        <v>45526</v>
      </c>
      <c r="C372" s="15" t="s">
        <v>1172</v>
      </c>
      <c r="D372" s="15">
        <v>2024</v>
      </c>
      <c r="E372" s="15" t="s">
        <v>46</v>
      </c>
      <c r="F372" s="15" t="s">
        <v>131</v>
      </c>
      <c r="G372" s="15" t="s">
        <v>30</v>
      </c>
      <c r="H372" s="15" t="s">
        <v>1057</v>
      </c>
      <c r="I372" s="15" t="s">
        <v>1253</v>
      </c>
      <c r="J372" s="17">
        <v>2000000</v>
      </c>
      <c r="K372" s="15" t="s">
        <v>935</v>
      </c>
      <c r="L372" s="15" t="s">
        <v>300</v>
      </c>
      <c r="M372" s="15" t="s">
        <v>74</v>
      </c>
      <c r="N372" s="15" t="s">
        <v>1173</v>
      </c>
      <c r="O372" s="15">
        <v>24</v>
      </c>
      <c r="P372" s="15" t="s">
        <v>1254</v>
      </c>
      <c r="Q372" s="15"/>
      <c r="R372" s="15"/>
    </row>
    <row r="373" spans="1:18" x14ac:dyDescent="0.35">
      <c r="A373" s="15" t="s">
        <v>1255</v>
      </c>
      <c r="B373" s="16">
        <v>45527</v>
      </c>
      <c r="C373" s="15" t="s">
        <v>1172</v>
      </c>
      <c r="D373" s="15">
        <v>2024</v>
      </c>
      <c r="E373" s="15" t="s">
        <v>46</v>
      </c>
      <c r="F373" s="15" t="s">
        <v>131</v>
      </c>
      <c r="G373" s="15" t="s">
        <v>29</v>
      </c>
      <c r="H373" s="15" t="s">
        <v>285</v>
      </c>
      <c r="I373" s="15" t="s">
        <v>530</v>
      </c>
      <c r="J373" s="17">
        <v>80000</v>
      </c>
      <c r="K373" s="15" t="s">
        <v>935</v>
      </c>
      <c r="L373" s="15" t="s">
        <v>300</v>
      </c>
      <c r="M373" s="15" t="s">
        <v>74</v>
      </c>
      <c r="N373" s="15" t="s">
        <v>1173</v>
      </c>
      <c r="O373" s="15">
        <v>25</v>
      </c>
      <c r="P373" s="15" t="s">
        <v>1256</v>
      </c>
      <c r="Q373" s="15"/>
      <c r="R373" s="15"/>
    </row>
    <row r="374" spans="1:18" x14ac:dyDescent="0.35">
      <c r="A374" s="15" t="s">
        <v>1257</v>
      </c>
      <c r="B374" s="16">
        <v>45527</v>
      </c>
      <c r="C374" s="15" t="s">
        <v>1172</v>
      </c>
      <c r="D374" s="15">
        <v>2024</v>
      </c>
      <c r="E374" s="15" t="s">
        <v>46</v>
      </c>
      <c r="F374" s="15" t="s">
        <v>131</v>
      </c>
      <c r="G374" s="15" t="s">
        <v>32</v>
      </c>
      <c r="H374" s="15" t="s">
        <v>1258</v>
      </c>
      <c r="I374" s="15" t="s">
        <v>1259</v>
      </c>
      <c r="J374" s="17">
        <v>2000000</v>
      </c>
      <c r="K374" s="15" t="s">
        <v>999</v>
      </c>
      <c r="L374" s="15" t="s">
        <v>300</v>
      </c>
      <c r="M374" s="15" t="s">
        <v>74</v>
      </c>
      <c r="N374" s="15" t="s">
        <v>1173</v>
      </c>
      <c r="O374" s="15">
        <v>21</v>
      </c>
      <c r="P374" s="15" t="s">
        <v>1256</v>
      </c>
      <c r="Q374" s="15"/>
      <c r="R374" s="15"/>
    </row>
    <row r="375" spans="1:18" x14ac:dyDescent="0.35">
      <c r="A375" s="15" t="s">
        <v>1260</v>
      </c>
      <c r="B375" s="16">
        <v>45528</v>
      </c>
      <c r="C375" s="15" t="s">
        <v>1172</v>
      </c>
      <c r="D375" s="15">
        <v>2024</v>
      </c>
      <c r="E375" s="15" t="s">
        <v>47</v>
      </c>
      <c r="F375" s="15" t="s">
        <v>131</v>
      </c>
      <c r="G375" s="15" t="s">
        <v>35</v>
      </c>
      <c r="H375" s="15" t="s">
        <v>1204</v>
      </c>
      <c r="I375" s="15" t="s">
        <v>1205</v>
      </c>
      <c r="J375" s="17">
        <v>5000000</v>
      </c>
      <c r="K375" s="15" t="s">
        <v>999</v>
      </c>
      <c r="L375" s="15" t="s">
        <v>300</v>
      </c>
      <c r="M375" s="15" t="s">
        <v>74</v>
      </c>
      <c r="N375" s="15" t="s">
        <v>1173</v>
      </c>
      <c r="O375" s="15">
        <v>22</v>
      </c>
      <c r="P375" s="15" t="s">
        <v>1261</v>
      </c>
      <c r="Q375" s="15"/>
      <c r="R375" s="15"/>
    </row>
    <row r="376" spans="1:18" x14ac:dyDescent="0.35">
      <c r="A376" s="15" t="s">
        <v>1262</v>
      </c>
      <c r="B376" s="16">
        <v>45529</v>
      </c>
      <c r="C376" s="15" t="s">
        <v>1172</v>
      </c>
      <c r="D376" s="15">
        <v>2024</v>
      </c>
      <c r="E376" s="15" t="s">
        <v>46</v>
      </c>
      <c r="F376" s="15" t="s">
        <v>131</v>
      </c>
      <c r="G376" s="15" t="s">
        <v>30</v>
      </c>
      <c r="H376" s="15" t="s">
        <v>1023</v>
      </c>
      <c r="I376" s="15" t="s">
        <v>1024</v>
      </c>
      <c r="J376" s="17">
        <v>1235000</v>
      </c>
      <c r="K376" s="15" t="s">
        <v>999</v>
      </c>
      <c r="L376" s="15" t="s">
        <v>300</v>
      </c>
      <c r="M376" s="15" t="s">
        <v>74</v>
      </c>
      <c r="N376" s="15" t="s">
        <v>1173</v>
      </c>
      <c r="O376" s="15">
        <v>23</v>
      </c>
      <c r="P376" s="15" t="s">
        <v>1263</v>
      </c>
      <c r="Q376" s="15" t="s">
        <v>1264</v>
      </c>
      <c r="R376" s="15"/>
    </row>
    <row r="377" spans="1:18" x14ac:dyDescent="0.35">
      <c r="A377" s="15" t="s">
        <v>1265</v>
      </c>
      <c r="B377" s="16">
        <v>45531</v>
      </c>
      <c r="C377" s="15" t="s">
        <v>1172</v>
      </c>
      <c r="D377" s="15">
        <v>2024</v>
      </c>
      <c r="E377" s="15" t="s">
        <v>46</v>
      </c>
      <c r="F377" s="15" t="s">
        <v>131</v>
      </c>
      <c r="G377" s="15" t="s">
        <v>29</v>
      </c>
      <c r="H377" s="15" t="s">
        <v>285</v>
      </c>
      <c r="I377" s="15" t="s">
        <v>530</v>
      </c>
      <c r="J377" s="17">
        <v>100000</v>
      </c>
      <c r="K377" s="15" t="s">
        <v>935</v>
      </c>
      <c r="L377" s="15" t="s">
        <v>300</v>
      </c>
      <c r="M377" s="15" t="s">
        <v>74</v>
      </c>
      <c r="N377" s="15" t="s">
        <v>1173</v>
      </c>
      <c r="O377" s="15">
        <v>26</v>
      </c>
      <c r="P377" s="15" t="s">
        <v>1266</v>
      </c>
      <c r="Q377" s="15"/>
      <c r="R377" s="15"/>
    </row>
    <row r="378" spans="1:18" x14ac:dyDescent="0.35">
      <c r="A378" s="15" t="s">
        <v>1267</v>
      </c>
      <c r="B378" s="16">
        <v>45532</v>
      </c>
      <c r="C378" s="15" t="s">
        <v>1172</v>
      </c>
      <c r="D378" s="15">
        <v>2024</v>
      </c>
      <c r="E378" s="15" t="s">
        <v>46</v>
      </c>
      <c r="F378" s="15" t="s">
        <v>131</v>
      </c>
      <c r="G378" s="15" t="s">
        <v>30</v>
      </c>
      <c r="H378" s="15" t="s">
        <v>713</v>
      </c>
      <c r="I378" s="15" t="s">
        <v>714</v>
      </c>
      <c r="J378" s="17">
        <v>300000</v>
      </c>
      <c r="K378" s="15" t="s">
        <v>999</v>
      </c>
      <c r="L378" s="15" t="s">
        <v>300</v>
      </c>
      <c r="M378" s="15" t="s">
        <v>74</v>
      </c>
      <c r="N378" s="15" t="s">
        <v>1173</v>
      </c>
      <c r="O378" s="15">
        <v>24</v>
      </c>
      <c r="P378" s="15" t="s">
        <v>1268</v>
      </c>
      <c r="Q378" s="15" t="s">
        <v>1269</v>
      </c>
      <c r="R378" s="15"/>
    </row>
    <row r="379" spans="1:18" x14ac:dyDescent="0.35">
      <c r="A379" s="15" t="s">
        <v>1270</v>
      </c>
      <c r="B379" s="16">
        <v>45532</v>
      </c>
      <c r="C379" s="15" t="s">
        <v>1172</v>
      </c>
      <c r="D379" s="15">
        <v>2024</v>
      </c>
      <c r="E379" s="15" t="s">
        <v>46</v>
      </c>
      <c r="F379" s="15" t="s">
        <v>131</v>
      </c>
      <c r="G379" s="15" t="s">
        <v>32</v>
      </c>
      <c r="H379" s="15" t="s">
        <v>1241</v>
      </c>
      <c r="I379" s="15" t="s">
        <v>1242</v>
      </c>
      <c r="J379" s="17">
        <v>2000000</v>
      </c>
      <c r="K379" s="15" t="s">
        <v>935</v>
      </c>
      <c r="L379" s="15" t="s">
        <v>300</v>
      </c>
      <c r="M379" s="15" t="s">
        <v>74</v>
      </c>
      <c r="N379" s="15" t="s">
        <v>1173</v>
      </c>
      <c r="O379" s="15">
        <v>27</v>
      </c>
      <c r="P379" s="15" t="s">
        <v>1268</v>
      </c>
      <c r="Q379" s="15"/>
      <c r="R379" s="15"/>
    </row>
    <row r="380" spans="1:18" x14ac:dyDescent="0.35">
      <c r="A380" s="15" t="s">
        <v>1271</v>
      </c>
      <c r="B380" s="16">
        <v>45532</v>
      </c>
      <c r="C380" s="15" t="s">
        <v>1172</v>
      </c>
      <c r="D380" s="15">
        <v>2024</v>
      </c>
      <c r="E380" s="15" t="s">
        <v>46</v>
      </c>
      <c r="F380" s="15" t="s">
        <v>131</v>
      </c>
      <c r="G380" s="15" t="s">
        <v>32</v>
      </c>
      <c r="H380" s="15" t="s">
        <v>1272</v>
      </c>
      <c r="I380" s="15" t="s">
        <v>1273</v>
      </c>
      <c r="J380" s="17">
        <v>500000</v>
      </c>
      <c r="K380" s="15" t="s">
        <v>999</v>
      </c>
      <c r="L380" s="15" t="s">
        <v>300</v>
      </c>
      <c r="M380" s="15" t="s">
        <v>74</v>
      </c>
      <c r="N380" s="15" t="s">
        <v>1173</v>
      </c>
      <c r="O380" s="15">
        <v>25</v>
      </c>
      <c r="P380" s="15" t="s">
        <v>1268</v>
      </c>
      <c r="Q380" s="15" t="s">
        <v>1274</v>
      </c>
      <c r="R380" s="15"/>
    </row>
    <row r="381" spans="1:18" x14ac:dyDescent="0.35">
      <c r="A381" s="15" t="s">
        <v>1275</v>
      </c>
      <c r="B381" s="16">
        <v>45533</v>
      </c>
      <c r="C381" s="15" t="s">
        <v>1172</v>
      </c>
      <c r="D381" s="15">
        <v>2024</v>
      </c>
      <c r="E381" s="15" t="s">
        <v>46</v>
      </c>
      <c r="F381" s="15" t="s">
        <v>131</v>
      </c>
      <c r="G381" s="15" t="s">
        <v>32</v>
      </c>
      <c r="H381" s="15" t="s">
        <v>1147</v>
      </c>
      <c r="I381" s="15" t="s">
        <v>1148</v>
      </c>
      <c r="J381" s="17">
        <v>1000000</v>
      </c>
      <c r="K381" s="15" t="s">
        <v>935</v>
      </c>
      <c r="L381" s="15" t="s">
        <v>300</v>
      </c>
      <c r="M381" s="15" t="s">
        <v>74</v>
      </c>
      <c r="N381" s="15" t="s">
        <v>1173</v>
      </c>
      <c r="O381" s="15">
        <v>28</v>
      </c>
      <c r="P381" s="15" t="s">
        <v>1276</v>
      </c>
      <c r="Q381" s="15" t="s">
        <v>1277</v>
      </c>
      <c r="R381" s="15"/>
    </row>
    <row r="382" spans="1:18" x14ac:dyDescent="0.35">
      <c r="A382" s="15" t="s">
        <v>1278</v>
      </c>
      <c r="B382" s="16">
        <v>45534</v>
      </c>
      <c r="C382" s="15" t="s">
        <v>1172</v>
      </c>
      <c r="D382" s="15">
        <v>2024</v>
      </c>
      <c r="E382" s="15" t="s">
        <v>46</v>
      </c>
      <c r="F382" s="15" t="s">
        <v>131</v>
      </c>
      <c r="G382" s="15" t="s">
        <v>32</v>
      </c>
      <c r="H382" s="15" t="s">
        <v>1272</v>
      </c>
      <c r="I382" s="15" t="s">
        <v>1273</v>
      </c>
      <c r="J382" s="17">
        <v>1000000</v>
      </c>
      <c r="K382" s="15" t="s">
        <v>999</v>
      </c>
      <c r="L382" s="15" t="s">
        <v>300</v>
      </c>
      <c r="M382" s="15" t="s">
        <v>74</v>
      </c>
      <c r="N382" s="15" t="s">
        <v>1173</v>
      </c>
      <c r="O382" s="15">
        <v>27</v>
      </c>
      <c r="P382" s="15" t="s">
        <v>1279</v>
      </c>
      <c r="Q382" s="15" t="s">
        <v>1280</v>
      </c>
      <c r="R382" s="15"/>
    </row>
    <row r="383" spans="1:18" x14ac:dyDescent="0.35">
      <c r="A383" s="15" t="s">
        <v>1281</v>
      </c>
      <c r="B383" s="16">
        <v>45534</v>
      </c>
      <c r="C383" s="15" t="s">
        <v>1172</v>
      </c>
      <c r="D383" s="15">
        <v>2024</v>
      </c>
      <c r="E383" s="15" t="s">
        <v>46</v>
      </c>
      <c r="F383" s="15" t="s">
        <v>131</v>
      </c>
      <c r="G383" s="15" t="s">
        <v>29</v>
      </c>
      <c r="H383" s="15" t="s">
        <v>285</v>
      </c>
      <c r="I383" s="15" t="s">
        <v>530</v>
      </c>
      <c r="J383" s="17">
        <v>61000</v>
      </c>
      <c r="K383" s="15" t="s">
        <v>935</v>
      </c>
      <c r="L383" s="15" t="s">
        <v>300</v>
      </c>
      <c r="M383" s="15" t="s">
        <v>74</v>
      </c>
      <c r="N383" s="15" t="s">
        <v>1173</v>
      </c>
      <c r="O383" s="15">
        <v>29</v>
      </c>
      <c r="P383" s="15" t="s">
        <v>1279</v>
      </c>
      <c r="Q383" s="15"/>
      <c r="R383" s="15"/>
    </row>
    <row r="384" spans="1:18" x14ac:dyDescent="0.35">
      <c r="A384" s="15" t="s">
        <v>1282</v>
      </c>
      <c r="B384" s="16">
        <v>45534</v>
      </c>
      <c r="C384" s="15" t="s">
        <v>1172</v>
      </c>
      <c r="D384" s="15">
        <v>2024</v>
      </c>
      <c r="E384" s="15" t="s">
        <v>46</v>
      </c>
      <c r="F384" s="15" t="s">
        <v>131</v>
      </c>
      <c r="G384" s="15" t="s">
        <v>30</v>
      </c>
      <c r="H384" s="15" t="s">
        <v>208</v>
      </c>
      <c r="I384" s="15" t="s">
        <v>257</v>
      </c>
      <c r="J384" s="17">
        <v>1000000</v>
      </c>
      <c r="K384" s="15" t="s">
        <v>935</v>
      </c>
      <c r="L384" s="15" t="s">
        <v>300</v>
      </c>
      <c r="M384" s="15" t="s">
        <v>74</v>
      </c>
      <c r="N384" s="15" t="s">
        <v>1173</v>
      </c>
      <c r="O384" s="15">
        <v>30</v>
      </c>
      <c r="P384" s="15" t="s">
        <v>1279</v>
      </c>
      <c r="Q384" s="15" t="s">
        <v>1283</v>
      </c>
      <c r="R384" s="15"/>
    </row>
    <row r="385" spans="1:18" x14ac:dyDescent="0.35">
      <c r="A385" s="15" t="s">
        <v>1284</v>
      </c>
      <c r="B385" s="16">
        <v>45535</v>
      </c>
      <c r="C385" s="15" t="s">
        <v>1172</v>
      </c>
      <c r="D385" s="15">
        <v>2024</v>
      </c>
      <c r="E385" s="15" t="s">
        <v>46</v>
      </c>
      <c r="F385" s="15" t="s">
        <v>131</v>
      </c>
      <c r="G385" s="15" t="s">
        <v>32</v>
      </c>
      <c r="H385" s="15" t="s">
        <v>1272</v>
      </c>
      <c r="I385" s="15" t="s">
        <v>1273</v>
      </c>
      <c r="J385" s="17">
        <v>1000000</v>
      </c>
      <c r="K385" s="15" t="s">
        <v>999</v>
      </c>
      <c r="L385" s="15" t="s">
        <v>300</v>
      </c>
      <c r="M385" s="15" t="s">
        <v>74</v>
      </c>
      <c r="N385" s="15" t="s">
        <v>1173</v>
      </c>
      <c r="O385" s="15">
        <v>28</v>
      </c>
      <c r="P385" s="15" t="s">
        <v>1285</v>
      </c>
      <c r="Q385" s="15" t="s">
        <v>1286</v>
      </c>
      <c r="R385" s="15"/>
    </row>
    <row r="386" spans="1:18" x14ac:dyDescent="0.35">
      <c r="A386" s="15" t="s">
        <v>1287</v>
      </c>
      <c r="B386" s="16">
        <v>45535</v>
      </c>
      <c r="C386" s="15" t="s">
        <v>1172</v>
      </c>
      <c r="D386" s="15">
        <v>2024</v>
      </c>
      <c r="E386" s="15" t="s">
        <v>46</v>
      </c>
      <c r="F386" s="15" t="s">
        <v>982</v>
      </c>
      <c r="G386" s="15" t="s">
        <v>37</v>
      </c>
      <c r="H386" s="15" t="s">
        <v>879</v>
      </c>
      <c r="I386" s="15" t="s">
        <v>880</v>
      </c>
      <c r="J386" s="17">
        <v>135000</v>
      </c>
      <c r="K386" s="15" t="s">
        <v>935</v>
      </c>
      <c r="L386" s="15" t="s">
        <v>300</v>
      </c>
      <c r="M386" s="15" t="s">
        <v>74</v>
      </c>
      <c r="N386" s="15" t="s">
        <v>1173</v>
      </c>
      <c r="O386" s="15">
        <v>31</v>
      </c>
      <c r="P386" s="15" t="s">
        <v>1285</v>
      </c>
      <c r="Q386" s="15"/>
      <c r="R386" s="15"/>
    </row>
    <row r="387" spans="1:18" x14ac:dyDescent="0.35">
      <c r="A387" s="15" t="s">
        <v>1288</v>
      </c>
      <c r="B387" s="16">
        <v>45536</v>
      </c>
      <c r="C387" s="15" t="s">
        <v>1289</v>
      </c>
      <c r="D387" s="15">
        <v>2024</v>
      </c>
      <c r="E387" s="15" t="s">
        <v>46</v>
      </c>
      <c r="F387" s="15" t="s">
        <v>131</v>
      </c>
      <c r="G387" s="15" t="s">
        <v>32</v>
      </c>
      <c r="H387" s="15" t="s">
        <v>1272</v>
      </c>
      <c r="I387" s="15" t="s">
        <v>1273</v>
      </c>
      <c r="J387" s="17">
        <v>1000000</v>
      </c>
      <c r="K387" s="15" t="s">
        <v>999</v>
      </c>
      <c r="L387" s="15" t="s">
        <v>300</v>
      </c>
      <c r="M387" s="15" t="s">
        <v>74</v>
      </c>
      <c r="N387" s="15" t="s">
        <v>1290</v>
      </c>
      <c r="O387" s="15">
        <v>7</v>
      </c>
      <c r="P387" s="15" t="s">
        <v>1291</v>
      </c>
      <c r="Q387" s="15" t="s">
        <v>1292</v>
      </c>
      <c r="R387" s="15"/>
    </row>
    <row r="388" spans="1:18" x14ac:dyDescent="0.35">
      <c r="A388" s="15" t="s">
        <v>1293</v>
      </c>
      <c r="B388" s="16">
        <v>45537</v>
      </c>
      <c r="C388" s="15" t="s">
        <v>1289</v>
      </c>
      <c r="D388" s="15">
        <v>2024</v>
      </c>
      <c r="E388" s="15" t="s">
        <v>46</v>
      </c>
      <c r="F388" s="15" t="s">
        <v>131</v>
      </c>
      <c r="G388" s="15" t="s">
        <v>32</v>
      </c>
      <c r="H388" s="15" t="s">
        <v>184</v>
      </c>
      <c r="I388" s="15" t="s">
        <v>216</v>
      </c>
      <c r="J388" s="17">
        <v>500000</v>
      </c>
      <c r="K388" s="15" t="s">
        <v>935</v>
      </c>
      <c r="L388" s="15" t="s">
        <v>300</v>
      </c>
      <c r="M388" s="15" t="s">
        <v>74</v>
      </c>
      <c r="N388" s="15" t="s">
        <v>1290</v>
      </c>
      <c r="O388" s="15">
        <v>7</v>
      </c>
      <c r="P388" s="15" t="s">
        <v>1294</v>
      </c>
      <c r="Q388" s="15" t="s">
        <v>1295</v>
      </c>
      <c r="R388" s="15"/>
    </row>
    <row r="389" spans="1:18" x14ac:dyDescent="0.35">
      <c r="A389" s="15" t="s">
        <v>1296</v>
      </c>
      <c r="B389" s="16">
        <v>45538</v>
      </c>
      <c r="C389" s="15" t="s">
        <v>1289</v>
      </c>
      <c r="D389" s="15">
        <v>2024</v>
      </c>
      <c r="E389" s="15" t="s">
        <v>46</v>
      </c>
      <c r="F389" s="15" t="s">
        <v>131</v>
      </c>
      <c r="G389" s="15" t="s">
        <v>32</v>
      </c>
      <c r="H389" s="15" t="s">
        <v>1297</v>
      </c>
      <c r="I389" s="15" t="s">
        <v>1298</v>
      </c>
      <c r="J389" s="17">
        <v>1000000</v>
      </c>
      <c r="K389" s="15" t="s">
        <v>935</v>
      </c>
      <c r="L389" s="15" t="s">
        <v>300</v>
      </c>
      <c r="M389" s="15" t="s">
        <v>74</v>
      </c>
      <c r="N389" s="15" t="s">
        <v>1290</v>
      </c>
      <c r="O389" s="15">
        <v>8</v>
      </c>
      <c r="P389" s="15" t="s">
        <v>1299</v>
      </c>
      <c r="Q389" s="15" t="s">
        <v>1300</v>
      </c>
      <c r="R389" s="15"/>
    </row>
    <row r="390" spans="1:18" x14ac:dyDescent="0.35">
      <c r="A390" s="15" t="s">
        <v>1301</v>
      </c>
      <c r="B390" s="16">
        <v>45539</v>
      </c>
      <c r="C390" s="15" t="s">
        <v>1289</v>
      </c>
      <c r="D390" s="15">
        <v>2024</v>
      </c>
      <c r="E390" s="15" t="s">
        <v>46</v>
      </c>
      <c r="F390" s="15" t="s">
        <v>131</v>
      </c>
      <c r="G390" s="15" t="s">
        <v>30</v>
      </c>
      <c r="H390" s="15" t="s">
        <v>362</v>
      </c>
      <c r="I390" s="15" t="s">
        <v>1051</v>
      </c>
      <c r="J390" s="17">
        <v>2000000</v>
      </c>
      <c r="K390" s="15" t="s">
        <v>935</v>
      </c>
      <c r="L390" s="15" t="s">
        <v>300</v>
      </c>
      <c r="M390" s="15" t="s">
        <v>74</v>
      </c>
      <c r="N390" s="15" t="s">
        <v>1290</v>
      </c>
      <c r="O390" s="15">
        <v>9</v>
      </c>
      <c r="P390" s="15" t="s">
        <v>1302</v>
      </c>
      <c r="Q390" s="15" t="s">
        <v>1303</v>
      </c>
      <c r="R390" s="15"/>
    </row>
    <row r="391" spans="1:18" x14ac:dyDescent="0.35">
      <c r="A391" s="15" t="s">
        <v>1304</v>
      </c>
      <c r="B391" s="16">
        <v>45540</v>
      </c>
      <c r="C391" s="15" t="s">
        <v>1289</v>
      </c>
      <c r="D391" s="15">
        <v>2024</v>
      </c>
      <c r="E391" s="15" t="s">
        <v>46</v>
      </c>
      <c r="F391" s="15" t="s">
        <v>131</v>
      </c>
      <c r="G391" s="15" t="s">
        <v>32</v>
      </c>
      <c r="H391" s="15" t="s">
        <v>1272</v>
      </c>
      <c r="I391" s="15" t="s">
        <v>1273</v>
      </c>
      <c r="J391" s="17">
        <v>1000000</v>
      </c>
      <c r="K391" s="15" t="s">
        <v>999</v>
      </c>
      <c r="L391" s="15" t="s">
        <v>300</v>
      </c>
      <c r="M391" s="15" t="s">
        <v>74</v>
      </c>
      <c r="N391" s="15" t="s">
        <v>1290</v>
      </c>
      <c r="O391" s="15">
        <v>8</v>
      </c>
      <c r="P391" s="15" t="s">
        <v>1305</v>
      </c>
      <c r="Q391" s="15" t="s">
        <v>1306</v>
      </c>
      <c r="R391" s="15"/>
    </row>
    <row r="392" spans="1:18" x14ac:dyDescent="0.35">
      <c r="A392" s="15" t="s">
        <v>1307</v>
      </c>
      <c r="B392" s="16">
        <v>45540</v>
      </c>
      <c r="C392" s="15" t="s">
        <v>1289</v>
      </c>
      <c r="D392" s="15">
        <v>2024</v>
      </c>
      <c r="E392" s="15" t="s">
        <v>46</v>
      </c>
      <c r="F392" s="15" t="s">
        <v>982</v>
      </c>
      <c r="G392" s="15" t="s">
        <v>37</v>
      </c>
      <c r="H392" s="15" t="s">
        <v>352</v>
      </c>
      <c r="I392" s="15" t="s">
        <v>688</v>
      </c>
      <c r="J392" s="17">
        <v>135000</v>
      </c>
      <c r="K392" s="15" t="s">
        <v>935</v>
      </c>
      <c r="L392" s="15" t="s">
        <v>300</v>
      </c>
      <c r="M392" s="15" t="s">
        <v>74</v>
      </c>
      <c r="N392" s="15" t="s">
        <v>1290</v>
      </c>
      <c r="O392" s="15">
        <v>10</v>
      </c>
      <c r="P392" s="15" t="s">
        <v>1305</v>
      </c>
      <c r="Q392" s="15"/>
      <c r="R392" s="15"/>
    </row>
    <row r="393" spans="1:18" x14ac:dyDescent="0.35">
      <c r="A393" s="15" t="s">
        <v>1308</v>
      </c>
      <c r="B393" s="16">
        <v>45540</v>
      </c>
      <c r="C393" s="15" t="s">
        <v>1289</v>
      </c>
      <c r="D393" s="15">
        <v>2024</v>
      </c>
      <c r="E393" s="15" t="s">
        <v>46</v>
      </c>
      <c r="F393" s="15" t="s">
        <v>131</v>
      </c>
      <c r="G393" s="15" t="s">
        <v>30</v>
      </c>
      <c r="H393" s="15" t="s">
        <v>203</v>
      </c>
      <c r="I393" s="15" t="s">
        <v>204</v>
      </c>
      <c r="J393" s="17">
        <v>200000</v>
      </c>
      <c r="K393" s="15" t="s">
        <v>935</v>
      </c>
      <c r="L393" s="15" t="s">
        <v>300</v>
      </c>
      <c r="M393" s="15" t="s">
        <v>74</v>
      </c>
      <c r="N393" s="15" t="s">
        <v>1290</v>
      </c>
      <c r="O393" s="15">
        <v>11</v>
      </c>
      <c r="P393" s="15" t="s">
        <v>1305</v>
      </c>
      <c r="Q393" s="15" t="s">
        <v>1309</v>
      </c>
      <c r="R393" s="15"/>
    </row>
    <row r="394" spans="1:18" x14ac:dyDescent="0.35">
      <c r="A394" s="15" t="s">
        <v>1310</v>
      </c>
      <c r="B394" s="16">
        <v>45540</v>
      </c>
      <c r="C394" s="15" t="s">
        <v>1289</v>
      </c>
      <c r="D394" s="15">
        <v>2024</v>
      </c>
      <c r="E394" s="15" t="s">
        <v>46</v>
      </c>
      <c r="F394" s="15" t="s">
        <v>982</v>
      </c>
      <c r="G394" s="15" t="s">
        <v>38</v>
      </c>
      <c r="H394" s="15" t="s">
        <v>203</v>
      </c>
      <c r="I394" s="15" t="s">
        <v>204</v>
      </c>
      <c r="J394" s="17">
        <v>50000</v>
      </c>
      <c r="K394" s="15" t="s">
        <v>935</v>
      </c>
      <c r="L394" s="15" t="s">
        <v>300</v>
      </c>
      <c r="M394" s="15" t="s">
        <v>74</v>
      </c>
      <c r="N394" s="15" t="s">
        <v>1290</v>
      </c>
      <c r="O394" s="15">
        <v>12</v>
      </c>
      <c r="P394" s="15" t="s">
        <v>1305</v>
      </c>
      <c r="Q394" s="15"/>
      <c r="R394" s="15"/>
    </row>
    <row r="395" spans="1:18" x14ac:dyDescent="0.35">
      <c r="A395" s="15" t="s">
        <v>1311</v>
      </c>
      <c r="B395" s="16">
        <v>45540</v>
      </c>
      <c r="C395" s="15" t="s">
        <v>1289</v>
      </c>
      <c r="D395" s="15">
        <v>2024</v>
      </c>
      <c r="E395" s="15" t="s">
        <v>46</v>
      </c>
      <c r="F395" s="15" t="s">
        <v>131</v>
      </c>
      <c r="G395" s="15" t="s">
        <v>29</v>
      </c>
      <c r="H395" s="15" t="s">
        <v>1010</v>
      </c>
      <c r="I395" s="15" t="s">
        <v>1133</v>
      </c>
      <c r="J395" s="17">
        <v>1220000</v>
      </c>
      <c r="K395" s="15" t="s">
        <v>999</v>
      </c>
      <c r="L395" s="15" t="s">
        <v>300</v>
      </c>
      <c r="M395" s="15" t="s">
        <v>74</v>
      </c>
      <c r="N395" s="15" t="s">
        <v>1290</v>
      </c>
      <c r="O395" s="15">
        <v>9</v>
      </c>
      <c r="P395" s="15" t="s">
        <v>1305</v>
      </c>
      <c r="Q395" s="15" t="s">
        <v>1312</v>
      </c>
      <c r="R395" s="15"/>
    </row>
    <row r="396" spans="1:18" x14ac:dyDescent="0.35">
      <c r="A396" s="15" t="s">
        <v>1313</v>
      </c>
      <c r="B396" s="16">
        <v>45541</v>
      </c>
      <c r="C396" s="15" t="s">
        <v>1289</v>
      </c>
      <c r="D396" s="15">
        <v>2024</v>
      </c>
      <c r="E396" s="15" t="s">
        <v>46</v>
      </c>
      <c r="F396" s="15" t="s">
        <v>131</v>
      </c>
      <c r="G396" s="15" t="s">
        <v>32</v>
      </c>
      <c r="H396" s="15" t="s">
        <v>1147</v>
      </c>
      <c r="I396" s="15" t="s">
        <v>1148</v>
      </c>
      <c r="J396" s="17">
        <v>1000000</v>
      </c>
      <c r="K396" s="15" t="s">
        <v>935</v>
      </c>
      <c r="L396" s="15" t="s">
        <v>300</v>
      </c>
      <c r="M396" s="15" t="s">
        <v>74</v>
      </c>
      <c r="N396" s="15" t="s">
        <v>1290</v>
      </c>
      <c r="O396" s="15">
        <v>13</v>
      </c>
      <c r="P396" s="15" t="s">
        <v>1314</v>
      </c>
      <c r="Q396" s="15" t="s">
        <v>1315</v>
      </c>
      <c r="R396" s="15"/>
    </row>
    <row r="397" spans="1:18" x14ac:dyDescent="0.35">
      <c r="A397" s="15" t="s">
        <v>1316</v>
      </c>
      <c r="B397" s="16">
        <v>45543</v>
      </c>
      <c r="C397" s="15" t="s">
        <v>1289</v>
      </c>
      <c r="D397" s="15">
        <v>2024</v>
      </c>
      <c r="E397" s="15" t="s">
        <v>46</v>
      </c>
      <c r="F397" s="15" t="s">
        <v>131</v>
      </c>
      <c r="G397" s="15" t="s">
        <v>32</v>
      </c>
      <c r="H397" s="15" t="s">
        <v>1317</v>
      </c>
      <c r="I397" s="15" t="s">
        <v>1318</v>
      </c>
      <c r="J397" s="17">
        <v>1000000</v>
      </c>
      <c r="K397" s="15" t="s">
        <v>935</v>
      </c>
      <c r="L397" s="15" t="s">
        <v>300</v>
      </c>
      <c r="M397" s="15" t="s">
        <v>74</v>
      </c>
      <c r="N397" s="15" t="s">
        <v>1290</v>
      </c>
      <c r="O397" s="15">
        <v>15</v>
      </c>
      <c r="P397" s="15" t="s">
        <v>1319</v>
      </c>
      <c r="Q397" s="15" t="s">
        <v>1320</v>
      </c>
      <c r="R397" s="15"/>
    </row>
    <row r="398" spans="1:18" x14ac:dyDescent="0.35">
      <c r="A398" s="15" t="s">
        <v>1321</v>
      </c>
      <c r="B398" s="16">
        <v>45544</v>
      </c>
      <c r="C398" s="15" t="s">
        <v>1289</v>
      </c>
      <c r="D398" s="15">
        <v>2024</v>
      </c>
      <c r="E398" s="15" t="s">
        <v>46</v>
      </c>
      <c r="F398" s="15" t="s">
        <v>131</v>
      </c>
      <c r="G398" s="15" t="s">
        <v>32</v>
      </c>
      <c r="H398" s="15" t="s">
        <v>1317</v>
      </c>
      <c r="I398" s="15" t="s">
        <v>1318</v>
      </c>
      <c r="J398" s="17">
        <v>1000000</v>
      </c>
      <c r="K398" s="15" t="s">
        <v>935</v>
      </c>
      <c r="L398" s="15" t="s">
        <v>300</v>
      </c>
      <c r="M398" s="15" t="s">
        <v>74</v>
      </c>
      <c r="N398" s="15" t="s">
        <v>1290</v>
      </c>
      <c r="O398" s="15">
        <v>18</v>
      </c>
      <c r="P398" s="15" t="s">
        <v>1322</v>
      </c>
      <c r="Q398" s="15" t="s">
        <v>1323</v>
      </c>
      <c r="R398" s="15"/>
    </row>
    <row r="399" spans="1:18" x14ac:dyDescent="0.35">
      <c r="A399" s="15" t="s">
        <v>1324</v>
      </c>
      <c r="B399" s="16">
        <v>45544</v>
      </c>
      <c r="C399" s="15" t="s">
        <v>1289</v>
      </c>
      <c r="D399" s="15">
        <v>2024</v>
      </c>
      <c r="E399" s="15" t="s">
        <v>46</v>
      </c>
      <c r="F399" s="15" t="s">
        <v>131</v>
      </c>
      <c r="G399" s="15" t="s">
        <v>32</v>
      </c>
      <c r="H399" s="15" t="s">
        <v>1297</v>
      </c>
      <c r="I399" s="15" t="s">
        <v>1298</v>
      </c>
      <c r="J399" s="17">
        <v>3500000</v>
      </c>
      <c r="K399" s="15" t="s">
        <v>935</v>
      </c>
      <c r="L399" s="15" t="s">
        <v>300</v>
      </c>
      <c r="M399" s="15" t="s">
        <v>74</v>
      </c>
      <c r="N399" s="15" t="s">
        <v>1290</v>
      </c>
      <c r="O399" s="15">
        <v>16</v>
      </c>
      <c r="P399" s="15" t="s">
        <v>1322</v>
      </c>
      <c r="Q399" s="15" t="s">
        <v>1325</v>
      </c>
      <c r="R399" s="15"/>
    </row>
    <row r="400" spans="1:18" x14ac:dyDescent="0.35">
      <c r="A400" s="15" t="s">
        <v>1326</v>
      </c>
      <c r="B400" s="16">
        <v>45544</v>
      </c>
      <c r="C400" s="15" t="s">
        <v>1289</v>
      </c>
      <c r="D400" s="15">
        <v>2024</v>
      </c>
      <c r="E400" s="15" t="s">
        <v>46</v>
      </c>
      <c r="F400" s="15" t="s">
        <v>131</v>
      </c>
      <c r="G400" s="15" t="s">
        <v>30</v>
      </c>
      <c r="H400" s="15" t="s">
        <v>988</v>
      </c>
      <c r="I400" s="15" t="s">
        <v>1327</v>
      </c>
      <c r="J400" s="17">
        <v>550000</v>
      </c>
      <c r="K400" s="15" t="s">
        <v>935</v>
      </c>
      <c r="L400" s="15" t="s">
        <v>300</v>
      </c>
      <c r="M400" s="15" t="s">
        <v>74</v>
      </c>
      <c r="N400" s="15" t="s">
        <v>1290</v>
      </c>
      <c r="O400" s="15">
        <v>17</v>
      </c>
      <c r="P400" s="15" t="s">
        <v>1322</v>
      </c>
      <c r="Q400" s="15"/>
      <c r="R400" s="15"/>
    </row>
    <row r="401" spans="1:18" x14ac:dyDescent="0.35">
      <c r="A401" s="15" t="s">
        <v>1328</v>
      </c>
      <c r="B401" s="16">
        <v>45545</v>
      </c>
      <c r="C401" s="15" t="s">
        <v>1289</v>
      </c>
      <c r="D401" s="15">
        <v>2024</v>
      </c>
      <c r="E401" s="15" t="s">
        <v>46</v>
      </c>
      <c r="F401" s="15" t="s">
        <v>131</v>
      </c>
      <c r="G401" s="15" t="s">
        <v>32</v>
      </c>
      <c r="H401" s="15" t="s">
        <v>1241</v>
      </c>
      <c r="I401" s="15" t="s">
        <v>1242</v>
      </c>
      <c r="J401" s="17">
        <v>1300000</v>
      </c>
      <c r="K401" s="15" t="s">
        <v>935</v>
      </c>
      <c r="L401" s="15" t="s">
        <v>300</v>
      </c>
      <c r="M401" s="15" t="s">
        <v>74</v>
      </c>
      <c r="N401" s="15" t="s">
        <v>1290</v>
      </c>
      <c r="O401" s="15">
        <v>19</v>
      </c>
      <c r="P401" s="15" t="s">
        <v>1329</v>
      </c>
      <c r="Q401" s="15"/>
      <c r="R401" s="15"/>
    </row>
    <row r="402" spans="1:18" x14ac:dyDescent="0.35">
      <c r="A402" s="15" t="s">
        <v>1330</v>
      </c>
      <c r="B402" s="16">
        <v>45548</v>
      </c>
      <c r="C402" s="15" t="s">
        <v>1289</v>
      </c>
      <c r="D402" s="15">
        <v>2024</v>
      </c>
      <c r="E402" s="15" t="s">
        <v>46</v>
      </c>
      <c r="F402" s="15" t="s">
        <v>131</v>
      </c>
      <c r="G402" s="15" t="s">
        <v>32</v>
      </c>
      <c r="H402" s="15" t="s">
        <v>1331</v>
      </c>
      <c r="I402" s="15" t="s">
        <v>1332</v>
      </c>
      <c r="J402" s="17">
        <v>2600000</v>
      </c>
      <c r="K402" s="15" t="s">
        <v>935</v>
      </c>
      <c r="L402" s="15" t="s">
        <v>300</v>
      </c>
      <c r="M402" s="15" t="s">
        <v>74</v>
      </c>
      <c r="N402" s="15" t="s">
        <v>1290</v>
      </c>
      <c r="O402" s="15">
        <v>20</v>
      </c>
      <c r="P402" s="15" t="s">
        <v>1333</v>
      </c>
      <c r="Q402" s="15" t="s">
        <v>1334</v>
      </c>
      <c r="R402" s="15"/>
    </row>
    <row r="403" spans="1:18" x14ac:dyDescent="0.35">
      <c r="A403" s="15" t="s">
        <v>1335</v>
      </c>
      <c r="B403" s="16">
        <v>45548</v>
      </c>
      <c r="C403" s="15" t="s">
        <v>1289</v>
      </c>
      <c r="D403" s="15">
        <v>2024</v>
      </c>
      <c r="E403" s="15" t="s">
        <v>46</v>
      </c>
      <c r="F403" s="15" t="s">
        <v>982</v>
      </c>
      <c r="G403" s="15" t="s">
        <v>37</v>
      </c>
      <c r="H403" s="15" t="s">
        <v>1010</v>
      </c>
      <c r="I403" s="15" t="s">
        <v>1133</v>
      </c>
      <c r="J403" s="17">
        <v>135000</v>
      </c>
      <c r="K403" s="15" t="s">
        <v>999</v>
      </c>
      <c r="L403" s="15" t="s">
        <v>300</v>
      </c>
      <c r="M403" s="15" t="s">
        <v>74</v>
      </c>
      <c r="N403" s="15" t="s">
        <v>1290</v>
      </c>
      <c r="O403" s="15">
        <v>11</v>
      </c>
      <c r="P403" s="15" t="s">
        <v>1333</v>
      </c>
      <c r="Q403" s="15"/>
      <c r="R403" s="15"/>
    </row>
    <row r="404" spans="1:18" x14ac:dyDescent="0.35">
      <c r="A404" s="15" t="s">
        <v>1336</v>
      </c>
      <c r="B404" s="16">
        <v>45551</v>
      </c>
      <c r="C404" s="15" t="s">
        <v>1289</v>
      </c>
      <c r="D404" s="15">
        <v>2024</v>
      </c>
      <c r="E404" s="15" t="s">
        <v>46</v>
      </c>
      <c r="F404" s="15" t="s">
        <v>982</v>
      </c>
      <c r="G404" s="15" t="s">
        <v>37</v>
      </c>
      <c r="H404" s="15" t="s">
        <v>1023</v>
      </c>
      <c r="I404" s="15" t="s">
        <v>1024</v>
      </c>
      <c r="J404" s="17">
        <v>135000</v>
      </c>
      <c r="K404" s="15" t="s">
        <v>935</v>
      </c>
      <c r="L404" s="15" t="s">
        <v>300</v>
      </c>
      <c r="M404" s="15" t="s">
        <v>74</v>
      </c>
      <c r="N404" s="15" t="s">
        <v>1290</v>
      </c>
      <c r="O404" s="15">
        <v>21</v>
      </c>
      <c r="P404" s="15" t="s">
        <v>1337</v>
      </c>
      <c r="Q404" s="15"/>
      <c r="R404" s="15"/>
    </row>
    <row r="405" spans="1:18" x14ac:dyDescent="0.35">
      <c r="A405" s="15" t="s">
        <v>1338</v>
      </c>
      <c r="B405" s="16">
        <v>45551</v>
      </c>
      <c r="C405" s="15" t="s">
        <v>1289</v>
      </c>
      <c r="D405" s="15">
        <v>2024</v>
      </c>
      <c r="E405" s="15" t="s">
        <v>46</v>
      </c>
      <c r="F405" s="15" t="s">
        <v>131</v>
      </c>
      <c r="G405" s="15" t="s">
        <v>32</v>
      </c>
      <c r="H405" s="15" t="s">
        <v>1236</v>
      </c>
      <c r="I405" s="15" t="s">
        <v>1237</v>
      </c>
      <c r="J405" s="17">
        <v>1100000</v>
      </c>
      <c r="K405" s="15" t="s">
        <v>935</v>
      </c>
      <c r="L405" s="15" t="s">
        <v>300</v>
      </c>
      <c r="M405" s="15" t="s">
        <v>74</v>
      </c>
      <c r="N405" s="15" t="s">
        <v>1290</v>
      </c>
      <c r="O405" s="15">
        <v>22</v>
      </c>
      <c r="P405" s="15" t="s">
        <v>1337</v>
      </c>
      <c r="Q405" s="15" t="s">
        <v>1339</v>
      </c>
      <c r="R405" s="15"/>
    </row>
    <row r="406" spans="1:18" x14ac:dyDescent="0.35">
      <c r="A406" s="15" t="s">
        <v>1340</v>
      </c>
      <c r="B406" s="16">
        <v>45552</v>
      </c>
      <c r="C406" s="15" t="s">
        <v>1289</v>
      </c>
      <c r="D406" s="15">
        <v>2024</v>
      </c>
      <c r="E406" s="15" t="s">
        <v>46</v>
      </c>
      <c r="F406" s="15" t="s">
        <v>131</v>
      </c>
      <c r="G406" s="15" t="s">
        <v>32</v>
      </c>
      <c r="H406" s="15" t="s">
        <v>1341</v>
      </c>
      <c r="I406" s="15" t="s">
        <v>1342</v>
      </c>
      <c r="J406" s="17">
        <v>200000</v>
      </c>
      <c r="K406" s="15" t="s">
        <v>935</v>
      </c>
      <c r="L406" s="15" t="s">
        <v>300</v>
      </c>
      <c r="M406" s="15" t="s">
        <v>74</v>
      </c>
      <c r="N406" s="15" t="s">
        <v>1290</v>
      </c>
      <c r="O406" s="15">
        <v>23</v>
      </c>
      <c r="P406" s="15" t="s">
        <v>1343</v>
      </c>
      <c r="Q406" s="15" t="s">
        <v>1344</v>
      </c>
      <c r="R406" s="15"/>
    </row>
    <row r="407" spans="1:18" x14ac:dyDescent="0.35">
      <c r="A407" s="15" t="s">
        <v>1345</v>
      </c>
      <c r="B407" s="16">
        <v>45552</v>
      </c>
      <c r="C407" s="15" t="s">
        <v>1289</v>
      </c>
      <c r="D407" s="15">
        <v>2024</v>
      </c>
      <c r="E407" s="15" t="s">
        <v>46</v>
      </c>
      <c r="F407" s="15" t="s">
        <v>131</v>
      </c>
      <c r="G407" s="15" t="s">
        <v>30</v>
      </c>
      <c r="H407" s="15" t="s">
        <v>1346</v>
      </c>
      <c r="I407" s="15" t="s">
        <v>1347</v>
      </c>
      <c r="J407" s="17">
        <v>12800000</v>
      </c>
      <c r="K407" s="15" t="s">
        <v>935</v>
      </c>
      <c r="L407" s="15" t="s">
        <v>300</v>
      </c>
      <c r="M407" s="15" t="s">
        <v>74</v>
      </c>
      <c r="N407" s="15" t="s">
        <v>1290</v>
      </c>
      <c r="O407" s="15">
        <v>24</v>
      </c>
      <c r="P407" s="15" t="s">
        <v>1343</v>
      </c>
      <c r="Q407" s="15"/>
      <c r="R407" s="15"/>
    </row>
    <row r="408" spans="1:18" x14ac:dyDescent="0.35">
      <c r="A408" s="15" t="s">
        <v>1348</v>
      </c>
      <c r="B408" s="16">
        <v>45553</v>
      </c>
      <c r="C408" s="15" t="s">
        <v>1289</v>
      </c>
      <c r="D408" s="15">
        <v>2024</v>
      </c>
      <c r="E408" s="15" t="s">
        <v>46</v>
      </c>
      <c r="F408" s="15" t="s">
        <v>982</v>
      </c>
      <c r="G408" s="15" t="s">
        <v>37</v>
      </c>
      <c r="H408" s="15" t="s">
        <v>988</v>
      </c>
      <c r="I408" s="15" t="s">
        <v>1327</v>
      </c>
      <c r="J408" s="17">
        <v>135000</v>
      </c>
      <c r="K408" s="15" t="s">
        <v>935</v>
      </c>
      <c r="L408" s="15" t="s">
        <v>300</v>
      </c>
      <c r="M408" s="15" t="s">
        <v>74</v>
      </c>
      <c r="N408" s="15" t="s">
        <v>1290</v>
      </c>
      <c r="O408" s="15">
        <v>25</v>
      </c>
      <c r="P408" s="15" t="s">
        <v>1349</v>
      </c>
      <c r="Q408" s="15"/>
      <c r="R408" s="15"/>
    </row>
    <row r="409" spans="1:18" x14ac:dyDescent="0.35">
      <c r="A409" s="15" t="s">
        <v>1350</v>
      </c>
      <c r="B409" s="16">
        <v>45554</v>
      </c>
      <c r="C409" s="15" t="s">
        <v>1289</v>
      </c>
      <c r="D409" s="15">
        <v>2024</v>
      </c>
      <c r="E409" s="15" t="s">
        <v>46</v>
      </c>
      <c r="F409" s="15" t="s">
        <v>982</v>
      </c>
      <c r="G409" s="15" t="s">
        <v>37</v>
      </c>
      <c r="H409" s="15" t="s">
        <v>636</v>
      </c>
      <c r="I409" s="15" t="s">
        <v>1351</v>
      </c>
      <c r="J409" s="17">
        <v>135000</v>
      </c>
      <c r="K409" s="15" t="s">
        <v>999</v>
      </c>
      <c r="L409" s="15" t="s">
        <v>300</v>
      </c>
      <c r="M409" s="15" t="s">
        <v>74</v>
      </c>
      <c r="N409" s="15" t="s">
        <v>1290</v>
      </c>
      <c r="O409" s="15">
        <v>13</v>
      </c>
      <c r="P409" s="15" t="s">
        <v>1352</v>
      </c>
      <c r="Q409" s="15"/>
      <c r="R409" s="15"/>
    </row>
    <row r="410" spans="1:18" x14ac:dyDescent="0.35">
      <c r="A410" s="15" t="s">
        <v>1353</v>
      </c>
      <c r="B410" s="16">
        <v>45554</v>
      </c>
      <c r="C410" s="15" t="s">
        <v>1289</v>
      </c>
      <c r="D410" s="15">
        <v>2024</v>
      </c>
      <c r="E410" s="15" t="s">
        <v>46</v>
      </c>
      <c r="F410" s="15" t="s">
        <v>982</v>
      </c>
      <c r="G410" s="15" t="s">
        <v>37</v>
      </c>
      <c r="H410" s="15" t="s">
        <v>770</v>
      </c>
      <c r="I410" s="15" t="s">
        <v>1354</v>
      </c>
      <c r="J410" s="17">
        <v>135000</v>
      </c>
      <c r="K410" s="15" t="s">
        <v>935</v>
      </c>
      <c r="L410" s="15" t="s">
        <v>300</v>
      </c>
      <c r="M410" s="15" t="s">
        <v>74</v>
      </c>
      <c r="N410" s="15" t="s">
        <v>1290</v>
      </c>
      <c r="O410" s="15">
        <v>26</v>
      </c>
      <c r="P410" s="15" t="s">
        <v>1352</v>
      </c>
      <c r="Q410" s="15"/>
      <c r="R410" s="15"/>
    </row>
    <row r="411" spans="1:18" x14ac:dyDescent="0.35">
      <c r="A411" s="15" t="s">
        <v>1355</v>
      </c>
      <c r="B411" s="16">
        <v>45554</v>
      </c>
      <c r="C411" s="15" t="s">
        <v>1289</v>
      </c>
      <c r="D411" s="15">
        <v>2024</v>
      </c>
      <c r="E411" s="15" t="s">
        <v>46</v>
      </c>
      <c r="F411" s="15" t="s">
        <v>982</v>
      </c>
      <c r="G411" s="15" t="s">
        <v>37</v>
      </c>
      <c r="H411" s="15" t="s">
        <v>650</v>
      </c>
      <c r="I411" s="15" t="s">
        <v>651</v>
      </c>
      <c r="J411" s="17">
        <v>135000</v>
      </c>
      <c r="K411" s="15" t="s">
        <v>999</v>
      </c>
      <c r="L411" s="15" t="s">
        <v>300</v>
      </c>
      <c r="M411" s="15" t="s">
        <v>74</v>
      </c>
      <c r="N411" s="15" t="s">
        <v>1290</v>
      </c>
      <c r="O411" s="15">
        <v>12</v>
      </c>
      <c r="P411" s="15" t="s">
        <v>1352</v>
      </c>
      <c r="Q411" s="15"/>
      <c r="R411" s="15"/>
    </row>
    <row r="412" spans="1:18" x14ac:dyDescent="0.35">
      <c r="A412" s="15" t="s">
        <v>1356</v>
      </c>
      <c r="B412" s="16">
        <v>45555</v>
      </c>
      <c r="C412" s="15" t="s">
        <v>1289</v>
      </c>
      <c r="D412" s="15">
        <v>2024</v>
      </c>
      <c r="E412" s="15" t="s">
        <v>46</v>
      </c>
      <c r="F412" s="15" t="s">
        <v>131</v>
      </c>
      <c r="G412" s="15" t="s">
        <v>32</v>
      </c>
      <c r="H412" s="15" t="s">
        <v>1317</v>
      </c>
      <c r="I412" s="15" t="s">
        <v>1318</v>
      </c>
      <c r="J412" s="17">
        <v>3000000</v>
      </c>
      <c r="K412" s="15" t="s">
        <v>935</v>
      </c>
      <c r="L412" s="15" t="s">
        <v>300</v>
      </c>
      <c r="M412" s="15" t="s">
        <v>74</v>
      </c>
      <c r="N412" s="15" t="s">
        <v>1290</v>
      </c>
      <c r="O412" s="15">
        <v>27</v>
      </c>
      <c r="P412" s="15" t="s">
        <v>1357</v>
      </c>
      <c r="Q412" s="15" t="s">
        <v>1358</v>
      </c>
      <c r="R412" s="15"/>
    </row>
    <row r="413" spans="1:18" x14ac:dyDescent="0.35">
      <c r="A413" s="15" t="s">
        <v>1359</v>
      </c>
      <c r="B413" s="16">
        <v>45560</v>
      </c>
      <c r="C413" s="15" t="s">
        <v>1289</v>
      </c>
      <c r="D413" s="15">
        <v>2024</v>
      </c>
      <c r="E413" s="15" t="s">
        <v>46</v>
      </c>
      <c r="F413" s="15" t="s">
        <v>131</v>
      </c>
      <c r="G413" s="15" t="s">
        <v>32</v>
      </c>
      <c r="H413" s="15" t="s">
        <v>1360</v>
      </c>
      <c r="I413" s="15" t="s">
        <v>1361</v>
      </c>
      <c r="J413" s="17">
        <v>1000000</v>
      </c>
      <c r="K413" s="15" t="s">
        <v>999</v>
      </c>
      <c r="L413" s="15" t="s">
        <v>300</v>
      </c>
      <c r="M413" s="15" t="s">
        <v>74</v>
      </c>
      <c r="N413" s="15" t="s">
        <v>1290</v>
      </c>
      <c r="O413" s="15">
        <v>14</v>
      </c>
      <c r="P413" s="15" t="s">
        <v>1362</v>
      </c>
      <c r="Q413" s="15" t="s">
        <v>1363</v>
      </c>
      <c r="R413" s="15"/>
    </row>
    <row r="414" spans="1:18" x14ac:dyDescent="0.35">
      <c r="A414" s="15" t="s">
        <v>1364</v>
      </c>
      <c r="B414" s="16">
        <v>45561</v>
      </c>
      <c r="C414" s="15" t="s">
        <v>1289</v>
      </c>
      <c r="D414" s="15">
        <v>2024</v>
      </c>
      <c r="E414" s="15" t="s">
        <v>46</v>
      </c>
      <c r="F414" s="15" t="s">
        <v>131</v>
      </c>
      <c r="G414" s="15" t="s">
        <v>30</v>
      </c>
      <c r="H414" s="15" t="s">
        <v>1365</v>
      </c>
      <c r="I414" s="15" t="s">
        <v>1366</v>
      </c>
      <c r="J414" s="17">
        <v>1000000</v>
      </c>
      <c r="K414" s="15" t="s">
        <v>935</v>
      </c>
      <c r="L414" s="15" t="s">
        <v>300</v>
      </c>
      <c r="M414" s="15" t="s">
        <v>74</v>
      </c>
      <c r="N414" s="15" t="s">
        <v>1290</v>
      </c>
      <c r="O414" s="15">
        <v>28</v>
      </c>
      <c r="P414" s="15" t="s">
        <v>1367</v>
      </c>
      <c r="Q414" s="15" t="s">
        <v>1368</v>
      </c>
      <c r="R414" s="15"/>
    </row>
    <row r="415" spans="1:18" x14ac:dyDescent="0.35">
      <c r="A415" s="15" t="s">
        <v>1369</v>
      </c>
      <c r="B415" s="16">
        <v>45561</v>
      </c>
      <c r="C415" s="15" t="s">
        <v>1289</v>
      </c>
      <c r="D415" s="15">
        <v>2024</v>
      </c>
      <c r="E415" s="15" t="s">
        <v>46</v>
      </c>
      <c r="F415" s="15" t="s">
        <v>131</v>
      </c>
      <c r="G415" s="15" t="s">
        <v>30</v>
      </c>
      <c r="H415" s="15" t="s">
        <v>1023</v>
      </c>
      <c r="I415" s="15" t="s">
        <v>1024</v>
      </c>
      <c r="J415" s="17">
        <v>617500</v>
      </c>
      <c r="K415" s="15" t="s">
        <v>935</v>
      </c>
      <c r="L415" s="15" t="s">
        <v>300</v>
      </c>
      <c r="M415" s="15" t="s">
        <v>74</v>
      </c>
      <c r="N415" s="15" t="s">
        <v>1290</v>
      </c>
      <c r="O415" s="15">
        <v>29</v>
      </c>
      <c r="P415" s="15" t="s">
        <v>1367</v>
      </c>
      <c r="Q415" s="15" t="s">
        <v>1370</v>
      </c>
      <c r="R415" s="15"/>
    </row>
    <row r="416" spans="1:18" x14ac:dyDescent="0.35">
      <c r="A416" s="15" t="s">
        <v>1371</v>
      </c>
      <c r="B416" s="16">
        <v>45561</v>
      </c>
      <c r="C416" s="15" t="s">
        <v>1289</v>
      </c>
      <c r="D416" s="15">
        <v>2024</v>
      </c>
      <c r="E416" s="15" t="s">
        <v>46</v>
      </c>
      <c r="F416" s="15" t="s">
        <v>131</v>
      </c>
      <c r="G416" s="15" t="s">
        <v>32</v>
      </c>
      <c r="H416" s="15" t="s">
        <v>1360</v>
      </c>
      <c r="I416" s="15" t="s">
        <v>1361</v>
      </c>
      <c r="J416" s="17">
        <v>800000</v>
      </c>
      <c r="K416" s="15" t="s">
        <v>999</v>
      </c>
      <c r="L416" s="15" t="s">
        <v>300</v>
      </c>
      <c r="M416" s="15" t="s">
        <v>74</v>
      </c>
      <c r="N416" s="15" t="s">
        <v>1290</v>
      </c>
      <c r="O416" s="15">
        <v>15</v>
      </c>
      <c r="P416" s="15" t="s">
        <v>1367</v>
      </c>
      <c r="Q416" s="15" t="s">
        <v>1372</v>
      </c>
      <c r="R416" s="15"/>
    </row>
    <row r="417" spans="1:18" x14ac:dyDescent="0.35">
      <c r="A417" s="15" t="s">
        <v>1373</v>
      </c>
      <c r="B417" s="16">
        <v>45562</v>
      </c>
      <c r="C417" s="15" t="s">
        <v>1289</v>
      </c>
      <c r="D417" s="15">
        <v>2024</v>
      </c>
      <c r="E417" s="15" t="s">
        <v>46</v>
      </c>
      <c r="F417" s="15" t="s">
        <v>131</v>
      </c>
      <c r="G417" s="15" t="s">
        <v>30</v>
      </c>
      <c r="H417" s="15" t="s">
        <v>713</v>
      </c>
      <c r="I417" s="15" t="s">
        <v>1374</v>
      </c>
      <c r="J417" s="17">
        <v>500000</v>
      </c>
      <c r="K417" s="15" t="s">
        <v>999</v>
      </c>
      <c r="L417" s="15" t="s">
        <v>300</v>
      </c>
      <c r="M417" s="15" t="s">
        <v>74</v>
      </c>
      <c r="N417" s="15" t="s">
        <v>1290</v>
      </c>
      <c r="O417" s="15">
        <v>16</v>
      </c>
      <c r="P417" s="15" t="s">
        <v>1375</v>
      </c>
      <c r="Q417" s="15" t="s">
        <v>1376</v>
      </c>
      <c r="R417" s="15"/>
    </row>
    <row r="418" spans="1:18" x14ac:dyDescent="0.35">
      <c r="A418" s="15" t="s">
        <v>1377</v>
      </c>
      <c r="B418" s="16">
        <v>45562</v>
      </c>
      <c r="C418" s="15" t="s">
        <v>1289</v>
      </c>
      <c r="D418" s="15">
        <v>2024</v>
      </c>
      <c r="E418" s="15" t="s">
        <v>46</v>
      </c>
      <c r="F418" s="15" t="s">
        <v>131</v>
      </c>
      <c r="G418" s="15" t="s">
        <v>32</v>
      </c>
      <c r="H418" s="15" t="s">
        <v>1378</v>
      </c>
      <c r="I418" s="15" t="s">
        <v>1379</v>
      </c>
      <c r="J418" s="17">
        <v>500000</v>
      </c>
      <c r="K418" s="15" t="s">
        <v>935</v>
      </c>
      <c r="L418" s="15" t="s">
        <v>300</v>
      </c>
      <c r="M418" s="15" t="s">
        <v>74</v>
      </c>
      <c r="N418" s="15" t="s">
        <v>1290</v>
      </c>
      <c r="O418" s="15">
        <v>33</v>
      </c>
      <c r="P418" s="15" t="s">
        <v>1375</v>
      </c>
      <c r="Q418" s="15" t="s">
        <v>1380</v>
      </c>
      <c r="R418" s="15"/>
    </row>
    <row r="419" spans="1:18" x14ac:dyDescent="0.35">
      <c r="A419" s="15" t="s">
        <v>1381</v>
      </c>
      <c r="B419" s="16">
        <v>45562</v>
      </c>
      <c r="C419" s="15" t="s">
        <v>1289</v>
      </c>
      <c r="D419" s="15">
        <v>2024</v>
      </c>
      <c r="E419" s="15" t="s">
        <v>46</v>
      </c>
      <c r="F419" s="15" t="s">
        <v>131</v>
      </c>
      <c r="G419" s="15" t="s">
        <v>30</v>
      </c>
      <c r="H419" s="15" t="s">
        <v>1382</v>
      </c>
      <c r="I419" s="15" t="s">
        <v>1383</v>
      </c>
      <c r="J419" s="17">
        <v>5850000</v>
      </c>
      <c r="K419" s="15" t="s">
        <v>935</v>
      </c>
      <c r="L419" s="15" t="s">
        <v>300</v>
      </c>
      <c r="M419" s="15" t="s">
        <v>74</v>
      </c>
      <c r="N419" s="15" t="s">
        <v>1290</v>
      </c>
      <c r="O419" s="15">
        <v>31</v>
      </c>
      <c r="P419" s="15" t="s">
        <v>1375</v>
      </c>
      <c r="Q419" s="15" t="s">
        <v>1384</v>
      </c>
      <c r="R419" s="15"/>
    </row>
    <row r="420" spans="1:18" x14ac:dyDescent="0.35">
      <c r="A420" s="15" t="s">
        <v>1385</v>
      </c>
      <c r="B420" s="16">
        <v>45562</v>
      </c>
      <c r="C420" s="15" t="s">
        <v>1289</v>
      </c>
      <c r="D420" s="15">
        <v>2024</v>
      </c>
      <c r="E420" s="15" t="s">
        <v>46</v>
      </c>
      <c r="F420" s="15" t="s">
        <v>131</v>
      </c>
      <c r="G420" s="15" t="s">
        <v>34</v>
      </c>
      <c r="H420" s="15" t="s">
        <v>1386</v>
      </c>
      <c r="I420" s="15" t="s">
        <v>1387</v>
      </c>
      <c r="J420" s="17">
        <v>250000</v>
      </c>
      <c r="K420" s="15" t="s">
        <v>935</v>
      </c>
      <c r="L420" s="15" t="s">
        <v>300</v>
      </c>
      <c r="M420" s="15" t="s">
        <v>74</v>
      </c>
      <c r="N420" s="15" t="s">
        <v>1290</v>
      </c>
      <c r="O420" s="15">
        <v>32</v>
      </c>
      <c r="P420" s="15" t="s">
        <v>1375</v>
      </c>
      <c r="Q420" s="15" t="s">
        <v>1388</v>
      </c>
      <c r="R420" s="15"/>
    </row>
    <row r="421" spans="1:18" x14ac:dyDescent="0.35">
      <c r="A421" s="15" t="s">
        <v>1389</v>
      </c>
      <c r="B421" s="16">
        <v>45562</v>
      </c>
      <c r="C421" s="15" t="s">
        <v>1289</v>
      </c>
      <c r="D421" s="15">
        <v>2024</v>
      </c>
      <c r="E421" s="15" t="s">
        <v>46</v>
      </c>
      <c r="F421" s="15" t="s">
        <v>131</v>
      </c>
      <c r="G421" s="15" t="s">
        <v>34</v>
      </c>
      <c r="H421" s="15" t="s">
        <v>1390</v>
      </c>
      <c r="I421" s="15" t="s">
        <v>1391</v>
      </c>
      <c r="J421" s="17">
        <v>150000</v>
      </c>
      <c r="K421" s="15" t="s">
        <v>935</v>
      </c>
      <c r="L421" s="15" t="s">
        <v>300</v>
      </c>
      <c r="M421" s="15" t="s">
        <v>74</v>
      </c>
      <c r="N421" s="15" t="s">
        <v>1290</v>
      </c>
      <c r="O421" s="15">
        <v>30</v>
      </c>
      <c r="P421" s="15" t="s">
        <v>1375</v>
      </c>
      <c r="Q421" s="15" t="s">
        <v>1392</v>
      </c>
      <c r="R421" s="15"/>
    </row>
    <row r="422" spans="1:18" x14ac:dyDescent="0.35">
      <c r="A422" s="15" t="s">
        <v>1393</v>
      </c>
      <c r="B422" s="16">
        <v>45562</v>
      </c>
      <c r="C422" s="15" t="s">
        <v>1289</v>
      </c>
      <c r="D422" s="15">
        <v>2024</v>
      </c>
      <c r="E422" s="15" t="s">
        <v>46</v>
      </c>
      <c r="F422" s="15" t="s">
        <v>131</v>
      </c>
      <c r="G422" s="15" t="s">
        <v>32</v>
      </c>
      <c r="H422" s="15" t="s">
        <v>1394</v>
      </c>
      <c r="I422" s="15" t="s">
        <v>1395</v>
      </c>
      <c r="J422" s="17">
        <v>30000000</v>
      </c>
      <c r="K422" s="15" t="s">
        <v>935</v>
      </c>
      <c r="L422" s="15" t="s">
        <v>300</v>
      </c>
      <c r="M422" s="15" t="s">
        <v>74</v>
      </c>
      <c r="N422" s="15" t="s">
        <v>1290</v>
      </c>
      <c r="O422" s="15">
        <v>34</v>
      </c>
      <c r="P422" s="15" t="s">
        <v>1375</v>
      </c>
      <c r="Q422" s="15" t="s">
        <v>1396</v>
      </c>
      <c r="R422" s="15"/>
    </row>
    <row r="423" spans="1:18" x14ac:dyDescent="0.35">
      <c r="A423" s="15" t="s">
        <v>1397</v>
      </c>
      <c r="B423" s="16">
        <v>45563</v>
      </c>
      <c r="C423" s="15" t="s">
        <v>1172</v>
      </c>
      <c r="D423" s="15">
        <v>2024</v>
      </c>
      <c r="E423" s="15" t="s">
        <v>46</v>
      </c>
      <c r="F423" s="15" t="s">
        <v>131</v>
      </c>
      <c r="G423" s="15" t="s">
        <v>32</v>
      </c>
      <c r="H423" s="15" t="s">
        <v>1272</v>
      </c>
      <c r="I423" s="15" t="s">
        <v>1273</v>
      </c>
      <c r="J423" s="17">
        <v>500000</v>
      </c>
      <c r="K423" s="15" t="s">
        <v>999</v>
      </c>
      <c r="L423" s="15" t="s">
        <v>300</v>
      </c>
      <c r="M423" s="15" t="s">
        <v>74</v>
      </c>
      <c r="N423" s="15" t="s">
        <v>1173</v>
      </c>
      <c r="O423" s="15">
        <v>26</v>
      </c>
      <c r="P423" s="15" t="s">
        <v>1398</v>
      </c>
      <c r="Q423" s="15" t="s">
        <v>1399</v>
      </c>
      <c r="R423" s="15" t="s">
        <v>1400</v>
      </c>
    </row>
    <row r="424" spans="1:18" x14ac:dyDescent="0.35">
      <c r="A424" s="15" t="s">
        <v>1401</v>
      </c>
      <c r="B424" s="16">
        <v>45564</v>
      </c>
      <c r="C424" s="15" t="s">
        <v>1289</v>
      </c>
      <c r="D424" s="15">
        <v>2024</v>
      </c>
      <c r="E424" s="15" t="s">
        <v>46</v>
      </c>
      <c r="F424" s="15" t="s">
        <v>131</v>
      </c>
      <c r="G424" s="15" t="s">
        <v>29</v>
      </c>
      <c r="H424" s="15" t="s">
        <v>704</v>
      </c>
      <c r="I424" s="15" t="s">
        <v>705</v>
      </c>
      <c r="J424" s="17">
        <v>400000</v>
      </c>
      <c r="K424" s="15" t="s">
        <v>935</v>
      </c>
      <c r="L424" s="15" t="s">
        <v>300</v>
      </c>
      <c r="M424" s="15" t="s">
        <v>74</v>
      </c>
      <c r="N424" s="15" t="s">
        <v>1290</v>
      </c>
      <c r="O424" s="15">
        <v>36</v>
      </c>
      <c r="P424" s="15" t="s">
        <v>1402</v>
      </c>
      <c r="Q424" s="15" t="s">
        <v>1403</v>
      </c>
      <c r="R424" s="15"/>
    </row>
    <row r="425" spans="1:18" x14ac:dyDescent="0.35">
      <c r="A425" s="15" t="s">
        <v>1404</v>
      </c>
      <c r="B425" s="16">
        <v>45565</v>
      </c>
      <c r="C425" s="15" t="s">
        <v>1289</v>
      </c>
      <c r="D425" s="15">
        <v>2024</v>
      </c>
      <c r="E425" s="15" t="s">
        <v>46</v>
      </c>
      <c r="F425" s="15" t="s">
        <v>131</v>
      </c>
      <c r="G425" s="15" t="s">
        <v>32</v>
      </c>
      <c r="H425" s="15" t="s">
        <v>1405</v>
      </c>
      <c r="I425" s="15" t="s">
        <v>1406</v>
      </c>
      <c r="J425" s="17">
        <v>1000000</v>
      </c>
      <c r="K425" s="15" t="s">
        <v>999</v>
      </c>
      <c r="L425" s="15" t="s">
        <v>300</v>
      </c>
      <c r="M425" s="15" t="s">
        <v>74</v>
      </c>
      <c r="N425" s="15" t="s">
        <v>1290</v>
      </c>
      <c r="O425" s="15">
        <v>17</v>
      </c>
      <c r="P425" s="15" t="s">
        <v>1407</v>
      </c>
      <c r="Q425" s="15" t="s">
        <v>1408</v>
      </c>
      <c r="R425" s="15"/>
    </row>
    <row r="426" spans="1:18" x14ac:dyDescent="0.35">
      <c r="A426" s="15" t="s">
        <v>1409</v>
      </c>
      <c r="B426" s="16">
        <v>45565</v>
      </c>
      <c r="C426" s="15" t="s">
        <v>1289</v>
      </c>
      <c r="D426" s="15">
        <v>2024</v>
      </c>
      <c r="E426" s="15" t="s">
        <v>46</v>
      </c>
      <c r="F426" s="15" t="s">
        <v>131</v>
      </c>
      <c r="G426" s="15" t="s">
        <v>32</v>
      </c>
      <c r="H426" s="15" t="s">
        <v>1410</v>
      </c>
      <c r="I426" s="15" t="s">
        <v>1411</v>
      </c>
      <c r="J426" s="17">
        <v>500000</v>
      </c>
      <c r="K426" s="15" t="s">
        <v>999</v>
      </c>
      <c r="L426" s="15" t="s">
        <v>300</v>
      </c>
      <c r="M426" s="15" t="s">
        <v>74</v>
      </c>
      <c r="N426" s="15" t="s">
        <v>1290</v>
      </c>
      <c r="O426" s="15">
        <v>18</v>
      </c>
      <c r="P426" s="15" t="s">
        <v>1407</v>
      </c>
      <c r="Q426" s="15" t="s">
        <v>1412</v>
      </c>
      <c r="R426" s="15"/>
    </row>
    <row r="427" spans="1:18" x14ac:dyDescent="0.35">
      <c r="A427" s="15" t="s">
        <v>1413</v>
      </c>
      <c r="B427" s="16">
        <v>45567</v>
      </c>
      <c r="C427" s="15" t="s">
        <v>1414</v>
      </c>
      <c r="D427" s="15">
        <v>2024</v>
      </c>
      <c r="E427" s="15" t="s">
        <v>46</v>
      </c>
      <c r="F427" s="15" t="s">
        <v>131</v>
      </c>
      <c r="G427" s="15" t="s">
        <v>32</v>
      </c>
      <c r="H427" s="15" t="s">
        <v>713</v>
      </c>
      <c r="I427" s="15" t="s">
        <v>714</v>
      </c>
      <c r="J427" s="17">
        <v>1000000</v>
      </c>
      <c r="K427" s="15" t="s">
        <v>999</v>
      </c>
      <c r="L427" s="15" t="s">
        <v>300</v>
      </c>
      <c r="M427" s="15" t="s">
        <v>74</v>
      </c>
      <c r="N427" s="15" t="s">
        <v>1415</v>
      </c>
      <c r="O427" s="15">
        <v>7</v>
      </c>
      <c r="P427" s="15" t="s">
        <v>1416</v>
      </c>
      <c r="Q427" s="15" t="s">
        <v>1417</v>
      </c>
      <c r="R427" s="15"/>
    </row>
    <row r="428" spans="1:18" x14ac:dyDescent="0.35">
      <c r="A428" s="15" t="s">
        <v>1418</v>
      </c>
      <c r="B428" s="16">
        <v>45567</v>
      </c>
      <c r="C428" s="15" t="s">
        <v>1414</v>
      </c>
      <c r="D428" s="15">
        <v>2024</v>
      </c>
      <c r="E428" s="15" t="s">
        <v>46</v>
      </c>
      <c r="F428" s="15" t="s">
        <v>131</v>
      </c>
      <c r="G428" s="15" t="s">
        <v>32</v>
      </c>
      <c r="H428" s="15" t="s">
        <v>184</v>
      </c>
      <c r="I428" s="15" t="s">
        <v>1419</v>
      </c>
      <c r="J428" s="17">
        <v>500000</v>
      </c>
      <c r="K428" s="15" t="s">
        <v>935</v>
      </c>
      <c r="L428" s="15" t="s">
        <v>300</v>
      </c>
      <c r="M428" s="15" t="s">
        <v>74</v>
      </c>
      <c r="N428" s="15" t="s">
        <v>1415</v>
      </c>
      <c r="O428" s="15">
        <v>7</v>
      </c>
      <c r="P428" s="15" t="s">
        <v>1416</v>
      </c>
      <c r="Q428" s="15" t="s">
        <v>1420</v>
      </c>
      <c r="R428" s="15"/>
    </row>
    <row r="429" spans="1:18" x14ac:dyDescent="0.35">
      <c r="A429" s="15" t="s">
        <v>1421</v>
      </c>
      <c r="B429" s="16">
        <v>45568</v>
      </c>
      <c r="C429" s="15" t="s">
        <v>1414</v>
      </c>
      <c r="D429" s="15">
        <v>2024</v>
      </c>
      <c r="E429" s="15" t="s">
        <v>46</v>
      </c>
      <c r="F429" s="15" t="s">
        <v>131</v>
      </c>
      <c r="G429" s="15" t="s">
        <v>32</v>
      </c>
      <c r="H429" s="15" t="s">
        <v>568</v>
      </c>
      <c r="I429" s="15" t="s">
        <v>875</v>
      </c>
      <c r="J429" s="17">
        <v>1900000</v>
      </c>
      <c r="K429" s="15" t="s">
        <v>935</v>
      </c>
      <c r="L429" s="15" t="s">
        <v>300</v>
      </c>
      <c r="M429" s="15" t="s">
        <v>74</v>
      </c>
      <c r="N429" s="15" t="s">
        <v>1415</v>
      </c>
      <c r="O429" s="15">
        <v>8</v>
      </c>
      <c r="P429" s="15" t="s">
        <v>1422</v>
      </c>
      <c r="Q429" s="15" t="s">
        <v>1423</v>
      </c>
      <c r="R429" s="15"/>
    </row>
    <row r="430" spans="1:18" x14ac:dyDescent="0.35">
      <c r="A430" s="15" t="s">
        <v>1424</v>
      </c>
      <c r="B430" s="16">
        <v>45568</v>
      </c>
      <c r="C430" s="15" t="s">
        <v>1414</v>
      </c>
      <c r="D430" s="15">
        <v>2024</v>
      </c>
      <c r="E430" s="15" t="s">
        <v>46</v>
      </c>
      <c r="F430" s="15" t="s">
        <v>131</v>
      </c>
      <c r="G430" s="15" t="s">
        <v>27</v>
      </c>
      <c r="H430" s="15" t="s">
        <v>203</v>
      </c>
      <c r="I430" s="15" t="s">
        <v>943</v>
      </c>
      <c r="J430" s="17">
        <v>500000</v>
      </c>
      <c r="K430" s="15" t="s">
        <v>999</v>
      </c>
      <c r="L430" s="15" t="s">
        <v>300</v>
      </c>
      <c r="M430" s="15" t="s">
        <v>74</v>
      </c>
      <c r="N430" s="15" t="s">
        <v>1415</v>
      </c>
      <c r="O430" s="15">
        <v>9</v>
      </c>
      <c r="P430" s="15" t="s">
        <v>1422</v>
      </c>
      <c r="Q430" s="15" t="s">
        <v>1425</v>
      </c>
      <c r="R430" s="15"/>
    </row>
    <row r="431" spans="1:18" x14ac:dyDescent="0.35">
      <c r="A431" s="15" t="s">
        <v>1426</v>
      </c>
      <c r="B431" s="16">
        <v>45568</v>
      </c>
      <c r="C431" s="15" t="s">
        <v>1414</v>
      </c>
      <c r="D431" s="15">
        <v>2024</v>
      </c>
      <c r="E431" s="15" t="s">
        <v>46</v>
      </c>
      <c r="F431" s="15" t="s">
        <v>131</v>
      </c>
      <c r="G431" s="15" t="s">
        <v>32</v>
      </c>
      <c r="H431" s="15" t="s">
        <v>1147</v>
      </c>
      <c r="I431" s="15" t="s">
        <v>1148</v>
      </c>
      <c r="J431" s="17">
        <v>1300000</v>
      </c>
      <c r="K431" s="15" t="s">
        <v>935</v>
      </c>
      <c r="L431" s="15" t="s">
        <v>300</v>
      </c>
      <c r="M431" s="15" t="s">
        <v>74</v>
      </c>
      <c r="N431" s="15" t="s">
        <v>1415</v>
      </c>
      <c r="O431" s="15">
        <v>9</v>
      </c>
      <c r="P431" s="15" t="s">
        <v>1422</v>
      </c>
      <c r="Q431" s="15" t="s">
        <v>1427</v>
      </c>
      <c r="R431" s="15"/>
    </row>
    <row r="432" spans="1:18" x14ac:dyDescent="0.35">
      <c r="A432" s="15" t="s">
        <v>1428</v>
      </c>
      <c r="B432" s="16">
        <v>45569</v>
      </c>
      <c r="C432" s="15" t="s">
        <v>1414</v>
      </c>
      <c r="D432" s="15">
        <v>2024</v>
      </c>
      <c r="E432" s="15" t="s">
        <v>46</v>
      </c>
      <c r="F432" s="15" t="s">
        <v>131</v>
      </c>
      <c r="G432" s="15" t="s">
        <v>31</v>
      </c>
      <c r="H432" s="15" t="s">
        <v>203</v>
      </c>
      <c r="I432" s="15" t="s">
        <v>943</v>
      </c>
      <c r="J432" s="17">
        <v>200000</v>
      </c>
      <c r="K432" s="15" t="s">
        <v>999</v>
      </c>
      <c r="L432" s="15" t="s">
        <v>300</v>
      </c>
      <c r="M432" s="15" t="s">
        <v>74</v>
      </c>
      <c r="N432" s="15" t="s">
        <v>1415</v>
      </c>
      <c r="O432" s="15">
        <v>10</v>
      </c>
      <c r="P432" s="15" t="s">
        <v>1429</v>
      </c>
      <c r="Q432" s="15" t="s">
        <v>1430</v>
      </c>
      <c r="R432" s="15"/>
    </row>
    <row r="433" spans="1:18" x14ac:dyDescent="0.35">
      <c r="A433" s="15" t="s">
        <v>1431</v>
      </c>
      <c r="B433" s="16">
        <v>45569</v>
      </c>
      <c r="C433" s="15" t="s">
        <v>1414</v>
      </c>
      <c r="D433" s="15">
        <v>2024</v>
      </c>
      <c r="E433" s="15" t="s">
        <v>46</v>
      </c>
      <c r="F433" s="15" t="s">
        <v>982</v>
      </c>
      <c r="G433" s="15" t="s">
        <v>38</v>
      </c>
      <c r="H433" s="15" t="s">
        <v>203</v>
      </c>
      <c r="I433" s="15" t="s">
        <v>943</v>
      </c>
      <c r="J433" s="17">
        <v>50000</v>
      </c>
      <c r="K433" s="15" t="s">
        <v>999</v>
      </c>
      <c r="L433" s="15" t="s">
        <v>300</v>
      </c>
      <c r="M433" s="15" t="s">
        <v>74</v>
      </c>
      <c r="N433" s="15" t="s">
        <v>1415</v>
      </c>
      <c r="O433" s="15">
        <v>11</v>
      </c>
      <c r="P433" s="15" t="s">
        <v>1429</v>
      </c>
      <c r="Q433" s="15"/>
      <c r="R433" s="15"/>
    </row>
    <row r="434" spans="1:18" x14ac:dyDescent="0.35">
      <c r="A434" s="15" t="s">
        <v>1432</v>
      </c>
      <c r="B434" s="16">
        <v>45569</v>
      </c>
      <c r="C434" s="15" t="s">
        <v>1414</v>
      </c>
      <c r="D434" s="15">
        <v>2024</v>
      </c>
      <c r="E434" s="15" t="s">
        <v>46</v>
      </c>
      <c r="F434" s="15" t="s">
        <v>131</v>
      </c>
      <c r="G434" s="15" t="s">
        <v>34</v>
      </c>
      <c r="H434" s="15" t="s">
        <v>1433</v>
      </c>
      <c r="I434" s="15" t="s">
        <v>1434</v>
      </c>
      <c r="J434" s="17">
        <v>145000</v>
      </c>
      <c r="K434" s="15" t="s">
        <v>935</v>
      </c>
      <c r="L434" s="15" t="s">
        <v>300</v>
      </c>
      <c r="M434" s="15" t="s">
        <v>74</v>
      </c>
      <c r="N434" s="15" t="s">
        <v>1415</v>
      </c>
      <c r="O434" s="15">
        <v>10</v>
      </c>
      <c r="P434" s="15" t="s">
        <v>1429</v>
      </c>
      <c r="Q434" s="15"/>
      <c r="R434" s="15"/>
    </row>
    <row r="435" spans="1:18" x14ac:dyDescent="0.35">
      <c r="A435" s="15" t="s">
        <v>1435</v>
      </c>
      <c r="B435" s="16">
        <v>45573</v>
      </c>
      <c r="C435" s="15" t="s">
        <v>1414</v>
      </c>
      <c r="D435" s="15">
        <v>2024</v>
      </c>
      <c r="E435" s="15" t="s">
        <v>46</v>
      </c>
      <c r="F435" s="15" t="s">
        <v>131</v>
      </c>
      <c r="G435" s="15" t="s">
        <v>32</v>
      </c>
      <c r="H435" s="15" t="s">
        <v>1436</v>
      </c>
      <c r="I435" s="15" t="s">
        <v>1437</v>
      </c>
      <c r="J435" s="17">
        <v>5000000</v>
      </c>
      <c r="K435" s="15" t="s">
        <v>935</v>
      </c>
      <c r="L435" s="15" t="s">
        <v>300</v>
      </c>
      <c r="M435" s="15" t="s">
        <v>74</v>
      </c>
      <c r="N435" s="15" t="s">
        <v>1415</v>
      </c>
      <c r="O435" s="15">
        <v>11</v>
      </c>
      <c r="P435" s="15" t="s">
        <v>1438</v>
      </c>
      <c r="Q435" s="15" t="s">
        <v>1439</v>
      </c>
      <c r="R435" s="15"/>
    </row>
    <row r="436" spans="1:18" x14ac:dyDescent="0.35">
      <c r="A436" s="15" t="s">
        <v>1440</v>
      </c>
      <c r="B436" s="16">
        <v>45574</v>
      </c>
      <c r="C436" s="15" t="s">
        <v>1414</v>
      </c>
      <c r="D436" s="15">
        <v>2024</v>
      </c>
      <c r="E436" s="15" t="s">
        <v>46</v>
      </c>
      <c r="F436" s="15" t="s">
        <v>982</v>
      </c>
      <c r="G436" s="15" t="s">
        <v>37</v>
      </c>
      <c r="H436" s="15" t="s">
        <v>285</v>
      </c>
      <c r="I436" s="15" t="s">
        <v>530</v>
      </c>
      <c r="J436" s="17">
        <v>100000</v>
      </c>
      <c r="K436" s="15" t="s">
        <v>935</v>
      </c>
      <c r="L436" s="15" t="s">
        <v>300</v>
      </c>
      <c r="M436" s="15" t="s">
        <v>74</v>
      </c>
      <c r="N436" s="15" t="s">
        <v>1415</v>
      </c>
      <c r="O436" s="15">
        <v>12</v>
      </c>
      <c r="P436" s="15" t="s">
        <v>1441</v>
      </c>
      <c r="Q436" s="15"/>
      <c r="R436" s="15"/>
    </row>
    <row r="437" spans="1:18" x14ac:dyDescent="0.35">
      <c r="A437" s="15" t="s">
        <v>1442</v>
      </c>
      <c r="B437" s="16">
        <v>45576</v>
      </c>
      <c r="C437" s="15" t="s">
        <v>1414</v>
      </c>
      <c r="D437" s="15">
        <v>2024</v>
      </c>
      <c r="E437" s="15" t="s">
        <v>46</v>
      </c>
      <c r="F437" s="15" t="s">
        <v>131</v>
      </c>
      <c r="G437" s="15" t="s">
        <v>32</v>
      </c>
      <c r="H437" s="15" t="s">
        <v>1443</v>
      </c>
      <c r="I437" s="15" t="s">
        <v>1444</v>
      </c>
      <c r="J437" s="17">
        <v>500000</v>
      </c>
      <c r="K437" s="15" t="s">
        <v>935</v>
      </c>
      <c r="L437" s="15" t="s">
        <v>300</v>
      </c>
      <c r="M437" s="15" t="s">
        <v>74</v>
      </c>
      <c r="N437" s="15" t="s">
        <v>1415</v>
      </c>
      <c r="O437" s="15">
        <v>13</v>
      </c>
      <c r="P437" s="15" t="s">
        <v>1445</v>
      </c>
      <c r="Q437" s="15" t="s">
        <v>1446</v>
      </c>
      <c r="R437" s="15"/>
    </row>
    <row r="438" spans="1:18" x14ac:dyDescent="0.35">
      <c r="A438" s="15" t="s">
        <v>1447</v>
      </c>
      <c r="B438" s="16">
        <v>45577</v>
      </c>
      <c r="C438" s="15" t="s">
        <v>1414</v>
      </c>
      <c r="D438" s="15">
        <v>2024</v>
      </c>
      <c r="E438" s="15" t="s">
        <v>46</v>
      </c>
      <c r="F438" s="15" t="s">
        <v>982</v>
      </c>
      <c r="G438" s="15" t="s">
        <v>37</v>
      </c>
      <c r="H438" s="15" t="s">
        <v>820</v>
      </c>
      <c r="I438" s="15" t="s">
        <v>821</v>
      </c>
      <c r="J438" s="17">
        <v>130000</v>
      </c>
      <c r="K438" s="15" t="s">
        <v>935</v>
      </c>
      <c r="L438" s="15" t="s">
        <v>300</v>
      </c>
      <c r="M438" s="15" t="s">
        <v>74</v>
      </c>
      <c r="N438" s="15" t="s">
        <v>1415</v>
      </c>
      <c r="O438" s="15">
        <v>14</v>
      </c>
      <c r="P438" s="15" t="s">
        <v>1448</v>
      </c>
      <c r="Q438" s="15"/>
      <c r="R438" s="15"/>
    </row>
    <row r="439" spans="1:18" x14ac:dyDescent="0.35">
      <c r="A439" s="15" t="s">
        <v>1449</v>
      </c>
      <c r="B439" s="16">
        <v>45579</v>
      </c>
      <c r="C439" s="15" t="s">
        <v>1414</v>
      </c>
      <c r="D439" s="15">
        <v>2024</v>
      </c>
      <c r="E439" s="15" t="s">
        <v>46</v>
      </c>
      <c r="F439" s="15" t="s">
        <v>982</v>
      </c>
      <c r="G439" s="15" t="s">
        <v>37</v>
      </c>
      <c r="H439" s="15" t="s">
        <v>820</v>
      </c>
      <c r="I439" s="15" t="s">
        <v>821</v>
      </c>
      <c r="J439" s="17">
        <v>5000</v>
      </c>
      <c r="K439" s="15" t="s">
        <v>935</v>
      </c>
      <c r="L439" s="15" t="s">
        <v>300</v>
      </c>
      <c r="M439" s="15" t="s">
        <v>74</v>
      </c>
      <c r="N439" s="15" t="s">
        <v>1415</v>
      </c>
      <c r="O439" s="15">
        <v>15</v>
      </c>
      <c r="P439" s="15" t="s">
        <v>1450</v>
      </c>
      <c r="Q439" s="15"/>
      <c r="R439" s="15"/>
    </row>
    <row r="440" spans="1:18" x14ac:dyDescent="0.35">
      <c r="A440" s="15" t="s">
        <v>1451</v>
      </c>
      <c r="B440" s="16">
        <v>45582</v>
      </c>
      <c r="C440" s="15" t="s">
        <v>1414</v>
      </c>
      <c r="D440" s="15">
        <v>2024</v>
      </c>
      <c r="E440" s="15" t="s">
        <v>46</v>
      </c>
      <c r="F440" s="15" t="s">
        <v>131</v>
      </c>
      <c r="G440" s="15" t="s">
        <v>32</v>
      </c>
      <c r="H440" s="15" t="s">
        <v>1236</v>
      </c>
      <c r="I440" s="15" t="s">
        <v>1237</v>
      </c>
      <c r="J440" s="17">
        <v>1100000</v>
      </c>
      <c r="K440" s="15" t="s">
        <v>935</v>
      </c>
      <c r="L440" s="15" t="s">
        <v>300</v>
      </c>
      <c r="M440" s="15" t="s">
        <v>74</v>
      </c>
      <c r="N440" s="15" t="s">
        <v>1415</v>
      </c>
      <c r="O440" s="15">
        <v>16</v>
      </c>
      <c r="P440" s="15" t="s">
        <v>1452</v>
      </c>
      <c r="Q440" s="15" t="s">
        <v>1453</v>
      </c>
      <c r="R440" s="15"/>
    </row>
    <row r="441" spans="1:18" x14ac:dyDescent="0.35">
      <c r="A441" s="15" t="s">
        <v>1454</v>
      </c>
      <c r="B441" s="16">
        <v>45583</v>
      </c>
      <c r="C441" s="15" t="s">
        <v>1414</v>
      </c>
      <c r="D441" s="15">
        <v>2024</v>
      </c>
      <c r="E441" s="15" t="s">
        <v>46</v>
      </c>
      <c r="F441" s="15" t="s">
        <v>131</v>
      </c>
      <c r="G441" s="15" t="s">
        <v>34</v>
      </c>
      <c r="H441" s="15" t="s">
        <v>1455</v>
      </c>
      <c r="I441" s="15" t="s">
        <v>1456</v>
      </c>
      <c r="J441" s="17">
        <v>250000</v>
      </c>
      <c r="K441" s="15" t="s">
        <v>935</v>
      </c>
      <c r="L441" s="15" t="s">
        <v>300</v>
      </c>
      <c r="M441" s="15" t="s">
        <v>74</v>
      </c>
      <c r="N441" s="15" t="s">
        <v>1415</v>
      </c>
      <c r="O441" s="15">
        <v>20</v>
      </c>
      <c r="P441" s="15" t="s">
        <v>1457</v>
      </c>
      <c r="Q441" s="15" t="s">
        <v>1458</v>
      </c>
      <c r="R441" s="15"/>
    </row>
    <row r="442" spans="1:18" x14ac:dyDescent="0.35">
      <c r="A442" s="15" t="s">
        <v>1459</v>
      </c>
      <c r="B442" s="16">
        <v>45583</v>
      </c>
      <c r="C442" s="15" t="s">
        <v>1414</v>
      </c>
      <c r="D442" s="15">
        <v>2024</v>
      </c>
      <c r="E442" s="15" t="s">
        <v>46</v>
      </c>
      <c r="F442" s="15" t="s">
        <v>131</v>
      </c>
      <c r="G442" s="15" t="s">
        <v>27</v>
      </c>
      <c r="H442" s="15" t="s">
        <v>1460</v>
      </c>
      <c r="I442" s="15" t="s">
        <v>1461</v>
      </c>
      <c r="J442" s="17">
        <v>2600000</v>
      </c>
      <c r="K442" s="15" t="s">
        <v>935</v>
      </c>
      <c r="L442" s="15" t="s">
        <v>300</v>
      </c>
      <c r="M442" s="15" t="s">
        <v>74</v>
      </c>
      <c r="N442" s="15" t="s">
        <v>1415</v>
      </c>
      <c r="O442" s="15">
        <v>19</v>
      </c>
      <c r="P442" s="15" t="s">
        <v>1457</v>
      </c>
      <c r="Q442" s="15" t="s">
        <v>1462</v>
      </c>
      <c r="R442" s="15"/>
    </row>
    <row r="443" spans="1:18" x14ac:dyDescent="0.35">
      <c r="A443" s="15" t="s">
        <v>1463</v>
      </c>
      <c r="B443" s="16">
        <v>45583</v>
      </c>
      <c r="C443" s="15" t="s">
        <v>1414</v>
      </c>
      <c r="D443" s="15">
        <v>2024</v>
      </c>
      <c r="E443" s="15" t="s">
        <v>46</v>
      </c>
      <c r="F443" s="15" t="s">
        <v>131</v>
      </c>
      <c r="G443" s="15" t="s">
        <v>32</v>
      </c>
      <c r="H443" s="15" t="s">
        <v>1394</v>
      </c>
      <c r="I443" s="15" t="s">
        <v>1464</v>
      </c>
      <c r="J443" s="17">
        <v>3000000</v>
      </c>
      <c r="K443" s="15" t="s">
        <v>935</v>
      </c>
      <c r="L443" s="15" t="s">
        <v>300</v>
      </c>
      <c r="M443" s="15" t="s">
        <v>74</v>
      </c>
      <c r="N443" s="15" t="s">
        <v>1415</v>
      </c>
      <c r="O443" s="15">
        <v>17</v>
      </c>
      <c r="P443" s="15" t="s">
        <v>1457</v>
      </c>
      <c r="Q443" s="15" t="s">
        <v>1465</v>
      </c>
      <c r="R443" s="15"/>
    </row>
    <row r="444" spans="1:18" x14ac:dyDescent="0.35">
      <c r="A444" s="15" t="s">
        <v>1466</v>
      </c>
      <c r="B444" s="16">
        <v>45584</v>
      </c>
      <c r="C444" s="15" t="s">
        <v>1414</v>
      </c>
      <c r="D444" s="15">
        <v>2024</v>
      </c>
      <c r="E444" s="15" t="s">
        <v>46</v>
      </c>
      <c r="F444" s="15" t="s">
        <v>131</v>
      </c>
      <c r="G444" s="15" t="s">
        <v>34</v>
      </c>
      <c r="H444" s="15" t="s">
        <v>1386</v>
      </c>
      <c r="I444" s="15" t="s">
        <v>1387</v>
      </c>
      <c r="J444" s="17">
        <v>100000</v>
      </c>
      <c r="K444" s="15" t="s">
        <v>935</v>
      </c>
      <c r="L444" s="15" t="s">
        <v>300</v>
      </c>
      <c r="M444" s="15" t="s">
        <v>74</v>
      </c>
      <c r="N444" s="15" t="s">
        <v>1415</v>
      </c>
      <c r="O444" s="15">
        <v>21</v>
      </c>
      <c r="P444" s="15" t="s">
        <v>1467</v>
      </c>
      <c r="Q444" s="15"/>
      <c r="R444" s="15"/>
    </row>
    <row r="445" spans="1:18" x14ac:dyDescent="0.35">
      <c r="A445" s="15" t="s">
        <v>1468</v>
      </c>
      <c r="B445" s="16">
        <v>45586</v>
      </c>
      <c r="C445" s="15" t="s">
        <v>1414</v>
      </c>
      <c r="D445" s="15">
        <v>2024</v>
      </c>
      <c r="E445" s="15" t="s">
        <v>46</v>
      </c>
      <c r="F445" s="15" t="s">
        <v>131</v>
      </c>
      <c r="G445" s="15" t="s">
        <v>32</v>
      </c>
      <c r="H445" s="15" t="s">
        <v>1469</v>
      </c>
      <c r="I445" s="15" t="s">
        <v>1470</v>
      </c>
      <c r="J445" s="17">
        <v>200000</v>
      </c>
      <c r="K445" s="15" t="s">
        <v>999</v>
      </c>
      <c r="L445" s="15" t="s">
        <v>300</v>
      </c>
      <c r="M445" s="15" t="s">
        <v>74</v>
      </c>
      <c r="N445" s="15" t="s">
        <v>1415</v>
      </c>
      <c r="O445" s="15">
        <v>12</v>
      </c>
      <c r="P445" s="15" t="s">
        <v>1471</v>
      </c>
      <c r="Q445" s="15"/>
      <c r="R445" s="15"/>
    </row>
    <row r="446" spans="1:18" x14ac:dyDescent="0.35">
      <c r="A446" s="15" t="s">
        <v>1472</v>
      </c>
      <c r="B446" s="16">
        <v>45586</v>
      </c>
      <c r="C446" s="15" t="s">
        <v>1414</v>
      </c>
      <c r="D446" s="15">
        <v>2024</v>
      </c>
      <c r="E446" s="15" t="s">
        <v>46</v>
      </c>
      <c r="F446" s="15" t="s">
        <v>131</v>
      </c>
      <c r="G446" s="15" t="s">
        <v>27</v>
      </c>
      <c r="H446" s="15" t="s">
        <v>1460</v>
      </c>
      <c r="I446" s="15" t="s">
        <v>1461</v>
      </c>
      <c r="J446" s="17">
        <v>200000</v>
      </c>
      <c r="K446" s="15" t="s">
        <v>935</v>
      </c>
      <c r="L446" s="15" t="s">
        <v>300</v>
      </c>
      <c r="M446" s="15" t="s">
        <v>74</v>
      </c>
      <c r="N446" s="15" t="s">
        <v>1415</v>
      </c>
      <c r="O446" s="15">
        <v>22</v>
      </c>
      <c r="P446" s="15" t="s">
        <v>1471</v>
      </c>
      <c r="Q446" s="15" t="s">
        <v>1473</v>
      </c>
      <c r="R446" s="15"/>
    </row>
    <row r="447" spans="1:18" x14ac:dyDescent="0.35">
      <c r="A447" s="15" t="s">
        <v>1474</v>
      </c>
      <c r="B447" s="16">
        <v>45587</v>
      </c>
      <c r="C447" s="15" t="s">
        <v>1414</v>
      </c>
      <c r="D447" s="15">
        <v>2024</v>
      </c>
      <c r="E447" s="15" t="s">
        <v>46</v>
      </c>
      <c r="F447" s="15" t="s">
        <v>131</v>
      </c>
      <c r="G447" s="15" t="s">
        <v>29</v>
      </c>
      <c r="H447" s="15" t="s">
        <v>704</v>
      </c>
      <c r="I447" s="15" t="s">
        <v>705</v>
      </c>
      <c r="J447" s="17">
        <v>400000</v>
      </c>
      <c r="K447" s="15" t="s">
        <v>935</v>
      </c>
      <c r="L447" s="15" t="s">
        <v>300</v>
      </c>
      <c r="M447" s="15" t="s">
        <v>74</v>
      </c>
      <c r="N447" s="15" t="s">
        <v>1415</v>
      </c>
      <c r="O447" s="15">
        <v>24</v>
      </c>
      <c r="P447" s="15" t="s">
        <v>1475</v>
      </c>
      <c r="Q447" s="15"/>
      <c r="R447" s="15"/>
    </row>
    <row r="448" spans="1:18" x14ac:dyDescent="0.35">
      <c r="A448" s="15" t="s">
        <v>1476</v>
      </c>
      <c r="B448" s="16">
        <v>45587</v>
      </c>
      <c r="C448" s="15" t="s">
        <v>1414</v>
      </c>
      <c r="D448" s="15">
        <v>2024</v>
      </c>
      <c r="E448" s="15" t="s">
        <v>46</v>
      </c>
      <c r="F448" s="15" t="s">
        <v>131</v>
      </c>
      <c r="G448" s="15" t="s">
        <v>31</v>
      </c>
      <c r="H448" s="15" t="s">
        <v>1365</v>
      </c>
      <c r="I448" s="15" t="s">
        <v>1366</v>
      </c>
      <c r="J448" s="17">
        <v>1335000</v>
      </c>
      <c r="K448" s="15" t="s">
        <v>935</v>
      </c>
      <c r="L448" s="15" t="s">
        <v>300</v>
      </c>
      <c r="M448" s="15" t="s">
        <v>74</v>
      </c>
      <c r="N448" s="15" t="s">
        <v>1415</v>
      </c>
      <c r="O448" s="15">
        <v>23</v>
      </c>
      <c r="P448" s="15" t="s">
        <v>1475</v>
      </c>
      <c r="Q448" s="15"/>
      <c r="R448" s="15"/>
    </row>
    <row r="449" spans="1:18" x14ac:dyDescent="0.35">
      <c r="A449" s="15" t="s">
        <v>1477</v>
      </c>
      <c r="B449" s="16">
        <v>45587</v>
      </c>
      <c r="C449" s="15" t="s">
        <v>1414</v>
      </c>
      <c r="D449" s="15">
        <v>2024</v>
      </c>
      <c r="E449" s="15" t="s">
        <v>46</v>
      </c>
      <c r="F449" s="15" t="s">
        <v>131</v>
      </c>
      <c r="G449" s="15" t="s">
        <v>32</v>
      </c>
      <c r="H449" s="15" t="s">
        <v>1405</v>
      </c>
      <c r="I449" s="15" t="s">
        <v>1478</v>
      </c>
      <c r="J449" s="17">
        <v>1335000</v>
      </c>
      <c r="K449" s="15" t="s">
        <v>999</v>
      </c>
      <c r="L449" s="15" t="s">
        <v>300</v>
      </c>
      <c r="M449" s="15" t="s">
        <v>74</v>
      </c>
      <c r="N449" s="15" t="s">
        <v>1415</v>
      </c>
      <c r="O449" s="15">
        <v>13</v>
      </c>
      <c r="P449" s="15" t="s">
        <v>1475</v>
      </c>
      <c r="Q449" s="15" t="s">
        <v>1479</v>
      </c>
      <c r="R449" s="15"/>
    </row>
    <row r="450" spans="1:18" x14ac:dyDescent="0.35">
      <c r="A450" s="15" t="s">
        <v>1480</v>
      </c>
      <c r="B450" s="16">
        <v>45588</v>
      </c>
      <c r="C450" s="15" t="s">
        <v>1414</v>
      </c>
      <c r="D450" s="15">
        <v>2024</v>
      </c>
      <c r="E450" s="15" t="s">
        <v>46</v>
      </c>
      <c r="F450" s="15" t="s">
        <v>131</v>
      </c>
      <c r="G450" s="15" t="s">
        <v>32</v>
      </c>
      <c r="H450" s="15" t="s">
        <v>1481</v>
      </c>
      <c r="I450" s="15" t="s">
        <v>1482</v>
      </c>
      <c r="J450" s="17">
        <v>4000000</v>
      </c>
      <c r="K450" s="15" t="s">
        <v>999</v>
      </c>
      <c r="L450" s="15" t="s">
        <v>300</v>
      </c>
      <c r="M450" s="15" t="s">
        <v>74</v>
      </c>
      <c r="N450" s="15" t="s">
        <v>1415</v>
      </c>
      <c r="O450" s="15">
        <v>14</v>
      </c>
      <c r="P450" s="15" t="s">
        <v>1483</v>
      </c>
      <c r="Q450" s="15" t="s">
        <v>1484</v>
      </c>
      <c r="R450" s="15"/>
    </row>
    <row r="451" spans="1:18" x14ac:dyDescent="0.35">
      <c r="A451" s="15" t="s">
        <v>1485</v>
      </c>
      <c r="B451" s="16">
        <v>45588</v>
      </c>
      <c r="C451" s="15" t="s">
        <v>1414</v>
      </c>
      <c r="D451" s="15">
        <v>2024</v>
      </c>
      <c r="E451" s="15" t="s">
        <v>46</v>
      </c>
      <c r="F451" s="15" t="s">
        <v>131</v>
      </c>
      <c r="G451" s="15" t="s">
        <v>32</v>
      </c>
      <c r="H451" s="15" t="s">
        <v>1236</v>
      </c>
      <c r="I451" s="15" t="s">
        <v>1237</v>
      </c>
      <c r="J451" s="17">
        <v>1100000</v>
      </c>
      <c r="K451" s="15" t="s">
        <v>935</v>
      </c>
      <c r="L451" s="15" t="s">
        <v>300</v>
      </c>
      <c r="M451" s="15" t="s">
        <v>74</v>
      </c>
      <c r="N451" s="15" t="s">
        <v>1415</v>
      </c>
      <c r="O451" s="15">
        <v>25</v>
      </c>
      <c r="P451" s="15" t="s">
        <v>1483</v>
      </c>
      <c r="Q451" s="15" t="s">
        <v>1486</v>
      </c>
      <c r="R451" s="15"/>
    </row>
    <row r="452" spans="1:18" x14ac:dyDescent="0.35">
      <c r="A452" s="15" t="s">
        <v>1487</v>
      </c>
      <c r="B452" s="16">
        <v>45590</v>
      </c>
      <c r="C452" s="15" t="s">
        <v>1414</v>
      </c>
      <c r="D452" s="15">
        <v>2024</v>
      </c>
      <c r="E452" s="15" t="s">
        <v>46</v>
      </c>
      <c r="F452" s="15" t="s">
        <v>131</v>
      </c>
      <c r="G452" s="15" t="s">
        <v>34</v>
      </c>
      <c r="H452" s="15" t="s">
        <v>1390</v>
      </c>
      <c r="I452" s="15" t="s">
        <v>1488</v>
      </c>
      <c r="J452" s="17">
        <v>100000</v>
      </c>
      <c r="K452" s="15" t="s">
        <v>935</v>
      </c>
      <c r="L452" s="15" t="s">
        <v>300</v>
      </c>
      <c r="M452" s="15" t="s">
        <v>74</v>
      </c>
      <c r="N452" s="15" t="s">
        <v>1415</v>
      </c>
      <c r="O452" s="15">
        <v>27</v>
      </c>
      <c r="P452" s="15" t="s">
        <v>1489</v>
      </c>
      <c r="Q452" s="15" t="s">
        <v>1490</v>
      </c>
      <c r="R452" s="15"/>
    </row>
    <row r="453" spans="1:18" x14ac:dyDescent="0.35">
      <c r="A453" s="15" t="s">
        <v>1491</v>
      </c>
      <c r="B453" s="16">
        <v>45590</v>
      </c>
      <c r="C453" s="15" t="s">
        <v>1414</v>
      </c>
      <c r="D453" s="15">
        <v>2024</v>
      </c>
      <c r="E453" s="15" t="s">
        <v>46</v>
      </c>
      <c r="F453" s="15" t="s">
        <v>131</v>
      </c>
      <c r="G453" s="15" t="s">
        <v>29</v>
      </c>
      <c r="H453" s="15" t="s">
        <v>704</v>
      </c>
      <c r="I453" s="15" t="s">
        <v>705</v>
      </c>
      <c r="J453" s="17">
        <v>100000</v>
      </c>
      <c r="K453" s="15" t="s">
        <v>935</v>
      </c>
      <c r="L453" s="15" t="s">
        <v>300</v>
      </c>
      <c r="M453" s="15" t="s">
        <v>74</v>
      </c>
      <c r="N453" s="15" t="s">
        <v>1415</v>
      </c>
      <c r="O453" s="15">
        <v>26</v>
      </c>
      <c r="P453" s="15" t="s">
        <v>1489</v>
      </c>
      <c r="Q453" s="15" t="s">
        <v>1492</v>
      </c>
      <c r="R453" s="15"/>
    </row>
    <row r="454" spans="1:18" x14ac:dyDescent="0.35">
      <c r="A454" s="15" t="s">
        <v>1493</v>
      </c>
      <c r="B454" s="16">
        <v>45590</v>
      </c>
      <c r="C454" s="15" t="s">
        <v>1414</v>
      </c>
      <c r="D454" s="15">
        <v>2024</v>
      </c>
      <c r="E454" s="15" t="s">
        <v>47</v>
      </c>
      <c r="F454" s="15" t="s">
        <v>131</v>
      </c>
      <c r="G454" s="15" t="s">
        <v>40</v>
      </c>
      <c r="H454" s="15" t="s">
        <v>1481</v>
      </c>
      <c r="I454" s="15" t="s">
        <v>1482</v>
      </c>
      <c r="J454" s="17">
        <v>10000000</v>
      </c>
      <c r="K454" s="15" t="s">
        <v>999</v>
      </c>
      <c r="L454" s="15" t="s">
        <v>300</v>
      </c>
      <c r="M454" s="15" t="s">
        <v>74</v>
      </c>
      <c r="N454" s="15" t="s">
        <v>1415</v>
      </c>
      <c r="O454" s="15">
        <v>15</v>
      </c>
      <c r="P454" s="15" t="s">
        <v>1489</v>
      </c>
      <c r="Q454" s="15" t="s">
        <v>1494</v>
      </c>
      <c r="R454" s="15"/>
    </row>
    <row r="455" spans="1:18" x14ac:dyDescent="0.35">
      <c r="A455" s="15" t="s">
        <v>1495</v>
      </c>
      <c r="B455" s="16">
        <v>45590</v>
      </c>
      <c r="C455" s="15" t="s">
        <v>1414</v>
      </c>
      <c r="D455" s="15">
        <v>2024</v>
      </c>
      <c r="E455" s="15" t="s">
        <v>46</v>
      </c>
      <c r="F455" s="15" t="s">
        <v>131</v>
      </c>
      <c r="G455" s="15" t="s">
        <v>32</v>
      </c>
      <c r="H455" s="15" t="s">
        <v>1410</v>
      </c>
      <c r="I455" s="15" t="s">
        <v>1496</v>
      </c>
      <c r="J455" s="17">
        <v>600000</v>
      </c>
      <c r="K455" s="15" t="s">
        <v>999</v>
      </c>
      <c r="L455" s="15" t="s">
        <v>300</v>
      </c>
      <c r="M455" s="15" t="s">
        <v>74</v>
      </c>
      <c r="N455" s="15" t="s">
        <v>1415</v>
      </c>
      <c r="O455" s="15">
        <v>17</v>
      </c>
      <c r="P455" s="15" t="s">
        <v>1489</v>
      </c>
      <c r="Q455" s="15" t="s">
        <v>1497</v>
      </c>
      <c r="R455" s="15"/>
    </row>
    <row r="456" spans="1:18" x14ac:dyDescent="0.35">
      <c r="A456" s="15" t="s">
        <v>1498</v>
      </c>
      <c r="B456" s="16">
        <v>45591</v>
      </c>
      <c r="C456" s="15" t="s">
        <v>1414</v>
      </c>
      <c r="D456" s="15">
        <v>2024</v>
      </c>
      <c r="E456" s="15" t="s">
        <v>46</v>
      </c>
      <c r="F456" s="15" t="s">
        <v>131</v>
      </c>
      <c r="G456" s="15" t="s">
        <v>31</v>
      </c>
      <c r="H456" s="15" t="s">
        <v>997</v>
      </c>
      <c r="I456" s="15" t="s">
        <v>1499</v>
      </c>
      <c r="J456" s="17">
        <v>700000</v>
      </c>
      <c r="K456" s="15" t="s">
        <v>999</v>
      </c>
      <c r="L456" s="15" t="s">
        <v>300</v>
      </c>
      <c r="M456" s="15" t="s">
        <v>74</v>
      </c>
      <c r="N456" s="15" t="s">
        <v>1415</v>
      </c>
      <c r="O456" s="15">
        <v>21</v>
      </c>
      <c r="P456" s="15" t="s">
        <v>1500</v>
      </c>
      <c r="Q456" s="15"/>
      <c r="R456" s="15"/>
    </row>
    <row r="457" spans="1:18" x14ac:dyDescent="0.35">
      <c r="A457" s="15" t="s">
        <v>1501</v>
      </c>
      <c r="B457" s="16">
        <v>45591</v>
      </c>
      <c r="C457" s="15" t="s">
        <v>1414</v>
      </c>
      <c r="D457" s="15">
        <v>2024</v>
      </c>
      <c r="E457" s="15" t="s">
        <v>46</v>
      </c>
      <c r="F457" s="15" t="s">
        <v>131</v>
      </c>
      <c r="G457" s="15" t="s">
        <v>32</v>
      </c>
      <c r="H457" s="15" t="s">
        <v>1405</v>
      </c>
      <c r="I457" s="15" t="s">
        <v>1478</v>
      </c>
      <c r="J457" s="17">
        <v>1000000</v>
      </c>
      <c r="K457" s="15" t="s">
        <v>999</v>
      </c>
      <c r="L457" s="15" t="s">
        <v>300</v>
      </c>
      <c r="M457" s="15" t="s">
        <v>74</v>
      </c>
      <c r="N457" s="15" t="s">
        <v>1415</v>
      </c>
      <c r="O457" s="15">
        <v>20</v>
      </c>
      <c r="P457" s="15" t="s">
        <v>1500</v>
      </c>
      <c r="Q457" s="15" t="s">
        <v>1502</v>
      </c>
      <c r="R457" s="15"/>
    </row>
    <row r="458" spans="1:18" x14ac:dyDescent="0.35">
      <c r="A458" s="15" t="s">
        <v>1503</v>
      </c>
      <c r="B458" s="16">
        <v>45591</v>
      </c>
      <c r="C458" s="15" t="s">
        <v>1414</v>
      </c>
      <c r="D458" s="15">
        <v>2024</v>
      </c>
      <c r="E458" s="15" t="s">
        <v>46</v>
      </c>
      <c r="F458" s="15" t="s">
        <v>131</v>
      </c>
      <c r="G458" s="15" t="s">
        <v>31</v>
      </c>
      <c r="H458" s="15" t="s">
        <v>1023</v>
      </c>
      <c r="I458" s="15" t="s">
        <v>1160</v>
      </c>
      <c r="J458" s="17">
        <v>617500</v>
      </c>
      <c r="K458" s="15" t="s">
        <v>999</v>
      </c>
      <c r="L458" s="15" t="s">
        <v>300</v>
      </c>
      <c r="M458" s="15" t="s">
        <v>74</v>
      </c>
      <c r="N458" s="15" t="s">
        <v>1415</v>
      </c>
      <c r="O458" s="15">
        <v>18</v>
      </c>
      <c r="P458" s="15" t="s">
        <v>1500</v>
      </c>
      <c r="Q458" s="15"/>
      <c r="R458" s="15"/>
    </row>
    <row r="459" spans="1:18" x14ac:dyDescent="0.35">
      <c r="A459" s="15" t="s">
        <v>1504</v>
      </c>
      <c r="B459" s="16">
        <v>45593</v>
      </c>
      <c r="C459" s="15" t="s">
        <v>1414</v>
      </c>
      <c r="D459" s="15">
        <v>2024</v>
      </c>
      <c r="E459" s="15" t="s">
        <v>46</v>
      </c>
      <c r="F459" s="15" t="s">
        <v>131</v>
      </c>
      <c r="G459" s="15" t="s">
        <v>31</v>
      </c>
      <c r="H459" s="15" t="s">
        <v>713</v>
      </c>
      <c r="I459" s="15" t="s">
        <v>714</v>
      </c>
      <c r="J459" s="17">
        <v>500000</v>
      </c>
      <c r="K459" s="15" t="s">
        <v>999</v>
      </c>
      <c r="L459" s="15" t="s">
        <v>300</v>
      </c>
      <c r="M459" s="15" t="s">
        <v>74</v>
      </c>
      <c r="N459" s="15" t="s">
        <v>1415</v>
      </c>
      <c r="O459" s="15">
        <v>22</v>
      </c>
      <c r="P459" s="15" t="s">
        <v>1505</v>
      </c>
      <c r="Q459" s="15" t="s">
        <v>1506</v>
      </c>
      <c r="R459" s="15"/>
    </row>
    <row r="460" spans="1:18" x14ac:dyDescent="0.35">
      <c r="A460" s="15" t="s">
        <v>1507</v>
      </c>
      <c r="B460" s="16">
        <v>45593</v>
      </c>
      <c r="C460" s="15" t="s">
        <v>1414</v>
      </c>
      <c r="D460" s="15">
        <v>2024</v>
      </c>
      <c r="E460" s="15" t="s">
        <v>46</v>
      </c>
      <c r="F460" s="15" t="s">
        <v>131</v>
      </c>
      <c r="G460" s="15" t="s">
        <v>32</v>
      </c>
      <c r="H460" s="15" t="s">
        <v>1378</v>
      </c>
      <c r="I460" s="15" t="s">
        <v>1508</v>
      </c>
      <c r="J460" s="17">
        <v>700000</v>
      </c>
      <c r="K460" s="15" t="s">
        <v>935</v>
      </c>
      <c r="L460" s="15" t="s">
        <v>300</v>
      </c>
      <c r="M460" s="15" t="s">
        <v>74</v>
      </c>
      <c r="N460" s="15" t="s">
        <v>1415</v>
      </c>
      <c r="O460" s="15">
        <v>28</v>
      </c>
      <c r="P460" s="15" t="s">
        <v>1505</v>
      </c>
      <c r="Q460" s="15" t="s">
        <v>1509</v>
      </c>
      <c r="R460" s="15"/>
    </row>
    <row r="461" spans="1:18" x14ac:dyDescent="0.35">
      <c r="A461" s="15" t="s">
        <v>1510</v>
      </c>
      <c r="B461" s="16">
        <v>45593</v>
      </c>
      <c r="C461" s="15" t="s">
        <v>1414</v>
      </c>
      <c r="D461" s="15">
        <v>2024</v>
      </c>
      <c r="E461" s="15" t="s">
        <v>47</v>
      </c>
      <c r="F461" s="15" t="s">
        <v>131</v>
      </c>
      <c r="G461" s="15" t="s">
        <v>40</v>
      </c>
      <c r="H461" s="15" t="s">
        <v>1481</v>
      </c>
      <c r="I461" s="15" t="s">
        <v>1482</v>
      </c>
      <c r="J461" s="17">
        <v>10000000</v>
      </c>
      <c r="K461" s="15" t="s">
        <v>999</v>
      </c>
      <c r="L461" s="15" t="s">
        <v>300</v>
      </c>
      <c r="M461" s="15" t="s">
        <v>74</v>
      </c>
      <c r="N461" s="15" t="s">
        <v>1415</v>
      </c>
      <c r="O461" s="15">
        <v>23</v>
      </c>
      <c r="P461" s="15" t="s">
        <v>1505</v>
      </c>
      <c r="Q461" s="15" t="s">
        <v>1511</v>
      </c>
      <c r="R461" s="15"/>
    </row>
    <row r="462" spans="1:18" x14ac:dyDescent="0.35">
      <c r="A462" s="15" t="s">
        <v>1512</v>
      </c>
      <c r="B462" s="16">
        <v>45594</v>
      </c>
      <c r="C462" s="15" t="s">
        <v>1414</v>
      </c>
      <c r="D462" s="15">
        <v>2024</v>
      </c>
      <c r="E462" s="15" t="s">
        <v>46</v>
      </c>
      <c r="F462" s="15" t="s">
        <v>131</v>
      </c>
      <c r="G462" s="15" t="s">
        <v>32</v>
      </c>
      <c r="H462" s="15" t="s">
        <v>1410</v>
      </c>
      <c r="I462" s="15" t="s">
        <v>1496</v>
      </c>
      <c r="J462" s="17">
        <v>400000</v>
      </c>
      <c r="K462" s="15" t="s">
        <v>999</v>
      </c>
      <c r="L462" s="15" t="s">
        <v>300</v>
      </c>
      <c r="M462" s="15" t="s">
        <v>74</v>
      </c>
      <c r="N462" s="15" t="s">
        <v>1415</v>
      </c>
      <c r="O462" s="15">
        <v>24</v>
      </c>
      <c r="P462" s="15" t="s">
        <v>1513</v>
      </c>
      <c r="Q462" s="15" t="s">
        <v>1514</v>
      </c>
      <c r="R462" s="15"/>
    </row>
    <row r="463" spans="1:18" x14ac:dyDescent="0.35">
      <c r="A463" s="15" t="s">
        <v>1515</v>
      </c>
      <c r="B463" s="16">
        <v>45595</v>
      </c>
      <c r="C463" s="15" t="s">
        <v>1414</v>
      </c>
      <c r="D463" s="15">
        <v>2024</v>
      </c>
      <c r="E463" s="15" t="s">
        <v>46</v>
      </c>
      <c r="F463" s="15" t="s">
        <v>131</v>
      </c>
      <c r="G463" s="15" t="s">
        <v>31</v>
      </c>
      <c r="H463" s="15" t="s">
        <v>997</v>
      </c>
      <c r="I463" s="15" t="s">
        <v>1499</v>
      </c>
      <c r="J463" s="17">
        <v>700000</v>
      </c>
      <c r="K463" s="15" t="s">
        <v>999</v>
      </c>
      <c r="L463" s="15" t="s">
        <v>300</v>
      </c>
      <c r="M463" s="15" t="s">
        <v>74</v>
      </c>
      <c r="N463" s="15" t="s">
        <v>1415</v>
      </c>
      <c r="O463" s="15">
        <v>25</v>
      </c>
      <c r="P463" s="15" t="s">
        <v>1516</v>
      </c>
      <c r="Q463" s="15" t="s">
        <v>1517</v>
      </c>
      <c r="R463" s="15"/>
    </row>
    <row r="464" spans="1:18" x14ac:dyDescent="0.35">
      <c r="A464" s="15" t="s">
        <v>1518</v>
      </c>
      <c r="B464" s="16">
        <v>45595</v>
      </c>
      <c r="C464" s="15" t="s">
        <v>1414</v>
      </c>
      <c r="D464" s="15">
        <v>2024</v>
      </c>
      <c r="E464" s="15" t="s">
        <v>46</v>
      </c>
      <c r="F464" s="15" t="s">
        <v>131</v>
      </c>
      <c r="G464" s="15" t="s">
        <v>31</v>
      </c>
      <c r="H464" s="15" t="s">
        <v>1519</v>
      </c>
      <c r="I464" s="15" t="s">
        <v>1520</v>
      </c>
      <c r="J464" s="17">
        <v>2000000</v>
      </c>
      <c r="K464" s="15" t="s">
        <v>935</v>
      </c>
      <c r="L464" s="15" t="s">
        <v>300</v>
      </c>
      <c r="M464" s="15" t="s">
        <v>74</v>
      </c>
      <c r="N464" s="15" t="s">
        <v>1415</v>
      </c>
      <c r="O464" s="15">
        <v>29</v>
      </c>
      <c r="P464" s="15" t="s">
        <v>1516</v>
      </c>
      <c r="Q464" s="15" t="s">
        <v>1521</v>
      </c>
      <c r="R464" s="15"/>
    </row>
    <row r="465" spans="1:18" x14ac:dyDescent="0.35">
      <c r="A465" s="15" t="s">
        <v>1522</v>
      </c>
      <c r="B465" s="16">
        <v>45595</v>
      </c>
      <c r="C465" s="15" t="s">
        <v>1414</v>
      </c>
      <c r="D465" s="15">
        <v>2024</v>
      </c>
      <c r="E465" s="15" t="s">
        <v>47</v>
      </c>
      <c r="F465" s="15" t="s">
        <v>131</v>
      </c>
      <c r="G465" s="15" t="s">
        <v>40</v>
      </c>
      <c r="H465" s="15" t="s">
        <v>1481</v>
      </c>
      <c r="I465" s="15" t="s">
        <v>1482</v>
      </c>
      <c r="J465" s="17">
        <v>20000000</v>
      </c>
      <c r="K465" s="15" t="s">
        <v>999</v>
      </c>
      <c r="L465" s="15" t="s">
        <v>300</v>
      </c>
      <c r="M465" s="15" t="s">
        <v>74</v>
      </c>
      <c r="N465" s="15" t="s">
        <v>1415</v>
      </c>
      <c r="O465" s="15">
        <v>26</v>
      </c>
      <c r="P465" s="15" t="s">
        <v>1516</v>
      </c>
      <c r="Q465" s="15"/>
      <c r="R465" s="15"/>
    </row>
    <row r="466" spans="1:18" x14ac:dyDescent="0.35">
      <c r="A466" s="15" t="s">
        <v>1523</v>
      </c>
      <c r="B466" s="16">
        <v>45595</v>
      </c>
      <c r="C466" s="15" t="s">
        <v>1414</v>
      </c>
      <c r="D466" s="15">
        <v>2024</v>
      </c>
      <c r="E466" s="15" t="s">
        <v>46</v>
      </c>
      <c r="F466" s="15" t="s">
        <v>131</v>
      </c>
      <c r="G466" s="15" t="s">
        <v>32</v>
      </c>
      <c r="H466" s="15" t="s">
        <v>1410</v>
      </c>
      <c r="I466" s="15" t="s">
        <v>1496</v>
      </c>
      <c r="J466" s="17">
        <v>100000</v>
      </c>
      <c r="K466" s="15" t="s">
        <v>999</v>
      </c>
      <c r="L466" s="15" t="s">
        <v>300</v>
      </c>
      <c r="M466" s="15" t="s">
        <v>74</v>
      </c>
      <c r="N466" s="15" t="s">
        <v>1415</v>
      </c>
      <c r="O466" s="15">
        <v>28</v>
      </c>
      <c r="P466" s="15" t="s">
        <v>1516</v>
      </c>
      <c r="Q466" s="15" t="s">
        <v>1524</v>
      </c>
      <c r="R466" s="15"/>
    </row>
    <row r="467" spans="1:18" x14ac:dyDescent="0.35">
      <c r="A467" s="15" t="s">
        <v>1525</v>
      </c>
      <c r="B467" s="16">
        <v>45595</v>
      </c>
      <c r="C467" s="15" t="s">
        <v>1414</v>
      </c>
      <c r="D467" s="15">
        <v>2024</v>
      </c>
      <c r="E467" s="15" t="s">
        <v>47</v>
      </c>
      <c r="F467" s="15" t="s">
        <v>131</v>
      </c>
      <c r="G467" s="15" t="s">
        <v>40</v>
      </c>
      <c r="H467" s="15" t="s">
        <v>1526</v>
      </c>
      <c r="I467" s="15" t="s">
        <v>1527</v>
      </c>
      <c r="J467" s="17">
        <v>10000000</v>
      </c>
      <c r="K467" s="15" t="s">
        <v>999</v>
      </c>
      <c r="L467" s="15" t="s">
        <v>300</v>
      </c>
      <c r="M467" s="15" t="s">
        <v>74</v>
      </c>
      <c r="N467" s="15" t="s">
        <v>1415</v>
      </c>
      <c r="O467" s="15">
        <v>27</v>
      </c>
      <c r="P467" s="15" t="s">
        <v>1516</v>
      </c>
      <c r="Q467" s="15" t="s">
        <v>1528</v>
      </c>
      <c r="R467" s="15"/>
    </row>
    <row r="468" spans="1:18" x14ac:dyDescent="0.35">
      <c r="A468" s="15" t="s">
        <v>1529</v>
      </c>
      <c r="B468" s="16">
        <v>45596</v>
      </c>
      <c r="C468" s="15" t="s">
        <v>1414</v>
      </c>
      <c r="D468" s="15">
        <v>2024</v>
      </c>
      <c r="E468" s="15" t="s">
        <v>46</v>
      </c>
      <c r="F468" s="15" t="s">
        <v>131</v>
      </c>
      <c r="G468" s="15" t="s">
        <v>31</v>
      </c>
      <c r="H468" s="15" t="s">
        <v>997</v>
      </c>
      <c r="I468" s="15" t="s">
        <v>1499</v>
      </c>
      <c r="J468" s="17">
        <v>175000</v>
      </c>
      <c r="K468" s="15" t="s">
        <v>999</v>
      </c>
      <c r="L468" s="15" t="s">
        <v>300</v>
      </c>
      <c r="M468" s="15" t="s">
        <v>74</v>
      </c>
      <c r="N468" s="15" t="s">
        <v>1415</v>
      </c>
      <c r="O468" s="15">
        <v>29</v>
      </c>
      <c r="P468" s="15" t="s">
        <v>1530</v>
      </c>
      <c r="Q468" s="15" t="s">
        <v>1531</v>
      </c>
      <c r="R468" s="15"/>
    </row>
    <row r="469" spans="1:18" x14ac:dyDescent="0.35">
      <c r="A469" s="15" t="s">
        <v>1532</v>
      </c>
      <c r="B469" s="16">
        <v>45596</v>
      </c>
      <c r="C469" s="15" t="s">
        <v>1414</v>
      </c>
      <c r="D469" s="15">
        <v>2024</v>
      </c>
      <c r="E469" s="15" t="s">
        <v>46</v>
      </c>
      <c r="F469" s="15" t="s">
        <v>131</v>
      </c>
      <c r="G469" s="15" t="s">
        <v>32</v>
      </c>
      <c r="H469" s="15" t="s">
        <v>568</v>
      </c>
      <c r="I469" s="15" t="s">
        <v>875</v>
      </c>
      <c r="J469" s="17">
        <v>1400000</v>
      </c>
      <c r="K469" s="15" t="s">
        <v>935</v>
      </c>
      <c r="L469" s="15" t="s">
        <v>300</v>
      </c>
      <c r="M469" s="15" t="s">
        <v>74</v>
      </c>
      <c r="N469" s="15" t="s">
        <v>1415</v>
      </c>
      <c r="O469" s="15">
        <v>30</v>
      </c>
      <c r="P469" s="15" t="s">
        <v>1530</v>
      </c>
      <c r="Q469" s="15" t="s">
        <v>1533</v>
      </c>
      <c r="R469" s="15"/>
    </row>
    <row r="470" spans="1:18" x14ac:dyDescent="0.35">
      <c r="A470" s="15" t="s">
        <v>1534</v>
      </c>
      <c r="B470" s="16">
        <v>45596</v>
      </c>
      <c r="C470" s="15" t="s">
        <v>1414</v>
      </c>
      <c r="D470" s="15">
        <v>2024</v>
      </c>
      <c r="E470" s="15" t="s">
        <v>46</v>
      </c>
      <c r="F470" s="15" t="s">
        <v>131</v>
      </c>
      <c r="G470" s="15" t="s">
        <v>32</v>
      </c>
      <c r="H470" s="15" t="s">
        <v>1405</v>
      </c>
      <c r="I470" s="15" t="s">
        <v>1478</v>
      </c>
      <c r="J470" s="17">
        <v>1665000</v>
      </c>
      <c r="K470" s="15" t="s">
        <v>999</v>
      </c>
      <c r="L470" s="15" t="s">
        <v>300</v>
      </c>
      <c r="M470" s="15" t="s">
        <v>74</v>
      </c>
      <c r="N470" s="15" t="s">
        <v>1415</v>
      </c>
      <c r="O470" s="15">
        <v>30</v>
      </c>
      <c r="P470" s="15" t="s">
        <v>1530</v>
      </c>
      <c r="Q470" s="15" t="s">
        <v>1535</v>
      </c>
      <c r="R470" s="15"/>
    </row>
    <row r="471" spans="1:18" x14ac:dyDescent="0.35">
      <c r="A471" s="15" t="s">
        <v>1536</v>
      </c>
      <c r="B471" s="16">
        <v>45597</v>
      </c>
      <c r="C471" s="15" t="s">
        <v>1537</v>
      </c>
      <c r="D471" s="15">
        <v>2024</v>
      </c>
      <c r="E471" s="15" t="s">
        <v>46</v>
      </c>
      <c r="F471" s="15" t="s">
        <v>131</v>
      </c>
      <c r="G471" s="15" t="s">
        <v>32</v>
      </c>
      <c r="H471" s="15" t="s">
        <v>184</v>
      </c>
      <c r="I471" s="15" t="s">
        <v>216</v>
      </c>
      <c r="J471" s="17">
        <v>500000</v>
      </c>
      <c r="K471" s="15" t="s">
        <v>935</v>
      </c>
      <c r="L471" s="15" t="s">
        <v>300</v>
      </c>
      <c r="M471" s="15" t="s">
        <v>74</v>
      </c>
      <c r="N471" s="15" t="s">
        <v>1538</v>
      </c>
      <c r="O471" s="15">
        <v>8</v>
      </c>
      <c r="P471" s="15" t="s">
        <v>1539</v>
      </c>
      <c r="Q471" s="15" t="s">
        <v>1540</v>
      </c>
      <c r="R471" s="15"/>
    </row>
    <row r="472" spans="1:18" x14ac:dyDescent="0.35">
      <c r="A472" s="15" t="s">
        <v>1541</v>
      </c>
      <c r="B472" s="16">
        <v>45598</v>
      </c>
      <c r="C472" s="15" t="s">
        <v>1537</v>
      </c>
      <c r="D472" s="15">
        <v>2024</v>
      </c>
      <c r="E472" s="15" t="s">
        <v>46</v>
      </c>
      <c r="F472" s="15" t="s">
        <v>131</v>
      </c>
      <c r="G472" s="15" t="s">
        <v>32</v>
      </c>
      <c r="H472" s="15" t="s">
        <v>713</v>
      </c>
      <c r="I472" s="15" t="s">
        <v>714</v>
      </c>
      <c r="J472" s="17">
        <v>335000</v>
      </c>
      <c r="K472" s="15" t="s">
        <v>999</v>
      </c>
      <c r="L472" s="15" t="s">
        <v>300</v>
      </c>
      <c r="M472" s="15" t="s">
        <v>74</v>
      </c>
      <c r="N472" s="15" t="s">
        <v>1538</v>
      </c>
      <c r="O472" s="15">
        <v>8</v>
      </c>
      <c r="P472" s="15" t="s">
        <v>1542</v>
      </c>
      <c r="Q472" s="15" t="s">
        <v>1543</v>
      </c>
      <c r="R472" s="15"/>
    </row>
    <row r="473" spans="1:18" x14ac:dyDescent="0.35">
      <c r="A473" s="15" t="s">
        <v>1544</v>
      </c>
      <c r="B473" s="16">
        <v>45598</v>
      </c>
      <c r="C473" s="15" t="s">
        <v>1537</v>
      </c>
      <c r="D473" s="15">
        <v>2024</v>
      </c>
      <c r="E473" s="15" t="s">
        <v>46</v>
      </c>
      <c r="F473" s="15" t="s">
        <v>131</v>
      </c>
      <c r="G473" s="15" t="s">
        <v>32</v>
      </c>
      <c r="H473" s="15" t="s">
        <v>1545</v>
      </c>
      <c r="I473" s="15" t="s">
        <v>1546</v>
      </c>
      <c r="J473" s="17">
        <v>300000</v>
      </c>
      <c r="K473" s="15" t="s">
        <v>935</v>
      </c>
      <c r="L473" s="15" t="s">
        <v>300</v>
      </c>
      <c r="M473" s="15" t="s">
        <v>74</v>
      </c>
      <c r="N473" s="15" t="s">
        <v>1538</v>
      </c>
      <c r="O473" s="15">
        <v>9</v>
      </c>
      <c r="P473" s="15" t="s">
        <v>1542</v>
      </c>
      <c r="Q473" s="15"/>
      <c r="R473" s="15"/>
    </row>
    <row r="474" spans="1:18" x14ac:dyDescent="0.35">
      <c r="A474" s="15" t="s">
        <v>1547</v>
      </c>
      <c r="B474" s="16">
        <v>45598</v>
      </c>
      <c r="C474" s="15" t="s">
        <v>1537</v>
      </c>
      <c r="D474" s="15">
        <v>2024</v>
      </c>
      <c r="E474" s="15" t="s">
        <v>46</v>
      </c>
      <c r="F474" s="15" t="s">
        <v>982</v>
      </c>
      <c r="G474" s="15" t="s">
        <v>38</v>
      </c>
      <c r="H474" s="15" t="s">
        <v>203</v>
      </c>
      <c r="I474" s="15" t="s">
        <v>943</v>
      </c>
      <c r="J474" s="17">
        <v>50000</v>
      </c>
      <c r="K474" s="15" t="s">
        <v>935</v>
      </c>
      <c r="L474" s="15" t="s">
        <v>300</v>
      </c>
      <c r="M474" s="15" t="s">
        <v>74</v>
      </c>
      <c r="N474" s="15" t="s">
        <v>1538</v>
      </c>
      <c r="O474" s="15">
        <v>10</v>
      </c>
      <c r="P474" s="15" t="s">
        <v>1542</v>
      </c>
      <c r="Q474" s="15"/>
      <c r="R474" s="15"/>
    </row>
    <row r="475" spans="1:18" x14ac:dyDescent="0.35">
      <c r="A475" s="15" t="s">
        <v>1548</v>
      </c>
      <c r="B475" s="16">
        <v>45598</v>
      </c>
      <c r="C475" s="15" t="s">
        <v>1537</v>
      </c>
      <c r="D475" s="15">
        <v>2024</v>
      </c>
      <c r="E475" s="15" t="s">
        <v>46</v>
      </c>
      <c r="F475" s="15" t="s">
        <v>131</v>
      </c>
      <c r="G475" s="15" t="s">
        <v>31</v>
      </c>
      <c r="H475" s="15" t="s">
        <v>203</v>
      </c>
      <c r="I475" s="15" t="s">
        <v>943</v>
      </c>
      <c r="J475" s="17">
        <v>200000</v>
      </c>
      <c r="K475" s="15" t="s">
        <v>935</v>
      </c>
      <c r="L475" s="15" t="s">
        <v>300</v>
      </c>
      <c r="M475" s="15" t="s">
        <v>74</v>
      </c>
      <c r="N475" s="15" t="s">
        <v>1538</v>
      </c>
      <c r="O475" s="15">
        <v>11</v>
      </c>
      <c r="P475" s="15" t="s">
        <v>1542</v>
      </c>
      <c r="Q475" s="15" t="s">
        <v>1549</v>
      </c>
      <c r="R475" s="15"/>
    </row>
    <row r="476" spans="1:18" x14ac:dyDescent="0.35">
      <c r="A476" s="15" t="s">
        <v>1550</v>
      </c>
      <c r="B476" s="16">
        <v>45598</v>
      </c>
      <c r="C476" s="15" t="s">
        <v>1537</v>
      </c>
      <c r="D476" s="15">
        <v>2024</v>
      </c>
      <c r="E476" s="15" t="s">
        <v>46</v>
      </c>
      <c r="F476" s="15" t="s">
        <v>131</v>
      </c>
      <c r="G476" s="15" t="s">
        <v>27</v>
      </c>
      <c r="H476" s="15" t="s">
        <v>203</v>
      </c>
      <c r="I476" s="15" t="s">
        <v>943</v>
      </c>
      <c r="J476" s="17">
        <v>500000</v>
      </c>
      <c r="K476" s="15" t="s">
        <v>935</v>
      </c>
      <c r="L476" s="15" t="s">
        <v>300</v>
      </c>
      <c r="M476" s="15" t="s">
        <v>74</v>
      </c>
      <c r="N476" s="15" t="s">
        <v>1538</v>
      </c>
      <c r="O476" s="15">
        <v>12</v>
      </c>
      <c r="P476" s="15" t="s">
        <v>1542</v>
      </c>
      <c r="Q476" s="15" t="s">
        <v>1551</v>
      </c>
      <c r="R476" s="15"/>
    </row>
    <row r="477" spans="1:18" x14ac:dyDescent="0.35">
      <c r="A477" s="15" t="s">
        <v>1552</v>
      </c>
      <c r="B477" s="16">
        <v>45600</v>
      </c>
      <c r="C477" s="15" t="s">
        <v>1537</v>
      </c>
      <c r="D477" s="15">
        <v>2024</v>
      </c>
      <c r="E477" s="15" t="s">
        <v>46</v>
      </c>
      <c r="F477" s="15" t="s">
        <v>131</v>
      </c>
      <c r="G477" s="15" t="s">
        <v>32</v>
      </c>
      <c r="H477" s="15" t="s">
        <v>713</v>
      </c>
      <c r="I477" s="15" t="s">
        <v>714</v>
      </c>
      <c r="J477" s="17">
        <v>1000000</v>
      </c>
      <c r="K477" s="15" t="s">
        <v>999</v>
      </c>
      <c r="L477" s="15" t="s">
        <v>300</v>
      </c>
      <c r="M477" s="15" t="s">
        <v>74</v>
      </c>
      <c r="N477" s="15" t="s">
        <v>1538</v>
      </c>
      <c r="O477" s="15">
        <v>9</v>
      </c>
      <c r="P477" s="15" t="s">
        <v>1553</v>
      </c>
      <c r="Q477" s="15" t="s">
        <v>1554</v>
      </c>
      <c r="R477" s="15"/>
    </row>
    <row r="478" spans="1:18" x14ac:dyDescent="0.35">
      <c r="A478" s="15" t="s">
        <v>1555</v>
      </c>
      <c r="B478" s="16">
        <v>45601</v>
      </c>
      <c r="C478" s="15" t="s">
        <v>1537</v>
      </c>
      <c r="D478" s="15">
        <v>2024</v>
      </c>
      <c r="E478" s="15" t="s">
        <v>46</v>
      </c>
      <c r="F478" s="15" t="s">
        <v>982</v>
      </c>
      <c r="G478" s="15" t="s">
        <v>37</v>
      </c>
      <c r="H478" s="15" t="s">
        <v>568</v>
      </c>
      <c r="I478" s="15" t="s">
        <v>875</v>
      </c>
      <c r="J478" s="17">
        <v>130000</v>
      </c>
      <c r="K478" s="15" t="s">
        <v>935</v>
      </c>
      <c r="L478" s="15" t="s">
        <v>300</v>
      </c>
      <c r="M478" s="15" t="s">
        <v>74</v>
      </c>
      <c r="N478" s="15" t="s">
        <v>1538</v>
      </c>
      <c r="O478" s="15">
        <v>13</v>
      </c>
      <c r="P478" s="15" t="s">
        <v>1556</v>
      </c>
      <c r="Q478" s="15"/>
      <c r="R478" s="15"/>
    </row>
    <row r="479" spans="1:18" x14ac:dyDescent="0.35">
      <c r="A479" s="15" t="s">
        <v>1557</v>
      </c>
      <c r="B479" s="16">
        <v>45601</v>
      </c>
      <c r="C479" s="15" t="s">
        <v>1537</v>
      </c>
      <c r="D479" s="15">
        <v>2024</v>
      </c>
      <c r="E479" s="15" t="s">
        <v>46</v>
      </c>
      <c r="F479" s="15" t="s">
        <v>131</v>
      </c>
      <c r="G479" s="15" t="s">
        <v>32</v>
      </c>
      <c r="H479" s="15" t="s">
        <v>1410</v>
      </c>
      <c r="I479" s="15" t="s">
        <v>1496</v>
      </c>
      <c r="J479" s="17">
        <v>100000</v>
      </c>
      <c r="K479" s="15" t="s">
        <v>999</v>
      </c>
      <c r="L479" s="15" t="s">
        <v>300</v>
      </c>
      <c r="M479" s="15" t="s">
        <v>74</v>
      </c>
      <c r="N479" s="15" t="s">
        <v>1538</v>
      </c>
      <c r="O479" s="15">
        <v>10</v>
      </c>
      <c r="P479" s="15" t="s">
        <v>1558</v>
      </c>
      <c r="Q479" s="15"/>
      <c r="R479" s="15" t="s">
        <v>1559</v>
      </c>
    </row>
    <row r="480" spans="1:18" x14ac:dyDescent="0.35">
      <c r="A480" s="15" t="s">
        <v>1560</v>
      </c>
      <c r="B480" s="16">
        <v>45602</v>
      </c>
      <c r="C480" s="15" t="s">
        <v>1537</v>
      </c>
      <c r="D480" s="15">
        <v>2024</v>
      </c>
      <c r="E480" s="15" t="s">
        <v>46</v>
      </c>
      <c r="F480" s="15" t="s">
        <v>131</v>
      </c>
      <c r="G480" s="15" t="s">
        <v>32</v>
      </c>
      <c r="H480" s="15" t="s">
        <v>1410</v>
      </c>
      <c r="I480" s="15" t="s">
        <v>1496</v>
      </c>
      <c r="J480" s="17">
        <v>200000</v>
      </c>
      <c r="K480" s="15" t="s">
        <v>999</v>
      </c>
      <c r="L480" s="15" t="s">
        <v>300</v>
      </c>
      <c r="M480" s="15" t="s">
        <v>74</v>
      </c>
      <c r="N480" s="15" t="s">
        <v>1538</v>
      </c>
      <c r="O480" s="15">
        <v>11</v>
      </c>
      <c r="P480" s="15" t="s">
        <v>1561</v>
      </c>
      <c r="Q480" s="15" t="s">
        <v>1562</v>
      </c>
      <c r="R480" s="15"/>
    </row>
    <row r="481" spans="1:18" x14ac:dyDescent="0.35">
      <c r="A481" s="15" t="s">
        <v>1563</v>
      </c>
      <c r="B481" s="16">
        <v>45602</v>
      </c>
      <c r="C481" s="15" t="s">
        <v>1537</v>
      </c>
      <c r="D481" s="15">
        <v>2024</v>
      </c>
      <c r="E481" s="15" t="s">
        <v>46</v>
      </c>
      <c r="F481" s="15" t="s">
        <v>131</v>
      </c>
      <c r="G481" s="15" t="s">
        <v>34</v>
      </c>
      <c r="H481" s="15" t="s">
        <v>1386</v>
      </c>
      <c r="I481" s="15" t="s">
        <v>1564</v>
      </c>
      <c r="J481" s="17">
        <v>145000</v>
      </c>
      <c r="K481" s="15" t="s">
        <v>935</v>
      </c>
      <c r="L481" s="15" t="s">
        <v>300</v>
      </c>
      <c r="M481" s="15" t="s">
        <v>74</v>
      </c>
      <c r="N481" s="15" t="s">
        <v>1538</v>
      </c>
      <c r="O481" s="15">
        <v>14</v>
      </c>
      <c r="P481" s="15" t="s">
        <v>1561</v>
      </c>
      <c r="Q481" s="15"/>
      <c r="R481" s="15"/>
    </row>
    <row r="482" spans="1:18" x14ac:dyDescent="0.35">
      <c r="A482" s="15" t="s">
        <v>1565</v>
      </c>
      <c r="B482" s="16">
        <v>45603</v>
      </c>
      <c r="C482" s="15" t="s">
        <v>1537</v>
      </c>
      <c r="D482" s="15">
        <v>2024</v>
      </c>
      <c r="E482" s="15" t="s">
        <v>46</v>
      </c>
      <c r="F482" s="15" t="s">
        <v>131</v>
      </c>
      <c r="G482" s="15" t="s">
        <v>31</v>
      </c>
      <c r="H482" s="15" t="s">
        <v>1365</v>
      </c>
      <c r="I482" s="15" t="s">
        <v>1366</v>
      </c>
      <c r="J482" s="17">
        <v>3000000</v>
      </c>
      <c r="K482" s="15" t="s">
        <v>935</v>
      </c>
      <c r="L482" s="15" t="s">
        <v>300</v>
      </c>
      <c r="M482" s="15" t="s">
        <v>74</v>
      </c>
      <c r="N482" s="15" t="s">
        <v>1538</v>
      </c>
      <c r="O482" s="15">
        <v>16</v>
      </c>
      <c r="P482" s="15" t="s">
        <v>1566</v>
      </c>
      <c r="Q482" s="15" t="s">
        <v>1567</v>
      </c>
      <c r="R482" s="15"/>
    </row>
    <row r="483" spans="1:18" x14ac:dyDescent="0.35">
      <c r="A483" s="15" t="s">
        <v>1568</v>
      </c>
      <c r="B483" s="16">
        <v>45603</v>
      </c>
      <c r="C483" s="15" t="s">
        <v>1537</v>
      </c>
      <c r="D483" s="15">
        <v>2024</v>
      </c>
      <c r="E483" s="15" t="s">
        <v>46</v>
      </c>
      <c r="F483" s="15" t="s">
        <v>982</v>
      </c>
      <c r="G483" s="15" t="s">
        <v>37</v>
      </c>
      <c r="H483" s="15" t="s">
        <v>1147</v>
      </c>
      <c r="I483" s="15" t="s">
        <v>1148</v>
      </c>
      <c r="J483" s="17">
        <v>135000</v>
      </c>
      <c r="K483" s="15" t="s">
        <v>935</v>
      </c>
      <c r="L483" s="15" t="s">
        <v>300</v>
      </c>
      <c r="M483" s="15" t="s">
        <v>74</v>
      </c>
      <c r="N483" s="15" t="s">
        <v>1538</v>
      </c>
      <c r="O483" s="15">
        <v>15</v>
      </c>
      <c r="P483" s="15" t="s">
        <v>1566</v>
      </c>
      <c r="Q483" s="15"/>
      <c r="R483" s="15"/>
    </row>
    <row r="484" spans="1:18" x14ac:dyDescent="0.35">
      <c r="A484" s="15" t="s">
        <v>1569</v>
      </c>
      <c r="B484" s="16">
        <v>45604</v>
      </c>
      <c r="C484" s="15" t="s">
        <v>1537</v>
      </c>
      <c r="D484" s="15">
        <v>2024</v>
      </c>
      <c r="E484" s="15" t="s">
        <v>46</v>
      </c>
      <c r="F484" s="15" t="s">
        <v>131</v>
      </c>
      <c r="G484" s="15" t="s">
        <v>32</v>
      </c>
      <c r="H484" s="15" t="s">
        <v>1436</v>
      </c>
      <c r="I484" s="15" t="s">
        <v>1437</v>
      </c>
      <c r="J484" s="17">
        <v>1000000</v>
      </c>
      <c r="K484" s="15" t="s">
        <v>935</v>
      </c>
      <c r="L484" s="15" t="s">
        <v>300</v>
      </c>
      <c r="M484" s="15" t="s">
        <v>74</v>
      </c>
      <c r="N484" s="15" t="s">
        <v>1538</v>
      </c>
      <c r="O484" s="15">
        <v>17</v>
      </c>
      <c r="P484" s="15" t="s">
        <v>1570</v>
      </c>
      <c r="Q484" s="15" t="s">
        <v>1571</v>
      </c>
      <c r="R484" s="15"/>
    </row>
    <row r="485" spans="1:18" x14ac:dyDescent="0.35">
      <c r="A485" s="15" t="s">
        <v>1572</v>
      </c>
      <c r="B485" s="16">
        <v>45605</v>
      </c>
      <c r="C485" s="15" t="s">
        <v>1537</v>
      </c>
      <c r="D485" s="15">
        <v>2024</v>
      </c>
      <c r="E485" s="15" t="s">
        <v>47</v>
      </c>
      <c r="F485" s="15" t="s">
        <v>131</v>
      </c>
      <c r="G485" s="15" t="s">
        <v>40</v>
      </c>
      <c r="H485" s="15" t="s">
        <v>1573</v>
      </c>
      <c r="I485" s="15" t="s">
        <v>1574</v>
      </c>
      <c r="J485" s="17">
        <v>4000000</v>
      </c>
      <c r="K485" s="15" t="s">
        <v>999</v>
      </c>
      <c r="L485" s="15" t="s">
        <v>300</v>
      </c>
      <c r="M485" s="15" t="s">
        <v>74</v>
      </c>
      <c r="N485" s="15" t="s">
        <v>1538</v>
      </c>
      <c r="O485" s="15">
        <v>12</v>
      </c>
      <c r="P485" s="15" t="s">
        <v>1575</v>
      </c>
      <c r="Q485" s="15" t="s">
        <v>1576</v>
      </c>
      <c r="R485" s="15"/>
    </row>
    <row r="486" spans="1:18" x14ac:dyDescent="0.35">
      <c r="A486" s="15" t="s">
        <v>1577</v>
      </c>
      <c r="B486" s="16">
        <v>45605</v>
      </c>
      <c r="C486" s="15" t="s">
        <v>1537</v>
      </c>
      <c r="D486" s="15">
        <v>2024</v>
      </c>
      <c r="E486" s="15" t="s">
        <v>46</v>
      </c>
      <c r="F486" s="15" t="s">
        <v>982</v>
      </c>
      <c r="G486" s="15" t="s">
        <v>37</v>
      </c>
      <c r="H486" s="15" t="s">
        <v>1317</v>
      </c>
      <c r="I486" s="15" t="s">
        <v>1578</v>
      </c>
      <c r="J486" s="17">
        <v>135000</v>
      </c>
      <c r="K486" s="15" t="s">
        <v>935</v>
      </c>
      <c r="L486" s="15" t="s">
        <v>300</v>
      </c>
      <c r="M486" s="15" t="s">
        <v>74</v>
      </c>
      <c r="N486" s="15" t="s">
        <v>1538</v>
      </c>
      <c r="O486" s="15">
        <v>18</v>
      </c>
      <c r="P486" s="15" t="s">
        <v>1575</v>
      </c>
      <c r="Q486" s="15"/>
      <c r="R486" s="15"/>
    </row>
    <row r="487" spans="1:18" x14ac:dyDescent="0.35">
      <c r="A487" s="15" t="s">
        <v>1579</v>
      </c>
      <c r="B487" s="16">
        <v>45607</v>
      </c>
      <c r="C487" s="15" t="s">
        <v>1537</v>
      </c>
      <c r="D487" s="15">
        <v>2024</v>
      </c>
      <c r="E487" s="15" t="s">
        <v>46</v>
      </c>
      <c r="F487" s="15" t="s">
        <v>131</v>
      </c>
      <c r="G487" s="15" t="s">
        <v>32</v>
      </c>
      <c r="H487" s="15" t="s">
        <v>140</v>
      </c>
      <c r="I487" s="15" t="s">
        <v>141</v>
      </c>
      <c r="J487" s="17">
        <v>500000</v>
      </c>
      <c r="K487" s="15" t="s">
        <v>935</v>
      </c>
      <c r="L487" s="15" t="s">
        <v>300</v>
      </c>
      <c r="M487" s="15" t="s">
        <v>74</v>
      </c>
      <c r="N487" s="15" t="s">
        <v>1538</v>
      </c>
      <c r="O487" s="15">
        <v>20</v>
      </c>
      <c r="P487" s="15" t="s">
        <v>1580</v>
      </c>
      <c r="Q487" s="15"/>
      <c r="R487" s="15"/>
    </row>
    <row r="488" spans="1:18" x14ac:dyDescent="0.35">
      <c r="A488" s="15" t="s">
        <v>1581</v>
      </c>
      <c r="B488" s="16">
        <v>45607</v>
      </c>
      <c r="C488" s="15" t="s">
        <v>1537</v>
      </c>
      <c r="D488" s="15">
        <v>2024</v>
      </c>
      <c r="E488" s="15" t="s">
        <v>46</v>
      </c>
      <c r="F488" s="15" t="s">
        <v>131</v>
      </c>
      <c r="G488" s="15" t="s">
        <v>29</v>
      </c>
      <c r="H488" s="15" t="s">
        <v>337</v>
      </c>
      <c r="I488" s="15" t="s">
        <v>671</v>
      </c>
      <c r="J488" s="17">
        <v>500000</v>
      </c>
      <c r="K488" s="15" t="s">
        <v>935</v>
      </c>
      <c r="L488" s="15" t="s">
        <v>300</v>
      </c>
      <c r="M488" s="15" t="s">
        <v>74</v>
      </c>
      <c r="N488" s="15" t="s">
        <v>1538</v>
      </c>
      <c r="O488" s="15">
        <v>19</v>
      </c>
      <c r="P488" s="15" t="s">
        <v>1580</v>
      </c>
      <c r="Q488" s="15"/>
      <c r="R488" s="15"/>
    </row>
    <row r="489" spans="1:18" x14ac:dyDescent="0.35">
      <c r="A489" s="15" t="s">
        <v>1582</v>
      </c>
      <c r="B489" s="16">
        <v>45608</v>
      </c>
      <c r="C489" s="15" t="s">
        <v>1537</v>
      </c>
      <c r="D489" s="15">
        <v>2024</v>
      </c>
      <c r="E489" s="15" t="s">
        <v>46</v>
      </c>
      <c r="F489" s="15" t="s">
        <v>982</v>
      </c>
      <c r="G489" s="15" t="s">
        <v>37</v>
      </c>
      <c r="H489" s="15" t="s">
        <v>1236</v>
      </c>
      <c r="I489" s="15" t="s">
        <v>1583</v>
      </c>
      <c r="J489" s="17">
        <v>135000</v>
      </c>
      <c r="K489" s="15" t="s">
        <v>935</v>
      </c>
      <c r="L489" s="15" t="s">
        <v>300</v>
      </c>
      <c r="M489" s="15" t="s">
        <v>74</v>
      </c>
      <c r="N489" s="15" t="s">
        <v>1538</v>
      </c>
      <c r="O489" s="15">
        <v>21</v>
      </c>
      <c r="P489" s="15" t="s">
        <v>1584</v>
      </c>
      <c r="Q489" s="15"/>
      <c r="R489" s="15"/>
    </row>
    <row r="490" spans="1:18" x14ac:dyDescent="0.35">
      <c r="A490" s="15" t="s">
        <v>1585</v>
      </c>
      <c r="B490" s="16">
        <v>45608</v>
      </c>
      <c r="C490" s="15" t="s">
        <v>1537</v>
      </c>
      <c r="D490" s="15">
        <v>2024</v>
      </c>
      <c r="E490" s="15" t="s">
        <v>46</v>
      </c>
      <c r="F490" s="15" t="s">
        <v>982</v>
      </c>
      <c r="G490" s="15" t="s">
        <v>37</v>
      </c>
      <c r="H490" s="15" t="s">
        <v>1405</v>
      </c>
      <c r="I490" s="15" t="s">
        <v>1406</v>
      </c>
      <c r="J490" s="17">
        <v>135000</v>
      </c>
      <c r="K490" s="15" t="s">
        <v>999</v>
      </c>
      <c r="L490" s="15" t="s">
        <v>300</v>
      </c>
      <c r="M490" s="15" t="s">
        <v>74</v>
      </c>
      <c r="N490" s="15" t="s">
        <v>1538</v>
      </c>
      <c r="O490" s="15">
        <v>13</v>
      </c>
      <c r="P490" s="15" t="s">
        <v>1584</v>
      </c>
      <c r="Q490" s="15"/>
      <c r="R490" s="15"/>
    </row>
    <row r="491" spans="1:18" x14ac:dyDescent="0.35">
      <c r="A491" s="15" t="s">
        <v>1586</v>
      </c>
      <c r="B491" s="16">
        <v>45609</v>
      </c>
      <c r="C491" s="15" t="s">
        <v>1537</v>
      </c>
      <c r="D491" s="15">
        <v>2024</v>
      </c>
      <c r="E491" s="15" t="s">
        <v>46</v>
      </c>
      <c r="F491" s="15" t="s">
        <v>131</v>
      </c>
      <c r="G491" s="15" t="s">
        <v>32</v>
      </c>
      <c r="H491" s="15" t="s">
        <v>568</v>
      </c>
      <c r="I491" s="15" t="s">
        <v>875</v>
      </c>
      <c r="J491" s="17">
        <v>2000000</v>
      </c>
      <c r="K491" s="15" t="s">
        <v>935</v>
      </c>
      <c r="L491" s="15" t="s">
        <v>300</v>
      </c>
      <c r="M491" s="15" t="s">
        <v>74</v>
      </c>
      <c r="N491" s="15" t="s">
        <v>1538</v>
      </c>
      <c r="O491" s="15">
        <v>22</v>
      </c>
      <c r="P491" s="15" t="s">
        <v>1587</v>
      </c>
      <c r="Q491" s="15" t="s">
        <v>1588</v>
      </c>
      <c r="R491" s="15"/>
    </row>
    <row r="492" spans="1:18" x14ac:dyDescent="0.35">
      <c r="A492" s="15" t="s">
        <v>1589</v>
      </c>
      <c r="B492" s="16">
        <v>45609</v>
      </c>
      <c r="C492" s="15" t="s">
        <v>1537</v>
      </c>
      <c r="D492" s="15">
        <v>2024</v>
      </c>
      <c r="E492" s="15" t="s">
        <v>46</v>
      </c>
      <c r="F492" s="15" t="s">
        <v>131</v>
      </c>
      <c r="G492" s="15" t="s">
        <v>32</v>
      </c>
      <c r="H492" s="15" t="s">
        <v>1410</v>
      </c>
      <c r="I492" s="15" t="s">
        <v>1496</v>
      </c>
      <c r="J492" s="17">
        <v>700000</v>
      </c>
      <c r="K492" s="15" t="s">
        <v>999</v>
      </c>
      <c r="L492" s="15" t="s">
        <v>300</v>
      </c>
      <c r="M492" s="15" t="s">
        <v>74</v>
      </c>
      <c r="N492" s="15" t="s">
        <v>1538</v>
      </c>
      <c r="O492" s="15">
        <v>14</v>
      </c>
      <c r="P492" s="15" t="s">
        <v>1587</v>
      </c>
      <c r="Q492" s="15" t="s">
        <v>1590</v>
      </c>
      <c r="R492" s="15"/>
    </row>
    <row r="493" spans="1:18" x14ac:dyDescent="0.35">
      <c r="A493" s="15" t="s">
        <v>1591</v>
      </c>
      <c r="B493" s="16">
        <v>45609</v>
      </c>
      <c r="C493" s="15" t="s">
        <v>1537</v>
      </c>
      <c r="D493" s="15">
        <v>2024</v>
      </c>
      <c r="E493" s="15" t="s">
        <v>46</v>
      </c>
      <c r="F493" s="15" t="s">
        <v>982</v>
      </c>
      <c r="G493" s="15" t="s">
        <v>37</v>
      </c>
      <c r="H493" s="15" t="s">
        <v>1410</v>
      </c>
      <c r="I493" s="15" t="s">
        <v>1496</v>
      </c>
      <c r="J493" s="17">
        <v>135000</v>
      </c>
      <c r="K493" s="15" t="s">
        <v>999</v>
      </c>
      <c r="L493" s="15" t="s">
        <v>300</v>
      </c>
      <c r="M493" s="15" t="s">
        <v>74</v>
      </c>
      <c r="N493" s="15" t="s">
        <v>1538</v>
      </c>
      <c r="O493" s="15">
        <v>15</v>
      </c>
      <c r="P493" s="15" t="s">
        <v>1587</v>
      </c>
      <c r="Q493" s="15"/>
      <c r="R493" s="15"/>
    </row>
    <row r="494" spans="1:18" x14ac:dyDescent="0.35">
      <c r="A494" s="15" t="s">
        <v>1592</v>
      </c>
      <c r="B494" s="16">
        <v>45610</v>
      </c>
      <c r="C494" s="15" t="s">
        <v>1537</v>
      </c>
      <c r="D494" s="15">
        <v>2024</v>
      </c>
      <c r="E494" s="15" t="s">
        <v>46</v>
      </c>
      <c r="F494" s="15" t="s">
        <v>131</v>
      </c>
      <c r="G494" s="15" t="s">
        <v>32</v>
      </c>
      <c r="H494" s="15" t="s">
        <v>167</v>
      </c>
      <c r="I494" s="15" t="s">
        <v>168</v>
      </c>
      <c r="J494" s="17">
        <v>800000</v>
      </c>
      <c r="K494" s="15" t="s">
        <v>999</v>
      </c>
      <c r="L494" s="15" t="s">
        <v>300</v>
      </c>
      <c r="M494" s="15" t="s">
        <v>74</v>
      </c>
      <c r="N494" s="15" t="s">
        <v>1538</v>
      </c>
      <c r="O494" s="15">
        <v>17</v>
      </c>
      <c r="P494" s="15" t="s">
        <v>1593</v>
      </c>
      <c r="Q494" s="15" t="s">
        <v>1594</v>
      </c>
      <c r="R494" s="15"/>
    </row>
    <row r="495" spans="1:18" x14ac:dyDescent="0.35">
      <c r="A495" s="15" t="s">
        <v>1595</v>
      </c>
      <c r="B495" s="16">
        <v>45610</v>
      </c>
      <c r="C495" s="15" t="s">
        <v>1537</v>
      </c>
      <c r="D495" s="15">
        <v>2024</v>
      </c>
      <c r="E495" s="15" t="s">
        <v>46</v>
      </c>
      <c r="F495" s="15" t="s">
        <v>131</v>
      </c>
      <c r="G495" s="15" t="s">
        <v>32</v>
      </c>
      <c r="H495" s="15" t="s">
        <v>1596</v>
      </c>
      <c r="I495" s="15" t="s">
        <v>1597</v>
      </c>
      <c r="J495" s="17">
        <v>800000</v>
      </c>
      <c r="K495" s="15" t="s">
        <v>999</v>
      </c>
      <c r="L495" s="15" t="s">
        <v>300</v>
      </c>
      <c r="M495" s="15" t="s">
        <v>74</v>
      </c>
      <c r="N495" s="15" t="s">
        <v>1538</v>
      </c>
      <c r="O495" s="15">
        <v>16</v>
      </c>
      <c r="P495" s="15" t="s">
        <v>1593</v>
      </c>
      <c r="Q495" s="15" t="s">
        <v>1598</v>
      </c>
      <c r="R495" s="15"/>
    </row>
    <row r="496" spans="1:18" x14ac:dyDescent="0.35">
      <c r="A496" s="15" t="s">
        <v>1599</v>
      </c>
      <c r="B496" s="16">
        <v>45611</v>
      </c>
      <c r="C496" s="15" t="s">
        <v>1537</v>
      </c>
      <c r="D496" s="15">
        <v>2024</v>
      </c>
      <c r="E496" s="15" t="s">
        <v>46</v>
      </c>
      <c r="F496" s="15" t="s">
        <v>131</v>
      </c>
      <c r="G496" s="15" t="s">
        <v>29</v>
      </c>
      <c r="H496" s="15" t="s">
        <v>704</v>
      </c>
      <c r="I496" s="15" t="s">
        <v>705</v>
      </c>
      <c r="J496" s="17">
        <v>50000</v>
      </c>
      <c r="K496" s="15" t="s">
        <v>935</v>
      </c>
      <c r="L496" s="15" t="s">
        <v>300</v>
      </c>
      <c r="M496" s="15" t="s">
        <v>74</v>
      </c>
      <c r="N496" s="15" t="s">
        <v>1538</v>
      </c>
      <c r="O496" s="15">
        <v>25</v>
      </c>
      <c r="P496" s="15" t="s">
        <v>1600</v>
      </c>
      <c r="Q496" s="15" t="s">
        <v>1601</v>
      </c>
      <c r="R496" s="15"/>
    </row>
    <row r="497" spans="1:18" x14ac:dyDescent="0.35">
      <c r="A497" s="15" t="s">
        <v>1602</v>
      </c>
      <c r="B497" s="16">
        <v>45611</v>
      </c>
      <c r="C497" s="15" t="s">
        <v>1537</v>
      </c>
      <c r="D497" s="15">
        <v>2024</v>
      </c>
      <c r="E497" s="15" t="s">
        <v>46</v>
      </c>
      <c r="F497" s="15" t="s">
        <v>131</v>
      </c>
      <c r="G497" s="15" t="s">
        <v>32</v>
      </c>
      <c r="H497" s="15" t="s">
        <v>1231</v>
      </c>
      <c r="I497" s="15" t="s">
        <v>1232</v>
      </c>
      <c r="J497" s="17">
        <v>2000000</v>
      </c>
      <c r="K497" s="15" t="s">
        <v>935</v>
      </c>
      <c r="L497" s="15" t="s">
        <v>300</v>
      </c>
      <c r="M497" s="15" t="s">
        <v>74</v>
      </c>
      <c r="N497" s="15" t="s">
        <v>1538</v>
      </c>
      <c r="O497" s="15">
        <v>23</v>
      </c>
      <c r="P497" s="15" t="s">
        <v>1600</v>
      </c>
      <c r="Q497" s="15"/>
      <c r="R497" s="15"/>
    </row>
    <row r="498" spans="1:18" x14ac:dyDescent="0.35">
      <c r="A498" s="15" t="s">
        <v>1603</v>
      </c>
      <c r="B498" s="16">
        <v>45611</v>
      </c>
      <c r="C498" s="15" t="s">
        <v>1537</v>
      </c>
      <c r="D498" s="15">
        <v>2024</v>
      </c>
      <c r="E498" s="15" t="s">
        <v>46</v>
      </c>
      <c r="F498" s="15" t="s">
        <v>131</v>
      </c>
      <c r="G498" s="15" t="s">
        <v>34</v>
      </c>
      <c r="H498" s="15" t="s">
        <v>1455</v>
      </c>
      <c r="I498" s="15" t="s">
        <v>1604</v>
      </c>
      <c r="J498" s="17">
        <v>400000</v>
      </c>
      <c r="K498" s="15" t="s">
        <v>935</v>
      </c>
      <c r="L498" s="15" t="s">
        <v>300</v>
      </c>
      <c r="M498" s="15" t="s">
        <v>74</v>
      </c>
      <c r="N498" s="15" t="s">
        <v>1538</v>
      </c>
      <c r="O498" s="15">
        <v>24</v>
      </c>
      <c r="P498" s="15" t="s">
        <v>1600</v>
      </c>
      <c r="Q498" s="15" t="s">
        <v>1605</v>
      </c>
      <c r="R498" s="15"/>
    </row>
    <row r="499" spans="1:18" x14ac:dyDescent="0.35">
      <c r="A499" s="15" t="s">
        <v>1606</v>
      </c>
      <c r="B499" s="16">
        <v>45612</v>
      </c>
      <c r="C499" s="15" t="s">
        <v>1537</v>
      </c>
      <c r="D499" s="15">
        <v>2024</v>
      </c>
      <c r="E499" s="15" t="s">
        <v>46</v>
      </c>
      <c r="F499" s="15" t="s">
        <v>982</v>
      </c>
      <c r="G499" s="15" t="s">
        <v>37</v>
      </c>
      <c r="H499" s="15" t="s">
        <v>1179</v>
      </c>
      <c r="I499" s="15" t="s">
        <v>1180</v>
      </c>
      <c r="J499" s="17">
        <v>135000</v>
      </c>
      <c r="K499" s="15" t="s">
        <v>999</v>
      </c>
      <c r="L499" s="15" t="s">
        <v>300</v>
      </c>
      <c r="M499" s="15" t="s">
        <v>74</v>
      </c>
      <c r="N499" s="15" t="s">
        <v>1538</v>
      </c>
      <c r="O499" s="15">
        <v>18</v>
      </c>
      <c r="P499" s="15" t="s">
        <v>1607</v>
      </c>
      <c r="Q499" s="15"/>
      <c r="R499" s="15"/>
    </row>
    <row r="500" spans="1:18" x14ac:dyDescent="0.35">
      <c r="A500" s="15" t="s">
        <v>1608</v>
      </c>
      <c r="B500" s="16">
        <v>45614</v>
      </c>
      <c r="C500" s="15" t="s">
        <v>1537</v>
      </c>
      <c r="D500" s="15">
        <v>2024</v>
      </c>
      <c r="E500" s="15" t="s">
        <v>46</v>
      </c>
      <c r="F500" s="15" t="s">
        <v>982</v>
      </c>
      <c r="G500" s="15" t="s">
        <v>37</v>
      </c>
      <c r="H500" s="15" t="s">
        <v>1241</v>
      </c>
      <c r="I500" s="15" t="s">
        <v>1242</v>
      </c>
      <c r="J500" s="17">
        <v>135000</v>
      </c>
      <c r="K500" s="15" t="s">
        <v>935</v>
      </c>
      <c r="L500" s="15" t="s">
        <v>300</v>
      </c>
      <c r="M500" s="15" t="s">
        <v>74</v>
      </c>
      <c r="N500" s="15" t="s">
        <v>1538</v>
      </c>
      <c r="O500" s="15">
        <v>26</v>
      </c>
      <c r="P500" s="15" t="s">
        <v>1609</v>
      </c>
      <c r="Q500" s="15"/>
      <c r="R500" s="15"/>
    </row>
    <row r="501" spans="1:18" x14ac:dyDescent="0.35">
      <c r="A501" s="15" t="s">
        <v>1610</v>
      </c>
      <c r="B501" s="16">
        <v>45614</v>
      </c>
      <c r="C501" s="15" t="s">
        <v>1537</v>
      </c>
      <c r="D501" s="15">
        <v>2024</v>
      </c>
      <c r="E501" s="15" t="s">
        <v>46</v>
      </c>
      <c r="F501" s="15" t="s">
        <v>982</v>
      </c>
      <c r="G501" s="15" t="s">
        <v>37</v>
      </c>
      <c r="H501" s="15" t="s">
        <v>1272</v>
      </c>
      <c r="I501" s="15" t="s">
        <v>1273</v>
      </c>
      <c r="J501" s="17">
        <v>135000</v>
      </c>
      <c r="K501" s="15" t="s">
        <v>999</v>
      </c>
      <c r="L501" s="15" t="s">
        <v>300</v>
      </c>
      <c r="M501" s="15" t="s">
        <v>74</v>
      </c>
      <c r="N501" s="15" t="s">
        <v>1538</v>
      </c>
      <c r="O501" s="15">
        <v>19</v>
      </c>
      <c r="P501" s="15" t="s">
        <v>1609</v>
      </c>
      <c r="Q501" s="15"/>
      <c r="R501" s="15"/>
    </row>
    <row r="502" spans="1:18" x14ac:dyDescent="0.35">
      <c r="A502" s="15" t="s">
        <v>1611</v>
      </c>
      <c r="B502" s="16">
        <v>45615</v>
      </c>
      <c r="C502" s="15" t="s">
        <v>1537</v>
      </c>
      <c r="D502" s="15">
        <v>2024</v>
      </c>
      <c r="E502" s="15" t="s">
        <v>47</v>
      </c>
      <c r="F502" s="15" t="s">
        <v>131</v>
      </c>
      <c r="G502" s="15" t="s">
        <v>40</v>
      </c>
      <c r="H502" s="15" t="s">
        <v>1526</v>
      </c>
      <c r="I502" s="15" t="s">
        <v>1527</v>
      </c>
      <c r="J502" s="17">
        <v>4750000</v>
      </c>
      <c r="K502" s="15" t="s">
        <v>999</v>
      </c>
      <c r="L502" s="15" t="s">
        <v>300</v>
      </c>
      <c r="M502" s="15" t="s">
        <v>74</v>
      </c>
      <c r="N502" s="15" t="s">
        <v>1538</v>
      </c>
      <c r="O502" s="15">
        <v>20</v>
      </c>
      <c r="P502" s="15" t="s">
        <v>1612</v>
      </c>
      <c r="Q502" s="15" t="s">
        <v>1613</v>
      </c>
      <c r="R502" s="15"/>
    </row>
    <row r="503" spans="1:18" x14ac:dyDescent="0.35">
      <c r="A503" s="15" t="s">
        <v>1614</v>
      </c>
      <c r="B503" s="16">
        <v>45619</v>
      </c>
      <c r="C503" s="15" t="s">
        <v>1537</v>
      </c>
      <c r="D503" s="15">
        <v>2024</v>
      </c>
      <c r="E503" s="15" t="s">
        <v>46</v>
      </c>
      <c r="F503" s="15" t="s">
        <v>131</v>
      </c>
      <c r="G503" s="15" t="s">
        <v>31</v>
      </c>
      <c r="H503" s="15" t="s">
        <v>713</v>
      </c>
      <c r="I503" s="15" t="s">
        <v>714</v>
      </c>
      <c r="J503" s="17">
        <v>310000</v>
      </c>
      <c r="K503" s="15" t="s">
        <v>999</v>
      </c>
      <c r="L503" s="15" t="s">
        <v>300</v>
      </c>
      <c r="M503" s="15" t="s">
        <v>74</v>
      </c>
      <c r="N503" s="15" t="s">
        <v>1538</v>
      </c>
      <c r="O503" s="15">
        <v>21</v>
      </c>
      <c r="P503" s="15" t="s">
        <v>1615</v>
      </c>
      <c r="Q503" s="15" t="s">
        <v>1616</v>
      </c>
      <c r="R503" s="15"/>
    </row>
    <row r="504" spans="1:18" x14ac:dyDescent="0.35">
      <c r="A504" s="15" t="s">
        <v>1617</v>
      </c>
      <c r="B504" s="16">
        <v>45619</v>
      </c>
      <c r="C504" s="15" t="s">
        <v>1537</v>
      </c>
      <c r="D504" s="15">
        <v>2024</v>
      </c>
      <c r="E504" s="15" t="s">
        <v>46</v>
      </c>
      <c r="F504" s="15" t="s">
        <v>982</v>
      </c>
      <c r="G504" s="15" t="s">
        <v>37</v>
      </c>
      <c r="H504" s="15" t="s">
        <v>1297</v>
      </c>
      <c r="I504" s="15" t="s">
        <v>1298</v>
      </c>
      <c r="J504" s="17">
        <v>135000</v>
      </c>
      <c r="K504" s="15" t="s">
        <v>935</v>
      </c>
      <c r="L504" s="15" t="s">
        <v>300</v>
      </c>
      <c r="M504" s="15" t="s">
        <v>74</v>
      </c>
      <c r="N504" s="15" t="s">
        <v>1538</v>
      </c>
      <c r="O504" s="15">
        <v>27</v>
      </c>
      <c r="P504" s="15" t="s">
        <v>1615</v>
      </c>
      <c r="Q504" s="15"/>
      <c r="R504" s="15"/>
    </row>
    <row r="505" spans="1:18" x14ac:dyDescent="0.35">
      <c r="A505" s="15" t="s">
        <v>1618</v>
      </c>
      <c r="B505" s="16">
        <v>45620</v>
      </c>
      <c r="C505" s="15" t="s">
        <v>1537</v>
      </c>
      <c r="D505" s="15">
        <v>2024</v>
      </c>
      <c r="E505" s="15" t="s">
        <v>47</v>
      </c>
      <c r="F505" s="15" t="s">
        <v>131</v>
      </c>
      <c r="G505" s="15" t="s">
        <v>40</v>
      </c>
      <c r="H505" s="15" t="s">
        <v>1573</v>
      </c>
      <c r="I505" s="15" t="s">
        <v>1574</v>
      </c>
      <c r="J505" s="17">
        <v>2000000</v>
      </c>
      <c r="K505" s="15" t="s">
        <v>999</v>
      </c>
      <c r="L505" s="15" t="s">
        <v>300</v>
      </c>
      <c r="M505" s="15" t="s">
        <v>74</v>
      </c>
      <c r="N505" s="15" t="s">
        <v>1538</v>
      </c>
      <c r="O505" s="15">
        <v>22</v>
      </c>
      <c r="P505" s="15" t="s">
        <v>1619</v>
      </c>
      <c r="Q505" s="15" t="s">
        <v>1620</v>
      </c>
      <c r="R505" s="15"/>
    </row>
    <row r="506" spans="1:18" x14ac:dyDescent="0.35">
      <c r="A506" s="15" t="s">
        <v>1621</v>
      </c>
      <c r="B506" s="16">
        <v>45620</v>
      </c>
      <c r="C506" s="15" t="s">
        <v>1537</v>
      </c>
      <c r="D506" s="15">
        <v>2024</v>
      </c>
      <c r="E506" s="15" t="s">
        <v>46</v>
      </c>
      <c r="F506" s="15" t="s">
        <v>131</v>
      </c>
      <c r="G506" s="15" t="s">
        <v>32</v>
      </c>
      <c r="H506" s="15" t="s">
        <v>1443</v>
      </c>
      <c r="I506" s="15" t="s">
        <v>1444</v>
      </c>
      <c r="J506" s="17">
        <v>450000</v>
      </c>
      <c r="K506" s="15" t="s">
        <v>935</v>
      </c>
      <c r="L506" s="15" t="s">
        <v>300</v>
      </c>
      <c r="M506" s="15" t="s">
        <v>74</v>
      </c>
      <c r="N506" s="15" t="s">
        <v>1538</v>
      </c>
      <c r="O506" s="15">
        <v>28</v>
      </c>
      <c r="P506" s="15" t="s">
        <v>1619</v>
      </c>
      <c r="Q506" s="15" t="s">
        <v>1622</v>
      </c>
      <c r="R506" s="15"/>
    </row>
    <row r="507" spans="1:18" x14ac:dyDescent="0.35">
      <c r="A507" s="15" t="s">
        <v>1623</v>
      </c>
      <c r="B507" s="16">
        <v>45622</v>
      </c>
      <c r="C507" s="15" t="s">
        <v>1537</v>
      </c>
      <c r="D507" s="15">
        <v>2024</v>
      </c>
      <c r="E507" s="15" t="s">
        <v>46</v>
      </c>
      <c r="F507" s="15" t="s">
        <v>131</v>
      </c>
      <c r="G507" s="15" t="s">
        <v>34</v>
      </c>
      <c r="H507" s="15" t="s">
        <v>1390</v>
      </c>
      <c r="I507" s="15" t="s">
        <v>1391</v>
      </c>
      <c r="J507" s="17">
        <v>100000</v>
      </c>
      <c r="K507" s="15" t="s">
        <v>935</v>
      </c>
      <c r="L507" s="15" t="s">
        <v>300</v>
      </c>
      <c r="M507" s="15" t="s">
        <v>74</v>
      </c>
      <c r="N507" s="15" t="s">
        <v>1538</v>
      </c>
      <c r="O507" s="15">
        <v>29</v>
      </c>
      <c r="P507" s="15" t="s">
        <v>1624</v>
      </c>
      <c r="Q507" s="15" t="s">
        <v>1625</v>
      </c>
      <c r="R507" s="15"/>
    </row>
    <row r="508" spans="1:18" x14ac:dyDescent="0.35">
      <c r="A508" s="15" t="s">
        <v>1626</v>
      </c>
      <c r="B508" s="16">
        <v>45622</v>
      </c>
      <c r="C508" s="15" t="s">
        <v>1537</v>
      </c>
      <c r="D508" s="15">
        <v>2024</v>
      </c>
      <c r="E508" s="15" t="s">
        <v>46</v>
      </c>
      <c r="F508" s="15" t="s">
        <v>982</v>
      </c>
      <c r="G508" s="15" t="s">
        <v>37</v>
      </c>
      <c r="H508" s="15" t="s">
        <v>1627</v>
      </c>
      <c r="I508" s="15" t="s">
        <v>1628</v>
      </c>
      <c r="J508" s="17">
        <v>135000</v>
      </c>
      <c r="K508" s="15" t="s">
        <v>999</v>
      </c>
      <c r="L508" s="15" t="s">
        <v>300</v>
      </c>
      <c r="M508" s="15" t="s">
        <v>74</v>
      </c>
      <c r="N508" s="15" t="s">
        <v>1538</v>
      </c>
      <c r="O508" s="15">
        <v>23</v>
      </c>
      <c r="P508" s="15" t="s">
        <v>1624</v>
      </c>
      <c r="Q508" s="15"/>
      <c r="R508" s="15"/>
    </row>
    <row r="509" spans="1:18" x14ac:dyDescent="0.35">
      <c r="A509" s="15" t="s">
        <v>1629</v>
      </c>
      <c r="B509" s="16">
        <v>45623</v>
      </c>
      <c r="C509" s="15" t="s">
        <v>1537</v>
      </c>
      <c r="D509" s="15">
        <v>2024</v>
      </c>
      <c r="E509" s="15" t="s">
        <v>46</v>
      </c>
      <c r="F509" s="15" t="s">
        <v>131</v>
      </c>
      <c r="G509" s="15" t="s">
        <v>32</v>
      </c>
      <c r="H509" s="15" t="s">
        <v>1231</v>
      </c>
      <c r="I509" s="15" t="s">
        <v>1232</v>
      </c>
      <c r="J509" s="17">
        <v>1267000</v>
      </c>
      <c r="K509" s="15" t="s">
        <v>935</v>
      </c>
      <c r="L509" s="15" t="s">
        <v>300</v>
      </c>
      <c r="M509" s="15" t="s">
        <v>74</v>
      </c>
      <c r="N509" s="15" t="s">
        <v>1538</v>
      </c>
      <c r="O509" s="15">
        <v>33</v>
      </c>
      <c r="P509" s="15" t="s">
        <v>1630</v>
      </c>
      <c r="Q509" s="15" t="s">
        <v>1631</v>
      </c>
      <c r="R509" s="15"/>
    </row>
    <row r="510" spans="1:18" x14ac:dyDescent="0.35">
      <c r="A510" s="15" t="s">
        <v>1632</v>
      </c>
      <c r="B510" s="16">
        <v>45623</v>
      </c>
      <c r="C510" s="15" t="s">
        <v>1537</v>
      </c>
      <c r="D510" s="15">
        <v>2024</v>
      </c>
      <c r="E510" s="15" t="s">
        <v>46</v>
      </c>
      <c r="F510" s="15" t="s">
        <v>131</v>
      </c>
      <c r="G510" s="15" t="s">
        <v>31</v>
      </c>
      <c r="H510" s="15" t="s">
        <v>203</v>
      </c>
      <c r="I510" s="15" t="s">
        <v>943</v>
      </c>
      <c r="J510" s="17">
        <v>200000</v>
      </c>
      <c r="K510" s="15" t="s">
        <v>935</v>
      </c>
      <c r="L510" s="15" t="s">
        <v>300</v>
      </c>
      <c r="M510" s="15" t="s">
        <v>74</v>
      </c>
      <c r="N510" s="15" t="s">
        <v>1538</v>
      </c>
      <c r="O510" s="15">
        <v>30</v>
      </c>
      <c r="P510" s="15" t="s">
        <v>1630</v>
      </c>
      <c r="Q510" s="15" t="s">
        <v>1633</v>
      </c>
      <c r="R510" s="15"/>
    </row>
    <row r="511" spans="1:18" x14ac:dyDescent="0.35">
      <c r="A511" s="15" t="s">
        <v>1634</v>
      </c>
      <c r="B511" s="16">
        <v>45623</v>
      </c>
      <c r="C511" s="15" t="s">
        <v>1537</v>
      </c>
      <c r="D511" s="15">
        <v>2024</v>
      </c>
      <c r="E511" s="15" t="s">
        <v>46</v>
      </c>
      <c r="F511" s="15" t="s">
        <v>982</v>
      </c>
      <c r="G511" s="15" t="s">
        <v>38</v>
      </c>
      <c r="H511" s="15" t="s">
        <v>203</v>
      </c>
      <c r="I511" s="15" t="s">
        <v>943</v>
      </c>
      <c r="J511" s="17">
        <v>50000</v>
      </c>
      <c r="K511" s="15" t="s">
        <v>935</v>
      </c>
      <c r="L511" s="15" t="s">
        <v>300</v>
      </c>
      <c r="M511" s="15" t="s">
        <v>74</v>
      </c>
      <c r="N511" s="15" t="s">
        <v>1538</v>
      </c>
      <c r="O511" s="15">
        <v>31</v>
      </c>
      <c r="P511" s="15" t="s">
        <v>1630</v>
      </c>
      <c r="Q511" s="15"/>
      <c r="R511" s="15"/>
    </row>
    <row r="512" spans="1:18" x14ac:dyDescent="0.35">
      <c r="A512" s="15" t="s">
        <v>1635</v>
      </c>
      <c r="B512" s="16">
        <v>45623</v>
      </c>
      <c r="C512" s="15" t="s">
        <v>1537</v>
      </c>
      <c r="D512" s="15">
        <v>2024</v>
      </c>
      <c r="E512" s="15" t="s">
        <v>46</v>
      </c>
      <c r="F512" s="15" t="s">
        <v>131</v>
      </c>
      <c r="G512" s="15" t="s">
        <v>27</v>
      </c>
      <c r="H512" s="15" t="s">
        <v>203</v>
      </c>
      <c r="I512" s="15" t="s">
        <v>943</v>
      </c>
      <c r="J512" s="17">
        <v>500000</v>
      </c>
      <c r="K512" s="15" t="s">
        <v>935</v>
      </c>
      <c r="L512" s="15" t="s">
        <v>300</v>
      </c>
      <c r="M512" s="15" t="s">
        <v>74</v>
      </c>
      <c r="N512" s="15" t="s">
        <v>1538</v>
      </c>
      <c r="O512" s="15">
        <v>32</v>
      </c>
      <c r="P512" s="15" t="s">
        <v>1630</v>
      </c>
      <c r="Q512" s="15" t="s">
        <v>1636</v>
      </c>
      <c r="R512" s="15"/>
    </row>
    <row r="513" spans="1:18" x14ac:dyDescent="0.35">
      <c r="A513" s="15" t="s">
        <v>1637</v>
      </c>
      <c r="B513" s="16">
        <v>45624</v>
      </c>
      <c r="C513" s="15" t="s">
        <v>1537</v>
      </c>
      <c r="D513" s="15">
        <v>2024</v>
      </c>
      <c r="E513" s="15" t="s">
        <v>46</v>
      </c>
      <c r="F513" s="15" t="s">
        <v>131</v>
      </c>
      <c r="G513" s="15" t="s">
        <v>32</v>
      </c>
      <c r="H513" s="15" t="s">
        <v>1378</v>
      </c>
      <c r="I513" s="15" t="s">
        <v>1379</v>
      </c>
      <c r="J513" s="17">
        <v>700000</v>
      </c>
      <c r="K513" s="15" t="s">
        <v>935</v>
      </c>
      <c r="L513" s="15" t="s">
        <v>300</v>
      </c>
      <c r="M513" s="15" t="s">
        <v>74</v>
      </c>
      <c r="N513" s="15" t="s">
        <v>1538</v>
      </c>
      <c r="O513" s="15">
        <v>34</v>
      </c>
      <c r="P513" s="15" t="s">
        <v>1638</v>
      </c>
      <c r="Q513" s="15" t="s">
        <v>1639</v>
      </c>
      <c r="R513" s="15"/>
    </row>
    <row r="514" spans="1:18" x14ac:dyDescent="0.35">
      <c r="A514" s="15" t="s">
        <v>1640</v>
      </c>
      <c r="B514" s="16">
        <v>45625</v>
      </c>
      <c r="C514" s="15" t="s">
        <v>1537</v>
      </c>
      <c r="D514" s="15">
        <v>2024</v>
      </c>
      <c r="E514" s="15" t="s">
        <v>46</v>
      </c>
      <c r="F514" s="15" t="s">
        <v>982</v>
      </c>
      <c r="G514" s="15" t="s">
        <v>37</v>
      </c>
      <c r="H514" s="15" t="s">
        <v>713</v>
      </c>
      <c r="I514" s="15" t="s">
        <v>714</v>
      </c>
      <c r="J514" s="17">
        <v>135000</v>
      </c>
      <c r="K514" s="15" t="s">
        <v>999</v>
      </c>
      <c r="L514" s="15" t="s">
        <v>300</v>
      </c>
      <c r="M514" s="15" t="s">
        <v>74</v>
      </c>
      <c r="N514" s="15" t="s">
        <v>1538</v>
      </c>
      <c r="O514" s="15">
        <v>24</v>
      </c>
      <c r="P514" s="15" t="s">
        <v>1641</v>
      </c>
      <c r="Q514" s="15"/>
      <c r="R514" s="15"/>
    </row>
    <row r="515" spans="1:18" x14ac:dyDescent="0.35">
      <c r="A515" s="15" t="s">
        <v>1642</v>
      </c>
      <c r="B515" s="16">
        <v>45625</v>
      </c>
      <c r="C515" s="15" t="s">
        <v>1537</v>
      </c>
      <c r="D515" s="15">
        <v>2024</v>
      </c>
      <c r="E515" s="15" t="s">
        <v>46</v>
      </c>
      <c r="F515" s="15" t="s">
        <v>982</v>
      </c>
      <c r="G515" s="15" t="s">
        <v>37</v>
      </c>
      <c r="H515" s="15" t="s">
        <v>1231</v>
      </c>
      <c r="I515" s="15" t="s">
        <v>1232</v>
      </c>
      <c r="J515" s="17">
        <v>135000</v>
      </c>
      <c r="K515" s="15" t="s">
        <v>935</v>
      </c>
      <c r="L515" s="15" t="s">
        <v>300</v>
      </c>
      <c r="M515" s="15" t="s">
        <v>74</v>
      </c>
      <c r="N515" s="15" t="s">
        <v>1538</v>
      </c>
      <c r="O515" s="15">
        <v>37</v>
      </c>
      <c r="P515" s="15" t="s">
        <v>1641</v>
      </c>
      <c r="Q515" s="15"/>
      <c r="R515" s="15"/>
    </row>
    <row r="516" spans="1:18" x14ac:dyDescent="0.35">
      <c r="A516" s="15" t="s">
        <v>1643</v>
      </c>
      <c r="B516" s="16">
        <v>45625</v>
      </c>
      <c r="C516" s="15" t="s">
        <v>1537</v>
      </c>
      <c r="D516" s="15">
        <v>2024</v>
      </c>
      <c r="E516" s="15" t="s">
        <v>46</v>
      </c>
      <c r="F516" s="15" t="s">
        <v>982</v>
      </c>
      <c r="G516" s="15" t="s">
        <v>37</v>
      </c>
      <c r="H516" s="15" t="s">
        <v>184</v>
      </c>
      <c r="I516" s="15" t="s">
        <v>216</v>
      </c>
      <c r="J516" s="17">
        <v>135000</v>
      </c>
      <c r="K516" s="15" t="s">
        <v>935</v>
      </c>
      <c r="L516" s="15" t="s">
        <v>300</v>
      </c>
      <c r="M516" s="15" t="s">
        <v>74</v>
      </c>
      <c r="N516" s="15" t="s">
        <v>1538</v>
      </c>
      <c r="O516" s="15">
        <v>38</v>
      </c>
      <c r="P516" s="15" t="s">
        <v>1641</v>
      </c>
      <c r="Q516" s="15"/>
      <c r="R516" s="15"/>
    </row>
    <row r="517" spans="1:18" x14ac:dyDescent="0.35">
      <c r="A517" s="15" t="s">
        <v>1644</v>
      </c>
      <c r="B517" s="16">
        <v>45625</v>
      </c>
      <c r="C517" s="15" t="s">
        <v>1537</v>
      </c>
      <c r="D517" s="15">
        <v>2024</v>
      </c>
      <c r="E517" s="15" t="s">
        <v>46</v>
      </c>
      <c r="F517" s="15" t="s">
        <v>131</v>
      </c>
      <c r="G517" s="15" t="s">
        <v>31</v>
      </c>
      <c r="H517" s="15" t="s">
        <v>1645</v>
      </c>
      <c r="I517" s="15" t="s">
        <v>1646</v>
      </c>
      <c r="J517" s="17">
        <v>500000</v>
      </c>
      <c r="K517" s="15" t="s">
        <v>935</v>
      </c>
      <c r="L517" s="15" t="s">
        <v>300</v>
      </c>
      <c r="M517" s="15" t="s">
        <v>74</v>
      </c>
      <c r="N517" s="15" t="s">
        <v>1538</v>
      </c>
      <c r="O517" s="15">
        <v>36</v>
      </c>
      <c r="P517" s="15" t="s">
        <v>1641</v>
      </c>
      <c r="Q517" s="15" t="s">
        <v>1647</v>
      </c>
      <c r="R517" s="15"/>
    </row>
    <row r="518" spans="1:18" x14ac:dyDescent="0.35">
      <c r="A518" s="15" t="s">
        <v>1648</v>
      </c>
      <c r="B518" s="16">
        <v>45625</v>
      </c>
      <c r="C518" s="15" t="s">
        <v>1537</v>
      </c>
      <c r="D518" s="15">
        <v>2024</v>
      </c>
      <c r="E518" s="15" t="s">
        <v>46</v>
      </c>
      <c r="F518" s="15" t="s">
        <v>982</v>
      </c>
      <c r="G518" s="15" t="s">
        <v>37</v>
      </c>
      <c r="H518" s="15" t="s">
        <v>167</v>
      </c>
      <c r="I518" s="15" t="s">
        <v>168</v>
      </c>
      <c r="J518" s="17">
        <v>135000</v>
      </c>
      <c r="K518" s="15" t="s">
        <v>999</v>
      </c>
      <c r="L518" s="15" t="s">
        <v>300</v>
      </c>
      <c r="M518" s="15" t="s">
        <v>74</v>
      </c>
      <c r="N518" s="15" t="s">
        <v>1538</v>
      </c>
      <c r="O518" s="15">
        <v>25</v>
      </c>
      <c r="P518" s="15" t="s">
        <v>1641</v>
      </c>
      <c r="Q518" s="15"/>
      <c r="R518" s="15"/>
    </row>
    <row r="519" spans="1:18" x14ac:dyDescent="0.35">
      <c r="A519" s="15" t="s">
        <v>1649</v>
      </c>
      <c r="B519" s="16">
        <v>45625</v>
      </c>
      <c r="C519" s="15" t="s">
        <v>1537</v>
      </c>
      <c r="D519" s="15">
        <v>2024</v>
      </c>
      <c r="E519" s="15" t="s">
        <v>46</v>
      </c>
      <c r="F519" s="15" t="s">
        <v>131</v>
      </c>
      <c r="G519" s="15" t="s">
        <v>32</v>
      </c>
      <c r="H519" s="15" t="s">
        <v>1650</v>
      </c>
      <c r="I519" s="15" t="s">
        <v>1651</v>
      </c>
      <c r="J519" s="17">
        <v>500000</v>
      </c>
      <c r="K519" s="15" t="s">
        <v>935</v>
      </c>
      <c r="L519" s="15" t="s">
        <v>300</v>
      </c>
      <c r="M519" s="15" t="s">
        <v>74</v>
      </c>
      <c r="N519" s="15" t="s">
        <v>1538</v>
      </c>
      <c r="O519" s="15">
        <v>35</v>
      </c>
      <c r="P519" s="15" t="s">
        <v>1641</v>
      </c>
      <c r="Q519" s="15"/>
      <c r="R519" s="15"/>
    </row>
    <row r="520" spans="1:18" x14ac:dyDescent="0.35">
      <c r="A520" s="15" t="s">
        <v>1652</v>
      </c>
      <c r="B520" s="16">
        <v>45626</v>
      </c>
      <c r="C520" s="15" t="s">
        <v>1537</v>
      </c>
      <c r="D520" s="15">
        <v>2024</v>
      </c>
      <c r="E520" s="15" t="s">
        <v>46</v>
      </c>
      <c r="F520" s="15" t="s">
        <v>131</v>
      </c>
      <c r="G520" s="15" t="s">
        <v>32</v>
      </c>
      <c r="H520" s="15" t="s">
        <v>1653</v>
      </c>
      <c r="I520" s="15" t="s">
        <v>1654</v>
      </c>
      <c r="J520" s="17">
        <v>500000</v>
      </c>
      <c r="K520" s="15" t="s">
        <v>999</v>
      </c>
      <c r="L520" s="15" t="s">
        <v>300</v>
      </c>
      <c r="M520" s="15" t="s">
        <v>74</v>
      </c>
      <c r="N520" s="15" t="s">
        <v>1538</v>
      </c>
      <c r="O520" s="15">
        <v>27</v>
      </c>
      <c r="P520" s="15" t="s">
        <v>1655</v>
      </c>
      <c r="Q520" s="15" t="s">
        <v>1656</v>
      </c>
      <c r="R520" s="15"/>
    </row>
    <row r="521" spans="1:18" x14ac:dyDescent="0.35">
      <c r="A521" s="15" t="s">
        <v>1657</v>
      </c>
      <c r="B521" s="16">
        <v>45626</v>
      </c>
      <c r="C521" s="15" t="s">
        <v>1537</v>
      </c>
      <c r="D521" s="15">
        <v>2024</v>
      </c>
      <c r="E521" s="15" t="s">
        <v>46</v>
      </c>
      <c r="F521" s="15" t="s">
        <v>131</v>
      </c>
      <c r="G521" s="15" t="s">
        <v>32</v>
      </c>
      <c r="H521" s="15" t="s">
        <v>1658</v>
      </c>
      <c r="I521" s="15" t="s">
        <v>1659</v>
      </c>
      <c r="J521" s="17">
        <v>500000</v>
      </c>
      <c r="K521" s="15" t="s">
        <v>999</v>
      </c>
      <c r="L521" s="15" t="s">
        <v>300</v>
      </c>
      <c r="M521" s="15" t="s">
        <v>74</v>
      </c>
      <c r="N521" s="15" t="s">
        <v>1538</v>
      </c>
      <c r="O521" s="15">
        <v>26</v>
      </c>
      <c r="P521" s="15" t="s">
        <v>1655</v>
      </c>
      <c r="Q521" s="15" t="s">
        <v>1660</v>
      </c>
      <c r="R521" s="15"/>
    </row>
    <row r="522" spans="1:18" x14ac:dyDescent="0.35">
      <c r="A522" s="15" t="s">
        <v>1661</v>
      </c>
      <c r="B522" s="16">
        <v>45628</v>
      </c>
      <c r="C522" s="15" t="s">
        <v>1662</v>
      </c>
      <c r="D522" s="15">
        <v>2024</v>
      </c>
      <c r="E522" s="15" t="s">
        <v>46</v>
      </c>
      <c r="F522" s="15" t="s">
        <v>131</v>
      </c>
      <c r="G522" s="15" t="s">
        <v>29</v>
      </c>
      <c r="H522" s="15" t="s">
        <v>337</v>
      </c>
      <c r="I522" s="15" t="s">
        <v>671</v>
      </c>
      <c r="J522" s="17">
        <v>1700000</v>
      </c>
      <c r="K522" s="15" t="s">
        <v>935</v>
      </c>
      <c r="L522" s="15" t="s">
        <v>300</v>
      </c>
      <c r="M522" s="15" t="s">
        <v>74</v>
      </c>
      <c r="N522" s="15" t="s">
        <v>1663</v>
      </c>
      <c r="O522" s="15">
        <v>7</v>
      </c>
      <c r="P522" s="15" t="s">
        <v>1664</v>
      </c>
      <c r="Q522" s="15"/>
      <c r="R522" s="15"/>
    </row>
    <row r="523" spans="1:18" x14ac:dyDescent="0.35">
      <c r="A523" s="15" t="s">
        <v>1665</v>
      </c>
      <c r="B523" s="16">
        <v>45629</v>
      </c>
      <c r="C523" s="15" t="s">
        <v>1662</v>
      </c>
      <c r="D523" s="15">
        <v>2024</v>
      </c>
      <c r="E523" s="15" t="s">
        <v>46</v>
      </c>
      <c r="F523" s="15" t="s">
        <v>131</v>
      </c>
      <c r="G523" s="15" t="s">
        <v>32</v>
      </c>
      <c r="H523" s="15" t="s">
        <v>713</v>
      </c>
      <c r="I523" s="15" t="s">
        <v>714</v>
      </c>
      <c r="J523" s="17">
        <v>1000000</v>
      </c>
      <c r="K523" s="15" t="s">
        <v>999</v>
      </c>
      <c r="L523" s="15" t="s">
        <v>300</v>
      </c>
      <c r="M523" s="15" t="s">
        <v>74</v>
      </c>
      <c r="N523" s="15" t="s">
        <v>1663</v>
      </c>
      <c r="O523" s="15">
        <v>7</v>
      </c>
      <c r="P523" s="15" t="s">
        <v>1666</v>
      </c>
      <c r="Q523" s="15" t="s">
        <v>1667</v>
      </c>
      <c r="R523" s="15"/>
    </row>
    <row r="524" spans="1:18" x14ac:dyDescent="0.35">
      <c r="A524" s="15" t="s">
        <v>1668</v>
      </c>
      <c r="B524" s="16">
        <v>45629</v>
      </c>
      <c r="C524" s="15" t="s">
        <v>1662</v>
      </c>
      <c r="D524" s="15">
        <v>2024</v>
      </c>
      <c r="E524" s="15" t="s">
        <v>46</v>
      </c>
      <c r="F524" s="15" t="s">
        <v>131</v>
      </c>
      <c r="G524" s="15" t="s">
        <v>32</v>
      </c>
      <c r="H524" s="15" t="s">
        <v>167</v>
      </c>
      <c r="I524" s="15" t="s">
        <v>1669</v>
      </c>
      <c r="J524" s="17">
        <v>3500000</v>
      </c>
      <c r="K524" s="15" t="s">
        <v>999</v>
      </c>
      <c r="L524" s="15" t="s">
        <v>300</v>
      </c>
      <c r="M524" s="15" t="s">
        <v>74</v>
      </c>
      <c r="N524" s="15" t="s">
        <v>1663</v>
      </c>
      <c r="O524" s="15">
        <v>8</v>
      </c>
      <c r="P524" s="15" t="s">
        <v>1666</v>
      </c>
      <c r="Q524" s="15" t="s">
        <v>1670</v>
      </c>
      <c r="R524" s="15"/>
    </row>
    <row r="525" spans="1:18" x14ac:dyDescent="0.35">
      <c r="A525" s="15" t="s">
        <v>1671</v>
      </c>
      <c r="B525" s="16">
        <v>45630</v>
      </c>
      <c r="C525" s="15" t="s">
        <v>1662</v>
      </c>
      <c r="D525" s="15">
        <v>2024</v>
      </c>
      <c r="E525" s="15" t="s">
        <v>46</v>
      </c>
      <c r="F525" s="15" t="s">
        <v>131</v>
      </c>
      <c r="G525" s="15" t="s">
        <v>32</v>
      </c>
      <c r="H525" s="15" t="s">
        <v>713</v>
      </c>
      <c r="I525" s="15" t="s">
        <v>714</v>
      </c>
      <c r="J525" s="17">
        <v>335000</v>
      </c>
      <c r="K525" s="15" t="s">
        <v>999</v>
      </c>
      <c r="L525" s="15" t="s">
        <v>300</v>
      </c>
      <c r="M525" s="15" t="s">
        <v>74</v>
      </c>
      <c r="N525" s="15" t="s">
        <v>1663</v>
      </c>
      <c r="O525" s="15">
        <v>9</v>
      </c>
      <c r="P525" s="15" t="s">
        <v>1672</v>
      </c>
      <c r="Q525" s="15" t="s">
        <v>1673</v>
      </c>
      <c r="R525" s="15"/>
    </row>
    <row r="526" spans="1:18" x14ac:dyDescent="0.35">
      <c r="A526" s="15" t="s">
        <v>1674</v>
      </c>
      <c r="B526" s="16">
        <v>45632</v>
      </c>
      <c r="C526" s="15" t="s">
        <v>1662</v>
      </c>
      <c r="D526" s="15">
        <v>2024</v>
      </c>
      <c r="E526" s="15" t="s">
        <v>46</v>
      </c>
      <c r="F526" s="15" t="s">
        <v>131</v>
      </c>
      <c r="G526" s="15" t="s">
        <v>31</v>
      </c>
      <c r="H526" s="15" t="s">
        <v>362</v>
      </c>
      <c r="I526" s="15" t="s">
        <v>1051</v>
      </c>
      <c r="J526" s="17">
        <v>2000000</v>
      </c>
      <c r="K526" s="15" t="s">
        <v>935</v>
      </c>
      <c r="L526" s="15" t="s">
        <v>300</v>
      </c>
      <c r="M526" s="15" t="s">
        <v>74</v>
      </c>
      <c r="N526" s="15" t="s">
        <v>1663</v>
      </c>
      <c r="O526" s="15">
        <v>9</v>
      </c>
      <c r="P526" s="15" t="s">
        <v>1675</v>
      </c>
      <c r="Q526" s="15" t="s">
        <v>1676</v>
      </c>
      <c r="R526" s="15"/>
    </row>
    <row r="527" spans="1:18" x14ac:dyDescent="0.35">
      <c r="A527" s="15" t="s">
        <v>1677</v>
      </c>
      <c r="B527" s="16">
        <v>45632</v>
      </c>
      <c r="C527" s="15" t="s">
        <v>1662</v>
      </c>
      <c r="D527" s="15">
        <v>2024</v>
      </c>
      <c r="E527" s="15" t="s">
        <v>46</v>
      </c>
      <c r="F527" s="15" t="s">
        <v>982</v>
      </c>
      <c r="G527" s="15" t="s">
        <v>37</v>
      </c>
      <c r="H527" s="15" t="s">
        <v>362</v>
      </c>
      <c r="I527" s="15" t="s">
        <v>1051</v>
      </c>
      <c r="J527" s="17">
        <v>135000</v>
      </c>
      <c r="K527" s="15" t="s">
        <v>935</v>
      </c>
      <c r="L527" s="15" t="s">
        <v>300</v>
      </c>
      <c r="M527" s="15" t="s">
        <v>74</v>
      </c>
      <c r="N527" s="15" t="s">
        <v>1663</v>
      </c>
      <c r="O527" s="15">
        <v>10</v>
      </c>
      <c r="P527" s="15" t="s">
        <v>1675</v>
      </c>
      <c r="Q527" s="15"/>
      <c r="R527" s="15"/>
    </row>
    <row r="528" spans="1:18" x14ac:dyDescent="0.35">
      <c r="A528" s="15" t="s">
        <v>1678</v>
      </c>
      <c r="B528" s="16">
        <v>45632</v>
      </c>
      <c r="C528" s="15" t="s">
        <v>1662</v>
      </c>
      <c r="D528" s="15">
        <v>2024</v>
      </c>
      <c r="E528" s="15" t="s">
        <v>46</v>
      </c>
      <c r="F528" s="15" t="s">
        <v>131</v>
      </c>
      <c r="G528" s="15" t="s">
        <v>32</v>
      </c>
      <c r="H528" s="15" t="s">
        <v>1653</v>
      </c>
      <c r="I528" s="15" t="s">
        <v>1654</v>
      </c>
      <c r="J528" s="17">
        <v>500000</v>
      </c>
      <c r="K528" s="15" t="s">
        <v>999</v>
      </c>
      <c r="L528" s="15" t="s">
        <v>300</v>
      </c>
      <c r="M528" s="15" t="s">
        <v>74</v>
      </c>
      <c r="N528" s="15" t="s">
        <v>1663</v>
      </c>
      <c r="O528" s="15">
        <v>10</v>
      </c>
      <c r="P528" s="15" t="s">
        <v>1675</v>
      </c>
      <c r="Q528" s="15" t="s">
        <v>1679</v>
      </c>
      <c r="R528" s="15"/>
    </row>
    <row r="529" spans="1:18" x14ac:dyDescent="0.35">
      <c r="A529" s="15" t="s">
        <v>1680</v>
      </c>
      <c r="B529" s="16">
        <v>45633</v>
      </c>
      <c r="C529" s="15" t="s">
        <v>1662</v>
      </c>
      <c r="D529" s="15">
        <v>2024</v>
      </c>
      <c r="E529" s="15" t="s">
        <v>46</v>
      </c>
      <c r="F529" s="15" t="s">
        <v>131</v>
      </c>
      <c r="G529" s="15" t="s">
        <v>34</v>
      </c>
      <c r="H529" s="15" t="s">
        <v>1455</v>
      </c>
      <c r="I529" s="15" t="s">
        <v>1604</v>
      </c>
      <c r="J529" s="17">
        <v>450000</v>
      </c>
      <c r="K529" s="15" t="s">
        <v>935</v>
      </c>
      <c r="L529" s="15" t="s">
        <v>300</v>
      </c>
      <c r="M529" s="15" t="s">
        <v>74</v>
      </c>
      <c r="N529" s="15" t="s">
        <v>1663</v>
      </c>
      <c r="O529" s="15">
        <v>11</v>
      </c>
      <c r="P529" s="15" t="s">
        <v>1681</v>
      </c>
      <c r="Q529" s="15" t="s">
        <v>1682</v>
      </c>
      <c r="R529" s="15"/>
    </row>
    <row r="530" spans="1:18" x14ac:dyDescent="0.35">
      <c r="A530" s="15" t="s">
        <v>1683</v>
      </c>
      <c r="B530" s="16">
        <v>45634</v>
      </c>
      <c r="C530" s="15" t="s">
        <v>1662</v>
      </c>
      <c r="D530" s="15">
        <v>2024</v>
      </c>
      <c r="E530" s="15" t="s">
        <v>46</v>
      </c>
      <c r="F530" s="15" t="s">
        <v>131</v>
      </c>
      <c r="G530" s="15" t="s">
        <v>32</v>
      </c>
      <c r="H530" s="15" t="s">
        <v>1436</v>
      </c>
      <c r="I530" s="15" t="s">
        <v>1684</v>
      </c>
      <c r="J530" s="17">
        <v>1000000</v>
      </c>
      <c r="K530" s="15" t="s">
        <v>935</v>
      </c>
      <c r="L530" s="15" t="s">
        <v>300</v>
      </c>
      <c r="M530" s="15" t="s">
        <v>74</v>
      </c>
      <c r="N530" s="15" t="s">
        <v>1663</v>
      </c>
      <c r="O530" s="15">
        <v>12</v>
      </c>
      <c r="P530" s="15" t="s">
        <v>1685</v>
      </c>
      <c r="Q530" s="15" t="s">
        <v>1686</v>
      </c>
      <c r="R530" s="15"/>
    </row>
    <row r="531" spans="1:18" x14ac:dyDescent="0.35">
      <c r="A531" s="15" t="s">
        <v>1687</v>
      </c>
      <c r="B531" s="16">
        <v>45635</v>
      </c>
      <c r="C531" s="15" t="s">
        <v>1662</v>
      </c>
      <c r="D531" s="15">
        <v>2024</v>
      </c>
      <c r="E531" s="15" t="s">
        <v>46</v>
      </c>
      <c r="F531" s="15" t="s">
        <v>131</v>
      </c>
      <c r="G531" s="15" t="s">
        <v>31</v>
      </c>
      <c r="H531" s="15" t="s">
        <v>1519</v>
      </c>
      <c r="I531" s="15" t="s">
        <v>1688</v>
      </c>
      <c r="J531" s="17">
        <v>1000000</v>
      </c>
      <c r="K531" s="15" t="s">
        <v>935</v>
      </c>
      <c r="L531" s="15" t="s">
        <v>300</v>
      </c>
      <c r="M531" s="15" t="s">
        <v>74</v>
      </c>
      <c r="N531" s="15" t="s">
        <v>1663</v>
      </c>
      <c r="O531" s="15">
        <v>14</v>
      </c>
      <c r="P531" s="15" t="s">
        <v>1689</v>
      </c>
      <c r="Q531" s="15" t="s">
        <v>1690</v>
      </c>
      <c r="R531" s="15"/>
    </row>
    <row r="532" spans="1:18" x14ac:dyDescent="0.35">
      <c r="A532" s="15" t="s">
        <v>1691</v>
      </c>
      <c r="B532" s="16">
        <v>45635</v>
      </c>
      <c r="C532" s="15" t="s">
        <v>1662</v>
      </c>
      <c r="D532" s="15">
        <v>2024</v>
      </c>
      <c r="E532" s="15" t="s">
        <v>47</v>
      </c>
      <c r="F532" s="15" t="s">
        <v>131</v>
      </c>
      <c r="G532" s="15" t="s">
        <v>40</v>
      </c>
      <c r="H532" s="15" t="s">
        <v>1481</v>
      </c>
      <c r="I532" s="15" t="s">
        <v>1482</v>
      </c>
      <c r="J532" s="17">
        <v>10000000</v>
      </c>
      <c r="K532" s="15" t="s">
        <v>999</v>
      </c>
      <c r="L532" s="15" t="s">
        <v>300</v>
      </c>
      <c r="M532" s="15" t="s">
        <v>74</v>
      </c>
      <c r="N532" s="15" t="s">
        <v>1663</v>
      </c>
      <c r="O532" s="15">
        <v>11</v>
      </c>
      <c r="P532" s="15" t="s">
        <v>1689</v>
      </c>
      <c r="Q532" s="15" t="s">
        <v>1692</v>
      </c>
      <c r="R532" s="15"/>
    </row>
    <row r="533" spans="1:18" x14ac:dyDescent="0.35">
      <c r="A533" s="15" t="s">
        <v>1693</v>
      </c>
      <c r="B533" s="16">
        <v>45635</v>
      </c>
      <c r="C533" s="15" t="s">
        <v>1662</v>
      </c>
      <c r="D533" s="15">
        <v>2024</v>
      </c>
      <c r="E533" s="15" t="s">
        <v>46</v>
      </c>
      <c r="F533" s="15" t="s">
        <v>131</v>
      </c>
      <c r="G533" s="15" t="s">
        <v>32</v>
      </c>
      <c r="H533" s="15" t="s">
        <v>1436</v>
      </c>
      <c r="I533" s="15" t="s">
        <v>1684</v>
      </c>
      <c r="J533" s="17">
        <v>1000000</v>
      </c>
      <c r="K533" s="15" t="s">
        <v>935</v>
      </c>
      <c r="L533" s="15" t="s">
        <v>300</v>
      </c>
      <c r="M533" s="15" t="s">
        <v>74</v>
      </c>
      <c r="N533" s="15" t="s">
        <v>1663</v>
      </c>
      <c r="O533" s="15">
        <v>13</v>
      </c>
      <c r="P533" s="15" t="s">
        <v>1689</v>
      </c>
      <c r="Q533" s="15" t="s">
        <v>1694</v>
      </c>
      <c r="R533" s="15"/>
    </row>
    <row r="534" spans="1:18" x14ac:dyDescent="0.35">
      <c r="A534" s="15" t="s">
        <v>1695</v>
      </c>
      <c r="B534" s="16">
        <v>45637</v>
      </c>
      <c r="C534" s="15" t="s">
        <v>1662</v>
      </c>
      <c r="D534" s="15">
        <v>2024</v>
      </c>
      <c r="E534" s="15" t="s">
        <v>46</v>
      </c>
      <c r="F534" s="15" t="s">
        <v>131</v>
      </c>
      <c r="G534" s="15" t="s">
        <v>32</v>
      </c>
      <c r="H534" s="15" t="s">
        <v>1481</v>
      </c>
      <c r="I534" s="15" t="s">
        <v>1482</v>
      </c>
      <c r="J534" s="17">
        <v>7000000</v>
      </c>
      <c r="K534" s="15" t="s">
        <v>999</v>
      </c>
      <c r="L534" s="15" t="s">
        <v>300</v>
      </c>
      <c r="M534" s="15" t="s">
        <v>74</v>
      </c>
      <c r="N534" s="15" t="s">
        <v>1663</v>
      </c>
      <c r="O534" s="15">
        <v>12</v>
      </c>
      <c r="P534" s="15" t="s">
        <v>1696</v>
      </c>
      <c r="Q534" s="15" t="s">
        <v>1697</v>
      </c>
      <c r="R534" s="15"/>
    </row>
    <row r="535" spans="1:18" x14ac:dyDescent="0.35">
      <c r="A535" s="15" t="s">
        <v>1698</v>
      </c>
      <c r="B535" s="16">
        <v>45640</v>
      </c>
      <c r="C535" s="15" t="s">
        <v>1662</v>
      </c>
      <c r="D535" s="15">
        <v>2024</v>
      </c>
      <c r="E535" s="15" t="s">
        <v>46</v>
      </c>
      <c r="F535" s="15" t="s">
        <v>131</v>
      </c>
      <c r="G535" s="15" t="s">
        <v>31</v>
      </c>
      <c r="H535" s="15" t="s">
        <v>1645</v>
      </c>
      <c r="I535" s="15" t="s">
        <v>1699</v>
      </c>
      <c r="J535" s="17">
        <v>500000</v>
      </c>
      <c r="K535" s="15" t="s">
        <v>935</v>
      </c>
      <c r="L535" s="15" t="s">
        <v>300</v>
      </c>
      <c r="M535" s="15" t="s">
        <v>74</v>
      </c>
      <c r="N535" s="15" t="s">
        <v>1663</v>
      </c>
      <c r="O535" s="15">
        <v>15</v>
      </c>
      <c r="P535" s="15" t="s">
        <v>1700</v>
      </c>
      <c r="Q535" s="15" t="s">
        <v>1701</v>
      </c>
      <c r="R535" s="15"/>
    </row>
    <row r="536" spans="1:18" x14ac:dyDescent="0.35">
      <c r="A536" s="15" t="s">
        <v>1702</v>
      </c>
      <c r="B536" s="16">
        <v>45641</v>
      </c>
      <c r="C536" s="15" t="s">
        <v>1662</v>
      </c>
      <c r="D536" s="15">
        <v>2024</v>
      </c>
      <c r="E536" s="15" t="s">
        <v>46</v>
      </c>
      <c r="F536" s="15" t="s">
        <v>131</v>
      </c>
      <c r="G536" s="15" t="s">
        <v>27</v>
      </c>
      <c r="H536" s="15" t="s">
        <v>1703</v>
      </c>
      <c r="I536" s="15" t="s">
        <v>1704</v>
      </c>
      <c r="J536" s="17">
        <v>500000</v>
      </c>
      <c r="K536" s="15" t="s">
        <v>999</v>
      </c>
      <c r="L536" s="15" t="s">
        <v>300</v>
      </c>
      <c r="M536" s="15" t="s">
        <v>74</v>
      </c>
      <c r="N536" s="15" t="s">
        <v>1663</v>
      </c>
      <c r="O536" s="15">
        <v>14</v>
      </c>
      <c r="P536" s="15" t="s">
        <v>1705</v>
      </c>
      <c r="Q536" s="15" t="s">
        <v>1706</v>
      </c>
      <c r="R536" s="15"/>
    </row>
    <row r="537" spans="1:18" x14ac:dyDescent="0.35">
      <c r="A537" s="15" t="s">
        <v>1707</v>
      </c>
      <c r="B537" s="16">
        <v>45641</v>
      </c>
      <c r="C537" s="15" t="s">
        <v>1662</v>
      </c>
      <c r="D537" s="15">
        <v>2024</v>
      </c>
      <c r="E537" s="15" t="s">
        <v>46</v>
      </c>
      <c r="F537" s="15" t="s">
        <v>131</v>
      </c>
      <c r="G537" s="15" t="s">
        <v>27</v>
      </c>
      <c r="H537" s="15" t="s">
        <v>1708</v>
      </c>
      <c r="I537" s="15" t="s">
        <v>1709</v>
      </c>
      <c r="J537" s="17">
        <v>1000000</v>
      </c>
      <c r="K537" s="15" t="s">
        <v>999</v>
      </c>
      <c r="L537" s="15" t="s">
        <v>300</v>
      </c>
      <c r="M537" s="15" t="s">
        <v>74</v>
      </c>
      <c r="N537" s="15" t="s">
        <v>1663</v>
      </c>
      <c r="O537" s="15">
        <v>15</v>
      </c>
      <c r="P537" s="15" t="s">
        <v>1705</v>
      </c>
      <c r="Q537" s="15"/>
      <c r="R537" s="15"/>
    </row>
    <row r="538" spans="1:18" x14ac:dyDescent="0.35">
      <c r="A538" s="15" t="s">
        <v>1710</v>
      </c>
      <c r="B538" s="16">
        <v>45641</v>
      </c>
      <c r="C538" s="15" t="s">
        <v>1662</v>
      </c>
      <c r="D538" s="15">
        <v>2024</v>
      </c>
      <c r="E538" s="15" t="s">
        <v>46</v>
      </c>
      <c r="F538" s="15" t="s">
        <v>131</v>
      </c>
      <c r="G538" s="15" t="s">
        <v>27</v>
      </c>
      <c r="H538" s="15" t="s">
        <v>1711</v>
      </c>
      <c r="I538" s="15" t="s">
        <v>1712</v>
      </c>
      <c r="J538" s="17">
        <v>500000</v>
      </c>
      <c r="K538" s="15" t="s">
        <v>999</v>
      </c>
      <c r="L538" s="15" t="s">
        <v>300</v>
      </c>
      <c r="M538" s="15" t="s">
        <v>74</v>
      </c>
      <c r="N538" s="15" t="s">
        <v>1663</v>
      </c>
      <c r="O538" s="15">
        <v>13</v>
      </c>
      <c r="P538" s="15" t="s">
        <v>1705</v>
      </c>
      <c r="Q538" s="15"/>
      <c r="R538" s="15"/>
    </row>
    <row r="539" spans="1:18" x14ac:dyDescent="0.35">
      <c r="A539" s="15" t="s">
        <v>1713</v>
      </c>
      <c r="B539" s="16">
        <v>45641</v>
      </c>
      <c r="C539" s="15" t="s">
        <v>1662</v>
      </c>
      <c r="D539" s="15">
        <v>2024</v>
      </c>
      <c r="E539" s="15" t="s">
        <v>47</v>
      </c>
      <c r="F539" s="15" t="s">
        <v>131</v>
      </c>
      <c r="G539" s="15" t="s">
        <v>40</v>
      </c>
      <c r="H539" s="15" t="s">
        <v>1714</v>
      </c>
      <c r="I539" s="15" t="s">
        <v>1715</v>
      </c>
      <c r="J539" s="17">
        <v>4750000</v>
      </c>
      <c r="K539" s="15" t="s">
        <v>999</v>
      </c>
      <c r="L539" s="15" t="s">
        <v>300</v>
      </c>
      <c r="M539" s="15" t="s">
        <v>74</v>
      </c>
      <c r="N539" s="15" t="s">
        <v>1663</v>
      </c>
      <c r="O539" s="15">
        <v>17</v>
      </c>
      <c r="P539" s="15" t="s">
        <v>1705</v>
      </c>
      <c r="Q539" s="15"/>
      <c r="R539" s="15"/>
    </row>
    <row r="540" spans="1:18" x14ac:dyDescent="0.35">
      <c r="A540" s="15" t="s">
        <v>1716</v>
      </c>
      <c r="B540" s="16">
        <v>45641</v>
      </c>
      <c r="C540" s="15" t="s">
        <v>1662</v>
      </c>
      <c r="D540" s="15">
        <v>2024</v>
      </c>
      <c r="E540" s="15" t="s">
        <v>46</v>
      </c>
      <c r="F540" s="15" t="s">
        <v>131</v>
      </c>
      <c r="G540" s="15" t="s">
        <v>27</v>
      </c>
      <c r="H540" s="15" t="s">
        <v>1717</v>
      </c>
      <c r="I540" s="15" t="s">
        <v>1718</v>
      </c>
      <c r="J540" s="17">
        <v>1000000</v>
      </c>
      <c r="K540" s="15" t="s">
        <v>999</v>
      </c>
      <c r="L540" s="15" t="s">
        <v>300</v>
      </c>
      <c r="M540" s="15" t="s">
        <v>74</v>
      </c>
      <c r="N540" s="15" t="s">
        <v>1663</v>
      </c>
      <c r="O540" s="15">
        <v>16</v>
      </c>
      <c r="P540" s="15" t="s">
        <v>1705</v>
      </c>
      <c r="Q540" s="15"/>
      <c r="R540" s="15"/>
    </row>
    <row r="541" spans="1:18" x14ac:dyDescent="0.35">
      <c r="A541" s="15" t="s">
        <v>1719</v>
      </c>
      <c r="B541" s="16">
        <v>45642</v>
      </c>
      <c r="C541" s="15" t="s">
        <v>1662</v>
      </c>
      <c r="D541" s="15">
        <v>2024</v>
      </c>
      <c r="E541" s="15" t="s">
        <v>46</v>
      </c>
      <c r="F541" s="15" t="s">
        <v>131</v>
      </c>
      <c r="G541" s="15" t="s">
        <v>32</v>
      </c>
      <c r="H541" s="15" t="s">
        <v>568</v>
      </c>
      <c r="I541" s="15" t="s">
        <v>875</v>
      </c>
      <c r="J541" s="17">
        <v>2500000</v>
      </c>
      <c r="K541" s="15" t="s">
        <v>935</v>
      </c>
      <c r="L541" s="15" t="s">
        <v>300</v>
      </c>
      <c r="M541" s="15" t="s">
        <v>74</v>
      </c>
      <c r="N541" s="15" t="s">
        <v>1663</v>
      </c>
      <c r="O541" s="15">
        <v>16</v>
      </c>
      <c r="P541" s="15" t="s">
        <v>1720</v>
      </c>
      <c r="Q541" s="15"/>
      <c r="R541" s="15"/>
    </row>
    <row r="542" spans="1:18" x14ac:dyDescent="0.35">
      <c r="A542" s="15" t="s">
        <v>1721</v>
      </c>
      <c r="B542" s="16">
        <v>45642</v>
      </c>
      <c r="C542" s="15" t="s">
        <v>1662</v>
      </c>
      <c r="D542" s="15">
        <v>2024</v>
      </c>
      <c r="E542" s="15" t="s">
        <v>46</v>
      </c>
      <c r="F542" s="15" t="s">
        <v>131</v>
      </c>
      <c r="G542" s="15" t="s">
        <v>32</v>
      </c>
      <c r="H542" s="15" t="s">
        <v>1658</v>
      </c>
      <c r="I542" s="15" t="s">
        <v>1659</v>
      </c>
      <c r="J542" s="17">
        <v>500000</v>
      </c>
      <c r="K542" s="15" t="s">
        <v>999</v>
      </c>
      <c r="L542" s="15" t="s">
        <v>300</v>
      </c>
      <c r="M542" s="15" t="s">
        <v>74</v>
      </c>
      <c r="N542" s="15" t="s">
        <v>1663</v>
      </c>
      <c r="O542" s="15">
        <v>18</v>
      </c>
      <c r="P542" s="15" t="s">
        <v>1720</v>
      </c>
      <c r="Q542" s="15" t="s">
        <v>1722</v>
      </c>
      <c r="R542" s="15"/>
    </row>
    <row r="543" spans="1:18" x14ac:dyDescent="0.35">
      <c r="A543" s="15" t="s">
        <v>1723</v>
      </c>
      <c r="B543" s="16">
        <v>45645</v>
      </c>
      <c r="C543" s="15" t="s">
        <v>1662</v>
      </c>
      <c r="D543" s="15">
        <v>2024</v>
      </c>
      <c r="E543" s="15" t="s">
        <v>46</v>
      </c>
      <c r="F543" s="15" t="s">
        <v>131</v>
      </c>
      <c r="G543" s="15" t="s">
        <v>27</v>
      </c>
      <c r="H543" s="15" t="s">
        <v>414</v>
      </c>
      <c r="I543" s="15" t="s">
        <v>1724</v>
      </c>
      <c r="J543" s="17">
        <v>900000</v>
      </c>
      <c r="K543" s="15" t="s">
        <v>999</v>
      </c>
      <c r="L543" s="15" t="s">
        <v>300</v>
      </c>
      <c r="M543" s="15" t="s">
        <v>74</v>
      </c>
      <c r="N543" s="15" t="s">
        <v>1663</v>
      </c>
      <c r="O543" s="15">
        <v>19</v>
      </c>
      <c r="P543" s="15" t="s">
        <v>1725</v>
      </c>
      <c r="Q543" s="15" t="s">
        <v>1726</v>
      </c>
      <c r="R543" s="15"/>
    </row>
    <row r="544" spans="1:18" x14ac:dyDescent="0.35">
      <c r="A544" s="15" t="s">
        <v>1727</v>
      </c>
      <c r="B544" s="16">
        <v>45646</v>
      </c>
      <c r="C544" s="15" t="s">
        <v>1662</v>
      </c>
      <c r="D544" s="15">
        <v>2024</v>
      </c>
      <c r="E544" s="15" t="s">
        <v>47</v>
      </c>
      <c r="F544" s="15" t="s">
        <v>131</v>
      </c>
      <c r="G544" s="15" t="s">
        <v>40</v>
      </c>
      <c r="H544" s="15" t="s">
        <v>1573</v>
      </c>
      <c r="I544" s="15" t="s">
        <v>1728</v>
      </c>
      <c r="J544" s="17">
        <v>4000000</v>
      </c>
      <c r="K544" s="15" t="s">
        <v>999</v>
      </c>
      <c r="L544" s="15" t="s">
        <v>300</v>
      </c>
      <c r="M544" s="15" t="s">
        <v>74</v>
      </c>
      <c r="N544" s="15" t="s">
        <v>1663</v>
      </c>
      <c r="O544" s="15">
        <v>20</v>
      </c>
      <c r="P544" s="15" t="s">
        <v>1729</v>
      </c>
      <c r="Q544" s="15" t="s">
        <v>1730</v>
      </c>
      <c r="R544" s="15"/>
    </row>
    <row r="545" spans="1:18" x14ac:dyDescent="0.35">
      <c r="A545" s="15" t="s">
        <v>1731</v>
      </c>
      <c r="B545" s="16">
        <v>45646</v>
      </c>
      <c r="C545" s="15" t="s">
        <v>1662</v>
      </c>
      <c r="D545" s="15">
        <v>2024</v>
      </c>
      <c r="E545" s="15" t="s">
        <v>46</v>
      </c>
      <c r="F545" s="15" t="s">
        <v>131</v>
      </c>
      <c r="G545" s="15" t="s">
        <v>32</v>
      </c>
      <c r="H545" s="15" t="s">
        <v>1732</v>
      </c>
      <c r="I545" s="15" t="s">
        <v>1733</v>
      </c>
      <c r="J545" s="17">
        <v>300000</v>
      </c>
      <c r="K545" s="15" t="s">
        <v>935</v>
      </c>
      <c r="L545" s="15" t="s">
        <v>300</v>
      </c>
      <c r="M545" s="15" t="s">
        <v>74</v>
      </c>
      <c r="N545" s="15" t="s">
        <v>1663</v>
      </c>
      <c r="O545" s="15">
        <v>17</v>
      </c>
      <c r="P545" s="15" t="s">
        <v>1729</v>
      </c>
      <c r="Q545" s="15" t="s">
        <v>1734</v>
      </c>
      <c r="R545" s="15"/>
    </row>
    <row r="546" spans="1:18" x14ac:dyDescent="0.35">
      <c r="A546" s="15" t="s">
        <v>1735</v>
      </c>
      <c r="B546" s="16">
        <v>45650</v>
      </c>
      <c r="C546" s="15" t="s">
        <v>1662</v>
      </c>
      <c r="D546" s="15">
        <v>2024</v>
      </c>
      <c r="E546" s="15" t="s">
        <v>46</v>
      </c>
      <c r="F546" s="15" t="s">
        <v>131</v>
      </c>
      <c r="G546" s="15" t="s">
        <v>34</v>
      </c>
      <c r="H546" s="15" t="s">
        <v>1736</v>
      </c>
      <c r="I546" s="15" t="s">
        <v>1737</v>
      </c>
      <c r="J546" s="17">
        <v>500000</v>
      </c>
      <c r="K546" s="15" t="s">
        <v>935</v>
      </c>
      <c r="L546" s="15" t="s">
        <v>300</v>
      </c>
      <c r="M546" s="15" t="s">
        <v>74</v>
      </c>
      <c r="N546" s="15" t="s">
        <v>1663</v>
      </c>
      <c r="O546" s="15">
        <v>20</v>
      </c>
      <c r="P546" s="15" t="s">
        <v>1738</v>
      </c>
      <c r="Q546" s="15" t="s">
        <v>1739</v>
      </c>
      <c r="R546" s="15"/>
    </row>
    <row r="547" spans="1:18" x14ac:dyDescent="0.35">
      <c r="A547" s="15" t="s">
        <v>1740</v>
      </c>
      <c r="B547" s="16">
        <v>45650</v>
      </c>
      <c r="C547" s="15" t="s">
        <v>1662</v>
      </c>
      <c r="D547" s="15">
        <v>2024</v>
      </c>
      <c r="E547" s="15" t="s">
        <v>46</v>
      </c>
      <c r="F547" s="15" t="s">
        <v>131</v>
      </c>
      <c r="G547" s="15" t="s">
        <v>32</v>
      </c>
      <c r="H547" s="15" t="s">
        <v>1650</v>
      </c>
      <c r="I547" s="15" t="s">
        <v>1741</v>
      </c>
      <c r="J547" s="17">
        <v>500000</v>
      </c>
      <c r="K547" s="15" t="s">
        <v>935</v>
      </c>
      <c r="L547" s="15" t="s">
        <v>300</v>
      </c>
      <c r="M547" s="15" t="s">
        <v>74</v>
      </c>
      <c r="N547" s="15" t="s">
        <v>1663</v>
      </c>
      <c r="O547" s="15">
        <v>18</v>
      </c>
      <c r="P547" s="15" t="s">
        <v>1738</v>
      </c>
      <c r="Q547" s="15"/>
      <c r="R547" s="15"/>
    </row>
    <row r="548" spans="1:18" x14ac:dyDescent="0.35">
      <c r="A548" s="15" t="s">
        <v>1742</v>
      </c>
      <c r="B548" s="16">
        <v>45650</v>
      </c>
      <c r="C548" s="15" t="s">
        <v>1662</v>
      </c>
      <c r="D548" s="15">
        <v>2024</v>
      </c>
      <c r="E548" s="15" t="s">
        <v>46</v>
      </c>
      <c r="F548" s="15" t="s">
        <v>131</v>
      </c>
      <c r="G548" s="15" t="s">
        <v>32</v>
      </c>
      <c r="H548" s="15" t="s">
        <v>1650</v>
      </c>
      <c r="I548" s="15" t="s">
        <v>1741</v>
      </c>
      <c r="J548" s="17">
        <v>500000</v>
      </c>
      <c r="K548" s="15" t="s">
        <v>935</v>
      </c>
      <c r="L548" s="15" t="s">
        <v>300</v>
      </c>
      <c r="M548" s="15" t="s">
        <v>74</v>
      </c>
      <c r="N548" s="15" t="s">
        <v>1663</v>
      </c>
      <c r="O548" s="15">
        <v>19</v>
      </c>
      <c r="P548" s="15" t="s">
        <v>1738</v>
      </c>
      <c r="Q548" s="15"/>
      <c r="R548" s="15"/>
    </row>
    <row r="549" spans="1:18" x14ac:dyDescent="0.35">
      <c r="A549" s="15" t="s">
        <v>1743</v>
      </c>
      <c r="B549" s="16">
        <v>45651</v>
      </c>
      <c r="C549" s="15" t="s">
        <v>1662</v>
      </c>
      <c r="D549" s="15">
        <v>2024</v>
      </c>
      <c r="E549" s="15" t="s">
        <v>46</v>
      </c>
      <c r="F549" s="15" t="s">
        <v>131</v>
      </c>
      <c r="G549" s="15" t="s">
        <v>31</v>
      </c>
      <c r="H549" s="15" t="s">
        <v>278</v>
      </c>
      <c r="I549" s="15" t="s">
        <v>279</v>
      </c>
      <c r="J549" s="17">
        <v>3830000</v>
      </c>
      <c r="K549" s="15" t="s">
        <v>935</v>
      </c>
      <c r="L549" s="15" t="s">
        <v>300</v>
      </c>
      <c r="M549" s="15" t="s">
        <v>74</v>
      </c>
      <c r="N549" s="15" t="s">
        <v>1663</v>
      </c>
      <c r="O549" s="15">
        <v>22</v>
      </c>
      <c r="P549" s="15" t="s">
        <v>1744</v>
      </c>
      <c r="Q549" s="15" t="s">
        <v>1745</v>
      </c>
      <c r="R549" s="15"/>
    </row>
    <row r="550" spans="1:18" x14ac:dyDescent="0.35">
      <c r="A550" s="15" t="s">
        <v>1746</v>
      </c>
      <c r="B550" s="16">
        <v>45651</v>
      </c>
      <c r="C550" s="15" t="s">
        <v>1662</v>
      </c>
      <c r="D550" s="15">
        <v>2024</v>
      </c>
      <c r="E550" s="15" t="s">
        <v>46</v>
      </c>
      <c r="F550" s="15" t="s">
        <v>131</v>
      </c>
      <c r="G550" s="15" t="s">
        <v>32</v>
      </c>
      <c r="H550" s="15" t="s">
        <v>1443</v>
      </c>
      <c r="I550" s="15" t="s">
        <v>1444</v>
      </c>
      <c r="J550" s="17">
        <v>450000</v>
      </c>
      <c r="K550" s="15" t="s">
        <v>935</v>
      </c>
      <c r="L550" s="15" t="s">
        <v>300</v>
      </c>
      <c r="M550" s="15" t="s">
        <v>74</v>
      </c>
      <c r="N550" s="15" t="s">
        <v>1663</v>
      </c>
      <c r="O550" s="15">
        <v>21</v>
      </c>
      <c r="P550" s="15" t="s">
        <v>1744</v>
      </c>
      <c r="Q550" s="15" t="s">
        <v>1747</v>
      </c>
      <c r="R550" s="15"/>
    </row>
    <row r="551" spans="1:18" x14ac:dyDescent="0.35">
      <c r="A551" s="15" t="s">
        <v>1748</v>
      </c>
      <c r="B551" s="16">
        <v>45653</v>
      </c>
      <c r="C551" s="15" t="s">
        <v>1662</v>
      </c>
      <c r="D551" s="15">
        <v>2024</v>
      </c>
      <c r="E551" s="15" t="s">
        <v>46</v>
      </c>
      <c r="F551" s="15" t="s">
        <v>982</v>
      </c>
      <c r="G551" s="15" t="s">
        <v>38</v>
      </c>
      <c r="H551" s="15" t="s">
        <v>203</v>
      </c>
      <c r="I551" s="15" t="s">
        <v>943</v>
      </c>
      <c r="J551" s="17">
        <v>50000</v>
      </c>
      <c r="K551" s="15" t="s">
        <v>935</v>
      </c>
      <c r="L551" s="15" t="s">
        <v>300</v>
      </c>
      <c r="M551" s="15" t="s">
        <v>74</v>
      </c>
      <c r="N551" s="15" t="s">
        <v>1663</v>
      </c>
      <c r="O551" s="15">
        <v>24</v>
      </c>
      <c r="P551" s="15" t="s">
        <v>1749</v>
      </c>
      <c r="Q551" s="15"/>
      <c r="R551" s="15"/>
    </row>
    <row r="552" spans="1:18" x14ac:dyDescent="0.35">
      <c r="A552" s="15" t="s">
        <v>1750</v>
      </c>
      <c r="B552" s="16">
        <v>45653</v>
      </c>
      <c r="C552" s="15" t="s">
        <v>1662</v>
      </c>
      <c r="D552" s="15">
        <v>2024</v>
      </c>
      <c r="E552" s="15" t="s">
        <v>46</v>
      </c>
      <c r="F552" s="15" t="s">
        <v>131</v>
      </c>
      <c r="G552" s="15" t="s">
        <v>27</v>
      </c>
      <c r="H552" s="15" t="s">
        <v>203</v>
      </c>
      <c r="I552" s="15" t="s">
        <v>943</v>
      </c>
      <c r="J552" s="17">
        <v>500000</v>
      </c>
      <c r="K552" s="15" t="s">
        <v>935</v>
      </c>
      <c r="L552" s="15" t="s">
        <v>300</v>
      </c>
      <c r="M552" s="15" t="s">
        <v>74</v>
      </c>
      <c r="N552" s="15" t="s">
        <v>1663</v>
      </c>
      <c r="O552" s="15">
        <v>25</v>
      </c>
      <c r="P552" s="15" t="s">
        <v>1749</v>
      </c>
      <c r="Q552" s="15" t="s">
        <v>1751</v>
      </c>
      <c r="R552" s="15"/>
    </row>
    <row r="553" spans="1:18" x14ac:dyDescent="0.35">
      <c r="A553" s="15" t="s">
        <v>1752</v>
      </c>
      <c r="B553" s="16">
        <v>45653</v>
      </c>
      <c r="C553" s="15" t="s">
        <v>1662</v>
      </c>
      <c r="D553" s="15">
        <v>2024</v>
      </c>
      <c r="E553" s="15" t="s">
        <v>46</v>
      </c>
      <c r="F553" s="15" t="s">
        <v>131</v>
      </c>
      <c r="G553" s="15" t="s">
        <v>31</v>
      </c>
      <c r="H553" s="15" t="s">
        <v>203</v>
      </c>
      <c r="I553" s="15" t="s">
        <v>943</v>
      </c>
      <c r="J553" s="17">
        <v>140000</v>
      </c>
      <c r="K553" s="15" t="s">
        <v>935</v>
      </c>
      <c r="L553" s="15" t="s">
        <v>300</v>
      </c>
      <c r="M553" s="15" t="s">
        <v>74</v>
      </c>
      <c r="N553" s="15" t="s">
        <v>1663</v>
      </c>
      <c r="O553" s="15">
        <v>26</v>
      </c>
      <c r="P553" s="15" t="s">
        <v>1749</v>
      </c>
      <c r="Q553" s="15" t="s">
        <v>1753</v>
      </c>
      <c r="R553" s="15"/>
    </row>
    <row r="554" spans="1:18" x14ac:dyDescent="0.35">
      <c r="A554" s="15" t="s">
        <v>1754</v>
      </c>
      <c r="B554" s="16">
        <v>45653</v>
      </c>
      <c r="C554" s="15" t="s">
        <v>1662</v>
      </c>
      <c r="D554" s="15">
        <v>2024</v>
      </c>
      <c r="E554" s="15" t="s">
        <v>47</v>
      </c>
      <c r="F554" s="15" t="s">
        <v>131</v>
      </c>
      <c r="G554" s="15" t="s">
        <v>40</v>
      </c>
      <c r="H554" s="15" t="s">
        <v>1755</v>
      </c>
      <c r="I554" s="15" t="s">
        <v>1756</v>
      </c>
      <c r="J554" s="17">
        <v>5000000</v>
      </c>
      <c r="K554" s="15" t="s">
        <v>999</v>
      </c>
      <c r="L554" s="15" t="s">
        <v>300</v>
      </c>
      <c r="M554" s="15" t="s">
        <v>74</v>
      </c>
      <c r="N554" s="15" t="s">
        <v>1663</v>
      </c>
      <c r="O554" s="15">
        <v>21</v>
      </c>
      <c r="P554" s="15" t="s">
        <v>1749</v>
      </c>
      <c r="Q554" s="15" t="s">
        <v>1757</v>
      </c>
      <c r="R554" s="15"/>
    </row>
    <row r="555" spans="1:18" x14ac:dyDescent="0.35">
      <c r="A555" s="15" t="s">
        <v>1758</v>
      </c>
      <c r="B555" s="16">
        <v>45653</v>
      </c>
      <c r="C555" s="15" t="s">
        <v>1662</v>
      </c>
      <c r="D555" s="15">
        <v>2024</v>
      </c>
      <c r="E555" s="15" t="s">
        <v>46</v>
      </c>
      <c r="F555" s="15" t="s">
        <v>131</v>
      </c>
      <c r="G555" s="15" t="s">
        <v>27</v>
      </c>
      <c r="H555" s="15" t="s">
        <v>414</v>
      </c>
      <c r="I555" s="15" t="s">
        <v>1724</v>
      </c>
      <c r="J555" s="17">
        <v>555000</v>
      </c>
      <c r="K555" s="15" t="s">
        <v>999</v>
      </c>
      <c r="L555" s="15" t="s">
        <v>300</v>
      </c>
      <c r="M555" s="15" t="s">
        <v>74</v>
      </c>
      <c r="N555" s="15" t="s">
        <v>1663</v>
      </c>
      <c r="O555" s="15">
        <v>22</v>
      </c>
      <c r="P555" s="15" t="s">
        <v>1749</v>
      </c>
      <c r="Q555" s="15" t="s">
        <v>1759</v>
      </c>
      <c r="R555" s="15"/>
    </row>
    <row r="556" spans="1:18" x14ac:dyDescent="0.35">
      <c r="A556" s="15" t="s">
        <v>1760</v>
      </c>
      <c r="B556" s="16">
        <v>45653</v>
      </c>
      <c r="C556" s="15" t="s">
        <v>1662</v>
      </c>
      <c r="D556" s="15">
        <v>2024</v>
      </c>
      <c r="E556" s="15" t="s">
        <v>46</v>
      </c>
      <c r="F556" s="15" t="s">
        <v>131</v>
      </c>
      <c r="G556" s="15" t="s">
        <v>34</v>
      </c>
      <c r="H556" s="15" t="s">
        <v>1390</v>
      </c>
      <c r="I556" s="15" t="s">
        <v>1761</v>
      </c>
      <c r="J556" s="17">
        <v>100000</v>
      </c>
      <c r="K556" s="15" t="s">
        <v>935</v>
      </c>
      <c r="L556" s="15" t="s">
        <v>300</v>
      </c>
      <c r="M556" s="15" t="s">
        <v>74</v>
      </c>
      <c r="N556" s="15" t="s">
        <v>1663</v>
      </c>
      <c r="O556" s="15">
        <v>23</v>
      </c>
      <c r="P556" s="15" t="s">
        <v>1749</v>
      </c>
      <c r="Q556" s="15" t="s">
        <v>1762</v>
      </c>
      <c r="R556" s="15"/>
    </row>
    <row r="557" spans="1:18" x14ac:dyDescent="0.35">
      <c r="A557" s="15" t="s">
        <v>1763</v>
      </c>
      <c r="B557" s="16">
        <v>45656</v>
      </c>
      <c r="C557" s="15" t="s">
        <v>1662</v>
      </c>
      <c r="D557" s="15">
        <v>2024</v>
      </c>
      <c r="E557" s="15" t="s">
        <v>46</v>
      </c>
      <c r="F557" s="15" t="s">
        <v>131</v>
      </c>
      <c r="G557" s="15" t="s">
        <v>33</v>
      </c>
      <c r="H557" s="15" t="s">
        <v>1764</v>
      </c>
      <c r="I557" s="15" t="s">
        <v>1765</v>
      </c>
      <c r="J557" s="17">
        <v>300000</v>
      </c>
      <c r="K557" s="15" t="s">
        <v>935</v>
      </c>
      <c r="L557" s="15" t="s">
        <v>300</v>
      </c>
      <c r="M557" s="15" t="s">
        <v>74</v>
      </c>
      <c r="N557" s="15" t="s">
        <v>1663</v>
      </c>
      <c r="O557" s="15">
        <v>27</v>
      </c>
      <c r="P557" s="15" t="s">
        <v>1766</v>
      </c>
      <c r="Q557" s="15" t="s">
        <v>1767</v>
      </c>
      <c r="R557" s="15"/>
    </row>
    <row r="558" spans="1:18" x14ac:dyDescent="0.35">
      <c r="A558" s="15" t="s">
        <v>1768</v>
      </c>
      <c r="B558" s="16">
        <v>45656</v>
      </c>
      <c r="C558" s="15" t="s">
        <v>1662</v>
      </c>
      <c r="D558" s="15">
        <v>2024</v>
      </c>
      <c r="E558" s="15" t="s">
        <v>47</v>
      </c>
      <c r="F558" s="15" t="s">
        <v>131</v>
      </c>
      <c r="G558" s="15" t="s">
        <v>40</v>
      </c>
      <c r="H558" s="15" t="s">
        <v>1755</v>
      </c>
      <c r="I558" s="15" t="s">
        <v>1756</v>
      </c>
      <c r="J558" s="17">
        <v>5000000</v>
      </c>
      <c r="K558" s="15" t="s">
        <v>999</v>
      </c>
      <c r="L558" s="15" t="s">
        <v>300</v>
      </c>
      <c r="M558" s="15" t="s">
        <v>74</v>
      </c>
      <c r="N558" s="15" t="s">
        <v>1663</v>
      </c>
      <c r="O558" s="15">
        <v>23</v>
      </c>
      <c r="P558" s="15" t="s">
        <v>1766</v>
      </c>
      <c r="Q558" s="15" t="s">
        <v>1769</v>
      </c>
      <c r="R558" s="15"/>
    </row>
    <row r="559" spans="1:18" x14ac:dyDescent="0.35">
      <c r="A559" s="15" t="s">
        <v>1770</v>
      </c>
      <c r="B559" s="16">
        <v>45657</v>
      </c>
      <c r="C559" s="15" t="s">
        <v>1662</v>
      </c>
      <c r="D559" s="15">
        <v>2024</v>
      </c>
      <c r="E559" s="15" t="s">
        <v>46</v>
      </c>
      <c r="F559" s="15" t="s">
        <v>131</v>
      </c>
      <c r="G559" s="15" t="s">
        <v>34</v>
      </c>
      <c r="H559" s="15" t="s">
        <v>1771</v>
      </c>
      <c r="I559" s="15" t="s">
        <v>1772</v>
      </c>
      <c r="J559" s="17">
        <v>550000</v>
      </c>
      <c r="K559" s="15" t="s">
        <v>935</v>
      </c>
      <c r="L559" s="15" t="s">
        <v>300</v>
      </c>
      <c r="M559" s="15" t="s">
        <v>74</v>
      </c>
      <c r="N559" s="15" t="s">
        <v>1663</v>
      </c>
      <c r="O559" s="15">
        <v>28</v>
      </c>
      <c r="P559" s="15" t="s">
        <v>1773</v>
      </c>
      <c r="Q559" s="15" t="s">
        <v>1774</v>
      </c>
      <c r="R559" s="15"/>
    </row>
    <row r="560" spans="1:18" x14ac:dyDescent="0.35">
      <c r="A560" s="15" t="s">
        <v>1775</v>
      </c>
      <c r="B560" s="16">
        <v>45657</v>
      </c>
      <c r="C560" s="15" t="s">
        <v>1662</v>
      </c>
      <c r="D560" s="15">
        <v>2024</v>
      </c>
      <c r="E560" s="15" t="s">
        <v>46</v>
      </c>
      <c r="F560" s="15" t="s">
        <v>982</v>
      </c>
      <c r="G560" s="15" t="s">
        <v>39</v>
      </c>
      <c r="H560" s="15" t="s">
        <v>1771</v>
      </c>
      <c r="I560" s="15" t="s">
        <v>1772</v>
      </c>
      <c r="J560" s="17">
        <v>50000</v>
      </c>
      <c r="K560" s="15" t="s">
        <v>935</v>
      </c>
      <c r="L560" s="15" t="s">
        <v>300</v>
      </c>
      <c r="M560" s="15" t="s">
        <v>74</v>
      </c>
      <c r="N560" s="15" t="s">
        <v>1663</v>
      </c>
      <c r="O560" s="15">
        <v>29</v>
      </c>
      <c r="P560" s="15" t="s">
        <v>1773</v>
      </c>
      <c r="Q560" s="15"/>
      <c r="R560" s="15"/>
    </row>
    <row r="561" spans="1:18" x14ac:dyDescent="0.35">
      <c r="A561" s="15" t="s">
        <v>1776</v>
      </c>
      <c r="B561" s="16">
        <v>45658</v>
      </c>
      <c r="C561" s="15" t="s">
        <v>1777</v>
      </c>
      <c r="D561" s="15">
        <v>2025</v>
      </c>
      <c r="E561" s="15" t="s">
        <v>46</v>
      </c>
      <c r="F561" s="15" t="s">
        <v>131</v>
      </c>
      <c r="G561" s="15" t="s">
        <v>36</v>
      </c>
      <c r="H561" s="15" t="s">
        <v>713</v>
      </c>
      <c r="I561" s="15" t="s">
        <v>714</v>
      </c>
      <c r="J561" s="17">
        <v>1000000</v>
      </c>
      <c r="K561" s="15"/>
      <c r="L561" s="15" t="s">
        <v>134</v>
      </c>
      <c r="M561" s="15" t="s">
        <v>76</v>
      </c>
      <c r="N561" s="15" t="s">
        <v>169</v>
      </c>
      <c r="O561" s="15">
        <v>138</v>
      </c>
      <c r="P561" s="15" t="s">
        <v>1778</v>
      </c>
      <c r="Q561" s="15"/>
      <c r="R561" s="15" t="s">
        <v>137</v>
      </c>
    </row>
    <row r="562" spans="1:18" x14ac:dyDescent="0.35">
      <c r="A562" s="15" t="s">
        <v>1779</v>
      </c>
      <c r="B562" s="16">
        <v>45659</v>
      </c>
      <c r="C562" s="15" t="s">
        <v>1777</v>
      </c>
      <c r="D562" s="15">
        <v>2025</v>
      </c>
      <c r="E562" s="15" t="s">
        <v>46</v>
      </c>
      <c r="F562" s="15" t="s">
        <v>131</v>
      </c>
      <c r="G562" s="15" t="s">
        <v>34</v>
      </c>
      <c r="H562" s="15" t="s">
        <v>1780</v>
      </c>
      <c r="I562" s="15" t="s">
        <v>1781</v>
      </c>
      <c r="J562" s="17">
        <v>1000000</v>
      </c>
      <c r="K562" s="15"/>
      <c r="L562" s="15" t="s">
        <v>134</v>
      </c>
      <c r="M562" s="15" t="s">
        <v>76</v>
      </c>
      <c r="N562" s="15" t="s">
        <v>1782</v>
      </c>
      <c r="O562" s="15">
        <v>3</v>
      </c>
      <c r="P562" s="15" t="s">
        <v>1783</v>
      </c>
      <c r="Q562" s="15"/>
      <c r="R562" s="15" t="s">
        <v>137</v>
      </c>
    </row>
    <row r="563" spans="1:18" x14ac:dyDescent="0.35">
      <c r="A563" s="15" t="s">
        <v>1784</v>
      </c>
      <c r="B563" s="16">
        <v>45665</v>
      </c>
      <c r="C563" s="15" t="s">
        <v>1777</v>
      </c>
      <c r="D563" s="15">
        <v>2025</v>
      </c>
      <c r="E563" s="15" t="s">
        <v>46</v>
      </c>
      <c r="F563" s="15" t="s">
        <v>131</v>
      </c>
      <c r="G563" s="15" t="s">
        <v>36</v>
      </c>
      <c r="H563" s="15" t="s">
        <v>713</v>
      </c>
      <c r="I563" s="15" t="s">
        <v>714</v>
      </c>
      <c r="J563" s="17">
        <v>330000</v>
      </c>
      <c r="K563" s="15"/>
      <c r="L563" s="15" t="s">
        <v>134</v>
      </c>
      <c r="M563" s="15" t="s">
        <v>76</v>
      </c>
      <c r="N563" s="15" t="s">
        <v>169</v>
      </c>
      <c r="O563" s="15">
        <v>139</v>
      </c>
      <c r="P563" s="15" t="s">
        <v>1785</v>
      </c>
      <c r="Q563" s="15"/>
      <c r="R563" s="15" t="s">
        <v>137</v>
      </c>
    </row>
    <row r="564" spans="1:18" x14ac:dyDescent="0.35">
      <c r="A564" s="15" t="s">
        <v>1786</v>
      </c>
      <c r="B564" s="16">
        <v>45665</v>
      </c>
      <c r="C564" s="15" t="s">
        <v>1777</v>
      </c>
      <c r="D564" s="15">
        <v>2025</v>
      </c>
      <c r="E564" s="15" t="s">
        <v>46</v>
      </c>
      <c r="F564" s="15" t="s">
        <v>131</v>
      </c>
      <c r="G564" s="15" t="s">
        <v>36</v>
      </c>
      <c r="H564" s="15" t="s">
        <v>1596</v>
      </c>
      <c r="I564" s="15" t="s">
        <v>1787</v>
      </c>
      <c r="J564" s="17">
        <v>320000</v>
      </c>
      <c r="K564" s="15"/>
      <c r="L564" s="15" t="s">
        <v>134</v>
      </c>
      <c r="M564" s="15" t="s">
        <v>76</v>
      </c>
      <c r="N564" s="15" t="s">
        <v>1788</v>
      </c>
      <c r="O564" s="15">
        <v>26</v>
      </c>
      <c r="P564" s="15" t="s">
        <v>1785</v>
      </c>
      <c r="Q564" s="15"/>
      <c r="R564" s="15" t="s">
        <v>137</v>
      </c>
    </row>
    <row r="565" spans="1:18" x14ac:dyDescent="0.35">
      <c r="A565" s="15" t="s">
        <v>1789</v>
      </c>
      <c r="B565" s="16">
        <v>45665</v>
      </c>
      <c r="C565" s="15" t="s">
        <v>1777</v>
      </c>
      <c r="D565" s="15">
        <v>2025</v>
      </c>
      <c r="E565" s="15" t="s">
        <v>46</v>
      </c>
      <c r="F565" s="15" t="s">
        <v>131</v>
      </c>
      <c r="G565" s="15" t="s">
        <v>36</v>
      </c>
      <c r="H565" s="15" t="s">
        <v>1481</v>
      </c>
      <c r="I565" s="15" t="s">
        <v>1482</v>
      </c>
      <c r="J565" s="17">
        <v>3000000</v>
      </c>
      <c r="K565" s="15"/>
      <c r="L565" s="15" t="s">
        <v>134</v>
      </c>
      <c r="M565" s="15" t="s">
        <v>76</v>
      </c>
      <c r="N565" s="15" t="s">
        <v>1790</v>
      </c>
      <c r="O565" s="15">
        <v>86</v>
      </c>
      <c r="P565" s="15" t="s">
        <v>1785</v>
      </c>
      <c r="Q565" s="15"/>
      <c r="R565" s="15" t="s">
        <v>137</v>
      </c>
    </row>
    <row r="566" spans="1:18" x14ac:dyDescent="0.35">
      <c r="A566" s="15" t="s">
        <v>1791</v>
      </c>
      <c r="B566" s="16">
        <v>45667</v>
      </c>
      <c r="C566" s="15" t="s">
        <v>1777</v>
      </c>
      <c r="D566" s="15">
        <v>2025</v>
      </c>
      <c r="E566" s="15" t="s">
        <v>46</v>
      </c>
      <c r="F566" s="15" t="s">
        <v>131</v>
      </c>
      <c r="G566" s="15" t="s">
        <v>36</v>
      </c>
      <c r="H566" s="15" t="s">
        <v>414</v>
      </c>
      <c r="I566" s="15" t="s">
        <v>1724</v>
      </c>
      <c r="J566" s="17">
        <v>45000</v>
      </c>
      <c r="K566" s="15"/>
      <c r="L566" s="15" t="s">
        <v>134</v>
      </c>
      <c r="M566" s="15" t="s">
        <v>76</v>
      </c>
      <c r="N566" s="15" t="s">
        <v>1792</v>
      </c>
      <c r="O566" s="15">
        <v>30</v>
      </c>
      <c r="P566" s="15" t="s">
        <v>1793</v>
      </c>
      <c r="Q566" s="15"/>
      <c r="R566" s="15" t="s">
        <v>137</v>
      </c>
    </row>
    <row r="567" spans="1:18" x14ac:dyDescent="0.35">
      <c r="A567" s="15" t="s">
        <v>1794</v>
      </c>
      <c r="B567" s="16">
        <v>45671</v>
      </c>
      <c r="C567" s="15" t="s">
        <v>1777</v>
      </c>
      <c r="D567" s="15">
        <v>2025</v>
      </c>
      <c r="E567" s="15" t="s">
        <v>46</v>
      </c>
      <c r="F567" s="15" t="s">
        <v>131</v>
      </c>
      <c r="G567" s="15" t="s">
        <v>36</v>
      </c>
      <c r="H567" s="15" t="s">
        <v>1390</v>
      </c>
      <c r="I567" s="15" t="s">
        <v>1391</v>
      </c>
      <c r="J567" s="17">
        <v>50000</v>
      </c>
      <c r="K567" s="15"/>
      <c r="L567" s="15" t="s">
        <v>134</v>
      </c>
      <c r="M567" s="15" t="s">
        <v>76</v>
      </c>
      <c r="N567" s="15" t="s">
        <v>1795</v>
      </c>
      <c r="O567" s="15">
        <v>62</v>
      </c>
      <c r="P567" s="15" t="s">
        <v>1796</v>
      </c>
      <c r="Q567" s="15"/>
      <c r="R567" s="15" t="s">
        <v>137</v>
      </c>
    </row>
    <row r="568" spans="1:18" x14ac:dyDescent="0.35">
      <c r="A568" s="15" t="s">
        <v>1797</v>
      </c>
      <c r="B568" s="16">
        <v>45677</v>
      </c>
      <c r="C568" s="15" t="s">
        <v>1777</v>
      </c>
      <c r="D568" s="15">
        <v>2025</v>
      </c>
      <c r="E568" s="15" t="s">
        <v>47</v>
      </c>
      <c r="F568" s="15" t="s">
        <v>131</v>
      </c>
      <c r="G568" s="15" t="s">
        <v>26</v>
      </c>
      <c r="H568" s="15" t="s">
        <v>1798</v>
      </c>
      <c r="I568" s="15" t="s">
        <v>1799</v>
      </c>
      <c r="J568" s="17">
        <v>25000000</v>
      </c>
      <c r="K568" s="15"/>
      <c r="L568" s="15" t="s">
        <v>134</v>
      </c>
      <c r="M568" s="15" t="s">
        <v>76</v>
      </c>
      <c r="N568" s="15" t="s">
        <v>1800</v>
      </c>
      <c r="O568" s="15">
        <v>106</v>
      </c>
      <c r="P568" s="15" t="s">
        <v>1801</v>
      </c>
      <c r="Q568" s="15" t="s">
        <v>1802</v>
      </c>
      <c r="R568" s="15" t="s">
        <v>137</v>
      </c>
    </row>
    <row r="569" spans="1:18" x14ac:dyDescent="0.35">
      <c r="A569" s="15" t="s">
        <v>1803</v>
      </c>
      <c r="B569" s="16">
        <v>45678</v>
      </c>
      <c r="C569" s="15" t="s">
        <v>1777</v>
      </c>
      <c r="D569" s="15">
        <v>2025</v>
      </c>
      <c r="E569" s="15" t="s">
        <v>46</v>
      </c>
      <c r="F569" s="15" t="s">
        <v>131</v>
      </c>
      <c r="G569" s="15" t="s">
        <v>36</v>
      </c>
      <c r="H569" s="15" t="s">
        <v>167</v>
      </c>
      <c r="I569" s="15" t="s">
        <v>168</v>
      </c>
      <c r="J569" s="17">
        <v>4500000</v>
      </c>
      <c r="K569" s="15"/>
      <c r="L569" s="15" t="s">
        <v>134</v>
      </c>
      <c r="M569" s="15" t="s">
        <v>76</v>
      </c>
      <c r="N569" s="15" t="s">
        <v>1804</v>
      </c>
      <c r="O569" s="15">
        <v>61</v>
      </c>
      <c r="P569" s="15" t="s">
        <v>1805</v>
      </c>
      <c r="Q569" s="15"/>
      <c r="R569" s="15" t="s">
        <v>137</v>
      </c>
    </row>
    <row r="570" spans="1:18" x14ac:dyDescent="0.35">
      <c r="A570" s="15" t="s">
        <v>1806</v>
      </c>
      <c r="B570" s="16">
        <v>45678</v>
      </c>
      <c r="C570" s="15" t="s">
        <v>1777</v>
      </c>
      <c r="D570" s="15">
        <v>2025</v>
      </c>
      <c r="E570" s="15" t="s">
        <v>47</v>
      </c>
      <c r="F570" s="15" t="s">
        <v>131</v>
      </c>
      <c r="G570" s="15" t="s">
        <v>26</v>
      </c>
      <c r="H570" s="15" t="s">
        <v>1798</v>
      </c>
      <c r="I570" s="15" t="s">
        <v>1799</v>
      </c>
      <c r="J570" s="17">
        <v>25000000</v>
      </c>
      <c r="K570" s="15"/>
      <c r="L570" s="15" t="s">
        <v>134</v>
      </c>
      <c r="M570" s="15" t="s">
        <v>76</v>
      </c>
      <c r="N570" s="15" t="s">
        <v>1800</v>
      </c>
      <c r="O570" s="15">
        <v>107</v>
      </c>
      <c r="P570" s="15" t="s">
        <v>1805</v>
      </c>
      <c r="Q570" s="15" t="s">
        <v>1807</v>
      </c>
      <c r="R570" s="15" t="s">
        <v>137</v>
      </c>
    </row>
    <row r="571" spans="1:18" x14ac:dyDescent="0.35">
      <c r="A571" s="15" t="s">
        <v>1808</v>
      </c>
      <c r="B571" s="16">
        <v>45679</v>
      </c>
      <c r="C571" s="15" t="s">
        <v>1777</v>
      </c>
      <c r="D571" s="15">
        <v>2025</v>
      </c>
      <c r="E571" s="15" t="s">
        <v>47</v>
      </c>
      <c r="F571" s="15" t="s">
        <v>131</v>
      </c>
      <c r="G571" s="15" t="s">
        <v>26</v>
      </c>
      <c r="H571" s="15" t="s">
        <v>1798</v>
      </c>
      <c r="I571" s="15" t="s">
        <v>1799</v>
      </c>
      <c r="J571" s="17">
        <v>25000000</v>
      </c>
      <c r="K571" s="15"/>
      <c r="L571" s="15" t="s">
        <v>134</v>
      </c>
      <c r="M571" s="15" t="s">
        <v>76</v>
      </c>
      <c r="N571" s="15" t="s">
        <v>1800</v>
      </c>
      <c r="O571" s="15">
        <v>108</v>
      </c>
      <c r="P571" s="15" t="s">
        <v>1809</v>
      </c>
      <c r="Q571" s="15" t="s">
        <v>1810</v>
      </c>
      <c r="R571" s="15" t="s">
        <v>137</v>
      </c>
    </row>
    <row r="572" spans="1:18" x14ac:dyDescent="0.35">
      <c r="A572" s="15" t="s">
        <v>1811</v>
      </c>
      <c r="B572" s="16">
        <v>45680</v>
      </c>
      <c r="C572" s="15" t="s">
        <v>1777</v>
      </c>
      <c r="D572" s="15">
        <v>2025</v>
      </c>
      <c r="E572" s="15" t="s">
        <v>46</v>
      </c>
      <c r="F572" s="15" t="s">
        <v>131</v>
      </c>
      <c r="G572" s="15" t="s">
        <v>36</v>
      </c>
      <c r="H572" s="15" t="s">
        <v>1812</v>
      </c>
      <c r="I572" s="15" t="s">
        <v>1813</v>
      </c>
      <c r="J572" s="17">
        <v>800000</v>
      </c>
      <c r="K572" s="15"/>
      <c r="L572" s="15" t="s">
        <v>134</v>
      </c>
      <c r="M572" s="15" t="s">
        <v>76</v>
      </c>
      <c r="N572" s="15" t="s">
        <v>1814</v>
      </c>
      <c r="O572" s="15">
        <v>50</v>
      </c>
      <c r="P572" s="15" t="s">
        <v>1815</v>
      </c>
      <c r="Q572" s="15"/>
      <c r="R572" s="15" t="s">
        <v>137</v>
      </c>
    </row>
    <row r="573" spans="1:18" x14ac:dyDescent="0.35">
      <c r="A573" s="15" t="s">
        <v>1816</v>
      </c>
      <c r="B573" s="16">
        <v>45680</v>
      </c>
      <c r="C573" s="15" t="s">
        <v>1777</v>
      </c>
      <c r="D573" s="15">
        <v>2025</v>
      </c>
      <c r="E573" s="15" t="s">
        <v>47</v>
      </c>
      <c r="F573" s="15" t="s">
        <v>131</v>
      </c>
      <c r="G573" s="15" t="s">
        <v>26</v>
      </c>
      <c r="H573" s="15" t="s">
        <v>1798</v>
      </c>
      <c r="I573" s="15" t="s">
        <v>1799</v>
      </c>
      <c r="J573" s="17">
        <v>25000000</v>
      </c>
      <c r="K573" s="15"/>
      <c r="L573" s="15" t="s">
        <v>134</v>
      </c>
      <c r="M573" s="15" t="s">
        <v>76</v>
      </c>
      <c r="N573" s="15" t="s">
        <v>1800</v>
      </c>
      <c r="O573" s="15">
        <v>109</v>
      </c>
      <c r="P573" s="15" t="s">
        <v>1815</v>
      </c>
      <c r="Q573" s="15" t="s">
        <v>1817</v>
      </c>
      <c r="R573" s="15" t="s">
        <v>137</v>
      </c>
    </row>
    <row r="574" spans="1:18" x14ac:dyDescent="0.35">
      <c r="A574" s="15" t="s">
        <v>1818</v>
      </c>
      <c r="B574" s="16">
        <v>45681</v>
      </c>
      <c r="C574" s="15" t="s">
        <v>1777</v>
      </c>
      <c r="D574" s="15">
        <v>2025</v>
      </c>
      <c r="E574" s="15" t="s">
        <v>46</v>
      </c>
      <c r="F574" s="15" t="s">
        <v>131</v>
      </c>
      <c r="G574" s="15" t="s">
        <v>36</v>
      </c>
      <c r="H574" s="15" t="s">
        <v>203</v>
      </c>
      <c r="I574" s="15" t="s">
        <v>943</v>
      </c>
      <c r="J574" s="17">
        <v>500000</v>
      </c>
      <c r="K574" s="15"/>
      <c r="L574" s="15" t="s">
        <v>134</v>
      </c>
      <c r="M574" s="15" t="s">
        <v>76</v>
      </c>
      <c r="N574" s="15" t="s">
        <v>1800</v>
      </c>
      <c r="O574" s="15">
        <v>111</v>
      </c>
      <c r="P574" s="15" t="s">
        <v>1819</v>
      </c>
      <c r="Q574" s="15"/>
      <c r="R574" s="15" t="s">
        <v>137</v>
      </c>
    </row>
    <row r="575" spans="1:18" x14ac:dyDescent="0.35">
      <c r="A575" s="15" t="s">
        <v>1820</v>
      </c>
      <c r="B575" s="16">
        <v>45681</v>
      </c>
      <c r="C575" s="15" t="s">
        <v>1777</v>
      </c>
      <c r="D575" s="15">
        <v>2025</v>
      </c>
      <c r="E575" s="15" t="s">
        <v>47</v>
      </c>
      <c r="F575" s="15" t="s">
        <v>131</v>
      </c>
      <c r="G575" s="15" t="s">
        <v>26</v>
      </c>
      <c r="H575" s="15" t="s">
        <v>1798</v>
      </c>
      <c r="I575" s="15" t="s">
        <v>1799</v>
      </c>
      <c r="J575" s="17">
        <v>25000000</v>
      </c>
      <c r="K575" s="15"/>
      <c r="L575" s="15" t="s">
        <v>134</v>
      </c>
      <c r="M575" s="15" t="s">
        <v>76</v>
      </c>
      <c r="N575" s="15" t="s">
        <v>1821</v>
      </c>
      <c r="O575" s="15">
        <v>6</v>
      </c>
      <c r="P575" s="15" t="s">
        <v>1819</v>
      </c>
      <c r="Q575" s="15"/>
      <c r="R575" s="15" t="s">
        <v>137</v>
      </c>
    </row>
    <row r="576" spans="1:18" x14ac:dyDescent="0.35">
      <c r="A576" s="15" t="s">
        <v>1822</v>
      </c>
      <c r="B576" s="16">
        <v>45682</v>
      </c>
      <c r="C576" s="15" t="s">
        <v>1777</v>
      </c>
      <c r="D576" s="15">
        <v>2025</v>
      </c>
      <c r="E576" s="15" t="s">
        <v>46</v>
      </c>
      <c r="F576" s="15" t="s">
        <v>131</v>
      </c>
      <c r="G576" s="15" t="s">
        <v>36</v>
      </c>
      <c r="H576" s="15" t="s">
        <v>1443</v>
      </c>
      <c r="I576" s="15" t="s">
        <v>1444</v>
      </c>
      <c r="J576" s="17">
        <v>450000</v>
      </c>
      <c r="K576" s="15"/>
      <c r="L576" s="15" t="s">
        <v>134</v>
      </c>
      <c r="M576" s="15" t="s">
        <v>76</v>
      </c>
      <c r="N576" s="15" t="s">
        <v>1823</v>
      </c>
      <c r="O576" s="15">
        <v>51</v>
      </c>
      <c r="P576" s="15" t="s">
        <v>1824</v>
      </c>
      <c r="Q576" s="15"/>
      <c r="R576" s="15" t="s">
        <v>137</v>
      </c>
    </row>
    <row r="577" spans="1:18" x14ac:dyDescent="0.35">
      <c r="A577" s="15" t="s">
        <v>1825</v>
      </c>
      <c r="B577" s="16">
        <v>45682</v>
      </c>
      <c r="C577" s="15" t="s">
        <v>1777</v>
      </c>
      <c r="D577" s="15">
        <v>2025</v>
      </c>
      <c r="E577" s="15" t="s">
        <v>47</v>
      </c>
      <c r="F577" s="15" t="s">
        <v>131</v>
      </c>
      <c r="G577" s="15" t="s">
        <v>26</v>
      </c>
      <c r="H577" s="15" t="s">
        <v>1798</v>
      </c>
      <c r="I577" s="15" t="s">
        <v>1799</v>
      </c>
      <c r="J577" s="17">
        <v>25000000</v>
      </c>
      <c r="K577" s="15"/>
      <c r="L577" s="15" t="s">
        <v>134</v>
      </c>
      <c r="M577" s="15" t="s">
        <v>76</v>
      </c>
      <c r="N577" s="15" t="s">
        <v>1821</v>
      </c>
      <c r="O577" s="15">
        <v>7</v>
      </c>
      <c r="P577" s="15" t="s">
        <v>1824</v>
      </c>
      <c r="Q577" s="15" t="s">
        <v>1826</v>
      </c>
      <c r="R577" s="15" t="s">
        <v>137</v>
      </c>
    </row>
    <row r="578" spans="1:18" x14ac:dyDescent="0.35">
      <c r="A578" s="15" t="s">
        <v>1827</v>
      </c>
      <c r="B578" s="16">
        <v>45683</v>
      </c>
      <c r="C578" s="15" t="s">
        <v>1777</v>
      </c>
      <c r="D578" s="15">
        <v>2025</v>
      </c>
      <c r="E578" s="15" t="s">
        <v>47</v>
      </c>
      <c r="F578" s="15" t="s">
        <v>131</v>
      </c>
      <c r="G578" s="15" t="s">
        <v>26</v>
      </c>
      <c r="H578" s="15" t="s">
        <v>1798</v>
      </c>
      <c r="I578" s="15" t="s">
        <v>1799</v>
      </c>
      <c r="J578" s="17">
        <v>20000000</v>
      </c>
      <c r="K578" s="15"/>
      <c r="L578" s="15" t="s">
        <v>134</v>
      </c>
      <c r="M578" s="15" t="s">
        <v>76</v>
      </c>
      <c r="N578" s="15" t="s">
        <v>1821</v>
      </c>
      <c r="O578" s="15">
        <v>8</v>
      </c>
      <c r="P578" s="15" t="s">
        <v>1828</v>
      </c>
      <c r="Q578" s="15"/>
      <c r="R578" s="15" t="s">
        <v>137</v>
      </c>
    </row>
    <row r="579" spans="1:18" x14ac:dyDescent="0.35">
      <c r="A579" s="15" t="s">
        <v>1829</v>
      </c>
      <c r="B579" s="16">
        <v>45685</v>
      </c>
      <c r="C579" s="15" t="s">
        <v>1777</v>
      </c>
      <c r="D579" s="15">
        <v>2025</v>
      </c>
      <c r="E579" s="15" t="s">
        <v>46</v>
      </c>
      <c r="F579" s="15" t="s">
        <v>131</v>
      </c>
      <c r="G579" s="15" t="s">
        <v>36</v>
      </c>
      <c r="H579" s="15" t="s">
        <v>1736</v>
      </c>
      <c r="I579" s="15" t="s">
        <v>1737</v>
      </c>
      <c r="J579" s="17">
        <v>200000</v>
      </c>
      <c r="K579" s="15"/>
      <c r="L579" s="15" t="s">
        <v>134</v>
      </c>
      <c r="M579" s="15" t="s">
        <v>76</v>
      </c>
      <c r="N579" s="15" t="s">
        <v>1830</v>
      </c>
      <c r="O579" s="15">
        <v>63</v>
      </c>
      <c r="P579" s="15" t="s">
        <v>1831</v>
      </c>
      <c r="Q579" s="15"/>
      <c r="R579" s="15" t="s">
        <v>137</v>
      </c>
    </row>
    <row r="580" spans="1:18" x14ac:dyDescent="0.35">
      <c r="A580" s="15" t="s">
        <v>1832</v>
      </c>
      <c r="B580" s="16">
        <v>45685</v>
      </c>
      <c r="C580" s="15" t="s">
        <v>1777</v>
      </c>
      <c r="D580" s="15">
        <v>2025</v>
      </c>
      <c r="E580" s="15" t="s">
        <v>46</v>
      </c>
      <c r="F580" s="15" t="s">
        <v>131</v>
      </c>
      <c r="G580" s="15" t="s">
        <v>36</v>
      </c>
      <c r="H580" s="15" t="s">
        <v>1378</v>
      </c>
      <c r="I580" s="15" t="s">
        <v>1379</v>
      </c>
      <c r="J580" s="17">
        <v>700000</v>
      </c>
      <c r="K580" s="15"/>
      <c r="L580" s="15" t="s">
        <v>134</v>
      </c>
      <c r="M580" s="15" t="s">
        <v>76</v>
      </c>
      <c r="N580" s="15" t="s">
        <v>1833</v>
      </c>
      <c r="O580" s="15">
        <v>22</v>
      </c>
      <c r="P580" s="15" t="s">
        <v>1831</v>
      </c>
      <c r="Q580" s="15"/>
      <c r="R580" s="15" t="s">
        <v>137</v>
      </c>
    </row>
    <row r="581" spans="1:18" x14ac:dyDescent="0.35">
      <c r="A581" s="15" t="s">
        <v>1834</v>
      </c>
      <c r="B581" s="16">
        <v>45686</v>
      </c>
      <c r="C581" s="15" t="s">
        <v>1777</v>
      </c>
      <c r="D581" s="15">
        <v>2025</v>
      </c>
      <c r="E581" s="15" t="s">
        <v>46</v>
      </c>
      <c r="F581" s="15" t="s">
        <v>131</v>
      </c>
      <c r="G581" s="15" t="s">
        <v>36</v>
      </c>
      <c r="H581" s="15" t="s">
        <v>1835</v>
      </c>
      <c r="I581" s="15" t="s">
        <v>1836</v>
      </c>
      <c r="J581" s="17">
        <v>500000</v>
      </c>
      <c r="K581" s="15"/>
      <c r="L581" s="15" t="s">
        <v>134</v>
      </c>
      <c r="M581" s="15" t="s">
        <v>76</v>
      </c>
      <c r="N581" s="15" t="s">
        <v>1837</v>
      </c>
      <c r="O581" s="15">
        <v>11</v>
      </c>
      <c r="P581" s="15" t="s">
        <v>1838</v>
      </c>
      <c r="Q581" s="15"/>
      <c r="R581" s="15" t="s">
        <v>137</v>
      </c>
    </row>
    <row r="582" spans="1:18" x14ac:dyDescent="0.35">
      <c r="A582" s="15" t="s">
        <v>1839</v>
      </c>
      <c r="B582" s="16">
        <v>45687</v>
      </c>
      <c r="C582" s="15" t="s">
        <v>1777</v>
      </c>
      <c r="D582" s="15">
        <v>2025</v>
      </c>
      <c r="E582" s="15" t="s">
        <v>46</v>
      </c>
      <c r="F582" s="15" t="s">
        <v>131</v>
      </c>
      <c r="G582" s="15" t="s">
        <v>36</v>
      </c>
      <c r="H582" s="15" t="s">
        <v>1703</v>
      </c>
      <c r="I582" s="15" t="s">
        <v>1704</v>
      </c>
      <c r="J582" s="17">
        <v>753000</v>
      </c>
      <c r="K582" s="15"/>
      <c r="L582" s="15" t="s">
        <v>134</v>
      </c>
      <c r="M582" s="15" t="s">
        <v>76</v>
      </c>
      <c r="N582" s="15" t="s">
        <v>1840</v>
      </c>
      <c r="O582" s="15">
        <v>75</v>
      </c>
      <c r="P582" s="15" t="s">
        <v>1841</v>
      </c>
      <c r="Q582" s="15"/>
      <c r="R582" s="15" t="s">
        <v>137</v>
      </c>
    </row>
    <row r="583" spans="1:18" x14ac:dyDescent="0.35">
      <c r="A583" s="15" t="s">
        <v>1842</v>
      </c>
      <c r="B583" s="16">
        <v>45687</v>
      </c>
      <c r="C583" s="15" t="s">
        <v>1777</v>
      </c>
      <c r="D583" s="15">
        <v>2025</v>
      </c>
      <c r="E583" s="15" t="s">
        <v>46</v>
      </c>
      <c r="F583" s="15" t="s">
        <v>131</v>
      </c>
      <c r="G583" s="15" t="s">
        <v>36</v>
      </c>
      <c r="H583" s="15" t="s">
        <v>1708</v>
      </c>
      <c r="I583" s="15" t="s">
        <v>1709</v>
      </c>
      <c r="J583" s="17">
        <v>1600000</v>
      </c>
      <c r="K583" s="15"/>
      <c r="L583" s="15" t="s">
        <v>134</v>
      </c>
      <c r="M583" s="15" t="s">
        <v>76</v>
      </c>
      <c r="N583" s="15" t="s">
        <v>1840</v>
      </c>
      <c r="O583" s="15">
        <v>64</v>
      </c>
      <c r="P583" s="15" t="s">
        <v>1841</v>
      </c>
      <c r="Q583" s="15"/>
      <c r="R583" s="15" t="s">
        <v>137</v>
      </c>
    </row>
    <row r="584" spans="1:18" x14ac:dyDescent="0.35">
      <c r="A584" s="15" t="s">
        <v>1843</v>
      </c>
      <c r="B584" s="16">
        <v>45687</v>
      </c>
      <c r="C584" s="15" t="s">
        <v>1777</v>
      </c>
      <c r="D584" s="15">
        <v>2025</v>
      </c>
      <c r="E584" s="15" t="s">
        <v>46</v>
      </c>
      <c r="F584" s="15" t="s">
        <v>131</v>
      </c>
      <c r="G584" s="15" t="s">
        <v>36</v>
      </c>
      <c r="H584" s="15" t="s">
        <v>1711</v>
      </c>
      <c r="I584" s="15" t="s">
        <v>1712</v>
      </c>
      <c r="J584" s="17">
        <v>800000</v>
      </c>
      <c r="K584" s="15"/>
      <c r="L584" s="15" t="s">
        <v>134</v>
      </c>
      <c r="M584" s="15" t="s">
        <v>76</v>
      </c>
      <c r="N584" s="15" t="s">
        <v>1840</v>
      </c>
      <c r="O584" s="15">
        <v>66</v>
      </c>
      <c r="P584" s="15" t="s">
        <v>1841</v>
      </c>
      <c r="Q584" s="15"/>
      <c r="R584" s="15" t="s">
        <v>137</v>
      </c>
    </row>
    <row r="585" spans="1:18" x14ac:dyDescent="0.35">
      <c r="A585" s="15" t="s">
        <v>1844</v>
      </c>
      <c r="B585" s="16">
        <v>45687</v>
      </c>
      <c r="C585" s="15" t="s">
        <v>1777</v>
      </c>
      <c r="D585" s="15">
        <v>2025</v>
      </c>
      <c r="E585" s="15" t="s">
        <v>46</v>
      </c>
      <c r="F585" s="15" t="s">
        <v>131</v>
      </c>
      <c r="G585" s="15" t="s">
        <v>36</v>
      </c>
      <c r="H585" s="15" t="s">
        <v>1645</v>
      </c>
      <c r="I585" s="15" t="s">
        <v>1699</v>
      </c>
      <c r="J585" s="17">
        <v>808400</v>
      </c>
      <c r="K585" s="15"/>
      <c r="L585" s="15" t="s">
        <v>134</v>
      </c>
      <c r="M585" s="15" t="s">
        <v>76</v>
      </c>
      <c r="N585" s="15" t="s">
        <v>1800</v>
      </c>
      <c r="O585" s="15">
        <v>120</v>
      </c>
      <c r="P585" s="15" t="s">
        <v>1841</v>
      </c>
      <c r="Q585" s="15"/>
      <c r="R585" s="15" t="s">
        <v>137</v>
      </c>
    </row>
    <row r="586" spans="1:18" x14ac:dyDescent="0.35">
      <c r="A586" s="15" t="s">
        <v>1845</v>
      </c>
      <c r="B586" s="16">
        <v>45687</v>
      </c>
      <c r="C586" s="15" t="s">
        <v>1777</v>
      </c>
      <c r="D586" s="15">
        <v>2025</v>
      </c>
      <c r="E586" s="15" t="s">
        <v>46</v>
      </c>
      <c r="F586" s="15" t="s">
        <v>131</v>
      </c>
      <c r="G586" s="15" t="s">
        <v>36</v>
      </c>
      <c r="H586" s="15" t="s">
        <v>1835</v>
      </c>
      <c r="I586" s="15" t="s">
        <v>1836</v>
      </c>
      <c r="J586" s="17">
        <v>500000</v>
      </c>
      <c r="K586" s="15"/>
      <c r="L586" s="15" t="s">
        <v>134</v>
      </c>
      <c r="M586" s="15" t="s">
        <v>76</v>
      </c>
      <c r="N586" s="15" t="s">
        <v>1837</v>
      </c>
      <c r="O586" s="15">
        <v>12</v>
      </c>
      <c r="P586" s="15" t="s">
        <v>1841</v>
      </c>
      <c r="Q586" s="15"/>
      <c r="R586" s="15" t="s">
        <v>137</v>
      </c>
    </row>
    <row r="587" spans="1:18" x14ac:dyDescent="0.35">
      <c r="A587" s="15" t="s">
        <v>1846</v>
      </c>
      <c r="B587" s="16">
        <v>45687</v>
      </c>
      <c r="C587" s="15" t="s">
        <v>1777</v>
      </c>
      <c r="D587" s="15">
        <v>2025</v>
      </c>
      <c r="E587" s="15" t="s">
        <v>46</v>
      </c>
      <c r="F587" s="15" t="s">
        <v>131</v>
      </c>
      <c r="G587" s="15" t="s">
        <v>36</v>
      </c>
      <c r="H587" s="15" t="s">
        <v>1717</v>
      </c>
      <c r="I587" s="15" t="s">
        <v>1718</v>
      </c>
      <c r="J587" s="17">
        <v>1600000</v>
      </c>
      <c r="K587" s="15"/>
      <c r="L587" s="15" t="s">
        <v>134</v>
      </c>
      <c r="M587" s="15" t="s">
        <v>76</v>
      </c>
      <c r="N587" s="15" t="s">
        <v>1840</v>
      </c>
      <c r="O587" s="15">
        <v>65</v>
      </c>
      <c r="P587" s="15" t="s">
        <v>1841</v>
      </c>
      <c r="Q587" s="15"/>
      <c r="R587" s="15" t="s">
        <v>137</v>
      </c>
    </row>
    <row r="588" spans="1:18" x14ac:dyDescent="0.35">
      <c r="A588" s="15" t="s">
        <v>1847</v>
      </c>
      <c r="B588" s="16">
        <v>45687</v>
      </c>
      <c r="C588" s="15" t="s">
        <v>1777</v>
      </c>
      <c r="D588" s="15">
        <v>2025</v>
      </c>
      <c r="E588" s="15" t="s">
        <v>46</v>
      </c>
      <c r="F588" s="15" t="s">
        <v>131</v>
      </c>
      <c r="G588" s="15" t="s">
        <v>36</v>
      </c>
      <c r="H588" s="15" t="s">
        <v>1390</v>
      </c>
      <c r="I588" s="15" t="s">
        <v>1391</v>
      </c>
      <c r="J588" s="17">
        <v>50000</v>
      </c>
      <c r="K588" s="15"/>
      <c r="L588" s="15" t="s">
        <v>134</v>
      </c>
      <c r="M588" s="15" t="s">
        <v>76</v>
      </c>
      <c r="N588" s="15" t="s">
        <v>1795</v>
      </c>
      <c r="O588" s="15">
        <v>69</v>
      </c>
      <c r="P588" s="15" t="s">
        <v>1841</v>
      </c>
      <c r="Q588" s="15"/>
      <c r="R588" s="15" t="s">
        <v>137</v>
      </c>
    </row>
    <row r="589" spans="1:18" x14ac:dyDescent="0.35">
      <c r="A589" s="15" t="s">
        <v>1848</v>
      </c>
      <c r="B589" s="16">
        <v>45687</v>
      </c>
      <c r="C589" s="15" t="s">
        <v>1777</v>
      </c>
      <c r="D589" s="15">
        <v>2025</v>
      </c>
      <c r="E589" s="15" t="s">
        <v>47</v>
      </c>
      <c r="F589" s="15" t="s">
        <v>131</v>
      </c>
      <c r="G589" s="15" t="s">
        <v>40</v>
      </c>
      <c r="H589" s="15" t="s">
        <v>1849</v>
      </c>
      <c r="I589" s="15" t="s">
        <v>1850</v>
      </c>
      <c r="J589" s="17">
        <v>4750000</v>
      </c>
      <c r="K589" s="15"/>
      <c r="L589" s="15" t="s">
        <v>134</v>
      </c>
      <c r="M589" s="15" t="s">
        <v>76</v>
      </c>
      <c r="N589" s="15" t="s">
        <v>1790</v>
      </c>
      <c r="O589" s="15">
        <v>93</v>
      </c>
      <c r="P589" s="15" t="s">
        <v>1841</v>
      </c>
      <c r="Q589" s="15"/>
      <c r="R589" s="15" t="s">
        <v>137</v>
      </c>
    </row>
    <row r="590" spans="1:18" x14ac:dyDescent="0.35">
      <c r="A590" s="15" t="s">
        <v>1851</v>
      </c>
      <c r="B590" s="16">
        <v>45687</v>
      </c>
      <c r="C590" s="15" t="s">
        <v>1777</v>
      </c>
      <c r="D590" s="15">
        <v>2025</v>
      </c>
      <c r="E590" s="15" t="s">
        <v>46</v>
      </c>
      <c r="F590" s="15" t="s">
        <v>131</v>
      </c>
      <c r="G590" s="15" t="s">
        <v>36</v>
      </c>
      <c r="H590" s="15" t="s">
        <v>1658</v>
      </c>
      <c r="I590" s="15" t="s">
        <v>1659</v>
      </c>
      <c r="J590" s="17">
        <v>1000000</v>
      </c>
      <c r="K590" s="15"/>
      <c r="L590" s="15" t="s">
        <v>134</v>
      </c>
      <c r="M590" s="15" t="s">
        <v>76</v>
      </c>
      <c r="N590" s="15" t="s">
        <v>1852</v>
      </c>
      <c r="O590" s="15">
        <v>30</v>
      </c>
      <c r="P590" s="15" t="s">
        <v>1841</v>
      </c>
      <c r="Q590" s="15"/>
      <c r="R590" s="15" t="s">
        <v>137</v>
      </c>
    </row>
    <row r="591" spans="1:18" x14ac:dyDescent="0.35">
      <c r="A591" s="15" t="s">
        <v>1853</v>
      </c>
      <c r="B591" s="16">
        <v>45687</v>
      </c>
      <c r="C591" s="15" t="s">
        <v>1777</v>
      </c>
      <c r="D591" s="15">
        <v>2025</v>
      </c>
      <c r="E591" s="15" t="s">
        <v>46</v>
      </c>
      <c r="F591" s="15" t="s">
        <v>131</v>
      </c>
      <c r="G591" s="15" t="s">
        <v>36</v>
      </c>
      <c r="H591" s="15" t="s">
        <v>1658</v>
      </c>
      <c r="I591" s="15" t="s">
        <v>1659</v>
      </c>
      <c r="J591" s="17">
        <v>500000</v>
      </c>
      <c r="K591" s="15"/>
      <c r="L591" s="15" t="s">
        <v>134</v>
      </c>
      <c r="M591" s="15" t="s">
        <v>76</v>
      </c>
      <c r="N591" s="15" t="s">
        <v>1852</v>
      </c>
      <c r="O591" s="15">
        <v>33</v>
      </c>
      <c r="P591" s="15" t="s">
        <v>1841</v>
      </c>
      <c r="Q591" s="15"/>
      <c r="R591" s="15" t="s">
        <v>137</v>
      </c>
    </row>
    <row r="592" spans="1:18" x14ac:dyDescent="0.35">
      <c r="A592" s="15" t="s">
        <v>1854</v>
      </c>
      <c r="B592" s="16">
        <v>45688</v>
      </c>
      <c r="C592" s="15" t="s">
        <v>1777</v>
      </c>
      <c r="D592" s="15">
        <v>2025</v>
      </c>
      <c r="E592" s="15" t="s">
        <v>46</v>
      </c>
      <c r="F592" s="15" t="s">
        <v>131</v>
      </c>
      <c r="G592" s="15" t="s">
        <v>36</v>
      </c>
      <c r="H592" s="15" t="s">
        <v>1703</v>
      </c>
      <c r="I592" s="15" t="s">
        <v>1704</v>
      </c>
      <c r="J592" s="17">
        <v>47000</v>
      </c>
      <c r="K592" s="15"/>
      <c r="L592" s="15" t="s">
        <v>134</v>
      </c>
      <c r="M592" s="15" t="s">
        <v>76</v>
      </c>
      <c r="N592" s="15" t="s">
        <v>1840</v>
      </c>
      <c r="O592" s="15">
        <v>76</v>
      </c>
      <c r="P592" s="15" t="s">
        <v>1855</v>
      </c>
      <c r="Q592" s="15"/>
      <c r="R592" s="15" t="s">
        <v>137</v>
      </c>
    </row>
    <row r="593" spans="1:18" x14ac:dyDescent="0.35">
      <c r="A593" s="15" t="s">
        <v>1856</v>
      </c>
      <c r="B593" s="16">
        <v>45688</v>
      </c>
      <c r="C593" s="15" t="s">
        <v>1777</v>
      </c>
      <c r="D593" s="15">
        <v>2025</v>
      </c>
      <c r="E593" s="15" t="s">
        <v>46</v>
      </c>
      <c r="F593" s="15" t="s">
        <v>131</v>
      </c>
      <c r="G593" s="15" t="s">
        <v>36</v>
      </c>
      <c r="H593" s="15" t="s">
        <v>1732</v>
      </c>
      <c r="I593" s="15" t="s">
        <v>1857</v>
      </c>
      <c r="J593" s="17">
        <v>500000</v>
      </c>
      <c r="K593" s="15"/>
      <c r="L593" s="15" t="s">
        <v>134</v>
      </c>
      <c r="M593" s="15" t="s">
        <v>76</v>
      </c>
      <c r="N593" s="15" t="s">
        <v>1858</v>
      </c>
      <c r="O593" s="15">
        <v>8</v>
      </c>
      <c r="P593" s="15" t="s">
        <v>1855</v>
      </c>
      <c r="Q593" s="15"/>
      <c r="R593" s="15" t="s">
        <v>137</v>
      </c>
    </row>
    <row r="594" spans="1:18" x14ac:dyDescent="0.35">
      <c r="A594" s="15" t="s">
        <v>1859</v>
      </c>
      <c r="B594" s="16">
        <v>45691</v>
      </c>
      <c r="C594" s="15" t="s">
        <v>1860</v>
      </c>
      <c r="D594" s="15">
        <v>2025</v>
      </c>
      <c r="E594" s="15" t="s">
        <v>46</v>
      </c>
      <c r="F594" s="15" t="s">
        <v>131</v>
      </c>
      <c r="G594" s="15" t="s">
        <v>36</v>
      </c>
      <c r="H594" s="15" t="s">
        <v>1653</v>
      </c>
      <c r="I594" s="15" t="s">
        <v>1861</v>
      </c>
      <c r="J594" s="17">
        <v>1000000</v>
      </c>
      <c r="K594" s="15"/>
      <c r="L594" s="15" t="s">
        <v>134</v>
      </c>
      <c r="M594" s="15" t="s">
        <v>76</v>
      </c>
      <c r="N594" s="15" t="s">
        <v>1852</v>
      </c>
      <c r="O594" s="15">
        <v>31</v>
      </c>
      <c r="P594" s="15" t="s">
        <v>1862</v>
      </c>
      <c r="Q594" s="15"/>
      <c r="R594" s="15" t="s">
        <v>137</v>
      </c>
    </row>
    <row r="595" spans="1:18" x14ac:dyDescent="0.35">
      <c r="A595" s="15" t="s">
        <v>1863</v>
      </c>
      <c r="B595" s="16">
        <v>45692</v>
      </c>
      <c r="C595" s="15" t="s">
        <v>1860</v>
      </c>
      <c r="D595" s="15">
        <v>2025</v>
      </c>
      <c r="E595" s="15" t="s">
        <v>46</v>
      </c>
      <c r="F595" s="15" t="s">
        <v>131</v>
      </c>
      <c r="G595" s="15" t="s">
        <v>36</v>
      </c>
      <c r="H595" s="15" t="s">
        <v>1864</v>
      </c>
      <c r="I595" s="15" t="s">
        <v>1865</v>
      </c>
      <c r="J595" s="17">
        <v>1000000</v>
      </c>
      <c r="K595" s="15"/>
      <c r="L595" s="15" t="s">
        <v>134</v>
      </c>
      <c r="M595" s="15" t="s">
        <v>76</v>
      </c>
      <c r="N595" s="15" t="s">
        <v>1852</v>
      </c>
      <c r="O595" s="15">
        <v>32</v>
      </c>
      <c r="P595" s="15" t="s">
        <v>1866</v>
      </c>
      <c r="Q595" s="15"/>
      <c r="R595" s="15" t="s">
        <v>137</v>
      </c>
    </row>
    <row r="596" spans="1:18" x14ac:dyDescent="0.35">
      <c r="A596" s="15" t="s">
        <v>1867</v>
      </c>
      <c r="B596" s="16">
        <v>45693</v>
      </c>
      <c r="C596" s="15" t="s">
        <v>1860</v>
      </c>
      <c r="D596" s="15">
        <v>2025</v>
      </c>
      <c r="E596" s="15" t="s">
        <v>46</v>
      </c>
      <c r="F596" s="15" t="s">
        <v>131</v>
      </c>
      <c r="G596" s="15" t="s">
        <v>36</v>
      </c>
      <c r="H596" s="15" t="s">
        <v>1812</v>
      </c>
      <c r="I596" s="15" t="s">
        <v>1813</v>
      </c>
      <c r="J596" s="17">
        <v>1000000</v>
      </c>
      <c r="K596" s="15"/>
      <c r="L596" s="15" t="s">
        <v>134</v>
      </c>
      <c r="M596" s="15" t="s">
        <v>76</v>
      </c>
      <c r="N596" s="15" t="s">
        <v>1814</v>
      </c>
      <c r="O596" s="15">
        <v>65</v>
      </c>
      <c r="P596" s="15" t="s">
        <v>1868</v>
      </c>
      <c r="Q596" s="15"/>
      <c r="R596" s="15" t="s">
        <v>137</v>
      </c>
    </row>
    <row r="597" spans="1:18" x14ac:dyDescent="0.35">
      <c r="A597" s="15" t="s">
        <v>1869</v>
      </c>
      <c r="B597" s="16">
        <v>45694</v>
      </c>
      <c r="C597" s="15" t="s">
        <v>1860</v>
      </c>
      <c r="D597" s="15">
        <v>2025</v>
      </c>
      <c r="E597" s="15" t="s">
        <v>46</v>
      </c>
      <c r="F597" s="15" t="s">
        <v>131</v>
      </c>
      <c r="G597" s="15" t="s">
        <v>36</v>
      </c>
      <c r="H597" s="15" t="s">
        <v>1870</v>
      </c>
      <c r="I597" s="15" t="s">
        <v>1871</v>
      </c>
      <c r="J597" s="17">
        <v>3000000</v>
      </c>
      <c r="K597" s="15"/>
      <c r="L597" s="15" t="s">
        <v>134</v>
      </c>
      <c r="M597" s="15" t="s">
        <v>76</v>
      </c>
      <c r="N597" s="15" t="s">
        <v>1872</v>
      </c>
      <c r="O597" s="15">
        <v>2</v>
      </c>
      <c r="P597" s="15" t="s">
        <v>1873</v>
      </c>
      <c r="Q597" s="15"/>
      <c r="R597" s="15" t="s">
        <v>137</v>
      </c>
    </row>
    <row r="598" spans="1:18" x14ac:dyDescent="0.35">
      <c r="A598" s="15" t="s">
        <v>1874</v>
      </c>
      <c r="B598" s="16">
        <v>45698</v>
      </c>
      <c r="C598" s="15" t="s">
        <v>1860</v>
      </c>
      <c r="D598" s="15">
        <v>2025</v>
      </c>
      <c r="E598" s="15" t="s">
        <v>46</v>
      </c>
      <c r="F598" s="15" t="s">
        <v>131</v>
      </c>
      <c r="G598" s="15" t="s">
        <v>36</v>
      </c>
      <c r="H598" s="15" t="s">
        <v>1870</v>
      </c>
      <c r="I598" s="15" t="s">
        <v>1871</v>
      </c>
      <c r="J598" s="17">
        <v>800000</v>
      </c>
      <c r="K598" s="15"/>
      <c r="L598" s="15" t="s">
        <v>134</v>
      </c>
      <c r="M598" s="15" t="s">
        <v>76</v>
      </c>
      <c r="N598" s="15" t="s">
        <v>1872</v>
      </c>
      <c r="O598" s="15">
        <v>3</v>
      </c>
      <c r="P598" s="15" t="s">
        <v>1875</v>
      </c>
      <c r="Q598" s="15"/>
      <c r="R598" s="15" t="s">
        <v>137</v>
      </c>
    </row>
    <row r="599" spans="1:18" x14ac:dyDescent="0.35">
      <c r="A599" s="15" t="s">
        <v>1876</v>
      </c>
      <c r="B599" s="16">
        <v>45698</v>
      </c>
      <c r="C599" s="15" t="s">
        <v>1860</v>
      </c>
      <c r="D599" s="15">
        <v>2025</v>
      </c>
      <c r="E599" s="15" t="s">
        <v>46</v>
      </c>
      <c r="F599" s="15" t="s">
        <v>131</v>
      </c>
      <c r="G599" s="15" t="s">
        <v>36</v>
      </c>
      <c r="H599" s="15" t="s">
        <v>1877</v>
      </c>
      <c r="I599" s="15" t="s">
        <v>1878</v>
      </c>
      <c r="J599" s="17">
        <v>200000</v>
      </c>
      <c r="K599" s="15"/>
      <c r="L599" s="15" t="s">
        <v>134</v>
      </c>
      <c r="M599" s="15" t="s">
        <v>76</v>
      </c>
      <c r="N599" s="15" t="s">
        <v>1879</v>
      </c>
      <c r="O599" s="15">
        <v>2</v>
      </c>
      <c r="P599" s="15" t="s">
        <v>1875</v>
      </c>
      <c r="Q599" s="15"/>
      <c r="R599" s="15" t="s">
        <v>137</v>
      </c>
    </row>
    <row r="600" spans="1:18" x14ac:dyDescent="0.35">
      <c r="A600" s="15" t="s">
        <v>1880</v>
      </c>
      <c r="B600" s="16">
        <v>45699</v>
      </c>
      <c r="C600" s="15" t="s">
        <v>1860</v>
      </c>
      <c r="D600" s="15">
        <v>2025</v>
      </c>
      <c r="E600" s="15" t="s">
        <v>46</v>
      </c>
      <c r="F600" s="15" t="s">
        <v>131</v>
      </c>
      <c r="G600" s="15" t="s">
        <v>36</v>
      </c>
      <c r="H600" s="15" t="s">
        <v>1405</v>
      </c>
      <c r="I600" s="15" t="s">
        <v>1881</v>
      </c>
      <c r="J600" s="17">
        <v>1500000</v>
      </c>
      <c r="K600" s="15"/>
      <c r="L600" s="15" t="s">
        <v>134</v>
      </c>
      <c r="M600" s="15" t="s">
        <v>76</v>
      </c>
      <c r="N600" s="15" t="s">
        <v>1882</v>
      </c>
      <c r="O600" s="15">
        <v>24</v>
      </c>
      <c r="P600" s="15" t="s">
        <v>1883</v>
      </c>
      <c r="Q600" s="15"/>
      <c r="R600" s="15" t="s">
        <v>137</v>
      </c>
    </row>
    <row r="601" spans="1:18" x14ac:dyDescent="0.35">
      <c r="A601" s="15" t="s">
        <v>1884</v>
      </c>
      <c r="B601" s="16">
        <v>45699</v>
      </c>
      <c r="C601" s="15" t="s">
        <v>1860</v>
      </c>
      <c r="D601" s="15">
        <v>2025</v>
      </c>
      <c r="E601" s="15" t="s">
        <v>47</v>
      </c>
      <c r="F601" s="15" t="s">
        <v>131</v>
      </c>
      <c r="G601" s="15" t="s">
        <v>35</v>
      </c>
      <c r="H601" s="15" t="s">
        <v>1410</v>
      </c>
      <c r="I601" s="15" t="s">
        <v>1411</v>
      </c>
      <c r="J601" s="17">
        <v>5000000</v>
      </c>
      <c r="K601" s="15"/>
      <c r="L601" s="15" t="s">
        <v>134</v>
      </c>
      <c r="M601" s="15" t="s">
        <v>76</v>
      </c>
      <c r="N601" s="15" t="s">
        <v>1788</v>
      </c>
      <c r="O601" s="15">
        <v>38</v>
      </c>
      <c r="P601" s="15" t="s">
        <v>1883</v>
      </c>
      <c r="Q601" s="15"/>
      <c r="R601" s="15" t="s">
        <v>137</v>
      </c>
    </row>
    <row r="602" spans="1:18" x14ac:dyDescent="0.35">
      <c r="A602" s="15" t="s">
        <v>1885</v>
      </c>
      <c r="B602" s="16">
        <v>45699</v>
      </c>
      <c r="C602" s="15" t="s">
        <v>1860</v>
      </c>
      <c r="D602" s="15">
        <v>2025</v>
      </c>
      <c r="E602" s="15" t="s">
        <v>47</v>
      </c>
      <c r="F602" s="15" t="s">
        <v>131</v>
      </c>
      <c r="G602" s="15" t="s">
        <v>26</v>
      </c>
      <c r="H602" s="15" t="s">
        <v>1798</v>
      </c>
      <c r="I602" s="15" t="s">
        <v>1799</v>
      </c>
      <c r="J602" s="17">
        <v>25000000</v>
      </c>
      <c r="K602" s="15"/>
      <c r="L602" s="15" t="s">
        <v>134</v>
      </c>
      <c r="M602" s="15" t="s">
        <v>76</v>
      </c>
      <c r="N602" s="15" t="s">
        <v>1821</v>
      </c>
      <c r="O602" s="15">
        <v>14</v>
      </c>
      <c r="P602" s="15" t="s">
        <v>1883</v>
      </c>
      <c r="Q602" s="15" t="s">
        <v>1886</v>
      </c>
      <c r="R602" s="15" t="s">
        <v>137</v>
      </c>
    </row>
    <row r="603" spans="1:18" x14ac:dyDescent="0.35">
      <c r="A603" s="15" t="s">
        <v>1887</v>
      </c>
      <c r="B603" s="16">
        <v>45700</v>
      </c>
      <c r="C603" s="15" t="s">
        <v>1860</v>
      </c>
      <c r="D603" s="15">
        <v>2025</v>
      </c>
      <c r="E603" s="15" t="s">
        <v>47</v>
      </c>
      <c r="F603" s="15" t="s">
        <v>131</v>
      </c>
      <c r="G603" s="15" t="s">
        <v>26</v>
      </c>
      <c r="H603" s="15" t="s">
        <v>1798</v>
      </c>
      <c r="I603" s="15" t="s">
        <v>1799</v>
      </c>
      <c r="J603" s="17">
        <v>25000000</v>
      </c>
      <c r="K603" s="15"/>
      <c r="L603" s="15" t="s">
        <v>134</v>
      </c>
      <c r="M603" s="15" t="s">
        <v>76</v>
      </c>
      <c r="N603" s="15" t="s">
        <v>1821</v>
      </c>
      <c r="O603" s="15">
        <v>20</v>
      </c>
      <c r="P603" s="15" t="s">
        <v>1888</v>
      </c>
      <c r="Q603" s="15" t="s">
        <v>1889</v>
      </c>
      <c r="R603" s="15" t="s">
        <v>137</v>
      </c>
    </row>
    <row r="604" spans="1:18" x14ac:dyDescent="0.35">
      <c r="A604" s="15" t="s">
        <v>1890</v>
      </c>
      <c r="B604" s="16">
        <v>45700</v>
      </c>
      <c r="C604" s="15" t="s">
        <v>1860</v>
      </c>
      <c r="D604" s="15">
        <v>2025</v>
      </c>
      <c r="E604" s="15" t="s">
        <v>46</v>
      </c>
      <c r="F604" s="15" t="s">
        <v>131</v>
      </c>
      <c r="G604" s="15" t="s">
        <v>36</v>
      </c>
      <c r="H604" s="15" t="s">
        <v>1596</v>
      </c>
      <c r="I604" s="15" t="s">
        <v>1597</v>
      </c>
      <c r="J604" s="17">
        <v>1000000</v>
      </c>
      <c r="K604" s="15"/>
      <c r="L604" s="15" t="s">
        <v>134</v>
      </c>
      <c r="M604" s="15" t="s">
        <v>76</v>
      </c>
      <c r="N604" s="15" t="s">
        <v>1788</v>
      </c>
      <c r="O604" s="15">
        <v>32</v>
      </c>
      <c r="P604" s="15" t="s">
        <v>1888</v>
      </c>
      <c r="Q604" s="15"/>
      <c r="R604" s="15" t="s">
        <v>137</v>
      </c>
    </row>
    <row r="605" spans="1:18" x14ac:dyDescent="0.35">
      <c r="A605" s="15" t="s">
        <v>1891</v>
      </c>
      <c r="B605" s="16">
        <v>45701</v>
      </c>
      <c r="C605" s="15" t="s">
        <v>1860</v>
      </c>
      <c r="D605" s="15">
        <v>2025</v>
      </c>
      <c r="E605" s="15" t="s">
        <v>47</v>
      </c>
      <c r="F605" s="15" t="s">
        <v>131</v>
      </c>
      <c r="G605" s="15" t="s">
        <v>26</v>
      </c>
      <c r="H605" s="15" t="s">
        <v>1798</v>
      </c>
      <c r="I605" s="15" t="s">
        <v>1799</v>
      </c>
      <c r="J605" s="17">
        <v>25000000</v>
      </c>
      <c r="K605" s="15"/>
      <c r="L605" s="15" t="s">
        <v>134</v>
      </c>
      <c r="M605" s="15" t="s">
        <v>76</v>
      </c>
      <c r="N605" s="15" t="s">
        <v>1821</v>
      </c>
      <c r="O605" s="15">
        <v>21</v>
      </c>
      <c r="P605" s="15" t="s">
        <v>1892</v>
      </c>
      <c r="Q605" s="15"/>
      <c r="R605" s="15" t="s">
        <v>137</v>
      </c>
    </row>
    <row r="606" spans="1:18" x14ac:dyDescent="0.35">
      <c r="A606" s="15" t="s">
        <v>1893</v>
      </c>
      <c r="B606" s="16">
        <v>45702</v>
      </c>
      <c r="C606" s="15" t="s">
        <v>1860</v>
      </c>
      <c r="D606" s="15">
        <v>2025</v>
      </c>
      <c r="E606" s="15" t="s">
        <v>46</v>
      </c>
      <c r="F606" s="15" t="s">
        <v>131</v>
      </c>
      <c r="G606" s="15" t="s">
        <v>36</v>
      </c>
      <c r="H606" s="15" t="s">
        <v>1894</v>
      </c>
      <c r="I606" s="15" t="s">
        <v>1895</v>
      </c>
      <c r="J606" s="17">
        <v>200000</v>
      </c>
      <c r="K606" s="15"/>
      <c r="L606" s="15" t="s">
        <v>134</v>
      </c>
      <c r="M606" s="15" t="s">
        <v>76</v>
      </c>
      <c r="N606" s="15" t="s">
        <v>1896</v>
      </c>
      <c r="O606" s="15">
        <v>2</v>
      </c>
      <c r="P606" s="15" t="s">
        <v>1897</v>
      </c>
      <c r="Q606" s="15"/>
      <c r="R606" s="15" t="s">
        <v>137</v>
      </c>
    </row>
    <row r="607" spans="1:18" x14ac:dyDescent="0.35">
      <c r="A607" s="15" t="s">
        <v>1898</v>
      </c>
      <c r="B607" s="16">
        <v>45702</v>
      </c>
      <c r="C607" s="15" t="s">
        <v>1860</v>
      </c>
      <c r="D607" s="15">
        <v>2025</v>
      </c>
      <c r="E607" s="15" t="s">
        <v>47</v>
      </c>
      <c r="F607" s="15" t="s">
        <v>131</v>
      </c>
      <c r="G607" s="15" t="s">
        <v>26</v>
      </c>
      <c r="H607" s="15" t="s">
        <v>1798</v>
      </c>
      <c r="I607" s="15" t="s">
        <v>1799</v>
      </c>
      <c r="J607" s="17">
        <v>5000000</v>
      </c>
      <c r="K607" s="15"/>
      <c r="L607" s="15" t="s">
        <v>134</v>
      </c>
      <c r="M607" s="15" t="s">
        <v>76</v>
      </c>
      <c r="N607" s="15" t="s">
        <v>1800</v>
      </c>
      <c r="O607" s="15">
        <v>124</v>
      </c>
      <c r="P607" s="15" t="s">
        <v>1897</v>
      </c>
      <c r="Q607" s="15"/>
      <c r="R607" s="15" t="s">
        <v>137</v>
      </c>
    </row>
    <row r="608" spans="1:18" x14ac:dyDescent="0.35">
      <c r="A608" s="15" t="s">
        <v>1899</v>
      </c>
      <c r="B608" s="16">
        <v>45702</v>
      </c>
      <c r="C608" s="15" t="s">
        <v>1860</v>
      </c>
      <c r="D608" s="15">
        <v>2025</v>
      </c>
      <c r="E608" s="15" t="s">
        <v>47</v>
      </c>
      <c r="F608" s="15" t="s">
        <v>131</v>
      </c>
      <c r="G608" s="15" t="s">
        <v>40</v>
      </c>
      <c r="H608" s="15" t="s">
        <v>1849</v>
      </c>
      <c r="I608" s="15" t="s">
        <v>1850</v>
      </c>
      <c r="J608" s="17">
        <v>4750000</v>
      </c>
      <c r="K608" s="15"/>
      <c r="L608" s="15" t="s">
        <v>134</v>
      </c>
      <c r="M608" s="15" t="s">
        <v>76</v>
      </c>
      <c r="N608" s="15" t="s">
        <v>1790</v>
      </c>
      <c r="O608" s="15">
        <v>107</v>
      </c>
      <c r="P608" s="15" t="s">
        <v>1897</v>
      </c>
      <c r="Q608" s="15"/>
      <c r="R608" s="15" t="s">
        <v>137</v>
      </c>
    </row>
    <row r="609" spans="1:18" x14ac:dyDescent="0.35">
      <c r="A609" s="15" t="s">
        <v>1900</v>
      </c>
      <c r="B609" s="16">
        <v>45706</v>
      </c>
      <c r="C609" s="15" t="s">
        <v>1860</v>
      </c>
      <c r="D609" s="15">
        <v>2025</v>
      </c>
      <c r="E609" s="15" t="s">
        <v>46</v>
      </c>
      <c r="F609" s="15" t="s">
        <v>131</v>
      </c>
      <c r="G609" s="15" t="s">
        <v>36</v>
      </c>
      <c r="H609" s="15" t="s">
        <v>620</v>
      </c>
      <c r="I609" s="15" t="s">
        <v>621</v>
      </c>
      <c r="J609" s="17">
        <v>107000</v>
      </c>
      <c r="K609" s="15"/>
      <c r="L609" s="15" t="s">
        <v>134</v>
      </c>
      <c r="M609" s="15" t="s">
        <v>76</v>
      </c>
      <c r="N609" s="15" t="s">
        <v>1830</v>
      </c>
      <c r="O609" s="15">
        <v>70</v>
      </c>
      <c r="P609" s="15" t="s">
        <v>1901</v>
      </c>
      <c r="Q609" s="15"/>
      <c r="R609" s="15" t="s">
        <v>137</v>
      </c>
    </row>
    <row r="610" spans="1:18" x14ac:dyDescent="0.35">
      <c r="A610" s="15" t="s">
        <v>1902</v>
      </c>
      <c r="B610" s="16">
        <v>45712</v>
      </c>
      <c r="C610" s="15" t="s">
        <v>1860</v>
      </c>
      <c r="D610" s="15">
        <v>2025</v>
      </c>
      <c r="E610" s="15" t="s">
        <v>47</v>
      </c>
      <c r="F610" s="15" t="s">
        <v>131</v>
      </c>
      <c r="G610" s="15" t="s">
        <v>35</v>
      </c>
      <c r="H610" s="15" t="s">
        <v>1410</v>
      </c>
      <c r="I610" s="15" t="s">
        <v>1411</v>
      </c>
      <c r="J610" s="17">
        <v>5000000</v>
      </c>
      <c r="K610" s="15"/>
      <c r="L610" s="15" t="s">
        <v>134</v>
      </c>
      <c r="M610" s="15" t="s">
        <v>76</v>
      </c>
      <c r="N610" s="15" t="s">
        <v>1788</v>
      </c>
      <c r="O610" s="15">
        <v>39</v>
      </c>
      <c r="P610" s="15" t="s">
        <v>1903</v>
      </c>
      <c r="Q610" s="15"/>
      <c r="R610" s="15" t="s">
        <v>137</v>
      </c>
    </row>
    <row r="611" spans="1:18" x14ac:dyDescent="0.35">
      <c r="A611" s="15" t="s">
        <v>1904</v>
      </c>
      <c r="B611" s="16">
        <v>45713</v>
      </c>
      <c r="C611" s="15" t="s">
        <v>1860</v>
      </c>
      <c r="D611" s="15">
        <v>2025</v>
      </c>
      <c r="E611" s="15" t="s">
        <v>46</v>
      </c>
      <c r="F611" s="15" t="s">
        <v>131</v>
      </c>
      <c r="G611" s="15" t="s">
        <v>36</v>
      </c>
      <c r="H611" s="15" t="s">
        <v>1736</v>
      </c>
      <c r="I611" s="15" t="s">
        <v>1737</v>
      </c>
      <c r="J611" s="17">
        <v>150000</v>
      </c>
      <c r="K611" s="15"/>
      <c r="L611" s="15" t="s">
        <v>134</v>
      </c>
      <c r="M611" s="15" t="s">
        <v>76</v>
      </c>
      <c r="N611" s="15" t="s">
        <v>1830</v>
      </c>
      <c r="O611" s="15">
        <v>71</v>
      </c>
      <c r="P611" s="15" t="s">
        <v>1905</v>
      </c>
      <c r="Q611" s="15"/>
      <c r="R611" s="15" t="s">
        <v>137</v>
      </c>
    </row>
    <row r="612" spans="1:18" x14ac:dyDescent="0.35">
      <c r="A612" s="15" t="s">
        <v>1906</v>
      </c>
      <c r="B612" s="16">
        <v>45713</v>
      </c>
      <c r="C612" s="15" t="s">
        <v>1860</v>
      </c>
      <c r="D612" s="15">
        <v>2025</v>
      </c>
      <c r="E612" s="15" t="s">
        <v>46</v>
      </c>
      <c r="F612" s="15" t="s">
        <v>131</v>
      </c>
      <c r="G612" s="15" t="s">
        <v>36</v>
      </c>
      <c r="H612" s="15" t="s">
        <v>1519</v>
      </c>
      <c r="I612" s="15" t="s">
        <v>1520</v>
      </c>
      <c r="J612" s="17">
        <v>200000</v>
      </c>
      <c r="K612" s="15"/>
      <c r="L612" s="15" t="s">
        <v>134</v>
      </c>
      <c r="M612" s="15" t="s">
        <v>76</v>
      </c>
      <c r="N612" s="15" t="s">
        <v>1814</v>
      </c>
      <c r="O612" s="15">
        <v>77</v>
      </c>
      <c r="P612" s="15" t="s">
        <v>1905</v>
      </c>
      <c r="Q612" s="15"/>
      <c r="R612" s="15" t="s">
        <v>137</v>
      </c>
    </row>
    <row r="613" spans="1:18" x14ac:dyDescent="0.35">
      <c r="A613" s="15" t="s">
        <v>1907</v>
      </c>
      <c r="B613" s="16">
        <v>45713</v>
      </c>
      <c r="C613" s="15" t="s">
        <v>1860</v>
      </c>
      <c r="D613" s="15">
        <v>2025</v>
      </c>
      <c r="E613" s="15" t="s">
        <v>46</v>
      </c>
      <c r="F613" s="15" t="s">
        <v>131</v>
      </c>
      <c r="G613" s="15" t="s">
        <v>36</v>
      </c>
      <c r="H613" s="15" t="s">
        <v>1908</v>
      </c>
      <c r="I613" s="15" t="s">
        <v>1909</v>
      </c>
      <c r="J613" s="17">
        <v>3150000</v>
      </c>
      <c r="K613" s="15"/>
      <c r="L613" s="15" t="s">
        <v>134</v>
      </c>
      <c r="M613" s="15" t="s">
        <v>76</v>
      </c>
      <c r="N613" s="15" t="s">
        <v>1910</v>
      </c>
      <c r="O613" s="15">
        <v>2</v>
      </c>
      <c r="P613" s="15" t="s">
        <v>1905</v>
      </c>
      <c r="Q613" s="15"/>
      <c r="R613" s="15" t="s">
        <v>137</v>
      </c>
    </row>
    <row r="614" spans="1:18" x14ac:dyDescent="0.35">
      <c r="A614" s="15" t="s">
        <v>1911</v>
      </c>
      <c r="B614" s="16">
        <v>45714</v>
      </c>
      <c r="C614" s="15" t="s">
        <v>1860</v>
      </c>
      <c r="D614" s="15">
        <v>2025</v>
      </c>
      <c r="E614" s="15" t="s">
        <v>46</v>
      </c>
      <c r="F614" s="15" t="s">
        <v>131</v>
      </c>
      <c r="G614" s="15" t="s">
        <v>36</v>
      </c>
      <c r="H614" s="15" t="s">
        <v>1443</v>
      </c>
      <c r="I614" s="15" t="s">
        <v>1444</v>
      </c>
      <c r="J614" s="17">
        <v>450000</v>
      </c>
      <c r="K614" s="15"/>
      <c r="L614" s="15" t="s">
        <v>134</v>
      </c>
      <c r="M614" s="15" t="s">
        <v>76</v>
      </c>
      <c r="N614" s="15" t="s">
        <v>1823</v>
      </c>
      <c r="O614" s="15">
        <v>58</v>
      </c>
      <c r="P614" s="15" t="s">
        <v>1912</v>
      </c>
      <c r="Q614" s="15"/>
      <c r="R614" s="15" t="s">
        <v>137</v>
      </c>
    </row>
    <row r="615" spans="1:18" x14ac:dyDescent="0.35">
      <c r="A615" s="15" t="s">
        <v>1913</v>
      </c>
      <c r="B615" s="16">
        <v>45714</v>
      </c>
      <c r="C615" s="15" t="s">
        <v>1860</v>
      </c>
      <c r="D615" s="15">
        <v>2025</v>
      </c>
      <c r="E615" s="15" t="s">
        <v>46</v>
      </c>
      <c r="F615" s="15" t="s">
        <v>131</v>
      </c>
      <c r="G615" s="15" t="s">
        <v>36</v>
      </c>
      <c r="H615" s="15" t="s">
        <v>1914</v>
      </c>
      <c r="I615" s="15" t="s">
        <v>1915</v>
      </c>
      <c r="J615" s="17">
        <v>3800000</v>
      </c>
      <c r="K615" s="15"/>
      <c r="L615" s="15" t="s">
        <v>134</v>
      </c>
      <c r="M615" s="15" t="s">
        <v>76</v>
      </c>
      <c r="N615" s="15" t="s">
        <v>1858</v>
      </c>
      <c r="O615" s="15">
        <v>14</v>
      </c>
      <c r="P615" s="15" t="s">
        <v>1912</v>
      </c>
      <c r="Q615" s="15"/>
      <c r="R615" s="15" t="s">
        <v>137</v>
      </c>
    </row>
    <row r="616" spans="1:18" x14ac:dyDescent="0.35">
      <c r="A616" s="15" t="s">
        <v>1916</v>
      </c>
      <c r="B616" s="16">
        <v>45714</v>
      </c>
      <c r="C616" s="15" t="s">
        <v>1860</v>
      </c>
      <c r="D616" s="15">
        <v>2025</v>
      </c>
      <c r="E616" s="15" t="s">
        <v>46</v>
      </c>
      <c r="F616" s="15" t="s">
        <v>131</v>
      </c>
      <c r="G616" s="15" t="s">
        <v>36</v>
      </c>
      <c r="H616" s="15" t="s">
        <v>1917</v>
      </c>
      <c r="I616" s="15" t="s">
        <v>1918</v>
      </c>
      <c r="J616" s="17">
        <v>3800000</v>
      </c>
      <c r="K616" s="15"/>
      <c r="L616" s="15" t="s">
        <v>134</v>
      </c>
      <c r="M616" s="15" t="s">
        <v>76</v>
      </c>
      <c r="N616" s="15" t="s">
        <v>1858</v>
      </c>
      <c r="O616" s="15">
        <v>15</v>
      </c>
      <c r="P616" s="15" t="s">
        <v>1912</v>
      </c>
      <c r="Q616" s="15"/>
      <c r="R616" s="15" t="s">
        <v>137</v>
      </c>
    </row>
    <row r="617" spans="1:18" x14ac:dyDescent="0.35">
      <c r="A617" s="15" t="s">
        <v>1919</v>
      </c>
      <c r="B617" s="16">
        <v>45716</v>
      </c>
      <c r="C617" s="15" t="s">
        <v>1860</v>
      </c>
      <c r="D617" s="15">
        <v>2025</v>
      </c>
      <c r="E617" s="15" t="s">
        <v>46</v>
      </c>
      <c r="F617" s="15" t="s">
        <v>131</v>
      </c>
      <c r="G617" s="15" t="s">
        <v>36</v>
      </c>
      <c r="H617" s="15" t="s">
        <v>1703</v>
      </c>
      <c r="I617" s="15" t="s">
        <v>1704</v>
      </c>
      <c r="J617" s="17">
        <v>800000</v>
      </c>
      <c r="K617" s="15"/>
      <c r="L617" s="15" t="s">
        <v>134</v>
      </c>
      <c r="M617" s="15" t="s">
        <v>76</v>
      </c>
      <c r="N617" s="15" t="s">
        <v>1840</v>
      </c>
      <c r="O617" s="15">
        <v>86</v>
      </c>
      <c r="P617" s="15" t="s">
        <v>1920</v>
      </c>
      <c r="Q617" s="15"/>
      <c r="R617" s="15" t="s">
        <v>137</v>
      </c>
    </row>
    <row r="618" spans="1:18" x14ac:dyDescent="0.35">
      <c r="A618" s="15" t="s">
        <v>1921</v>
      </c>
      <c r="B618" s="16">
        <v>45716</v>
      </c>
      <c r="C618" s="15" t="s">
        <v>1860</v>
      </c>
      <c r="D618" s="15">
        <v>2025</v>
      </c>
      <c r="E618" s="15" t="s">
        <v>46</v>
      </c>
      <c r="F618" s="15" t="s">
        <v>131</v>
      </c>
      <c r="G618" s="15" t="s">
        <v>36</v>
      </c>
      <c r="H618" s="15" t="s">
        <v>1708</v>
      </c>
      <c r="I618" s="15" t="s">
        <v>1709</v>
      </c>
      <c r="J618" s="17">
        <v>1600000</v>
      </c>
      <c r="K618" s="15"/>
      <c r="L618" s="15" t="s">
        <v>134</v>
      </c>
      <c r="M618" s="15" t="s">
        <v>76</v>
      </c>
      <c r="N618" s="15" t="s">
        <v>1840</v>
      </c>
      <c r="O618" s="15">
        <v>83</v>
      </c>
      <c r="P618" s="15" t="s">
        <v>1920</v>
      </c>
      <c r="Q618" s="15"/>
      <c r="R618" s="15" t="s">
        <v>137</v>
      </c>
    </row>
    <row r="619" spans="1:18" x14ac:dyDescent="0.35">
      <c r="A619" s="15" t="s">
        <v>1922</v>
      </c>
      <c r="B619" s="16">
        <v>45716</v>
      </c>
      <c r="C619" s="15" t="s">
        <v>1860</v>
      </c>
      <c r="D619" s="15">
        <v>2025</v>
      </c>
      <c r="E619" s="15" t="s">
        <v>46</v>
      </c>
      <c r="F619" s="15" t="s">
        <v>131</v>
      </c>
      <c r="G619" s="15" t="s">
        <v>36</v>
      </c>
      <c r="H619" s="15" t="s">
        <v>1711</v>
      </c>
      <c r="I619" s="15" t="s">
        <v>1712</v>
      </c>
      <c r="J619" s="17">
        <v>800000</v>
      </c>
      <c r="K619" s="15"/>
      <c r="L619" s="15" t="s">
        <v>134</v>
      </c>
      <c r="M619" s="15" t="s">
        <v>76</v>
      </c>
      <c r="N619" s="15" t="s">
        <v>1840</v>
      </c>
      <c r="O619" s="15">
        <v>85</v>
      </c>
      <c r="P619" s="15" t="s">
        <v>1920</v>
      </c>
      <c r="Q619" s="15"/>
      <c r="R619" s="15" t="s">
        <v>137</v>
      </c>
    </row>
    <row r="620" spans="1:18" x14ac:dyDescent="0.35">
      <c r="A620" s="15" t="s">
        <v>1923</v>
      </c>
      <c r="B620" s="16">
        <v>45716</v>
      </c>
      <c r="C620" s="15" t="s">
        <v>1860</v>
      </c>
      <c r="D620" s="15">
        <v>2025</v>
      </c>
      <c r="E620" s="15" t="s">
        <v>46</v>
      </c>
      <c r="F620" s="15" t="s">
        <v>131</v>
      </c>
      <c r="G620" s="15" t="s">
        <v>36</v>
      </c>
      <c r="H620" s="15" t="s">
        <v>1653</v>
      </c>
      <c r="I620" s="15" t="s">
        <v>1861</v>
      </c>
      <c r="J620" s="17">
        <v>1670000</v>
      </c>
      <c r="K620" s="15"/>
      <c r="L620" s="15" t="s">
        <v>134</v>
      </c>
      <c r="M620" s="15" t="s">
        <v>76</v>
      </c>
      <c r="N620" s="15" t="s">
        <v>1852</v>
      </c>
      <c r="O620" s="15">
        <v>34</v>
      </c>
      <c r="P620" s="15" t="s">
        <v>1920</v>
      </c>
      <c r="Q620" s="15"/>
      <c r="R620" s="15" t="s">
        <v>137</v>
      </c>
    </row>
    <row r="621" spans="1:18" x14ac:dyDescent="0.35">
      <c r="A621" s="15" t="s">
        <v>1924</v>
      </c>
      <c r="B621" s="16">
        <v>45716</v>
      </c>
      <c r="C621" s="15" t="s">
        <v>1860</v>
      </c>
      <c r="D621" s="15">
        <v>2025</v>
      </c>
      <c r="E621" s="15" t="s">
        <v>46</v>
      </c>
      <c r="F621" s="15" t="s">
        <v>131</v>
      </c>
      <c r="G621" s="15" t="s">
        <v>36</v>
      </c>
      <c r="H621" s="15" t="s">
        <v>1732</v>
      </c>
      <c r="I621" s="15" t="s">
        <v>1857</v>
      </c>
      <c r="J621" s="17">
        <v>396000</v>
      </c>
      <c r="K621" s="15"/>
      <c r="L621" s="15" t="s">
        <v>134</v>
      </c>
      <c r="M621" s="15" t="s">
        <v>76</v>
      </c>
      <c r="N621" s="15" t="s">
        <v>1858</v>
      </c>
      <c r="O621" s="15">
        <v>16</v>
      </c>
      <c r="P621" s="15" t="s">
        <v>1920</v>
      </c>
      <c r="Q621" s="15"/>
      <c r="R621" s="15" t="s">
        <v>137</v>
      </c>
    </row>
    <row r="622" spans="1:18" x14ac:dyDescent="0.35">
      <c r="A622" s="15" t="s">
        <v>1925</v>
      </c>
      <c r="B622" s="16">
        <v>45716</v>
      </c>
      <c r="C622" s="15" t="s">
        <v>1860</v>
      </c>
      <c r="D622" s="15">
        <v>2025</v>
      </c>
      <c r="E622" s="15" t="s">
        <v>46</v>
      </c>
      <c r="F622" s="15" t="s">
        <v>131</v>
      </c>
      <c r="G622" s="15" t="s">
        <v>36</v>
      </c>
      <c r="H622" s="15" t="s">
        <v>1732</v>
      </c>
      <c r="I622" s="15" t="s">
        <v>1857</v>
      </c>
      <c r="J622" s="17">
        <v>104000</v>
      </c>
      <c r="K622" s="15"/>
      <c r="L622" s="15" t="s">
        <v>134</v>
      </c>
      <c r="M622" s="15" t="s">
        <v>76</v>
      </c>
      <c r="N622" s="15" t="s">
        <v>1858</v>
      </c>
      <c r="O622" s="15">
        <v>17</v>
      </c>
      <c r="P622" s="15" t="s">
        <v>1920</v>
      </c>
      <c r="Q622" s="15"/>
      <c r="R622" s="15" t="s">
        <v>137</v>
      </c>
    </row>
    <row r="623" spans="1:18" x14ac:dyDescent="0.35">
      <c r="A623" s="15" t="s">
        <v>1926</v>
      </c>
      <c r="B623" s="16">
        <v>45716</v>
      </c>
      <c r="C623" s="15" t="s">
        <v>1860</v>
      </c>
      <c r="D623" s="15">
        <v>2025</v>
      </c>
      <c r="E623" s="15" t="s">
        <v>46</v>
      </c>
      <c r="F623" s="15" t="s">
        <v>131</v>
      </c>
      <c r="G623" s="15" t="s">
        <v>36</v>
      </c>
      <c r="H623" s="15" t="s">
        <v>1835</v>
      </c>
      <c r="I623" s="15" t="s">
        <v>1836</v>
      </c>
      <c r="J623" s="17">
        <v>1000000</v>
      </c>
      <c r="K623" s="15"/>
      <c r="L623" s="15" t="s">
        <v>134</v>
      </c>
      <c r="M623" s="15" t="s">
        <v>76</v>
      </c>
      <c r="N623" s="15" t="s">
        <v>1837</v>
      </c>
      <c r="O623" s="15">
        <v>19</v>
      </c>
      <c r="P623" s="15" t="s">
        <v>1920</v>
      </c>
      <c r="Q623" s="15"/>
      <c r="R623" s="15" t="s">
        <v>137</v>
      </c>
    </row>
    <row r="624" spans="1:18" x14ac:dyDescent="0.35">
      <c r="A624" s="15" t="s">
        <v>1927</v>
      </c>
      <c r="B624" s="16">
        <v>45716</v>
      </c>
      <c r="C624" s="15" t="s">
        <v>1860</v>
      </c>
      <c r="D624" s="15">
        <v>2025</v>
      </c>
      <c r="E624" s="15" t="s">
        <v>46</v>
      </c>
      <c r="F624" s="15" t="s">
        <v>131</v>
      </c>
      <c r="G624" s="15" t="s">
        <v>36</v>
      </c>
      <c r="H624" s="15" t="s">
        <v>1717</v>
      </c>
      <c r="I624" s="15" t="s">
        <v>1718</v>
      </c>
      <c r="J624" s="17">
        <v>1600000</v>
      </c>
      <c r="K624" s="15"/>
      <c r="L624" s="15" t="s">
        <v>134</v>
      </c>
      <c r="M624" s="15" t="s">
        <v>76</v>
      </c>
      <c r="N624" s="15" t="s">
        <v>1840</v>
      </c>
      <c r="O624" s="15">
        <v>84</v>
      </c>
      <c r="P624" s="15" t="s">
        <v>1920</v>
      </c>
      <c r="Q624" s="15"/>
      <c r="R624" s="15" t="s">
        <v>137</v>
      </c>
    </row>
    <row r="625" spans="1:18" x14ac:dyDescent="0.35">
      <c r="A625" s="15" t="s">
        <v>1928</v>
      </c>
      <c r="B625" s="16">
        <v>45717</v>
      </c>
      <c r="C625" s="15" t="s">
        <v>1929</v>
      </c>
      <c r="D625" s="15">
        <v>2025</v>
      </c>
      <c r="E625" s="15" t="s">
        <v>46</v>
      </c>
      <c r="F625" s="15" t="s">
        <v>131</v>
      </c>
      <c r="G625" s="15" t="s">
        <v>36</v>
      </c>
      <c r="H625" s="15" t="s">
        <v>1596</v>
      </c>
      <c r="I625" s="15" t="s">
        <v>1787</v>
      </c>
      <c r="J625" s="17">
        <v>520000</v>
      </c>
      <c r="K625" s="15"/>
      <c r="L625" s="15" t="s">
        <v>134</v>
      </c>
      <c r="M625" s="15" t="s">
        <v>76</v>
      </c>
      <c r="N625" s="15" t="s">
        <v>1788</v>
      </c>
      <c r="O625" s="15">
        <v>45</v>
      </c>
      <c r="P625" s="15" t="s">
        <v>1930</v>
      </c>
      <c r="Q625" s="15"/>
      <c r="R625" s="15" t="s">
        <v>137</v>
      </c>
    </row>
    <row r="626" spans="1:18" x14ac:dyDescent="0.35">
      <c r="A626" s="15" t="s">
        <v>1931</v>
      </c>
      <c r="B626" s="16">
        <v>45718</v>
      </c>
      <c r="C626" s="15" t="s">
        <v>1929</v>
      </c>
      <c r="D626" s="15">
        <v>2025</v>
      </c>
      <c r="E626" s="15" t="s">
        <v>47</v>
      </c>
      <c r="F626" s="15" t="s">
        <v>131</v>
      </c>
      <c r="G626" s="15" t="s">
        <v>25</v>
      </c>
      <c r="H626" s="15" t="s">
        <v>1932</v>
      </c>
      <c r="I626" s="15" t="s">
        <v>1933</v>
      </c>
      <c r="J626" s="17">
        <v>5000000</v>
      </c>
      <c r="K626" s="15"/>
      <c r="L626" s="15" t="s">
        <v>134</v>
      </c>
      <c r="M626" s="15" t="s">
        <v>76</v>
      </c>
      <c r="N626" s="15" t="s">
        <v>1934</v>
      </c>
      <c r="O626" s="15">
        <v>2</v>
      </c>
      <c r="P626" s="15" t="s">
        <v>1935</v>
      </c>
      <c r="Q626" s="15"/>
      <c r="R626" s="15" t="s">
        <v>137</v>
      </c>
    </row>
    <row r="627" spans="1:18" x14ac:dyDescent="0.35">
      <c r="A627" s="15" t="s">
        <v>1936</v>
      </c>
      <c r="B627" s="16">
        <v>45719</v>
      </c>
      <c r="C627" s="15" t="s">
        <v>1929</v>
      </c>
      <c r="D627" s="15">
        <v>2025</v>
      </c>
      <c r="E627" s="15" t="s">
        <v>46</v>
      </c>
      <c r="F627" s="15" t="s">
        <v>131</v>
      </c>
      <c r="G627" s="15" t="s">
        <v>36</v>
      </c>
      <c r="H627" s="15" t="s">
        <v>1864</v>
      </c>
      <c r="I627" s="15" t="s">
        <v>1865</v>
      </c>
      <c r="J627" s="17">
        <v>350000</v>
      </c>
      <c r="K627" s="15"/>
      <c r="L627" s="15" t="s">
        <v>134</v>
      </c>
      <c r="M627" s="15" t="s">
        <v>76</v>
      </c>
      <c r="N627" s="15" t="s">
        <v>1852</v>
      </c>
      <c r="O627" s="15">
        <v>41</v>
      </c>
      <c r="P627" s="15" t="s">
        <v>1937</v>
      </c>
      <c r="Q627" s="15"/>
      <c r="R627" s="15" t="s">
        <v>137</v>
      </c>
    </row>
    <row r="628" spans="1:18" x14ac:dyDescent="0.35">
      <c r="A628" s="15" t="s">
        <v>1938</v>
      </c>
      <c r="B628" s="16">
        <v>45719</v>
      </c>
      <c r="C628" s="15" t="s">
        <v>1929</v>
      </c>
      <c r="D628" s="15">
        <v>2025</v>
      </c>
      <c r="E628" s="15" t="s">
        <v>46</v>
      </c>
      <c r="F628" s="15" t="s">
        <v>131</v>
      </c>
      <c r="G628" s="15" t="s">
        <v>36</v>
      </c>
      <c r="H628" s="15" t="s">
        <v>1939</v>
      </c>
      <c r="I628" s="15" t="s">
        <v>1940</v>
      </c>
      <c r="J628" s="17">
        <v>200000</v>
      </c>
      <c r="K628" s="15"/>
      <c r="L628" s="15" t="s">
        <v>134</v>
      </c>
      <c r="M628" s="15" t="s">
        <v>76</v>
      </c>
      <c r="N628" s="15" t="s">
        <v>1879</v>
      </c>
      <c r="O628" s="15">
        <v>3</v>
      </c>
      <c r="P628" s="15" t="s">
        <v>1937</v>
      </c>
      <c r="Q628" s="15"/>
      <c r="R628" s="15" t="s">
        <v>137</v>
      </c>
    </row>
    <row r="629" spans="1:18" x14ac:dyDescent="0.35">
      <c r="A629" s="15" t="s">
        <v>1941</v>
      </c>
      <c r="B629" s="16">
        <v>45719</v>
      </c>
      <c r="C629" s="15" t="s">
        <v>1929</v>
      </c>
      <c r="D629" s="15">
        <v>2025</v>
      </c>
      <c r="E629" s="15" t="s">
        <v>47</v>
      </c>
      <c r="F629" s="15" t="s">
        <v>131</v>
      </c>
      <c r="G629" s="15" t="s">
        <v>25</v>
      </c>
      <c r="H629" s="15" t="s">
        <v>1932</v>
      </c>
      <c r="I629" s="15" t="s">
        <v>1933</v>
      </c>
      <c r="J629" s="17">
        <v>5000000</v>
      </c>
      <c r="K629" s="15"/>
      <c r="L629" s="15" t="s">
        <v>134</v>
      </c>
      <c r="M629" s="15" t="s">
        <v>76</v>
      </c>
      <c r="N629" s="15" t="s">
        <v>1934</v>
      </c>
      <c r="O629" s="15">
        <v>3</v>
      </c>
      <c r="P629" s="15" t="s">
        <v>1937</v>
      </c>
      <c r="Q629" s="15"/>
      <c r="R629" s="15" t="s">
        <v>137</v>
      </c>
    </row>
    <row r="630" spans="1:18" x14ac:dyDescent="0.35">
      <c r="A630" s="15" t="s">
        <v>1942</v>
      </c>
      <c r="B630" s="16">
        <v>45720</v>
      </c>
      <c r="C630" s="15" t="s">
        <v>1929</v>
      </c>
      <c r="D630" s="15">
        <v>2025</v>
      </c>
      <c r="E630" s="15" t="s">
        <v>47</v>
      </c>
      <c r="F630" s="15" t="s">
        <v>131</v>
      </c>
      <c r="G630" s="15" t="s">
        <v>40</v>
      </c>
      <c r="H630" s="15" t="s">
        <v>1481</v>
      </c>
      <c r="I630" s="15" t="s">
        <v>1482</v>
      </c>
      <c r="J630" s="17">
        <v>5000000</v>
      </c>
      <c r="K630" s="15"/>
      <c r="L630" s="15" t="s">
        <v>134</v>
      </c>
      <c r="M630" s="15" t="s">
        <v>76</v>
      </c>
      <c r="N630" s="15" t="s">
        <v>1790</v>
      </c>
      <c r="O630" s="15">
        <v>121</v>
      </c>
      <c r="P630" s="15" t="s">
        <v>1943</v>
      </c>
      <c r="Q630" s="15"/>
      <c r="R630" s="15" t="s">
        <v>137</v>
      </c>
    </row>
    <row r="631" spans="1:18" x14ac:dyDescent="0.35">
      <c r="A631" s="15" t="s">
        <v>1944</v>
      </c>
      <c r="B631" s="16">
        <v>45720</v>
      </c>
      <c r="C631" s="15" t="s">
        <v>1929</v>
      </c>
      <c r="D631" s="15">
        <v>2025</v>
      </c>
      <c r="E631" s="15" t="s">
        <v>47</v>
      </c>
      <c r="F631" s="15" t="s">
        <v>131</v>
      </c>
      <c r="G631" s="15" t="s">
        <v>25</v>
      </c>
      <c r="H631" s="15" t="s">
        <v>1932</v>
      </c>
      <c r="I631" s="15" t="s">
        <v>1933</v>
      </c>
      <c r="J631" s="17">
        <v>10000000</v>
      </c>
      <c r="K631" s="15"/>
      <c r="L631" s="15" t="s">
        <v>134</v>
      </c>
      <c r="M631" s="15" t="s">
        <v>76</v>
      </c>
      <c r="N631" s="15" t="s">
        <v>1934</v>
      </c>
      <c r="O631" s="15">
        <v>4</v>
      </c>
      <c r="P631" s="15" t="s">
        <v>1943</v>
      </c>
      <c r="Q631" s="15"/>
      <c r="R631" s="15" t="s">
        <v>137</v>
      </c>
    </row>
    <row r="632" spans="1:18" x14ac:dyDescent="0.35">
      <c r="A632" s="15" t="s">
        <v>1945</v>
      </c>
      <c r="B632" s="16">
        <v>45721</v>
      </c>
      <c r="C632" s="15" t="s">
        <v>1929</v>
      </c>
      <c r="D632" s="15">
        <v>2025</v>
      </c>
      <c r="E632" s="15" t="s">
        <v>46</v>
      </c>
      <c r="F632" s="15" t="s">
        <v>131</v>
      </c>
      <c r="G632" s="15" t="s">
        <v>36</v>
      </c>
      <c r="H632" s="15" t="s">
        <v>1645</v>
      </c>
      <c r="I632" s="15" t="s">
        <v>1699</v>
      </c>
      <c r="J632" s="17">
        <v>300000</v>
      </c>
      <c r="K632" s="15"/>
      <c r="L632" s="15" t="s">
        <v>134</v>
      </c>
      <c r="M632" s="15" t="s">
        <v>76</v>
      </c>
      <c r="N632" s="15" t="s">
        <v>1800</v>
      </c>
      <c r="O632" s="15">
        <v>146</v>
      </c>
      <c r="P632" s="15" t="s">
        <v>1946</v>
      </c>
      <c r="Q632" s="15"/>
      <c r="R632" s="15" t="s">
        <v>137</v>
      </c>
    </row>
    <row r="633" spans="1:18" x14ac:dyDescent="0.35">
      <c r="A633" s="15" t="s">
        <v>1947</v>
      </c>
      <c r="B633" s="16">
        <v>45722</v>
      </c>
      <c r="C633" s="15" t="s">
        <v>1929</v>
      </c>
      <c r="D633" s="15">
        <v>2025</v>
      </c>
      <c r="E633" s="15" t="s">
        <v>47</v>
      </c>
      <c r="F633" s="15" t="s">
        <v>131</v>
      </c>
      <c r="G633" s="15" t="s">
        <v>40</v>
      </c>
      <c r="H633" s="15" t="s">
        <v>1948</v>
      </c>
      <c r="I633" s="15" t="s">
        <v>1949</v>
      </c>
      <c r="J633" s="17">
        <v>95000000</v>
      </c>
      <c r="K633" s="15"/>
      <c r="L633" s="15" t="s">
        <v>134</v>
      </c>
      <c r="M633" s="15" t="s">
        <v>76</v>
      </c>
      <c r="N633" s="15" t="s">
        <v>1800</v>
      </c>
      <c r="O633" s="15">
        <v>147</v>
      </c>
      <c r="P633" s="15" t="s">
        <v>1950</v>
      </c>
      <c r="Q633" s="15"/>
      <c r="R633" s="15" t="s">
        <v>137</v>
      </c>
    </row>
    <row r="634" spans="1:18" x14ac:dyDescent="0.35">
      <c r="A634" s="15" t="s">
        <v>1951</v>
      </c>
      <c r="B634" s="16">
        <v>45723</v>
      </c>
      <c r="C634" s="15" t="s">
        <v>1929</v>
      </c>
      <c r="D634" s="15">
        <v>2025</v>
      </c>
      <c r="E634" s="15" t="s">
        <v>46</v>
      </c>
      <c r="F634" s="15" t="s">
        <v>131</v>
      </c>
      <c r="G634" s="15" t="s">
        <v>36</v>
      </c>
      <c r="H634" s="15" t="s">
        <v>1736</v>
      </c>
      <c r="I634" s="15" t="s">
        <v>1737</v>
      </c>
      <c r="J634" s="17">
        <v>50000</v>
      </c>
      <c r="K634" s="15"/>
      <c r="L634" s="15" t="s">
        <v>134</v>
      </c>
      <c r="M634" s="15" t="s">
        <v>76</v>
      </c>
      <c r="N634" s="15" t="s">
        <v>1830</v>
      </c>
      <c r="O634" s="15">
        <v>77</v>
      </c>
      <c r="P634" s="15" t="s">
        <v>1952</v>
      </c>
      <c r="Q634" s="15"/>
      <c r="R634" s="15" t="s">
        <v>137</v>
      </c>
    </row>
    <row r="635" spans="1:18" x14ac:dyDescent="0.35">
      <c r="A635" s="15" t="s">
        <v>1953</v>
      </c>
      <c r="B635" s="16">
        <v>45723</v>
      </c>
      <c r="C635" s="15" t="s">
        <v>1929</v>
      </c>
      <c r="D635" s="15">
        <v>2025</v>
      </c>
      <c r="E635" s="15" t="s">
        <v>46</v>
      </c>
      <c r="F635" s="15" t="s">
        <v>131</v>
      </c>
      <c r="G635" s="15" t="s">
        <v>36</v>
      </c>
      <c r="H635" s="15" t="s">
        <v>1894</v>
      </c>
      <c r="I635" s="15" t="s">
        <v>1895</v>
      </c>
      <c r="J635" s="17">
        <v>284000</v>
      </c>
      <c r="K635" s="15"/>
      <c r="L635" s="15" t="s">
        <v>134</v>
      </c>
      <c r="M635" s="15" t="s">
        <v>76</v>
      </c>
      <c r="N635" s="15" t="s">
        <v>1896</v>
      </c>
      <c r="O635" s="15">
        <v>10</v>
      </c>
      <c r="P635" s="15" t="s">
        <v>1952</v>
      </c>
      <c r="Q635" s="15"/>
      <c r="R635" s="15" t="s">
        <v>137</v>
      </c>
    </row>
    <row r="636" spans="1:18" x14ac:dyDescent="0.35">
      <c r="A636" s="15" t="s">
        <v>1954</v>
      </c>
      <c r="B636" s="16">
        <v>45724</v>
      </c>
      <c r="C636" s="15" t="s">
        <v>1929</v>
      </c>
      <c r="D636" s="15">
        <v>2025</v>
      </c>
      <c r="E636" s="15" t="s">
        <v>47</v>
      </c>
      <c r="F636" s="15" t="s">
        <v>131</v>
      </c>
      <c r="G636" s="15" t="s">
        <v>40</v>
      </c>
      <c r="H636" s="15" t="s">
        <v>1849</v>
      </c>
      <c r="I636" s="15" t="s">
        <v>1850</v>
      </c>
      <c r="J636" s="17">
        <v>4750000</v>
      </c>
      <c r="K636" s="15"/>
      <c r="L636" s="15" t="s">
        <v>134</v>
      </c>
      <c r="M636" s="15" t="s">
        <v>76</v>
      </c>
      <c r="N636" s="15" t="s">
        <v>1790</v>
      </c>
      <c r="O636" s="15">
        <v>127</v>
      </c>
      <c r="P636" s="15" t="s">
        <v>1955</v>
      </c>
      <c r="Q636" s="15"/>
      <c r="R636" s="15" t="s">
        <v>137</v>
      </c>
    </row>
    <row r="637" spans="1:18" x14ac:dyDescent="0.35">
      <c r="A637" s="15" t="s">
        <v>1956</v>
      </c>
      <c r="B637" s="16">
        <v>45725</v>
      </c>
      <c r="C637" s="15" t="s">
        <v>1929</v>
      </c>
      <c r="D637" s="15">
        <v>2025</v>
      </c>
      <c r="E637" s="15" t="s">
        <v>46</v>
      </c>
      <c r="F637" s="15" t="s">
        <v>131</v>
      </c>
      <c r="G637" s="15" t="s">
        <v>36</v>
      </c>
      <c r="H637" s="15" t="s">
        <v>1658</v>
      </c>
      <c r="I637" s="15" t="s">
        <v>1659</v>
      </c>
      <c r="J637" s="17">
        <v>1000000</v>
      </c>
      <c r="K637" s="15"/>
      <c r="L637" s="15" t="s">
        <v>134</v>
      </c>
      <c r="M637" s="15" t="s">
        <v>76</v>
      </c>
      <c r="N637" s="15" t="s">
        <v>1852</v>
      </c>
      <c r="O637" s="15">
        <v>42</v>
      </c>
      <c r="P637" s="15" t="s">
        <v>1957</v>
      </c>
      <c r="Q637" s="15"/>
      <c r="R637" s="15" t="s">
        <v>137</v>
      </c>
    </row>
    <row r="638" spans="1:18" x14ac:dyDescent="0.35">
      <c r="A638" s="15" t="s">
        <v>1958</v>
      </c>
      <c r="B638" s="16">
        <v>45729</v>
      </c>
      <c r="C638" s="15" t="s">
        <v>1929</v>
      </c>
      <c r="D638" s="15">
        <v>2025</v>
      </c>
      <c r="E638" s="15" t="s">
        <v>46</v>
      </c>
      <c r="F638" s="15" t="s">
        <v>131</v>
      </c>
      <c r="G638" s="15" t="s">
        <v>36</v>
      </c>
      <c r="H638" s="15" t="s">
        <v>1405</v>
      </c>
      <c r="I638" s="15" t="s">
        <v>1881</v>
      </c>
      <c r="J638" s="17">
        <v>1000000</v>
      </c>
      <c r="K638" s="15"/>
      <c r="L638" s="15" t="s">
        <v>134</v>
      </c>
      <c r="M638" s="15" t="s">
        <v>76</v>
      </c>
      <c r="N638" s="15" t="s">
        <v>1882</v>
      </c>
      <c r="O638" s="15">
        <v>31</v>
      </c>
      <c r="P638" s="15" t="s">
        <v>1959</v>
      </c>
      <c r="Q638" s="15"/>
      <c r="R638" s="15" t="s">
        <v>137</v>
      </c>
    </row>
    <row r="639" spans="1:18" x14ac:dyDescent="0.35">
      <c r="A639" s="15" t="s">
        <v>1960</v>
      </c>
      <c r="B639" s="16">
        <v>45730</v>
      </c>
      <c r="C639" s="15" t="s">
        <v>1929</v>
      </c>
      <c r="D639" s="15">
        <v>2025</v>
      </c>
      <c r="E639" s="15" t="s">
        <v>47</v>
      </c>
      <c r="F639" s="15" t="s">
        <v>131</v>
      </c>
      <c r="G639" s="15" t="s">
        <v>40</v>
      </c>
      <c r="H639" s="15" t="s">
        <v>1961</v>
      </c>
      <c r="I639" s="15" t="s">
        <v>1962</v>
      </c>
      <c r="J639" s="17">
        <v>1500000</v>
      </c>
      <c r="K639" s="15"/>
      <c r="L639" s="15" t="s">
        <v>134</v>
      </c>
      <c r="M639" s="15" t="s">
        <v>76</v>
      </c>
      <c r="N639" s="15" t="s">
        <v>1800</v>
      </c>
      <c r="O639" s="15">
        <v>151</v>
      </c>
      <c r="P639" s="15" t="s">
        <v>1963</v>
      </c>
      <c r="Q639" s="15" t="s">
        <v>1964</v>
      </c>
      <c r="R639" s="15" t="s">
        <v>137</v>
      </c>
    </row>
    <row r="640" spans="1:18" x14ac:dyDescent="0.35">
      <c r="A640" s="15" t="s">
        <v>1965</v>
      </c>
      <c r="B640" s="16">
        <v>45732</v>
      </c>
      <c r="C640" s="15" t="s">
        <v>1929</v>
      </c>
      <c r="D640" s="15">
        <v>2025</v>
      </c>
      <c r="E640" s="15" t="s">
        <v>47</v>
      </c>
      <c r="F640" s="15" t="s">
        <v>131</v>
      </c>
      <c r="G640" s="15" t="s">
        <v>40</v>
      </c>
      <c r="H640" s="15" t="s">
        <v>1961</v>
      </c>
      <c r="I640" s="15" t="s">
        <v>1962</v>
      </c>
      <c r="J640" s="17">
        <v>1500000</v>
      </c>
      <c r="K640" s="15"/>
      <c r="L640" s="15" t="s">
        <v>134</v>
      </c>
      <c r="M640" s="15" t="s">
        <v>76</v>
      </c>
      <c r="N640" s="15" t="s">
        <v>1800</v>
      </c>
      <c r="O640" s="15">
        <v>152</v>
      </c>
      <c r="P640" s="15" t="s">
        <v>1966</v>
      </c>
      <c r="Q640" s="15" t="s">
        <v>1967</v>
      </c>
      <c r="R640" s="15" t="s">
        <v>137</v>
      </c>
    </row>
    <row r="641" spans="1:18" x14ac:dyDescent="0.35">
      <c r="A641" s="15" t="s">
        <v>1968</v>
      </c>
      <c r="B641" s="16">
        <v>45734</v>
      </c>
      <c r="C641" s="15" t="s">
        <v>1929</v>
      </c>
      <c r="D641" s="15">
        <v>2025</v>
      </c>
      <c r="E641" s="15" t="s">
        <v>46</v>
      </c>
      <c r="F641" s="15" t="s">
        <v>131</v>
      </c>
      <c r="G641" s="15" t="s">
        <v>36</v>
      </c>
      <c r="H641" s="15" t="s">
        <v>1969</v>
      </c>
      <c r="I641" s="15" t="s">
        <v>1970</v>
      </c>
      <c r="J641" s="17">
        <v>500000</v>
      </c>
      <c r="K641" s="15"/>
      <c r="L641" s="15" t="s">
        <v>134</v>
      </c>
      <c r="M641" s="15" t="s">
        <v>76</v>
      </c>
      <c r="N641" s="15" t="s">
        <v>175</v>
      </c>
      <c r="O641" s="15">
        <v>134</v>
      </c>
      <c r="P641" s="15" t="s">
        <v>1971</v>
      </c>
      <c r="Q641" s="15"/>
      <c r="R641" s="15" t="s">
        <v>137</v>
      </c>
    </row>
    <row r="642" spans="1:18" x14ac:dyDescent="0.35">
      <c r="A642" s="15" t="s">
        <v>1972</v>
      </c>
      <c r="B642" s="16">
        <v>45736</v>
      </c>
      <c r="C642" s="15" t="s">
        <v>1929</v>
      </c>
      <c r="D642" s="15">
        <v>2025</v>
      </c>
      <c r="E642" s="15" t="s">
        <v>47</v>
      </c>
      <c r="F642" s="15" t="s">
        <v>131</v>
      </c>
      <c r="G642" s="15" t="s">
        <v>40</v>
      </c>
      <c r="H642" s="15" t="s">
        <v>1755</v>
      </c>
      <c r="I642" s="15" t="s">
        <v>1756</v>
      </c>
      <c r="J642" s="17">
        <v>3000000</v>
      </c>
      <c r="K642" s="15"/>
      <c r="L642" s="15" t="s">
        <v>134</v>
      </c>
      <c r="M642" s="15" t="s">
        <v>76</v>
      </c>
      <c r="N642" s="15" t="s">
        <v>1973</v>
      </c>
      <c r="O642" s="15">
        <v>10</v>
      </c>
      <c r="P642" s="15" t="s">
        <v>1974</v>
      </c>
      <c r="Q642" s="15" t="s">
        <v>1975</v>
      </c>
      <c r="R642" s="15" t="s">
        <v>137</v>
      </c>
    </row>
    <row r="643" spans="1:18" x14ac:dyDescent="0.35">
      <c r="A643" s="15" t="s">
        <v>1976</v>
      </c>
      <c r="B643" s="16">
        <v>45736</v>
      </c>
      <c r="C643" s="15" t="s">
        <v>1929</v>
      </c>
      <c r="D643" s="15">
        <v>2025</v>
      </c>
      <c r="E643" s="15" t="s">
        <v>47</v>
      </c>
      <c r="F643" s="15" t="s">
        <v>131</v>
      </c>
      <c r="G643" s="15" t="s">
        <v>42</v>
      </c>
      <c r="H643" s="15" t="s">
        <v>1977</v>
      </c>
      <c r="I643" s="15" t="s">
        <v>1978</v>
      </c>
      <c r="J643" s="17">
        <v>5000000</v>
      </c>
      <c r="K643" s="15"/>
      <c r="L643" s="15" t="s">
        <v>134</v>
      </c>
      <c r="M643" s="15" t="s">
        <v>76</v>
      </c>
      <c r="N643" s="15" t="s">
        <v>1979</v>
      </c>
      <c r="O643" s="15">
        <v>2</v>
      </c>
      <c r="P643" s="15" t="s">
        <v>1974</v>
      </c>
      <c r="Q643" s="15"/>
      <c r="R643" s="15" t="s">
        <v>137</v>
      </c>
    </row>
    <row r="644" spans="1:18" x14ac:dyDescent="0.35">
      <c r="A644" s="15" t="s">
        <v>1980</v>
      </c>
      <c r="B644" s="16">
        <v>45737</v>
      </c>
      <c r="C644" s="15" t="s">
        <v>1929</v>
      </c>
      <c r="D644" s="15">
        <v>2025</v>
      </c>
      <c r="E644" s="15" t="s">
        <v>47</v>
      </c>
      <c r="F644" s="15" t="s">
        <v>131</v>
      </c>
      <c r="G644" s="15" t="s">
        <v>42</v>
      </c>
      <c r="H644" s="15" t="s">
        <v>1977</v>
      </c>
      <c r="I644" s="15" t="s">
        <v>1978</v>
      </c>
      <c r="J644" s="17">
        <v>10000000</v>
      </c>
      <c r="K644" s="15"/>
      <c r="L644" s="15" t="s">
        <v>134</v>
      </c>
      <c r="M644" s="15" t="s">
        <v>76</v>
      </c>
      <c r="N644" s="15" t="s">
        <v>1979</v>
      </c>
      <c r="O644" s="15">
        <v>4</v>
      </c>
      <c r="P644" s="15" t="s">
        <v>1981</v>
      </c>
      <c r="Q644" s="15"/>
      <c r="R644" s="15" t="s">
        <v>137</v>
      </c>
    </row>
    <row r="645" spans="1:18" x14ac:dyDescent="0.35">
      <c r="A645" s="15" t="s">
        <v>1982</v>
      </c>
      <c r="B645" s="16">
        <v>45737</v>
      </c>
      <c r="C645" s="15" t="s">
        <v>1929</v>
      </c>
      <c r="D645" s="15">
        <v>2025</v>
      </c>
      <c r="E645" s="15" t="s">
        <v>47</v>
      </c>
      <c r="F645" s="15" t="s">
        <v>131</v>
      </c>
      <c r="G645" s="15" t="s">
        <v>40</v>
      </c>
      <c r="H645" s="15" t="s">
        <v>1849</v>
      </c>
      <c r="I645" s="15" t="s">
        <v>1850</v>
      </c>
      <c r="J645" s="17">
        <v>4750000</v>
      </c>
      <c r="K645" s="15"/>
      <c r="L645" s="15" t="s">
        <v>134</v>
      </c>
      <c r="M645" s="15" t="s">
        <v>76</v>
      </c>
      <c r="N645" s="15" t="s">
        <v>1790</v>
      </c>
      <c r="O645" s="15">
        <v>134</v>
      </c>
      <c r="P645" s="15" t="s">
        <v>1981</v>
      </c>
      <c r="Q645" s="15"/>
      <c r="R645" s="15" t="s">
        <v>137</v>
      </c>
    </row>
    <row r="646" spans="1:18" x14ac:dyDescent="0.35">
      <c r="A646" s="15" t="s">
        <v>1983</v>
      </c>
      <c r="B646" s="16">
        <v>45737</v>
      </c>
      <c r="C646" s="15" t="s">
        <v>1929</v>
      </c>
      <c r="D646" s="15">
        <v>2025</v>
      </c>
      <c r="E646" s="15" t="s">
        <v>47</v>
      </c>
      <c r="F646" s="15" t="s">
        <v>131</v>
      </c>
      <c r="G646" s="15" t="s">
        <v>40</v>
      </c>
      <c r="H646" s="15" t="s">
        <v>1984</v>
      </c>
      <c r="I646" s="15" t="s">
        <v>1985</v>
      </c>
      <c r="J646" s="17">
        <v>5000000</v>
      </c>
      <c r="K646" s="15"/>
      <c r="L646" s="15" t="s">
        <v>134</v>
      </c>
      <c r="M646" s="15" t="s">
        <v>76</v>
      </c>
      <c r="N646" s="15" t="s">
        <v>149</v>
      </c>
      <c r="O646" s="15">
        <v>82</v>
      </c>
      <c r="P646" s="15" t="s">
        <v>1981</v>
      </c>
      <c r="Q646" s="15" t="s">
        <v>1986</v>
      </c>
      <c r="R646" s="15" t="s">
        <v>137</v>
      </c>
    </row>
    <row r="647" spans="1:18" x14ac:dyDescent="0.35">
      <c r="A647" s="15" t="s">
        <v>1987</v>
      </c>
      <c r="B647" s="16">
        <v>45739</v>
      </c>
      <c r="C647" s="15" t="s">
        <v>1929</v>
      </c>
      <c r="D647" s="15">
        <v>2025</v>
      </c>
      <c r="E647" s="15" t="s">
        <v>46</v>
      </c>
      <c r="F647" s="15" t="s">
        <v>131</v>
      </c>
      <c r="G647" s="15" t="s">
        <v>36</v>
      </c>
      <c r="H647" s="15" t="s">
        <v>1988</v>
      </c>
      <c r="I647" s="15" t="s">
        <v>1989</v>
      </c>
      <c r="J647" s="17">
        <v>500000</v>
      </c>
      <c r="K647" s="15"/>
      <c r="L647" s="15" t="s">
        <v>134</v>
      </c>
      <c r="M647" s="15" t="s">
        <v>76</v>
      </c>
      <c r="N647" s="15" t="s">
        <v>1990</v>
      </c>
      <c r="O647" s="15">
        <v>2</v>
      </c>
      <c r="P647" s="15" t="s">
        <v>1991</v>
      </c>
      <c r="Q647" s="15"/>
      <c r="R647" s="15" t="s">
        <v>137</v>
      </c>
    </row>
    <row r="648" spans="1:18" x14ac:dyDescent="0.35">
      <c r="A648" s="15" t="s">
        <v>1992</v>
      </c>
      <c r="B648" s="16">
        <v>45739</v>
      </c>
      <c r="C648" s="15" t="s">
        <v>1929</v>
      </c>
      <c r="D648" s="15">
        <v>2025</v>
      </c>
      <c r="E648" s="15" t="s">
        <v>46</v>
      </c>
      <c r="F648" s="15" t="s">
        <v>131</v>
      </c>
      <c r="G648" s="15" t="s">
        <v>36</v>
      </c>
      <c r="H648" s="15" t="s">
        <v>1993</v>
      </c>
      <c r="I648" s="15" t="s">
        <v>1994</v>
      </c>
      <c r="J648" s="17">
        <v>1680000</v>
      </c>
      <c r="K648" s="15"/>
      <c r="L648" s="15" t="s">
        <v>134</v>
      </c>
      <c r="M648" s="15" t="s">
        <v>76</v>
      </c>
      <c r="N648" s="15" t="s">
        <v>1995</v>
      </c>
      <c r="O648" s="15">
        <v>3</v>
      </c>
      <c r="P648" s="15" t="s">
        <v>1996</v>
      </c>
      <c r="Q648" s="15"/>
      <c r="R648" s="15" t="s">
        <v>137</v>
      </c>
    </row>
    <row r="649" spans="1:18" x14ac:dyDescent="0.35">
      <c r="A649" s="15" t="s">
        <v>1997</v>
      </c>
      <c r="B649" s="16">
        <v>45739</v>
      </c>
      <c r="C649" s="15" t="s">
        <v>1929</v>
      </c>
      <c r="D649" s="15">
        <v>2025</v>
      </c>
      <c r="E649" s="15" t="s">
        <v>47</v>
      </c>
      <c r="F649" s="15" t="s">
        <v>131</v>
      </c>
      <c r="G649" s="15" t="s">
        <v>25</v>
      </c>
      <c r="H649" s="15" t="s">
        <v>1932</v>
      </c>
      <c r="I649" s="15" t="s">
        <v>1933</v>
      </c>
      <c r="J649" s="17">
        <v>5000000</v>
      </c>
      <c r="K649" s="15"/>
      <c r="L649" s="15" t="s">
        <v>134</v>
      </c>
      <c r="M649" s="15" t="s">
        <v>76</v>
      </c>
      <c r="N649" s="15" t="s">
        <v>1934</v>
      </c>
      <c r="O649" s="15">
        <v>5</v>
      </c>
      <c r="P649" s="15" t="s">
        <v>1996</v>
      </c>
      <c r="Q649" s="15"/>
      <c r="R649" s="15" t="s">
        <v>137</v>
      </c>
    </row>
    <row r="650" spans="1:18" x14ac:dyDescent="0.35">
      <c r="A650" s="15" t="s">
        <v>1998</v>
      </c>
      <c r="B650" s="16">
        <v>45741</v>
      </c>
      <c r="C650" s="15" t="s">
        <v>1929</v>
      </c>
      <c r="D650" s="15">
        <v>2025</v>
      </c>
      <c r="E650" s="15" t="s">
        <v>46</v>
      </c>
      <c r="F650" s="15" t="s">
        <v>131</v>
      </c>
      <c r="G650" s="15" t="s">
        <v>36</v>
      </c>
      <c r="H650" s="15" t="s">
        <v>1443</v>
      </c>
      <c r="I650" s="15" t="s">
        <v>1444</v>
      </c>
      <c r="J650" s="17">
        <v>400000</v>
      </c>
      <c r="K650" s="15"/>
      <c r="L650" s="15" t="s">
        <v>134</v>
      </c>
      <c r="M650" s="15" t="s">
        <v>76</v>
      </c>
      <c r="N650" s="15" t="s">
        <v>1823</v>
      </c>
      <c r="O650" s="15">
        <v>64</v>
      </c>
      <c r="P650" s="15" t="s">
        <v>1999</v>
      </c>
      <c r="Q650" s="15"/>
      <c r="R650" s="15" t="s">
        <v>137</v>
      </c>
    </row>
    <row r="651" spans="1:18" x14ac:dyDescent="0.35">
      <c r="A651" s="15" t="s">
        <v>2000</v>
      </c>
      <c r="B651" s="16">
        <v>45742</v>
      </c>
      <c r="C651" s="15" t="s">
        <v>1929</v>
      </c>
      <c r="D651" s="15">
        <v>2025</v>
      </c>
      <c r="E651" s="15" t="s">
        <v>46</v>
      </c>
      <c r="F651" s="15" t="s">
        <v>131</v>
      </c>
      <c r="G651" s="15" t="s">
        <v>36</v>
      </c>
      <c r="H651" s="15" t="s">
        <v>382</v>
      </c>
      <c r="I651" s="15" t="s">
        <v>497</v>
      </c>
      <c r="J651" s="17">
        <v>600000</v>
      </c>
      <c r="K651" s="15"/>
      <c r="L651" s="15" t="s">
        <v>134</v>
      </c>
      <c r="M651" s="15" t="s">
        <v>76</v>
      </c>
      <c r="N651" s="15" t="s">
        <v>2001</v>
      </c>
      <c r="O651" s="15">
        <v>89</v>
      </c>
      <c r="P651" s="15" t="s">
        <v>2002</v>
      </c>
      <c r="Q651" s="15"/>
      <c r="R651" s="15" t="s">
        <v>137</v>
      </c>
    </row>
    <row r="652" spans="1:18" x14ac:dyDescent="0.35">
      <c r="A652" s="15" t="s">
        <v>2003</v>
      </c>
      <c r="B652" s="16">
        <v>45743</v>
      </c>
      <c r="C652" s="15" t="s">
        <v>1929</v>
      </c>
      <c r="D652" s="15">
        <v>2025</v>
      </c>
      <c r="E652" s="15" t="s">
        <v>46</v>
      </c>
      <c r="F652" s="15" t="s">
        <v>131</v>
      </c>
      <c r="G652" s="15" t="s">
        <v>36</v>
      </c>
      <c r="H652" s="15" t="s">
        <v>1703</v>
      </c>
      <c r="I652" s="15" t="s">
        <v>1704</v>
      </c>
      <c r="J652" s="17">
        <v>800000</v>
      </c>
      <c r="K652" s="15"/>
      <c r="L652" s="15" t="s">
        <v>134</v>
      </c>
      <c r="M652" s="15" t="s">
        <v>76</v>
      </c>
      <c r="N652" s="15" t="s">
        <v>1840</v>
      </c>
      <c r="O652" s="15">
        <v>101</v>
      </c>
      <c r="P652" s="15" t="s">
        <v>2004</v>
      </c>
      <c r="Q652" s="15"/>
      <c r="R652" s="15" t="s">
        <v>137</v>
      </c>
    </row>
    <row r="653" spans="1:18" x14ac:dyDescent="0.35">
      <c r="A653" s="15" t="s">
        <v>2005</v>
      </c>
      <c r="B653" s="16">
        <v>45743</v>
      </c>
      <c r="C653" s="15" t="s">
        <v>1929</v>
      </c>
      <c r="D653" s="15">
        <v>2025</v>
      </c>
      <c r="E653" s="15" t="s">
        <v>46</v>
      </c>
      <c r="F653" s="15" t="s">
        <v>131</v>
      </c>
      <c r="G653" s="15" t="s">
        <v>36</v>
      </c>
      <c r="H653" s="15" t="s">
        <v>1708</v>
      </c>
      <c r="I653" s="15" t="s">
        <v>1709</v>
      </c>
      <c r="J653" s="17">
        <v>1600000</v>
      </c>
      <c r="K653" s="15"/>
      <c r="L653" s="15" t="s">
        <v>134</v>
      </c>
      <c r="M653" s="15" t="s">
        <v>76</v>
      </c>
      <c r="N653" s="15" t="s">
        <v>1840</v>
      </c>
      <c r="O653" s="15">
        <v>98</v>
      </c>
      <c r="P653" s="15" t="s">
        <v>2004</v>
      </c>
      <c r="Q653" s="15"/>
      <c r="R653" s="15" t="s">
        <v>137</v>
      </c>
    </row>
    <row r="654" spans="1:18" x14ac:dyDescent="0.35">
      <c r="A654" s="15" t="s">
        <v>2006</v>
      </c>
      <c r="B654" s="16">
        <v>45743</v>
      </c>
      <c r="C654" s="15" t="s">
        <v>1929</v>
      </c>
      <c r="D654" s="15">
        <v>2025</v>
      </c>
      <c r="E654" s="15" t="s">
        <v>46</v>
      </c>
      <c r="F654" s="15" t="s">
        <v>131</v>
      </c>
      <c r="G654" s="15" t="s">
        <v>36</v>
      </c>
      <c r="H654" s="15" t="s">
        <v>1711</v>
      </c>
      <c r="I654" s="15" t="s">
        <v>1712</v>
      </c>
      <c r="J654" s="17">
        <v>800000</v>
      </c>
      <c r="K654" s="15"/>
      <c r="L654" s="15" t="s">
        <v>134</v>
      </c>
      <c r="M654" s="15" t="s">
        <v>76</v>
      </c>
      <c r="N654" s="15" t="s">
        <v>1840</v>
      </c>
      <c r="O654" s="15">
        <v>100</v>
      </c>
      <c r="P654" s="15" t="s">
        <v>2004</v>
      </c>
      <c r="Q654" s="15"/>
      <c r="R654" s="15" t="s">
        <v>137</v>
      </c>
    </row>
    <row r="655" spans="1:18" x14ac:dyDescent="0.35">
      <c r="A655" s="15" t="s">
        <v>2007</v>
      </c>
      <c r="B655" s="16">
        <v>45743</v>
      </c>
      <c r="C655" s="15" t="s">
        <v>1929</v>
      </c>
      <c r="D655" s="15">
        <v>2025</v>
      </c>
      <c r="E655" s="15" t="s">
        <v>47</v>
      </c>
      <c r="F655" s="15" t="s">
        <v>131</v>
      </c>
      <c r="G655" s="15" t="s">
        <v>35</v>
      </c>
      <c r="H655" s="15" t="s">
        <v>1410</v>
      </c>
      <c r="I655" s="15" t="s">
        <v>1411</v>
      </c>
      <c r="J655" s="17">
        <v>5000000</v>
      </c>
      <c r="K655" s="15"/>
      <c r="L655" s="15" t="s">
        <v>134</v>
      </c>
      <c r="M655" s="15" t="s">
        <v>76</v>
      </c>
      <c r="N655" s="15" t="s">
        <v>1788</v>
      </c>
      <c r="O655" s="15">
        <v>52</v>
      </c>
      <c r="P655" s="15" t="s">
        <v>2004</v>
      </c>
      <c r="Q655" s="15"/>
      <c r="R655" s="15" t="s">
        <v>137</v>
      </c>
    </row>
    <row r="656" spans="1:18" x14ac:dyDescent="0.35">
      <c r="A656" s="15" t="s">
        <v>2008</v>
      </c>
      <c r="B656" s="16">
        <v>45743</v>
      </c>
      <c r="C656" s="15" t="s">
        <v>1929</v>
      </c>
      <c r="D656" s="15">
        <v>2025</v>
      </c>
      <c r="E656" s="15" t="s">
        <v>46</v>
      </c>
      <c r="F656" s="15" t="s">
        <v>131</v>
      </c>
      <c r="G656" s="15" t="s">
        <v>36</v>
      </c>
      <c r="H656" s="15" t="s">
        <v>1717</v>
      </c>
      <c r="I656" s="15" t="s">
        <v>1718</v>
      </c>
      <c r="J656" s="17">
        <v>1600000</v>
      </c>
      <c r="K656" s="15"/>
      <c r="L656" s="15" t="s">
        <v>134</v>
      </c>
      <c r="M656" s="15" t="s">
        <v>76</v>
      </c>
      <c r="N656" s="15" t="s">
        <v>1840</v>
      </c>
      <c r="O656" s="15">
        <v>99</v>
      </c>
      <c r="P656" s="15" t="s">
        <v>2004</v>
      </c>
      <c r="Q656" s="15"/>
      <c r="R656" s="15" t="s">
        <v>137</v>
      </c>
    </row>
    <row r="657" spans="1:18" x14ac:dyDescent="0.35">
      <c r="A657" s="15" t="s">
        <v>2009</v>
      </c>
      <c r="B657" s="16">
        <v>45744</v>
      </c>
      <c r="C657" s="15" t="s">
        <v>1929</v>
      </c>
      <c r="D657" s="15">
        <v>2025</v>
      </c>
      <c r="E657" s="15" t="s">
        <v>46</v>
      </c>
      <c r="F657" s="15" t="s">
        <v>131</v>
      </c>
      <c r="G657" s="15" t="s">
        <v>36</v>
      </c>
      <c r="H657" s="15" t="s">
        <v>620</v>
      </c>
      <c r="I657" s="15" t="s">
        <v>825</v>
      </c>
      <c r="J657" s="17">
        <v>600000</v>
      </c>
      <c r="K657" s="15"/>
      <c r="L657" s="15" t="s">
        <v>134</v>
      </c>
      <c r="M657" s="15" t="s">
        <v>76</v>
      </c>
      <c r="N657" s="15" t="s">
        <v>1830</v>
      </c>
      <c r="O657" s="15">
        <v>78</v>
      </c>
      <c r="P657" s="15" t="s">
        <v>2010</v>
      </c>
      <c r="Q657" s="15"/>
      <c r="R657" s="15" t="s">
        <v>137</v>
      </c>
    </row>
    <row r="658" spans="1:18" x14ac:dyDescent="0.35">
      <c r="A658" s="15" t="s">
        <v>2011</v>
      </c>
      <c r="B658" s="16">
        <v>45744</v>
      </c>
      <c r="C658" s="15" t="s">
        <v>1929</v>
      </c>
      <c r="D658" s="15">
        <v>2025</v>
      </c>
      <c r="E658" s="15" t="s">
        <v>46</v>
      </c>
      <c r="F658" s="15" t="s">
        <v>131</v>
      </c>
      <c r="G658" s="15" t="s">
        <v>36</v>
      </c>
      <c r="H658" s="15" t="s">
        <v>620</v>
      </c>
      <c r="I658" s="15" t="s">
        <v>825</v>
      </c>
      <c r="J658" s="17">
        <v>500000</v>
      </c>
      <c r="K658" s="15"/>
      <c r="L658" s="15" t="s">
        <v>134</v>
      </c>
      <c r="M658" s="15" t="s">
        <v>76</v>
      </c>
      <c r="N658" s="15" t="s">
        <v>1830</v>
      </c>
      <c r="O658" s="15">
        <v>79</v>
      </c>
      <c r="P658" s="15" t="s">
        <v>2010</v>
      </c>
      <c r="Q658" s="15"/>
      <c r="R658" s="15" t="s">
        <v>137</v>
      </c>
    </row>
    <row r="659" spans="1:18" x14ac:dyDescent="0.35">
      <c r="A659" s="15" t="s">
        <v>2012</v>
      </c>
      <c r="B659" s="16">
        <v>45745</v>
      </c>
      <c r="C659" s="15" t="s">
        <v>1929</v>
      </c>
      <c r="D659" s="15">
        <v>2025</v>
      </c>
      <c r="E659" s="15" t="s">
        <v>46</v>
      </c>
      <c r="F659" s="15" t="s">
        <v>131</v>
      </c>
      <c r="G659" s="15" t="s">
        <v>36</v>
      </c>
      <c r="H659" s="15" t="s">
        <v>1653</v>
      </c>
      <c r="I659" s="15" t="s">
        <v>2013</v>
      </c>
      <c r="J659" s="17">
        <v>1330000</v>
      </c>
      <c r="K659" s="15"/>
      <c r="L659" s="15" t="s">
        <v>134</v>
      </c>
      <c r="M659" s="15" t="s">
        <v>76</v>
      </c>
      <c r="N659" s="15" t="s">
        <v>1852</v>
      </c>
      <c r="O659" s="15">
        <v>43</v>
      </c>
      <c r="P659" s="15" t="s">
        <v>2014</v>
      </c>
      <c r="Q659" s="15"/>
      <c r="R659" s="15" t="s">
        <v>137</v>
      </c>
    </row>
    <row r="660" spans="1:18" x14ac:dyDescent="0.35">
      <c r="A660" s="15" t="s">
        <v>2015</v>
      </c>
      <c r="B660" s="16">
        <v>45745</v>
      </c>
      <c r="C660" s="15" t="s">
        <v>1929</v>
      </c>
      <c r="D660" s="15">
        <v>2025</v>
      </c>
      <c r="E660" s="15" t="s">
        <v>46</v>
      </c>
      <c r="F660" s="15" t="s">
        <v>131</v>
      </c>
      <c r="G660" s="15" t="s">
        <v>36</v>
      </c>
      <c r="H660" s="15" t="s">
        <v>1835</v>
      </c>
      <c r="I660" s="15" t="s">
        <v>1836</v>
      </c>
      <c r="J660" s="17">
        <v>1000000</v>
      </c>
      <c r="K660" s="15"/>
      <c r="L660" s="15" t="s">
        <v>134</v>
      </c>
      <c r="M660" s="15" t="s">
        <v>76</v>
      </c>
      <c r="N660" s="15" t="s">
        <v>1837</v>
      </c>
      <c r="O660" s="15">
        <v>26</v>
      </c>
      <c r="P660" s="15" t="s">
        <v>2014</v>
      </c>
      <c r="Q660" s="15"/>
      <c r="R660" s="15" t="s">
        <v>137</v>
      </c>
    </row>
    <row r="661" spans="1:18" x14ac:dyDescent="0.35">
      <c r="A661" s="15" t="s">
        <v>2016</v>
      </c>
      <c r="B661" s="16">
        <v>45745</v>
      </c>
      <c r="C661" s="15" t="s">
        <v>1929</v>
      </c>
      <c r="D661" s="15">
        <v>2025</v>
      </c>
      <c r="E661" s="15" t="s">
        <v>46</v>
      </c>
      <c r="F661" s="15" t="s">
        <v>131</v>
      </c>
      <c r="G661" s="15" t="s">
        <v>36</v>
      </c>
      <c r="H661" s="15" t="s">
        <v>2017</v>
      </c>
      <c r="I661" s="15" t="s">
        <v>2018</v>
      </c>
      <c r="J661" s="17">
        <v>1900000</v>
      </c>
      <c r="K661" s="15"/>
      <c r="L661" s="15" t="s">
        <v>134</v>
      </c>
      <c r="M661" s="15" t="s">
        <v>76</v>
      </c>
      <c r="N661" s="15" t="s">
        <v>1837</v>
      </c>
      <c r="O661" s="15">
        <v>27</v>
      </c>
      <c r="P661" s="15" t="s">
        <v>2014</v>
      </c>
      <c r="Q661" s="15"/>
      <c r="R661" s="15" t="s">
        <v>137</v>
      </c>
    </row>
    <row r="662" spans="1:18" x14ac:dyDescent="0.35">
      <c r="A662" s="15" t="s">
        <v>2019</v>
      </c>
      <c r="B662" s="16">
        <v>45746</v>
      </c>
      <c r="C662" s="15" t="s">
        <v>1929</v>
      </c>
      <c r="D662" s="15">
        <v>2025</v>
      </c>
      <c r="E662" s="15" t="s">
        <v>46</v>
      </c>
      <c r="F662" s="15" t="s">
        <v>131</v>
      </c>
      <c r="G662" s="15" t="s">
        <v>36</v>
      </c>
      <c r="H662" s="15" t="s">
        <v>2020</v>
      </c>
      <c r="I662" s="15" t="s">
        <v>2021</v>
      </c>
      <c r="J662" s="17">
        <v>1000000</v>
      </c>
      <c r="K662" s="15"/>
      <c r="L662" s="15" t="s">
        <v>134</v>
      </c>
      <c r="M662" s="15" t="s">
        <v>76</v>
      </c>
      <c r="N662" s="15" t="s">
        <v>1814</v>
      </c>
      <c r="O662" s="15">
        <v>86</v>
      </c>
      <c r="P662" s="15" t="s">
        <v>2022</v>
      </c>
      <c r="Q662" s="15"/>
      <c r="R662" s="15" t="s">
        <v>137</v>
      </c>
    </row>
    <row r="663" spans="1:18" x14ac:dyDescent="0.35">
      <c r="A663" s="15" t="s">
        <v>2023</v>
      </c>
      <c r="B663" s="16">
        <v>45746</v>
      </c>
      <c r="C663" s="15" t="s">
        <v>1929</v>
      </c>
      <c r="D663" s="15">
        <v>2025</v>
      </c>
      <c r="E663" s="15" t="s">
        <v>46</v>
      </c>
      <c r="F663" s="15" t="s">
        <v>131</v>
      </c>
      <c r="G663" s="15" t="s">
        <v>36</v>
      </c>
      <c r="H663" s="15" t="s">
        <v>1460</v>
      </c>
      <c r="I663" s="15" t="s">
        <v>2024</v>
      </c>
      <c r="J663" s="17">
        <v>1000000</v>
      </c>
      <c r="K663" s="15"/>
      <c r="L663" s="15" t="s">
        <v>134</v>
      </c>
      <c r="M663" s="15" t="s">
        <v>76</v>
      </c>
      <c r="N663" s="15" t="s">
        <v>1814</v>
      </c>
      <c r="O663" s="15">
        <v>85</v>
      </c>
      <c r="P663" s="15" t="s">
        <v>2022</v>
      </c>
      <c r="Q663" s="15"/>
      <c r="R663" s="15" t="s">
        <v>137</v>
      </c>
    </row>
    <row r="664" spans="1:18" x14ac:dyDescent="0.35">
      <c r="A664" s="15" t="s">
        <v>2025</v>
      </c>
      <c r="B664" s="16">
        <v>45747</v>
      </c>
      <c r="C664" s="15" t="s">
        <v>1929</v>
      </c>
      <c r="D664" s="15">
        <v>2025</v>
      </c>
      <c r="E664" s="15" t="s">
        <v>47</v>
      </c>
      <c r="F664" s="15" t="s">
        <v>131</v>
      </c>
      <c r="G664" s="15" t="s">
        <v>35</v>
      </c>
      <c r="H664" s="15" t="s">
        <v>1410</v>
      </c>
      <c r="I664" s="15" t="s">
        <v>1411</v>
      </c>
      <c r="J664" s="17">
        <v>900000</v>
      </c>
      <c r="K664" s="15"/>
      <c r="L664" s="15" t="s">
        <v>134</v>
      </c>
      <c r="M664" s="15" t="s">
        <v>76</v>
      </c>
      <c r="N664" s="15" t="s">
        <v>1788</v>
      </c>
      <c r="O664" s="15">
        <v>59</v>
      </c>
      <c r="P664" s="15" t="s">
        <v>2026</v>
      </c>
      <c r="Q664" s="15"/>
      <c r="R664" s="15" t="s">
        <v>137</v>
      </c>
    </row>
    <row r="665" spans="1:18" x14ac:dyDescent="0.35">
      <c r="A665" s="15" t="s">
        <v>2027</v>
      </c>
      <c r="B665" s="16">
        <v>45747</v>
      </c>
      <c r="C665" s="15" t="s">
        <v>1929</v>
      </c>
      <c r="D665" s="15">
        <v>2025</v>
      </c>
      <c r="E665" s="15" t="s">
        <v>46</v>
      </c>
      <c r="F665" s="15" t="s">
        <v>131</v>
      </c>
      <c r="G665" s="15" t="s">
        <v>36</v>
      </c>
      <c r="H665" s="15" t="s">
        <v>2028</v>
      </c>
      <c r="I665" s="15" t="s">
        <v>2029</v>
      </c>
      <c r="J665" s="17">
        <v>1000000</v>
      </c>
      <c r="K665" s="15"/>
      <c r="L665" s="15" t="s">
        <v>134</v>
      </c>
      <c r="M665" s="15" t="s">
        <v>76</v>
      </c>
      <c r="N665" s="15" t="s">
        <v>1788</v>
      </c>
      <c r="O665" s="15">
        <v>58</v>
      </c>
      <c r="P665" s="15" t="s">
        <v>2026</v>
      </c>
      <c r="Q665" s="15"/>
      <c r="R665" s="15" t="s">
        <v>137</v>
      </c>
    </row>
    <row r="666" spans="1:18" x14ac:dyDescent="0.35">
      <c r="A666" s="15" t="s">
        <v>2030</v>
      </c>
      <c r="B666" s="16">
        <v>45747</v>
      </c>
      <c r="C666" s="15" t="s">
        <v>1929</v>
      </c>
      <c r="D666" s="15">
        <v>2025</v>
      </c>
      <c r="E666" s="15" t="s">
        <v>46</v>
      </c>
      <c r="F666" s="15" t="s">
        <v>131</v>
      </c>
      <c r="G666" s="15" t="s">
        <v>36</v>
      </c>
      <c r="H666" s="15" t="s">
        <v>2028</v>
      </c>
      <c r="I666" s="15" t="s">
        <v>2029</v>
      </c>
      <c r="J666" s="17">
        <v>300000</v>
      </c>
      <c r="K666" s="15"/>
      <c r="L666" s="15" t="s">
        <v>134</v>
      </c>
      <c r="M666" s="15" t="s">
        <v>76</v>
      </c>
      <c r="N666" s="15" t="s">
        <v>1788</v>
      </c>
      <c r="O666" s="15">
        <v>73</v>
      </c>
      <c r="P666" s="15" t="s">
        <v>2026</v>
      </c>
      <c r="Q666" s="15"/>
      <c r="R666" s="15" t="s">
        <v>137</v>
      </c>
    </row>
    <row r="667" spans="1:18" x14ac:dyDescent="0.35">
      <c r="A667" s="15" t="s">
        <v>2031</v>
      </c>
      <c r="B667" s="16">
        <v>45747</v>
      </c>
      <c r="C667" s="15" t="s">
        <v>1929</v>
      </c>
      <c r="D667" s="15">
        <v>2025</v>
      </c>
      <c r="E667" s="15" t="s">
        <v>46</v>
      </c>
      <c r="F667" s="15" t="s">
        <v>131</v>
      </c>
      <c r="G667" s="15" t="s">
        <v>36</v>
      </c>
      <c r="H667" s="15" t="s">
        <v>2032</v>
      </c>
      <c r="I667" s="15" t="s">
        <v>2033</v>
      </c>
      <c r="J667" s="17">
        <v>300000</v>
      </c>
      <c r="K667" s="15"/>
      <c r="L667" s="15" t="s">
        <v>134</v>
      </c>
      <c r="M667" s="15" t="s">
        <v>76</v>
      </c>
      <c r="N667" s="15" t="s">
        <v>2034</v>
      </c>
      <c r="O667" s="15">
        <v>2</v>
      </c>
      <c r="P667" s="15" t="s">
        <v>2026</v>
      </c>
      <c r="Q667" s="15"/>
      <c r="R667" s="15" t="s">
        <v>137</v>
      </c>
    </row>
    <row r="668" spans="1:18" x14ac:dyDescent="0.35">
      <c r="A668" s="15" t="s">
        <v>2035</v>
      </c>
      <c r="B668" s="16">
        <v>45748</v>
      </c>
      <c r="C668" s="15" t="s">
        <v>2036</v>
      </c>
      <c r="D668" s="15">
        <v>2025</v>
      </c>
      <c r="E668" s="15" t="s">
        <v>46</v>
      </c>
      <c r="F668" s="15" t="s">
        <v>131</v>
      </c>
      <c r="G668" s="15" t="s">
        <v>36</v>
      </c>
      <c r="H668" s="15" t="s">
        <v>2020</v>
      </c>
      <c r="I668" s="15" t="s">
        <v>2021</v>
      </c>
      <c r="J668" s="17">
        <v>8200000</v>
      </c>
      <c r="K668" s="15"/>
      <c r="L668" s="15" t="s">
        <v>134</v>
      </c>
      <c r="M668" s="15" t="s">
        <v>76</v>
      </c>
      <c r="N668" s="15" t="s">
        <v>1814</v>
      </c>
      <c r="O668" s="15">
        <v>101</v>
      </c>
      <c r="P668" s="15" t="s">
        <v>2037</v>
      </c>
      <c r="Q668" s="15"/>
      <c r="R668" s="15" t="s">
        <v>137</v>
      </c>
    </row>
    <row r="669" spans="1:18" x14ac:dyDescent="0.35">
      <c r="A669" s="15" t="s">
        <v>2038</v>
      </c>
      <c r="B669" s="16">
        <v>45748</v>
      </c>
      <c r="C669" s="15" t="s">
        <v>2036</v>
      </c>
      <c r="D669" s="15">
        <v>2025</v>
      </c>
      <c r="E669" s="15" t="s">
        <v>46</v>
      </c>
      <c r="F669" s="15" t="s">
        <v>131</v>
      </c>
      <c r="G669" s="15" t="s">
        <v>36</v>
      </c>
      <c r="H669" s="15" t="s">
        <v>2020</v>
      </c>
      <c r="I669" s="15" t="s">
        <v>2021</v>
      </c>
      <c r="J669" s="17">
        <v>1000000</v>
      </c>
      <c r="K669" s="15"/>
      <c r="L669" s="15" t="s">
        <v>134</v>
      </c>
      <c r="M669" s="15" t="s">
        <v>76</v>
      </c>
      <c r="N669" s="15" t="s">
        <v>1814</v>
      </c>
      <c r="O669" s="15">
        <v>102</v>
      </c>
      <c r="P669" s="15" t="s">
        <v>2037</v>
      </c>
      <c r="Q669" s="15"/>
      <c r="R669" s="15" t="s">
        <v>137</v>
      </c>
    </row>
    <row r="670" spans="1:18" x14ac:dyDescent="0.35">
      <c r="A670" s="15" t="s">
        <v>2039</v>
      </c>
      <c r="B670" s="16">
        <v>45749</v>
      </c>
      <c r="C670" s="15" t="s">
        <v>2036</v>
      </c>
      <c r="D670" s="15">
        <v>2025</v>
      </c>
      <c r="E670" s="15" t="s">
        <v>46</v>
      </c>
      <c r="F670" s="15" t="s">
        <v>131</v>
      </c>
      <c r="G670" s="15" t="s">
        <v>36</v>
      </c>
      <c r="H670" s="15" t="s">
        <v>1460</v>
      </c>
      <c r="I670" s="15" t="s">
        <v>2024</v>
      </c>
      <c r="J670" s="17">
        <v>400000</v>
      </c>
      <c r="K670" s="15"/>
      <c r="L670" s="15" t="s">
        <v>134</v>
      </c>
      <c r="M670" s="15" t="s">
        <v>76</v>
      </c>
      <c r="N670" s="15" t="s">
        <v>1814</v>
      </c>
      <c r="O670" s="15">
        <v>100</v>
      </c>
      <c r="P670" s="15" t="s">
        <v>2040</v>
      </c>
      <c r="Q670" s="15"/>
      <c r="R670" s="15" t="s">
        <v>137</v>
      </c>
    </row>
    <row r="671" spans="1:18" x14ac:dyDescent="0.35">
      <c r="A671" s="15" t="s">
        <v>2041</v>
      </c>
      <c r="B671" s="16">
        <v>45749</v>
      </c>
      <c r="C671" s="15" t="s">
        <v>2036</v>
      </c>
      <c r="D671" s="15">
        <v>2025</v>
      </c>
      <c r="E671" s="15" t="s">
        <v>46</v>
      </c>
      <c r="F671" s="15" t="s">
        <v>131</v>
      </c>
      <c r="G671" s="15" t="s">
        <v>36</v>
      </c>
      <c r="H671" s="15" t="s">
        <v>1732</v>
      </c>
      <c r="I671" s="15" t="s">
        <v>1857</v>
      </c>
      <c r="J671" s="17">
        <v>200000</v>
      </c>
      <c r="K671" s="15"/>
      <c r="L671" s="15" t="s">
        <v>134</v>
      </c>
      <c r="M671" s="15" t="s">
        <v>76</v>
      </c>
      <c r="N671" s="15" t="s">
        <v>1858</v>
      </c>
      <c r="O671" s="15">
        <v>28</v>
      </c>
      <c r="P671" s="15" t="s">
        <v>2040</v>
      </c>
      <c r="Q671" s="15"/>
      <c r="R671" s="15" t="s">
        <v>137</v>
      </c>
    </row>
    <row r="672" spans="1:18" x14ac:dyDescent="0.35">
      <c r="A672" s="15" t="s">
        <v>2042</v>
      </c>
      <c r="B672" s="16">
        <v>45749</v>
      </c>
      <c r="C672" s="15" t="s">
        <v>2036</v>
      </c>
      <c r="D672" s="15">
        <v>2025</v>
      </c>
      <c r="E672" s="15" t="s">
        <v>46</v>
      </c>
      <c r="F672" s="15" t="s">
        <v>131</v>
      </c>
      <c r="G672" s="15" t="s">
        <v>36</v>
      </c>
      <c r="H672" s="15" t="s">
        <v>1939</v>
      </c>
      <c r="I672" s="15" t="s">
        <v>1940</v>
      </c>
      <c r="J672" s="17">
        <v>285000</v>
      </c>
      <c r="K672" s="15"/>
      <c r="L672" s="15" t="s">
        <v>134</v>
      </c>
      <c r="M672" s="15" t="s">
        <v>76</v>
      </c>
      <c r="N672" s="15" t="s">
        <v>1879</v>
      </c>
      <c r="O672" s="15">
        <v>4</v>
      </c>
      <c r="P672" s="15" t="s">
        <v>2040</v>
      </c>
      <c r="Q672" s="15"/>
      <c r="R672" s="15" t="s">
        <v>137</v>
      </c>
    </row>
    <row r="673" spans="1:18" x14ac:dyDescent="0.35">
      <c r="A673" s="15" t="s">
        <v>2043</v>
      </c>
      <c r="B673" s="16">
        <v>45750</v>
      </c>
      <c r="C673" s="15" t="s">
        <v>2036</v>
      </c>
      <c r="D673" s="15">
        <v>2025</v>
      </c>
      <c r="E673" s="15" t="s">
        <v>46</v>
      </c>
      <c r="F673" s="15" t="s">
        <v>131</v>
      </c>
      <c r="G673" s="15" t="s">
        <v>36</v>
      </c>
      <c r="H673" s="15" t="s">
        <v>1894</v>
      </c>
      <c r="I673" s="15" t="s">
        <v>1895</v>
      </c>
      <c r="J673" s="17">
        <v>566000</v>
      </c>
      <c r="K673" s="15"/>
      <c r="L673" s="15" t="s">
        <v>134</v>
      </c>
      <c r="M673" s="15" t="s">
        <v>76</v>
      </c>
      <c r="N673" s="15" t="s">
        <v>1896</v>
      </c>
      <c r="O673" s="15">
        <v>18</v>
      </c>
      <c r="P673" s="15" t="s">
        <v>2044</v>
      </c>
      <c r="Q673" s="15"/>
      <c r="R673" s="15" t="s">
        <v>137</v>
      </c>
    </row>
    <row r="674" spans="1:18" x14ac:dyDescent="0.35">
      <c r="A674" s="15" t="s">
        <v>2045</v>
      </c>
      <c r="B674" s="16">
        <v>45751</v>
      </c>
      <c r="C674" s="15" t="s">
        <v>2036</v>
      </c>
      <c r="D674" s="15">
        <v>2025</v>
      </c>
      <c r="E674" s="15" t="s">
        <v>46</v>
      </c>
      <c r="F674" s="15" t="s">
        <v>131</v>
      </c>
      <c r="G674" s="15" t="s">
        <v>36</v>
      </c>
      <c r="H674" s="15" t="s">
        <v>1864</v>
      </c>
      <c r="I674" s="15" t="s">
        <v>1865</v>
      </c>
      <c r="J674" s="17">
        <v>350000</v>
      </c>
      <c r="K674" s="15"/>
      <c r="L674" s="15" t="s">
        <v>134</v>
      </c>
      <c r="M674" s="15" t="s">
        <v>76</v>
      </c>
      <c r="N674" s="15" t="s">
        <v>1852</v>
      </c>
      <c r="O674" s="15">
        <v>50</v>
      </c>
      <c r="P674" s="15" t="s">
        <v>2046</v>
      </c>
      <c r="Q674" s="15"/>
      <c r="R674" s="15" t="s">
        <v>137</v>
      </c>
    </row>
    <row r="675" spans="1:18" x14ac:dyDescent="0.35">
      <c r="A675" s="15" t="s">
        <v>2047</v>
      </c>
      <c r="B675" s="16">
        <v>45752</v>
      </c>
      <c r="C675" s="15" t="s">
        <v>2036</v>
      </c>
      <c r="D675" s="15">
        <v>2025</v>
      </c>
      <c r="E675" s="15" t="s">
        <v>47</v>
      </c>
      <c r="F675" s="15" t="s">
        <v>131</v>
      </c>
      <c r="G675" s="15" t="s">
        <v>40</v>
      </c>
      <c r="H675" s="15" t="s">
        <v>2048</v>
      </c>
      <c r="I675" s="15" t="s">
        <v>2049</v>
      </c>
      <c r="J675" s="17">
        <v>10000000</v>
      </c>
      <c r="K675" s="15"/>
      <c r="L675" s="15" t="s">
        <v>134</v>
      </c>
      <c r="M675" s="15" t="s">
        <v>76</v>
      </c>
      <c r="N675" s="15" t="s">
        <v>1973</v>
      </c>
      <c r="O675" s="15">
        <v>16</v>
      </c>
      <c r="P675" s="15" t="s">
        <v>2050</v>
      </c>
      <c r="Q675" s="15" t="s">
        <v>2051</v>
      </c>
      <c r="R675" s="15" t="s">
        <v>137</v>
      </c>
    </row>
    <row r="676" spans="1:18" x14ac:dyDescent="0.35">
      <c r="A676" s="15" t="s">
        <v>2052</v>
      </c>
      <c r="B676" s="16">
        <v>45753</v>
      </c>
      <c r="C676" s="15" t="s">
        <v>2036</v>
      </c>
      <c r="D676" s="15">
        <v>2025</v>
      </c>
      <c r="E676" s="15" t="s">
        <v>46</v>
      </c>
      <c r="F676" s="15" t="s">
        <v>131</v>
      </c>
      <c r="G676" s="15" t="s">
        <v>36</v>
      </c>
      <c r="H676" s="15" t="s">
        <v>2032</v>
      </c>
      <c r="I676" s="15" t="s">
        <v>2033</v>
      </c>
      <c r="J676" s="17">
        <v>200000</v>
      </c>
      <c r="K676" s="15"/>
      <c r="L676" s="15" t="s">
        <v>134</v>
      </c>
      <c r="M676" s="15" t="s">
        <v>76</v>
      </c>
      <c r="N676" s="15" t="s">
        <v>2034</v>
      </c>
      <c r="O676" s="15">
        <v>3</v>
      </c>
      <c r="P676" s="15" t="s">
        <v>2053</v>
      </c>
      <c r="Q676" s="15"/>
      <c r="R676" s="15" t="s">
        <v>137</v>
      </c>
    </row>
    <row r="677" spans="1:18" x14ac:dyDescent="0.35">
      <c r="A677" s="15" t="s">
        <v>2054</v>
      </c>
      <c r="B677" s="16">
        <v>45754</v>
      </c>
      <c r="C677" s="15" t="s">
        <v>2036</v>
      </c>
      <c r="D677" s="15">
        <v>2025</v>
      </c>
      <c r="E677" s="15" t="s">
        <v>46</v>
      </c>
      <c r="F677" s="15" t="s">
        <v>131</v>
      </c>
      <c r="G677" s="15" t="s">
        <v>36</v>
      </c>
      <c r="H677" s="15" t="s">
        <v>2055</v>
      </c>
      <c r="I677" s="15" t="s">
        <v>2056</v>
      </c>
      <c r="J677" s="17">
        <v>500000</v>
      </c>
      <c r="K677" s="15"/>
      <c r="L677" s="15" t="s">
        <v>134</v>
      </c>
      <c r="M677" s="15" t="s">
        <v>76</v>
      </c>
      <c r="N677" s="15" t="s">
        <v>1896</v>
      </c>
      <c r="O677" s="15">
        <v>19</v>
      </c>
      <c r="P677" s="15" t="s">
        <v>2057</v>
      </c>
      <c r="Q677" s="15"/>
      <c r="R677" s="15" t="s">
        <v>137</v>
      </c>
    </row>
    <row r="678" spans="1:18" x14ac:dyDescent="0.35">
      <c r="A678" s="15" t="s">
        <v>2058</v>
      </c>
      <c r="B678" s="16">
        <v>45754</v>
      </c>
      <c r="C678" s="15" t="s">
        <v>2036</v>
      </c>
      <c r="D678" s="15">
        <v>2025</v>
      </c>
      <c r="E678" s="15" t="s">
        <v>46</v>
      </c>
      <c r="F678" s="15" t="s">
        <v>131</v>
      </c>
      <c r="G678" s="15" t="s">
        <v>36</v>
      </c>
      <c r="H678" s="15" t="s">
        <v>1658</v>
      </c>
      <c r="I678" s="15" t="s">
        <v>1659</v>
      </c>
      <c r="J678" s="17">
        <v>1500000</v>
      </c>
      <c r="K678" s="15"/>
      <c r="L678" s="15" t="s">
        <v>134</v>
      </c>
      <c r="M678" s="15" t="s">
        <v>76</v>
      </c>
      <c r="N678" s="15" t="s">
        <v>1852</v>
      </c>
      <c r="O678" s="15">
        <v>51</v>
      </c>
      <c r="P678" s="15" t="s">
        <v>2057</v>
      </c>
      <c r="Q678" s="15"/>
      <c r="R678" s="15" t="s">
        <v>137</v>
      </c>
    </row>
    <row r="679" spans="1:18" x14ac:dyDescent="0.35">
      <c r="A679" s="15" t="s">
        <v>2059</v>
      </c>
      <c r="B679" s="16">
        <v>45755</v>
      </c>
      <c r="C679" s="15" t="s">
        <v>2036</v>
      </c>
      <c r="D679" s="15">
        <v>2025</v>
      </c>
      <c r="E679" s="15" t="s">
        <v>46</v>
      </c>
      <c r="F679" s="15" t="s">
        <v>131</v>
      </c>
      <c r="G679" s="15" t="s">
        <v>36</v>
      </c>
      <c r="H679" s="15" t="s">
        <v>1645</v>
      </c>
      <c r="I679" s="15" t="s">
        <v>1699</v>
      </c>
      <c r="J679" s="17">
        <v>700000</v>
      </c>
      <c r="K679" s="15"/>
      <c r="L679" s="15" t="s">
        <v>134</v>
      </c>
      <c r="M679" s="15" t="s">
        <v>76</v>
      </c>
      <c r="N679" s="15" t="s">
        <v>1800</v>
      </c>
      <c r="O679" s="15">
        <v>159</v>
      </c>
      <c r="P679" s="15" t="s">
        <v>2060</v>
      </c>
      <c r="Q679" s="15"/>
      <c r="R679" s="15" t="s">
        <v>137</v>
      </c>
    </row>
    <row r="680" spans="1:18" x14ac:dyDescent="0.35">
      <c r="A680" s="15" t="s">
        <v>2061</v>
      </c>
      <c r="B680" s="16">
        <v>45756</v>
      </c>
      <c r="C680" s="15" t="s">
        <v>2036</v>
      </c>
      <c r="D680" s="15">
        <v>2025</v>
      </c>
      <c r="E680" s="15" t="s">
        <v>47</v>
      </c>
      <c r="F680" s="15" t="s">
        <v>131</v>
      </c>
      <c r="G680" s="15" t="s">
        <v>35</v>
      </c>
      <c r="H680" s="15" t="s">
        <v>1410</v>
      </c>
      <c r="I680" s="15" t="s">
        <v>1411</v>
      </c>
      <c r="J680" s="17">
        <v>2000000</v>
      </c>
      <c r="K680" s="15"/>
      <c r="L680" s="15" t="s">
        <v>134</v>
      </c>
      <c r="M680" s="15" t="s">
        <v>76</v>
      </c>
      <c r="N680" s="15" t="s">
        <v>1788</v>
      </c>
      <c r="O680" s="15">
        <v>65</v>
      </c>
      <c r="P680" s="15" t="s">
        <v>2062</v>
      </c>
      <c r="Q680" s="15"/>
      <c r="R680" s="15" t="s">
        <v>137</v>
      </c>
    </row>
    <row r="681" spans="1:18" x14ac:dyDescent="0.35">
      <c r="A681" s="15" t="s">
        <v>2063</v>
      </c>
      <c r="B681" s="16">
        <v>45757</v>
      </c>
      <c r="C681" s="15" t="s">
        <v>2036</v>
      </c>
      <c r="D681" s="15">
        <v>2025</v>
      </c>
      <c r="E681" s="15" t="s">
        <v>46</v>
      </c>
      <c r="F681" s="15" t="s">
        <v>131</v>
      </c>
      <c r="G681" s="15" t="s">
        <v>36</v>
      </c>
      <c r="H681" s="15" t="s">
        <v>2055</v>
      </c>
      <c r="I681" s="15" t="s">
        <v>2056</v>
      </c>
      <c r="J681" s="17">
        <v>550000</v>
      </c>
      <c r="K681" s="15"/>
      <c r="L681" s="15" t="s">
        <v>134</v>
      </c>
      <c r="M681" s="15" t="s">
        <v>76</v>
      </c>
      <c r="N681" s="15" t="s">
        <v>1896</v>
      </c>
      <c r="O681" s="15">
        <v>20</v>
      </c>
      <c r="P681" s="15" t="s">
        <v>2064</v>
      </c>
      <c r="Q681" s="15"/>
      <c r="R681" s="15" t="s">
        <v>137</v>
      </c>
    </row>
    <row r="682" spans="1:18" x14ac:dyDescent="0.35">
      <c r="A682" s="15" t="s">
        <v>2065</v>
      </c>
      <c r="B682" s="16">
        <v>45758</v>
      </c>
      <c r="C682" s="15" t="s">
        <v>2036</v>
      </c>
      <c r="D682" s="15">
        <v>2025</v>
      </c>
      <c r="E682" s="15" t="s">
        <v>47</v>
      </c>
      <c r="F682" s="15" t="s">
        <v>131</v>
      </c>
      <c r="G682" s="15" t="s">
        <v>40</v>
      </c>
      <c r="H682" s="15" t="s">
        <v>1849</v>
      </c>
      <c r="I682" s="15" t="s">
        <v>1850</v>
      </c>
      <c r="J682" s="17">
        <v>4750000</v>
      </c>
      <c r="K682" s="15"/>
      <c r="L682" s="15" t="s">
        <v>134</v>
      </c>
      <c r="M682" s="15" t="s">
        <v>76</v>
      </c>
      <c r="N682" s="15" t="s">
        <v>1790</v>
      </c>
      <c r="O682" s="15">
        <v>153</v>
      </c>
      <c r="P682" s="15" t="s">
        <v>2066</v>
      </c>
      <c r="Q682" s="15"/>
      <c r="R682" s="15" t="s">
        <v>137</v>
      </c>
    </row>
    <row r="683" spans="1:18" x14ac:dyDescent="0.35">
      <c r="A683" s="15" t="s">
        <v>2067</v>
      </c>
      <c r="B683" s="16">
        <v>45758</v>
      </c>
      <c r="C683" s="15" t="s">
        <v>2036</v>
      </c>
      <c r="D683" s="15">
        <v>2025</v>
      </c>
      <c r="E683" s="15" t="s">
        <v>47</v>
      </c>
      <c r="F683" s="15" t="s">
        <v>131</v>
      </c>
      <c r="G683" s="15" t="s">
        <v>40</v>
      </c>
      <c r="H683" s="15" t="s">
        <v>1961</v>
      </c>
      <c r="I683" s="15" t="s">
        <v>1962</v>
      </c>
      <c r="J683" s="17">
        <v>2000000</v>
      </c>
      <c r="K683" s="15"/>
      <c r="L683" s="15" t="s">
        <v>134</v>
      </c>
      <c r="M683" s="15" t="s">
        <v>76</v>
      </c>
      <c r="N683" s="15" t="s">
        <v>1800</v>
      </c>
      <c r="O683" s="15">
        <v>163</v>
      </c>
      <c r="P683" s="15" t="s">
        <v>2066</v>
      </c>
      <c r="Q683" s="15" t="s">
        <v>2068</v>
      </c>
      <c r="R683" s="15" t="s">
        <v>137</v>
      </c>
    </row>
    <row r="684" spans="1:18" x14ac:dyDescent="0.35">
      <c r="A684" s="15" t="s">
        <v>2069</v>
      </c>
      <c r="B684" s="16">
        <v>45759</v>
      </c>
      <c r="C684" s="15" t="s">
        <v>2036</v>
      </c>
      <c r="D684" s="15">
        <v>2025</v>
      </c>
      <c r="E684" s="15" t="s">
        <v>47</v>
      </c>
      <c r="F684" s="15" t="s">
        <v>131</v>
      </c>
      <c r="G684" s="15" t="s">
        <v>40</v>
      </c>
      <c r="H684" s="15" t="s">
        <v>2070</v>
      </c>
      <c r="I684" s="15" t="s">
        <v>2071</v>
      </c>
      <c r="J684" s="17">
        <v>5000000</v>
      </c>
      <c r="K684" s="15"/>
      <c r="L684" s="15" t="s">
        <v>134</v>
      </c>
      <c r="M684" s="15" t="s">
        <v>76</v>
      </c>
      <c r="N684" s="15" t="s">
        <v>1800</v>
      </c>
      <c r="O684" s="15">
        <v>162</v>
      </c>
      <c r="P684" s="15" t="s">
        <v>2072</v>
      </c>
      <c r="Q684" s="15"/>
      <c r="R684" s="15" t="s">
        <v>137</v>
      </c>
    </row>
    <row r="685" spans="1:18" x14ac:dyDescent="0.35">
      <c r="A685" s="15" t="s">
        <v>2073</v>
      </c>
      <c r="B685" s="16">
        <v>45761</v>
      </c>
      <c r="C685" s="15" t="s">
        <v>2036</v>
      </c>
      <c r="D685" s="15">
        <v>2025</v>
      </c>
      <c r="E685" s="15" t="s">
        <v>46</v>
      </c>
      <c r="F685" s="15" t="s">
        <v>131</v>
      </c>
      <c r="G685" s="15" t="s">
        <v>36</v>
      </c>
      <c r="H685" s="15" t="s">
        <v>1988</v>
      </c>
      <c r="I685" s="15" t="s">
        <v>1989</v>
      </c>
      <c r="J685" s="17">
        <v>1000000</v>
      </c>
      <c r="K685" s="15"/>
      <c r="L685" s="15" t="s">
        <v>134</v>
      </c>
      <c r="M685" s="15" t="s">
        <v>76</v>
      </c>
      <c r="N685" s="15" t="s">
        <v>1990</v>
      </c>
      <c r="O685" s="15">
        <v>3</v>
      </c>
      <c r="P685" s="15" t="s">
        <v>2074</v>
      </c>
      <c r="Q685" s="15"/>
      <c r="R685" s="15" t="s">
        <v>137</v>
      </c>
    </row>
    <row r="686" spans="1:18" x14ac:dyDescent="0.35">
      <c r="A686" s="15" t="s">
        <v>2075</v>
      </c>
      <c r="B686" s="16">
        <v>45762</v>
      </c>
      <c r="C686" s="15" t="s">
        <v>2036</v>
      </c>
      <c r="D686" s="15">
        <v>2025</v>
      </c>
      <c r="E686" s="15" t="s">
        <v>47</v>
      </c>
      <c r="F686" s="15" t="s">
        <v>131</v>
      </c>
      <c r="G686" s="15" t="s">
        <v>40</v>
      </c>
      <c r="H686" s="15" t="s">
        <v>1755</v>
      </c>
      <c r="I686" s="15" t="s">
        <v>1756</v>
      </c>
      <c r="J686" s="17">
        <v>2000000</v>
      </c>
      <c r="K686" s="15"/>
      <c r="L686" s="15" t="s">
        <v>134</v>
      </c>
      <c r="M686" s="15" t="s">
        <v>76</v>
      </c>
      <c r="N686" s="15" t="s">
        <v>1973</v>
      </c>
      <c r="O686" s="15">
        <v>17</v>
      </c>
      <c r="P686" s="15" t="s">
        <v>2076</v>
      </c>
      <c r="Q686" s="15" t="s">
        <v>2077</v>
      </c>
      <c r="R686" s="15" t="s">
        <v>137</v>
      </c>
    </row>
    <row r="687" spans="1:18" x14ac:dyDescent="0.35">
      <c r="A687" s="15" t="s">
        <v>2078</v>
      </c>
      <c r="B687" s="16">
        <v>45763</v>
      </c>
      <c r="C687" s="15" t="s">
        <v>2036</v>
      </c>
      <c r="D687" s="15">
        <v>2025</v>
      </c>
      <c r="E687" s="15" t="s">
        <v>46</v>
      </c>
      <c r="F687" s="15" t="s">
        <v>131</v>
      </c>
      <c r="G687" s="15" t="s">
        <v>36</v>
      </c>
      <c r="H687" s="15" t="s">
        <v>382</v>
      </c>
      <c r="I687" s="15" t="s">
        <v>497</v>
      </c>
      <c r="J687" s="17">
        <v>400000</v>
      </c>
      <c r="K687" s="15"/>
      <c r="L687" s="15" t="s">
        <v>134</v>
      </c>
      <c r="M687" s="15" t="s">
        <v>76</v>
      </c>
      <c r="N687" s="15" t="s">
        <v>2001</v>
      </c>
      <c r="O687" s="15">
        <v>95</v>
      </c>
      <c r="P687" s="15" t="s">
        <v>2079</v>
      </c>
      <c r="Q687" s="15"/>
      <c r="R687" s="15" t="s">
        <v>137</v>
      </c>
    </row>
    <row r="688" spans="1:18" x14ac:dyDescent="0.35">
      <c r="A688" s="15" t="s">
        <v>2080</v>
      </c>
      <c r="B688" s="16">
        <v>45769</v>
      </c>
      <c r="C688" s="15" t="s">
        <v>2036</v>
      </c>
      <c r="D688" s="15">
        <v>2025</v>
      </c>
      <c r="E688" s="15" t="s">
        <v>47</v>
      </c>
      <c r="F688" s="15" t="s">
        <v>131</v>
      </c>
      <c r="G688" s="15" t="s">
        <v>40</v>
      </c>
      <c r="H688" s="15" t="s">
        <v>1948</v>
      </c>
      <c r="I688" s="15" t="s">
        <v>1949</v>
      </c>
      <c r="J688" s="17">
        <v>5000000</v>
      </c>
      <c r="K688" s="15"/>
      <c r="L688" s="15" t="s">
        <v>134</v>
      </c>
      <c r="M688" s="15" t="s">
        <v>76</v>
      </c>
      <c r="N688" s="15" t="s">
        <v>1800</v>
      </c>
      <c r="O688" s="15">
        <v>160</v>
      </c>
      <c r="P688" s="15" t="s">
        <v>2081</v>
      </c>
      <c r="Q688" s="15"/>
      <c r="R688" s="15" t="s">
        <v>137</v>
      </c>
    </row>
    <row r="689" spans="1:18" x14ac:dyDescent="0.35">
      <c r="A689" s="15" t="s">
        <v>2082</v>
      </c>
      <c r="B689" s="16">
        <v>45769</v>
      </c>
      <c r="C689" s="15" t="s">
        <v>2036</v>
      </c>
      <c r="D689" s="15">
        <v>2025</v>
      </c>
      <c r="E689" s="15" t="s">
        <v>47</v>
      </c>
      <c r="F689" s="15" t="s">
        <v>131</v>
      </c>
      <c r="G689" s="15" t="s">
        <v>40</v>
      </c>
      <c r="H689" s="15" t="s">
        <v>1984</v>
      </c>
      <c r="I689" s="15" t="s">
        <v>1985</v>
      </c>
      <c r="J689" s="17">
        <v>5000000</v>
      </c>
      <c r="K689" s="15"/>
      <c r="L689" s="15" t="s">
        <v>134</v>
      </c>
      <c r="M689" s="15" t="s">
        <v>76</v>
      </c>
      <c r="N689" s="15" t="s">
        <v>149</v>
      </c>
      <c r="O689" s="15">
        <v>83</v>
      </c>
      <c r="P689" s="15" t="s">
        <v>2081</v>
      </c>
      <c r="Q689" s="15" t="s">
        <v>2083</v>
      </c>
      <c r="R689" s="15" t="s">
        <v>137</v>
      </c>
    </row>
    <row r="690" spans="1:18" x14ac:dyDescent="0.35">
      <c r="A690" s="15" t="s">
        <v>2084</v>
      </c>
      <c r="B690" s="16">
        <v>45770</v>
      </c>
      <c r="C690" s="15" t="s">
        <v>2036</v>
      </c>
      <c r="D690" s="15">
        <v>2025</v>
      </c>
      <c r="E690" s="15" t="s">
        <v>46</v>
      </c>
      <c r="F690" s="15" t="s">
        <v>131</v>
      </c>
      <c r="G690" s="15" t="s">
        <v>36</v>
      </c>
      <c r="H690" s="15" t="s">
        <v>1969</v>
      </c>
      <c r="I690" s="15" t="s">
        <v>1970</v>
      </c>
      <c r="J690" s="17">
        <v>500000</v>
      </c>
      <c r="K690" s="15"/>
      <c r="L690" s="15" t="s">
        <v>134</v>
      </c>
      <c r="M690" s="15" t="s">
        <v>76</v>
      </c>
      <c r="N690" s="15" t="s">
        <v>175</v>
      </c>
      <c r="O690" s="15">
        <v>135</v>
      </c>
      <c r="P690" s="15" t="s">
        <v>2085</v>
      </c>
      <c r="Q690" s="15"/>
      <c r="R690" s="15" t="s">
        <v>137</v>
      </c>
    </row>
    <row r="691" spans="1:18" x14ac:dyDescent="0.35">
      <c r="A691" s="15" t="s">
        <v>2086</v>
      </c>
      <c r="B691" s="16">
        <v>45770</v>
      </c>
      <c r="C691" s="15" t="s">
        <v>2036</v>
      </c>
      <c r="D691" s="15">
        <v>2025</v>
      </c>
      <c r="E691" s="15" t="s">
        <v>46</v>
      </c>
      <c r="F691" s="15" t="s">
        <v>131</v>
      </c>
      <c r="G691" s="15" t="s">
        <v>36</v>
      </c>
      <c r="H691" s="15" t="s">
        <v>1969</v>
      </c>
      <c r="I691" s="15" t="s">
        <v>1970</v>
      </c>
      <c r="J691" s="17">
        <v>50000</v>
      </c>
      <c r="K691" s="15"/>
      <c r="L691" s="15" t="s">
        <v>134</v>
      </c>
      <c r="M691" s="15" t="s">
        <v>76</v>
      </c>
      <c r="N691" s="15" t="s">
        <v>175</v>
      </c>
      <c r="O691" s="15">
        <v>136</v>
      </c>
      <c r="P691" s="15" t="s">
        <v>2085</v>
      </c>
      <c r="Q691" s="15"/>
      <c r="R691" s="15" t="s">
        <v>137</v>
      </c>
    </row>
    <row r="692" spans="1:18" x14ac:dyDescent="0.35">
      <c r="A692" s="15" t="s">
        <v>2087</v>
      </c>
      <c r="B692" s="16">
        <v>45772</v>
      </c>
      <c r="C692" s="15" t="s">
        <v>2036</v>
      </c>
      <c r="D692" s="15">
        <v>2025</v>
      </c>
      <c r="E692" s="15" t="s">
        <v>46</v>
      </c>
      <c r="F692" s="15" t="s">
        <v>131</v>
      </c>
      <c r="G692" s="15" t="s">
        <v>36</v>
      </c>
      <c r="H692" s="15" t="s">
        <v>1443</v>
      </c>
      <c r="I692" s="15" t="s">
        <v>1444</v>
      </c>
      <c r="J692" s="17">
        <v>400000</v>
      </c>
      <c r="K692" s="15"/>
      <c r="L692" s="15" t="s">
        <v>134</v>
      </c>
      <c r="M692" s="15" t="s">
        <v>76</v>
      </c>
      <c r="N692" s="15" t="s">
        <v>1823</v>
      </c>
      <c r="O692" s="15">
        <v>71</v>
      </c>
      <c r="P692" s="15" t="s">
        <v>2088</v>
      </c>
      <c r="Q692" s="15"/>
      <c r="R692" s="15" t="s">
        <v>137</v>
      </c>
    </row>
    <row r="693" spans="1:18" x14ac:dyDescent="0.35">
      <c r="A693" s="15" t="s">
        <v>2089</v>
      </c>
      <c r="B693" s="16">
        <v>45772</v>
      </c>
      <c r="C693" s="15" t="s">
        <v>2036</v>
      </c>
      <c r="D693" s="15">
        <v>2025</v>
      </c>
      <c r="E693" s="15" t="s">
        <v>46</v>
      </c>
      <c r="F693" s="15" t="s">
        <v>131</v>
      </c>
      <c r="G693" s="15" t="s">
        <v>36</v>
      </c>
      <c r="H693" s="15" t="s">
        <v>167</v>
      </c>
      <c r="I693" s="15" t="s">
        <v>168</v>
      </c>
      <c r="J693" s="17">
        <v>2000000</v>
      </c>
      <c r="K693" s="15"/>
      <c r="L693" s="15" t="s">
        <v>134</v>
      </c>
      <c r="M693" s="15" t="s">
        <v>76</v>
      </c>
      <c r="N693" s="15" t="s">
        <v>1804</v>
      </c>
      <c r="O693" s="15">
        <v>67</v>
      </c>
      <c r="P693" s="15" t="s">
        <v>2088</v>
      </c>
      <c r="Q693" s="15"/>
      <c r="R693" s="15" t="s">
        <v>137</v>
      </c>
    </row>
    <row r="694" spans="1:18" x14ac:dyDescent="0.35">
      <c r="A694" s="15" t="s">
        <v>2090</v>
      </c>
      <c r="B694" s="16">
        <v>45772</v>
      </c>
      <c r="C694" s="15" t="s">
        <v>2036</v>
      </c>
      <c r="D694" s="15">
        <v>2025</v>
      </c>
      <c r="E694" s="15" t="s">
        <v>46</v>
      </c>
      <c r="F694" s="15" t="s">
        <v>131</v>
      </c>
      <c r="G694" s="15" t="s">
        <v>36</v>
      </c>
      <c r="H694" s="15" t="s">
        <v>2017</v>
      </c>
      <c r="I694" s="15" t="s">
        <v>2018</v>
      </c>
      <c r="J694" s="17">
        <v>1900000</v>
      </c>
      <c r="K694" s="15"/>
      <c r="L694" s="15" t="s">
        <v>134</v>
      </c>
      <c r="M694" s="15" t="s">
        <v>76</v>
      </c>
      <c r="N694" s="15" t="s">
        <v>1837</v>
      </c>
      <c r="O694" s="15">
        <v>34</v>
      </c>
      <c r="P694" s="15" t="s">
        <v>2088</v>
      </c>
      <c r="Q694" s="15"/>
      <c r="R694" s="15" t="s">
        <v>137</v>
      </c>
    </row>
    <row r="695" spans="1:18" x14ac:dyDescent="0.35">
      <c r="A695" s="15" t="s">
        <v>2091</v>
      </c>
      <c r="B695" s="16">
        <v>45772</v>
      </c>
      <c r="C695" s="15" t="s">
        <v>2036</v>
      </c>
      <c r="D695" s="15">
        <v>2025</v>
      </c>
      <c r="E695" s="15" t="s">
        <v>47</v>
      </c>
      <c r="F695" s="15" t="s">
        <v>131</v>
      </c>
      <c r="G695" s="15" t="s">
        <v>40</v>
      </c>
      <c r="H695" s="15" t="s">
        <v>1849</v>
      </c>
      <c r="I695" s="15" t="s">
        <v>1850</v>
      </c>
      <c r="J695" s="17">
        <v>4750000</v>
      </c>
      <c r="K695" s="15"/>
      <c r="L695" s="15" t="s">
        <v>134</v>
      </c>
      <c r="M695" s="15" t="s">
        <v>76</v>
      </c>
      <c r="N695" s="15" t="s">
        <v>1790</v>
      </c>
      <c r="O695" s="15">
        <v>166</v>
      </c>
      <c r="P695" s="15" t="s">
        <v>2088</v>
      </c>
      <c r="Q695" s="15"/>
      <c r="R695" s="15" t="s">
        <v>137</v>
      </c>
    </row>
    <row r="696" spans="1:18" x14ac:dyDescent="0.35">
      <c r="A696" s="15" t="s">
        <v>2092</v>
      </c>
      <c r="B696" s="16">
        <v>45775</v>
      </c>
      <c r="C696" s="15" t="s">
        <v>2036</v>
      </c>
      <c r="D696" s="15">
        <v>2025</v>
      </c>
      <c r="E696" s="15" t="s">
        <v>47</v>
      </c>
      <c r="F696" s="15" t="s">
        <v>131</v>
      </c>
      <c r="G696" s="15" t="s">
        <v>42</v>
      </c>
      <c r="H696" s="15" t="s">
        <v>1977</v>
      </c>
      <c r="I696" s="15" t="s">
        <v>1978</v>
      </c>
      <c r="J696" s="17">
        <v>7000000</v>
      </c>
      <c r="K696" s="15"/>
      <c r="L696" s="15" t="s">
        <v>134</v>
      </c>
      <c r="M696" s="15" t="s">
        <v>76</v>
      </c>
      <c r="N696" s="15" t="s">
        <v>1979</v>
      </c>
      <c r="O696" s="15">
        <v>11</v>
      </c>
      <c r="P696" s="15" t="s">
        <v>2093</v>
      </c>
      <c r="Q696" s="15"/>
      <c r="R696" s="15" t="s">
        <v>137</v>
      </c>
    </row>
    <row r="697" spans="1:18" x14ac:dyDescent="0.35">
      <c r="A697" s="15" t="s">
        <v>2094</v>
      </c>
      <c r="B697" s="16">
        <v>45776</v>
      </c>
      <c r="C697" s="15" t="s">
        <v>2036</v>
      </c>
      <c r="D697" s="15">
        <v>2025</v>
      </c>
      <c r="E697" s="15" t="s">
        <v>47</v>
      </c>
      <c r="F697" s="15" t="s">
        <v>131</v>
      </c>
      <c r="G697" s="15" t="s">
        <v>40</v>
      </c>
      <c r="H697" s="15" t="s">
        <v>1481</v>
      </c>
      <c r="I697" s="15" t="s">
        <v>1482</v>
      </c>
      <c r="J697" s="17">
        <v>2000000</v>
      </c>
      <c r="K697" s="15"/>
      <c r="L697" s="15" t="s">
        <v>134</v>
      </c>
      <c r="M697" s="15" t="s">
        <v>76</v>
      </c>
      <c r="N697" s="15" t="s">
        <v>1790</v>
      </c>
      <c r="O697" s="15">
        <v>180</v>
      </c>
      <c r="P697" s="15" t="s">
        <v>2095</v>
      </c>
      <c r="Q697" s="15"/>
      <c r="R697" s="15" t="s">
        <v>137</v>
      </c>
    </row>
    <row r="698" spans="1:18" x14ac:dyDescent="0.35">
      <c r="A698" s="15" t="s">
        <v>2096</v>
      </c>
      <c r="B698" s="16">
        <v>45776</v>
      </c>
      <c r="C698" s="15" t="s">
        <v>2036</v>
      </c>
      <c r="D698" s="15">
        <v>2025</v>
      </c>
      <c r="E698" s="15" t="s">
        <v>47</v>
      </c>
      <c r="F698" s="15" t="s">
        <v>131</v>
      </c>
      <c r="G698" s="15" t="s">
        <v>35</v>
      </c>
      <c r="H698" s="15" t="s">
        <v>1410</v>
      </c>
      <c r="I698" s="15" t="s">
        <v>1411</v>
      </c>
      <c r="J698" s="17">
        <v>3900000</v>
      </c>
      <c r="K698" s="15"/>
      <c r="L698" s="15" t="s">
        <v>134</v>
      </c>
      <c r="M698" s="15" t="s">
        <v>76</v>
      </c>
      <c r="N698" s="15" t="s">
        <v>1788</v>
      </c>
      <c r="O698" s="15">
        <v>66</v>
      </c>
      <c r="P698" s="15" t="s">
        <v>2095</v>
      </c>
      <c r="Q698" s="15"/>
      <c r="R698" s="15" t="s">
        <v>137</v>
      </c>
    </row>
    <row r="699" spans="1:18" x14ac:dyDescent="0.35">
      <c r="A699" s="15" t="s">
        <v>2097</v>
      </c>
      <c r="B699" s="16">
        <v>45778</v>
      </c>
      <c r="C699" s="15" t="s">
        <v>2098</v>
      </c>
      <c r="D699" s="15">
        <v>2025</v>
      </c>
      <c r="E699" s="15" t="s">
        <v>47</v>
      </c>
      <c r="F699" s="15" t="s">
        <v>131</v>
      </c>
      <c r="G699" s="15" t="s">
        <v>40</v>
      </c>
      <c r="H699" s="15" t="s">
        <v>2048</v>
      </c>
      <c r="I699" s="15" t="s">
        <v>2049</v>
      </c>
      <c r="J699" s="17">
        <v>10000000</v>
      </c>
      <c r="K699" s="15"/>
      <c r="L699" s="15" t="s">
        <v>134</v>
      </c>
      <c r="M699" s="15" t="s">
        <v>76</v>
      </c>
      <c r="N699" s="15" t="s">
        <v>1973</v>
      </c>
      <c r="O699" s="15">
        <v>24</v>
      </c>
      <c r="P699" s="15" t="s">
        <v>2099</v>
      </c>
      <c r="Q699" s="15"/>
      <c r="R699" s="15" t="s">
        <v>137</v>
      </c>
    </row>
    <row r="700" spans="1:18" x14ac:dyDescent="0.35">
      <c r="A700" s="15" t="s">
        <v>2100</v>
      </c>
      <c r="B700" s="16">
        <v>45778</v>
      </c>
      <c r="C700" s="15" t="s">
        <v>2098</v>
      </c>
      <c r="D700" s="15">
        <v>2025</v>
      </c>
      <c r="E700" s="15" t="s">
        <v>47</v>
      </c>
      <c r="F700" s="15" t="s">
        <v>131</v>
      </c>
      <c r="G700" s="15" t="s">
        <v>40</v>
      </c>
      <c r="H700" s="15" t="s">
        <v>2048</v>
      </c>
      <c r="I700" s="15" t="s">
        <v>2049</v>
      </c>
      <c r="J700" s="17">
        <v>3000000</v>
      </c>
      <c r="K700" s="15"/>
      <c r="L700" s="15" t="s">
        <v>134</v>
      </c>
      <c r="M700" s="15" t="s">
        <v>76</v>
      </c>
      <c r="N700" s="15" t="s">
        <v>135</v>
      </c>
      <c r="O700" s="15">
        <v>199</v>
      </c>
      <c r="P700" s="15" t="s">
        <v>2099</v>
      </c>
      <c r="Q700" s="15" t="s">
        <v>2101</v>
      </c>
      <c r="R700" s="15" t="s">
        <v>137</v>
      </c>
    </row>
    <row r="701" spans="1:18" x14ac:dyDescent="0.35">
      <c r="A701" s="15" t="s">
        <v>2102</v>
      </c>
      <c r="B701" s="16">
        <v>45778</v>
      </c>
      <c r="C701" s="15" t="s">
        <v>2098</v>
      </c>
      <c r="D701" s="15">
        <v>2025</v>
      </c>
      <c r="E701" s="15" t="s">
        <v>47</v>
      </c>
      <c r="F701" s="15" t="s">
        <v>131</v>
      </c>
      <c r="G701" s="15" t="s">
        <v>40</v>
      </c>
      <c r="H701" s="15" t="s">
        <v>2048</v>
      </c>
      <c r="I701" s="15" t="s">
        <v>2049</v>
      </c>
      <c r="J701" s="17">
        <v>2500000</v>
      </c>
      <c r="K701" s="15"/>
      <c r="L701" s="15" t="s">
        <v>134</v>
      </c>
      <c r="M701" s="15" t="s">
        <v>76</v>
      </c>
      <c r="N701" s="15" t="s">
        <v>135</v>
      </c>
      <c r="O701" s="15">
        <v>200</v>
      </c>
      <c r="P701" s="15" t="s">
        <v>2099</v>
      </c>
      <c r="Q701" s="15"/>
      <c r="R701" s="15" t="s">
        <v>137</v>
      </c>
    </row>
    <row r="702" spans="1:18" x14ac:dyDescent="0.35">
      <c r="A702" s="15" t="s">
        <v>2103</v>
      </c>
      <c r="B702" s="16">
        <v>45779</v>
      </c>
      <c r="C702" s="15" t="s">
        <v>2098</v>
      </c>
      <c r="D702" s="15">
        <v>2025</v>
      </c>
      <c r="E702" s="15" t="s">
        <v>46</v>
      </c>
      <c r="F702" s="15" t="s">
        <v>131</v>
      </c>
      <c r="G702" s="15" t="s">
        <v>36</v>
      </c>
      <c r="H702" s="15" t="s">
        <v>1939</v>
      </c>
      <c r="I702" s="15" t="s">
        <v>1940</v>
      </c>
      <c r="J702" s="17">
        <v>200000</v>
      </c>
      <c r="K702" s="15"/>
      <c r="L702" s="15" t="s">
        <v>134</v>
      </c>
      <c r="M702" s="15" t="s">
        <v>76</v>
      </c>
      <c r="N702" s="15" t="s">
        <v>1879</v>
      </c>
      <c r="O702" s="15">
        <v>11</v>
      </c>
      <c r="P702" s="15" t="s">
        <v>2104</v>
      </c>
      <c r="Q702" s="15"/>
      <c r="R702" s="15" t="s">
        <v>137</v>
      </c>
    </row>
    <row r="703" spans="1:18" x14ac:dyDescent="0.35">
      <c r="A703" s="15" t="s">
        <v>2105</v>
      </c>
      <c r="B703" s="16">
        <v>45779</v>
      </c>
      <c r="C703" s="15" t="s">
        <v>2098</v>
      </c>
      <c r="D703" s="15">
        <v>2025</v>
      </c>
      <c r="E703" s="15" t="s">
        <v>46</v>
      </c>
      <c r="F703" s="15" t="s">
        <v>131</v>
      </c>
      <c r="G703" s="15" t="s">
        <v>36</v>
      </c>
      <c r="H703" s="15" t="s">
        <v>2032</v>
      </c>
      <c r="I703" s="15" t="s">
        <v>2033</v>
      </c>
      <c r="J703" s="17">
        <v>450000</v>
      </c>
      <c r="K703" s="15"/>
      <c r="L703" s="15" t="s">
        <v>134</v>
      </c>
      <c r="M703" s="15" t="s">
        <v>76</v>
      </c>
      <c r="N703" s="15" t="s">
        <v>2034</v>
      </c>
      <c r="O703" s="15">
        <v>10</v>
      </c>
      <c r="P703" s="15" t="s">
        <v>2104</v>
      </c>
      <c r="Q703" s="15"/>
      <c r="R703" s="15" t="s">
        <v>137</v>
      </c>
    </row>
    <row r="704" spans="1:18" x14ac:dyDescent="0.35">
      <c r="A704" s="15" t="s">
        <v>2106</v>
      </c>
      <c r="B704" s="16">
        <v>45784</v>
      </c>
      <c r="C704" s="15" t="s">
        <v>2098</v>
      </c>
      <c r="D704" s="15">
        <v>2025</v>
      </c>
      <c r="E704" s="15" t="s">
        <v>47</v>
      </c>
      <c r="F704" s="15" t="s">
        <v>131</v>
      </c>
      <c r="G704" s="15" t="s">
        <v>40</v>
      </c>
      <c r="H704" s="15" t="s">
        <v>2048</v>
      </c>
      <c r="I704" s="15" t="s">
        <v>2049</v>
      </c>
      <c r="J704" s="17">
        <v>10000000</v>
      </c>
      <c r="K704" s="15"/>
      <c r="L704" s="15" t="s">
        <v>134</v>
      </c>
      <c r="M704" s="15" t="s">
        <v>76</v>
      </c>
      <c r="N704" s="15" t="s">
        <v>1973</v>
      </c>
      <c r="O704" s="15">
        <v>25</v>
      </c>
      <c r="P704" s="15" t="s">
        <v>2107</v>
      </c>
      <c r="Q704" s="15"/>
      <c r="R704" s="15" t="s">
        <v>137</v>
      </c>
    </row>
    <row r="705" spans="1:18" x14ac:dyDescent="0.35">
      <c r="A705" s="15" t="s">
        <v>2108</v>
      </c>
      <c r="B705" s="16">
        <v>45784</v>
      </c>
      <c r="C705" s="15" t="s">
        <v>2098</v>
      </c>
      <c r="D705" s="15">
        <v>2025</v>
      </c>
      <c r="E705" s="15" t="s">
        <v>46</v>
      </c>
      <c r="F705" s="15" t="s">
        <v>131</v>
      </c>
      <c r="G705" s="15" t="s">
        <v>36</v>
      </c>
      <c r="H705" s="15" t="s">
        <v>382</v>
      </c>
      <c r="I705" s="15" t="s">
        <v>497</v>
      </c>
      <c r="J705" s="17">
        <v>400000</v>
      </c>
      <c r="K705" s="15"/>
      <c r="L705" s="15" t="s">
        <v>134</v>
      </c>
      <c r="M705" s="15" t="s">
        <v>76</v>
      </c>
      <c r="N705" s="15" t="s">
        <v>2001</v>
      </c>
      <c r="O705" s="15">
        <v>101</v>
      </c>
      <c r="P705" s="15" t="s">
        <v>2107</v>
      </c>
      <c r="Q705" s="15"/>
      <c r="R705" s="15" t="s">
        <v>137</v>
      </c>
    </row>
    <row r="706" spans="1:18" x14ac:dyDescent="0.35">
      <c r="A706" s="15" t="s">
        <v>2109</v>
      </c>
      <c r="B706" s="16">
        <v>45784</v>
      </c>
      <c r="C706" s="15" t="s">
        <v>2098</v>
      </c>
      <c r="D706" s="15">
        <v>2025</v>
      </c>
      <c r="E706" s="15" t="s">
        <v>46</v>
      </c>
      <c r="F706" s="15" t="s">
        <v>131</v>
      </c>
      <c r="G706" s="15" t="s">
        <v>36</v>
      </c>
      <c r="H706" s="15" t="s">
        <v>1864</v>
      </c>
      <c r="I706" s="15" t="s">
        <v>1865</v>
      </c>
      <c r="J706" s="17">
        <v>300000</v>
      </c>
      <c r="K706" s="15"/>
      <c r="L706" s="15" t="s">
        <v>134</v>
      </c>
      <c r="M706" s="15" t="s">
        <v>76</v>
      </c>
      <c r="N706" s="15" t="s">
        <v>1852</v>
      </c>
      <c r="O706" s="15">
        <v>60</v>
      </c>
      <c r="P706" s="15" t="s">
        <v>2107</v>
      </c>
      <c r="Q706" s="15"/>
      <c r="R706" s="15" t="s">
        <v>137</v>
      </c>
    </row>
    <row r="707" spans="1:18" x14ac:dyDescent="0.35">
      <c r="A707" s="15" t="s">
        <v>2110</v>
      </c>
      <c r="B707" s="16">
        <v>45786</v>
      </c>
      <c r="C707" s="15" t="s">
        <v>2098</v>
      </c>
      <c r="D707" s="15">
        <v>2025</v>
      </c>
      <c r="E707" s="15" t="s">
        <v>47</v>
      </c>
      <c r="F707" s="15" t="s">
        <v>131</v>
      </c>
      <c r="G707" s="15" t="s">
        <v>40</v>
      </c>
      <c r="H707" s="15" t="s">
        <v>1984</v>
      </c>
      <c r="I707" s="15" t="s">
        <v>1985</v>
      </c>
      <c r="J707" s="17">
        <v>2000000</v>
      </c>
      <c r="K707" s="15"/>
      <c r="L707" s="15" t="s">
        <v>134</v>
      </c>
      <c r="M707" s="15" t="s">
        <v>76</v>
      </c>
      <c r="N707" s="15" t="s">
        <v>149</v>
      </c>
      <c r="O707" s="15">
        <v>89</v>
      </c>
      <c r="P707" s="15" t="s">
        <v>2111</v>
      </c>
      <c r="Q707" s="15" t="s">
        <v>2112</v>
      </c>
      <c r="R707" s="15" t="s">
        <v>137</v>
      </c>
    </row>
    <row r="708" spans="1:18" x14ac:dyDescent="0.35">
      <c r="A708" s="15" t="s">
        <v>2113</v>
      </c>
      <c r="B708" s="16">
        <v>45786</v>
      </c>
      <c r="C708" s="15" t="s">
        <v>2098</v>
      </c>
      <c r="D708" s="15">
        <v>2025</v>
      </c>
      <c r="E708" s="15" t="s">
        <v>47</v>
      </c>
      <c r="F708" s="15" t="s">
        <v>131</v>
      </c>
      <c r="G708" s="15" t="s">
        <v>40</v>
      </c>
      <c r="H708" s="15" t="s">
        <v>1984</v>
      </c>
      <c r="I708" s="15" t="s">
        <v>1985</v>
      </c>
      <c r="J708" s="17">
        <v>3000000</v>
      </c>
      <c r="K708" s="15"/>
      <c r="L708" s="15" t="s">
        <v>134</v>
      </c>
      <c r="M708" s="15" t="s">
        <v>76</v>
      </c>
      <c r="N708" s="15" t="s">
        <v>149</v>
      </c>
      <c r="O708" s="15">
        <v>90</v>
      </c>
      <c r="P708" s="15" t="s">
        <v>2111</v>
      </c>
      <c r="Q708" s="15" t="s">
        <v>2114</v>
      </c>
      <c r="R708" s="15" t="s">
        <v>137</v>
      </c>
    </row>
    <row r="709" spans="1:18" x14ac:dyDescent="0.35">
      <c r="A709" s="15" t="s">
        <v>2115</v>
      </c>
      <c r="B709" s="16">
        <v>45790</v>
      </c>
      <c r="C709" s="15" t="s">
        <v>2098</v>
      </c>
      <c r="D709" s="15">
        <v>2025</v>
      </c>
      <c r="E709" s="15" t="s">
        <v>46</v>
      </c>
      <c r="F709" s="15" t="s">
        <v>131</v>
      </c>
      <c r="G709" s="15" t="s">
        <v>36</v>
      </c>
      <c r="H709" s="15" t="s">
        <v>1988</v>
      </c>
      <c r="I709" s="15" t="s">
        <v>1989</v>
      </c>
      <c r="J709" s="17">
        <v>400000</v>
      </c>
      <c r="K709" s="15"/>
      <c r="L709" s="15" t="s">
        <v>134</v>
      </c>
      <c r="M709" s="15" t="s">
        <v>76</v>
      </c>
      <c r="N709" s="15" t="s">
        <v>1990</v>
      </c>
      <c r="O709" s="15">
        <v>11</v>
      </c>
      <c r="P709" s="15" t="s">
        <v>2116</v>
      </c>
      <c r="Q709" s="15"/>
      <c r="R709" s="15" t="s">
        <v>137</v>
      </c>
    </row>
    <row r="710" spans="1:18" x14ac:dyDescent="0.35">
      <c r="A710" s="15" t="s">
        <v>2117</v>
      </c>
      <c r="B710" s="16">
        <v>45791</v>
      </c>
      <c r="C710" s="15" t="s">
        <v>2098</v>
      </c>
      <c r="D710" s="15">
        <v>2025</v>
      </c>
      <c r="E710" s="15" t="s">
        <v>46</v>
      </c>
      <c r="F710" s="15" t="s">
        <v>131</v>
      </c>
      <c r="G710" s="15" t="s">
        <v>36</v>
      </c>
      <c r="H710" s="15" t="s">
        <v>2118</v>
      </c>
      <c r="I710" s="15" t="s">
        <v>2119</v>
      </c>
      <c r="J710" s="17">
        <v>3750000</v>
      </c>
      <c r="K710" s="15"/>
      <c r="L710" s="15" t="s">
        <v>134</v>
      </c>
      <c r="M710" s="15" t="s">
        <v>76</v>
      </c>
      <c r="N710" s="15" t="s">
        <v>135</v>
      </c>
      <c r="O710" s="15">
        <v>197</v>
      </c>
      <c r="P710" s="15" t="s">
        <v>2120</v>
      </c>
      <c r="Q710" s="15"/>
      <c r="R710" s="15" t="s">
        <v>137</v>
      </c>
    </row>
    <row r="711" spans="1:18" x14ac:dyDescent="0.35">
      <c r="A711" s="15" t="s">
        <v>2121</v>
      </c>
      <c r="B711" s="16">
        <v>45794</v>
      </c>
      <c r="C711" s="15" t="s">
        <v>2098</v>
      </c>
      <c r="D711" s="15">
        <v>2025</v>
      </c>
      <c r="E711" s="15" t="s">
        <v>46</v>
      </c>
      <c r="F711" s="15" t="s">
        <v>131</v>
      </c>
      <c r="G711" s="15" t="s">
        <v>36</v>
      </c>
      <c r="H711" s="15" t="s">
        <v>2028</v>
      </c>
      <c r="I711" s="15" t="s">
        <v>2029</v>
      </c>
      <c r="J711" s="17">
        <v>500000</v>
      </c>
      <c r="K711" s="15"/>
      <c r="L711" s="15" t="s">
        <v>134</v>
      </c>
      <c r="M711" s="15" t="s">
        <v>76</v>
      </c>
      <c r="N711" s="15" t="s">
        <v>1788</v>
      </c>
      <c r="O711" s="15">
        <v>72</v>
      </c>
      <c r="P711" s="15" t="s">
        <v>2122</v>
      </c>
      <c r="Q711" s="15"/>
      <c r="R711" s="15" t="s">
        <v>137</v>
      </c>
    </row>
    <row r="712" spans="1:18" x14ac:dyDescent="0.35">
      <c r="A712" s="15" t="s">
        <v>2123</v>
      </c>
      <c r="B712" s="16">
        <v>45796</v>
      </c>
      <c r="C712" s="15" t="s">
        <v>2098</v>
      </c>
      <c r="D712" s="15">
        <v>2025</v>
      </c>
      <c r="E712" s="15" t="s">
        <v>46</v>
      </c>
      <c r="F712" s="15" t="s">
        <v>131</v>
      </c>
      <c r="G712" s="15" t="s">
        <v>36</v>
      </c>
      <c r="H712" s="15" t="s">
        <v>382</v>
      </c>
      <c r="I712" s="15" t="s">
        <v>497</v>
      </c>
      <c r="J712" s="17">
        <v>400000</v>
      </c>
      <c r="K712" s="15"/>
      <c r="L712" s="15" t="s">
        <v>134</v>
      </c>
      <c r="M712" s="15" t="s">
        <v>76</v>
      </c>
      <c r="N712" s="15" t="s">
        <v>2001</v>
      </c>
      <c r="O712" s="15">
        <v>107</v>
      </c>
      <c r="P712" s="15" t="s">
        <v>2124</v>
      </c>
      <c r="Q712" s="15"/>
      <c r="R712" s="15" t="s">
        <v>137</v>
      </c>
    </row>
    <row r="713" spans="1:18" x14ac:dyDescent="0.35">
      <c r="A713" s="15" t="s">
        <v>2125</v>
      </c>
      <c r="B713" s="16">
        <v>45799</v>
      </c>
      <c r="C713" s="15" t="s">
        <v>2098</v>
      </c>
      <c r="D713" s="15">
        <v>2025</v>
      </c>
      <c r="E713" s="15" t="s">
        <v>46</v>
      </c>
      <c r="F713" s="15" t="s">
        <v>131</v>
      </c>
      <c r="G713" s="15" t="s">
        <v>36</v>
      </c>
      <c r="H713" s="15" t="s">
        <v>1969</v>
      </c>
      <c r="I713" s="15" t="s">
        <v>1970</v>
      </c>
      <c r="J713" s="17">
        <v>550000</v>
      </c>
      <c r="K713" s="15"/>
      <c r="L713" s="15" t="s">
        <v>134</v>
      </c>
      <c r="M713" s="15" t="s">
        <v>76</v>
      </c>
      <c r="N713" s="15" t="s">
        <v>175</v>
      </c>
      <c r="O713" s="15">
        <v>142</v>
      </c>
      <c r="P713" s="15" t="s">
        <v>2126</v>
      </c>
      <c r="Q713" s="15"/>
      <c r="R713" s="15" t="s">
        <v>137</v>
      </c>
    </row>
    <row r="714" spans="1:18" x14ac:dyDescent="0.35">
      <c r="A714" s="15" t="s">
        <v>2127</v>
      </c>
      <c r="B714" s="16">
        <v>45799</v>
      </c>
      <c r="C714" s="15" t="s">
        <v>2098</v>
      </c>
      <c r="D714" s="15">
        <v>2025</v>
      </c>
      <c r="E714" s="15" t="s">
        <v>46</v>
      </c>
      <c r="F714" s="15" t="s">
        <v>131</v>
      </c>
      <c r="G714" s="15" t="s">
        <v>36</v>
      </c>
      <c r="H714" s="15" t="s">
        <v>620</v>
      </c>
      <c r="I714" s="15" t="s">
        <v>825</v>
      </c>
      <c r="J714" s="17">
        <v>1000000</v>
      </c>
      <c r="K714" s="15"/>
      <c r="L714" s="15" t="s">
        <v>134</v>
      </c>
      <c r="M714" s="15" t="s">
        <v>76</v>
      </c>
      <c r="N714" s="15" t="s">
        <v>1830</v>
      </c>
      <c r="O714" s="15">
        <v>86</v>
      </c>
      <c r="P714" s="15" t="s">
        <v>2126</v>
      </c>
      <c r="Q714" s="15"/>
      <c r="R714" s="15" t="s">
        <v>137</v>
      </c>
    </row>
    <row r="715" spans="1:18" x14ac:dyDescent="0.35">
      <c r="A715" s="15" t="s">
        <v>2128</v>
      </c>
      <c r="B715" s="16">
        <v>45799</v>
      </c>
      <c r="C715" s="15" t="s">
        <v>2098</v>
      </c>
      <c r="D715" s="15">
        <v>2025</v>
      </c>
      <c r="E715" s="15" t="s">
        <v>47</v>
      </c>
      <c r="F715" s="15" t="s">
        <v>131</v>
      </c>
      <c r="G715" s="15" t="s">
        <v>40</v>
      </c>
      <c r="H715" s="15" t="s">
        <v>1849</v>
      </c>
      <c r="I715" s="15" t="s">
        <v>1850</v>
      </c>
      <c r="J715" s="17">
        <v>4750000</v>
      </c>
      <c r="K715" s="15"/>
      <c r="L715" s="15" t="s">
        <v>134</v>
      </c>
      <c r="M715" s="15" t="s">
        <v>76</v>
      </c>
      <c r="N715" s="15" t="s">
        <v>1790</v>
      </c>
      <c r="O715" s="15">
        <v>186</v>
      </c>
      <c r="P715" s="15" t="s">
        <v>2126</v>
      </c>
      <c r="Q715" s="15"/>
      <c r="R715" s="15" t="s">
        <v>137</v>
      </c>
    </row>
    <row r="716" spans="1:18" x14ac:dyDescent="0.35">
      <c r="A716" s="15" t="s">
        <v>2129</v>
      </c>
      <c r="B716" s="16">
        <v>45804</v>
      </c>
      <c r="C716" s="15" t="s">
        <v>2098</v>
      </c>
      <c r="D716" s="15">
        <v>2025</v>
      </c>
      <c r="E716" s="15" t="s">
        <v>47</v>
      </c>
      <c r="F716" s="15" t="s">
        <v>131</v>
      </c>
      <c r="G716" s="15" t="s">
        <v>40</v>
      </c>
      <c r="H716" s="15" t="s">
        <v>2048</v>
      </c>
      <c r="I716" s="15" t="s">
        <v>2049</v>
      </c>
      <c r="J716" s="17">
        <v>3000000</v>
      </c>
      <c r="K716" s="15"/>
      <c r="L716" s="15" t="s">
        <v>134</v>
      </c>
      <c r="M716" s="15" t="s">
        <v>76</v>
      </c>
      <c r="N716" s="15" t="s">
        <v>135</v>
      </c>
      <c r="O716" s="15">
        <v>201</v>
      </c>
      <c r="P716" s="15" t="s">
        <v>2130</v>
      </c>
      <c r="Q716" s="15"/>
      <c r="R716" s="15" t="s">
        <v>137</v>
      </c>
    </row>
    <row r="717" spans="1:18" x14ac:dyDescent="0.35">
      <c r="A717" s="15" t="s">
        <v>2131</v>
      </c>
      <c r="B717" s="16">
        <v>45804</v>
      </c>
      <c r="C717" s="15" t="s">
        <v>2098</v>
      </c>
      <c r="D717" s="15">
        <v>2025</v>
      </c>
      <c r="E717" s="15" t="s">
        <v>46</v>
      </c>
      <c r="F717" s="15" t="s">
        <v>131</v>
      </c>
      <c r="G717" s="15" t="s">
        <v>36</v>
      </c>
      <c r="H717" s="15" t="s">
        <v>1988</v>
      </c>
      <c r="I717" s="15" t="s">
        <v>1989</v>
      </c>
      <c r="J717" s="17">
        <v>600000</v>
      </c>
      <c r="K717" s="15"/>
      <c r="L717" s="15" t="s">
        <v>134</v>
      </c>
      <c r="M717" s="15" t="s">
        <v>76</v>
      </c>
      <c r="N717" s="15" t="s">
        <v>1990</v>
      </c>
      <c r="O717" s="15">
        <v>12</v>
      </c>
      <c r="P717" s="15" t="s">
        <v>2130</v>
      </c>
      <c r="Q717" s="15"/>
      <c r="R717" s="15" t="s">
        <v>137</v>
      </c>
    </row>
    <row r="718" spans="1:18" x14ac:dyDescent="0.35">
      <c r="A718" s="15" t="s">
        <v>2132</v>
      </c>
      <c r="B718" s="16">
        <v>45806</v>
      </c>
      <c r="C718" s="15" t="s">
        <v>2098</v>
      </c>
      <c r="D718" s="15">
        <v>2025</v>
      </c>
      <c r="E718" s="15" t="s">
        <v>47</v>
      </c>
      <c r="F718" s="15" t="s">
        <v>131</v>
      </c>
      <c r="G718" s="15" t="s">
        <v>35</v>
      </c>
      <c r="H718" s="15" t="s">
        <v>1410</v>
      </c>
      <c r="I718" s="15" t="s">
        <v>1411</v>
      </c>
      <c r="J718" s="17">
        <v>5900000</v>
      </c>
      <c r="K718" s="15"/>
      <c r="L718" s="15" t="s">
        <v>134</v>
      </c>
      <c r="M718" s="15" t="s">
        <v>76</v>
      </c>
      <c r="N718" s="15" t="s">
        <v>1788</v>
      </c>
      <c r="O718" s="15">
        <v>75</v>
      </c>
      <c r="P718" s="15" t="s">
        <v>2133</v>
      </c>
      <c r="Q718" s="15"/>
      <c r="R718" s="15" t="s">
        <v>137</v>
      </c>
    </row>
    <row r="719" spans="1:18" x14ac:dyDescent="0.35">
      <c r="A719" s="15" t="s">
        <v>2134</v>
      </c>
      <c r="B719" s="16">
        <v>45807</v>
      </c>
      <c r="C719" s="15" t="s">
        <v>2098</v>
      </c>
      <c r="D719" s="15">
        <v>2025</v>
      </c>
      <c r="E719" s="15" t="s">
        <v>46</v>
      </c>
      <c r="F719" s="15" t="s">
        <v>131</v>
      </c>
      <c r="G719" s="15" t="s">
        <v>36</v>
      </c>
      <c r="H719" s="15" t="s">
        <v>2028</v>
      </c>
      <c r="I719" s="15" t="s">
        <v>2029</v>
      </c>
      <c r="J719" s="17">
        <v>200000</v>
      </c>
      <c r="K719" s="15"/>
      <c r="L719" s="15" t="s">
        <v>134</v>
      </c>
      <c r="M719" s="15" t="s">
        <v>76</v>
      </c>
      <c r="N719" s="15" t="s">
        <v>1788</v>
      </c>
      <c r="O719" s="15">
        <v>74</v>
      </c>
      <c r="P719" s="15" t="s">
        <v>2135</v>
      </c>
      <c r="Q719" s="15"/>
      <c r="R719" s="15" t="s">
        <v>137</v>
      </c>
    </row>
    <row r="720" spans="1:18" x14ac:dyDescent="0.35">
      <c r="A720" s="15" t="s">
        <v>2136</v>
      </c>
      <c r="B720" s="16">
        <v>45807</v>
      </c>
      <c r="C720" s="15" t="s">
        <v>2098</v>
      </c>
      <c r="D720" s="15">
        <v>2025</v>
      </c>
      <c r="E720" s="15" t="s">
        <v>47</v>
      </c>
      <c r="F720" s="15" t="s">
        <v>131</v>
      </c>
      <c r="G720" s="15" t="s">
        <v>42</v>
      </c>
      <c r="H720" s="15" t="s">
        <v>1977</v>
      </c>
      <c r="I720" s="15" t="s">
        <v>1978</v>
      </c>
      <c r="J720" s="17">
        <v>3000000</v>
      </c>
      <c r="K720" s="15"/>
      <c r="L720" s="15" t="s">
        <v>134</v>
      </c>
      <c r="M720" s="15" t="s">
        <v>76</v>
      </c>
      <c r="N720" s="15" t="s">
        <v>1979</v>
      </c>
      <c r="O720" s="15">
        <v>17</v>
      </c>
      <c r="P720" s="15" t="s">
        <v>2135</v>
      </c>
      <c r="Q720" s="15"/>
      <c r="R720" s="15" t="s">
        <v>137</v>
      </c>
    </row>
    <row r="721" spans="1:18" x14ac:dyDescent="0.35">
      <c r="A721" s="15" t="s">
        <v>2137</v>
      </c>
      <c r="B721" s="16">
        <v>45809</v>
      </c>
      <c r="C721" s="15" t="s">
        <v>2138</v>
      </c>
      <c r="D721" s="15">
        <v>2025</v>
      </c>
      <c r="E721" s="15" t="s">
        <v>46</v>
      </c>
      <c r="F721" s="15" t="s">
        <v>131</v>
      </c>
      <c r="G721" s="15" t="s">
        <v>36</v>
      </c>
      <c r="H721" s="15" t="s">
        <v>620</v>
      </c>
      <c r="I721" s="15" t="s">
        <v>825</v>
      </c>
      <c r="J721" s="17">
        <v>500000</v>
      </c>
      <c r="K721" s="15"/>
      <c r="L721" s="15" t="s">
        <v>134</v>
      </c>
      <c r="M721" s="15" t="s">
        <v>76</v>
      </c>
      <c r="N721" s="15" t="s">
        <v>1830</v>
      </c>
      <c r="O721" s="15">
        <v>93</v>
      </c>
      <c r="P721" s="15" t="s">
        <v>2139</v>
      </c>
      <c r="Q721" s="15"/>
      <c r="R721" s="15" t="s">
        <v>137</v>
      </c>
    </row>
    <row r="722" spans="1:18" x14ac:dyDescent="0.35">
      <c r="A722" s="15" t="s">
        <v>2140</v>
      </c>
      <c r="B722" s="16">
        <v>45810</v>
      </c>
      <c r="C722" s="15" t="s">
        <v>2138</v>
      </c>
      <c r="D722" s="15">
        <v>2025</v>
      </c>
      <c r="E722" s="15" t="s">
        <v>47</v>
      </c>
      <c r="F722" s="15" t="s">
        <v>131</v>
      </c>
      <c r="G722" s="15" t="s">
        <v>40</v>
      </c>
      <c r="H722" s="15" t="s">
        <v>1755</v>
      </c>
      <c r="I722" s="15" t="s">
        <v>1756</v>
      </c>
      <c r="J722" s="17">
        <v>5000000</v>
      </c>
      <c r="K722" s="15"/>
      <c r="L722" s="15" t="s">
        <v>134</v>
      </c>
      <c r="M722" s="15" t="s">
        <v>76</v>
      </c>
      <c r="N722" s="15" t="s">
        <v>1973</v>
      </c>
      <c r="O722" s="15">
        <v>37</v>
      </c>
      <c r="P722" s="15" t="s">
        <v>2141</v>
      </c>
      <c r="Q722" s="15" t="s">
        <v>2142</v>
      </c>
      <c r="R722" s="15" t="s">
        <v>137</v>
      </c>
    </row>
    <row r="723" spans="1:18" x14ac:dyDescent="0.35">
      <c r="A723" s="15" t="s">
        <v>2143</v>
      </c>
      <c r="B723" s="16">
        <v>45812</v>
      </c>
      <c r="C723" s="15" t="s">
        <v>2138</v>
      </c>
      <c r="D723" s="15">
        <v>2025</v>
      </c>
      <c r="E723" s="15" t="s">
        <v>47</v>
      </c>
      <c r="F723" s="15" t="s">
        <v>131</v>
      </c>
      <c r="G723" s="15" t="s">
        <v>40</v>
      </c>
      <c r="H723" s="15" t="s">
        <v>1984</v>
      </c>
      <c r="I723" s="15" t="s">
        <v>1985</v>
      </c>
      <c r="J723" s="17">
        <v>2100000</v>
      </c>
      <c r="K723" s="15"/>
      <c r="L723" s="15" t="s">
        <v>134</v>
      </c>
      <c r="M723" s="15" t="s">
        <v>76</v>
      </c>
      <c r="N723" s="15" t="s">
        <v>149</v>
      </c>
      <c r="O723" s="15">
        <v>97</v>
      </c>
      <c r="P723" s="15" t="s">
        <v>2144</v>
      </c>
      <c r="Q723" s="15" t="s">
        <v>2145</v>
      </c>
      <c r="R723" s="15" t="s">
        <v>137</v>
      </c>
    </row>
    <row r="724" spans="1:18" x14ac:dyDescent="0.35">
      <c r="A724" s="15" t="s">
        <v>2146</v>
      </c>
      <c r="B724" s="16">
        <v>45813</v>
      </c>
      <c r="C724" s="15" t="s">
        <v>2138</v>
      </c>
      <c r="D724" s="15">
        <v>2025</v>
      </c>
      <c r="E724" s="15" t="s">
        <v>46</v>
      </c>
      <c r="F724" s="15" t="s">
        <v>131</v>
      </c>
      <c r="G724" s="15" t="s">
        <v>36</v>
      </c>
      <c r="H724" s="15" t="s">
        <v>1988</v>
      </c>
      <c r="I724" s="15" t="s">
        <v>1989</v>
      </c>
      <c r="J724" s="17">
        <v>1000000</v>
      </c>
      <c r="K724" s="15"/>
      <c r="L724" s="15" t="s">
        <v>134</v>
      </c>
      <c r="M724" s="15" t="s">
        <v>76</v>
      </c>
      <c r="N724" s="15" t="s">
        <v>1990</v>
      </c>
      <c r="O724" s="15">
        <v>19</v>
      </c>
      <c r="P724" s="15" t="s">
        <v>2147</v>
      </c>
      <c r="Q724" s="15"/>
      <c r="R724" s="15" t="s">
        <v>137</v>
      </c>
    </row>
    <row r="725" spans="1:18" x14ac:dyDescent="0.35">
      <c r="A725" s="15" t="s">
        <v>2148</v>
      </c>
      <c r="B725" s="16">
        <v>45813</v>
      </c>
      <c r="C725" s="15" t="s">
        <v>2138</v>
      </c>
      <c r="D725" s="15">
        <v>2025</v>
      </c>
      <c r="E725" s="15" t="s">
        <v>46</v>
      </c>
      <c r="F725" s="15" t="s">
        <v>131</v>
      </c>
      <c r="G725" s="15" t="s">
        <v>36</v>
      </c>
      <c r="H725" s="15" t="s">
        <v>2032</v>
      </c>
      <c r="I725" s="15" t="s">
        <v>2033</v>
      </c>
      <c r="J725" s="17">
        <v>450000</v>
      </c>
      <c r="K725" s="15"/>
      <c r="L725" s="15" t="s">
        <v>134</v>
      </c>
      <c r="M725" s="15" t="s">
        <v>76</v>
      </c>
      <c r="N725" s="15" t="s">
        <v>2034</v>
      </c>
      <c r="O725" s="15">
        <v>17</v>
      </c>
      <c r="P725" s="15" t="s">
        <v>2147</v>
      </c>
      <c r="Q725" s="15"/>
      <c r="R725" s="15" t="s">
        <v>137</v>
      </c>
    </row>
    <row r="726" spans="1:18" x14ac:dyDescent="0.35">
      <c r="A726" s="15" t="s">
        <v>2149</v>
      </c>
      <c r="B726" s="16">
        <v>45813</v>
      </c>
      <c r="C726" s="15" t="s">
        <v>2138</v>
      </c>
      <c r="D726" s="15">
        <v>2025</v>
      </c>
      <c r="E726" s="15" t="s">
        <v>47</v>
      </c>
      <c r="F726" s="15" t="s">
        <v>131</v>
      </c>
      <c r="G726" s="15" t="s">
        <v>40</v>
      </c>
      <c r="H726" s="15" t="s">
        <v>1984</v>
      </c>
      <c r="I726" s="15" t="s">
        <v>1985</v>
      </c>
      <c r="J726" s="17">
        <v>1500000</v>
      </c>
      <c r="K726" s="15"/>
      <c r="L726" s="15" t="s">
        <v>134</v>
      </c>
      <c r="M726" s="15" t="s">
        <v>76</v>
      </c>
      <c r="N726" s="15" t="s">
        <v>149</v>
      </c>
      <c r="O726" s="15">
        <v>98</v>
      </c>
      <c r="P726" s="15" t="s">
        <v>2147</v>
      </c>
      <c r="Q726" s="15" t="s">
        <v>2150</v>
      </c>
      <c r="R726" s="15" t="s">
        <v>137</v>
      </c>
    </row>
    <row r="727" spans="1:18" x14ac:dyDescent="0.35">
      <c r="A727" s="15" t="s">
        <v>2151</v>
      </c>
      <c r="B727" s="16">
        <v>45815</v>
      </c>
      <c r="C727" s="15" t="s">
        <v>2138</v>
      </c>
      <c r="D727" s="15">
        <v>2025</v>
      </c>
      <c r="E727" s="15" t="s">
        <v>47</v>
      </c>
      <c r="F727" s="15" t="s">
        <v>131</v>
      </c>
      <c r="G727" s="15" t="s">
        <v>42</v>
      </c>
      <c r="H727" s="15" t="s">
        <v>1977</v>
      </c>
      <c r="I727" s="15" t="s">
        <v>1978</v>
      </c>
      <c r="J727" s="17">
        <v>11000000</v>
      </c>
      <c r="K727" s="15"/>
      <c r="L727" s="15" t="s">
        <v>134</v>
      </c>
      <c r="M727" s="15" t="s">
        <v>76</v>
      </c>
      <c r="N727" s="15" t="s">
        <v>1979</v>
      </c>
      <c r="O727" s="15">
        <v>23</v>
      </c>
      <c r="P727" s="15" t="s">
        <v>2152</v>
      </c>
      <c r="Q727" s="15"/>
      <c r="R727" s="15" t="s">
        <v>137</v>
      </c>
    </row>
    <row r="728" spans="1:18" x14ac:dyDescent="0.35">
      <c r="A728" s="15" t="s">
        <v>2153</v>
      </c>
      <c r="B728" s="16">
        <v>45818</v>
      </c>
      <c r="C728" s="15" t="s">
        <v>2138</v>
      </c>
      <c r="D728" s="15">
        <v>2025</v>
      </c>
      <c r="E728" s="15" t="s">
        <v>47</v>
      </c>
      <c r="F728" s="15" t="s">
        <v>131</v>
      </c>
      <c r="G728" s="15" t="s">
        <v>40</v>
      </c>
      <c r="H728" s="15" t="s">
        <v>1849</v>
      </c>
      <c r="I728" s="15" t="s">
        <v>1850</v>
      </c>
      <c r="J728" s="17">
        <v>4750000</v>
      </c>
      <c r="K728" s="15"/>
      <c r="L728" s="15" t="s">
        <v>134</v>
      </c>
      <c r="M728" s="15" t="s">
        <v>76</v>
      </c>
      <c r="N728" s="15" t="s">
        <v>1790</v>
      </c>
      <c r="O728" s="15">
        <v>199</v>
      </c>
      <c r="P728" s="15" t="s">
        <v>2154</v>
      </c>
      <c r="Q728" s="15"/>
      <c r="R728" s="15" t="s">
        <v>137</v>
      </c>
    </row>
    <row r="729" spans="1:18" x14ac:dyDescent="0.35">
      <c r="A729" s="15" t="s">
        <v>2155</v>
      </c>
      <c r="B729" s="16">
        <v>45819</v>
      </c>
      <c r="C729" s="15" t="s">
        <v>2138</v>
      </c>
      <c r="D729" s="15">
        <v>2025</v>
      </c>
      <c r="E729" s="15" t="s">
        <v>46</v>
      </c>
      <c r="F729" s="15" t="s">
        <v>131</v>
      </c>
      <c r="G729" s="15" t="s">
        <v>36</v>
      </c>
      <c r="H729" s="15" t="s">
        <v>2118</v>
      </c>
      <c r="I729" s="15" t="s">
        <v>2119</v>
      </c>
      <c r="J729" s="17">
        <v>1250000</v>
      </c>
      <c r="K729" s="15"/>
      <c r="L729" s="15" t="s">
        <v>134</v>
      </c>
      <c r="M729" s="15" t="s">
        <v>76</v>
      </c>
      <c r="N729" s="15" t="s">
        <v>135</v>
      </c>
      <c r="O729" s="15">
        <v>209</v>
      </c>
      <c r="P729" s="15" t="s">
        <v>2156</v>
      </c>
      <c r="Q729" s="15"/>
      <c r="R729" s="15" t="s">
        <v>137</v>
      </c>
    </row>
    <row r="730" spans="1:18" x14ac:dyDescent="0.35">
      <c r="A730" s="15" t="s">
        <v>2157</v>
      </c>
      <c r="B730" s="16">
        <v>45819</v>
      </c>
      <c r="C730" s="15" t="s">
        <v>2138</v>
      </c>
      <c r="D730" s="15">
        <v>2025</v>
      </c>
      <c r="E730" s="15" t="s">
        <v>46</v>
      </c>
      <c r="F730" s="15" t="s">
        <v>131</v>
      </c>
      <c r="G730" s="15" t="s">
        <v>36</v>
      </c>
      <c r="H730" s="15" t="s">
        <v>2158</v>
      </c>
      <c r="I730" s="15" t="s">
        <v>2159</v>
      </c>
      <c r="J730" s="17">
        <v>4000000</v>
      </c>
      <c r="K730" s="15"/>
      <c r="L730" s="15" t="s">
        <v>134</v>
      </c>
      <c r="M730" s="15" t="s">
        <v>76</v>
      </c>
      <c r="N730" s="15" t="s">
        <v>135</v>
      </c>
      <c r="O730" s="15">
        <v>210</v>
      </c>
      <c r="P730" s="15" t="s">
        <v>2156</v>
      </c>
      <c r="Q730" s="15"/>
      <c r="R730" s="15" t="s">
        <v>137</v>
      </c>
    </row>
    <row r="731" spans="1:18" x14ac:dyDescent="0.35">
      <c r="A731" s="15" t="s">
        <v>2160</v>
      </c>
      <c r="B731" s="16">
        <v>45821</v>
      </c>
      <c r="C731" s="15" t="s">
        <v>2138</v>
      </c>
      <c r="D731" s="15">
        <v>2025</v>
      </c>
      <c r="E731" s="15" t="s">
        <v>46</v>
      </c>
      <c r="F731" s="15" t="s">
        <v>131</v>
      </c>
      <c r="G731" s="15" t="s">
        <v>36</v>
      </c>
      <c r="H731" s="15" t="s">
        <v>620</v>
      </c>
      <c r="I731" s="15" t="s">
        <v>825</v>
      </c>
      <c r="J731" s="17">
        <v>700000</v>
      </c>
      <c r="K731" s="15"/>
      <c r="L731" s="15" t="s">
        <v>134</v>
      </c>
      <c r="M731" s="15" t="s">
        <v>76</v>
      </c>
      <c r="N731" s="15" t="s">
        <v>1830</v>
      </c>
      <c r="O731" s="15">
        <v>94</v>
      </c>
      <c r="P731" s="15" t="s">
        <v>2161</v>
      </c>
      <c r="Q731" s="15"/>
      <c r="R731" s="15" t="s">
        <v>137</v>
      </c>
    </row>
    <row r="732" spans="1:18" x14ac:dyDescent="0.35">
      <c r="A732" s="15" t="s">
        <v>2162</v>
      </c>
      <c r="B732" s="16">
        <v>45824</v>
      </c>
      <c r="C732" s="15" t="s">
        <v>2138</v>
      </c>
      <c r="D732" s="15">
        <v>2025</v>
      </c>
      <c r="E732" s="15" t="s">
        <v>47</v>
      </c>
      <c r="F732" s="15" t="s">
        <v>131</v>
      </c>
      <c r="G732" s="15" t="s">
        <v>40</v>
      </c>
      <c r="H732" s="15" t="s">
        <v>1984</v>
      </c>
      <c r="I732" s="15" t="s">
        <v>1985</v>
      </c>
      <c r="J732" s="17">
        <v>1400000</v>
      </c>
      <c r="K732" s="15"/>
      <c r="L732" s="15" t="s">
        <v>134</v>
      </c>
      <c r="M732" s="15" t="s">
        <v>76</v>
      </c>
      <c r="N732" s="15" t="s">
        <v>149</v>
      </c>
      <c r="O732" s="15">
        <v>99</v>
      </c>
      <c r="P732" s="15" t="s">
        <v>2163</v>
      </c>
      <c r="Q732" s="15" t="s">
        <v>2164</v>
      </c>
      <c r="R732" s="15" t="s">
        <v>137</v>
      </c>
    </row>
    <row r="733" spans="1:18" x14ac:dyDescent="0.35">
      <c r="A733" s="15" t="s">
        <v>2165</v>
      </c>
      <c r="B733" s="16">
        <v>45826</v>
      </c>
      <c r="C733" s="15" t="s">
        <v>2138</v>
      </c>
      <c r="D733" s="15">
        <v>2025</v>
      </c>
      <c r="E733" s="15" t="s">
        <v>46</v>
      </c>
      <c r="F733" s="15" t="s">
        <v>131</v>
      </c>
      <c r="G733" s="15" t="s">
        <v>36</v>
      </c>
      <c r="H733" s="15" t="s">
        <v>1939</v>
      </c>
      <c r="I733" s="15" t="s">
        <v>1940</v>
      </c>
      <c r="J733" s="17">
        <v>200000</v>
      </c>
      <c r="K733" s="15"/>
      <c r="L733" s="15" t="s">
        <v>134</v>
      </c>
      <c r="M733" s="15" t="s">
        <v>76</v>
      </c>
      <c r="N733" s="15" t="s">
        <v>1879</v>
      </c>
      <c r="O733" s="15">
        <v>19</v>
      </c>
      <c r="P733" s="15" t="s">
        <v>2166</v>
      </c>
      <c r="Q733" s="15"/>
      <c r="R733" s="15" t="s">
        <v>137</v>
      </c>
    </row>
    <row r="734" spans="1:18" x14ac:dyDescent="0.35">
      <c r="A734" s="15" t="s">
        <v>2167</v>
      </c>
      <c r="B734" s="16">
        <v>45828</v>
      </c>
      <c r="C734" s="15" t="s">
        <v>2138</v>
      </c>
      <c r="D734" s="15">
        <v>2025</v>
      </c>
      <c r="E734" s="15" t="s">
        <v>47</v>
      </c>
      <c r="F734" s="15" t="s">
        <v>131</v>
      </c>
      <c r="G734" s="15" t="s">
        <v>35</v>
      </c>
      <c r="H734" s="15" t="s">
        <v>1410</v>
      </c>
      <c r="I734" s="15" t="s">
        <v>1411</v>
      </c>
      <c r="J734" s="17">
        <v>5000000</v>
      </c>
      <c r="K734" s="15"/>
      <c r="L734" s="15" t="s">
        <v>134</v>
      </c>
      <c r="M734" s="15" t="s">
        <v>76</v>
      </c>
      <c r="N734" s="15" t="s">
        <v>1788</v>
      </c>
      <c r="O734" s="15">
        <v>81</v>
      </c>
      <c r="P734" s="15" t="s">
        <v>2168</v>
      </c>
      <c r="Q734" s="15"/>
      <c r="R734" s="15" t="s">
        <v>137</v>
      </c>
    </row>
    <row r="735" spans="1:18" x14ac:dyDescent="0.35">
      <c r="A735" s="15" t="s">
        <v>2169</v>
      </c>
      <c r="B735" s="16">
        <v>45829</v>
      </c>
      <c r="C735" s="15" t="s">
        <v>2138</v>
      </c>
      <c r="D735" s="15">
        <v>2025</v>
      </c>
      <c r="E735" s="15" t="s">
        <v>47</v>
      </c>
      <c r="F735" s="15" t="s">
        <v>131</v>
      </c>
      <c r="G735" s="15" t="s">
        <v>35</v>
      </c>
      <c r="H735" s="15" t="s">
        <v>2070</v>
      </c>
      <c r="I735" s="15" t="s">
        <v>2071</v>
      </c>
      <c r="J735" s="17">
        <v>5000000</v>
      </c>
      <c r="K735" s="15"/>
      <c r="L735" s="15" t="s">
        <v>134</v>
      </c>
      <c r="M735" s="15" t="s">
        <v>76</v>
      </c>
      <c r="N735" s="15" t="s">
        <v>1800</v>
      </c>
      <c r="O735" s="15">
        <v>178</v>
      </c>
      <c r="P735" s="15" t="s">
        <v>2170</v>
      </c>
      <c r="Q735" s="15"/>
      <c r="R735" s="15" t="s">
        <v>137</v>
      </c>
    </row>
    <row r="736" spans="1:18" x14ac:dyDescent="0.35">
      <c r="A736" s="15" t="s">
        <v>2171</v>
      </c>
      <c r="B736" s="16">
        <v>45831</v>
      </c>
      <c r="C736" s="15" t="s">
        <v>2138</v>
      </c>
      <c r="D736" s="15">
        <v>2025</v>
      </c>
      <c r="E736" s="15" t="s">
        <v>47</v>
      </c>
      <c r="F736" s="15" t="s">
        <v>131</v>
      </c>
      <c r="G736" s="15" t="s">
        <v>35</v>
      </c>
      <c r="H736" s="15" t="s">
        <v>1410</v>
      </c>
      <c r="I736" s="15" t="s">
        <v>1411</v>
      </c>
      <c r="J736" s="17">
        <v>900000</v>
      </c>
      <c r="K736" s="15"/>
      <c r="L736" s="15" t="s">
        <v>134</v>
      </c>
      <c r="M736" s="15" t="s">
        <v>76</v>
      </c>
      <c r="N736" s="15" t="s">
        <v>1788</v>
      </c>
      <c r="O736" s="15">
        <v>82</v>
      </c>
      <c r="P736" s="15" t="s">
        <v>2172</v>
      </c>
      <c r="Q736" s="15"/>
      <c r="R736" s="15" t="s">
        <v>137</v>
      </c>
    </row>
    <row r="737" spans="1:18" x14ac:dyDescent="0.35">
      <c r="A737" s="15" t="s">
        <v>2173</v>
      </c>
      <c r="B737" s="16">
        <v>45831</v>
      </c>
      <c r="C737" s="15" t="s">
        <v>2138</v>
      </c>
      <c r="D737" s="15">
        <v>2025</v>
      </c>
      <c r="E737" s="15" t="s">
        <v>47</v>
      </c>
      <c r="F737" s="15" t="s">
        <v>131</v>
      </c>
      <c r="G737" s="15" t="s">
        <v>35</v>
      </c>
      <c r="H737" s="15" t="s">
        <v>2070</v>
      </c>
      <c r="I737" s="15" t="s">
        <v>2071</v>
      </c>
      <c r="J737" s="17">
        <v>7300000</v>
      </c>
      <c r="K737" s="15"/>
      <c r="L737" s="15" t="s">
        <v>134</v>
      </c>
      <c r="M737" s="15" t="s">
        <v>76</v>
      </c>
      <c r="N737" s="15" t="s">
        <v>1800</v>
      </c>
      <c r="O737" s="15">
        <v>179</v>
      </c>
      <c r="P737" s="15" t="s">
        <v>2172</v>
      </c>
      <c r="Q737" s="15"/>
      <c r="R737" s="15" t="s">
        <v>137</v>
      </c>
    </row>
    <row r="738" spans="1:18" x14ac:dyDescent="0.35">
      <c r="A738" s="15" t="s">
        <v>2174</v>
      </c>
      <c r="B738" s="16">
        <v>45832</v>
      </c>
      <c r="C738" s="15" t="s">
        <v>2138</v>
      </c>
      <c r="D738" s="15">
        <v>2025</v>
      </c>
      <c r="E738" s="15" t="s">
        <v>46</v>
      </c>
      <c r="F738" s="15" t="s">
        <v>131</v>
      </c>
      <c r="G738" s="15" t="s">
        <v>36</v>
      </c>
      <c r="H738" s="15" t="s">
        <v>1969</v>
      </c>
      <c r="I738" s="15" t="s">
        <v>1970</v>
      </c>
      <c r="J738" s="17">
        <v>500000</v>
      </c>
      <c r="K738" s="15"/>
      <c r="L738" s="15" t="s">
        <v>134</v>
      </c>
      <c r="M738" s="15" t="s">
        <v>76</v>
      </c>
      <c r="N738" s="15" t="s">
        <v>175</v>
      </c>
      <c r="O738" s="15">
        <v>148</v>
      </c>
      <c r="P738" s="15" t="s">
        <v>2175</v>
      </c>
      <c r="Q738" s="15"/>
      <c r="R738" s="15" t="s">
        <v>137</v>
      </c>
    </row>
    <row r="739" spans="1:18" x14ac:dyDescent="0.35">
      <c r="A739" s="15" t="s">
        <v>2176</v>
      </c>
      <c r="B739" s="16">
        <v>45832</v>
      </c>
      <c r="C739" s="15" t="s">
        <v>2138</v>
      </c>
      <c r="D739" s="15">
        <v>2025</v>
      </c>
      <c r="E739" s="15" t="s">
        <v>47</v>
      </c>
      <c r="F739" s="15" t="s">
        <v>131</v>
      </c>
      <c r="G739" s="15" t="s">
        <v>35</v>
      </c>
      <c r="H739" s="15" t="s">
        <v>1410</v>
      </c>
      <c r="I739" s="15" t="s">
        <v>1411</v>
      </c>
      <c r="J739" s="17">
        <v>5900000</v>
      </c>
      <c r="K739" s="15"/>
      <c r="L739" s="15" t="s">
        <v>134</v>
      </c>
      <c r="M739" s="15" t="s">
        <v>76</v>
      </c>
      <c r="N739" s="15" t="s">
        <v>1788</v>
      </c>
      <c r="O739" s="15">
        <v>83</v>
      </c>
      <c r="P739" s="15" t="s">
        <v>2175</v>
      </c>
      <c r="Q739" s="15"/>
      <c r="R739" s="15" t="s">
        <v>137</v>
      </c>
    </row>
    <row r="740" spans="1:18" x14ac:dyDescent="0.35">
      <c r="A740" s="15" t="s">
        <v>2177</v>
      </c>
      <c r="B740" s="16">
        <v>45832</v>
      </c>
      <c r="C740" s="15" t="s">
        <v>2138</v>
      </c>
      <c r="D740" s="15">
        <v>2025</v>
      </c>
      <c r="E740" s="15" t="s">
        <v>47</v>
      </c>
      <c r="F740" s="15" t="s">
        <v>131</v>
      </c>
      <c r="G740" s="15" t="s">
        <v>35</v>
      </c>
      <c r="H740" s="15" t="s">
        <v>2070</v>
      </c>
      <c r="I740" s="15" t="s">
        <v>2071</v>
      </c>
      <c r="J740" s="17">
        <v>1800000</v>
      </c>
      <c r="K740" s="15"/>
      <c r="L740" s="15" t="s">
        <v>134</v>
      </c>
      <c r="M740" s="15" t="s">
        <v>76</v>
      </c>
      <c r="N740" s="15" t="s">
        <v>1800</v>
      </c>
      <c r="O740" s="15">
        <v>180</v>
      </c>
      <c r="P740" s="15" t="s">
        <v>2175</v>
      </c>
      <c r="Q740" s="15"/>
      <c r="R740" s="15" t="s">
        <v>137</v>
      </c>
    </row>
    <row r="741" spans="1:18" x14ac:dyDescent="0.35">
      <c r="A741" s="15" t="s">
        <v>2178</v>
      </c>
      <c r="B741" s="16">
        <v>45834</v>
      </c>
      <c r="C741" s="15" t="s">
        <v>2138</v>
      </c>
      <c r="D741" s="15">
        <v>2025</v>
      </c>
      <c r="E741" s="15" t="s">
        <v>46</v>
      </c>
      <c r="F741" s="15" t="s">
        <v>131</v>
      </c>
      <c r="G741" s="15" t="s">
        <v>36</v>
      </c>
      <c r="H741" s="15" t="s">
        <v>2032</v>
      </c>
      <c r="I741" s="15" t="s">
        <v>2033</v>
      </c>
      <c r="J741" s="17">
        <v>400000</v>
      </c>
      <c r="K741" s="15"/>
      <c r="L741" s="15" t="s">
        <v>134</v>
      </c>
      <c r="M741" s="15" t="s">
        <v>76</v>
      </c>
      <c r="N741" s="15" t="s">
        <v>2034</v>
      </c>
      <c r="O741" s="15">
        <v>18</v>
      </c>
      <c r="P741" s="15" t="s">
        <v>2179</v>
      </c>
      <c r="Q741" s="15"/>
      <c r="R741" s="15" t="s">
        <v>137</v>
      </c>
    </row>
    <row r="742" spans="1:18" x14ac:dyDescent="0.35">
      <c r="A742" s="15" t="s">
        <v>2180</v>
      </c>
      <c r="B742" s="16">
        <v>45834</v>
      </c>
      <c r="C742" s="15" t="s">
        <v>2138</v>
      </c>
      <c r="D742" s="15">
        <v>2025</v>
      </c>
      <c r="E742" s="15" t="s">
        <v>47</v>
      </c>
      <c r="F742" s="15" t="s">
        <v>131</v>
      </c>
      <c r="G742" s="15" t="s">
        <v>40</v>
      </c>
      <c r="H742" s="15" t="s">
        <v>1984</v>
      </c>
      <c r="I742" s="15" t="s">
        <v>1985</v>
      </c>
      <c r="J742" s="17">
        <v>5000000</v>
      </c>
      <c r="K742" s="15"/>
      <c r="L742" s="15" t="s">
        <v>134</v>
      </c>
      <c r="M742" s="15" t="s">
        <v>76</v>
      </c>
      <c r="N742" s="15" t="s">
        <v>149</v>
      </c>
      <c r="O742" s="15">
        <v>100</v>
      </c>
      <c r="P742" s="15" t="s">
        <v>2179</v>
      </c>
      <c r="Q742" s="15" t="s">
        <v>2181</v>
      </c>
      <c r="R742" s="15" t="s">
        <v>137</v>
      </c>
    </row>
    <row r="743" spans="1:18" x14ac:dyDescent="0.35">
      <c r="A743" s="15" t="s">
        <v>2182</v>
      </c>
      <c r="B743" s="16">
        <v>45837</v>
      </c>
      <c r="C743" s="15" t="s">
        <v>2138</v>
      </c>
      <c r="D743" s="15">
        <v>2025</v>
      </c>
      <c r="E743" s="15" t="s">
        <v>46</v>
      </c>
      <c r="F743" s="15" t="s">
        <v>131</v>
      </c>
      <c r="G743" s="15" t="s">
        <v>36</v>
      </c>
      <c r="H743" s="15" t="s">
        <v>1939</v>
      </c>
      <c r="I743" s="15" t="s">
        <v>1940</v>
      </c>
      <c r="J743" s="17">
        <v>165000</v>
      </c>
      <c r="K743" s="15"/>
      <c r="L743" s="15" t="s">
        <v>134</v>
      </c>
      <c r="M743" s="15" t="s">
        <v>76</v>
      </c>
      <c r="N743" s="15" t="s">
        <v>1879</v>
      </c>
      <c r="O743" s="15">
        <v>20</v>
      </c>
      <c r="P743" s="15" t="s">
        <v>2183</v>
      </c>
      <c r="Q743" s="15"/>
      <c r="R743" s="15" t="s">
        <v>137</v>
      </c>
    </row>
    <row r="744" spans="1:18" x14ac:dyDescent="0.35">
      <c r="A744" s="15" t="s">
        <v>2184</v>
      </c>
      <c r="B744" s="16">
        <v>45837</v>
      </c>
      <c r="C744" s="15" t="s">
        <v>2138</v>
      </c>
      <c r="D744" s="15">
        <v>2025</v>
      </c>
      <c r="E744" s="15" t="s">
        <v>47</v>
      </c>
      <c r="F744" s="15" t="s">
        <v>131</v>
      </c>
      <c r="G744" s="15" t="s">
        <v>35</v>
      </c>
      <c r="H744" s="15" t="s">
        <v>2070</v>
      </c>
      <c r="I744" s="15" t="s">
        <v>2071</v>
      </c>
      <c r="J744" s="17">
        <v>5000000</v>
      </c>
      <c r="K744" s="15"/>
      <c r="L744" s="15" t="s">
        <v>134</v>
      </c>
      <c r="M744" s="15" t="s">
        <v>76</v>
      </c>
      <c r="N744" s="15" t="s">
        <v>1800</v>
      </c>
      <c r="O744" s="15">
        <v>183</v>
      </c>
      <c r="P744" s="15" t="s">
        <v>2183</v>
      </c>
      <c r="Q744" s="15"/>
      <c r="R744" s="15" t="s">
        <v>137</v>
      </c>
    </row>
    <row r="745" spans="1:18" x14ac:dyDescent="0.35">
      <c r="A745" s="15" t="s">
        <v>2185</v>
      </c>
      <c r="B745" s="16">
        <v>45842</v>
      </c>
      <c r="C745" s="15" t="s">
        <v>2186</v>
      </c>
      <c r="D745" s="15">
        <v>2025</v>
      </c>
      <c r="E745" s="15" t="s">
        <v>47</v>
      </c>
      <c r="F745" s="15" t="s">
        <v>131</v>
      </c>
      <c r="G745" s="15" t="s">
        <v>40</v>
      </c>
      <c r="H745" s="15" t="s">
        <v>2048</v>
      </c>
      <c r="I745" s="15" t="s">
        <v>2049</v>
      </c>
      <c r="J745" s="17">
        <v>5000000</v>
      </c>
      <c r="K745" s="15"/>
      <c r="L745" s="15" t="s">
        <v>134</v>
      </c>
      <c r="M745" s="15" t="s">
        <v>76</v>
      </c>
      <c r="N745" s="15" t="s">
        <v>1973</v>
      </c>
      <c r="O745" s="15">
        <v>43</v>
      </c>
      <c r="P745" s="15" t="s">
        <v>2187</v>
      </c>
      <c r="Q745" s="15" t="s">
        <v>2188</v>
      </c>
      <c r="R745" s="15" t="s">
        <v>137</v>
      </c>
    </row>
    <row r="746" spans="1:18" x14ac:dyDescent="0.35">
      <c r="A746" s="15" t="s">
        <v>2189</v>
      </c>
      <c r="B746" s="16">
        <v>45845</v>
      </c>
      <c r="C746" s="15" t="s">
        <v>2186</v>
      </c>
      <c r="D746" s="15">
        <v>2025</v>
      </c>
      <c r="E746" s="15" t="s">
        <v>46</v>
      </c>
      <c r="F746" s="15" t="s">
        <v>131</v>
      </c>
      <c r="G746" s="15" t="s">
        <v>36</v>
      </c>
      <c r="H746" s="15" t="s">
        <v>2158</v>
      </c>
      <c r="I746" s="15" t="s">
        <v>2159</v>
      </c>
      <c r="J746" s="17">
        <v>2000000</v>
      </c>
      <c r="K746" s="15"/>
      <c r="L746" s="15" t="s">
        <v>134</v>
      </c>
      <c r="M746" s="15" t="s">
        <v>76</v>
      </c>
      <c r="N746" s="15" t="s">
        <v>135</v>
      </c>
      <c r="O746" s="15">
        <v>217</v>
      </c>
      <c r="P746" s="15" t="s">
        <v>2190</v>
      </c>
      <c r="Q746" s="15"/>
      <c r="R746" s="15" t="s">
        <v>137</v>
      </c>
    </row>
    <row r="747" spans="1:18" x14ac:dyDescent="0.35">
      <c r="A747" s="15" t="s">
        <v>2191</v>
      </c>
      <c r="B747" s="16">
        <v>45848</v>
      </c>
      <c r="C747" s="15" t="s">
        <v>2186</v>
      </c>
      <c r="D747" s="15">
        <v>2025</v>
      </c>
      <c r="E747" s="15" t="s">
        <v>46</v>
      </c>
      <c r="F747" s="15" t="s">
        <v>131</v>
      </c>
      <c r="G747" s="15" t="s">
        <v>36</v>
      </c>
      <c r="H747" s="15" t="s">
        <v>1736</v>
      </c>
      <c r="I747" s="15" t="s">
        <v>1737</v>
      </c>
      <c r="J747" s="17">
        <v>100000</v>
      </c>
      <c r="K747" s="15"/>
      <c r="L747" s="15" t="s">
        <v>134</v>
      </c>
      <c r="M747" s="15" t="s">
        <v>76</v>
      </c>
      <c r="N747" s="15" t="s">
        <v>1830</v>
      </c>
      <c r="O747" s="15">
        <v>100</v>
      </c>
      <c r="P747" s="15" t="s">
        <v>2192</v>
      </c>
      <c r="Q747" s="15"/>
      <c r="R747" s="15" t="s">
        <v>137</v>
      </c>
    </row>
    <row r="748" spans="1:18" x14ac:dyDescent="0.35">
      <c r="A748" s="15" t="s">
        <v>2193</v>
      </c>
      <c r="B748" s="16">
        <v>45849</v>
      </c>
      <c r="C748" s="15" t="s">
        <v>2186</v>
      </c>
      <c r="D748" s="15">
        <v>2025</v>
      </c>
      <c r="E748" s="15" t="s">
        <v>47</v>
      </c>
      <c r="F748" s="15" t="s">
        <v>131</v>
      </c>
      <c r="G748" s="15" t="s">
        <v>40</v>
      </c>
      <c r="H748" s="15" t="s">
        <v>1849</v>
      </c>
      <c r="I748" s="15" t="s">
        <v>1850</v>
      </c>
      <c r="J748" s="17">
        <v>4750000</v>
      </c>
      <c r="K748" s="15"/>
      <c r="L748" s="15" t="s">
        <v>134</v>
      </c>
      <c r="M748" s="15" t="s">
        <v>76</v>
      </c>
      <c r="N748" s="15" t="s">
        <v>1790</v>
      </c>
      <c r="O748" s="15">
        <v>213</v>
      </c>
      <c r="P748" s="15" t="s">
        <v>2194</v>
      </c>
      <c r="Q748" s="15"/>
      <c r="R748" s="15" t="s">
        <v>137</v>
      </c>
    </row>
    <row r="749" spans="1:18" x14ac:dyDescent="0.35">
      <c r="A749" s="15" t="s">
        <v>2195</v>
      </c>
      <c r="B749" s="16">
        <v>45852</v>
      </c>
      <c r="C749" s="15" t="s">
        <v>2186</v>
      </c>
      <c r="D749" s="15">
        <v>2025</v>
      </c>
      <c r="E749" s="15" t="s">
        <v>46</v>
      </c>
      <c r="F749" s="15" t="s">
        <v>131</v>
      </c>
      <c r="G749" s="15" t="s">
        <v>36</v>
      </c>
      <c r="H749" s="15" t="s">
        <v>2118</v>
      </c>
      <c r="I749" s="15" t="s">
        <v>2119</v>
      </c>
      <c r="J749" s="17">
        <v>1250000</v>
      </c>
      <c r="K749" s="15"/>
      <c r="L749" s="15" t="s">
        <v>134</v>
      </c>
      <c r="M749" s="15" t="s">
        <v>76</v>
      </c>
      <c r="N749" s="15" t="s">
        <v>135</v>
      </c>
      <c r="O749" s="15">
        <v>218</v>
      </c>
      <c r="P749" s="15" t="s">
        <v>2196</v>
      </c>
      <c r="Q749" s="15"/>
      <c r="R749" s="15" t="s">
        <v>137</v>
      </c>
    </row>
    <row r="750" spans="1:18" x14ac:dyDescent="0.35">
      <c r="A750" s="15" t="s">
        <v>2197</v>
      </c>
      <c r="B750" s="16">
        <v>45854</v>
      </c>
      <c r="C750" s="15" t="s">
        <v>2186</v>
      </c>
      <c r="D750" s="15">
        <v>2025</v>
      </c>
      <c r="E750" s="15" t="s">
        <v>46</v>
      </c>
      <c r="F750" s="15" t="s">
        <v>131</v>
      </c>
      <c r="G750" s="15" t="s">
        <v>36</v>
      </c>
      <c r="H750" s="15" t="s">
        <v>2198</v>
      </c>
      <c r="I750" s="15" t="s">
        <v>2199</v>
      </c>
      <c r="J750" s="17">
        <v>2500000</v>
      </c>
      <c r="K750" s="15"/>
      <c r="L750" s="15" t="s">
        <v>134</v>
      </c>
      <c r="M750" s="15" t="s">
        <v>76</v>
      </c>
      <c r="N750" s="15" t="s">
        <v>1990</v>
      </c>
      <c r="O750" s="15">
        <v>39</v>
      </c>
      <c r="P750" s="15" t="s">
        <v>2200</v>
      </c>
      <c r="Q750" s="15"/>
      <c r="R750" s="15" t="s">
        <v>137</v>
      </c>
    </row>
    <row r="751" spans="1:18" x14ac:dyDescent="0.35">
      <c r="A751" s="15" t="s">
        <v>2201</v>
      </c>
      <c r="B751" s="16">
        <v>45860</v>
      </c>
      <c r="C751" s="15" t="s">
        <v>2186</v>
      </c>
      <c r="D751" s="15">
        <v>2025</v>
      </c>
      <c r="E751" s="15" t="s">
        <v>47</v>
      </c>
      <c r="F751" s="15" t="s">
        <v>131</v>
      </c>
      <c r="G751" s="15" t="s">
        <v>25</v>
      </c>
      <c r="H751" s="15" t="s">
        <v>2202</v>
      </c>
      <c r="I751" s="15" t="s">
        <v>2203</v>
      </c>
      <c r="J751" s="17">
        <v>5000000</v>
      </c>
      <c r="K751" s="15"/>
      <c r="L751" s="15" t="s">
        <v>134</v>
      </c>
      <c r="M751" s="15" t="s">
        <v>76</v>
      </c>
      <c r="N751" s="15" t="s">
        <v>2204</v>
      </c>
      <c r="O751" s="15">
        <v>3</v>
      </c>
      <c r="P751" s="15" t="s">
        <v>2205</v>
      </c>
      <c r="Q751" s="15"/>
      <c r="R751" s="15" t="s">
        <v>137</v>
      </c>
    </row>
    <row r="752" spans="1:18" x14ac:dyDescent="0.35">
      <c r="A752" s="15" t="s">
        <v>2206</v>
      </c>
      <c r="B752" s="16">
        <v>45860</v>
      </c>
      <c r="C752" s="15" t="s">
        <v>2186</v>
      </c>
      <c r="D752" s="15">
        <v>2025</v>
      </c>
      <c r="E752" s="15" t="s">
        <v>47</v>
      </c>
      <c r="F752" s="15" t="s">
        <v>131</v>
      </c>
      <c r="G752" s="15" t="s">
        <v>25</v>
      </c>
      <c r="H752" s="15" t="s">
        <v>2207</v>
      </c>
      <c r="I752" s="15" t="s">
        <v>2208</v>
      </c>
      <c r="J752" s="17">
        <v>5000000</v>
      </c>
      <c r="K752" s="15"/>
      <c r="L752" s="15" t="s">
        <v>134</v>
      </c>
      <c r="M752" s="15" t="s">
        <v>76</v>
      </c>
      <c r="N752" s="15" t="s">
        <v>2204</v>
      </c>
      <c r="O752" s="15">
        <v>2</v>
      </c>
      <c r="P752" s="15" t="s">
        <v>2205</v>
      </c>
      <c r="Q752" s="15"/>
      <c r="R752" s="15" t="s">
        <v>137</v>
      </c>
    </row>
    <row r="753" spans="1:18" x14ac:dyDescent="0.35">
      <c r="A753" s="15" t="s">
        <v>2209</v>
      </c>
      <c r="B753" s="16">
        <v>45862</v>
      </c>
      <c r="C753" s="15" t="s">
        <v>2186</v>
      </c>
      <c r="D753" s="15">
        <v>2025</v>
      </c>
      <c r="E753" s="15" t="s">
        <v>47</v>
      </c>
      <c r="F753" s="15" t="s">
        <v>131</v>
      </c>
      <c r="G753" s="15" t="s">
        <v>40</v>
      </c>
      <c r="H753" s="15" t="s">
        <v>2210</v>
      </c>
      <c r="I753" s="15" t="s">
        <v>2211</v>
      </c>
      <c r="J753" s="17">
        <v>20000000</v>
      </c>
      <c r="K753" s="15"/>
      <c r="L753" s="15" t="s">
        <v>134</v>
      </c>
      <c r="M753" s="15" t="s">
        <v>76</v>
      </c>
      <c r="N753" s="15" t="s">
        <v>1973</v>
      </c>
      <c r="O753" s="15">
        <v>59</v>
      </c>
      <c r="P753" s="15" t="s">
        <v>2212</v>
      </c>
      <c r="Q753" s="15"/>
      <c r="R753" s="15" t="s">
        <v>137</v>
      </c>
    </row>
    <row r="754" spans="1:18" x14ac:dyDescent="0.35">
      <c r="A754" s="15" t="s">
        <v>2213</v>
      </c>
      <c r="B754" s="16">
        <v>45862</v>
      </c>
      <c r="C754" s="15" t="s">
        <v>2186</v>
      </c>
      <c r="D754" s="15">
        <v>2025</v>
      </c>
      <c r="E754" s="15" t="s">
        <v>47</v>
      </c>
      <c r="F754" s="15" t="s">
        <v>131</v>
      </c>
      <c r="G754" s="15" t="s">
        <v>40</v>
      </c>
      <c r="H754" s="15" t="s">
        <v>2214</v>
      </c>
      <c r="I754" s="15" t="s">
        <v>2215</v>
      </c>
      <c r="J754" s="17">
        <v>20000000</v>
      </c>
      <c r="K754" s="15"/>
      <c r="L754" s="15" t="s">
        <v>134</v>
      </c>
      <c r="M754" s="15" t="s">
        <v>76</v>
      </c>
      <c r="N754" s="15" t="s">
        <v>1973</v>
      </c>
      <c r="O754" s="15">
        <v>49</v>
      </c>
      <c r="P754" s="15" t="s">
        <v>2212</v>
      </c>
      <c r="Q754" s="15"/>
      <c r="R754" s="15" t="s">
        <v>137</v>
      </c>
    </row>
    <row r="755" spans="1:18" x14ac:dyDescent="0.35">
      <c r="A755" s="15" t="s">
        <v>2216</v>
      </c>
      <c r="B755" s="16">
        <v>45863</v>
      </c>
      <c r="C755" s="15" t="s">
        <v>2186</v>
      </c>
      <c r="D755" s="15">
        <v>2025</v>
      </c>
      <c r="E755" s="15" t="s">
        <v>47</v>
      </c>
      <c r="F755" s="15" t="s">
        <v>131</v>
      </c>
      <c r="G755" s="15" t="s">
        <v>40</v>
      </c>
      <c r="H755" s="15" t="s">
        <v>2217</v>
      </c>
      <c r="I755" s="15" t="s">
        <v>2218</v>
      </c>
      <c r="J755" s="17">
        <v>20000000</v>
      </c>
      <c r="K755" s="15"/>
      <c r="L755" s="15" t="s">
        <v>134</v>
      </c>
      <c r="M755" s="15" t="s">
        <v>76</v>
      </c>
      <c r="N755" s="15" t="s">
        <v>1973</v>
      </c>
      <c r="O755" s="15">
        <v>70</v>
      </c>
      <c r="P755" s="15" t="s">
        <v>2219</v>
      </c>
      <c r="Q755" s="15"/>
      <c r="R755" s="15" t="s">
        <v>137</v>
      </c>
    </row>
    <row r="756" spans="1:18" x14ac:dyDescent="0.35">
      <c r="A756" s="15" t="s">
        <v>2220</v>
      </c>
      <c r="B756" s="16">
        <v>45864</v>
      </c>
      <c r="C756" s="15" t="s">
        <v>2186</v>
      </c>
      <c r="D756" s="15">
        <v>2025</v>
      </c>
      <c r="E756" s="15" t="s">
        <v>47</v>
      </c>
      <c r="F756" s="15" t="s">
        <v>131</v>
      </c>
      <c r="G756" s="15" t="s">
        <v>25</v>
      </c>
      <c r="H756" s="15" t="s">
        <v>2221</v>
      </c>
      <c r="I756" s="15" t="s">
        <v>2222</v>
      </c>
      <c r="J756" s="17">
        <v>5000000</v>
      </c>
      <c r="K756" s="15"/>
      <c r="L756" s="15" t="s">
        <v>134</v>
      </c>
      <c r="M756" s="15" t="s">
        <v>76</v>
      </c>
      <c r="N756" s="15" t="s">
        <v>2204</v>
      </c>
      <c r="O756" s="15">
        <v>4</v>
      </c>
      <c r="P756" s="15" t="s">
        <v>2223</v>
      </c>
      <c r="Q756" s="15"/>
      <c r="R756" s="15" t="s">
        <v>137</v>
      </c>
    </row>
    <row r="757" spans="1:18" x14ac:dyDescent="0.35">
      <c r="A757" s="15" t="s">
        <v>2224</v>
      </c>
      <c r="B757" s="16">
        <v>45865</v>
      </c>
      <c r="C757" s="15" t="s">
        <v>2186</v>
      </c>
      <c r="D757" s="15">
        <v>2025</v>
      </c>
      <c r="E757" s="15" t="s">
        <v>47</v>
      </c>
      <c r="F757" s="15" t="s">
        <v>131</v>
      </c>
      <c r="G757" s="15" t="s">
        <v>40</v>
      </c>
      <c r="H757" s="15" t="s">
        <v>1984</v>
      </c>
      <c r="I757" s="15" t="s">
        <v>1985</v>
      </c>
      <c r="J757" s="17">
        <v>5000000</v>
      </c>
      <c r="K757" s="15"/>
      <c r="L757" s="15" t="s">
        <v>134</v>
      </c>
      <c r="M757" s="15" t="s">
        <v>76</v>
      </c>
      <c r="N757" s="15" t="s">
        <v>149</v>
      </c>
      <c r="O757" s="15">
        <v>108</v>
      </c>
      <c r="P757" s="15" t="s">
        <v>2225</v>
      </c>
      <c r="Q757" s="15" t="s">
        <v>2226</v>
      </c>
      <c r="R757" s="15" t="s">
        <v>137</v>
      </c>
    </row>
    <row r="758" spans="1:18" x14ac:dyDescent="0.35">
      <c r="A758" s="15" t="s">
        <v>2227</v>
      </c>
      <c r="B758" s="16">
        <v>45867</v>
      </c>
      <c r="C758" s="15" t="s">
        <v>2186</v>
      </c>
      <c r="D758" s="15">
        <v>2025</v>
      </c>
      <c r="E758" s="15" t="s">
        <v>47</v>
      </c>
      <c r="F758" s="15" t="s">
        <v>131</v>
      </c>
      <c r="G758" s="15" t="s">
        <v>25</v>
      </c>
      <c r="H758" s="15" t="s">
        <v>2228</v>
      </c>
      <c r="I758" s="15" t="s">
        <v>2229</v>
      </c>
      <c r="J758" s="17">
        <v>5000000</v>
      </c>
      <c r="K758" s="15"/>
      <c r="L758" s="15" t="s">
        <v>134</v>
      </c>
      <c r="M758" s="15" t="s">
        <v>76</v>
      </c>
      <c r="N758" s="15" t="s">
        <v>2204</v>
      </c>
      <c r="O758" s="15">
        <v>5</v>
      </c>
      <c r="P758" s="15" t="s">
        <v>2230</v>
      </c>
      <c r="Q758" s="15"/>
      <c r="R758" s="15" t="s">
        <v>137</v>
      </c>
    </row>
    <row r="759" spans="1:18" x14ac:dyDescent="0.35">
      <c r="A759" s="15" t="s">
        <v>2231</v>
      </c>
      <c r="B759" s="16">
        <v>45867</v>
      </c>
      <c r="C759" s="15" t="s">
        <v>2186</v>
      </c>
      <c r="D759" s="15">
        <v>2025</v>
      </c>
      <c r="E759" s="15" t="s">
        <v>47</v>
      </c>
      <c r="F759" s="15" t="s">
        <v>131</v>
      </c>
      <c r="G759" s="15" t="s">
        <v>25</v>
      </c>
      <c r="H759" s="15" t="s">
        <v>2232</v>
      </c>
      <c r="I759" s="15" t="s">
        <v>2233</v>
      </c>
      <c r="J759" s="17">
        <v>5000000</v>
      </c>
      <c r="K759" s="15"/>
      <c r="L759" s="15" t="s">
        <v>134</v>
      </c>
      <c r="M759" s="15" t="s">
        <v>76</v>
      </c>
      <c r="N759" s="15" t="s">
        <v>2204</v>
      </c>
      <c r="O759" s="15">
        <v>6</v>
      </c>
      <c r="P759" s="15" t="s">
        <v>2230</v>
      </c>
      <c r="Q759" s="15"/>
      <c r="R759" s="15" t="s">
        <v>137</v>
      </c>
    </row>
    <row r="760" spans="1:18" x14ac:dyDescent="0.35">
      <c r="A760" s="15" t="s">
        <v>2234</v>
      </c>
      <c r="B760" s="16">
        <v>45867</v>
      </c>
      <c r="C760" s="15" t="s">
        <v>2186</v>
      </c>
      <c r="D760" s="15">
        <v>2025</v>
      </c>
      <c r="E760" s="15" t="s">
        <v>47</v>
      </c>
      <c r="F760" s="15" t="s">
        <v>131</v>
      </c>
      <c r="G760" s="15" t="s">
        <v>40</v>
      </c>
      <c r="H760" s="15" t="s">
        <v>1849</v>
      </c>
      <c r="I760" s="15" t="s">
        <v>1850</v>
      </c>
      <c r="J760" s="17">
        <v>4750000</v>
      </c>
      <c r="K760" s="15"/>
      <c r="L760" s="15" t="s">
        <v>134</v>
      </c>
      <c r="M760" s="15" t="s">
        <v>76</v>
      </c>
      <c r="N760" s="15" t="s">
        <v>1790</v>
      </c>
      <c r="O760" s="15">
        <v>239</v>
      </c>
      <c r="P760" s="15" t="s">
        <v>2230</v>
      </c>
      <c r="Q760" s="15"/>
      <c r="R760" s="15" t="s">
        <v>137</v>
      </c>
    </row>
    <row r="761" spans="1:18" x14ac:dyDescent="0.35">
      <c r="A761" s="15" t="s">
        <v>2235</v>
      </c>
      <c r="B761" s="16">
        <v>45867</v>
      </c>
      <c r="C761" s="15" t="s">
        <v>2186</v>
      </c>
      <c r="D761" s="15">
        <v>2025</v>
      </c>
      <c r="E761" s="15" t="s">
        <v>47</v>
      </c>
      <c r="F761" s="15" t="s">
        <v>131</v>
      </c>
      <c r="G761" s="15" t="s">
        <v>35</v>
      </c>
      <c r="H761" s="15" t="s">
        <v>2236</v>
      </c>
      <c r="I761" s="15" t="s">
        <v>2237</v>
      </c>
      <c r="J761" s="17">
        <v>4000000</v>
      </c>
      <c r="K761" s="15"/>
      <c r="L761" s="15" t="s">
        <v>134</v>
      </c>
      <c r="M761" s="15" t="s">
        <v>76</v>
      </c>
      <c r="N761" s="15" t="s">
        <v>1800</v>
      </c>
      <c r="O761" s="15">
        <v>189</v>
      </c>
      <c r="P761" s="15" t="s">
        <v>2230</v>
      </c>
      <c r="Q761" s="15"/>
      <c r="R761" s="15" t="s">
        <v>137</v>
      </c>
    </row>
    <row r="762" spans="1:18" x14ac:dyDescent="0.35">
      <c r="A762" s="15" t="s">
        <v>2238</v>
      </c>
      <c r="B762" s="16">
        <v>45874</v>
      </c>
      <c r="C762" s="15" t="s">
        <v>2239</v>
      </c>
      <c r="D762" s="15">
        <v>2025</v>
      </c>
      <c r="E762" s="15" t="s">
        <v>47</v>
      </c>
      <c r="F762" s="15" t="s">
        <v>131</v>
      </c>
      <c r="G762" s="15" t="s">
        <v>40</v>
      </c>
      <c r="H762" s="15" t="s">
        <v>2048</v>
      </c>
      <c r="I762" s="15" t="s">
        <v>2049</v>
      </c>
      <c r="J762" s="17">
        <v>4500000</v>
      </c>
      <c r="K762" s="15"/>
      <c r="L762" s="15" t="s">
        <v>134</v>
      </c>
      <c r="M762" s="15" t="s">
        <v>76</v>
      </c>
      <c r="N762" s="15" t="s">
        <v>1973</v>
      </c>
      <c r="O762" s="15">
        <v>68</v>
      </c>
      <c r="P762" s="15" t="s">
        <v>2240</v>
      </c>
      <c r="Q762" s="15" t="s">
        <v>2241</v>
      </c>
      <c r="R762" s="15" t="s">
        <v>137</v>
      </c>
    </row>
    <row r="763" spans="1:18" x14ac:dyDescent="0.35">
      <c r="A763" s="15" t="s">
        <v>2242</v>
      </c>
      <c r="B763" s="16">
        <v>45874</v>
      </c>
      <c r="C763" s="15" t="s">
        <v>2239</v>
      </c>
      <c r="D763" s="15">
        <v>2025</v>
      </c>
      <c r="E763" s="15" t="s">
        <v>46</v>
      </c>
      <c r="F763" s="15" t="s">
        <v>131</v>
      </c>
      <c r="G763" s="15" t="s">
        <v>36</v>
      </c>
      <c r="H763" s="15" t="s">
        <v>1645</v>
      </c>
      <c r="I763" s="15" t="s">
        <v>1699</v>
      </c>
      <c r="J763" s="17">
        <v>107000</v>
      </c>
      <c r="K763" s="15"/>
      <c r="L763" s="15" t="s">
        <v>134</v>
      </c>
      <c r="M763" s="15" t="s">
        <v>76</v>
      </c>
      <c r="N763" s="15" t="s">
        <v>1800</v>
      </c>
      <c r="O763" s="15">
        <v>196</v>
      </c>
      <c r="P763" s="15" t="s">
        <v>2240</v>
      </c>
      <c r="Q763" s="15"/>
      <c r="R763" s="15" t="s">
        <v>137</v>
      </c>
    </row>
    <row r="764" spans="1:18" x14ac:dyDescent="0.35">
      <c r="A764" s="15" t="s">
        <v>2243</v>
      </c>
      <c r="B764" s="16">
        <v>45874</v>
      </c>
      <c r="C764" s="15" t="s">
        <v>2239</v>
      </c>
      <c r="D764" s="15">
        <v>2025</v>
      </c>
      <c r="E764" s="15" t="s">
        <v>46</v>
      </c>
      <c r="F764" s="15" t="s">
        <v>131</v>
      </c>
      <c r="G764" s="15" t="s">
        <v>36</v>
      </c>
      <c r="H764" s="15" t="s">
        <v>1645</v>
      </c>
      <c r="I764" s="15" t="s">
        <v>1699</v>
      </c>
      <c r="J764" s="17">
        <v>76000</v>
      </c>
      <c r="K764" s="15"/>
      <c r="L764" s="15" t="s">
        <v>134</v>
      </c>
      <c r="M764" s="15" t="s">
        <v>76</v>
      </c>
      <c r="N764" s="15" t="s">
        <v>1800</v>
      </c>
      <c r="O764" s="15">
        <v>209</v>
      </c>
      <c r="P764" s="15" t="s">
        <v>2240</v>
      </c>
      <c r="Q764" s="15"/>
      <c r="R764" s="15" t="s">
        <v>137</v>
      </c>
    </row>
    <row r="765" spans="1:18" x14ac:dyDescent="0.35">
      <c r="A765" s="15" t="s">
        <v>2244</v>
      </c>
      <c r="B765" s="16">
        <v>45875</v>
      </c>
      <c r="C765" s="15" t="s">
        <v>2239</v>
      </c>
      <c r="D765" s="15">
        <v>2025</v>
      </c>
      <c r="E765" s="15" t="s">
        <v>47</v>
      </c>
      <c r="F765" s="15" t="s">
        <v>131</v>
      </c>
      <c r="G765" s="15" t="s">
        <v>25</v>
      </c>
      <c r="H765" s="15" t="s">
        <v>357</v>
      </c>
      <c r="I765" s="15" t="s">
        <v>2245</v>
      </c>
      <c r="J765" s="17">
        <v>5000000</v>
      </c>
      <c r="K765" s="15"/>
      <c r="L765" s="15" t="s">
        <v>134</v>
      </c>
      <c r="M765" s="15" t="s">
        <v>76</v>
      </c>
      <c r="N765" s="15" t="s">
        <v>175</v>
      </c>
      <c r="O765" s="15">
        <v>154</v>
      </c>
      <c r="P765" s="15" t="s">
        <v>2246</v>
      </c>
      <c r="Q765" s="15"/>
      <c r="R765" s="15" t="s">
        <v>137</v>
      </c>
    </row>
    <row r="766" spans="1:18" x14ac:dyDescent="0.35">
      <c r="A766" s="15" t="s">
        <v>2247</v>
      </c>
      <c r="B766" s="16">
        <v>45876</v>
      </c>
      <c r="C766" s="15" t="s">
        <v>2239</v>
      </c>
      <c r="D766" s="15">
        <v>2025</v>
      </c>
      <c r="E766" s="15" t="s">
        <v>47</v>
      </c>
      <c r="F766" s="15" t="s">
        <v>131</v>
      </c>
      <c r="G766" s="15" t="s">
        <v>40</v>
      </c>
      <c r="H766" s="15" t="s">
        <v>2210</v>
      </c>
      <c r="I766" s="15" t="s">
        <v>2211</v>
      </c>
      <c r="J766" s="17">
        <v>5000000</v>
      </c>
      <c r="K766" s="15"/>
      <c r="L766" s="15" t="s">
        <v>134</v>
      </c>
      <c r="M766" s="15" t="s">
        <v>76</v>
      </c>
      <c r="N766" s="15" t="s">
        <v>1973</v>
      </c>
      <c r="O766" s="15">
        <v>60</v>
      </c>
      <c r="P766" s="15" t="s">
        <v>2248</v>
      </c>
      <c r="Q766" s="15"/>
      <c r="R766" s="15" t="s">
        <v>137</v>
      </c>
    </row>
    <row r="767" spans="1:18" x14ac:dyDescent="0.35">
      <c r="A767" s="15" t="s">
        <v>2249</v>
      </c>
      <c r="B767" s="16">
        <v>45877</v>
      </c>
      <c r="C767" s="15" t="s">
        <v>2239</v>
      </c>
      <c r="D767" s="15">
        <v>2025</v>
      </c>
      <c r="E767" s="15" t="s">
        <v>47</v>
      </c>
      <c r="F767" s="15" t="s">
        <v>131</v>
      </c>
      <c r="G767" s="15" t="s">
        <v>25</v>
      </c>
      <c r="H767" s="15" t="s">
        <v>2232</v>
      </c>
      <c r="I767" s="15" t="s">
        <v>2233</v>
      </c>
      <c r="J767" s="17">
        <v>5000000</v>
      </c>
      <c r="K767" s="15"/>
      <c r="L767" s="15" t="s">
        <v>134</v>
      </c>
      <c r="M767" s="15" t="s">
        <v>76</v>
      </c>
      <c r="N767" s="15" t="s">
        <v>2204</v>
      </c>
      <c r="O767" s="15">
        <v>7</v>
      </c>
      <c r="P767" s="15" t="s">
        <v>2250</v>
      </c>
      <c r="Q767" s="15"/>
      <c r="R767" s="15" t="s">
        <v>137</v>
      </c>
    </row>
    <row r="768" spans="1:18" x14ac:dyDescent="0.35">
      <c r="A768" s="15" t="s">
        <v>2251</v>
      </c>
      <c r="B768" s="16">
        <v>45877</v>
      </c>
      <c r="C768" s="15" t="s">
        <v>2239</v>
      </c>
      <c r="D768" s="15">
        <v>2025</v>
      </c>
      <c r="E768" s="15" t="s">
        <v>47</v>
      </c>
      <c r="F768" s="15" t="s">
        <v>131</v>
      </c>
      <c r="G768" s="15" t="s">
        <v>25</v>
      </c>
      <c r="H768" s="15" t="s">
        <v>2221</v>
      </c>
      <c r="I768" s="15" t="s">
        <v>2222</v>
      </c>
      <c r="J768" s="17">
        <v>5000000</v>
      </c>
      <c r="K768" s="15"/>
      <c r="L768" s="15" t="s">
        <v>134</v>
      </c>
      <c r="M768" s="15" t="s">
        <v>76</v>
      </c>
      <c r="N768" s="15" t="s">
        <v>2204</v>
      </c>
      <c r="O768" s="15">
        <v>8</v>
      </c>
      <c r="P768" s="15" t="s">
        <v>2250</v>
      </c>
      <c r="Q768" s="15"/>
      <c r="R768" s="15" t="s">
        <v>137</v>
      </c>
    </row>
    <row r="769" spans="1:18" x14ac:dyDescent="0.35">
      <c r="A769" s="15" t="s">
        <v>2252</v>
      </c>
      <c r="B769" s="16">
        <v>45877</v>
      </c>
      <c r="C769" s="15" t="s">
        <v>2239</v>
      </c>
      <c r="D769" s="15">
        <v>2025</v>
      </c>
      <c r="E769" s="15" t="s">
        <v>47</v>
      </c>
      <c r="F769" s="15" t="s">
        <v>131</v>
      </c>
      <c r="G769" s="15" t="s">
        <v>40</v>
      </c>
      <c r="H769" s="15" t="s">
        <v>2210</v>
      </c>
      <c r="I769" s="15" t="s">
        <v>2211</v>
      </c>
      <c r="J769" s="17">
        <v>5000000</v>
      </c>
      <c r="K769" s="15"/>
      <c r="L769" s="15" t="s">
        <v>134</v>
      </c>
      <c r="M769" s="15" t="s">
        <v>76</v>
      </c>
      <c r="N769" s="15" t="s">
        <v>1973</v>
      </c>
      <c r="O769" s="15">
        <v>61</v>
      </c>
      <c r="P769" s="15" t="s">
        <v>2250</v>
      </c>
      <c r="Q769" s="15"/>
      <c r="R769" s="15" t="s">
        <v>137</v>
      </c>
    </row>
    <row r="770" spans="1:18" x14ac:dyDescent="0.35">
      <c r="A770" s="15" t="s">
        <v>2253</v>
      </c>
      <c r="B770" s="16">
        <v>45878</v>
      </c>
      <c r="C770" s="15" t="s">
        <v>2239</v>
      </c>
      <c r="D770" s="15">
        <v>2025</v>
      </c>
      <c r="E770" s="15" t="s">
        <v>47</v>
      </c>
      <c r="F770" s="15" t="s">
        <v>131</v>
      </c>
      <c r="G770" s="15" t="s">
        <v>40</v>
      </c>
      <c r="H770" s="15" t="s">
        <v>2210</v>
      </c>
      <c r="I770" s="15" t="s">
        <v>2211</v>
      </c>
      <c r="J770" s="17">
        <v>5000000</v>
      </c>
      <c r="K770" s="15"/>
      <c r="L770" s="15" t="s">
        <v>134</v>
      </c>
      <c r="M770" s="15" t="s">
        <v>76</v>
      </c>
      <c r="N770" s="15" t="s">
        <v>1973</v>
      </c>
      <c r="O770" s="15">
        <v>62</v>
      </c>
      <c r="P770" s="15" t="s">
        <v>2254</v>
      </c>
      <c r="Q770" s="15"/>
      <c r="R770" s="15" t="s">
        <v>137</v>
      </c>
    </row>
    <row r="771" spans="1:18" x14ac:dyDescent="0.35">
      <c r="A771" s="15" t="s">
        <v>2255</v>
      </c>
      <c r="B771" s="16">
        <v>45879</v>
      </c>
      <c r="C771" s="15" t="s">
        <v>2239</v>
      </c>
      <c r="D771" s="15">
        <v>2025</v>
      </c>
      <c r="E771" s="15" t="s">
        <v>47</v>
      </c>
      <c r="F771" s="15" t="s">
        <v>131</v>
      </c>
      <c r="G771" s="15" t="s">
        <v>40</v>
      </c>
      <c r="H771" s="15" t="s">
        <v>2210</v>
      </c>
      <c r="I771" s="15" t="s">
        <v>2211</v>
      </c>
      <c r="J771" s="17">
        <v>5000000</v>
      </c>
      <c r="K771" s="15"/>
      <c r="L771" s="15" t="s">
        <v>134</v>
      </c>
      <c r="M771" s="15" t="s">
        <v>76</v>
      </c>
      <c r="N771" s="15" t="s">
        <v>1973</v>
      </c>
      <c r="O771" s="15">
        <v>63</v>
      </c>
      <c r="P771" s="15" t="s">
        <v>2256</v>
      </c>
      <c r="Q771" s="15"/>
      <c r="R771" s="15" t="s">
        <v>137</v>
      </c>
    </row>
    <row r="772" spans="1:18" x14ac:dyDescent="0.35">
      <c r="A772" s="15" t="s">
        <v>2257</v>
      </c>
      <c r="B772" s="16">
        <v>45880</v>
      </c>
      <c r="C772" s="15" t="s">
        <v>2239</v>
      </c>
      <c r="D772" s="15">
        <v>2025</v>
      </c>
      <c r="E772" s="15" t="s">
        <v>46</v>
      </c>
      <c r="F772" s="15" t="s">
        <v>131</v>
      </c>
      <c r="G772" s="15" t="s">
        <v>36</v>
      </c>
      <c r="H772" s="15" t="s">
        <v>1341</v>
      </c>
      <c r="I772" s="15" t="s">
        <v>1342</v>
      </c>
      <c r="J772" s="17">
        <v>2000000</v>
      </c>
      <c r="K772" s="15"/>
      <c r="L772" s="15" t="s">
        <v>134</v>
      </c>
      <c r="M772" s="15" t="s">
        <v>76</v>
      </c>
      <c r="N772" s="15" t="s">
        <v>276</v>
      </c>
      <c r="O772" s="15">
        <v>27</v>
      </c>
      <c r="P772" s="15" t="s">
        <v>2258</v>
      </c>
      <c r="Q772" s="15"/>
      <c r="R772" s="15" t="s">
        <v>137</v>
      </c>
    </row>
    <row r="773" spans="1:18" x14ac:dyDescent="0.35">
      <c r="A773" s="15" t="s">
        <v>2259</v>
      </c>
      <c r="B773" s="16">
        <v>45880</v>
      </c>
      <c r="C773" s="15" t="s">
        <v>2239</v>
      </c>
      <c r="D773" s="15">
        <v>2025</v>
      </c>
      <c r="E773" s="15" t="s">
        <v>47</v>
      </c>
      <c r="F773" s="15" t="s">
        <v>131</v>
      </c>
      <c r="G773" s="15" t="s">
        <v>40</v>
      </c>
      <c r="H773" s="15" t="s">
        <v>2210</v>
      </c>
      <c r="I773" s="15" t="s">
        <v>2211</v>
      </c>
      <c r="J773" s="17">
        <v>5000000</v>
      </c>
      <c r="K773" s="15"/>
      <c r="L773" s="15" t="s">
        <v>134</v>
      </c>
      <c r="M773" s="15" t="s">
        <v>76</v>
      </c>
      <c r="N773" s="15" t="s">
        <v>1973</v>
      </c>
      <c r="O773" s="15">
        <v>64</v>
      </c>
      <c r="P773" s="15" t="s">
        <v>2258</v>
      </c>
      <c r="Q773" s="15"/>
      <c r="R773" s="15" t="s">
        <v>137</v>
      </c>
    </row>
    <row r="774" spans="1:18" x14ac:dyDescent="0.35">
      <c r="A774" s="15" t="s">
        <v>2260</v>
      </c>
      <c r="B774" s="16">
        <v>45881</v>
      </c>
      <c r="C774" s="15" t="s">
        <v>2239</v>
      </c>
      <c r="D774" s="15">
        <v>2025</v>
      </c>
      <c r="E774" s="15" t="s">
        <v>47</v>
      </c>
      <c r="F774" s="15" t="s">
        <v>131</v>
      </c>
      <c r="G774" s="15" t="s">
        <v>40</v>
      </c>
      <c r="H774" s="15" t="s">
        <v>2210</v>
      </c>
      <c r="I774" s="15" t="s">
        <v>2211</v>
      </c>
      <c r="J774" s="17">
        <v>5000000</v>
      </c>
      <c r="K774" s="15"/>
      <c r="L774" s="15" t="s">
        <v>134</v>
      </c>
      <c r="M774" s="15" t="s">
        <v>76</v>
      </c>
      <c r="N774" s="15" t="s">
        <v>1973</v>
      </c>
      <c r="O774" s="15">
        <v>65</v>
      </c>
      <c r="P774" s="15" t="s">
        <v>2261</v>
      </c>
      <c r="Q774" s="15"/>
      <c r="R774" s="15" t="s">
        <v>137</v>
      </c>
    </row>
    <row r="775" spans="1:18" x14ac:dyDescent="0.35">
      <c r="A775" s="15" t="s">
        <v>2262</v>
      </c>
      <c r="B775" s="16">
        <v>45882</v>
      </c>
      <c r="C775" s="15" t="s">
        <v>2239</v>
      </c>
      <c r="D775" s="15">
        <v>2025</v>
      </c>
      <c r="E775" s="15" t="s">
        <v>47</v>
      </c>
      <c r="F775" s="15" t="s">
        <v>131</v>
      </c>
      <c r="G775" s="15" t="s">
        <v>40</v>
      </c>
      <c r="H775" s="15" t="s">
        <v>2210</v>
      </c>
      <c r="I775" s="15" t="s">
        <v>2211</v>
      </c>
      <c r="J775" s="17">
        <v>900000</v>
      </c>
      <c r="K775" s="15"/>
      <c r="L775" s="15" t="s">
        <v>134</v>
      </c>
      <c r="M775" s="15" t="s">
        <v>76</v>
      </c>
      <c r="N775" s="15" t="s">
        <v>1973</v>
      </c>
      <c r="O775" s="15">
        <v>69</v>
      </c>
      <c r="P775" s="15" t="s">
        <v>2263</v>
      </c>
      <c r="Q775" s="15"/>
      <c r="R775" s="15" t="s">
        <v>137</v>
      </c>
    </row>
    <row r="776" spans="1:18" x14ac:dyDescent="0.35">
      <c r="A776" s="15" t="s">
        <v>2264</v>
      </c>
      <c r="B776" s="16">
        <v>45883</v>
      </c>
      <c r="C776" s="15" t="s">
        <v>2239</v>
      </c>
      <c r="D776" s="15">
        <v>2025</v>
      </c>
      <c r="E776" s="15" t="s">
        <v>46</v>
      </c>
      <c r="F776" s="15" t="s">
        <v>131</v>
      </c>
      <c r="G776" s="15" t="s">
        <v>36</v>
      </c>
      <c r="H776" s="15" t="s">
        <v>2118</v>
      </c>
      <c r="I776" s="15" t="s">
        <v>2119</v>
      </c>
      <c r="J776" s="17">
        <v>1250000</v>
      </c>
      <c r="K776" s="15"/>
      <c r="L776" s="15" t="s">
        <v>134</v>
      </c>
      <c r="M776" s="15" t="s">
        <v>76</v>
      </c>
      <c r="N776" s="15" t="s">
        <v>135</v>
      </c>
      <c r="O776" s="15">
        <v>230</v>
      </c>
      <c r="P776" s="15" t="s">
        <v>2265</v>
      </c>
      <c r="Q776" s="15"/>
      <c r="R776" s="15" t="s">
        <v>137</v>
      </c>
    </row>
    <row r="777" spans="1:18" x14ac:dyDescent="0.35">
      <c r="A777" s="15" t="s">
        <v>2266</v>
      </c>
      <c r="B777" s="16">
        <v>45884</v>
      </c>
      <c r="C777" s="15" t="s">
        <v>2239</v>
      </c>
      <c r="D777" s="15">
        <v>2025</v>
      </c>
      <c r="E777" s="15" t="s">
        <v>47</v>
      </c>
      <c r="F777" s="15" t="s">
        <v>131</v>
      </c>
      <c r="G777" s="15" t="s">
        <v>35</v>
      </c>
      <c r="H777" s="15" t="s">
        <v>1410</v>
      </c>
      <c r="I777" s="15" t="s">
        <v>1411</v>
      </c>
      <c r="J777" s="17">
        <v>3400000</v>
      </c>
      <c r="K777" s="15"/>
      <c r="L777" s="15" t="s">
        <v>134</v>
      </c>
      <c r="M777" s="15" t="s">
        <v>76</v>
      </c>
      <c r="N777" s="15" t="s">
        <v>1788</v>
      </c>
      <c r="O777" s="15">
        <v>89</v>
      </c>
      <c r="P777" s="15" t="s">
        <v>2267</v>
      </c>
      <c r="Q777" s="15"/>
      <c r="R777" s="15" t="s">
        <v>137</v>
      </c>
    </row>
    <row r="778" spans="1:18" x14ac:dyDescent="0.35">
      <c r="A778" s="15" t="s">
        <v>2268</v>
      </c>
      <c r="B778" s="16">
        <v>45888</v>
      </c>
      <c r="C778" s="15" t="s">
        <v>2239</v>
      </c>
      <c r="D778" s="15">
        <v>2025</v>
      </c>
      <c r="E778" s="15" t="s">
        <v>47</v>
      </c>
      <c r="F778" s="15" t="s">
        <v>131</v>
      </c>
      <c r="G778" s="15" t="s">
        <v>25</v>
      </c>
      <c r="H778" s="15" t="s">
        <v>2221</v>
      </c>
      <c r="I778" s="15" t="s">
        <v>2222</v>
      </c>
      <c r="J778" s="17">
        <v>5000000</v>
      </c>
      <c r="K778" s="15"/>
      <c r="L778" s="15" t="s">
        <v>134</v>
      </c>
      <c r="M778" s="15" t="s">
        <v>76</v>
      </c>
      <c r="N778" s="15" t="s">
        <v>2204</v>
      </c>
      <c r="O778" s="15">
        <v>9</v>
      </c>
      <c r="P778" s="15" t="s">
        <v>2269</v>
      </c>
      <c r="Q778" s="15"/>
      <c r="R778" s="15" t="s">
        <v>137</v>
      </c>
    </row>
    <row r="779" spans="1:18" x14ac:dyDescent="0.35">
      <c r="A779" s="15" t="s">
        <v>2270</v>
      </c>
      <c r="B779" s="16">
        <v>45888</v>
      </c>
      <c r="C779" s="15" t="s">
        <v>2239</v>
      </c>
      <c r="D779" s="15">
        <v>2025</v>
      </c>
      <c r="E779" s="15" t="s">
        <v>47</v>
      </c>
      <c r="F779" s="15" t="s">
        <v>131</v>
      </c>
      <c r="G779" s="15" t="s">
        <v>35</v>
      </c>
      <c r="H779" s="15" t="s">
        <v>1410</v>
      </c>
      <c r="I779" s="15" t="s">
        <v>1411</v>
      </c>
      <c r="J779" s="17">
        <v>2400000</v>
      </c>
      <c r="K779" s="15"/>
      <c r="L779" s="15" t="s">
        <v>134</v>
      </c>
      <c r="M779" s="15" t="s">
        <v>76</v>
      </c>
      <c r="N779" s="15" t="s">
        <v>1788</v>
      </c>
      <c r="O779" s="15">
        <v>90</v>
      </c>
      <c r="P779" s="15" t="s">
        <v>2269</v>
      </c>
      <c r="Q779" s="15"/>
      <c r="R779" s="15" t="s">
        <v>137</v>
      </c>
    </row>
    <row r="780" spans="1:18" x14ac:dyDescent="0.35">
      <c r="A780" s="15" t="s">
        <v>2271</v>
      </c>
      <c r="B780" s="16">
        <v>45889</v>
      </c>
      <c r="C780" s="15" t="s">
        <v>2239</v>
      </c>
      <c r="D780" s="15">
        <v>2025</v>
      </c>
      <c r="E780" s="15" t="s">
        <v>47</v>
      </c>
      <c r="F780" s="15" t="s">
        <v>131</v>
      </c>
      <c r="G780" s="15" t="s">
        <v>35</v>
      </c>
      <c r="H780" s="15" t="s">
        <v>1410</v>
      </c>
      <c r="I780" s="15" t="s">
        <v>1411</v>
      </c>
      <c r="J780" s="17">
        <v>100000</v>
      </c>
      <c r="K780" s="15"/>
      <c r="L780" s="15" t="s">
        <v>134</v>
      </c>
      <c r="M780" s="15" t="s">
        <v>76</v>
      </c>
      <c r="N780" s="15" t="s">
        <v>1788</v>
      </c>
      <c r="O780" s="15">
        <v>91</v>
      </c>
      <c r="P780" s="15" t="s">
        <v>2272</v>
      </c>
      <c r="Q780" s="15"/>
      <c r="R780" s="15" t="s">
        <v>137</v>
      </c>
    </row>
    <row r="781" spans="1:18" x14ac:dyDescent="0.35">
      <c r="A781" s="15" t="s">
        <v>2273</v>
      </c>
      <c r="B781" s="16">
        <v>45892</v>
      </c>
      <c r="C781" s="15" t="s">
        <v>2239</v>
      </c>
      <c r="D781" s="15">
        <v>2025</v>
      </c>
      <c r="E781" s="15" t="s">
        <v>47</v>
      </c>
      <c r="F781" s="15" t="s">
        <v>131</v>
      </c>
      <c r="G781" s="15" t="s">
        <v>25</v>
      </c>
      <c r="H781" s="15" t="s">
        <v>2274</v>
      </c>
      <c r="I781" s="15" t="s">
        <v>2275</v>
      </c>
      <c r="J781" s="17">
        <v>5000000</v>
      </c>
      <c r="K781" s="15"/>
      <c r="L781" s="15" t="s">
        <v>134</v>
      </c>
      <c r="M781" s="15" t="s">
        <v>76</v>
      </c>
      <c r="N781" s="15" t="s">
        <v>175</v>
      </c>
      <c r="O781" s="15">
        <v>167</v>
      </c>
      <c r="P781" s="15" t="s">
        <v>2276</v>
      </c>
      <c r="Q781" s="15"/>
      <c r="R781" s="15" t="s">
        <v>137</v>
      </c>
    </row>
    <row r="782" spans="1:18" x14ac:dyDescent="0.35">
      <c r="A782" s="15" t="s">
        <v>2277</v>
      </c>
      <c r="B782" s="16">
        <v>45892</v>
      </c>
      <c r="C782" s="15" t="s">
        <v>2239</v>
      </c>
      <c r="D782" s="15">
        <v>2025</v>
      </c>
      <c r="E782" s="15" t="s">
        <v>47</v>
      </c>
      <c r="F782" s="15" t="s">
        <v>131</v>
      </c>
      <c r="G782" s="15" t="s">
        <v>25</v>
      </c>
      <c r="H782" s="15" t="s">
        <v>2278</v>
      </c>
      <c r="I782" s="15" t="s">
        <v>2279</v>
      </c>
      <c r="J782" s="17">
        <v>5000000</v>
      </c>
      <c r="K782" s="15"/>
      <c r="L782" s="15" t="s">
        <v>134</v>
      </c>
      <c r="M782" s="15" t="s">
        <v>76</v>
      </c>
      <c r="N782" s="15" t="s">
        <v>175</v>
      </c>
      <c r="O782" s="15">
        <v>169</v>
      </c>
      <c r="P782" s="15" t="s">
        <v>2276</v>
      </c>
      <c r="Q782" s="15"/>
      <c r="R782" s="15" t="s">
        <v>137</v>
      </c>
    </row>
    <row r="783" spans="1:18" x14ac:dyDescent="0.35">
      <c r="A783" s="15" t="s">
        <v>2280</v>
      </c>
      <c r="B783" s="16">
        <v>45895</v>
      </c>
      <c r="C783" s="15" t="s">
        <v>2239</v>
      </c>
      <c r="D783" s="15">
        <v>2025</v>
      </c>
      <c r="E783" s="15" t="s">
        <v>47</v>
      </c>
      <c r="F783" s="15" t="s">
        <v>131</v>
      </c>
      <c r="G783" s="15" t="s">
        <v>40</v>
      </c>
      <c r="H783" s="15" t="s">
        <v>2214</v>
      </c>
      <c r="I783" s="15" t="s">
        <v>2215</v>
      </c>
      <c r="J783" s="17">
        <v>30000000</v>
      </c>
      <c r="K783" s="15"/>
      <c r="L783" s="15" t="s">
        <v>134</v>
      </c>
      <c r="M783" s="15" t="s">
        <v>76</v>
      </c>
      <c r="N783" s="15" t="s">
        <v>1973</v>
      </c>
      <c r="O783" s="15">
        <v>50</v>
      </c>
      <c r="P783" s="15" t="s">
        <v>2281</v>
      </c>
      <c r="Q783" s="15"/>
      <c r="R783" s="15" t="s">
        <v>137</v>
      </c>
    </row>
    <row r="784" spans="1:18" x14ac:dyDescent="0.35">
      <c r="A784" s="15" t="s">
        <v>2282</v>
      </c>
      <c r="B784" s="16">
        <v>45895</v>
      </c>
      <c r="C784" s="15" t="s">
        <v>2239</v>
      </c>
      <c r="D784" s="15">
        <v>2025</v>
      </c>
      <c r="E784" s="15" t="s">
        <v>47</v>
      </c>
      <c r="F784" s="15" t="s">
        <v>131</v>
      </c>
      <c r="G784" s="15" t="s">
        <v>25</v>
      </c>
      <c r="H784" s="15" t="s">
        <v>2278</v>
      </c>
      <c r="I784" s="15" t="s">
        <v>2279</v>
      </c>
      <c r="J784" s="17">
        <v>2500000</v>
      </c>
      <c r="K784" s="15"/>
      <c r="L784" s="15" t="s">
        <v>134</v>
      </c>
      <c r="M784" s="15" t="s">
        <v>76</v>
      </c>
      <c r="N784" s="15" t="s">
        <v>175</v>
      </c>
      <c r="O784" s="15">
        <v>170</v>
      </c>
      <c r="P784" s="15" t="s">
        <v>2281</v>
      </c>
      <c r="Q784" s="15"/>
      <c r="R784" s="15" t="s">
        <v>137</v>
      </c>
    </row>
    <row r="785" spans="1:18" x14ac:dyDescent="0.35">
      <c r="A785" s="15" t="s">
        <v>2283</v>
      </c>
      <c r="B785" s="16">
        <v>45897</v>
      </c>
      <c r="C785" s="15" t="s">
        <v>2239</v>
      </c>
      <c r="D785" s="15">
        <v>2025</v>
      </c>
      <c r="E785" s="15" t="s">
        <v>47</v>
      </c>
      <c r="F785" s="15" t="s">
        <v>131</v>
      </c>
      <c r="G785" s="15" t="s">
        <v>40</v>
      </c>
      <c r="H785" s="15" t="s">
        <v>1984</v>
      </c>
      <c r="I785" s="15" t="s">
        <v>1985</v>
      </c>
      <c r="J785" s="17">
        <v>4750000</v>
      </c>
      <c r="K785" s="15"/>
      <c r="L785" s="15" t="s">
        <v>134</v>
      </c>
      <c r="M785" s="15" t="s">
        <v>76</v>
      </c>
      <c r="N785" s="15" t="s">
        <v>149</v>
      </c>
      <c r="O785" s="15">
        <v>114</v>
      </c>
      <c r="P785" s="15" t="s">
        <v>2284</v>
      </c>
      <c r="Q785" s="15" t="s">
        <v>2285</v>
      </c>
      <c r="R785" s="15" t="s">
        <v>137</v>
      </c>
    </row>
    <row r="786" spans="1:18" x14ac:dyDescent="0.35">
      <c r="A786" s="15" t="s">
        <v>2286</v>
      </c>
      <c r="B786" s="16">
        <v>45898</v>
      </c>
      <c r="C786" s="15" t="s">
        <v>2239</v>
      </c>
      <c r="D786" s="15">
        <v>2025</v>
      </c>
      <c r="E786" s="15" t="s">
        <v>47</v>
      </c>
      <c r="F786" s="15" t="s">
        <v>131</v>
      </c>
      <c r="G786" s="15" t="s">
        <v>25</v>
      </c>
      <c r="H786" s="15" t="s">
        <v>357</v>
      </c>
      <c r="I786" s="15" t="s">
        <v>2245</v>
      </c>
      <c r="J786" s="17">
        <v>5000000</v>
      </c>
      <c r="K786" s="15"/>
      <c r="L786" s="15" t="s">
        <v>134</v>
      </c>
      <c r="M786" s="15" t="s">
        <v>76</v>
      </c>
      <c r="N786" s="15" t="s">
        <v>175</v>
      </c>
      <c r="O786" s="15">
        <v>155</v>
      </c>
      <c r="P786" s="15" t="s">
        <v>2287</v>
      </c>
      <c r="Q786" s="15"/>
      <c r="R786" s="15" t="s">
        <v>137</v>
      </c>
    </row>
    <row r="787" spans="1:18" x14ac:dyDescent="0.35">
      <c r="A787" s="15" t="s">
        <v>2288</v>
      </c>
      <c r="B787" s="16">
        <v>45898</v>
      </c>
      <c r="C787" s="15" t="s">
        <v>2239</v>
      </c>
      <c r="D787" s="15">
        <v>2025</v>
      </c>
      <c r="E787" s="15" t="s">
        <v>47</v>
      </c>
      <c r="F787" s="15" t="s">
        <v>131</v>
      </c>
      <c r="G787" s="15" t="s">
        <v>25</v>
      </c>
      <c r="H787" s="15" t="s">
        <v>357</v>
      </c>
      <c r="I787" s="15" t="s">
        <v>2245</v>
      </c>
      <c r="J787" s="17">
        <v>2500000</v>
      </c>
      <c r="K787" s="15"/>
      <c r="L787" s="15" t="s">
        <v>134</v>
      </c>
      <c r="M787" s="15" t="s">
        <v>76</v>
      </c>
      <c r="N787" s="15" t="s">
        <v>175</v>
      </c>
      <c r="O787" s="15">
        <v>179</v>
      </c>
      <c r="P787" s="15" t="s">
        <v>2287</v>
      </c>
      <c r="Q787" s="15"/>
      <c r="R787" s="15" t="s">
        <v>137</v>
      </c>
    </row>
    <row r="788" spans="1:18" x14ac:dyDescent="0.35">
      <c r="A788" s="15" t="s">
        <v>2289</v>
      </c>
      <c r="B788" s="16">
        <v>45898</v>
      </c>
      <c r="C788" s="15" t="s">
        <v>2239</v>
      </c>
      <c r="D788" s="15">
        <v>2025</v>
      </c>
      <c r="E788" s="15" t="s">
        <v>47</v>
      </c>
      <c r="F788" s="15" t="s">
        <v>131</v>
      </c>
      <c r="G788" s="15" t="s">
        <v>40</v>
      </c>
      <c r="H788" s="15" t="s">
        <v>2214</v>
      </c>
      <c r="I788" s="15" t="s">
        <v>2215</v>
      </c>
      <c r="J788" s="17">
        <v>30000000</v>
      </c>
      <c r="K788" s="15"/>
      <c r="L788" s="15" t="s">
        <v>134</v>
      </c>
      <c r="M788" s="15" t="s">
        <v>76</v>
      </c>
      <c r="N788" s="15" t="s">
        <v>1973</v>
      </c>
      <c r="O788" s="15">
        <v>51</v>
      </c>
      <c r="P788" s="15" t="s">
        <v>2287</v>
      </c>
      <c r="Q788" s="15"/>
      <c r="R788" s="15" t="s">
        <v>137</v>
      </c>
    </row>
    <row r="789" spans="1:18" x14ac:dyDescent="0.35">
      <c r="A789" s="15" t="s">
        <v>2290</v>
      </c>
      <c r="B789" s="16">
        <v>45898</v>
      </c>
      <c r="C789" s="15" t="s">
        <v>2239</v>
      </c>
      <c r="D789" s="15">
        <v>2025</v>
      </c>
      <c r="E789" s="15" t="s">
        <v>47</v>
      </c>
      <c r="F789" s="15" t="s">
        <v>131</v>
      </c>
      <c r="G789" s="15" t="s">
        <v>40</v>
      </c>
      <c r="H789" s="15" t="s">
        <v>2214</v>
      </c>
      <c r="I789" s="15" t="s">
        <v>2215</v>
      </c>
      <c r="J789" s="17">
        <v>900000</v>
      </c>
      <c r="K789" s="15"/>
      <c r="L789" s="15" t="s">
        <v>134</v>
      </c>
      <c r="M789" s="15" t="s">
        <v>76</v>
      </c>
      <c r="N789" s="15" t="s">
        <v>1973</v>
      </c>
      <c r="O789" s="15">
        <v>111</v>
      </c>
      <c r="P789" s="15" t="s">
        <v>2287</v>
      </c>
      <c r="Q789" s="15"/>
      <c r="R789" s="15" t="s">
        <v>137</v>
      </c>
    </row>
    <row r="790" spans="1:18" x14ac:dyDescent="0.35">
      <c r="A790" s="15" t="s">
        <v>2291</v>
      </c>
      <c r="B790" s="16">
        <v>45903</v>
      </c>
      <c r="C790" s="15" t="s">
        <v>2292</v>
      </c>
      <c r="D790" s="15">
        <v>2025</v>
      </c>
      <c r="E790" s="15" t="s">
        <v>47</v>
      </c>
      <c r="F790" s="15" t="s">
        <v>131</v>
      </c>
      <c r="G790" s="15" t="s">
        <v>25</v>
      </c>
      <c r="H790" s="15" t="s">
        <v>2293</v>
      </c>
      <c r="I790" s="15" t="s">
        <v>2294</v>
      </c>
      <c r="J790" s="17">
        <v>4430000</v>
      </c>
      <c r="K790" s="15"/>
      <c r="L790" s="15" t="s">
        <v>134</v>
      </c>
      <c r="M790" s="15" t="s">
        <v>76</v>
      </c>
      <c r="N790" s="15" t="s">
        <v>2204</v>
      </c>
      <c r="O790" s="15">
        <v>16</v>
      </c>
      <c r="P790" s="15" t="s">
        <v>2295</v>
      </c>
      <c r="Q790" s="15"/>
      <c r="R790" s="15" t="s">
        <v>137</v>
      </c>
    </row>
    <row r="791" spans="1:18" x14ac:dyDescent="0.35">
      <c r="A791" s="15" t="s">
        <v>2296</v>
      </c>
      <c r="B791" s="16">
        <v>45903</v>
      </c>
      <c r="C791" s="15" t="s">
        <v>2292</v>
      </c>
      <c r="D791" s="15">
        <v>2025</v>
      </c>
      <c r="E791" s="15" t="s">
        <v>47</v>
      </c>
      <c r="F791" s="15" t="s">
        <v>131</v>
      </c>
      <c r="G791" s="15" t="s">
        <v>25</v>
      </c>
      <c r="H791" s="15" t="s">
        <v>2232</v>
      </c>
      <c r="I791" s="15" t="s">
        <v>2233</v>
      </c>
      <c r="J791" s="17">
        <v>4915000</v>
      </c>
      <c r="K791" s="15"/>
      <c r="L791" s="15" t="s">
        <v>134</v>
      </c>
      <c r="M791" s="15" t="s">
        <v>76</v>
      </c>
      <c r="N791" s="15" t="s">
        <v>2204</v>
      </c>
      <c r="O791" s="15">
        <v>17</v>
      </c>
      <c r="P791" s="15" t="s">
        <v>2295</v>
      </c>
      <c r="Q791" s="15"/>
      <c r="R791" s="15" t="s">
        <v>137</v>
      </c>
    </row>
    <row r="792" spans="1:18" x14ac:dyDescent="0.35">
      <c r="A792" s="15" t="s">
        <v>2297</v>
      </c>
      <c r="B792" s="16">
        <v>45905</v>
      </c>
      <c r="C792" s="15" t="s">
        <v>2292</v>
      </c>
      <c r="D792" s="15">
        <v>2025</v>
      </c>
      <c r="E792" s="15" t="s">
        <v>47</v>
      </c>
      <c r="F792" s="15" t="s">
        <v>131</v>
      </c>
      <c r="G792" s="15" t="s">
        <v>40</v>
      </c>
      <c r="H792" s="15" t="s">
        <v>2048</v>
      </c>
      <c r="I792" s="15" t="s">
        <v>2049</v>
      </c>
      <c r="J792" s="17">
        <v>3000000</v>
      </c>
      <c r="K792" s="15"/>
      <c r="L792" s="15" t="s">
        <v>134</v>
      </c>
      <c r="M792" s="15" t="s">
        <v>76</v>
      </c>
      <c r="N792" s="15" t="s">
        <v>1973</v>
      </c>
      <c r="O792" s="15">
        <v>77</v>
      </c>
      <c r="P792" s="15" t="s">
        <v>2298</v>
      </c>
      <c r="Q792" s="15"/>
      <c r="R792" s="15" t="s">
        <v>137</v>
      </c>
    </row>
    <row r="793" spans="1:18" x14ac:dyDescent="0.35">
      <c r="A793" s="15" t="s">
        <v>2299</v>
      </c>
      <c r="B793" s="16">
        <v>45915</v>
      </c>
      <c r="C793" s="15" t="s">
        <v>2292</v>
      </c>
      <c r="D793" s="15">
        <v>2025</v>
      </c>
      <c r="E793" s="15" t="s">
        <v>47</v>
      </c>
      <c r="F793" s="15" t="s">
        <v>131</v>
      </c>
      <c r="G793" s="15" t="s">
        <v>25</v>
      </c>
      <c r="H793" s="15" t="s">
        <v>2217</v>
      </c>
      <c r="I793" s="15" t="s">
        <v>2218</v>
      </c>
      <c r="J793" s="17">
        <v>9000000</v>
      </c>
      <c r="K793" s="15"/>
      <c r="L793" s="15" t="s">
        <v>134</v>
      </c>
      <c r="M793" s="15" t="s">
        <v>76</v>
      </c>
      <c r="N793" s="15" t="s">
        <v>1973</v>
      </c>
      <c r="O793" s="15">
        <v>80</v>
      </c>
      <c r="P793" s="15" t="s">
        <v>2300</v>
      </c>
      <c r="Q793" s="15"/>
      <c r="R793" s="15" t="s">
        <v>137</v>
      </c>
    </row>
    <row r="794" spans="1:18" x14ac:dyDescent="0.35">
      <c r="A794" s="15" t="s">
        <v>2301</v>
      </c>
      <c r="B794" s="16">
        <v>45916</v>
      </c>
      <c r="C794" s="15" t="s">
        <v>2292</v>
      </c>
      <c r="D794" s="15">
        <v>2025</v>
      </c>
      <c r="E794" s="15" t="s">
        <v>47</v>
      </c>
      <c r="F794" s="15" t="s">
        <v>131</v>
      </c>
      <c r="G794" s="15" t="s">
        <v>25</v>
      </c>
      <c r="H794" s="15" t="s">
        <v>2293</v>
      </c>
      <c r="I794" s="15" t="s">
        <v>2294</v>
      </c>
      <c r="J794" s="17">
        <v>5000000</v>
      </c>
      <c r="K794" s="15"/>
      <c r="L794" s="15" t="s">
        <v>134</v>
      </c>
      <c r="M794" s="15" t="s">
        <v>76</v>
      </c>
      <c r="N794" s="15" t="s">
        <v>2204</v>
      </c>
      <c r="O794" s="15">
        <v>18</v>
      </c>
      <c r="P794" s="15" t="s">
        <v>2302</v>
      </c>
      <c r="Q794" s="15"/>
      <c r="R794" s="15" t="s">
        <v>137</v>
      </c>
    </row>
    <row r="795" spans="1:18" x14ac:dyDescent="0.35">
      <c r="A795" s="15" t="s">
        <v>2303</v>
      </c>
      <c r="B795" s="16">
        <v>45916</v>
      </c>
      <c r="C795" s="15" t="s">
        <v>2292</v>
      </c>
      <c r="D795" s="15">
        <v>2025</v>
      </c>
      <c r="E795" s="15" t="s">
        <v>47</v>
      </c>
      <c r="F795" s="15" t="s">
        <v>131</v>
      </c>
      <c r="G795" s="15" t="s">
        <v>25</v>
      </c>
      <c r="H795" s="15" t="s">
        <v>2232</v>
      </c>
      <c r="I795" s="15" t="s">
        <v>2233</v>
      </c>
      <c r="J795" s="17">
        <v>5000000</v>
      </c>
      <c r="K795" s="15"/>
      <c r="L795" s="15" t="s">
        <v>134</v>
      </c>
      <c r="M795" s="15" t="s">
        <v>76</v>
      </c>
      <c r="N795" s="15" t="s">
        <v>2204</v>
      </c>
      <c r="O795" s="15">
        <v>19</v>
      </c>
      <c r="P795" s="15" t="s">
        <v>2302</v>
      </c>
      <c r="Q795" s="15"/>
      <c r="R795" s="15" t="s">
        <v>137</v>
      </c>
    </row>
    <row r="796" spans="1:18" x14ac:dyDescent="0.35">
      <c r="A796" s="15" t="s">
        <v>2304</v>
      </c>
      <c r="B796" s="16">
        <v>45918</v>
      </c>
      <c r="C796" s="15" t="s">
        <v>2292</v>
      </c>
      <c r="D796" s="15">
        <v>2025</v>
      </c>
      <c r="E796" s="15" t="s">
        <v>47</v>
      </c>
      <c r="F796" s="15" t="s">
        <v>131</v>
      </c>
      <c r="G796" s="15" t="s">
        <v>25</v>
      </c>
      <c r="H796" s="15" t="s">
        <v>2210</v>
      </c>
      <c r="I796" s="15" t="s">
        <v>2211</v>
      </c>
      <c r="J796" s="17">
        <v>30900000</v>
      </c>
      <c r="K796" s="15"/>
      <c r="L796" s="15" t="s">
        <v>134</v>
      </c>
      <c r="M796" s="15" t="s">
        <v>76</v>
      </c>
      <c r="N796" s="15" t="s">
        <v>1973</v>
      </c>
      <c r="O796" s="15">
        <v>78</v>
      </c>
      <c r="P796" s="15" t="s">
        <v>2305</v>
      </c>
      <c r="Q796" s="15"/>
      <c r="R796" s="15" t="s">
        <v>137</v>
      </c>
    </row>
    <row r="797" spans="1:18" x14ac:dyDescent="0.35">
      <c r="A797" s="15" t="s">
        <v>2306</v>
      </c>
      <c r="B797" s="16">
        <v>45918</v>
      </c>
      <c r="C797" s="15" t="s">
        <v>2292</v>
      </c>
      <c r="D797" s="15">
        <v>2025</v>
      </c>
      <c r="E797" s="15" t="s">
        <v>47</v>
      </c>
      <c r="F797" s="15" t="s">
        <v>131</v>
      </c>
      <c r="G797" s="15" t="s">
        <v>25</v>
      </c>
      <c r="H797" s="15" t="s">
        <v>2278</v>
      </c>
      <c r="I797" s="15" t="s">
        <v>2279</v>
      </c>
      <c r="J797" s="17">
        <v>2500000</v>
      </c>
      <c r="K797" s="15"/>
      <c r="L797" s="15" t="s">
        <v>134</v>
      </c>
      <c r="M797" s="15" t="s">
        <v>76</v>
      </c>
      <c r="N797" s="15" t="s">
        <v>175</v>
      </c>
      <c r="O797" s="15">
        <v>171</v>
      </c>
      <c r="P797" s="15" t="s">
        <v>2305</v>
      </c>
      <c r="Q797" s="15"/>
      <c r="R797" s="15" t="s">
        <v>137</v>
      </c>
    </row>
    <row r="798" spans="1:18" x14ac:dyDescent="0.35">
      <c r="A798" s="15" t="s">
        <v>2307</v>
      </c>
      <c r="B798" s="16">
        <v>45924</v>
      </c>
      <c r="C798" s="15" t="s">
        <v>2292</v>
      </c>
      <c r="D798" s="15">
        <v>2025</v>
      </c>
      <c r="E798" s="15" t="s">
        <v>47</v>
      </c>
      <c r="F798" s="15" t="s">
        <v>131</v>
      </c>
      <c r="G798" s="15" t="s">
        <v>40</v>
      </c>
      <c r="H798" s="15" t="s">
        <v>1755</v>
      </c>
      <c r="I798" s="15" t="s">
        <v>1756</v>
      </c>
      <c r="J798" s="17">
        <v>5000000</v>
      </c>
      <c r="K798" s="15"/>
      <c r="L798" s="15" t="s">
        <v>134</v>
      </c>
      <c r="M798" s="15" t="s">
        <v>76</v>
      </c>
      <c r="N798" s="15" t="s">
        <v>1973</v>
      </c>
      <c r="O798" s="15">
        <v>79</v>
      </c>
      <c r="P798" s="15" t="s">
        <v>2308</v>
      </c>
      <c r="Q798" s="15"/>
      <c r="R798" s="15" t="s">
        <v>137</v>
      </c>
    </row>
    <row r="799" spans="1:18" x14ac:dyDescent="0.35">
      <c r="A799" s="15" t="s">
        <v>2309</v>
      </c>
      <c r="B799" s="16">
        <v>45925</v>
      </c>
      <c r="C799" s="15" t="s">
        <v>2292</v>
      </c>
      <c r="D799" s="15">
        <v>2025</v>
      </c>
      <c r="E799" s="15" t="s">
        <v>47</v>
      </c>
      <c r="F799" s="15" t="s">
        <v>131</v>
      </c>
      <c r="G799" s="15" t="s">
        <v>35</v>
      </c>
      <c r="H799" s="15" t="s">
        <v>1410</v>
      </c>
      <c r="I799" s="15" t="s">
        <v>1411</v>
      </c>
      <c r="J799" s="17">
        <v>3400000</v>
      </c>
      <c r="K799" s="15"/>
      <c r="L799" s="15" t="s">
        <v>134</v>
      </c>
      <c r="M799" s="15" t="s">
        <v>76</v>
      </c>
      <c r="N799" s="15" t="s">
        <v>1788</v>
      </c>
      <c r="O799" s="15">
        <v>98</v>
      </c>
      <c r="P799" s="15" t="s">
        <v>2310</v>
      </c>
      <c r="Q799" s="15"/>
      <c r="R799" s="15" t="s">
        <v>137</v>
      </c>
    </row>
    <row r="800" spans="1:18" x14ac:dyDescent="0.35">
      <c r="A800" s="15" t="s">
        <v>2311</v>
      </c>
      <c r="B800" s="16">
        <v>45925</v>
      </c>
      <c r="C800" s="15" t="s">
        <v>2292</v>
      </c>
      <c r="D800" s="15">
        <v>2025</v>
      </c>
      <c r="E800" s="15" t="s">
        <v>47</v>
      </c>
      <c r="F800" s="15" t="s">
        <v>131</v>
      </c>
      <c r="G800" s="15" t="s">
        <v>35</v>
      </c>
      <c r="H800" s="15" t="s">
        <v>1410</v>
      </c>
      <c r="I800" s="15" t="s">
        <v>1411</v>
      </c>
      <c r="J800" s="17">
        <v>2400000</v>
      </c>
      <c r="K800" s="15"/>
      <c r="L800" s="15" t="s">
        <v>134</v>
      </c>
      <c r="M800" s="15" t="s">
        <v>76</v>
      </c>
      <c r="N800" s="15" t="s">
        <v>1788</v>
      </c>
      <c r="O800" s="15">
        <v>99</v>
      </c>
      <c r="P800" s="15" t="s">
        <v>2310</v>
      </c>
      <c r="Q800" s="15"/>
      <c r="R800" s="15" t="s">
        <v>137</v>
      </c>
    </row>
    <row r="801" spans="1:18" x14ac:dyDescent="0.35">
      <c r="A801" s="15" t="s">
        <v>2312</v>
      </c>
      <c r="B801" s="16">
        <v>45926</v>
      </c>
      <c r="C801" s="15" t="s">
        <v>2292</v>
      </c>
      <c r="D801" s="15">
        <v>2025</v>
      </c>
      <c r="E801" s="15" t="s">
        <v>47</v>
      </c>
      <c r="F801" s="15" t="s">
        <v>131</v>
      </c>
      <c r="G801" s="15" t="s">
        <v>25</v>
      </c>
      <c r="H801" s="15" t="s">
        <v>2274</v>
      </c>
      <c r="I801" s="15" t="s">
        <v>2275</v>
      </c>
      <c r="J801" s="17">
        <v>2500000</v>
      </c>
      <c r="K801" s="15"/>
      <c r="L801" s="15" t="s">
        <v>134</v>
      </c>
      <c r="M801" s="15" t="s">
        <v>76</v>
      </c>
      <c r="N801" s="15" t="s">
        <v>175</v>
      </c>
      <c r="O801" s="15">
        <v>168</v>
      </c>
      <c r="P801" s="15" t="s">
        <v>2313</v>
      </c>
      <c r="Q801" s="15"/>
      <c r="R801" s="15" t="s">
        <v>137</v>
      </c>
    </row>
    <row r="802" spans="1:18" x14ac:dyDescent="0.35">
      <c r="A802" s="15" t="s">
        <v>2314</v>
      </c>
      <c r="B802" s="16">
        <v>45929</v>
      </c>
      <c r="C802" s="15" t="s">
        <v>2292</v>
      </c>
      <c r="D802" s="15">
        <v>2025</v>
      </c>
      <c r="E802" s="15" t="s">
        <v>46</v>
      </c>
      <c r="F802" s="15" t="s">
        <v>131</v>
      </c>
      <c r="G802" s="15" t="s">
        <v>36</v>
      </c>
      <c r="H802" s="15" t="s">
        <v>2158</v>
      </c>
      <c r="I802" s="15" t="s">
        <v>2159</v>
      </c>
      <c r="J802" s="17">
        <v>1000000</v>
      </c>
      <c r="K802" s="15"/>
      <c r="L802" s="15" t="s">
        <v>134</v>
      </c>
      <c r="M802" s="15" t="s">
        <v>76</v>
      </c>
      <c r="N802" s="15" t="s">
        <v>135</v>
      </c>
      <c r="O802" s="15">
        <v>236</v>
      </c>
      <c r="P802" s="15" t="s">
        <v>2315</v>
      </c>
      <c r="Q802" s="15"/>
      <c r="R802" s="15" t="s">
        <v>137</v>
      </c>
    </row>
    <row r="803" spans="1:18" x14ac:dyDescent="0.35">
      <c r="A803" s="15" t="s">
        <v>2316</v>
      </c>
      <c r="B803" s="16">
        <v>45933</v>
      </c>
      <c r="C803" s="15" t="s">
        <v>2317</v>
      </c>
      <c r="D803" s="15">
        <v>2025</v>
      </c>
      <c r="E803" s="15" t="s">
        <v>46</v>
      </c>
      <c r="F803" s="15" t="s">
        <v>131</v>
      </c>
      <c r="G803" s="15" t="s">
        <v>36</v>
      </c>
      <c r="H803" s="15" t="s">
        <v>2318</v>
      </c>
      <c r="I803" s="15" t="s">
        <v>2319</v>
      </c>
      <c r="J803" s="17">
        <v>2500000</v>
      </c>
      <c r="K803" s="15"/>
      <c r="L803" s="15" t="s">
        <v>134</v>
      </c>
      <c r="M803" s="15" t="s">
        <v>76</v>
      </c>
      <c r="N803" s="15" t="s">
        <v>1823</v>
      </c>
      <c r="O803" s="15">
        <v>84</v>
      </c>
      <c r="P803" s="15" t="s">
        <v>2320</v>
      </c>
      <c r="Q803" s="15"/>
      <c r="R803" s="15" t="s">
        <v>137</v>
      </c>
    </row>
    <row r="804" spans="1:18" x14ac:dyDescent="0.35">
      <c r="A804" s="15" t="s">
        <v>2321</v>
      </c>
      <c r="B804" s="16">
        <v>45935</v>
      </c>
      <c r="C804" s="15" t="s">
        <v>2317</v>
      </c>
      <c r="D804" s="15">
        <v>2025</v>
      </c>
      <c r="E804" s="15" t="s">
        <v>47</v>
      </c>
      <c r="F804" s="15" t="s">
        <v>131</v>
      </c>
      <c r="G804" s="15" t="s">
        <v>40</v>
      </c>
      <c r="H804" s="15" t="s">
        <v>2048</v>
      </c>
      <c r="I804" s="15" t="s">
        <v>2049</v>
      </c>
      <c r="J804" s="17">
        <v>3000000</v>
      </c>
      <c r="K804" s="15"/>
      <c r="L804" s="15" t="s">
        <v>134</v>
      </c>
      <c r="M804" s="15" t="s">
        <v>76</v>
      </c>
      <c r="N804" s="15" t="s">
        <v>1973</v>
      </c>
      <c r="O804" s="15">
        <v>86</v>
      </c>
      <c r="P804" s="15" t="s">
        <v>2322</v>
      </c>
      <c r="Q804" s="15"/>
      <c r="R804" s="15" t="s">
        <v>137</v>
      </c>
    </row>
    <row r="805" spans="1:18" x14ac:dyDescent="0.35">
      <c r="A805" s="15" t="s">
        <v>2323</v>
      </c>
      <c r="B805" s="16">
        <v>45935</v>
      </c>
      <c r="C805" s="15" t="s">
        <v>2317</v>
      </c>
      <c r="D805" s="15">
        <v>2025</v>
      </c>
      <c r="E805" s="15" t="s">
        <v>47</v>
      </c>
      <c r="F805" s="15" t="s">
        <v>131</v>
      </c>
      <c r="G805" s="15" t="s">
        <v>25</v>
      </c>
      <c r="H805" s="15" t="s">
        <v>2278</v>
      </c>
      <c r="I805" s="15" t="s">
        <v>2279</v>
      </c>
      <c r="J805" s="17">
        <v>5000000</v>
      </c>
      <c r="K805" s="15"/>
      <c r="L805" s="15" t="s">
        <v>134</v>
      </c>
      <c r="M805" s="15" t="s">
        <v>76</v>
      </c>
      <c r="N805" s="15" t="s">
        <v>175</v>
      </c>
      <c r="O805" s="15">
        <v>172</v>
      </c>
      <c r="P805" s="15" t="s">
        <v>2322</v>
      </c>
      <c r="Q805" s="15"/>
      <c r="R805" s="15" t="s">
        <v>137</v>
      </c>
    </row>
    <row r="806" spans="1:18" x14ac:dyDescent="0.35">
      <c r="A806" s="15" t="s">
        <v>2324</v>
      </c>
      <c r="B806" s="16">
        <v>45936</v>
      </c>
      <c r="C806" s="15" t="s">
        <v>2317</v>
      </c>
      <c r="D806" s="15">
        <v>2025</v>
      </c>
      <c r="E806" s="15" t="s">
        <v>47</v>
      </c>
      <c r="F806" s="15" t="s">
        <v>131</v>
      </c>
      <c r="G806" s="15" t="s">
        <v>25</v>
      </c>
      <c r="H806" s="15" t="s">
        <v>357</v>
      </c>
      <c r="I806" s="15" t="s">
        <v>2245</v>
      </c>
      <c r="J806" s="17">
        <v>2500000</v>
      </c>
      <c r="K806" s="15"/>
      <c r="L806" s="15" t="s">
        <v>134</v>
      </c>
      <c r="M806" s="15" t="s">
        <v>76</v>
      </c>
      <c r="N806" s="15" t="s">
        <v>175</v>
      </c>
      <c r="O806" s="15">
        <v>185</v>
      </c>
      <c r="P806" s="15" t="s">
        <v>2325</v>
      </c>
      <c r="Q806" s="15"/>
      <c r="R806" s="15" t="s">
        <v>137</v>
      </c>
    </row>
    <row r="807" spans="1:18" x14ac:dyDescent="0.35">
      <c r="A807" s="15" t="s">
        <v>2326</v>
      </c>
      <c r="B807" s="16">
        <v>45943</v>
      </c>
      <c r="C807" s="15" t="s">
        <v>2317</v>
      </c>
      <c r="D807" s="15">
        <v>2025</v>
      </c>
      <c r="E807" s="15" t="s">
        <v>47</v>
      </c>
      <c r="F807" s="15" t="s">
        <v>131</v>
      </c>
      <c r="G807" s="15" t="s">
        <v>40</v>
      </c>
      <c r="H807" s="15" t="s">
        <v>2214</v>
      </c>
      <c r="I807" s="15" t="s">
        <v>2215</v>
      </c>
      <c r="J807" s="17">
        <v>30900000</v>
      </c>
      <c r="K807" s="15"/>
      <c r="L807" s="15" t="s">
        <v>134</v>
      </c>
      <c r="M807" s="15" t="s">
        <v>76</v>
      </c>
      <c r="N807" s="15" t="s">
        <v>1973</v>
      </c>
      <c r="O807" s="15">
        <v>52</v>
      </c>
      <c r="P807" s="15" t="s">
        <v>2327</v>
      </c>
      <c r="Q807" s="15"/>
      <c r="R807" s="15" t="s">
        <v>137</v>
      </c>
    </row>
    <row r="808" spans="1:18" x14ac:dyDescent="0.35">
      <c r="A808" s="15" t="s">
        <v>2328</v>
      </c>
      <c r="B808" s="16">
        <v>45952</v>
      </c>
      <c r="C808" s="15" t="s">
        <v>2317</v>
      </c>
      <c r="D808" s="15">
        <v>2025</v>
      </c>
      <c r="E808" s="15" t="s">
        <v>47</v>
      </c>
      <c r="F808" s="15" t="s">
        <v>131</v>
      </c>
      <c r="G808" s="15" t="s">
        <v>25</v>
      </c>
      <c r="H808" s="15" t="s">
        <v>2274</v>
      </c>
      <c r="I808" s="15" t="s">
        <v>2275</v>
      </c>
      <c r="J808" s="17">
        <v>2500000</v>
      </c>
      <c r="K808" s="15"/>
      <c r="L808" s="15" t="s">
        <v>134</v>
      </c>
      <c r="M808" s="15" t="s">
        <v>76</v>
      </c>
      <c r="N808" s="15" t="s">
        <v>175</v>
      </c>
      <c r="O808" s="15">
        <v>173</v>
      </c>
      <c r="P808" s="15" t="s">
        <v>2329</v>
      </c>
      <c r="Q808" s="15"/>
      <c r="R808" s="15" t="s">
        <v>137</v>
      </c>
    </row>
    <row r="809" spans="1:18" x14ac:dyDescent="0.35">
      <c r="A809" s="15" t="s">
        <v>2330</v>
      </c>
      <c r="B809" s="16">
        <v>45953</v>
      </c>
      <c r="C809" s="15" t="s">
        <v>2317</v>
      </c>
      <c r="D809" s="15">
        <v>2025</v>
      </c>
      <c r="E809" s="15" t="s">
        <v>47</v>
      </c>
      <c r="F809" s="15" t="s">
        <v>131</v>
      </c>
      <c r="G809" s="15" t="s">
        <v>40</v>
      </c>
      <c r="H809" s="15" t="s">
        <v>2210</v>
      </c>
      <c r="I809" s="15" t="s">
        <v>2211</v>
      </c>
      <c r="J809" s="17">
        <v>5000000</v>
      </c>
      <c r="K809" s="15"/>
      <c r="L809" s="15" t="s">
        <v>134</v>
      </c>
      <c r="M809" s="15" t="s">
        <v>76</v>
      </c>
      <c r="N809" s="15" t="s">
        <v>1973</v>
      </c>
      <c r="O809" s="15">
        <v>87</v>
      </c>
      <c r="P809" s="15" t="s">
        <v>2331</v>
      </c>
      <c r="Q809" s="15"/>
      <c r="R809" s="15" t="s">
        <v>137</v>
      </c>
    </row>
    <row r="810" spans="1:18" x14ac:dyDescent="0.35">
      <c r="A810" s="15" t="s">
        <v>2332</v>
      </c>
      <c r="B810" s="16">
        <v>45953</v>
      </c>
      <c r="C810" s="15" t="s">
        <v>2317</v>
      </c>
      <c r="D810" s="15">
        <v>2025</v>
      </c>
      <c r="E810" s="15" t="s">
        <v>47</v>
      </c>
      <c r="F810" s="15" t="s">
        <v>131</v>
      </c>
      <c r="G810" s="15" t="s">
        <v>35</v>
      </c>
      <c r="H810" s="15" t="s">
        <v>1410</v>
      </c>
      <c r="I810" s="15" t="s">
        <v>1411</v>
      </c>
      <c r="J810" s="17">
        <v>3900000</v>
      </c>
      <c r="K810" s="15"/>
      <c r="L810" s="15" t="s">
        <v>134</v>
      </c>
      <c r="M810" s="15" t="s">
        <v>76</v>
      </c>
      <c r="N810" s="15" t="s">
        <v>1788</v>
      </c>
      <c r="O810" s="15">
        <v>105</v>
      </c>
      <c r="P810" s="15" t="s">
        <v>2331</v>
      </c>
      <c r="Q810" s="15"/>
      <c r="R810" s="15" t="s">
        <v>137</v>
      </c>
    </row>
    <row r="811" spans="1:18" x14ac:dyDescent="0.35">
      <c r="A811" s="15" t="s">
        <v>2333</v>
      </c>
      <c r="B811" s="16">
        <v>45954</v>
      </c>
      <c r="C811" s="15" t="s">
        <v>2317</v>
      </c>
      <c r="D811" s="15">
        <v>2025</v>
      </c>
      <c r="E811" s="15" t="s">
        <v>47</v>
      </c>
      <c r="F811" s="15" t="s">
        <v>131</v>
      </c>
      <c r="G811" s="15" t="s">
        <v>40</v>
      </c>
      <c r="H811" s="15" t="s">
        <v>2210</v>
      </c>
      <c r="I811" s="15" t="s">
        <v>2211</v>
      </c>
      <c r="J811" s="17">
        <v>5000000</v>
      </c>
      <c r="K811" s="15"/>
      <c r="L811" s="15" t="s">
        <v>134</v>
      </c>
      <c r="M811" s="15" t="s">
        <v>76</v>
      </c>
      <c r="N811" s="15" t="s">
        <v>1973</v>
      </c>
      <c r="O811" s="15">
        <v>88</v>
      </c>
      <c r="P811" s="15" t="s">
        <v>2334</v>
      </c>
      <c r="Q811" s="15"/>
      <c r="R811" s="15" t="s">
        <v>137</v>
      </c>
    </row>
    <row r="812" spans="1:18" x14ac:dyDescent="0.35">
      <c r="A812" s="15" t="s">
        <v>2335</v>
      </c>
      <c r="B812" s="16">
        <v>45958</v>
      </c>
      <c r="C812" s="15" t="s">
        <v>2317</v>
      </c>
      <c r="D812" s="15">
        <v>2025</v>
      </c>
      <c r="E812" s="15" t="s">
        <v>47</v>
      </c>
      <c r="F812" s="15" t="s">
        <v>131</v>
      </c>
      <c r="G812" s="15" t="s">
        <v>35</v>
      </c>
      <c r="H812" s="15" t="s">
        <v>1410</v>
      </c>
      <c r="I812" s="15" t="s">
        <v>1411</v>
      </c>
      <c r="J812" s="17">
        <v>2000000</v>
      </c>
      <c r="K812" s="15"/>
      <c r="L812" s="15" t="s">
        <v>134</v>
      </c>
      <c r="M812" s="15" t="s">
        <v>76</v>
      </c>
      <c r="N812" s="15" t="s">
        <v>1788</v>
      </c>
      <c r="O812" s="15">
        <v>106</v>
      </c>
      <c r="P812" s="15" t="s">
        <v>2336</v>
      </c>
      <c r="Q812" s="15"/>
      <c r="R812" s="15" t="s">
        <v>137</v>
      </c>
    </row>
    <row r="813" spans="1:18" x14ac:dyDescent="0.35">
      <c r="A813" s="15" t="s">
        <v>2337</v>
      </c>
      <c r="B813" s="16">
        <v>45960</v>
      </c>
      <c r="C813" s="15" t="s">
        <v>2317</v>
      </c>
      <c r="D813" s="15">
        <v>2025</v>
      </c>
      <c r="E813" s="15" t="s">
        <v>47</v>
      </c>
      <c r="F813" s="15" t="s">
        <v>131</v>
      </c>
      <c r="G813" s="15" t="s">
        <v>40</v>
      </c>
      <c r="H813" s="15" t="s">
        <v>2210</v>
      </c>
      <c r="I813" s="15" t="s">
        <v>2211</v>
      </c>
      <c r="J813" s="17">
        <v>19000000</v>
      </c>
      <c r="K813" s="15"/>
      <c r="L813" s="15" t="s">
        <v>134</v>
      </c>
      <c r="M813" s="15" t="s">
        <v>76</v>
      </c>
      <c r="N813" s="15" t="s">
        <v>1973</v>
      </c>
      <c r="O813" s="15">
        <v>89</v>
      </c>
      <c r="P813" s="15" t="s">
        <v>2338</v>
      </c>
      <c r="Q813" s="15"/>
      <c r="R813" s="15" t="s">
        <v>137</v>
      </c>
    </row>
    <row r="814" spans="1:18" x14ac:dyDescent="0.35">
      <c r="A814" s="15" t="s">
        <v>2339</v>
      </c>
      <c r="B814" s="16">
        <v>45961</v>
      </c>
      <c r="C814" s="15" t="s">
        <v>2317</v>
      </c>
      <c r="D814" s="15">
        <v>2025</v>
      </c>
      <c r="E814" s="15" t="s">
        <v>47</v>
      </c>
      <c r="F814" s="15" t="s">
        <v>131</v>
      </c>
      <c r="G814" s="15" t="s">
        <v>40</v>
      </c>
      <c r="H814" s="15" t="s">
        <v>2214</v>
      </c>
      <c r="I814" s="15" t="s">
        <v>2215</v>
      </c>
      <c r="J814" s="17">
        <v>30700000</v>
      </c>
      <c r="K814" s="15"/>
      <c r="L814" s="15" t="s">
        <v>134</v>
      </c>
      <c r="M814" s="15" t="s">
        <v>76</v>
      </c>
      <c r="N814" s="15" t="s">
        <v>1973</v>
      </c>
      <c r="O814" s="15">
        <v>53</v>
      </c>
      <c r="P814" s="15" t="s">
        <v>2340</v>
      </c>
      <c r="Q814" s="15"/>
      <c r="R814" s="15" t="s">
        <v>137</v>
      </c>
    </row>
    <row r="815" spans="1:18" x14ac:dyDescent="0.35">
      <c r="A815" s="15" t="s">
        <v>2341</v>
      </c>
      <c r="B815" s="16">
        <v>45961</v>
      </c>
      <c r="C815" s="15" t="s">
        <v>2317</v>
      </c>
      <c r="D815" s="15">
        <v>2025</v>
      </c>
      <c r="E815" s="15" t="s">
        <v>47</v>
      </c>
      <c r="F815" s="15" t="s">
        <v>131</v>
      </c>
      <c r="G815" s="15" t="s">
        <v>25</v>
      </c>
      <c r="H815" s="15" t="s">
        <v>2278</v>
      </c>
      <c r="I815" s="15" t="s">
        <v>2279</v>
      </c>
      <c r="J815" s="17">
        <v>5000000</v>
      </c>
      <c r="K815" s="15"/>
      <c r="L815" s="15" t="s">
        <v>134</v>
      </c>
      <c r="M815" s="15" t="s">
        <v>76</v>
      </c>
      <c r="N815" s="15" t="s">
        <v>175</v>
      </c>
      <c r="O815" s="15">
        <v>174</v>
      </c>
      <c r="P815" s="15" t="s">
        <v>2340</v>
      </c>
      <c r="Q815" s="15"/>
      <c r="R815" s="15" t="s">
        <v>137</v>
      </c>
    </row>
    <row r="816" spans="1:18" x14ac:dyDescent="0.35">
      <c r="A816" s="15" t="s">
        <v>2342</v>
      </c>
      <c r="B816" s="16">
        <v>45961</v>
      </c>
      <c r="C816" s="15" t="s">
        <v>2317</v>
      </c>
      <c r="D816" s="15">
        <v>2025</v>
      </c>
      <c r="E816" s="15" t="s">
        <v>47</v>
      </c>
      <c r="F816" s="15" t="s">
        <v>131</v>
      </c>
      <c r="G816" s="15" t="s">
        <v>25</v>
      </c>
      <c r="H816" s="15" t="s">
        <v>2278</v>
      </c>
      <c r="I816" s="15" t="s">
        <v>2279</v>
      </c>
      <c r="J816" s="17">
        <v>2500000</v>
      </c>
      <c r="K816" s="15"/>
      <c r="L816" s="15" t="s">
        <v>134</v>
      </c>
      <c r="M816" s="15" t="s">
        <v>76</v>
      </c>
      <c r="N816" s="15" t="s">
        <v>175</v>
      </c>
      <c r="O816" s="15">
        <v>224</v>
      </c>
      <c r="P816" s="15" t="s">
        <v>2340</v>
      </c>
      <c r="Q816" s="15"/>
      <c r="R816" s="15" t="s">
        <v>137</v>
      </c>
    </row>
    <row r="817" spans="1:18" x14ac:dyDescent="0.35">
      <c r="A817" s="15" t="s">
        <v>2343</v>
      </c>
      <c r="B817" s="16">
        <v>45961</v>
      </c>
      <c r="C817" s="15" t="s">
        <v>2317</v>
      </c>
      <c r="D817" s="15">
        <v>2025</v>
      </c>
      <c r="E817" s="15" t="s">
        <v>47</v>
      </c>
      <c r="F817" s="15" t="s">
        <v>131</v>
      </c>
      <c r="G817" s="15" t="s">
        <v>40</v>
      </c>
      <c r="H817" s="15" t="s">
        <v>1984</v>
      </c>
      <c r="I817" s="15" t="s">
        <v>1985</v>
      </c>
      <c r="J817" s="17">
        <v>3975000</v>
      </c>
      <c r="K817" s="15"/>
      <c r="L817" s="15" t="s">
        <v>134</v>
      </c>
      <c r="M817" s="15" t="s">
        <v>76</v>
      </c>
      <c r="N817" s="15" t="s">
        <v>149</v>
      </c>
      <c r="O817" s="15">
        <v>121</v>
      </c>
      <c r="P817" s="15" t="s">
        <v>2340</v>
      </c>
      <c r="Q817" s="15" t="s">
        <v>2344</v>
      </c>
      <c r="R817" s="15" t="s">
        <v>137</v>
      </c>
    </row>
    <row r="818" spans="1:18" x14ac:dyDescent="0.35">
      <c r="A818" s="15" t="s">
        <v>2345</v>
      </c>
      <c r="B818" s="16">
        <v>45966</v>
      </c>
      <c r="C818" s="15" t="s">
        <v>2346</v>
      </c>
      <c r="D818" s="15">
        <v>2025</v>
      </c>
      <c r="E818" s="15" t="s">
        <v>47</v>
      </c>
      <c r="F818" s="15" t="s">
        <v>131</v>
      </c>
      <c r="G818" s="15" t="s">
        <v>40</v>
      </c>
      <c r="H818" s="15" t="s">
        <v>2048</v>
      </c>
      <c r="I818" s="15" t="s">
        <v>2049</v>
      </c>
      <c r="J818" s="17">
        <v>5000000</v>
      </c>
      <c r="K818" s="15"/>
      <c r="L818" s="15" t="s">
        <v>134</v>
      </c>
      <c r="M818" s="15" t="s">
        <v>76</v>
      </c>
      <c r="N818" s="15" t="s">
        <v>1973</v>
      </c>
      <c r="O818" s="15">
        <v>95</v>
      </c>
      <c r="P818" s="15" t="s">
        <v>2347</v>
      </c>
      <c r="Q818" s="15"/>
      <c r="R818" s="15" t="s">
        <v>137</v>
      </c>
    </row>
    <row r="819" spans="1:18" x14ac:dyDescent="0.35">
      <c r="A819" s="15" t="s">
        <v>2348</v>
      </c>
      <c r="B819" s="16">
        <v>45967</v>
      </c>
      <c r="C819" s="15" t="s">
        <v>2346</v>
      </c>
      <c r="D819" s="15">
        <v>2025</v>
      </c>
      <c r="E819" s="15" t="s">
        <v>47</v>
      </c>
      <c r="F819" s="15" t="s">
        <v>131</v>
      </c>
      <c r="G819" s="15" t="s">
        <v>25</v>
      </c>
      <c r="H819" s="15" t="s">
        <v>357</v>
      </c>
      <c r="I819" s="15" t="s">
        <v>2245</v>
      </c>
      <c r="J819" s="17">
        <v>2500000</v>
      </c>
      <c r="K819" s="15"/>
      <c r="L819" s="15" t="s">
        <v>134</v>
      </c>
      <c r="M819" s="15" t="s">
        <v>76</v>
      </c>
      <c r="N819" s="15" t="s">
        <v>175</v>
      </c>
      <c r="O819" s="15">
        <v>206</v>
      </c>
      <c r="P819" s="15" t="s">
        <v>2349</v>
      </c>
      <c r="Q819" s="15"/>
      <c r="R819" s="15" t="s">
        <v>137</v>
      </c>
    </row>
    <row r="820" spans="1:18" x14ac:dyDescent="0.35">
      <c r="A820" s="15" t="s">
        <v>2350</v>
      </c>
      <c r="B820" s="16">
        <v>45972</v>
      </c>
      <c r="C820" s="15" t="s">
        <v>2346</v>
      </c>
      <c r="D820" s="15">
        <v>2025</v>
      </c>
      <c r="E820" s="15" t="s">
        <v>47</v>
      </c>
      <c r="F820" s="15" t="s">
        <v>131</v>
      </c>
      <c r="G820" s="15" t="s">
        <v>26</v>
      </c>
      <c r="H820" s="15" t="s">
        <v>2351</v>
      </c>
      <c r="I820" s="15" t="s">
        <v>2352</v>
      </c>
      <c r="J820" s="17">
        <v>170000000</v>
      </c>
      <c r="K820" s="15"/>
      <c r="L820" s="15" t="s">
        <v>134</v>
      </c>
      <c r="M820" s="15" t="s">
        <v>76</v>
      </c>
      <c r="N820" s="15" t="s">
        <v>2353</v>
      </c>
      <c r="O820" s="15">
        <v>2</v>
      </c>
      <c r="P820" s="15" t="s">
        <v>2354</v>
      </c>
      <c r="Q820" s="15"/>
      <c r="R820" s="15" t="s">
        <v>137</v>
      </c>
    </row>
    <row r="821" spans="1:18" x14ac:dyDescent="0.35">
      <c r="A821" s="15" t="s">
        <v>2355</v>
      </c>
      <c r="B821" s="16">
        <v>45973</v>
      </c>
      <c r="C821" s="15" t="s">
        <v>2346</v>
      </c>
      <c r="D821" s="15">
        <v>2025</v>
      </c>
      <c r="E821" s="15" t="s">
        <v>47</v>
      </c>
      <c r="F821" s="15" t="s">
        <v>131</v>
      </c>
      <c r="G821" s="15" t="s">
        <v>26</v>
      </c>
      <c r="H821" s="15" t="s">
        <v>2351</v>
      </c>
      <c r="I821" s="15" t="s">
        <v>2352</v>
      </c>
      <c r="J821" s="17">
        <v>30000000</v>
      </c>
      <c r="K821" s="15"/>
      <c r="L821" s="15" t="s">
        <v>134</v>
      </c>
      <c r="M821" s="15" t="s">
        <v>76</v>
      </c>
      <c r="N821" s="15" t="s">
        <v>2353</v>
      </c>
      <c r="O821" s="15">
        <v>3</v>
      </c>
      <c r="P821" s="15" t="s">
        <v>2356</v>
      </c>
      <c r="Q821" s="15"/>
      <c r="R821" s="15" t="s">
        <v>137</v>
      </c>
    </row>
    <row r="822" spans="1:18" x14ac:dyDescent="0.35">
      <c r="A822" s="15" t="s">
        <v>2357</v>
      </c>
      <c r="B822" s="16">
        <v>45974</v>
      </c>
      <c r="C822" s="15" t="s">
        <v>2346</v>
      </c>
      <c r="D822" s="15">
        <v>2025</v>
      </c>
      <c r="E822" s="15" t="s">
        <v>47</v>
      </c>
      <c r="F822" s="15" t="s">
        <v>131</v>
      </c>
      <c r="G822" s="15" t="s">
        <v>25</v>
      </c>
      <c r="H822" s="15" t="s">
        <v>2293</v>
      </c>
      <c r="I822" s="15" t="s">
        <v>2294</v>
      </c>
      <c r="J822" s="17">
        <v>5000000</v>
      </c>
      <c r="K822" s="15"/>
      <c r="L822" s="15" t="s">
        <v>134</v>
      </c>
      <c r="M822" s="15" t="s">
        <v>76</v>
      </c>
      <c r="N822" s="15" t="s">
        <v>2204</v>
      </c>
      <c r="O822" s="15">
        <v>26</v>
      </c>
      <c r="P822" s="15" t="s">
        <v>2358</v>
      </c>
      <c r="Q822" s="15"/>
      <c r="R822" s="15" t="s">
        <v>137</v>
      </c>
    </row>
    <row r="823" spans="1:18" x14ac:dyDescent="0.35">
      <c r="A823" s="15" t="s">
        <v>2359</v>
      </c>
      <c r="B823" s="16">
        <v>45974</v>
      </c>
      <c r="C823" s="15" t="s">
        <v>2346</v>
      </c>
      <c r="D823" s="15">
        <v>2025</v>
      </c>
      <c r="E823" s="15" t="s">
        <v>47</v>
      </c>
      <c r="F823" s="15" t="s">
        <v>131</v>
      </c>
      <c r="G823" s="15" t="s">
        <v>25</v>
      </c>
      <c r="H823" s="15" t="s">
        <v>2360</v>
      </c>
      <c r="I823" s="15" t="s">
        <v>2361</v>
      </c>
      <c r="J823" s="17">
        <v>5000000</v>
      </c>
      <c r="K823" s="15"/>
      <c r="L823" s="15" t="s">
        <v>134</v>
      </c>
      <c r="M823" s="15" t="s">
        <v>76</v>
      </c>
      <c r="N823" s="15" t="s">
        <v>2204</v>
      </c>
      <c r="O823" s="15">
        <v>27</v>
      </c>
      <c r="P823" s="15" t="s">
        <v>2358</v>
      </c>
      <c r="Q823" s="15"/>
      <c r="R823" s="15" t="s">
        <v>137</v>
      </c>
    </row>
    <row r="824" spans="1:18" x14ac:dyDescent="0.35">
      <c r="A824" s="15" t="s">
        <v>2362</v>
      </c>
      <c r="B824" s="16">
        <v>45980</v>
      </c>
      <c r="C824" s="15" t="s">
        <v>2346</v>
      </c>
      <c r="D824" s="15">
        <v>2025</v>
      </c>
      <c r="E824" s="15" t="s">
        <v>47</v>
      </c>
      <c r="F824" s="15" t="s">
        <v>131</v>
      </c>
      <c r="G824" s="15" t="s">
        <v>26</v>
      </c>
      <c r="H824" s="15" t="s">
        <v>2351</v>
      </c>
      <c r="I824" s="15" t="s">
        <v>2352</v>
      </c>
      <c r="J824" s="17">
        <v>10000000</v>
      </c>
      <c r="K824" s="15"/>
      <c r="L824" s="15" t="s">
        <v>134</v>
      </c>
      <c r="M824" s="15" t="s">
        <v>76</v>
      </c>
      <c r="N824" s="15" t="s">
        <v>2353</v>
      </c>
      <c r="O824" s="15">
        <v>10</v>
      </c>
      <c r="P824" s="15" t="s">
        <v>2363</v>
      </c>
      <c r="Q824" s="15"/>
      <c r="R824" s="15" t="s">
        <v>137</v>
      </c>
    </row>
    <row r="825" spans="1:18" x14ac:dyDescent="0.35">
      <c r="A825" s="15" t="s">
        <v>2364</v>
      </c>
      <c r="B825" s="16">
        <v>45981</v>
      </c>
      <c r="C825" s="15" t="s">
        <v>2346</v>
      </c>
      <c r="D825" s="15">
        <v>2025</v>
      </c>
      <c r="E825" s="15" t="s">
        <v>47</v>
      </c>
      <c r="F825" s="15" t="s">
        <v>131</v>
      </c>
      <c r="G825" s="15" t="s">
        <v>26</v>
      </c>
      <c r="H825" s="15" t="s">
        <v>2351</v>
      </c>
      <c r="I825" s="15" t="s">
        <v>2352</v>
      </c>
      <c r="J825" s="17">
        <v>10000000</v>
      </c>
      <c r="K825" s="15"/>
      <c r="L825" s="15" t="s">
        <v>134</v>
      </c>
      <c r="M825" s="15" t="s">
        <v>76</v>
      </c>
      <c r="N825" s="15" t="s">
        <v>2353</v>
      </c>
      <c r="O825" s="15">
        <v>11</v>
      </c>
      <c r="P825" s="15" t="s">
        <v>2365</v>
      </c>
      <c r="Q825" s="15"/>
      <c r="R825" s="15" t="s">
        <v>137</v>
      </c>
    </row>
    <row r="826" spans="1:18" x14ac:dyDescent="0.35">
      <c r="A826" s="15" t="s">
        <v>2366</v>
      </c>
      <c r="B826" s="16">
        <v>45982</v>
      </c>
      <c r="C826" s="15" t="s">
        <v>2346</v>
      </c>
      <c r="D826" s="15">
        <v>2025</v>
      </c>
      <c r="E826" s="15" t="s">
        <v>47</v>
      </c>
      <c r="F826" s="15" t="s">
        <v>131</v>
      </c>
      <c r="G826" s="15" t="s">
        <v>25</v>
      </c>
      <c r="H826" s="15" t="s">
        <v>1405</v>
      </c>
      <c r="I826" s="15" t="s">
        <v>1881</v>
      </c>
      <c r="J826" s="17">
        <v>2000000</v>
      </c>
      <c r="K826" s="15"/>
      <c r="L826" s="15" t="s">
        <v>134</v>
      </c>
      <c r="M826" s="15" t="s">
        <v>76</v>
      </c>
      <c r="N826" s="15" t="s">
        <v>1882</v>
      </c>
      <c r="O826" s="15">
        <v>37</v>
      </c>
      <c r="P826" s="15" t="s">
        <v>2367</v>
      </c>
      <c r="Q826" s="15"/>
      <c r="R826" s="15" t="s">
        <v>137</v>
      </c>
    </row>
    <row r="827" spans="1:18" x14ac:dyDescent="0.35">
      <c r="A827" s="15" t="s">
        <v>2368</v>
      </c>
      <c r="B827" s="16">
        <v>45982</v>
      </c>
      <c r="C827" s="15" t="s">
        <v>2346</v>
      </c>
      <c r="D827" s="15">
        <v>2025</v>
      </c>
      <c r="E827" s="15" t="s">
        <v>47</v>
      </c>
      <c r="F827" s="15" t="s">
        <v>131</v>
      </c>
      <c r="G827" s="15" t="s">
        <v>25</v>
      </c>
      <c r="H827" s="15" t="s">
        <v>2369</v>
      </c>
      <c r="I827" s="15" t="s">
        <v>2370</v>
      </c>
      <c r="J827" s="17">
        <v>5000000</v>
      </c>
      <c r="K827" s="15"/>
      <c r="L827" s="15" t="s">
        <v>134</v>
      </c>
      <c r="M827" s="15" t="s">
        <v>76</v>
      </c>
      <c r="N827" s="15" t="s">
        <v>2371</v>
      </c>
      <c r="O827" s="15">
        <v>2</v>
      </c>
      <c r="P827" s="15" t="s">
        <v>2367</v>
      </c>
      <c r="Q827" s="15" t="s">
        <v>2372</v>
      </c>
      <c r="R827" s="15" t="s">
        <v>137</v>
      </c>
    </row>
    <row r="828" spans="1:18" x14ac:dyDescent="0.35">
      <c r="A828" s="15" t="s">
        <v>2373</v>
      </c>
      <c r="B828" s="16">
        <v>45986</v>
      </c>
      <c r="C828" s="15" t="s">
        <v>2346</v>
      </c>
      <c r="D828" s="15">
        <v>2025</v>
      </c>
      <c r="E828" s="15" t="s">
        <v>47</v>
      </c>
      <c r="F828" s="15" t="s">
        <v>131</v>
      </c>
      <c r="G828" s="15" t="s">
        <v>40</v>
      </c>
      <c r="H828" s="15" t="s">
        <v>2210</v>
      </c>
      <c r="I828" s="15" t="s">
        <v>2211</v>
      </c>
      <c r="J828" s="17">
        <v>1700000</v>
      </c>
      <c r="K828" s="15"/>
      <c r="L828" s="15" t="s">
        <v>134</v>
      </c>
      <c r="M828" s="15" t="s">
        <v>76</v>
      </c>
      <c r="N828" s="15" t="s">
        <v>1973</v>
      </c>
      <c r="O828" s="15">
        <v>96</v>
      </c>
      <c r="P828" s="15" t="s">
        <v>2374</v>
      </c>
      <c r="Q828" s="15"/>
      <c r="R828" s="15" t="s">
        <v>137</v>
      </c>
    </row>
    <row r="829" spans="1:18" x14ac:dyDescent="0.35">
      <c r="A829" s="15" t="s">
        <v>2375</v>
      </c>
      <c r="B829" s="16">
        <v>45986</v>
      </c>
      <c r="C829" s="15" t="s">
        <v>2346</v>
      </c>
      <c r="D829" s="15">
        <v>2025</v>
      </c>
      <c r="E829" s="15" t="s">
        <v>47</v>
      </c>
      <c r="F829" s="15" t="s">
        <v>131</v>
      </c>
      <c r="G829" s="15" t="s">
        <v>25</v>
      </c>
      <c r="H829" s="15" t="s">
        <v>2274</v>
      </c>
      <c r="I829" s="15" t="s">
        <v>2275</v>
      </c>
      <c r="J829" s="17">
        <v>2500000</v>
      </c>
      <c r="K829" s="15"/>
      <c r="L829" s="15" t="s">
        <v>134</v>
      </c>
      <c r="M829" s="15" t="s">
        <v>76</v>
      </c>
      <c r="N829" s="15" t="s">
        <v>175</v>
      </c>
      <c r="O829" s="15">
        <v>204</v>
      </c>
      <c r="P829" s="15" t="s">
        <v>2374</v>
      </c>
      <c r="Q829" s="15"/>
      <c r="R829" s="15" t="s">
        <v>137</v>
      </c>
    </row>
    <row r="830" spans="1:18" x14ac:dyDescent="0.35">
      <c r="A830" s="15" t="s">
        <v>2376</v>
      </c>
      <c r="B830" s="16">
        <v>45986</v>
      </c>
      <c r="C830" s="15" t="s">
        <v>2346</v>
      </c>
      <c r="D830" s="15">
        <v>2025</v>
      </c>
      <c r="E830" s="15" t="s">
        <v>47</v>
      </c>
      <c r="F830" s="15" t="s">
        <v>131</v>
      </c>
      <c r="G830" s="15" t="s">
        <v>26</v>
      </c>
      <c r="H830" s="15" t="s">
        <v>2351</v>
      </c>
      <c r="I830" s="15" t="s">
        <v>2352</v>
      </c>
      <c r="J830" s="17">
        <v>10000000</v>
      </c>
      <c r="K830" s="15"/>
      <c r="L830" s="15" t="s">
        <v>134</v>
      </c>
      <c r="M830" s="15" t="s">
        <v>76</v>
      </c>
      <c r="N830" s="15" t="s">
        <v>2353</v>
      </c>
      <c r="O830" s="15">
        <v>18</v>
      </c>
      <c r="P830" s="15" t="s">
        <v>2374</v>
      </c>
      <c r="Q830" s="15"/>
      <c r="R830" s="15" t="s">
        <v>137</v>
      </c>
    </row>
    <row r="831" spans="1:18" x14ac:dyDescent="0.35">
      <c r="A831" s="15" t="s">
        <v>2377</v>
      </c>
      <c r="B831" s="16">
        <v>45987</v>
      </c>
      <c r="C831" s="15" t="s">
        <v>2346</v>
      </c>
      <c r="D831" s="15">
        <v>2025</v>
      </c>
      <c r="E831" s="15" t="s">
        <v>47</v>
      </c>
      <c r="F831" s="15" t="s">
        <v>131</v>
      </c>
      <c r="G831" s="15" t="s">
        <v>25</v>
      </c>
      <c r="H831" s="15" t="s">
        <v>1405</v>
      </c>
      <c r="I831" s="15" t="s">
        <v>1881</v>
      </c>
      <c r="J831" s="17">
        <v>5000000</v>
      </c>
      <c r="K831" s="15"/>
      <c r="L831" s="15" t="s">
        <v>134</v>
      </c>
      <c r="M831" s="15" t="s">
        <v>76</v>
      </c>
      <c r="N831" s="15" t="s">
        <v>1882</v>
      </c>
      <c r="O831" s="15">
        <v>38</v>
      </c>
      <c r="P831" s="15" t="s">
        <v>2378</v>
      </c>
      <c r="Q831" s="15"/>
      <c r="R831" s="15" t="s">
        <v>137</v>
      </c>
    </row>
    <row r="832" spans="1:18" x14ac:dyDescent="0.35">
      <c r="A832" s="15" t="s">
        <v>2379</v>
      </c>
      <c r="B832" s="16">
        <v>45987</v>
      </c>
      <c r="C832" s="15" t="s">
        <v>2346</v>
      </c>
      <c r="D832" s="15">
        <v>2025</v>
      </c>
      <c r="E832" s="15" t="s">
        <v>47</v>
      </c>
      <c r="F832" s="15" t="s">
        <v>131</v>
      </c>
      <c r="G832" s="15" t="s">
        <v>25</v>
      </c>
      <c r="H832" s="15" t="s">
        <v>2278</v>
      </c>
      <c r="I832" s="15" t="s">
        <v>2279</v>
      </c>
      <c r="J832" s="17">
        <v>5000000</v>
      </c>
      <c r="K832" s="15"/>
      <c r="L832" s="15" t="s">
        <v>134</v>
      </c>
      <c r="M832" s="15" t="s">
        <v>76</v>
      </c>
      <c r="N832" s="15" t="s">
        <v>175</v>
      </c>
      <c r="O832" s="15">
        <v>205</v>
      </c>
      <c r="P832" s="15" t="s">
        <v>2378</v>
      </c>
      <c r="Q832" s="15"/>
      <c r="R832" s="15" t="s">
        <v>137</v>
      </c>
    </row>
    <row r="833" spans="1:18" x14ac:dyDescent="0.35">
      <c r="A833" s="15" t="s">
        <v>2380</v>
      </c>
      <c r="B833" s="16">
        <v>45987</v>
      </c>
      <c r="C833" s="15" t="s">
        <v>2346</v>
      </c>
      <c r="D833" s="15">
        <v>2025</v>
      </c>
      <c r="E833" s="15" t="s">
        <v>47</v>
      </c>
      <c r="F833" s="15" t="s">
        <v>131</v>
      </c>
      <c r="G833" s="15" t="s">
        <v>25</v>
      </c>
      <c r="H833" s="15" t="s">
        <v>2278</v>
      </c>
      <c r="I833" s="15" t="s">
        <v>2279</v>
      </c>
      <c r="J833" s="17">
        <v>2500000</v>
      </c>
      <c r="K833" s="15"/>
      <c r="L833" s="15" t="s">
        <v>134</v>
      </c>
      <c r="M833" s="15" t="s">
        <v>76</v>
      </c>
      <c r="N833" s="15" t="s">
        <v>175</v>
      </c>
      <c r="O833" s="15">
        <v>226</v>
      </c>
      <c r="P833" s="15" t="s">
        <v>2378</v>
      </c>
      <c r="Q833" s="15"/>
      <c r="R833" s="15" t="s">
        <v>137</v>
      </c>
    </row>
    <row r="834" spans="1:18" x14ac:dyDescent="0.35">
      <c r="A834" s="15" t="s">
        <v>2381</v>
      </c>
      <c r="B834" s="16">
        <v>45988</v>
      </c>
      <c r="C834" s="15" t="s">
        <v>2346</v>
      </c>
      <c r="D834" s="15">
        <v>2025</v>
      </c>
      <c r="E834" s="15" t="s">
        <v>47</v>
      </c>
      <c r="F834" s="15" t="s">
        <v>131</v>
      </c>
      <c r="G834" s="15" t="s">
        <v>26</v>
      </c>
      <c r="H834" s="15" t="s">
        <v>2351</v>
      </c>
      <c r="I834" s="15" t="s">
        <v>2352</v>
      </c>
      <c r="J834" s="17">
        <v>10000000</v>
      </c>
      <c r="K834" s="15"/>
      <c r="L834" s="15" t="s">
        <v>134</v>
      </c>
      <c r="M834" s="15" t="s">
        <v>76</v>
      </c>
      <c r="N834" s="15" t="s">
        <v>2353</v>
      </c>
      <c r="O834" s="15">
        <v>25</v>
      </c>
      <c r="P834" s="15" t="s">
        <v>2382</v>
      </c>
      <c r="Q834" s="15"/>
      <c r="R834" s="15" t="s">
        <v>137</v>
      </c>
    </row>
    <row r="835" spans="1:18" x14ac:dyDescent="0.35">
      <c r="A835" s="15" t="s">
        <v>2383</v>
      </c>
      <c r="B835" s="16">
        <v>45992</v>
      </c>
      <c r="C835" s="15" t="s">
        <v>2384</v>
      </c>
      <c r="D835" s="15">
        <v>2025</v>
      </c>
      <c r="E835" s="15" t="s">
        <v>47</v>
      </c>
      <c r="F835" s="15" t="s">
        <v>131</v>
      </c>
      <c r="G835" s="15" t="s">
        <v>26</v>
      </c>
      <c r="H835" s="15" t="s">
        <v>2351</v>
      </c>
      <c r="I835" s="15" t="s">
        <v>2352</v>
      </c>
      <c r="J835" s="17">
        <v>10000000</v>
      </c>
      <c r="K835" s="15"/>
      <c r="L835" s="15" t="s">
        <v>134</v>
      </c>
      <c r="M835" s="15" t="s">
        <v>76</v>
      </c>
      <c r="N835" s="15" t="s">
        <v>2353</v>
      </c>
      <c r="O835" s="15">
        <v>32</v>
      </c>
      <c r="P835" s="15" t="s">
        <v>2385</v>
      </c>
      <c r="Q835" s="15"/>
      <c r="R835" s="15" t="s">
        <v>137</v>
      </c>
    </row>
    <row r="836" spans="1:18" x14ac:dyDescent="0.35">
      <c r="A836" s="15" t="s">
        <v>2386</v>
      </c>
      <c r="B836" s="16">
        <v>45996</v>
      </c>
      <c r="C836" s="15" t="s">
        <v>2384</v>
      </c>
      <c r="D836" s="15">
        <v>2025</v>
      </c>
      <c r="E836" s="15" t="s">
        <v>47</v>
      </c>
      <c r="F836" s="15" t="s">
        <v>131</v>
      </c>
      <c r="G836" s="15" t="s">
        <v>40</v>
      </c>
      <c r="H836" s="15" t="s">
        <v>2048</v>
      </c>
      <c r="I836" s="15" t="s">
        <v>2049</v>
      </c>
      <c r="J836" s="17">
        <v>5000000</v>
      </c>
      <c r="K836" s="15"/>
      <c r="L836" s="15" t="s">
        <v>134</v>
      </c>
      <c r="M836" s="15" t="s">
        <v>76</v>
      </c>
      <c r="N836" s="15" t="s">
        <v>1973</v>
      </c>
      <c r="O836" s="15">
        <v>102</v>
      </c>
      <c r="P836" s="15" t="s">
        <v>2387</v>
      </c>
      <c r="Q836" s="15"/>
      <c r="R836" s="15" t="s">
        <v>137</v>
      </c>
    </row>
    <row r="837" spans="1:18" x14ac:dyDescent="0.35">
      <c r="A837" s="15" t="s">
        <v>2388</v>
      </c>
      <c r="B837" s="16">
        <v>45996</v>
      </c>
      <c r="C837" s="15" t="s">
        <v>2384</v>
      </c>
      <c r="D837" s="15">
        <v>2025</v>
      </c>
      <c r="E837" s="15" t="s">
        <v>46</v>
      </c>
      <c r="F837" s="15" t="s">
        <v>131</v>
      </c>
      <c r="G837" s="15" t="s">
        <v>36</v>
      </c>
      <c r="H837" s="15" t="s">
        <v>2389</v>
      </c>
      <c r="I837" s="15" t="s">
        <v>2390</v>
      </c>
      <c r="J837" s="17">
        <v>1000000</v>
      </c>
      <c r="K837" s="15"/>
      <c r="L837" s="15" t="s">
        <v>134</v>
      </c>
      <c r="M837" s="15" t="s">
        <v>76</v>
      </c>
      <c r="N837" s="15" t="s">
        <v>1833</v>
      </c>
      <c r="O837" s="15">
        <v>28</v>
      </c>
      <c r="P837" s="15" t="s">
        <v>2387</v>
      </c>
      <c r="Q837" s="15"/>
      <c r="R837" s="15" t="s">
        <v>137</v>
      </c>
    </row>
    <row r="838" spans="1:18" x14ac:dyDescent="0.35">
      <c r="A838" s="15" t="s">
        <v>2391</v>
      </c>
      <c r="B838" s="16">
        <v>45996</v>
      </c>
      <c r="C838" s="15" t="s">
        <v>2384</v>
      </c>
      <c r="D838" s="15">
        <v>2025</v>
      </c>
      <c r="E838" s="15" t="s">
        <v>47</v>
      </c>
      <c r="F838" s="15" t="s">
        <v>131</v>
      </c>
      <c r="G838" s="15" t="s">
        <v>40</v>
      </c>
      <c r="H838" s="15" t="s">
        <v>1984</v>
      </c>
      <c r="I838" s="15" t="s">
        <v>1985</v>
      </c>
      <c r="J838" s="17">
        <v>3000000</v>
      </c>
      <c r="K838" s="15"/>
      <c r="L838" s="15" t="s">
        <v>134</v>
      </c>
      <c r="M838" s="15" t="s">
        <v>76</v>
      </c>
      <c r="N838" s="15" t="s">
        <v>2392</v>
      </c>
      <c r="O838" s="15">
        <v>59</v>
      </c>
      <c r="P838" s="15" t="s">
        <v>2387</v>
      </c>
      <c r="Q838" s="15" t="s">
        <v>2393</v>
      </c>
      <c r="R838" s="15" t="s">
        <v>137</v>
      </c>
    </row>
    <row r="839" spans="1:18" x14ac:dyDescent="0.35">
      <c r="A839" s="15" t="s">
        <v>2394</v>
      </c>
      <c r="B839" s="16">
        <v>45998</v>
      </c>
      <c r="C839" s="15" t="s">
        <v>2384</v>
      </c>
      <c r="D839" s="15">
        <v>2025</v>
      </c>
      <c r="E839" s="15" t="s">
        <v>46</v>
      </c>
      <c r="F839" s="15" t="s">
        <v>131</v>
      </c>
      <c r="G839" s="15" t="s">
        <v>36</v>
      </c>
      <c r="H839" s="15" t="s">
        <v>2389</v>
      </c>
      <c r="I839" s="15" t="s">
        <v>2390</v>
      </c>
      <c r="J839" s="17">
        <v>50000</v>
      </c>
      <c r="K839" s="15"/>
      <c r="L839" s="15" t="s">
        <v>134</v>
      </c>
      <c r="M839" s="15" t="s">
        <v>76</v>
      </c>
      <c r="N839" s="15" t="s">
        <v>1833</v>
      </c>
      <c r="O839" s="15">
        <v>29</v>
      </c>
      <c r="P839" s="15" t="s">
        <v>2395</v>
      </c>
      <c r="Q839" s="15"/>
      <c r="R839" s="15" t="s">
        <v>137</v>
      </c>
    </row>
    <row r="840" spans="1:18" x14ac:dyDescent="0.35">
      <c r="A840" s="15" t="s">
        <v>2396</v>
      </c>
      <c r="B840" s="16">
        <v>46000</v>
      </c>
      <c r="C840" s="15" t="s">
        <v>2384</v>
      </c>
      <c r="D840" s="15">
        <v>2025</v>
      </c>
      <c r="E840" s="15" t="s">
        <v>47</v>
      </c>
      <c r="F840" s="15" t="s">
        <v>131</v>
      </c>
      <c r="G840" s="15" t="s">
        <v>25</v>
      </c>
      <c r="H840" s="15" t="s">
        <v>357</v>
      </c>
      <c r="I840" s="15" t="s">
        <v>2245</v>
      </c>
      <c r="J840" s="17">
        <v>2500000</v>
      </c>
      <c r="K840" s="15"/>
      <c r="L840" s="15" t="s">
        <v>134</v>
      </c>
      <c r="M840" s="15" t="s">
        <v>76</v>
      </c>
      <c r="N840" s="15" t="s">
        <v>175</v>
      </c>
      <c r="O840" s="15">
        <v>227</v>
      </c>
      <c r="P840" s="15" t="s">
        <v>2397</v>
      </c>
      <c r="Q840" s="15"/>
      <c r="R840" s="15" t="s">
        <v>137</v>
      </c>
    </row>
    <row r="841" spans="1:18" x14ac:dyDescent="0.35">
      <c r="A841" s="15" t="s">
        <v>2398</v>
      </c>
      <c r="B841" s="16">
        <v>46001</v>
      </c>
      <c r="C841" s="15" t="s">
        <v>2384</v>
      </c>
      <c r="D841" s="15">
        <v>2025</v>
      </c>
      <c r="E841" s="15" t="s">
        <v>47</v>
      </c>
      <c r="F841" s="15" t="s">
        <v>131</v>
      </c>
      <c r="G841" s="15" t="s">
        <v>25</v>
      </c>
      <c r="H841" s="15" t="s">
        <v>2293</v>
      </c>
      <c r="I841" s="15" t="s">
        <v>2294</v>
      </c>
      <c r="J841" s="17">
        <v>12000000</v>
      </c>
      <c r="K841" s="15"/>
      <c r="L841" s="15" t="s">
        <v>134</v>
      </c>
      <c r="M841" s="15" t="s">
        <v>76</v>
      </c>
      <c r="N841" s="15" t="s">
        <v>2204</v>
      </c>
      <c r="O841" s="15">
        <v>28</v>
      </c>
      <c r="P841" s="15" t="s">
        <v>2399</v>
      </c>
      <c r="Q841" s="15"/>
      <c r="R841" s="15" t="s">
        <v>137</v>
      </c>
    </row>
    <row r="842" spans="1:18" x14ac:dyDescent="0.35">
      <c r="A842" s="15" t="s">
        <v>2400</v>
      </c>
      <c r="B842" s="16">
        <v>46001</v>
      </c>
      <c r="C842" s="15" t="s">
        <v>2384</v>
      </c>
      <c r="D842" s="15">
        <v>2025</v>
      </c>
      <c r="E842" s="15" t="s">
        <v>47</v>
      </c>
      <c r="F842" s="15" t="s">
        <v>131</v>
      </c>
      <c r="G842" s="15" t="s">
        <v>25</v>
      </c>
      <c r="H842" s="15" t="s">
        <v>2232</v>
      </c>
      <c r="I842" s="15" t="s">
        <v>2233</v>
      </c>
      <c r="J842" s="17">
        <v>3000000</v>
      </c>
      <c r="K842" s="15"/>
      <c r="L842" s="15" t="s">
        <v>134</v>
      </c>
      <c r="M842" s="15" t="s">
        <v>76</v>
      </c>
      <c r="N842" s="15" t="s">
        <v>2204</v>
      </c>
      <c r="O842" s="15">
        <v>29</v>
      </c>
      <c r="P842" s="15" t="s">
        <v>2399</v>
      </c>
      <c r="Q842" s="15"/>
      <c r="R842" s="15" t="s">
        <v>137</v>
      </c>
    </row>
    <row r="843" spans="1:18" x14ac:dyDescent="0.35">
      <c r="A843" s="15" t="s">
        <v>2401</v>
      </c>
      <c r="B843" s="16">
        <v>46001</v>
      </c>
      <c r="C843" s="15" t="s">
        <v>2384</v>
      </c>
      <c r="D843" s="15">
        <v>2025</v>
      </c>
      <c r="E843" s="15" t="s">
        <v>47</v>
      </c>
      <c r="F843" s="15" t="s">
        <v>131</v>
      </c>
      <c r="G843" s="15" t="s">
        <v>26</v>
      </c>
      <c r="H843" s="15" t="s">
        <v>2402</v>
      </c>
      <c r="I843" s="15" t="s">
        <v>2403</v>
      </c>
      <c r="J843" s="17">
        <v>170000000</v>
      </c>
      <c r="K843" s="15"/>
      <c r="L843" s="15" t="s">
        <v>134</v>
      </c>
      <c r="M843" s="15" t="s">
        <v>76</v>
      </c>
      <c r="N843" s="15" t="s">
        <v>2353</v>
      </c>
      <c r="O843" s="15">
        <v>40</v>
      </c>
      <c r="P843" s="15" t="s">
        <v>2399</v>
      </c>
      <c r="Q843" s="15"/>
      <c r="R843" s="15" t="s">
        <v>137</v>
      </c>
    </row>
    <row r="844" spans="1:18" x14ac:dyDescent="0.35">
      <c r="A844" s="15" t="s">
        <v>2404</v>
      </c>
      <c r="B844" s="16">
        <v>46002</v>
      </c>
      <c r="C844" s="15" t="s">
        <v>2384</v>
      </c>
      <c r="D844" s="15">
        <v>2025</v>
      </c>
      <c r="E844" s="15" t="s">
        <v>47</v>
      </c>
      <c r="F844" s="15" t="s">
        <v>131</v>
      </c>
      <c r="G844" s="15" t="s">
        <v>35</v>
      </c>
      <c r="H844" s="15" t="s">
        <v>1410</v>
      </c>
      <c r="I844" s="15" t="s">
        <v>1411</v>
      </c>
      <c r="J844" s="17">
        <v>4000000</v>
      </c>
      <c r="K844" s="15"/>
      <c r="L844" s="15" t="s">
        <v>134</v>
      </c>
      <c r="M844" s="15" t="s">
        <v>76</v>
      </c>
      <c r="N844" s="15" t="s">
        <v>1788</v>
      </c>
      <c r="O844" s="15">
        <v>112</v>
      </c>
      <c r="P844" s="15" t="s">
        <v>2405</v>
      </c>
      <c r="Q844" s="15"/>
      <c r="R844" s="15" t="s">
        <v>137</v>
      </c>
    </row>
    <row r="845" spans="1:18" x14ac:dyDescent="0.35">
      <c r="A845" s="15" t="s">
        <v>2406</v>
      </c>
      <c r="B845" s="16">
        <v>46002</v>
      </c>
      <c r="C845" s="15" t="s">
        <v>2384</v>
      </c>
      <c r="D845" s="15">
        <v>2025</v>
      </c>
      <c r="E845" s="15" t="s">
        <v>47</v>
      </c>
      <c r="F845" s="15" t="s">
        <v>131</v>
      </c>
      <c r="G845" s="15" t="s">
        <v>26</v>
      </c>
      <c r="H845" s="15" t="s">
        <v>2402</v>
      </c>
      <c r="I845" s="15" t="s">
        <v>2403</v>
      </c>
      <c r="J845" s="17">
        <v>80000000</v>
      </c>
      <c r="K845" s="15"/>
      <c r="L845" s="15" t="s">
        <v>134</v>
      </c>
      <c r="M845" s="15" t="s">
        <v>76</v>
      </c>
      <c r="N845" s="15" t="s">
        <v>2353</v>
      </c>
      <c r="O845" s="15">
        <v>41</v>
      </c>
      <c r="P845" s="15" t="s">
        <v>2405</v>
      </c>
      <c r="Q845" s="15"/>
      <c r="R845" s="15" t="s">
        <v>137</v>
      </c>
    </row>
    <row r="846" spans="1:18" x14ac:dyDescent="0.35">
      <c r="A846" s="15" t="s">
        <v>2407</v>
      </c>
      <c r="B846" s="16">
        <v>46006</v>
      </c>
      <c r="C846" s="15" t="s">
        <v>2384</v>
      </c>
      <c r="D846" s="15">
        <v>2025</v>
      </c>
      <c r="E846" s="15" t="s">
        <v>47</v>
      </c>
      <c r="F846" s="15" t="s">
        <v>131</v>
      </c>
      <c r="G846" s="15" t="s">
        <v>40</v>
      </c>
      <c r="H846" s="15" t="s">
        <v>2217</v>
      </c>
      <c r="I846" s="15" t="s">
        <v>2218</v>
      </c>
      <c r="J846" s="17">
        <v>20000000</v>
      </c>
      <c r="K846" s="15"/>
      <c r="L846" s="15" t="s">
        <v>134</v>
      </c>
      <c r="M846" s="15" t="s">
        <v>76</v>
      </c>
      <c r="N846" s="15" t="s">
        <v>1973</v>
      </c>
      <c r="O846" s="15">
        <v>114</v>
      </c>
      <c r="P846" s="15" t="s">
        <v>2408</v>
      </c>
      <c r="Q846" s="15"/>
      <c r="R846" s="15" t="s">
        <v>137</v>
      </c>
    </row>
    <row r="847" spans="1:18" x14ac:dyDescent="0.35">
      <c r="A847" s="15" t="s">
        <v>2409</v>
      </c>
      <c r="B847" s="16">
        <v>46007</v>
      </c>
      <c r="C847" s="15" t="s">
        <v>2384</v>
      </c>
      <c r="D847" s="15">
        <v>2025</v>
      </c>
      <c r="E847" s="15" t="s">
        <v>47</v>
      </c>
      <c r="F847" s="15" t="s">
        <v>131</v>
      </c>
      <c r="G847" s="15" t="s">
        <v>40</v>
      </c>
      <c r="H847" s="15" t="s">
        <v>2217</v>
      </c>
      <c r="I847" s="15" t="s">
        <v>2218</v>
      </c>
      <c r="J847" s="17">
        <v>10000000</v>
      </c>
      <c r="K847" s="15"/>
      <c r="L847" s="15" t="s">
        <v>134</v>
      </c>
      <c r="M847" s="15" t="s">
        <v>76</v>
      </c>
      <c r="N847" s="15" t="s">
        <v>1973</v>
      </c>
      <c r="O847" s="15">
        <v>115</v>
      </c>
      <c r="P847" s="15" t="s">
        <v>2410</v>
      </c>
      <c r="Q847" s="15"/>
      <c r="R847" s="15" t="s">
        <v>137</v>
      </c>
    </row>
    <row r="848" spans="1:18" x14ac:dyDescent="0.35">
      <c r="A848" s="15" t="s">
        <v>2411</v>
      </c>
      <c r="B848" s="16">
        <v>46007</v>
      </c>
      <c r="C848" s="15" t="s">
        <v>2384</v>
      </c>
      <c r="D848" s="15">
        <v>2025</v>
      </c>
      <c r="E848" s="15" t="s">
        <v>47</v>
      </c>
      <c r="F848" s="15" t="s">
        <v>131</v>
      </c>
      <c r="G848" s="15" t="s">
        <v>26</v>
      </c>
      <c r="H848" s="15" t="s">
        <v>2351</v>
      </c>
      <c r="I848" s="15" t="s">
        <v>2352</v>
      </c>
      <c r="J848" s="17">
        <v>30000000</v>
      </c>
      <c r="K848" s="15"/>
      <c r="L848" s="15" t="s">
        <v>134</v>
      </c>
      <c r="M848" s="15" t="s">
        <v>76</v>
      </c>
      <c r="N848" s="15" t="s">
        <v>2353</v>
      </c>
      <c r="O848" s="15">
        <v>49</v>
      </c>
      <c r="P848" s="15" t="s">
        <v>2410</v>
      </c>
      <c r="Q848" s="15"/>
      <c r="R848" s="15" t="s">
        <v>137</v>
      </c>
    </row>
    <row r="849" spans="1:18" x14ac:dyDescent="0.35">
      <c r="A849" s="15" t="s">
        <v>2412</v>
      </c>
      <c r="B849" s="16">
        <v>46007</v>
      </c>
      <c r="C849" s="15" t="s">
        <v>2384</v>
      </c>
      <c r="D849" s="15">
        <v>2025</v>
      </c>
      <c r="E849" s="15" t="s">
        <v>47</v>
      </c>
      <c r="F849" s="15" t="s">
        <v>131</v>
      </c>
      <c r="G849" s="15" t="s">
        <v>35</v>
      </c>
      <c r="H849" s="15" t="s">
        <v>1410</v>
      </c>
      <c r="I849" s="15" t="s">
        <v>1411</v>
      </c>
      <c r="J849" s="17">
        <v>1000000</v>
      </c>
      <c r="K849" s="15"/>
      <c r="L849" s="15" t="s">
        <v>134</v>
      </c>
      <c r="M849" s="15" t="s">
        <v>76</v>
      </c>
      <c r="N849" s="15" t="s">
        <v>1788</v>
      </c>
      <c r="O849" s="15">
        <v>113</v>
      </c>
      <c r="P849" s="15" t="s">
        <v>2410</v>
      </c>
      <c r="Q849" s="15"/>
      <c r="R849" s="15" t="s">
        <v>137</v>
      </c>
    </row>
    <row r="850" spans="1:18" x14ac:dyDescent="0.35">
      <c r="A850" s="15" t="s">
        <v>2413</v>
      </c>
      <c r="B850" s="16">
        <v>46008</v>
      </c>
      <c r="C850" s="15" t="s">
        <v>2384</v>
      </c>
      <c r="D850" s="15">
        <v>2025</v>
      </c>
      <c r="E850" s="15" t="s">
        <v>46</v>
      </c>
      <c r="F850" s="15" t="s">
        <v>131</v>
      </c>
      <c r="G850" s="15" t="s">
        <v>36</v>
      </c>
      <c r="H850" s="15" t="s">
        <v>2158</v>
      </c>
      <c r="I850" s="15" t="s">
        <v>2414</v>
      </c>
      <c r="J850" s="17">
        <v>2000000</v>
      </c>
      <c r="K850" s="15"/>
      <c r="L850" s="15" t="s">
        <v>134</v>
      </c>
      <c r="M850" s="15" t="s">
        <v>76</v>
      </c>
      <c r="N850" s="15" t="s">
        <v>135</v>
      </c>
      <c r="O850" s="15">
        <v>254</v>
      </c>
      <c r="P850" s="15" t="s">
        <v>2415</v>
      </c>
      <c r="Q850" s="15"/>
      <c r="R850" s="15" t="s">
        <v>137</v>
      </c>
    </row>
    <row r="851" spans="1:18" x14ac:dyDescent="0.35">
      <c r="A851" s="15" t="s">
        <v>2416</v>
      </c>
      <c r="B851" s="16">
        <v>46008</v>
      </c>
      <c r="C851" s="15" t="s">
        <v>2384</v>
      </c>
      <c r="D851" s="15">
        <v>2025</v>
      </c>
      <c r="E851" s="15" t="s">
        <v>47</v>
      </c>
      <c r="F851" s="15" t="s">
        <v>131</v>
      </c>
      <c r="G851" s="15" t="s">
        <v>35</v>
      </c>
      <c r="H851" s="15" t="s">
        <v>1410</v>
      </c>
      <c r="I851" s="15" t="s">
        <v>1411</v>
      </c>
      <c r="J851" s="17">
        <v>900000</v>
      </c>
      <c r="K851" s="15"/>
      <c r="L851" s="15" t="s">
        <v>134</v>
      </c>
      <c r="M851" s="15" t="s">
        <v>76</v>
      </c>
      <c r="N851" s="15" t="s">
        <v>1788</v>
      </c>
      <c r="O851" s="15">
        <v>114</v>
      </c>
      <c r="P851" s="15" t="s">
        <v>2415</v>
      </c>
      <c r="Q851" s="15"/>
      <c r="R851" s="15" t="s">
        <v>137</v>
      </c>
    </row>
    <row r="852" spans="1:18" x14ac:dyDescent="0.35">
      <c r="A852" s="15" t="s">
        <v>2417</v>
      </c>
      <c r="B852" s="16">
        <v>46010</v>
      </c>
      <c r="C852" s="15" t="s">
        <v>2384</v>
      </c>
      <c r="D852" s="15">
        <v>2025</v>
      </c>
      <c r="E852" s="15" t="s">
        <v>47</v>
      </c>
      <c r="F852" s="15" t="s">
        <v>131</v>
      </c>
      <c r="G852" s="15" t="s">
        <v>25</v>
      </c>
      <c r="H852" s="15" t="s">
        <v>2418</v>
      </c>
      <c r="I852" s="15" t="s">
        <v>2419</v>
      </c>
      <c r="J852" s="17">
        <v>1000000</v>
      </c>
      <c r="K852" s="15"/>
      <c r="L852" s="15" t="s">
        <v>134</v>
      </c>
      <c r="M852" s="15" t="s">
        <v>76</v>
      </c>
      <c r="N852" s="15" t="s">
        <v>2420</v>
      </c>
      <c r="O852" s="15">
        <v>2</v>
      </c>
      <c r="P852" s="15" t="s">
        <v>2421</v>
      </c>
      <c r="Q852" s="15"/>
      <c r="R852" s="15" t="s">
        <v>137</v>
      </c>
    </row>
    <row r="853" spans="1:18" x14ac:dyDescent="0.35">
      <c r="A853" s="15" t="s">
        <v>2422</v>
      </c>
      <c r="B853" s="16">
        <v>46011</v>
      </c>
      <c r="C853" s="15" t="s">
        <v>2384</v>
      </c>
      <c r="D853" s="15">
        <v>2025</v>
      </c>
      <c r="E853" s="15" t="s">
        <v>47</v>
      </c>
      <c r="F853" s="15" t="s">
        <v>131</v>
      </c>
      <c r="G853" s="15" t="s">
        <v>25</v>
      </c>
      <c r="H853" s="15" t="s">
        <v>2418</v>
      </c>
      <c r="I853" s="15" t="s">
        <v>2419</v>
      </c>
      <c r="J853" s="17">
        <v>1000000</v>
      </c>
      <c r="K853" s="15"/>
      <c r="L853" s="15" t="s">
        <v>134</v>
      </c>
      <c r="M853" s="15" t="s">
        <v>76</v>
      </c>
      <c r="N853" s="15" t="s">
        <v>2420</v>
      </c>
      <c r="O853" s="15">
        <v>3</v>
      </c>
      <c r="P853" s="15" t="s">
        <v>2423</v>
      </c>
      <c r="Q853" s="15"/>
      <c r="R853" s="15" t="s">
        <v>137</v>
      </c>
    </row>
    <row r="854" spans="1:18" x14ac:dyDescent="0.35">
      <c r="A854" s="15" t="s">
        <v>2424</v>
      </c>
      <c r="B854" s="16">
        <v>46012</v>
      </c>
      <c r="C854" s="15" t="s">
        <v>2384</v>
      </c>
      <c r="D854" s="15">
        <v>2025</v>
      </c>
      <c r="E854" s="15" t="s">
        <v>47</v>
      </c>
      <c r="F854" s="15" t="s">
        <v>131</v>
      </c>
      <c r="G854" s="15" t="s">
        <v>25</v>
      </c>
      <c r="H854" s="15" t="s">
        <v>2418</v>
      </c>
      <c r="I854" s="15" t="s">
        <v>2419</v>
      </c>
      <c r="J854" s="17">
        <v>1000000</v>
      </c>
      <c r="K854" s="15"/>
      <c r="L854" s="15" t="s">
        <v>134</v>
      </c>
      <c r="M854" s="15" t="s">
        <v>76</v>
      </c>
      <c r="N854" s="15" t="s">
        <v>2420</v>
      </c>
      <c r="O854" s="15">
        <v>4</v>
      </c>
      <c r="P854" s="15" t="s">
        <v>2425</v>
      </c>
      <c r="Q854" s="15"/>
      <c r="R854" s="15" t="s">
        <v>137</v>
      </c>
    </row>
    <row r="855" spans="1:18" x14ac:dyDescent="0.35">
      <c r="A855" s="15" t="s">
        <v>2426</v>
      </c>
      <c r="B855" s="16">
        <v>46014</v>
      </c>
      <c r="C855" s="15" t="s">
        <v>2384</v>
      </c>
      <c r="D855" s="15">
        <v>2025</v>
      </c>
      <c r="E855" s="15" t="s">
        <v>47</v>
      </c>
      <c r="F855" s="15" t="s">
        <v>131</v>
      </c>
      <c r="G855" s="15" t="s">
        <v>25</v>
      </c>
      <c r="H855" s="15" t="s">
        <v>2418</v>
      </c>
      <c r="I855" s="15" t="s">
        <v>2419</v>
      </c>
      <c r="J855" s="17">
        <v>500000</v>
      </c>
      <c r="K855" s="15"/>
      <c r="L855" s="15" t="s">
        <v>134</v>
      </c>
      <c r="M855" s="15" t="s">
        <v>76</v>
      </c>
      <c r="N855" s="15" t="s">
        <v>2420</v>
      </c>
      <c r="O855" s="15">
        <v>5</v>
      </c>
      <c r="P855" s="15" t="s">
        <v>2427</v>
      </c>
      <c r="Q855" s="15"/>
      <c r="R855" s="15" t="s">
        <v>137</v>
      </c>
    </row>
    <row r="856" spans="1:18" x14ac:dyDescent="0.35">
      <c r="A856" s="15" t="s">
        <v>2428</v>
      </c>
      <c r="B856" s="16">
        <v>46014</v>
      </c>
      <c r="C856" s="15" t="s">
        <v>2384</v>
      </c>
      <c r="D856" s="15">
        <v>2025</v>
      </c>
      <c r="E856" s="15" t="s">
        <v>47</v>
      </c>
      <c r="F856" s="15" t="s">
        <v>131</v>
      </c>
      <c r="G856" s="15" t="s">
        <v>25</v>
      </c>
      <c r="H856" s="15" t="s">
        <v>2418</v>
      </c>
      <c r="I856" s="15" t="s">
        <v>2419</v>
      </c>
      <c r="J856" s="17">
        <v>2000000</v>
      </c>
      <c r="K856" s="15"/>
      <c r="L856" s="15" t="s">
        <v>134</v>
      </c>
      <c r="M856" s="15" t="s">
        <v>76</v>
      </c>
      <c r="N856" s="15" t="s">
        <v>2420</v>
      </c>
      <c r="O856" s="15">
        <v>6</v>
      </c>
      <c r="P856" s="15" t="s">
        <v>2427</v>
      </c>
      <c r="Q856" s="15"/>
      <c r="R856" s="15" t="s">
        <v>137</v>
      </c>
    </row>
    <row r="857" spans="1:18" x14ac:dyDescent="0.35">
      <c r="A857" s="15" t="s">
        <v>2429</v>
      </c>
      <c r="B857" s="16">
        <v>46015</v>
      </c>
      <c r="C857" s="15" t="s">
        <v>2384</v>
      </c>
      <c r="D857" s="15">
        <v>2025</v>
      </c>
      <c r="E857" s="15" t="s">
        <v>47</v>
      </c>
      <c r="F857" s="15" t="s">
        <v>131</v>
      </c>
      <c r="G857" s="15" t="s">
        <v>25</v>
      </c>
      <c r="H857" s="15" t="s">
        <v>2274</v>
      </c>
      <c r="I857" s="15" t="s">
        <v>2275</v>
      </c>
      <c r="J857" s="17">
        <v>2500000</v>
      </c>
      <c r="K857" s="15"/>
      <c r="L857" s="15" t="s">
        <v>134</v>
      </c>
      <c r="M857" s="15" t="s">
        <v>76</v>
      </c>
      <c r="N857" s="15" t="s">
        <v>175</v>
      </c>
      <c r="O857" s="15">
        <v>240</v>
      </c>
      <c r="P857" s="15" t="s">
        <v>2430</v>
      </c>
      <c r="Q857" s="15"/>
      <c r="R857" s="15" t="s">
        <v>137</v>
      </c>
    </row>
    <row r="858" spans="1:18" x14ac:dyDescent="0.35">
      <c r="A858" s="15" t="s">
        <v>2431</v>
      </c>
      <c r="B858" s="16">
        <v>46015</v>
      </c>
      <c r="C858" s="15" t="s">
        <v>2384</v>
      </c>
      <c r="D858" s="15">
        <v>2025</v>
      </c>
      <c r="E858" s="15" t="s">
        <v>47</v>
      </c>
      <c r="F858" s="15" t="s">
        <v>131</v>
      </c>
      <c r="G858" s="15" t="s">
        <v>40</v>
      </c>
      <c r="H858" s="15" t="s">
        <v>2432</v>
      </c>
      <c r="I858" s="15" t="s">
        <v>2433</v>
      </c>
      <c r="J858" s="17">
        <v>15000000</v>
      </c>
      <c r="K858" s="15"/>
      <c r="L858" s="15" t="s">
        <v>134</v>
      </c>
      <c r="M858" s="15" t="s">
        <v>76</v>
      </c>
      <c r="N858" s="15" t="s">
        <v>1800</v>
      </c>
      <c r="O858" s="15">
        <v>217</v>
      </c>
      <c r="P858" s="15" t="s">
        <v>2430</v>
      </c>
      <c r="Q858" s="15" t="s">
        <v>2434</v>
      </c>
      <c r="R858" s="15" t="s">
        <v>137</v>
      </c>
    </row>
    <row r="859" spans="1:18" x14ac:dyDescent="0.35">
      <c r="A859" s="15" t="s">
        <v>2435</v>
      </c>
      <c r="B859" s="16">
        <v>46017</v>
      </c>
      <c r="C859" s="15" t="s">
        <v>2384</v>
      </c>
      <c r="D859" s="15">
        <v>2025</v>
      </c>
      <c r="E859" s="15" t="s">
        <v>47</v>
      </c>
      <c r="F859" s="15" t="s">
        <v>131</v>
      </c>
      <c r="G859" s="15" t="s">
        <v>25</v>
      </c>
      <c r="H859" s="15" t="s">
        <v>1405</v>
      </c>
      <c r="I859" s="15" t="s">
        <v>1881</v>
      </c>
      <c r="J859" s="17">
        <v>5000000</v>
      </c>
      <c r="K859" s="15"/>
      <c r="L859" s="15" t="s">
        <v>134</v>
      </c>
      <c r="M859" s="15" t="s">
        <v>76</v>
      </c>
      <c r="N859" s="15" t="s">
        <v>1882</v>
      </c>
      <c r="O859" s="15">
        <v>39</v>
      </c>
      <c r="P859" s="15" t="s">
        <v>2436</v>
      </c>
      <c r="Q859" s="15"/>
      <c r="R859" s="15" t="s">
        <v>137</v>
      </c>
    </row>
    <row r="860" spans="1:18" x14ac:dyDescent="0.35">
      <c r="A860" s="15" t="s">
        <v>2437</v>
      </c>
      <c r="B860" s="16">
        <v>46018</v>
      </c>
      <c r="C860" s="15" t="s">
        <v>2384</v>
      </c>
      <c r="D860" s="15">
        <v>2025</v>
      </c>
      <c r="E860" s="15" t="s">
        <v>47</v>
      </c>
      <c r="F860" s="15" t="s">
        <v>131</v>
      </c>
      <c r="G860" s="15" t="s">
        <v>25</v>
      </c>
      <c r="H860" s="15" t="s">
        <v>1405</v>
      </c>
      <c r="I860" s="15" t="s">
        <v>1881</v>
      </c>
      <c r="J860" s="17">
        <v>5000000</v>
      </c>
      <c r="K860" s="15"/>
      <c r="L860" s="15" t="s">
        <v>134</v>
      </c>
      <c r="M860" s="15" t="s">
        <v>76</v>
      </c>
      <c r="N860" s="15" t="s">
        <v>1882</v>
      </c>
      <c r="O860" s="15">
        <v>40</v>
      </c>
      <c r="P860" s="15" t="s">
        <v>2438</v>
      </c>
      <c r="Q860" s="15"/>
      <c r="R860" s="15" t="s">
        <v>137</v>
      </c>
    </row>
    <row r="861" spans="1:18" x14ac:dyDescent="0.35">
      <c r="A861" s="15" t="s">
        <v>2439</v>
      </c>
      <c r="B861" s="16">
        <v>46018</v>
      </c>
      <c r="C861" s="15" t="s">
        <v>2384</v>
      </c>
      <c r="D861" s="15">
        <v>2025</v>
      </c>
      <c r="E861" s="15" t="s">
        <v>47</v>
      </c>
      <c r="F861" s="15" t="s">
        <v>131</v>
      </c>
      <c r="G861" s="15" t="s">
        <v>25</v>
      </c>
      <c r="H861" s="15" t="s">
        <v>2278</v>
      </c>
      <c r="I861" s="15" t="s">
        <v>2279</v>
      </c>
      <c r="J861" s="17">
        <v>5000000</v>
      </c>
      <c r="K861" s="15"/>
      <c r="L861" s="15" t="s">
        <v>134</v>
      </c>
      <c r="M861" s="15" t="s">
        <v>76</v>
      </c>
      <c r="N861" s="15" t="s">
        <v>175</v>
      </c>
      <c r="O861" s="15">
        <v>241</v>
      </c>
      <c r="P861" s="15" t="s">
        <v>2438</v>
      </c>
      <c r="Q861" s="15"/>
      <c r="R861" s="15" t="s">
        <v>137</v>
      </c>
    </row>
    <row r="862" spans="1:18" x14ac:dyDescent="0.35">
      <c r="A862" s="15" t="s">
        <v>2440</v>
      </c>
      <c r="B862" s="16">
        <v>46021</v>
      </c>
      <c r="C862" s="15" t="s">
        <v>2384</v>
      </c>
      <c r="D862" s="15">
        <v>2025</v>
      </c>
      <c r="E862" s="15" t="s">
        <v>47</v>
      </c>
      <c r="F862" s="15" t="s">
        <v>131</v>
      </c>
      <c r="G862" s="15" t="s">
        <v>25</v>
      </c>
      <c r="H862" s="15" t="s">
        <v>2369</v>
      </c>
      <c r="I862" s="15" t="s">
        <v>2370</v>
      </c>
      <c r="J862" s="17">
        <v>5000000</v>
      </c>
      <c r="K862" s="15"/>
      <c r="L862" s="15" t="s">
        <v>134</v>
      </c>
      <c r="M862" s="15" t="s">
        <v>76</v>
      </c>
      <c r="N862" s="15" t="s">
        <v>2371</v>
      </c>
      <c r="O862" s="15">
        <v>24</v>
      </c>
      <c r="P862" s="15" t="s">
        <v>2441</v>
      </c>
      <c r="Q862" s="15"/>
      <c r="R862" s="15" t="s">
        <v>137</v>
      </c>
    </row>
    <row r="863" spans="1:18" x14ac:dyDescent="0.35">
      <c r="A863" s="15" t="s">
        <v>2442</v>
      </c>
      <c r="B863" s="16">
        <v>46022</v>
      </c>
      <c r="C863" s="15" t="s">
        <v>2384</v>
      </c>
      <c r="D863" s="15">
        <v>2025</v>
      </c>
      <c r="E863" s="15" t="s">
        <v>47</v>
      </c>
      <c r="F863" s="15" t="s">
        <v>131</v>
      </c>
      <c r="G863" s="15" t="s">
        <v>25</v>
      </c>
      <c r="H863" s="15" t="s">
        <v>2418</v>
      </c>
      <c r="I863" s="15" t="s">
        <v>2419</v>
      </c>
      <c r="J863" s="17">
        <v>10500000</v>
      </c>
      <c r="K863" s="15"/>
      <c r="L863" s="15" t="s">
        <v>134</v>
      </c>
      <c r="M863" s="15" t="s">
        <v>76</v>
      </c>
      <c r="N863" s="15" t="s">
        <v>2420</v>
      </c>
      <c r="O863" s="15">
        <v>7</v>
      </c>
      <c r="P863" s="15" t="s">
        <v>2443</v>
      </c>
      <c r="Q863" s="15"/>
      <c r="R863" s="15" t="s">
        <v>137</v>
      </c>
    </row>
    <row r="864" spans="1:18" x14ac:dyDescent="0.35">
      <c r="I864" s="18" t="s">
        <v>19</v>
      </c>
      <c r="J864" s="19">
        <f>SUBTOTAL(9,J5:J863)</f>
        <v>2584814000</v>
      </c>
    </row>
  </sheetData>
  <autoFilter ref="A4:R863"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19"/>
  <sheetViews>
    <sheetView zoomScaleNormal="100" workbookViewId="0">
      <pane xSplit="3" ySplit="4" topLeftCell="D83" activePane="bottomRight" state="frozen"/>
      <selection pane="topRight" activeCell="D1" sqref="D1"/>
      <selection pane="bottomLeft" activeCell="A5" sqref="A5"/>
      <selection pane="bottomRight" activeCell="I10" sqref="I10"/>
    </sheetView>
  </sheetViews>
  <sheetFormatPr defaultColWidth="8.6328125" defaultRowHeight="14.5" x14ac:dyDescent="0.35"/>
  <cols>
    <col min="1" max="1" width="9" customWidth="1"/>
    <col min="2" max="2" width="11" customWidth="1"/>
    <col min="3" max="3" width="34" customWidth="1"/>
    <col min="4" max="4" width="11" customWidth="1"/>
    <col min="5" max="5" width="30" customWidth="1"/>
    <col min="6" max="6" width="22" customWidth="1"/>
    <col min="7" max="7" width="13" customWidth="1"/>
    <col min="8" max="8" width="7" customWidth="1"/>
    <col min="9" max="9" width="15" customWidth="1"/>
    <col min="10" max="10" width="16" customWidth="1"/>
    <col min="11" max="11" width="15" customWidth="1"/>
    <col min="12" max="12" width="13" customWidth="1"/>
    <col min="13" max="14" width="16" customWidth="1"/>
    <col min="15" max="16" width="20" customWidth="1"/>
    <col min="17" max="17" width="30" customWidth="1"/>
    <col min="18" max="18" width="8" customWidth="1"/>
    <col min="19" max="19" width="13" customWidth="1"/>
    <col min="20" max="20" width="40" customWidth="1"/>
  </cols>
  <sheetData>
    <row r="1" spans="1:20" ht="18" x14ac:dyDescent="0.4">
      <c r="A1" s="1" t="s">
        <v>2444</v>
      </c>
    </row>
    <row r="2" spans="1:20" x14ac:dyDescent="0.35">
      <c r="A2" s="2" t="s">
        <v>2445</v>
      </c>
    </row>
    <row r="4" spans="1:20" ht="30" customHeight="1" x14ac:dyDescent="0.35">
      <c r="A4" s="14" t="s">
        <v>2446</v>
      </c>
      <c r="B4" s="14" t="s">
        <v>119</v>
      </c>
      <c r="C4" s="14" t="s">
        <v>2447</v>
      </c>
      <c r="D4" s="14" t="s">
        <v>4</v>
      </c>
      <c r="E4" s="14" t="s">
        <v>24</v>
      </c>
      <c r="F4" s="14" t="s">
        <v>2448</v>
      </c>
      <c r="G4" s="14" t="s">
        <v>2449</v>
      </c>
      <c r="H4" s="14" t="s">
        <v>117</v>
      </c>
      <c r="I4" s="14" t="s">
        <v>2450</v>
      </c>
      <c r="J4" s="14" t="s">
        <v>2451</v>
      </c>
      <c r="K4" s="14" t="s">
        <v>2452</v>
      </c>
      <c r="L4" s="14" t="s">
        <v>2453</v>
      </c>
      <c r="M4" s="14" t="s">
        <v>2454</v>
      </c>
      <c r="N4" s="14" t="s">
        <v>2455</v>
      </c>
      <c r="O4" s="14" t="s">
        <v>2456</v>
      </c>
      <c r="P4" s="14" t="s">
        <v>2457</v>
      </c>
      <c r="Q4" s="14" t="s">
        <v>124</v>
      </c>
      <c r="R4" s="14" t="s">
        <v>125</v>
      </c>
      <c r="S4" s="14" t="s">
        <v>2458</v>
      </c>
      <c r="T4" s="14" t="s">
        <v>2459</v>
      </c>
    </row>
    <row r="5" spans="1:20" x14ac:dyDescent="0.35">
      <c r="A5" s="15" t="s">
        <v>2460</v>
      </c>
      <c r="B5" s="15" t="s">
        <v>2461</v>
      </c>
      <c r="C5" s="15" t="s">
        <v>2462</v>
      </c>
      <c r="D5" s="15" t="s">
        <v>47</v>
      </c>
      <c r="E5" s="15" t="s">
        <v>41</v>
      </c>
      <c r="F5" s="15" t="s">
        <v>2463</v>
      </c>
      <c r="G5" s="16">
        <v>44593</v>
      </c>
      <c r="H5" s="15">
        <f t="shared" ref="H5:H68" si="0">IF(G5="","",YEAR(G5))</f>
        <v>2022</v>
      </c>
      <c r="I5" s="17">
        <v>10500000</v>
      </c>
      <c r="J5" s="17"/>
      <c r="K5" s="17" t="str">
        <f t="shared" ref="K5:K68" si="1">IF(OR(I5="",J5=""),"",I5-J5)</f>
        <v/>
      </c>
      <c r="L5" s="15" t="s">
        <v>2464</v>
      </c>
      <c r="M5" s="15" t="s">
        <v>2465</v>
      </c>
      <c r="N5" s="15"/>
      <c r="O5" s="15"/>
      <c r="P5" s="15" t="s">
        <v>2466</v>
      </c>
      <c r="Q5" s="15" t="s">
        <v>2467</v>
      </c>
      <c r="R5" s="15">
        <v>2</v>
      </c>
      <c r="S5" s="15" t="s">
        <v>2468</v>
      </c>
      <c r="T5" s="15"/>
    </row>
    <row r="6" spans="1:20" x14ac:dyDescent="0.35">
      <c r="A6" s="15" t="s">
        <v>2469</v>
      </c>
      <c r="B6" s="15" t="s">
        <v>2470</v>
      </c>
      <c r="C6" s="15" t="s">
        <v>2471</v>
      </c>
      <c r="D6" s="15" t="s">
        <v>47</v>
      </c>
      <c r="E6" s="15" t="s">
        <v>41</v>
      </c>
      <c r="F6" s="15" t="s">
        <v>2472</v>
      </c>
      <c r="G6" s="16">
        <v>44652</v>
      </c>
      <c r="H6" s="15">
        <f t="shared" si="0"/>
        <v>2022</v>
      </c>
      <c r="I6" s="17">
        <v>52200000</v>
      </c>
      <c r="J6" s="17"/>
      <c r="K6" s="17" t="str">
        <f t="shared" si="1"/>
        <v/>
      </c>
      <c r="L6" s="15" t="s">
        <v>2473</v>
      </c>
      <c r="M6" s="15" t="s">
        <v>2465</v>
      </c>
      <c r="N6" s="15"/>
      <c r="O6" s="15"/>
      <c r="P6" s="15" t="s">
        <v>1800</v>
      </c>
      <c r="Q6" s="15" t="s">
        <v>2467</v>
      </c>
      <c r="R6" s="15">
        <v>3</v>
      </c>
      <c r="S6" s="15" t="s">
        <v>2474</v>
      </c>
      <c r="T6" s="15"/>
    </row>
    <row r="7" spans="1:20" x14ac:dyDescent="0.35">
      <c r="A7" s="15" t="s">
        <v>2475</v>
      </c>
      <c r="B7" s="15" t="s">
        <v>2476</v>
      </c>
      <c r="C7" s="15" t="s">
        <v>2477</v>
      </c>
      <c r="D7" s="15" t="s">
        <v>47</v>
      </c>
      <c r="E7" s="15" t="s">
        <v>41</v>
      </c>
      <c r="F7" s="15" t="s">
        <v>2472</v>
      </c>
      <c r="G7" s="16">
        <v>44713</v>
      </c>
      <c r="H7" s="15">
        <f t="shared" si="0"/>
        <v>2022</v>
      </c>
      <c r="I7" s="17">
        <v>63000000</v>
      </c>
      <c r="J7" s="17"/>
      <c r="K7" s="17" t="str">
        <f t="shared" si="1"/>
        <v/>
      </c>
      <c r="L7" s="15" t="s">
        <v>2478</v>
      </c>
      <c r="M7" s="15" t="s">
        <v>2465</v>
      </c>
      <c r="N7" s="15"/>
      <c r="O7" s="15"/>
      <c r="P7" s="15" t="s">
        <v>2479</v>
      </c>
      <c r="Q7" s="15" t="s">
        <v>2467</v>
      </c>
      <c r="R7" s="15">
        <v>4</v>
      </c>
      <c r="S7" s="15" t="s">
        <v>2480</v>
      </c>
      <c r="T7" s="15"/>
    </row>
    <row r="8" spans="1:20" x14ac:dyDescent="0.35">
      <c r="A8" s="15" t="s">
        <v>2481</v>
      </c>
      <c r="B8" s="15" t="s">
        <v>2482</v>
      </c>
      <c r="C8" s="15" t="s">
        <v>2483</v>
      </c>
      <c r="D8" s="15" t="s">
        <v>47</v>
      </c>
      <c r="E8" s="15" t="s">
        <v>41</v>
      </c>
      <c r="F8" s="15" t="s">
        <v>2484</v>
      </c>
      <c r="G8" s="16">
        <v>44774</v>
      </c>
      <c r="H8" s="15">
        <f t="shared" si="0"/>
        <v>2022</v>
      </c>
      <c r="I8" s="17">
        <v>40000000</v>
      </c>
      <c r="J8" s="17"/>
      <c r="K8" s="17" t="str">
        <f t="shared" si="1"/>
        <v/>
      </c>
      <c r="L8" s="15" t="s">
        <v>2485</v>
      </c>
      <c r="M8" s="15" t="s">
        <v>2486</v>
      </c>
      <c r="N8" s="15"/>
      <c r="O8" s="15"/>
      <c r="P8" s="15" t="s">
        <v>1800</v>
      </c>
      <c r="Q8" s="15" t="s">
        <v>2467</v>
      </c>
      <c r="R8" s="15">
        <v>5</v>
      </c>
      <c r="S8" s="15" t="s">
        <v>2487</v>
      </c>
      <c r="T8" s="15"/>
    </row>
    <row r="9" spans="1:20" x14ac:dyDescent="0.35">
      <c r="A9" s="15" t="s">
        <v>2488</v>
      </c>
      <c r="B9" s="15" t="s">
        <v>2489</v>
      </c>
      <c r="C9" s="15" t="s">
        <v>2490</v>
      </c>
      <c r="D9" s="15" t="s">
        <v>47</v>
      </c>
      <c r="E9" s="15" t="s">
        <v>41</v>
      </c>
      <c r="F9" s="15" t="s">
        <v>2484</v>
      </c>
      <c r="G9" s="16">
        <v>44896</v>
      </c>
      <c r="H9" s="15">
        <f t="shared" si="0"/>
        <v>2022</v>
      </c>
      <c r="I9" s="17">
        <v>47000000</v>
      </c>
      <c r="J9" s="17"/>
      <c r="K9" s="17" t="str">
        <f t="shared" si="1"/>
        <v/>
      </c>
      <c r="L9" s="15" t="s">
        <v>2478</v>
      </c>
      <c r="M9" s="15" t="s">
        <v>2465</v>
      </c>
      <c r="N9" s="15"/>
      <c r="O9" s="15"/>
      <c r="P9" s="15" t="s">
        <v>2001</v>
      </c>
      <c r="Q9" s="15" t="s">
        <v>2467</v>
      </c>
      <c r="R9" s="15">
        <v>6</v>
      </c>
      <c r="S9" s="15" t="s">
        <v>2491</v>
      </c>
      <c r="T9" s="15"/>
    </row>
    <row r="10" spans="1:20" x14ac:dyDescent="0.35">
      <c r="A10" s="15" t="s">
        <v>2492</v>
      </c>
      <c r="B10" s="15" t="s">
        <v>2493</v>
      </c>
      <c r="C10" s="15" t="s">
        <v>2494</v>
      </c>
      <c r="D10" s="15" t="s">
        <v>47</v>
      </c>
      <c r="E10" s="15" t="s">
        <v>41</v>
      </c>
      <c r="F10" s="15" t="s">
        <v>2472</v>
      </c>
      <c r="G10" s="16">
        <v>44958</v>
      </c>
      <c r="H10" s="15">
        <f t="shared" si="0"/>
        <v>2023</v>
      </c>
      <c r="I10" s="17">
        <v>600000000</v>
      </c>
      <c r="J10" s="17"/>
      <c r="K10" s="17" t="str">
        <f t="shared" si="1"/>
        <v/>
      </c>
      <c r="L10" s="15" t="s">
        <v>2495</v>
      </c>
      <c r="M10" s="15" t="s">
        <v>2465</v>
      </c>
      <c r="N10" s="15"/>
      <c r="O10" s="15"/>
      <c r="P10" s="15" t="s">
        <v>2496</v>
      </c>
      <c r="Q10" s="15" t="s">
        <v>2467</v>
      </c>
      <c r="R10" s="15">
        <v>7</v>
      </c>
      <c r="S10" s="15" t="s">
        <v>2497</v>
      </c>
      <c r="T10" s="15"/>
    </row>
    <row r="11" spans="1:20" x14ac:dyDescent="0.35">
      <c r="A11" s="15" t="s">
        <v>2498</v>
      </c>
      <c r="B11" s="15" t="s">
        <v>212</v>
      </c>
      <c r="C11" s="15" t="s">
        <v>2499</v>
      </c>
      <c r="D11" s="15" t="s">
        <v>46</v>
      </c>
      <c r="E11" s="15" t="s">
        <v>29</v>
      </c>
      <c r="F11" s="15" t="s">
        <v>2500</v>
      </c>
      <c r="G11" s="16">
        <v>44967</v>
      </c>
      <c r="H11" s="15">
        <f t="shared" si="0"/>
        <v>2023</v>
      </c>
      <c r="I11" s="17">
        <v>3900000</v>
      </c>
      <c r="J11" s="17">
        <v>3900000</v>
      </c>
      <c r="K11" s="17">
        <f t="shared" si="1"/>
        <v>0</v>
      </c>
      <c r="L11" s="15" t="s">
        <v>2501</v>
      </c>
      <c r="M11" s="15" t="s">
        <v>2502</v>
      </c>
      <c r="N11" s="15" t="s">
        <v>2503</v>
      </c>
      <c r="O11" s="15" t="s">
        <v>2504</v>
      </c>
      <c r="P11" s="15" t="s">
        <v>1800</v>
      </c>
      <c r="Q11" s="15" t="s">
        <v>2505</v>
      </c>
      <c r="R11" s="15">
        <v>29</v>
      </c>
      <c r="S11" s="15" t="s">
        <v>2506</v>
      </c>
      <c r="T11" s="15"/>
    </row>
    <row r="12" spans="1:20" x14ac:dyDescent="0.35">
      <c r="A12" s="15" t="s">
        <v>2507</v>
      </c>
      <c r="B12" s="15" t="s">
        <v>1136</v>
      </c>
      <c r="C12" s="15" t="s">
        <v>2508</v>
      </c>
      <c r="D12" s="15" t="s">
        <v>46</v>
      </c>
      <c r="E12" s="15" t="s">
        <v>29</v>
      </c>
      <c r="F12" s="15" t="s">
        <v>2509</v>
      </c>
      <c r="G12" s="16">
        <v>45061</v>
      </c>
      <c r="H12" s="15">
        <f t="shared" si="0"/>
        <v>2023</v>
      </c>
      <c r="I12" s="17">
        <v>1500000</v>
      </c>
      <c r="J12" s="17">
        <v>1500000</v>
      </c>
      <c r="K12" s="17">
        <f t="shared" si="1"/>
        <v>0</v>
      </c>
      <c r="L12" s="15" t="s">
        <v>2510</v>
      </c>
      <c r="M12" s="15" t="s">
        <v>2502</v>
      </c>
      <c r="N12" s="15" t="s">
        <v>2511</v>
      </c>
      <c r="O12" s="15" t="s">
        <v>2512</v>
      </c>
      <c r="P12" s="15" t="s">
        <v>2513</v>
      </c>
      <c r="Q12" s="15" t="s">
        <v>2505</v>
      </c>
      <c r="R12" s="15">
        <v>4</v>
      </c>
      <c r="S12" s="15" t="s">
        <v>2514</v>
      </c>
      <c r="T12" s="15"/>
    </row>
    <row r="13" spans="1:20" x14ac:dyDescent="0.35">
      <c r="A13" s="15" t="s">
        <v>2515</v>
      </c>
      <c r="B13" s="15" t="s">
        <v>156</v>
      </c>
      <c r="C13" s="15" t="s">
        <v>2516</v>
      </c>
      <c r="D13" s="15" t="s">
        <v>46</v>
      </c>
      <c r="E13" s="15" t="s">
        <v>29</v>
      </c>
      <c r="F13" s="15" t="s">
        <v>2500</v>
      </c>
      <c r="G13" s="16">
        <v>45073</v>
      </c>
      <c r="H13" s="15">
        <f t="shared" si="0"/>
        <v>2023</v>
      </c>
      <c r="I13" s="17">
        <v>1500000</v>
      </c>
      <c r="J13" s="17">
        <v>1400000</v>
      </c>
      <c r="K13" s="17">
        <f t="shared" si="1"/>
        <v>100000</v>
      </c>
      <c r="L13" s="15" t="s">
        <v>2510</v>
      </c>
      <c r="M13" s="15" t="s">
        <v>2502</v>
      </c>
      <c r="N13" s="15" t="s">
        <v>2517</v>
      </c>
      <c r="O13" s="15" t="s">
        <v>2518</v>
      </c>
      <c r="P13" s="15" t="s">
        <v>1800</v>
      </c>
      <c r="Q13" s="15" t="s">
        <v>2505</v>
      </c>
      <c r="R13" s="15">
        <v>3</v>
      </c>
      <c r="S13" s="15" t="s">
        <v>2519</v>
      </c>
      <c r="T13" s="15"/>
    </row>
    <row r="14" spans="1:20" x14ac:dyDescent="0.35">
      <c r="A14" s="15" t="s">
        <v>2520</v>
      </c>
      <c r="B14" s="15" t="s">
        <v>2521</v>
      </c>
      <c r="C14" s="15" t="s">
        <v>2522</v>
      </c>
      <c r="D14" s="15" t="s">
        <v>46</v>
      </c>
      <c r="E14" s="15" t="s">
        <v>29</v>
      </c>
      <c r="F14" s="15" t="s">
        <v>2523</v>
      </c>
      <c r="G14" s="16">
        <v>45083</v>
      </c>
      <c r="H14" s="15">
        <f t="shared" si="0"/>
        <v>2023</v>
      </c>
      <c r="I14" s="17">
        <v>3600000</v>
      </c>
      <c r="J14" s="17">
        <v>3600000</v>
      </c>
      <c r="K14" s="17">
        <f t="shared" si="1"/>
        <v>0</v>
      </c>
      <c r="L14" s="15" t="s">
        <v>2510</v>
      </c>
      <c r="M14" s="15" t="s">
        <v>2502</v>
      </c>
      <c r="N14" s="15" t="s">
        <v>2524</v>
      </c>
      <c r="O14" s="15" t="s">
        <v>2525</v>
      </c>
      <c r="P14" s="15" t="s">
        <v>1800</v>
      </c>
      <c r="Q14" s="15" t="s">
        <v>2505</v>
      </c>
      <c r="R14" s="15">
        <v>5</v>
      </c>
      <c r="S14" s="15" t="s">
        <v>2526</v>
      </c>
      <c r="T14" s="15"/>
    </row>
    <row r="15" spans="1:20" x14ac:dyDescent="0.35">
      <c r="A15" s="15" t="s">
        <v>2527</v>
      </c>
      <c r="B15" s="15" t="s">
        <v>161</v>
      </c>
      <c r="C15" s="15" t="s">
        <v>2528</v>
      </c>
      <c r="D15" s="15" t="s">
        <v>46</v>
      </c>
      <c r="E15" s="15" t="s">
        <v>29</v>
      </c>
      <c r="F15" s="15" t="s">
        <v>2500</v>
      </c>
      <c r="G15" s="16">
        <v>45092</v>
      </c>
      <c r="H15" s="15">
        <f t="shared" si="0"/>
        <v>2023</v>
      </c>
      <c r="I15" s="17">
        <v>1500000</v>
      </c>
      <c r="J15" s="17">
        <v>1500000</v>
      </c>
      <c r="K15" s="17">
        <f t="shared" si="1"/>
        <v>0</v>
      </c>
      <c r="L15" s="15" t="s">
        <v>2510</v>
      </c>
      <c r="M15" s="15" t="s">
        <v>2502</v>
      </c>
      <c r="N15" s="15" t="s">
        <v>2529</v>
      </c>
      <c r="O15" s="15" t="s">
        <v>2530</v>
      </c>
      <c r="P15" s="15" t="s">
        <v>2531</v>
      </c>
      <c r="Q15" s="15" t="s">
        <v>2505</v>
      </c>
      <c r="R15" s="15">
        <v>7</v>
      </c>
      <c r="S15" s="15" t="s">
        <v>164</v>
      </c>
      <c r="T15" s="15"/>
    </row>
    <row r="16" spans="1:20" x14ac:dyDescent="0.35">
      <c r="A16" s="15" t="s">
        <v>2532</v>
      </c>
      <c r="B16" s="15" t="s">
        <v>2533</v>
      </c>
      <c r="C16" s="15" t="s">
        <v>2534</v>
      </c>
      <c r="D16" s="15" t="s">
        <v>46</v>
      </c>
      <c r="E16" s="15" t="s">
        <v>29</v>
      </c>
      <c r="F16" s="15" t="s">
        <v>2500</v>
      </c>
      <c r="G16" s="16">
        <v>45103</v>
      </c>
      <c r="H16" s="15">
        <f t="shared" si="0"/>
        <v>2023</v>
      </c>
      <c r="I16" s="17">
        <v>1500000</v>
      </c>
      <c r="J16" s="17"/>
      <c r="K16" s="17" t="str">
        <f t="shared" si="1"/>
        <v/>
      </c>
      <c r="L16" s="15"/>
      <c r="M16" s="15" t="s">
        <v>2535</v>
      </c>
      <c r="N16" s="15" t="s">
        <v>2536</v>
      </c>
      <c r="O16" s="15" t="s">
        <v>2504</v>
      </c>
      <c r="P16" s="15" t="s">
        <v>2537</v>
      </c>
      <c r="Q16" s="15" t="s">
        <v>2505</v>
      </c>
      <c r="R16" s="15">
        <v>8</v>
      </c>
      <c r="S16" s="15" t="s">
        <v>2538</v>
      </c>
      <c r="T16" s="15" t="s">
        <v>2539</v>
      </c>
    </row>
    <row r="17" spans="1:20" x14ac:dyDescent="0.35">
      <c r="A17" s="15" t="s">
        <v>2540</v>
      </c>
      <c r="B17" s="15" t="s">
        <v>414</v>
      </c>
      <c r="C17" s="15" t="s">
        <v>2541</v>
      </c>
      <c r="D17" s="15" t="s">
        <v>46</v>
      </c>
      <c r="E17" s="15" t="s">
        <v>29</v>
      </c>
      <c r="F17" s="15" t="s">
        <v>2500</v>
      </c>
      <c r="G17" s="16">
        <v>45129</v>
      </c>
      <c r="H17" s="15">
        <f t="shared" si="0"/>
        <v>2023</v>
      </c>
      <c r="I17" s="17">
        <v>1500000</v>
      </c>
      <c r="J17" s="17">
        <v>1500000</v>
      </c>
      <c r="K17" s="17">
        <f t="shared" si="1"/>
        <v>0</v>
      </c>
      <c r="L17" s="15" t="s">
        <v>2510</v>
      </c>
      <c r="M17" s="15" t="s">
        <v>2542</v>
      </c>
      <c r="N17" s="15" t="s">
        <v>2543</v>
      </c>
      <c r="O17" s="15" t="s">
        <v>2504</v>
      </c>
      <c r="P17" s="15" t="s">
        <v>1800</v>
      </c>
      <c r="Q17" s="15" t="s">
        <v>2505</v>
      </c>
      <c r="R17" s="15">
        <v>10</v>
      </c>
      <c r="S17" s="15" t="s">
        <v>2544</v>
      </c>
      <c r="T17" s="15"/>
    </row>
    <row r="18" spans="1:20" x14ac:dyDescent="0.35">
      <c r="A18" s="15" t="s">
        <v>2545</v>
      </c>
      <c r="B18" s="15" t="s">
        <v>193</v>
      </c>
      <c r="C18" s="15" t="s">
        <v>194</v>
      </c>
      <c r="D18" s="15" t="s">
        <v>46</v>
      </c>
      <c r="E18" s="15" t="s">
        <v>29</v>
      </c>
      <c r="F18" s="15" t="s">
        <v>2500</v>
      </c>
      <c r="G18" s="16">
        <v>45137</v>
      </c>
      <c r="H18" s="15">
        <f t="shared" si="0"/>
        <v>2023</v>
      </c>
      <c r="I18" s="17">
        <v>1500000</v>
      </c>
      <c r="J18" s="17">
        <v>1500000</v>
      </c>
      <c r="K18" s="17">
        <f t="shared" si="1"/>
        <v>0</v>
      </c>
      <c r="L18" s="15" t="s">
        <v>2546</v>
      </c>
      <c r="M18" s="15" t="s">
        <v>2542</v>
      </c>
      <c r="N18" s="15" t="s">
        <v>2547</v>
      </c>
      <c r="O18" s="15" t="s">
        <v>2548</v>
      </c>
      <c r="P18" s="15" t="s">
        <v>169</v>
      </c>
      <c r="Q18" s="15" t="s">
        <v>2505</v>
      </c>
      <c r="R18" s="15">
        <v>9</v>
      </c>
      <c r="S18" s="15" t="s">
        <v>2549</v>
      </c>
      <c r="T18" s="15"/>
    </row>
    <row r="19" spans="1:20" x14ac:dyDescent="0.35">
      <c r="A19" s="15" t="s">
        <v>2550</v>
      </c>
      <c r="B19" s="15" t="s">
        <v>2551</v>
      </c>
      <c r="C19" s="15" t="s">
        <v>2552</v>
      </c>
      <c r="D19" s="15" t="s">
        <v>46</v>
      </c>
      <c r="E19" s="15" t="s">
        <v>29</v>
      </c>
      <c r="F19" s="15" t="s">
        <v>2509</v>
      </c>
      <c r="G19" s="16">
        <v>45161</v>
      </c>
      <c r="H19" s="15">
        <f t="shared" si="0"/>
        <v>2023</v>
      </c>
      <c r="I19" s="17">
        <v>3600000</v>
      </c>
      <c r="J19" s="17">
        <v>3600000</v>
      </c>
      <c r="K19" s="17">
        <f t="shared" si="1"/>
        <v>0</v>
      </c>
      <c r="L19" s="15" t="s">
        <v>2553</v>
      </c>
      <c r="M19" s="15" t="s">
        <v>2502</v>
      </c>
      <c r="N19" s="15" t="s">
        <v>2554</v>
      </c>
      <c r="O19" s="15" t="s">
        <v>2555</v>
      </c>
      <c r="P19" s="15" t="s">
        <v>1800</v>
      </c>
      <c r="Q19" s="15" t="s">
        <v>2505</v>
      </c>
      <c r="R19" s="15">
        <v>13</v>
      </c>
      <c r="S19" s="15" t="s">
        <v>176</v>
      </c>
      <c r="T19" s="15"/>
    </row>
    <row r="20" spans="1:20" x14ac:dyDescent="0.35">
      <c r="A20" s="15" t="s">
        <v>2556</v>
      </c>
      <c r="B20" s="15" t="s">
        <v>173</v>
      </c>
      <c r="C20" s="15" t="s">
        <v>2557</v>
      </c>
      <c r="D20" s="15" t="s">
        <v>46</v>
      </c>
      <c r="E20" s="15" t="s">
        <v>29</v>
      </c>
      <c r="F20" s="15" t="s">
        <v>2509</v>
      </c>
      <c r="G20" s="16">
        <v>45161</v>
      </c>
      <c r="H20" s="15">
        <f t="shared" si="0"/>
        <v>2023</v>
      </c>
      <c r="I20" s="17">
        <v>3600000</v>
      </c>
      <c r="J20" s="17">
        <v>3600000</v>
      </c>
      <c r="K20" s="17">
        <f t="shared" si="1"/>
        <v>0</v>
      </c>
      <c r="L20" s="15" t="s">
        <v>2553</v>
      </c>
      <c r="M20" s="15" t="s">
        <v>2502</v>
      </c>
      <c r="N20" s="15" t="s">
        <v>2558</v>
      </c>
      <c r="O20" s="15" t="s">
        <v>2530</v>
      </c>
      <c r="P20" s="15" t="s">
        <v>2559</v>
      </c>
      <c r="Q20" s="15" t="s">
        <v>2505</v>
      </c>
      <c r="R20" s="15">
        <v>12</v>
      </c>
      <c r="S20" s="15" t="s">
        <v>176</v>
      </c>
      <c r="T20" s="15"/>
    </row>
    <row r="21" spans="1:20" x14ac:dyDescent="0.35">
      <c r="A21" s="15" t="s">
        <v>2560</v>
      </c>
      <c r="B21" s="15" t="s">
        <v>2561</v>
      </c>
      <c r="C21" s="15" t="s">
        <v>2562</v>
      </c>
      <c r="D21" s="15" t="s">
        <v>46</v>
      </c>
      <c r="E21" s="15" t="s">
        <v>29</v>
      </c>
      <c r="F21" s="15" t="s">
        <v>2509</v>
      </c>
      <c r="G21" s="16">
        <v>45162</v>
      </c>
      <c r="H21" s="15">
        <f t="shared" si="0"/>
        <v>2023</v>
      </c>
      <c r="I21" s="17">
        <v>1500000</v>
      </c>
      <c r="J21" s="17">
        <v>1500000</v>
      </c>
      <c r="K21" s="17">
        <f t="shared" si="1"/>
        <v>0</v>
      </c>
      <c r="L21" s="15" t="s">
        <v>2553</v>
      </c>
      <c r="M21" s="15" t="s">
        <v>2502</v>
      </c>
      <c r="N21" s="15" t="s">
        <v>2511</v>
      </c>
      <c r="O21" s="15" t="s">
        <v>2563</v>
      </c>
      <c r="P21" s="15" t="s">
        <v>1800</v>
      </c>
      <c r="Q21" s="15" t="s">
        <v>2505</v>
      </c>
      <c r="R21" s="15">
        <v>11</v>
      </c>
      <c r="S21" s="15" t="s">
        <v>2564</v>
      </c>
      <c r="T21" s="15"/>
    </row>
    <row r="22" spans="1:20" x14ac:dyDescent="0.35">
      <c r="A22" s="15" t="s">
        <v>2565</v>
      </c>
      <c r="B22" s="15" t="s">
        <v>2566</v>
      </c>
      <c r="C22" s="15" t="s">
        <v>2567</v>
      </c>
      <c r="D22" s="15" t="s">
        <v>46</v>
      </c>
      <c r="E22" s="15" t="s">
        <v>29</v>
      </c>
      <c r="F22" s="15" t="s">
        <v>2500</v>
      </c>
      <c r="G22" s="16">
        <v>45166</v>
      </c>
      <c r="H22" s="15">
        <f t="shared" si="0"/>
        <v>2023</v>
      </c>
      <c r="I22" s="17">
        <v>3000000</v>
      </c>
      <c r="J22" s="17">
        <v>3000000</v>
      </c>
      <c r="K22" s="17">
        <f t="shared" si="1"/>
        <v>0</v>
      </c>
      <c r="L22" s="15" t="s">
        <v>2510</v>
      </c>
      <c r="M22" s="15" t="s">
        <v>2502</v>
      </c>
      <c r="N22" s="15" t="s">
        <v>2568</v>
      </c>
      <c r="O22" s="15" t="s">
        <v>2525</v>
      </c>
      <c r="P22" s="15" t="s">
        <v>1800</v>
      </c>
      <c r="Q22" s="15" t="s">
        <v>2505</v>
      </c>
      <c r="R22" s="15">
        <v>6</v>
      </c>
      <c r="S22" s="15" t="s">
        <v>2569</v>
      </c>
      <c r="T22" s="15"/>
    </row>
    <row r="23" spans="1:20" x14ac:dyDescent="0.35">
      <c r="A23" s="15" t="s">
        <v>2570</v>
      </c>
      <c r="B23" s="15" t="s">
        <v>2571</v>
      </c>
      <c r="C23" s="15" t="s">
        <v>2572</v>
      </c>
      <c r="D23" s="15" t="s">
        <v>46</v>
      </c>
      <c r="E23" s="15" t="s">
        <v>29</v>
      </c>
      <c r="F23" s="15" t="s">
        <v>2509</v>
      </c>
      <c r="G23" s="16">
        <v>45166</v>
      </c>
      <c r="H23" s="15">
        <f t="shared" si="0"/>
        <v>2023</v>
      </c>
      <c r="I23" s="17">
        <v>3600000</v>
      </c>
      <c r="J23" s="17">
        <v>50000</v>
      </c>
      <c r="K23" s="17">
        <f t="shared" si="1"/>
        <v>3550000</v>
      </c>
      <c r="L23" s="15" t="s">
        <v>2573</v>
      </c>
      <c r="M23" s="15" t="s">
        <v>2574</v>
      </c>
      <c r="N23" s="15" t="s">
        <v>2575</v>
      </c>
      <c r="O23" s="15" t="s">
        <v>2576</v>
      </c>
      <c r="P23" s="15" t="s">
        <v>1800</v>
      </c>
      <c r="Q23" s="15" t="s">
        <v>2505</v>
      </c>
      <c r="R23" s="15">
        <v>14</v>
      </c>
      <c r="S23" s="15" t="s">
        <v>2577</v>
      </c>
      <c r="T23" s="15"/>
    </row>
    <row r="24" spans="1:20" x14ac:dyDescent="0.35">
      <c r="A24" s="15" t="s">
        <v>2578</v>
      </c>
      <c r="B24" s="15" t="s">
        <v>179</v>
      </c>
      <c r="C24" s="15" t="s">
        <v>180</v>
      </c>
      <c r="D24" s="15" t="s">
        <v>46</v>
      </c>
      <c r="E24" s="15" t="s">
        <v>29</v>
      </c>
      <c r="F24" s="15" t="s">
        <v>2500</v>
      </c>
      <c r="G24" s="16">
        <v>45173</v>
      </c>
      <c r="H24" s="15">
        <f t="shared" si="0"/>
        <v>2023</v>
      </c>
      <c r="I24" s="17">
        <v>4320000</v>
      </c>
      <c r="J24" s="17">
        <v>4320000</v>
      </c>
      <c r="K24" s="17">
        <f t="shared" si="1"/>
        <v>0</v>
      </c>
      <c r="L24" s="15" t="s">
        <v>2553</v>
      </c>
      <c r="M24" s="15" t="s">
        <v>2502</v>
      </c>
      <c r="N24" s="15" t="s">
        <v>2579</v>
      </c>
      <c r="O24" s="15" t="s">
        <v>2504</v>
      </c>
      <c r="P24" s="15" t="s">
        <v>2580</v>
      </c>
      <c r="Q24" s="15" t="s">
        <v>2505</v>
      </c>
      <c r="R24" s="15">
        <v>15</v>
      </c>
      <c r="S24" s="15" t="s">
        <v>182</v>
      </c>
      <c r="T24" s="15"/>
    </row>
    <row r="25" spans="1:20" x14ac:dyDescent="0.35">
      <c r="A25" s="15" t="s">
        <v>2581</v>
      </c>
      <c r="B25" s="15" t="s">
        <v>188</v>
      </c>
      <c r="C25" s="15" t="s">
        <v>2582</v>
      </c>
      <c r="D25" s="15" t="s">
        <v>46</v>
      </c>
      <c r="E25" s="15" t="s">
        <v>29</v>
      </c>
      <c r="F25" s="15" t="s">
        <v>2583</v>
      </c>
      <c r="G25" s="16">
        <v>45190</v>
      </c>
      <c r="H25" s="15">
        <f t="shared" si="0"/>
        <v>2023</v>
      </c>
      <c r="I25" s="17">
        <v>1500000</v>
      </c>
      <c r="J25" s="17">
        <v>1500000</v>
      </c>
      <c r="K25" s="17">
        <f t="shared" si="1"/>
        <v>0</v>
      </c>
      <c r="L25" s="15" t="s">
        <v>2584</v>
      </c>
      <c r="M25" s="15" t="s">
        <v>2502</v>
      </c>
      <c r="N25" s="15" t="s">
        <v>2585</v>
      </c>
      <c r="O25" s="15" t="s">
        <v>2548</v>
      </c>
      <c r="P25" s="15" t="s">
        <v>2586</v>
      </c>
      <c r="Q25" s="15" t="s">
        <v>2505</v>
      </c>
      <c r="R25" s="15">
        <v>16</v>
      </c>
      <c r="S25" s="15" t="s">
        <v>190</v>
      </c>
      <c r="T25" s="15"/>
    </row>
    <row r="26" spans="1:20" x14ac:dyDescent="0.35">
      <c r="A26" s="15" t="s">
        <v>2587</v>
      </c>
      <c r="B26" s="15" t="s">
        <v>184</v>
      </c>
      <c r="C26" s="15" t="s">
        <v>216</v>
      </c>
      <c r="D26" s="15" t="s">
        <v>46</v>
      </c>
      <c r="E26" s="15" t="s">
        <v>29</v>
      </c>
      <c r="F26" s="15" t="s">
        <v>2523</v>
      </c>
      <c r="G26" s="16">
        <v>45205</v>
      </c>
      <c r="H26" s="15">
        <f t="shared" si="0"/>
        <v>2023</v>
      </c>
      <c r="I26" s="17">
        <v>8400000</v>
      </c>
      <c r="J26" s="17">
        <v>8400000</v>
      </c>
      <c r="K26" s="17">
        <f t="shared" si="1"/>
        <v>0</v>
      </c>
      <c r="L26" s="15" t="s">
        <v>2510</v>
      </c>
      <c r="M26" s="15" t="s">
        <v>2502</v>
      </c>
      <c r="N26" s="15" t="s">
        <v>2588</v>
      </c>
      <c r="O26" s="15" t="s">
        <v>2589</v>
      </c>
      <c r="P26" s="15" t="s">
        <v>2590</v>
      </c>
      <c r="Q26" s="15" t="s">
        <v>2505</v>
      </c>
      <c r="R26" s="15">
        <v>17</v>
      </c>
      <c r="S26" s="15" t="s">
        <v>217</v>
      </c>
      <c r="T26" s="15"/>
    </row>
    <row r="27" spans="1:20" x14ac:dyDescent="0.35">
      <c r="A27" s="15" t="s">
        <v>2591</v>
      </c>
      <c r="B27" s="15" t="s">
        <v>2592</v>
      </c>
      <c r="C27" s="15" t="s">
        <v>2593</v>
      </c>
      <c r="D27" s="15" t="s">
        <v>46</v>
      </c>
      <c r="E27" s="15" t="s">
        <v>2594</v>
      </c>
      <c r="F27" s="15" t="s">
        <v>2500</v>
      </c>
      <c r="G27" s="16">
        <v>45209</v>
      </c>
      <c r="H27" s="15">
        <f t="shared" si="0"/>
        <v>2023</v>
      </c>
      <c r="I27" s="17">
        <v>750000</v>
      </c>
      <c r="J27" s="17">
        <v>750000</v>
      </c>
      <c r="K27" s="17">
        <f t="shared" si="1"/>
        <v>0</v>
      </c>
      <c r="L27" s="15" t="s">
        <v>2510</v>
      </c>
      <c r="M27" s="15" t="s">
        <v>2595</v>
      </c>
      <c r="N27" s="15"/>
      <c r="O27" s="15"/>
      <c r="P27" s="15" t="s">
        <v>2596</v>
      </c>
      <c r="Q27" s="15" t="s">
        <v>2597</v>
      </c>
      <c r="R27" s="15">
        <v>2</v>
      </c>
      <c r="S27" s="15" t="s">
        <v>220</v>
      </c>
      <c r="T27" s="15"/>
    </row>
    <row r="28" spans="1:20" x14ac:dyDescent="0.35">
      <c r="A28" s="15" t="s">
        <v>2598</v>
      </c>
      <c r="B28" s="15" t="s">
        <v>2599</v>
      </c>
      <c r="C28" s="15" t="s">
        <v>2600</v>
      </c>
      <c r="D28" s="15" t="s">
        <v>46</v>
      </c>
      <c r="E28" s="15" t="s">
        <v>29</v>
      </c>
      <c r="F28" s="15" t="s">
        <v>2509</v>
      </c>
      <c r="G28" s="16">
        <v>45209</v>
      </c>
      <c r="H28" s="15">
        <f t="shared" si="0"/>
        <v>2023</v>
      </c>
      <c r="I28" s="17">
        <v>3600000</v>
      </c>
      <c r="J28" s="17">
        <v>1000000</v>
      </c>
      <c r="K28" s="17">
        <f t="shared" si="1"/>
        <v>2600000</v>
      </c>
      <c r="L28" s="15" t="s">
        <v>2510</v>
      </c>
      <c r="M28" s="15" t="s">
        <v>2601</v>
      </c>
      <c r="N28" s="15" t="s">
        <v>2602</v>
      </c>
      <c r="O28" s="15" t="s">
        <v>2603</v>
      </c>
      <c r="P28" s="15" t="s">
        <v>1800</v>
      </c>
      <c r="Q28" s="15" t="s">
        <v>2505</v>
      </c>
      <c r="R28" s="15">
        <v>24</v>
      </c>
      <c r="S28" s="15" t="s">
        <v>220</v>
      </c>
      <c r="T28" s="15"/>
    </row>
    <row r="29" spans="1:20" x14ac:dyDescent="0.35">
      <c r="A29" s="15" t="s">
        <v>2604</v>
      </c>
      <c r="B29" s="15" t="s">
        <v>222</v>
      </c>
      <c r="C29" s="15" t="s">
        <v>223</v>
      </c>
      <c r="D29" s="15" t="s">
        <v>46</v>
      </c>
      <c r="E29" s="15" t="s">
        <v>29</v>
      </c>
      <c r="F29" s="15" t="s">
        <v>2523</v>
      </c>
      <c r="G29" s="16">
        <v>45211</v>
      </c>
      <c r="H29" s="15">
        <f t="shared" si="0"/>
        <v>2023</v>
      </c>
      <c r="I29" s="17">
        <v>6000000</v>
      </c>
      <c r="J29" s="17">
        <v>6000000</v>
      </c>
      <c r="K29" s="17">
        <f t="shared" si="1"/>
        <v>0</v>
      </c>
      <c r="L29" s="15" t="s">
        <v>2510</v>
      </c>
      <c r="M29" s="15" t="s">
        <v>2502</v>
      </c>
      <c r="N29" s="15" t="s">
        <v>2605</v>
      </c>
      <c r="O29" s="15" t="s">
        <v>2606</v>
      </c>
      <c r="P29" s="15" t="s">
        <v>2559</v>
      </c>
      <c r="Q29" s="15" t="s">
        <v>2607</v>
      </c>
      <c r="R29" s="15">
        <v>21</v>
      </c>
      <c r="S29" s="15" t="s">
        <v>224</v>
      </c>
      <c r="T29" s="15"/>
    </row>
    <row r="30" spans="1:20" x14ac:dyDescent="0.35">
      <c r="A30" s="15" t="s">
        <v>2608</v>
      </c>
      <c r="B30" s="15" t="s">
        <v>227</v>
      </c>
      <c r="C30" s="15" t="s">
        <v>228</v>
      </c>
      <c r="D30" s="15" t="s">
        <v>46</v>
      </c>
      <c r="E30" s="15" t="s">
        <v>29</v>
      </c>
      <c r="F30" s="15" t="s">
        <v>2500</v>
      </c>
      <c r="G30" s="16">
        <v>45211</v>
      </c>
      <c r="H30" s="15">
        <f t="shared" si="0"/>
        <v>2023</v>
      </c>
      <c r="I30" s="17">
        <v>3900000</v>
      </c>
      <c r="J30" s="17">
        <v>3900000</v>
      </c>
      <c r="K30" s="17">
        <f t="shared" si="1"/>
        <v>0</v>
      </c>
      <c r="L30" s="15" t="s">
        <v>2609</v>
      </c>
      <c r="M30" s="15" t="s">
        <v>2502</v>
      </c>
      <c r="N30" s="15" t="s">
        <v>2610</v>
      </c>
      <c r="O30" s="15" t="s">
        <v>2504</v>
      </c>
      <c r="P30" s="15" t="s">
        <v>2611</v>
      </c>
      <c r="Q30" s="15" t="s">
        <v>2505</v>
      </c>
      <c r="R30" s="15">
        <v>22</v>
      </c>
      <c r="S30" s="15" t="s">
        <v>224</v>
      </c>
      <c r="T30" s="15"/>
    </row>
    <row r="31" spans="1:20" x14ac:dyDescent="0.35">
      <c r="A31" s="15" t="s">
        <v>2612</v>
      </c>
      <c r="B31" s="15" t="s">
        <v>2613</v>
      </c>
      <c r="C31" s="15" t="s">
        <v>2614</v>
      </c>
      <c r="D31" s="15" t="s">
        <v>46</v>
      </c>
      <c r="E31" s="15" t="s">
        <v>29</v>
      </c>
      <c r="F31" s="15" t="s">
        <v>2509</v>
      </c>
      <c r="G31" s="16">
        <v>45211</v>
      </c>
      <c r="H31" s="15">
        <f t="shared" si="0"/>
        <v>2023</v>
      </c>
      <c r="I31" s="17">
        <v>1500000</v>
      </c>
      <c r="J31" s="17">
        <v>1500000</v>
      </c>
      <c r="K31" s="17">
        <f t="shared" si="1"/>
        <v>0</v>
      </c>
      <c r="L31" s="15" t="s">
        <v>2510</v>
      </c>
      <c r="M31" s="15" t="s">
        <v>2542</v>
      </c>
      <c r="N31" s="15" t="s">
        <v>2615</v>
      </c>
      <c r="O31" s="15" t="s">
        <v>2530</v>
      </c>
      <c r="P31" s="15" t="s">
        <v>1800</v>
      </c>
      <c r="Q31" s="15" t="s">
        <v>2505</v>
      </c>
      <c r="R31" s="15">
        <v>23</v>
      </c>
      <c r="S31" s="15" t="s">
        <v>224</v>
      </c>
      <c r="T31" s="15"/>
    </row>
    <row r="32" spans="1:20" x14ac:dyDescent="0.35">
      <c r="A32" s="15" t="s">
        <v>2616</v>
      </c>
      <c r="B32" s="15" t="s">
        <v>1183</v>
      </c>
      <c r="C32" s="15" t="s">
        <v>1184</v>
      </c>
      <c r="D32" s="15" t="s">
        <v>46</v>
      </c>
      <c r="E32" s="15" t="s">
        <v>29</v>
      </c>
      <c r="F32" s="15" t="s">
        <v>2500</v>
      </c>
      <c r="G32" s="16">
        <v>45228</v>
      </c>
      <c r="H32" s="15">
        <f t="shared" si="0"/>
        <v>2023</v>
      </c>
      <c r="I32" s="17">
        <v>4600000</v>
      </c>
      <c r="J32" s="17">
        <v>4600000</v>
      </c>
      <c r="K32" s="17">
        <f t="shared" si="1"/>
        <v>0</v>
      </c>
      <c r="L32" s="15" t="s">
        <v>2609</v>
      </c>
      <c r="M32" s="15" t="s">
        <v>2502</v>
      </c>
      <c r="N32" s="15" t="s">
        <v>2617</v>
      </c>
      <c r="O32" s="15" t="s">
        <v>2504</v>
      </c>
      <c r="P32" s="15" t="s">
        <v>2618</v>
      </c>
      <c r="Q32" s="15" t="s">
        <v>2505</v>
      </c>
      <c r="R32" s="15">
        <v>25</v>
      </c>
      <c r="S32" s="15" t="s">
        <v>242</v>
      </c>
      <c r="T32" s="15"/>
    </row>
    <row r="33" spans="1:20" x14ac:dyDescent="0.35">
      <c r="A33" s="15" t="s">
        <v>2619</v>
      </c>
      <c r="B33" s="15" t="s">
        <v>248</v>
      </c>
      <c r="C33" s="15" t="s">
        <v>249</v>
      </c>
      <c r="D33" s="15" t="s">
        <v>46</v>
      </c>
      <c r="E33" s="15" t="s">
        <v>29</v>
      </c>
      <c r="F33" s="15" t="s">
        <v>2620</v>
      </c>
      <c r="G33" s="16">
        <v>45229</v>
      </c>
      <c r="H33" s="15">
        <f t="shared" si="0"/>
        <v>2023</v>
      </c>
      <c r="I33" s="17">
        <v>2000000</v>
      </c>
      <c r="J33" s="17">
        <v>2000000</v>
      </c>
      <c r="K33" s="17">
        <f t="shared" si="1"/>
        <v>0</v>
      </c>
      <c r="L33" s="15" t="s">
        <v>2609</v>
      </c>
      <c r="M33" s="15" t="s">
        <v>2502</v>
      </c>
      <c r="N33" s="15" t="s">
        <v>2621</v>
      </c>
      <c r="O33" s="15" t="s">
        <v>2504</v>
      </c>
      <c r="P33" s="15" t="s">
        <v>2611</v>
      </c>
      <c r="Q33" s="15" t="s">
        <v>2505</v>
      </c>
      <c r="R33" s="15">
        <v>26</v>
      </c>
      <c r="S33" s="15" t="s">
        <v>250</v>
      </c>
      <c r="T33" s="15"/>
    </row>
    <row r="34" spans="1:20" x14ac:dyDescent="0.35">
      <c r="A34" s="15" t="s">
        <v>2622</v>
      </c>
      <c r="B34" s="15" t="s">
        <v>208</v>
      </c>
      <c r="C34" s="15" t="s">
        <v>257</v>
      </c>
      <c r="D34" s="15" t="s">
        <v>46</v>
      </c>
      <c r="E34" s="15" t="s">
        <v>29</v>
      </c>
      <c r="F34" s="15" t="s">
        <v>2623</v>
      </c>
      <c r="G34" s="16">
        <v>45229</v>
      </c>
      <c r="H34" s="15">
        <f t="shared" si="0"/>
        <v>2023</v>
      </c>
      <c r="I34" s="17">
        <v>3000000</v>
      </c>
      <c r="J34" s="17">
        <v>9540000</v>
      </c>
      <c r="K34" s="17">
        <f t="shared" si="1"/>
        <v>-6540000</v>
      </c>
      <c r="L34" s="15" t="s">
        <v>2624</v>
      </c>
      <c r="M34" s="15" t="s">
        <v>2502</v>
      </c>
      <c r="N34" s="15" t="s">
        <v>2625</v>
      </c>
      <c r="O34" s="15" t="s">
        <v>2504</v>
      </c>
      <c r="P34" s="15" t="s">
        <v>2611</v>
      </c>
      <c r="Q34" s="15" t="s">
        <v>2607</v>
      </c>
      <c r="R34" s="15">
        <v>19</v>
      </c>
      <c r="S34" s="15" t="s">
        <v>2626</v>
      </c>
      <c r="T34" s="15"/>
    </row>
    <row r="35" spans="1:20" x14ac:dyDescent="0.35">
      <c r="A35" s="15" t="s">
        <v>2627</v>
      </c>
      <c r="B35" s="15" t="s">
        <v>238</v>
      </c>
      <c r="C35" s="15" t="s">
        <v>2628</v>
      </c>
      <c r="D35" s="15" t="s">
        <v>46</v>
      </c>
      <c r="E35" s="15" t="s">
        <v>29</v>
      </c>
      <c r="F35" s="15" t="s">
        <v>2629</v>
      </c>
      <c r="G35" s="16">
        <v>45232</v>
      </c>
      <c r="H35" s="15">
        <f t="shared" si="0"/>
        <v>2023</v>
      </c>
      <c r="I35" s="17">
        <v>15000000</v>
      </c>
      <c r="J35" s="17">
        <v>15000000</v>
      </c>
      <c r="K35" s="17">
        <f t="shared" si="1"/>
        <v>0</v>
      </c>
      <c r="L35" s="15" t="s">
        <v>2553</v>
      </c>
      <c r="M35" s="15" t="s">
        <v>2502</v>
      </c>
      <c r="N35" s="15" t="s">
        <v>2630</v>
      </c>
      <c r="O35" s="15" t="s">
        <v>2504</v>
      </c>
      <c r="P35" s="15" t="s">
        <v>1800</v>
      </c>
      <c r="Q35" s="15" t="s">
        <v>2505</v>
      </c>
      <c r="R35" s="15">
        <v>27</v>
      </c>
      <c r="S35" s="15" t="s">
        <v>262</v>
      </c>
      <c r="T35" s="15"/>
    </row>
    <row r="36" spans="1:20" x14ac:dyDescent="0.35">
      <c r="A36" s="15" t="s">
        <v>2631</v>
      </c>
      <c r="B36" s="15" t="s">
        <v>2632</v>
      </c>
      <c r="C36" s="15" t="s">
        <v>2633</v>
      </c>
      <c r="D36" s="15" t="s">
        <v>46</v>
      </c>
      <c r="E36" s="15" t="s">
        <v>29</v>
      </c>
      <c r="F36" s="15" t="s">
        <v>2523</v>
      </c>
      <c r="G36" s="16">
        <v>45233</v>
      </c>
      <c r="H36" s="15">
        <f t="shared" si="0"/>
        <v>2023</v>
      </c>
      <c r="I36" s="17">
        <v>27600000</v>
      </c>
      <c r="J36" s="17">
        <v>27600000</v>
      </c>
      <c r="K36" s="17">
        <f t="shared" si="1"/>
        <v>0</v>
      </c>
      <c r="L36" s="15" t="s">
        <v>2553</v>
      </c>
      <c r="M36" s="15" t="s">
        <v>2502</v>
      </c>
      <c r="N36" s="15" t="s">
        <v>2634</v>
      </c>
      <c r="O36" s="15" t="s">
        <v>2504</v>
      </c>
      <c r="P36" s="15" t="s">
        <v>2635</v>
      </c>
      <c r="Q36" s="15" t="s">
        <v>2505</v>
      </c>
      <c r="R36" s="15">
        <v>28</v>
      </c>
      <c r="S36" s="15" t="s">
        <v>267</v>
      </c>
      <c r="T36" s="15"/>
    </row>
    <row r="37" spans="1:20" x14ac:dyDescent="0.35">
      <c r="A37" s="15" t="s">
        <v>2636</v>
      </c>
      <c r="B37" s="15" t="s">
        <v>274</v>
      </c>
      <c r="C37" s="15" t="s">
        <v>2637</v>
      </c>
      <c r="D37" s="15" t="s">
        <v>46</v>
      </c>
      <c r="E37" s="15" t="s">
        <v>2594</v>
      </c>
      <c r="F37" s="15" t="s">
        <v>2500</v>
      </c>
      <c r="G37" s="16">
        <v>45239</v>
      </c>
      <c r="H37" s="15">
        <f t="shared" si="0"/>
        <v>2023</v>
      </c>
      <c r="I37" s="17">
        <v>750000</v>
      </c>
      <c r="J37" s="17">
        <v>750000</v>
      </c>
      <c r="K37" s="17">
        <f t="shared" si="1"/>
        <v>0</v>
      </c>
      <c r="L37" s="15" t="s">
        <v>2609</v>
      </c>
      <c r="M37" s="15" t="s">
        <v>2638</v>
      </c>
      <c r="N37" s="15"/>
      <c r="O37" s="15"/>
      <c r="P37" s="15" t="s">
        <v>2639</v>
      </c>
      <c r="Q37" s="15" t="s">
        <v>2597</v>
      </c>
      <c r="R37" s="15">
        <v>3</v>
      </c>
      <c r="S37" s="15" t="s">
        <v>269</v>
      </c>
      <c r="T37" s="15"/>
    </row>
    <row r="38" spans="1:20" x14ac:dyDescent="0.35">
      <c r="A38" s="15" t="s">
        <v>2640</v>
      </c>
      <c r="B38" s="15" t="s">
        <v>271</v>
      </c>
      <c r="C38" s="15" t="s">
        <v>2641</v>
      </c>
      <c r="D38" s="15" t="s">
        <v>46</v>
      </c>
      <c r="E38" s="15" t="s">
        <v>29</v>
      </c>
      <c r="F38" s="15" t="s">
        <v>2509</v>
      </c>
      <c r="G38" s="16">
        <v>45239</v>
      </c>
      <c r="H38" s="15">
        <f t="shared" si="0"/>
        <v>2023</v>
      </c>
      <c r="I38" s="17">
        <v>5290000</v>
      </c>
      <c r="J38" s="17">
        <v>5290000</v>
      </c>
      <c r="K38" s="17">
        <f t="shared" si="1"/>
        <v>0</v>
      </c>
      <c r="L38" s="15" t="s">
        <v>2624</v>
      </c>
      <c r="M38" s="15" t="s">
        <v>2502</v>
      </c>
      <c r="N38" s="15" t="s">
        <v>2642</v>
      </c>
      <c r="O38" s="15" t="s">
        <v>2504</v>
      </c>
      <c r="P38" s="15" t="s">
        <v>1800</v>
      </c>
      <c r="Q38" s="15" t="s">
        <v>2505</v>
      </c>
      <c r="R38" s="15">
        <v>30</v>
      </c>
      <c r="S38" s="15" t="s">
        <v>269</v>
      </c>
      <c r="T38" s="15"/>
    </row>
    <row r="39" spans="1:20" x14ac:dyDescent="0.35">
      <c r="A39" s="15" t="s">
        <v>2643</v>
      </c>
      <c r="B39" s="15" t="s">
        <v>274</v>
      </c>
      <c r="C39" s="15" t="s">
        <v>275</v>
      </c>
      <c r="D39" s="15" t="s">
        <v>46</v>
      </c>
      <c r="E39" s="15" t="s">
        <v>31</v>
      </c>
      <c r="F39" s="15" t="s">
        <v>2500</v>
      </c>
      <c r="G39" s="16">
        <v>45239</v>
      </c>
      <c r="H39" s="15">
        <f t="shared" si="0"/>
        <v>2023</v>
      </c>
      <c r="I39" s="17">
        <v>1300000</v>
      </c>
      <c r="J39" s="17"/>
      <c r="K39" s="17" t="str">
        <f t="shared" si="1"/>
        <v/>
      </c>
      <c r="L39" s="15" t="s">
        <v>2624</v>
      </c>
      <c r="M39" s="15" t="s">
        <v>2486</v>
      </c>
      <c r="N39" s="15" t="s">
        <v>2644</v>
      </c>
      <c r="O39" s="15" t="s">
        <v>2645</v>
      </c>
      <c r="P39" s="15" t="s">
        <v>2646</v>
      </c>
      <c r="Q39" s="15" t="s">
        <v>2647</v>
      </c>
      <c r="R39" s="15">
        <v>9</v>
      </c>
      <c r="S39" s="15" t="s">
        <v>269</v>
      </c>
      <c r="T39" s="15" t="s">
        <v>2648</v>
      </c>
    </row>
    <row r="40" spans="1:20" x14ac:dyDescent="0.35">
      <c r="A40" s="15" t="s">
        <v>2649</v>
      </c>
      <c r="B40" s="15" t="s">
        <v>278</v>
      </c>
      <c r="C40" s="15" t="s">
        <v>2650</v>
      </c>
      <c r="D40" s="15" t="s">
        <v>46</v>
      </c>
      <c r="E40" s="15" t="s">
        <v>29</v>
      </c>
      <c r="F40" s="15" t="s">
        <v>2509</v>
      </c>
      <c r="G40" s="16">
        <v>45245</v>
      </c>
      <c r="H40" s="15">
        <f t="shared" si="0"/>
        <v>2023</v>
      </c>
      <c r="I40" s="17">
        <v>5290000</v>
      </c>
      <c r="J40" s="17">
        <v>5290000</v>
      </c>
      <c r="K40" s="17">
        <f t="shared" si="1"/>
        <v>0</v>
      </c>
      <c r="L40" s="15" t="s">
        <v>2609</v>
      </c>
      <c r="M40" s="15" t="s">
        <v>2502</v>
      </c>
      <c r="N40" s="15" t="s">
        <v>2651</v>
      </c>
      <c r="O40" s="15" t="s">
        <v>2504</v>
      </c>
      <c r="P40" s="15" t="s">
        <v>1800</v>
      </c>
      <c r="Q40" s="15" t="s">
        <v>2505</v>
      </c>
      <c r="R40" s="15">
        <v>31</v>
      </c>
      <c r="S40" s="15" t="s">
        <v>280</v>
      </c>
      <c r="T40" s="15"/>
    </row>
    <row r="41" spans="1:20" x14ac:dyDescent="0.35">
      <c r="A41" s="15" t="s">
        <v>2652</v>
      </c>
      <c r="B41" s="15" t="s">
        <v>289</v>
      </c>
      <c r="C41" s="15" t="s">
        <v>290</v>
      </c>
      <c r="D41" s="15" t="s">
        <v>47</v>
      </c>
      <c r="E41" s="15" t="s">
        <v>41</v>
      </c>
      <c r="F41" s="15" t="s">
        <v>2653</v>
      </c>
      <c r="G41" s="16">
        <v>45261</v>
      </c>
      <c r="H41" s="15">
        <f t="shared" si="0"/>
        <v>2023</v>
      </c>
      <c r="I41" s="17">
        <v>21500000</v>
      </c>
      <c r="J41" s="17"/>
      <c r="K41" s="17" t="str">
        <f t="shared" si="1"/>
        <v/>
      </c>
      <c r="L41" s="15" t="s">
        <v>2654</v>
      </c>
      <c r="M41" s="15" t="s">
        <v>2465</v>
      </c>
      <c r="N41" s="15"/>
      <c r="O41" s="15"/>
      <c r="P41" s="15" t="s">
        <v>2655</v>
      </c>
      <c r="Q41" s="15" t="s">
        <v>2467</v>
      </c>
      <c r="R41" s="15">
        <v>10</v>
      </c>
      <c r="S41" s="15" t="s">
        <v>2656</v>
      </c>
      <c r="T41" s="15"/>
    </row>
    <row r="42" spans="1:20" x14ac:dyDescent="0.35">
      <c r="A42" s="15" t="s">
        <v>2657</v>
      </c>
      <c r="B42" s="15" t="s">
        <v>313</v>
      </c>
      <c r="C42" s="15" t="s">
        <v>2658</v>
      </c>
      <c r="D42" s="15" t="s">
        <v>46</v>
      </c>
      <c r="E42" s="15" t="s">
        <v>29</v>
      </c>
      <c r="F42" s="15" t="s">
        <v>2500</v>
      </c>
      <c r="G42" s="16">
        <v>45268</v>
      </c>
      <c r="H42" s="15">
        <f t="shared" si="0"/>
        <v>2023</v>
      </c>
      <c r="I42" s="17">
        <v>5040000</v>
      </c>
      <c r="J42" s="17">
        <v>5040000</v>
      </c>
      <c r="K42" s="17">
        <f t="shared" si="1"/>
        <v>0</v>
      </c>
      <c r="L42" s="15" t="s">
        <v>2609</v>
      </c>
      <c r="M42" s="15" t="s">
        <v>2502</v>
      </c>
      <c r="N42" s="15" t="s">
        <v>2659</v>
      </c>
      <c r="O42" s="15" t="s">
        <v>2660</v>
      </c>
      <c r="P42" s="15" t="s">
        <v>2661</v>
      </c>
      <c r="Q42" s="15" t="s">
        <v>2505</v>
      </c>
      <c r="R42" s="15">
        <v>33</v>
      </c>
      <c r="S42" s="15" t="s">
        <v>315</v>
      </c>
      <c r="T42" s="15"/>
    </row>
    <row r="43" spans="1:20" x14ac:dyDescent="0.35">
      <c r="A43" s="15" t="s">
        <v>2662</v>
      </c>
      <c r="B43" s="15" t="s">
        <v>323</v>
      </c>
      <c r="C43" s="15" t="s">
        <v>324</v>
      </c>
      <c r="D43" s="15" t="s">
        <v>46</v>
      </c>
      <c r="E43" s="15" t="s">
        <v>29</v>
      </c>
      <c r="F43" s="15" t="s">
        <v>2523</v>
      </c>
      <c r="G43" s="16">
        <v>45271</v>
      </c>
      <c r="H43" s="15">
        <f t="shared" si="0"/>
        <v>2023</v>
      </c>
      <c r="I43" s="17">
        <v>2743680</v>
      </c>
      <c r="J43" s="17">
        <v>2743680</v>
      </c>
      <c r="K43" s="17">
        <f t="shared" si="1"/>
        <v>0</v>
      </c>
      <c r="L43" s="15" t="s">
        <v>2609</v>
      </c>
      <c r="M43" s="15" t="s">
        <v>2502</v>
      </c>
      <c r="N43" s="15" t="s">
        <v>2663</v>
      </c>
      <c r="O43" s="15" t="s">
        <v>2664</v>
      </c>
      <c r="P43" s="15" t="s">
        <v>1800</v>
      </c>
      <c r="Q43" s="15" t="s">
        <v>2505</v>
      </c>
      <c r="R43" s="15">
        <v>32</v>
      </c>
      <c r="S43" s="15" t="s">
        <v>325</v>
      </c>
      <c r="T43" s="15"/>
    </row>
    <row r="44" spans="1:20" x14ac:dyDescent="0.35">
      <c r="A44" s="15" t="s">
        <v>2665</v>
      </c>
      <c r="B44" s="15" t="s">
        <v>382</v>
      </c>
      <c r="C44" s="15" t="s">
        <v>497</v>
      </c>
      <c r="D44" s="15" t="s">
        <v>46</v>
      </c>
      <c r="E44" s="15" t="s">
        <v>29</v>
      </c>
      <c r="F44" s="15" t="s">
        <v>2523</v>
      </c>
      <c r="G44" s="16">
        <v>45274</v>
      </c>
      <c r="H44" s="15">
        <f t="shared" si="0"/>
        <v>2023</v>
      </c>
      <c r="I44" s="17">
        <v>2600000</v>
      </c>
      <c r="J44" s="17">
        <v>2600000</v>
      </c>
      <c r="K44" s="17">
        <f t="shared" si="1"/>
        <v>0</v>
      </c>
      <c r="L44" s="15" t="s">
        <v>2624</v>
      </c>
      <c r="M44" s="15" t="s">
        <v>2502</v>
      </c>
      <c r="N44" s="15" t="s">
        <v>2666</v>
      </c>
      <c r="O44" s="15" t="s">
        <v>2548</v>
      </c>
      <c r="P44" s="15" t="s">
        <v>2661</v>
      </c>
      <c r="Q44" s="15" t="s">
        <v>2505</v>
      </c>
      <c r="R44" s="15">
        <v>34</v>
      </c>
      <c r="S44" s="15" t="s">
        <v>2667</v>
      </c>
      <c r="T44" s="15"/>
    </row>
    <row r="45" spans="1:20" x14ac:dyDescent="0.35">
      <c r="A45" s="15" t="s">
        <v>2668</v>
      </c>
      <c r="B45" s="15" t="s">
        <v>2566</v>
      </c>
      <c r="C45" s="15" t="s">
        <v>2567</v>
      </c>
      <c r="D45" s="15" t="s">
        <v>46</v>
      </c>
      <c r="E45" s="15" t="s">
        <v>2594</v>
      </c>
      <c r="F45" s="15" t="s">
        <v>2523</v>
      </c>
      <c r="G45" s="16">
        <v>45278</v>
      </c>
      <c r="H45" s="15">
        <f t="shared" si="0"/>
        <v>2023</v>
      </c>
      <c r="I45" s="17">
        <v>2200000</v>
      </c>
      <c r="J45" s="17">
        <v>500000</v>
      </c>
      <c r="K45" s="17">
        <f t="shared" si="1"/>
        <v>1700000</v>
      </c>
      <c r="L45" s="15" t="s">
        <v>2669</v>
      </c>
      <c r="M45" s="15" t="s">
        <v>2601</v>
      </c>
      <c r="N45" s="15"/>
      <c r="O45" s="15"/>
      <c r="P45" s="15" t="s">
        <v>1800</v>
      </c>
      <c r="Q45" s="15" t="s">
        <v>2597</v>
      </c>
      <c r="R45" s="15">
        <v>4</v>
      </c>
      <c r="S45" s="15" t="s">
        <v>328</v>
      </c>
      <c r="T45" s="15"/>
    </row>
    <row r="46" spans="1:20" x14ac:dyDescent="0.35">
      <c r="A46" s="15" t="s">
        <v>2670</v>
      </c>
      <c r="B46" s="15" t="s">
        <v>337</v>
      </c>
      <c r="C46" s="15" t="s">
        <v>732</v>
      </c>
      <c r="D46" s="15" t="s">
        <v>46</v>
      </c>
      <c r="E46" s="15" t="s">
        <v>2594</v>
      </c>
      <c r="F46" s="15" t="s">
        <v>2523</v>
      </c>
      <c r="G46" s="16">
        <v>45280</v>
      </c>
      <c r="H46" s="15">
        <f t="shared" si="0"/>
        <v>2023</v>
      </c>
      <c r="I46" s="17">
        <v>3000000</v>
      </c>
      <c r="J46" s="17">
        <v>1000000</v>
      </c>
      <c r="K46" s="17">
        <f t="shared" si="1"/>
        <v>2000000</v>
      </c>
      <c r="L46" s="15" t="s">
        <v>2609</v>
      </c>
      <c r="M46" s="15" t="s">
        <v>2601</v>
      </c>
      <c r="N46" s="15"/>
      <c r="O46" s="15"/>
      <c r="P46" s="15" t="s">
        <v>1800</v>
      </c>
      <c r="Q46" s="15" t="s">
        <v>2597</v>
      </c>
      <c r="R46" s="15">
        <v>5</v>
      </c>
      <c r="S46" s="15" t="s">
        <v>334</v>
      </c>
      <c r="T46" s="15"/>
    </row>
    <row r="47" spans="1:20" x14ac:dyDescent="0.35">
      <c r="A47" s="15" t="s">
        <v>2671</v>
      </c>
      <c r="B47" s="15" t="s">
        <v>345</v>
      </c>
      <c r="C47" s="15" t="s">
        <v>2672</v>
      </c>
      <c r="D47" s="15" t="s">
        <v>46</v>
      </c>
      <c r="E47" s="15" t="s">
        <v>29</v>
      </c>
      <c r="F47" s="15" t="s">
        <v>2500</v>
      </c>
      <c r="G47" s="16">
        <v>45283</v>
      </c>
      <c r="H47" s="15">
        <f t="shared" si="0"/>
        <v>2023</v>
      </c>
      <c r="I47" s="17">
        <v>5796000</v>
      </c>
      <c r="J47" s="17">
        <v>5796000</v>
      </c>
      <c r="K47" s="17">
        <f t="shared" si="1"/>
        <v>0</v>
      </c>
      <c r="L47" s="15" t="s">
        <v>2609</v>
      </c>
      <c r="M47" s="15" t="s">
        <v>2502</v>
      </c>
      <c r="N47" s="15" t="s">
        <v>2673</v>
      </c>
      <c r="O47" s="15" t="s">
        <v>2504</v>
      </c>
      <c r="P47" s="15" t="s">
        <v>2611</v>
      </c>
      <c r="Q47" s="15" t="s">
        <v>2505</v>
      </c>
      <c r="R47" s="15">
        <v>38</v>
      </c>
      <c r="S47" s="15" t="s">
        <v>342</v>
      </c>
      <c r="T47" s="15"/>
    </row>
    <row r="48" spans="1:20" x14ac:dyDescent="0.35">
      <c r="A48" s="15" t="s">
        <v>2674</v>
      </c>
      <c r="B48" s="15" t="s">
        <v>352</v>
      </c>
      <c r="C48" s="15" t="s">
        <v>523</v>
      </c>
      <c r="D48" s="15" t="s">
        <v>46</v>
      </c>
      <c r="E48" s="15" t="s">
        <v>29</v>
      </c>
      <c r="F48" s="15" t="s">
        <v>2523</v>
      </c>
      <c r="G48" s="16">
        <v>45286</v>
      </c>
      <c r="H48" s="15">
        <f t="shared" si="0"/>
        <v>2023</v>
      </c>
      <c r="I48" s="17">
        <v>2640000</v>
      </c>
      <c r="J48" s="17">
        <v>2640000</v>
      </c>
      <c r="K48" s="17">
        <f t="shared" si="1"/>
        <v>0</v>
      </c>
      <c r="L48" s="15" t="s">
        <v>2624</v>
      </c>
      <c r="M48" s="15" t="s">
        <v>2502</v>
      </c>
      <c r="N48" s="15" t="s">
        <v>2524</v>
      </c>
      <c r="O48" s="15" t="s">
        <v>2548</v>
      </c>
      <c r="P48" s="15" t="s">
        <v>2675</v>
      </c>
      <c r="Q48" s="15" t="s">
        <v>2505</v>
      </c>
      <c r="R48" s="15">
        <v>37</v>
      </c>
      <c r="S48" s="15" t="s">
        <v>354</v>
      </c>
      <c r="T48" s="15"/>
    </row>
    <row r="49" spans="1:20" x14ac:dyDescent="0.35">
      <c r="A49" s="15" t="s">
        <v>2676</v>
      </c>
      <c r="B49" s="15" t="s">
        <v>362</v>
      </c>
      <c r="C49" s="15" t="s">
        <v>363</v>
      </c>
      <c r="D49" s="15" t="s">
        <v>46</v>
      </c>
      <c r="E49" s="15" t="s">
        <v>29</v>
      </c>
      <c r="F49" s="15" t="s">
        <v>2677</v>
      </c>
      <c r="G49" s="16">
        <v>45288</v>
      </c>
      <c r="H49" s="15">
        <f t="shared" si="0"/>
        <v>2023</v>
      </c>
      <c r="I49" s="17">
        <v>2640000</v>
      </c>
      <c r="J49" s="17">
        <v>2640000</v>
      </c>
      <c r="K49" s="17">
        <f t="shared" si="1"/>
        <v>0</v>
      </c>
      <c r="L49" s="15" t="s">
        <v>2609</v>
      </c>
      <c r="M49" s="15" t="s">
        <v>2502</v>
      </c>
      <c r="N49" s="15" t="s">
        <v>2678</v>
      </c>
      <c r="O49" s="15" t="s">
        <v>2504</v>
      </c>
      <c r="P49" s="15" t="s">
        <v>2513</v>
      </c>
      <c r="Q49" s="15" t="s">
        <v>2505</v>
      </c>
      <c r="R49" s="15">
        <v>39</v>
      </c>
      <c r="S49" s="15" t="s">
        <v>359</v>
      </c>
      <c r="T49" s="15"/>
    </row>
    <row r="50" spans="1:20" x14ac:dyDescent="0.35">
      <c r="A50" s="15" t="s">
        <v>2679</v>
      </c>
      <c r="B50" s="15" t="s">
        <v>132</v>
      </c>
      <c r="C50" s="15" t="s">
        <v>2680</v>
      </c>
      <c r="D50" s="15" t="s">
        <v>46</v>
      </c>
      <c r="E50" s="15" t="s">
        <v>29</v>
      </c>
      <c r="F50" s="15" t="s">
        <v>2677</v>
      </c>
      <c r="G50" s="16">
        <v>45288</v>
      </c>
      <c r="H50" s="15">
        <f t="shared" si="0"/>
        <v>2023</v>
      </c>
      <c r="I50" s="17">
        <v>10000000</v>
      </c>
      <c r="J50" s="17">
        <v>10000000</v>
      </c>
      <c r="K50" s="17">
        <f t="shared" si="1"/>
        <v>0</v>
      </c>
      <c r="L50" s="15" t="s">
        <v>2553</v>
      </c>
      <c r="M50" s="15" t="s">
        <v>2502</v>
      </c>
      <c r="N50" s="15" t="s">
        <v>2681</v>
      </c>
      <c r="O50" s="15" t="s">
        <v>2504</v>
      </c>
      <c r="P50" s="15" t="s">
        <v>2513</v>
      </c>
      <c r="Q50" s="15" t="s">
        <v>2505</v>
      </c>
      <c r="R50" s="15">
        <v>40</v>
      </c>
      <c r="S50" s="15" t="s">
        <v>359</v>
      </c>
      <c r="T50" s="15"/>
    </row>
    <row r="51" spans="1:20" x14ac:dyDescent="0.35">
      <c r="A51" s="15" t="s">
        <v>2682</v>
      </c>
      <c r="B51" s="15" t="s">
        <v>369</v>
      </c>
      <c r="C51" s="15" t="s">
        <v>370</v>
      </c>
      <c r="D51" s="15" t="s">
        <v>46</v>
      </c>
      <c r="E51" s="15" t="s">
        <v>29</v>
      </c>
      <c r="F51" s="15" t="s">
        <v>2500</v>
      </c>
      <c r="G51" s="16">
        <v>45289</v>
      </c>
      <c r="H51" s="15">
        <f t="shared" si="0"/>
        <v>2023</v>
      </c>
      <c r="I51" s="17">
        <v>5040000</v>
      </c>
      <c r="J51" s="17">
        <v>5040000</v>
      </c>
      <c r="K51" s="17">
        <f t="shared" si="1"/>
        <v>0</v>
      </c>
      <c r="L51" s="15" t="s">
        <v>2609</v>
      </c>
      <c r="M51" s="15" t="s">
        <v>2502</v>
      </c>
      <c r="N51" s="15" t="s">
        <v>2683</v>
      </c>
      <c r="O51" s="15" t="s">
        <v>2684</v>
      </c>
      <c r="P51" s="15" t="s">
        <v>2513</v>
      </c>
      <c r="Q51" s="15" t="s">
        <v>2505</v>
      </c>
      <c r="R51" s="15">
        <v>36</v>
      </c>
      <c r="S51" s="15" t="s">
        <v>371</v>
      </c>
      <c r="T51" s="15"/>
    </row>
    <row r="52" spans="1:20" x14ac:dyDescent="0.35">
      <c r="A52" s="15" t="s">
        <v>2685</v>
      </c>
      <c r="B52" s="15" t="s">
        <v>1020</v>
      </c>
      <c r="C52" s="15" t="s">
        <v>2686</v>
      </c>
      <c r="D52" s="15" t="s">
        <v>46</v>
      </c>
      <c r="E52" s="15" t="s">
        <v>29</v>
      </c>
      <c r="F52" s="15" t="s">
        <v>2523</v>
      </c>
      <c r="G52" s="16">
        <v>45289</v>
      </c>
      <c r="H52" s="15">
        <f t="shared" si="0"/>
        <v>2023</v>
      </c>
      <c r="I52" s="17">
        <v>5500000</v>
      </c>
      <c r="J52" s="17">
        <v>5500000</v>
      </c>
      <c r="K52" s="17">
        <f t="shared" si="1"/>
        <v>0</v>
      </c>
      <c r="L52" s="15" t="s">
        <v>2609</v>
      </c>
      <c r="M52" s="15" t="s">
        <v>2502</v>
      </c>
      <c r="N52" s="15" t="s">
        <v>2687</v>
      </c>
      <c r="O52" s="15" t="s">
        <v>2688</v>
      </c>
      <c r="P52" s="15" t="s">
        <v>2689</v>
      </c>
      <c r="Q52" s="15" t="s">
        <v>2505</v>
      </c>
      <c r="R52" s="15">
        <v>35</v>
      </c>
      <c r="S52" s="15" t="s">
        <v>371</v>
      </c>
      <c r="T52" s="15"/>
    </row>
    <row r="53" spans="1:20" x14ac:dyDescent="0.35">
      <c r="A53" s="15" t="s">
        <v>2690</v>
      </c>
      <c r="B53" s="15" t="s">
        <v>387</v>
      </c>
      <c r="C53" s="15" t="s">
        <v>2691</v>
      </c>
      <c r="D53" s="15" t="s">
        <v>46</v>
      </c>
      <c r="E53" s="15" t="s">
        <v>29</v>
      </c>
      <c r="F53" s="15" t="s">
        <v>2523</v>
      </c>
      <c r="G53" s="16">
        <v>45291</v>
      </c>
      <c r="H53" s="15">
        <f t="shared" si="0"/>
        <v>2023</v>
      </c>
      <c r="I53" s="17">
        <v>10000000</v>
      </c>
      <c r="J53" s="17">
        <v>10000000</v>
      </c>
      <c r="K53" s="17">
        <f t="shared" si="1"/>
        <v>0</v>
      </c>
      <c r="L53" s="15" t="s">
        <v>2553</v>
      </c>
      <c r="M53" s="15" t="s">
        <v>2502</v>
      </c>
      <c r="N53" s="15" t="s">
        <v>2692</v>
      </c>
      <c r="O53" s="15" t="s">
        <v>2504</v>
      </c>
      <c r="P53" s="15" t="s">
        <v>2513</v>
      </c>
      <c r="Q53" s="15" t="s">
        <v>2505</v>
      </c>
      <c r="R53" s="15">
        <v>41</v>
      </c>
      <c r="S53" s="15" t="s">
        <v>389</v>
      </c>
      <c r="T53" s="15"/>
    </row>
    <row r="54" spans="1:20" x14ac:dyDescent="0.35">
      <c r="A54" s="15" t="s">
        <v>2693</v>
      </c>
      <c r="B54" s="15" t="s">
        <v>409</v>
      </c>
      <c r="C54" s="15" t="s">
        <v>2694</v>
      </c>
      <c r="D54" s="15" t="s">
        <v>46</v>
      </c>
      <c r="E54" s="15" t="s">
        <v>31</v>
      </c>
      <c r="F54" s="15" t="s">
        <v>2500</v>
      </c>
      <c r="G54" s="16">
        <v>45296</v>
      </c>
      <c r="H54" s="15">
        <f t="shared" si="0"/>
        <v>2024</v>
      </c>
      <c r="I54" s="17">
        <v>1800000</v>
      </c>
      <c r="J54" s="17">
        <v>1700000</v>
      </c>
      <c r="K54" s="17">
        <f t="shared" si="1"/>
        <v>100000</v>
      </c>
      <c r="L54" s="15" t="s">
        <v>2553</v>
      </c>
      <c r="M54" s="15" t="s">
        <v>2542</v>
      </c>
      <c r="N54" s="15" t="s">
        <v>2695</v>
      </c>
      <c r="O54" s="15" t="s">
        <v>2606</v>
      </c>
      <c r="P54" s="15" t="s">
        <v>1800</v>
      </c>
      <c r="Q54" s="15" t="s">
        <v>2647</v>
      </c>
      <c r="R54" s="15">
        <v>2</v>
      </c>
      <c r="S54" s="15" t="s">
        <v>411</v>
      </c>
      <c r="T54" s="15"/>
    </row>
    <row r="55" spans="1:20" x14ac:dyDescent="0.35">
      <c r="A55" s="15" t="s">
        <v>2696</v>
      </c>
      <c r="B55" s="15" t="s">
        <v>414</v>
      </c>
      <c r="C55" s="15" t="s">
        <v>2697</v>
      </c>
      <c r="D55" s="15" t="s">
        <v>46</v>
      </c>
      <c r="E55" s="15" t="s">
        <v>31</v>
      </c>
      <c r="F55" s="15" t="s">
        <v>2523</v>
      </c>
      <c r="G55" s="16">
        <v>45306</v>
      </c>
      <c r="H55" s="15">
        <f t="shared" si="0"/>
        <v>2024</v>
      </c>
      <c r="I55" s="17">
        <v>3500000</v>
      </c>
      <c r="J55" s="17">
        <v>3500000</v>
      </c>
      <c r="K55" s="17">
        <f t="shared" si="1"/>
        <v>0</v>
      </c>
      <c r="L55" s="15" t="s">
        <v>2624</v>
      </c>
      <c r="M55" s="15" t="s">
        <v>2542</v>
      </c>
      <c r="N55" s="15" t="s">
        <v>2698</v>
      </c>
      <c r="O55" s="15" t="s">
        <v>2504</v>
      </c>
      <c r="P55" s="15" t="s">
        <v>1800</v>
      </c>
      <c r="Q55" s="15" t="s">
        <v>2647</v>
      </c>
      <c r="R55" s="15">
        <v>3</v>
      </c>
      <c r="S55" s="15" t="s">
        <v>416</v>
      </c>
      <c r="T55" s="15"/>
    </row>
    <row r="56" spans="1:20" x14ac:dyDescent="0.35">
      <c r="A56" s="15" t="s">
        <v>2699</v>
      </c>
      <c r="B56" s="15" t="s">
        <v>254</v>
      </c>
      <c r="C56" s="15" t="s">
        <v>2700</v>
      </c>
      <c r="D56" s="15" t="s">
        <v>46</v>
      </c>
      <c r="E56" s="15" t="s">
        <v>31</v>
      </c>
      <c r="F56" s="15" t="s">
        <v>2500</v>
      </c>
      <c r="G56" s="16">
        <v>45321</v>
      </c>
      <c r="H56" s="15">
        <f t="shared" si="0"/>
        <v>2024</v>
      </c>
      <c r="I56" s="17">
        <v>1800000</v>
      </c>
      <c r="J56" s="17">
        <v>1800000</v>
      </c>
      <c r="K56" s="17">
        <f t="shared" si="1"/>
        <v>0</v>
      </c>
      <c r="L56" s="15" t="s">
        <v>2624</v>
      </c>
      <c r="M56" s="15" t="s">
        <v>2486</v>
      </c>
      <c r="N56" s="15" t="s">
        <v>2644</v>
      </c>
      <c r="O56" s="15" t="s">
        <v>2606</v>
      </c>
      <c r="P56" s="15" t="s">
        <v>1800</v>
      </c>
      <c r="Q56" s="15" t="s">
        <v>2647</v>
      </c>
      <c r="R56" s="15">
        <v>4</v>
      </c>
      <c r="S56" s="15" t="s">
        <v>2701</v>
      </c>
      <c r="T56" s="15"/>
    </row>
    <row r="57" spans="1:20" x14ac:dyDescent="0.35">
      <c r="A57" s="15" t="s">
        <v>2702</v>
      </c>
      <c r="B57" s="15" t="s">
        <v>469</v>
      </c>
      <c r="C57" s="15" t="s">
        <v>470</v>
      </c>
      <c r="D57" s="15" t="s">
        <v>46</v>
      </c>
      <c r="E57" s="15" t="s">
        <v>29</v>
      </c>
      <c r="F57" s="15" t="s">
        <v>2509</v>
      </c>
      <c r="G57" s="16">
        <v>45323</v>
      </c>
      <c r="H57" s="15">
        <f t="shared" si="0"/>
        <v>2024</v>
      </c>
      <c r="I57" s="17">
        <v>5040000</v>
      </c>
      <c r="J57" s="17">
        <v>5040000</v>
      </c>
      <c r="K57" s="17">
        <f t="shared" si="1"/>
        <v>0</v>
      </c>
      <c r="L57" s="15" t="s">
        <v>2609</v>
      </c>
      <c r="M57" s="15" t="s">
        <v>2502</v>
      </c>
      <c r="N57" s="15" t="s">
        <v>2703</v>
      </c>
      <c r="O57" s="15" t="s">
        <v>2704</v>
      </c>
      <c r="P57" s="15" t="s">
        <v>1800</v>
      </c>
      <c r="Q57" s="15" t="s">
        <v>2505</v>
      </c>
      <c r="R57" s="15">
        <v>42</v>
      </c>
      <c r="S57" s="15" t="s">
        <v>462</v>
      </c>
      <c r="T57" s="15"/>
    </row>
    <row r="58" spans="1:20" x14ac:dyDescent="0.35">
      <c r="A58" s="15" t="s">
        <v>2705</v>
      </c>
      <c r="B58" s="15" t="s">
        <v>478</v>
      </c>
      <c r="C58" s="15" t="s">
        <v>2706</v>
      </c>
      <c r="D58" s="15" t="s">
        <v>46</v>
      </c>
      <c r="E58" s="15" t="s">
        <v>31</v>
      </c>
      <c r="F58" s="15" t="s">
        <v>2523</v>
      </c>
      <c r="G58" s="16">
        <v>45326</v>
      </c>
      <c r="H58" s="15">
        <f t="shared" si="0"/>
        <v>2024</v>
      </c>
      <c r="I58" s="17">
        <v>3500000</v>
      </c>
      <c r="J58" s="17">
        <v>3500000</v>
      </c>
      <c r="K58" s="17">
        <f t="shared" si="1"/>
        <v>0</v>
      </c>
      <c r="L58" s="15" t="s">
        <v>2553</v>
      </c>
      <c r="M58" s="15" t="s">
        <v>2502</v>
      </c>
      <c r="N58" s="15" t="s">
        <v>2707</v>
      </c>
      <c r="O58" s="15" t="s">
        <v>2504</v>
      </c>
      <c r="P58" s="15" t="s">
        <v>2708</v>
      </c>
      <c r="Q58" s="15" t="s">
        <v>2647</v>
      </c>
      <c r="R58" s="15">
        <v>5</v>
      </c>
      <c r="S58" s="15" t="s">
        <v>2709</v>
      </c>
      <c r="T58" s="15"/>
    </row>
    <row r="59" spans="1:20" x14ac:dyDescent="0.35">
      <c r="A59" s="15" t="s">
        <v>2710</v>
      </c>
      <c r="B59" s="15" t="s">
        <v>486</v>
      </c>
      <c r="C59" s="15" t="s">
        <v>2711</v>
      </c>
      <c r="D59" s="15" t="s">
        <v>46</v>
      </c>
      <c r="E59" s="15" t="s">
        <v>31</v>
      </c>
      <c r="F59" s="15" t="s">
        <v>2712</v>
      </c>
      <c r="G59" s="16">
        <v>45327</v>
      </c>
      <c r="H59" s="15">
        <f t="shared" si="0"/>
        <v>2024</v>
      </c>
      <c r="I59" s="17">
        <v>1800000</v>
      </c>
      <c r="J59" s="17">
        <v>1800000</v>
      </c>
      <c r="K59" s="17">
        <f t="shared" si="1"/>
        <v>0</v>
      </c>
      <c r="L59" s="15" t="s">
        <v>2553</v>
      </c>
      <c r="M59" s="15" t="s">
        <v>2502</v>
      </c>
      <c r="N59" s="15" t="s">
        <v>2713</v>
      </c>
      <c r="O59" s="15" t="s">
        <v>2606</v>
      </c>
      <c r="P59" s="15" t="s">
        <v>2559</v>
      </c>
      <c r="Q59" s="15" t="s">
        <v>2647</v>
      </c>
      <c r="R59" s="15">
        <v>13</v>
      </c>
      <c r="S59" s="15" t="s">
        <v>483</v>
      </c>
      <c r="T59" s="15"/>
    </row>
    <row r="60" spans="1:20" x14ac:dyDescent="0.35">
      <c r="A60" s="15" t="s">
        <v>2714</v>
      </c>
      <c r="B60" s="15" t="s">
        <v>493</v>
      </c>
      <c r="C60" s="15" t="s">
        <v>494</v>
      </c>
      <c r="D60" s="15" t="s">
        <v>46</v>
      </c>
      <c r="E60" s="15" t="s">
        <v>31</v>
      </c>
      <c r="F60" s="15" t="s">
        <v>2500</v>
      </c>
      <c r="G60" s="16">
        <v>45328</v>
      </c>
      <c r="H60" s="15">
        <f t="shared" si="0"/>
        <v>2024</v>
      </c>
      <c r="I60" s="17">
        <v>1800000</v>
      </c>
      <c r="J60" s="17">
        <v>1800000</v>
      </c>
      <c r="K60" s="17">
        <f t="shared" si="1"/>
        <v>0</v>
      </c>
      <c r="L60" s="15" t="s">
        <v>2553</v>
      </c>
      <c r="M60" s="15" t="s">
        <v>2502</v>
      </c>
      <c r="N60" s="15" t="s">
        <v>2715</v>
      </c>
      <c r="O60" s="15" t="s">
        <v>2606</v>
      </c>
      <c r="P60" s="15" t="s">
        <v>1800</v>
      </c>
      <c r="Q60" s="15" t="s">
        <v>2647</v>
      </c>
      <c r="R60" s="15">
        <v>10</v>
      </c>
      <c r="S60" s="15" t="s">
        <v>488</v>
      </c>
      <c r="T60" s="15"/>
    </row>
    <row r="61" spans="1:20" x14ac:dyDescent="0.35">
      <c r="A61" s="15" t="s">
        <v>2716</v>
      </c>
      <c r="B61" s="15" t="s">
        <v>140</v>
      </c>
      <c r="C61" s="15" t="s">
        <v>141</v>
      </c>
      <c r="D61" s="15" t="s">
        <v>46</v>
      </c>
      <c r="E61" s="15" t="s">
        <v>31</v>
      </c>
      <c r="F61" s="15" t="s">
        <v>2717</v>
      </c>
      <c r="G61" s="16">
        <v>45334</v>
      </c>
      <c r="H61" s="15">
        <f t="shared" si="0"/>
        <v>2024</v>
      </c>
      <c r="I61" s="17">
        <v>3500000</v>
      </c>
      <c r="J61" s="17">
        <v>3500000</v>
      </c>
      <c r="K61" s="17">
        <f t="shared" si="1"/>
        <v>0</v>
      </c>
      <c r="L61" s="15" t="s">
        <v>2553</v>
      </c>
      <c r="M61" s="15" t="s">
        <v>2502</v>
      </c>
      <c r="N61" s="15" t="s">
        <v>2718</v>
      </c>
      <c r="O61" s="15" t="s">
        <v>2504</v>
      </c>
      <c r="P61" s="15" t="s">
        <v>2559</v>
      </c>
      <c r="Q61" s="15" t="s">
        <v>2647</v>
      </c>
      <c r="R61" s="15">
        <v>11</v>
      </c>
      <c r="S61" s="15" t="s">
        <v>504</v>
      </c>
      <c r="T61" s="15"/>
    </row>
    <row r="62" spans="1:20" x14ac:dyDescent="0.35">
      <c r="A62" s="15" t="s">
        <v>2719</v>
      </c>
      <c r="B62" s="15" t="s">
        <v>568</v>
      </c>
      <c r="C62" s="15" t="s">
        <v>875</v>
      </c>
      <c r="D62" s="15" t="s">
        <v>46</v>
      </c>
      <c r="E62" s="15" t="s">
        <v>31</v>
      </c>
      <c r="F62" s="15" t="s">
        <v>2717</v>
      </c>
      <c r="G62" s="16">
        <v>45343</v>
      </c>
      <c r="H62" s="15">
        <f t="shared" si="0"/>
        <v>2024</v>
      </c>
      <c r="I62" s="17">
        <v>3500000</v>
      </c>
      <c r="J62" s="17">
        <v>3500000</v>
      </c>
      <c r="K62" s="17">
        <f t="shared" si="1"/>
        <v>0</v>
      </c>
      <c r="L62" s="15" t="s">
        <v>2553</v>
      </c>
      <c r="M62" s="15" t="s">
        <v>2502</v>
      </c>
      <c r="N62" s="15" t="s">
        <v>2720</v>
      </c>
      <c r="O62" s="15" t="s">
        <v>2721</v>
      </c>
      <c r="P62" s="15" t="s">
        <v>2722</v>
      </c>
      <c r="Q62" s="15" t="s">
        <v>2723</v>
      </c>
      <c r="R62" s="15">
        <v>36</v>
      </c>
      <c r="S62" s="15" t="s">
        <v>515</v>
      </c>
      <c r="T62" s="15"/>
    </row>
    <row r="63" spans="1:20" x14ac:dyDescent="0.35">
      <c r="A63" s="15" t="s">
        <v>2724</v>
      </c>
      <c r="B63" s="15" t="s">
        <v>534</v>
      </c>
      <c r="C63" s="15" t="s">
        <v>535</v>
      </c>
      <c r="D63" s="15" t="s">
        <v>46</v>
      </c>
      <c r="E63" s="15" t="s">
        <v>31</v>
      </c>
      <c r="F63" s="15" t="s">
        <v>2523</v>
      </c>
      <c r="G63" s="16">
        <v>45348</v>
      </c>
      <c r="H63" s="15">
        <f t="shared" si="0"/>
        <v>2024</v>
      </c>
      <c r="I63" s="17">
        <v>3500000</v>
      </c>
      <c r="J63" s="17">
        <v>3500000</v>
      </c>
      <c r="K63" s="17">
        <f t="shared" si="1"/>
        <v>0</v>
      </c>
      <c r="L63" s="15" t="s">
        <v>2553</v>
      </c>
      <c r="M63" s="15" t="s">
        <v>2502</v>
      </c>
      <c r="N63" s="15" t="s">
        <v>2725</v>
      </c>
      <c r="O63" s="15" t="s">
        <v>2504</v>
      </c>
      <c r="P63" s="15" t="s">
        <v>2726</v>
      </c>
      <c r="Q63" s="15" t="s">
        <v>2647</v>
      </c>
      <c r="R63" s="15">
        <v>14</v>
      </c>
      <c r="S63" s="15" t="s">
        <v>531</v>
      </c>
      <c r="T63" s="15"/>
    </row>
    <row r="64" spans="1:20" x14ac:dyDescent="0.35">
      <c r="A64" s="15" t="s">
        <v>2727</v>
      </c>
      <c r="B64" s="15" t="s">
        <v>713</v>
      </c>
      <c r="C64" s="15" t="s">
        <v>714</v>
      </c>
      <c r="D64" s="15" t="s">
        <v>46</v>
      </c>
      <c r="E64" s="15" t="s">
        <v>31</v>
      </c>
      <c r="F64" s="15" t="s">
        <v>2523</v>
      </c>
      <c r="G64" s="16">
        <v>45350</v>
      </c>
      <c r="H64" s="15">
        <f t="shared" si="0"/>
        <v>2024</v>
      </c>
      <c r="I64" s="17">
        <v>4000000</v>
      </c>
      <c r="J64" s="17">
        <v>4000000</v>
      </c>
      <c r="K64" s="17">
        <f t="shared" si="1"/>
        <v>0</v>
      </c>
      <c r="L64" s="15" t="s">
        <v>2728</v>
      </c>
      <c r="M64" s="15" t="s">
        <v>2502</v>
      </c>
      <c r="N64" s="15" t="s">
        <v>2729</v>
      </c>
      <c r="O64" s="15" t="s">
        <v>2606</v>
      </c>
      <c r="P64" s="15" t="s">
        <v>2730</v>
      </c>
      <c r="Q64" s="15" t="s">
        <v>2647</v>
      </c>
      <c r="R64" s="15">
        <v>6</v>
      </c>
      <c r="S64" s="15" t="s">
        <v>548</v>
      </c>
      <c r="T64" s="15"/>
    </row>
    <row r="65" spans="1:20" x14ac:dyDescent="0.35">
      <c r="A65" s="15" t="s">
        <v>2731</v>
      </c>
      <c r="B65" s="15" t="s">
        <v>583</v>
      </c>
      <c r="C65" s="15" t="s">
        <v>1155</v>
      </c>
      <c r="D65" s="15" t="s">
        <v>46</v>
      </c>
      <c r="E65" s="15" t="s">
        <v>31</v>
      </c>
      <c r="F65" s="15" t="s">
        <v>2732</v>
      </c>
      <c r="G65" s="16">
        <v>45357</v>
      </c>
      <c r="H65" s="15">
        <f t="shared" si="0"/>
        <v>2024</v>
      </c>
      <c r="I65" s="17">
        <v>3500000</v>
      </c>
      <c r="J65" s="17">
        <v>3500000</v>
      </c>
      <c r="K65" s="17">
        <f t="shared" si="1"/>
        <v>0</v>
      </c>
      <c r="L65" s="15" t="s">
        <v>2553</v>
      </c>
      <c r="M65" s="15" t="s">
        <v>2502</v>
      </c>
      <c r="N65" s="15" t="s">
        <v>2733</v>
      </c>
      <c r="O65" s="15" t="s">
        <v>2504</v>
      </c>
      <c r="P65" s="15" t="s">
        <v>2708</v>
      </c>
      <c r="Q65" s="15" t="s">
        <v>2647</v>
      </c>
      <c r="R65" s="15">
        <v>17</v>
      </c>
      <c r="S65" s="15" t="s">
        <v>581</v>
      </c>
      <c r="T65" s="15"/>
    </row>
    <row r="66" spans="1:20" x14ac:dyDescent="0.35">
      <c r="A66" s="15" t="s">
        <v>2734</v>
      </c>
      <c r="B66" s="15" t="s">
        <v>604</v>
      </c>
      <c r="C66" s="15" t="s">
        <v>2735</v>
      </c>
      <c r="D66" s="15" t="s">
        <v>46</v>
      </c>
      <c r="E66" s="15" t="s">
        <v>29</v>
      </c>
      <c r="F66" s="15" t="s">
        <v>2736</v>
      </c>
      <c r="G66" s="16">
        <v>45359</v>
      </c>
      <c r="H66" s="15">
        <f t="shared" si="0"/>
        <v>2024</v>
      </c>
      <c r="I66" s="17">
        <v>3000000</v>
      </c>
      <c r="J66" s="17">
        <v>3000000</v>
      </c>
      <c r="K66" s="17">
        <f t="shared" si="1"/>
        <v>0</v>
      </c>
      <c r="L66" s="15" t="s">
        <v>2609</v>
      </c>
      <c r="M66" s="15" t="s">
        <v>2502</v>
      </c>
      <c r="N66" s="15" t="s">
        <v>2615</v>
      </c>
      <c r="O66" s="15" t="s">
        <v>2606</v>
      </c>
      <c r="P66" s="15" t="s">
        <v>1800</v>
      </c>
      <c r="Q66" s="15" t="s">
        <v>2505</v>
      </c>
      <c r="R66" s="15">
        <v>45</v>
      </c>
      <c r="S66" s="15" t="s">
        <v>591</v>
      </c>
      <c r="T66" s="15"/>
    </row>
    <row r="67" spans="1:20" x14ac:dyDescent="0.35">
      <c r="A67" s="15" t="s">
        <v>2737</v>
      </c>
      <c r="B67" s="15" t="s">
        <v>589</v>
      </c>
      <c r="C67" s="15" t="s">
        <v>590</v>
      </c>
      <c r="D67" s="15" t="s">
        <v>46</v>
      </c>
      <c r="E67" s="15" t="s">
        <v>31</v>
      </c>
      <c r="F67" s="15" t="s">
        <v>2732</v>
      </c>
      <c r="G67" s="16">
        <v>45359</v>
      </c>
      <c r="H67" s="15">
        <f t="shared" si="0"/>
        <v>2024</v>
      </c>
      <c r="I67" s="17">
        <v>3000000</v>
      </c>
      <c r="J67" s="17">
        <v>3000000</v>
      </c>
      <c r="K67" s="17">
        <f t="shared" si="1"/>
        <v>0</v>
      </c>
      <c r="L67" s="15" t="s">
        <v>2553</v>
      </c>
      <c r="M67" s="15" t="s">
        <v>2502</v>
      </c>
      <c r="N67" s="15" t="s">
        <v>2738</v>
      </c>
      <c r="O67" s="15" t="s">
        <v>2504</v>
      </c>
      <c r="P67" s="15" t="s">
        <v>2739</v>
      </c>
      <c r="Q67" s="15" t="s">
        <v>2647</v>
      </c>
      <c r="R67" s="15">
        <v>23</v>
      </c>
      <c r="S67" s="15" t="s">
        <v>591</v>
      </c>
      <c r="T67" s="15"/>
    </row>
    <row r="68" spans="1:20" x14ac:dyDescent="0.35">
      <c r="A68" s="15" t="s">
        <v>2740</v>
      </c>
      <c r="B68" s="15" t="s">
        <v>594</v>
      </c>
      <c r="C68" s="15" t="s">
        <v>595</v>
      </c>
      <c r="D68" s="15" t="s">
        <v>46</v>
      </c>
      <c r="E68" s="15" t="s">
        <v>31</v>
      </c>
      <c r="F68" s="15" t="s">
        <v>2732</v>
      </c>
      <c r="G68" s="16">
        <v>45359</v>
      </c>
      <c r="H68" s="15">
        <f t="shared" si="0"/>
        <v>2024</v>
      </c>
      <c r="I68" s="17">
        <v>3000000</v>
      </c>
      <c r="J68" s="17">
        <v>3000000</v>
      </c>
      <c r="K68" s="17">
        <f t="shared" si="1"/>
        <v>0</v>
      </c>
      <c r="L68" s="15" t="s">
        <v>2553</v>
      </c>
      <c r="M68" s="15" t="s">
        <v>2502</v>
      </c>
      <c r="N68" s="15" t="s">
        <v>2741</v>
      </c>
      <c r="O68" s="15" t="s">
        <v>2504</v>
      </c>
      <c r="P68" s="15" t="s">
        <v>2739</v>
      </c>
      <c r="Q68" s="15" t="s">
        <v>2647</v>
      </c>
      <c r="R68" s="15">
        <v>21</v>
      </c>
      <c r="S68" s="15" t="s">
        <v>591</v>
      </c>
      <c r="T68" s="15"/>
    </row>
    <row r="69" spans="1:20" x14ac:dyDescent="0.35">
      <c r="A69" s="15" t="s">
        <v>2742</v>
      </c>
      <c r="B69" s="15" t="s">
        <v>598</v>
      </c>
      <c r="C69" s="15" t="s">
        <v>599</v>
      </c>
      <c r="D69" s="15" t="s">
        <v>46</v>
      </c>
      <c r="E69" s="15" t="s">
        <v>31</v>
      </c>
      <c r="F69" s="15" t="s">
        <v>2732</v>
      </c>
      <c r="G69" s="16">
        <v>45359</v>
      </c>
      <c r="H69" s="15">
        <f t="shared" ref="H69:H132" si="2">IF(G69="","",YEAR(G69))</f>
        <v>2024</v>
      </c>
      <c r="I69" s="17">
        <v>3000000</v>
      </c>
      <c r="J69" s="17">
        <v>3000000</v>
      </c>
      <c r="K69" s="17">
        <f t="shared" ref="K69:K132" si="3">IF(OR(I69="",J69=""),"",I69-J69)</f>
        <v>0</v>
      </c>
      <c r="L69" s="15" t="s">
        <v>2553</v>
      </c>
      <c r="M69" s="15" t="s">
        <v>2502</v>
      </c>
      <c r="N69" s="15" t="s">
        <v>2743</v>
      </c>
      <c r="O69" s="15" t="s">
        <v>2504</v>
      </c>
      <c r="P69" s="15" t="s">
        <v>2739</v>
      </c>
      <c r="Q69" s="15" t="s">
        <v>2647</v>
      </c>
      <c r="R69" s="15">
        <v>22</v>
      </c>
      <c r="S69" s="15" t="s">
        <v>591</v>
      </c>
      <c r="T69" s="15"/>
    </row>
    <row r="70" spans="1:20" x14ac:dyDescent="0.35">
      <c r="A70" s="15" t="s">
        <v>2744</v>
      </c>
      <c r="B70" s="15" t="s">
        <v>612</v>
      </c>
      <c r="C70" s="15" t="s">
        <v>2745</v>
      </c>
      <c r="D70" s="15" t="s">
        <v>46</v>
      </c>
      <c r="E70" s="15" t="s">
        <v>31</v>
      </c>
      <c r="F70" s="15" t="s">
        <v>2746</v>
      </c>
      <c r="G70" s="16">
        <v>45360</v>
      </c>
      <c r="H70" s="15">
        <f t="shared" si="2"/>
        <v>2024</v>
      </c>
      <c r="I70" s="17">
        <v>1800000</v>
      </c>
      <c r="J70" s="17">
        <v>1800000</v>
      </c>
      <c r="K70" s="17">
        <f t="shared" si="3"/>
        <v>0</v>
      </c>
      <c r="L70" s="15" t="s">
        <v>2553</v>
      </c>
      <c r="M70" s="15" t="s">
        <v>2502</v>
      </c>
      <c r="N70" s="15" t="s">
        <v>2747</v>
      </c>
      <c r="O70" s="15" t="s">
        <v>2504</v>
      </c>
      <c r="P70" s="15" t="s">
        <v>2748</v>
      </c>
      <c r="Q70" s="15" t="s">
        <v>2647</v>
      </c>
      <c r="R70" s="15">
        <v>25</v>
      </c>
      <c r="S70" s="15" t="s">
        <v>609</v>
      </c>
      <c r="T70" s="15"/>
    </row>
    <row r="71" spans="1:20" x14ac:dyDescent="0.35">
      <c r="A71" s="15" t="s">
        <v>2749</v>
      </c>
      <c r="B71" s="15" t="s">
        <v>616</v>
      </c>
      <c r="C71" s="15" t="s">
        <v>617</v>
      </c>
      <c r="D71" s="15" t="s">
        <v>46</v>
      </c>
      <c r="E71" s="15" t="s">
        <v>31</v>
      </c>
      <c r="F71" s="15" t="s">
        <v>2732</v>
      </c>
      <c r="G71" s="16">
        <v>45360</v>
      </c>
      <c r="H71" s="15">
        <f t="shared" si="2"/>
        <v>2024</v>
      </c>
      <c r="I71" s="17">
        <v>3500000</v>
      </c>
      <c r="J71" s="17">
        <v>3500000</v>
      </c>
      <c r="K71" s="17">
        <f t="shared" si="3"/>
        <v>0</v>
      </c>
      <c r="L71" s="15" t="s">
        <v>2553</v>
      </c>
      <c r="M71" s="15" t="s">
        <v>2502</v>
      </c>
      <c r="N71" s="15" t="s">
        <v>2750</v>
      </c>
      <c r="O71" s="15" t="s">
        <v>2504</v>
      </c>
      <c r="P71" s="15" t="s">
        <v>2751</v>
      </c>
      <c r="Q71" s="15" t="s">
        <v>2647</v>
      </c>
      <c r="R71" s="15">
        <v>20</v>
      </c>
      <c r="S71" s="15" t="s">
        <v>609</v>
      </c>
      <c r="T71" s="15"/>
    </row>
    <row r="72" spans="1:20" x14ac:dyDescent="0.35">
      <c r="A72" s="15" t="s">
        <v>2752</v>
      </c>
      <c r="B72" s="15" t="s">
        <v>625</v>
      </c>
      <c r="C72" s="15" t="s">
        <v>626</v>
      </c>
      <c r="D72" s="15" t="s">
        <v>46</v>
      </c>
      <c r="E72" s="15" t="s">
        <v>29</v>
      </c>
      <c r="F72" s="15" t="s">
        <v>2736</v>
      </c>
      <c r="G72" s="16">
        <v>45362</v>
      </c>
      <c r="H72" s="15">
        <f t="shared" si="2"/>
        <v>2024</v>
      </c>
      <c r="I72" s="17">
        <v>7000000</v>
      </c>
      <c r="J72" s="17">
        <v>7000000</v>
      </c>
      <c r="K72" s="17">
        <f t="shared" si="3"/>
        <v>0</v>
      </c>
      <c r="L72" s="15" t="s">
        <v>2609</v>
      </c>
      <c r="M72" s="15" t="s">
        <v>2502</v>
      </c>
      <c r="N72" s="15" t="s">
        <v>2753</v>
      </c>
      <c r="O72" s="15" t="s">
        <v>2754</v>
      </c>
      <c r="P72" s="15" t="s">
        <v>2513</v>
      </c>
      <c r="Q72" s="15" t="s">
        <v>2505</v>
      </c>
      <c r="R72" s="15">
        <v>43</v>
      </c>
      <c r="S72" s="15" t="s">
        <v>627</v>
      </c>
      <c r="T72" s="15"/>
    </row>
    <row r="73" spans="1:20" x14ac:dyDescent="0.35">
      <c r="A73" s="15" t="s">
        <v>2755</v>
      </c>
      <c r="B73" s="15" t="s">
        <v>625</v>
      </c>
      <c r="C73" s="15" t="s">
        <v>626</v>
      </c>
      <c r="D73" s="15" t="s">
        <v>46</v>
      </c>
      <c r="E73" s="15" t="s">
        <v>31</v>
      </c>
      <c r="F73" s="15" t="s">
        <v>2732</v>
      </c>
      <c r="G73" s="16">
        <v>45362</v>
      </c>
      <c r="H73" s="15">
        <f t="shared" si="2"/>
        <v>2024</v>
      </c>
      <c r="I73" s="17">
        <v>3500000</v>
      </c>
      <c r="J73" s="17">
        <v>3500000</v>
      </c>
      <c r="K73" s="17">
        <f t="shared" si="3"/>
        <v>0</v>
      </c>
      <c r="L73" s="15" t="s">
        <v>2553</v>
      </c>
      <c r="M73" s="15" t="s">
        <v>2502</v>
      </c>
      <c r="N73" s="15" t="s">
        <v>2756</v>
      </c>
      <c r="O73" s="15" t="s">
        <v>2504</v>
      </c>
      <c r="P73" s="15" t="s">
        <v>2513</v>
      </c>
      <c r="Q73" s="15" t="s">
        <v>2647</v>
      </c>
      <c r="R73" s="15">
        <v>18</v>
      </c>
      <c r="S73" s="15" t="s">
        <v>627</v>
      </c>
      <c r="T73" s="15"/>
    </row>
    <row r="74" spans="1:20" x14ac:dyDescent="0.35">
      <c r="A74" s="15" t="s">
        <v>2757</v>
      </c>
      <c r="B74" s="15" t="s">
        <v>636</v>
      </c>
      <c r="C74" s="15" t="s">
        <v>637</v>
      </c>
      <c r="D74" s="15" t="s">
        <v>46</v>
      </c>
      <c r="E74" s="15" t="s">
        <v>31</v>
      </c>
      <c r="F74" s="15" t="s">
        <v>2732</v>
      </c>
      <c r="G74" s="16">
        <v>45362</v>
      </c>
      <c r="H74" s="15">
        <f t="shared" si="2"/>
        <v>2024</v>
      </c>
      <c r="I74" s="17">
        <v>3500000</v>
      </c>
      <c r="J74" s="17">
        <v>3500000</v>
      </c>
      <c r="K74" s="17">
        <f t="shared" si="3"/>
        <v>0</v>
      </c>
      <c r="L74" s="15" t="s">
        <v>2553</v>
      </c>
      <c r="M74" s="15" t="s">
        <v>2502</v>
      </c>
      <c r="N74" s="15" t="s">
        <v>2758</v>
      </c>
      <c r="O74" s="15" t="s">
        <v>2759</v>
      </c>
      <c r="P74" s="15" t="s">
        <v>2760</v>
      </c>
      <c r="Q74" s="15" t="s">
        <v>2647</v>
      </c>
      <c r="R74" s="15">
        <v>19</v>
      </c>
      <c r="S74" s="15" t="s">
        <v>627</v>
      </c>
      <c r="T74" s="15"/>
    </row>
    <row r="75" spans="1:20" x14ac:dyDescent="0.35">
      <c r="A75" s="15" t="s">
        <v>2761</v>
      </c>
      <c r="B75" s="15" t="s">
        <v>640</v>
      </c>
      <c r="C75" s="15" t="s">
        <v>641</v>
      </c>
      <c r="D75" s="15" t="s">
        <v>46</v>
      </c>
      <c r="E75" s="15" t="s">
        <v>31</v>
      </c>
      <c r="F75" s="15" t="s">
        <v>2732</v>
      </c>
      <c r="G75" s="16">
        <v>45363</v>
      </c>
      <c r="H75" s="15">
        <f t="shared" si="2"/>
        <v>2024</v>
      </c>
      <c r="I75" s="17">
        <v>3500000</v>
      </c>
      <c r="J75" s="17">
        <v>3500000</v>
      </c>
      <c r="K75" s="17">
        <f t="shared" si="3"/>
        <v>0</v>
      </c>
      <c r="L75" s="15" t="s">
        <v>2553</v>
      </c>
      <c r="M75" s="15" t="s">
        <v>2502</v>
      </c>
      <c r="N75" s="15" t="s">
        <v>2762</v>
      </c>
      <c r="O75" s="15" t="s">
        <v>2721</v>
      </c>
      <c r="P75" s="15" t="s">
        <v>2763</v>
      </c>
      <c r="Q75" s="15" t="s">
        <v>2647</v>
      </c>
      <c r="R75" s="15">
        <v>27</v>
      </c>
      <c r="S75" s="15" t="s">
        <v>642</v>
      </c>
      <c r="T75" s="15"/>
    </row>
    <row r="76" spans="1:20" x14ac:dyDescent="0.35">
      <c r="A76" s="15" t="s">
        <v>2764</v>
      </c>
      <c r="B76" s="15" t="s">
        <v>650</v>
      </c>
      <c r="C76" s="15" t="s">
        <v>651</v>
      </c>
      <c r="D76" s="15" t="s">
        <v>46</v>
      </c>
      <c r="E76" s="15" t="s">
        <v>31</v>
      </c>
      <c r="F76" s="15" t="s">
        <v>2746</v>
      </c>
      <c r="G76" s="16">
        <v>45363</v>
      </c>
      <c r="H76" s="15">
        <f t="shared" si="2"/>
        <v>2024</v>
      </c>
      <c r="I76" s="17">
        <v>1800000</v>
      </c>
      <c r="J76" s="17">
        <v>1800000</v>
      </c>
      <c r="K76" s="17">
        <f t="shared" si="3"/>
        <v>0</v>
      </c>
      <c r="L76" s="15" t="s">
        <v>2553</v>
      </c>
      <c r="M76" s="15" t="s">
        <v>2502</v>
      </c>
      <c r="N76" s="15" t="s">
        <v>2765</v>
      </c>
      <c r="O76" s="15" t="s">
        <v>2504</v>
      </c>
      <c r="P76" s="15" t="s">
        <v>2760</v>
      </c>
      <c r="Q76" s="15" t="s">
        <v>2647</v>
      </c>
      <c r="R76" s="15">
        <v>26</v>
      </c>
      <c r="S76" s="15" t="s">
        <v>642</v>
      </c>
      <c r="T76" s="15"/>
    </row>
    <row r="77" spans="1:20" x14ac:dyDescent="0.35">
      <c r="A77" s="15" t="s">
        <v>2766</v>
      </c>
      <c r="B77" s="15" t="s">
        <v>654</v>
      </c>
      <c r="C77" s="15" t="s">
        <v>655</v>
      </c>
      <c r="D77" s="15" t="s">
        <v>46</v>
      </c>
      <c r="E77" s="15" t="s">
        <v>31</v>
      </c>
      <c r="F77" s="15" t="s">
        <v>2732</v>
      </c>
      <c r="G77" s="16">
        <v>45363</v>
      </c>
      <c r="H77" s="15">
        <f t="shared" si="2"/>
        <v>2024</v>
      </c>
      <c r="I77" s="17">
        <v>3500000</v>
      </c>
      <c r="J77" s="17">
        <v>3500000</v>
      </c>
      <c r="K77" s="17">
        <f t="shared" si="3"/>
        <v>0</v>
      </c>
      <c r="L77" s="15" t="s">
        <v>2553</v>
      </c>
      <c r="M77" s="15" t="s">
        <v>2502</v>
      </c>
      <c r="N77" s="15" t="s">
        <v>2767</v>
      </c>
      <c r="O77" s="15" t="s">
        <v>2721</v>
      </c>
      <c r="P77" s="15" t="s">
        <v>2763</v>
      </c>
      <c r="Q77" s="15" t="s">
        <v>2647</v>
      </c>
      <c r="R77" s="15">
        <v>24</v>
      </c>
      <c r="S77" s="15" t="s">
        <v>642</v>
      </c>
      <c r="T77" s="15"/>
    </row>
    <row r="78" spans="1:20" x14ac:dyDescent="0.35">
      <c r="A78" s="15" t="s">
        <v>2768</v>
      </c>
      <c r="B78" s="15" t="s">
        <v>147</v>
      </c>
      <c r="C78" s="15" t="s">
        <v>148</v>
      </c>
      <c r="D78" s="15" t="s">
        <v>46</v>
      </c>
      <c r="E78" s="15" t="s">
        <v>29</v>
      </c>
      <c r="F78" s="15" t="s">
        <v>2717</v>
      </c>
      <c r="G78" s="16">
        <v>45365</v>
      </c>
      <c r="H78" s="15">
        <f t="shared" si="2"/>
        <v>2024</v>
      </c>
      <c r="I78" s="17">
        <v>7000000</v>
      </c>
      <c r="J78" s="17">
        <v>7000000</v>
      </c>
      <c r="K78" s="17">
        <f t="shared" si="3"/>
        <v>0</v>
      </c>
      <c r="L78" s="15" t="s">
        <v>2609</v>
      </c>
      <c r="M78" s="15" t="s">
        <v>2502</v>
      </c>
      <c r="N78" s="15" t="s">
        <v>2769</v>
      </c>
      <c r="O78" s="15" t="s">
        <v>2606</v>
      </c>
      <c r="P78" s="15" t="s">
        <v>2689</v>
      </c>
      <c r="Q78" s="15" t="s">
        <v>2505</v>
      </c>
      <c r="R78" s="15">
        <v>46</v>
      </c>
      <c r="S78" s="15" t="s">
        <v>663</v>
      </c>
      <c r="T78" s="15"/>
    </row>
    <row r="79" spans="1:20" x14ac:dyDescent="0.35">
      <c r="A79" s="15" t="s">
        <v>2770</v>
      </c>
      <c r="B79" s="15" t="s">
        <v>337</v>
      </c>
      <c r="C79" s="15" t="s">
        <v>732</v>
      </c>
      <c r="D79" s="15" t="s">
        <v>46</v>
      </c>
      <c r="E79" s="15" t="s">
        <v>29</v>
      </c>
      <c r="F79" s="15" t="s">
        <v>2500</v>
      </c>
      <c r="G79" s="16">
        <v>45367</v>
      </c>
      <c r="H79" s="15">
        <f t="shared" si="2"/>
        <v>2024</v>
      </c>
      <c r="I79" s="17">
        <v>7600000</v>
      </c>
      <c r="J79" s="17">
        <v>7600000</v>
      </c>
      <c r="K79" s="17">
        <f t="shared" si="3"/>
        <v>0</v>
      </c>
      <c r="L79" s="15" t="s">
        <v>2624</v>
      </c>
      <c r="M79" s="15" t="s">
        <v>2502</v>
      </c>
      <c r="N79" s="15" t="s">
        <v>2771</v>
      </c>
      <c r="O79" s="15" t="s">
        <v>2606</v>
      </c>
      <c r="P79" s="15" t="s">
        <v>1800</v>
      </c>
      <c r="Q79" s="15" t="s">
        <v>2505</v>
      </c>
      <c r="R79" s="15">
        <v>44</v>
      </c>
      <c r="S79" s="15" t="s">
        <v>668</v>
      </c>
      <c r="T79" s="15"/>
    </row>
    <row r="80" spans="1:20" x14ac:dyDescent="0.35">
      <c r="A80" s="15" t="s">
        <v>2772</v>
      </c>
      <c r="B80" s="15" t="s">
        <v>337</v>
      </c>
      <c r="C80" s="15" t="s">
        <v>732</v>
      </c>
      <c r="D80" s="15" t="s">
        <v>46</v>
      </c>
      <c r="E80" s="15" t="s">
        <v>31</v>
      </c>
      <c r="F80" s="15" t="s">
        <v>2717</v>
      </c>
      <c r="G80" s="16">
        <v>45367</v>
      </c>
      <c r="H80" s="15">
        <f t="shared" si="2"/>
        <v>2024</v>
      </c>
      <c r="I80" s="17">
        <v>3500000</v>
      </c>
      <c r="J80" s="17">
        <v>3500000</v>
      </c>
      <c r="K80" s="17">
        <f t="shared" si="3"/>
        <v>0</v>
      </c>
      <c r="L80" s="15" t="s">
        <v>2553</v>
      </c>
      <c r="M80" s="15" t="s">
        <v>2502</v>
      </c>
      <c r="N80" s="15" t="s">
        <v>2773</v>
      </c>
      <c r="O80" s="15" t="s">
        <v>2504</v>
      </c>
      <c r="P80" s="15" t="s">
        <v>1800</v>
      </c>
      <c r="Q80" s="15" t="s">
        <v>2647</v>
      </c>
      <c r="R80" s="15">
        <v>16</v>
      </c>
      <c r="S80" s="15" t="s">
        <v>668</v>
      </c>
      <c r="T80" s="15"/>
    </row>
    <row r="81" spans="1:20" x14ac:dyDescent="0.35">
      <c r="A81" s="15" t="s">
        <v>2774</v>
      </c>
      <c r="B81" s="15" t="s">
        <v>924</v>
      </c>
      <c r="C81" s="15" t="s">
        <v>925</v>
      </c>
      <c r="D81" s="15" t="s">
        <v>46</v>
      </c>
      <c r="E81" s="15" t="s">
        <v>31</v>
      </c>
      <c r="F81" s="15" t="s">
        <v>2775</v>
      </c>
      <c r="G81" s="16">
        <v>45376</v>
      </c>
      <c r="H81" s="15">
        <f t="shared" si="2"/>
        <v>2024</v>
      </c>
      <c r="I81" s="17">
        <v>7000000</v>
      </c>
      <c r="J81" s="17">
        <v>7000000</v>
      </c>
      <c r="K81" s="17">
        <f t="shared" si="3"/>
        <v>0</v>
      </c>
      <c r="L81" s="15" t="s">
        <v>2553</v>
      </c>
      <c r="M81" s="15" t="s">
        <v>2502</v>
      </c>
      <c r="N81" s="15" t="s">
        <v>2776</v>
      </c>
      <c r="O81" s="15" t="s">
        <v>2504</v>
      </c>
      <c r="P81" s="15" t="s">
        <v>2751</v>
      </c>
      <c r="Q81" s="15" t="s">
        <v>2647</v>
      </c>
      <c r="R81" s="15">
        <v>32</v>
      </c>
      <c r="S81" s="15" t="s">
        <v>692</v>
      </c>
      <c r="T81" s="15"/>
    </row>
    <row r="82" spans="1:20" x14ac:dyDescent="0.35">
      <c r="A82" s="15" t="s">
        <v>2777</v>
      </c>
      <c r="B82" s="15" t="s">
        <v>152</v>
      </c>
      <c r="C82" s="15" t="s">
        <v>153</v>
      </c>
      <c r="D82" s="15" t="s">
        <v>46</v>
      </c>
      <c r="E82" s="15" t="s">
        <v>31</v>
      </c>
      <c r="F82" s="15" t="s">
        <v>2732</v>
      </c>
      <c r="G82" s="16">
        <v>45376</v>
      </c>
      <c r="H82" s="15">
        <f t="shared" si="2"/>
        <v>2024</v>
      </c>
      <c r="I82" s="17">
        <v>3500000</v>
      </c>
      <c r="J82" s="17">
        <v>3500000</v>
      </c>
      <c r="K82" s="17">
        <f t="shared" si="3"/>
        <v>0</v>
      </c>
      <c r="L82" s="15" t="s">
        <v>2553</v>
      </c>
      <c r="M82" s="15" t="s">
        <v>2502</v>
      </c>
      <c r="N82" s="15" t="s">
        <v>2778</v>
      </c>
      <c r="O82" s="15" t="s">
        <v>2504</v>
      </c>
      <c r="P82" s="15" t="s">
        <v>2596</v>
      </c>
      <c r="Q82" s="15" t="s">
        <v>2647</v>
      </c>
      <c r="R82" s="15">
        <v>28</v>
      </c>
      <c r="S82" s="15" t="s">
        <v>692</v>
      </c>
      <c r="T82" s="15"/>
    </row>
    <row r="83" spans="1:20" x14ac:dyDescent="0.35">
      <c r="A83" s="15" t="s">
        <v>2779</v>
      </c>
      <c r="B83" s="15" t="s">
        <v>203</v>
      </c>
      <c r="C83" s="15" t="s">
        <v>2780</v>
      </c>
      <c r="D83" s="15" t="s">
        <v>46</v>
      </c>
      <c r="E83" s="15" t="s">
        <v>31</v>
      </c>
      <c r="F83" s="15" t="s">
        <v>2717</v>
      </c>
      <c r="G83" s="16">
        <v>45376</v>
      </c>
      <c r="H83" s="15">
        <f t="shared" si="2"/>
        <v>2024</v>
      </c>
      <c r="I83" s="17">
        <v>3000000</v>
      </c>
      <c r="J83" s="17">
        <v>3000000</v>
      </c>
      <c r="K83" s="17">
        <f t="shared" si="3"/>
        <v>0</v>
      </c>
      <c r="L83" s="15" t="s">
        <v>2728</v>
      </c>
      <c r="M83" s="15" t="s">
        <v>2502</v>
      </c>
      <c r="N83" s="15" t="s">
        <v>2781</v>
      </c>
      <c r="O83" s="15" t="s">
        <v>2606</v>
      </c>
      <c r="P83" s="15" t="s">
        <v>1800</v>
      </c>
      <c r="Q83" s="15" t="s">
        <v>2647</v>
      </c>
      <c r="R83" s="15">
        <v>15</v>
      </c>
      <c r="S83" s="15" t="s">
        <v>692</v>
      </c>
      <c r="T83" s="15"/>
    </row>
    <row r="84" spans="1:20" x14ac:dyDescent="0.35">
      <c r="A84" s="15" t="s">
        <v>2782</v>
      </c>
      <c r="B84" s="15" t="s">
        <v>704</v>
      </c>
      <c r="C84" s="15" t="s">
        <v>705</v>
      </c>
      <c r="D84" s="15" t="s">
        <v>46</v>
      </c>
      <c r="E84" s="15" t="s">
        <v>29</v>
      </c>
      <c r="F84" s="15" t="s">
        <v>2732</v>
      </c>
      <c r="G84" s="16">
        <v>45377</v>
      </c>
      <c r="H84" s="15">
        <f t="shared" si="2"/>
        <v>2024</v>
      </c>
      <c r="I84" s="17">
        <v>8300000</v>
      </c>
      <c r="J84" s="17">
        <v>8300000</v>
      </c>
      <c r="K84" s="17">
        <f t="shared" si="3"/>
        <v>0</v>
      </c>
      <c r="L84" s="15" t="s">
        <v>2573</v>
      </c>
      <c r="M84" s="15" t="s">
        <v>2502</v>
      </c>
      <c r="N84" s="15" t="s">
        <v>2783</v>
      </c>
      <c r="O84" s="15" t="s">
        <v>2606</v>
      </c>
      <c r="P84" s="15" t="s">
        <v>1800</v>
      </c>
      <c r="Q84" s="15" t="s">
        <v>2505</v>
      </c>
      <c r="R84" s="15">
        <v>47</v>
      </c>
      <c r="S84" s="15" t="s">
        <v>706</v>
      </c>
      <c r="T84" s="15"/>
    </row>
    <row r="85" spans="1:20" x14ac:dyDescent="0.35">
      <c r="A85" s="15" t="s">
        <v>2784</v>
      </c>
      <c r="B85" s="15" t="s">
        <v>208</v>
      </c>
      <c r="C85" s="15" t="s">
        <v>257</v>
      </c>
      <c r="D85" s="15" t="s">
        <v>46</v>
      </c>
      <c r="E85" s="15" t="s">
        <v>31</v>
      </c>
      <c r="F85" s="15" t="s">
        <v>2785</v>
      </c>
      <c r="G85" s="16">
        <v>45383</v>
      </c>
      <c r="H85" s="15">
        <f t="shared" si="2"/>
        <v>2024</v>
      </c>
      <c r="I85" s="17">
        <v>15000000</v>
      </c>
      <c r="J85" s="17">
        <v>4000000</v>
      </c>
      <c r="K85" s="17">
        <f t="shared" si="3"/>
        <v>11000000</v>
      </c>
      <c r="L85" s="15" t="s">
        <v>2624</v>
      </c>
      <c r="M85" s="15" t="s">
        <v>2601</v>
      </c>
      <c r="N85" s="15" t="s">
        <v>2786</v>
      </c>
      <c r="O85" s="15" t="s">
        <v>2645</v>
      </c>
      <c r="P85" s="15" t="s">
        <v>1800</v>
      </c>
      <c r="Q85" s="15" t="s">
        <v>2647</v>
      </c>
      <c r="R85" s="15">
        <v>29</v>
      </c>
      <c r="S85" s="15" t="s">
        <v>734</v>
      </c>
      <c r="T85" s="15"/>
    </row>
    <row r="86" spans="1:20" x14ac:dyDescent="0.35">
      <c r="A86" s="15" t="s">
        <v>2787</v>
      </c>
      <c r="B86" s="15" t="s">
        <v>746</v>
      </c>
      <c r="C86" s="15" t="s">
        <v>747</v>
      </c>
      <c r="D86" s="15" t="s">
        <v>46</v>
      </c>
      <c r="E86" s="15" t="s">
        <v>31</v>
      </c>
      <c r="F86" s="15" t="s">
        <v>2732</v>
      </c>
      <c r="G86" s="16">
        <v>45385</v>
      </c>
      <c r="H86" s="15">
        <f t="shared" si="2"/>
        <v>2024</v>
      </c>
      <c r="I86" s="17">
        <v>4200000</v>
      </c>
      <c r="J86" s="17">
        <v>4200000</v>
      </c>
      <c r="K86" s="17">
        <f t="shared" si="3"/>
        <v>0</v>
      </c>
      <c r="L86" s="15" t="s">
        <v>2553</v>
      </c>
      <c r="M86" s="15" t="s">
        <v>2502</v>
      </c>
      <c r="N86" s="15" t="s">
        <v>2788</v>
      </c>
      <c r="O86" s="15" t="s">
        <v>2504</v>
      </c>
      <c r="P86" s="15" t="s">
        <v>2789</v>
      </c>
      <c r="Q86" s="15" t="s">
        <v>2647</v>
      </c>
      <c r="R86" s="15">
        <v>30</v>
      </c>
      <c r="S86" s="15" t="s">
        <v>748</v>
      </c>
      <c r="T86" s="15"/>
    </row>
    <row r="87" spans="1:20" x14ac:dyDescent="0.35">
      <c r="A87" s="15" t="s">
        <v>2790</v>
      </c>
      <c r="B87" s="15" t="s">
        <v>770</v>
      </c>
      <c r="C87" s="15" t="s">
        <v>771</v>
      </c>
      <c r="D87" s="15" t="s">
        <v>46</v>
      </c>
      <c r="E87" s="15" t="s">
        <v>31</v>
      </c>
      <c r="F87" s="15" t="s">
        <v>2732</v>
      </c>
      <c r="G87" s="16">
        <v>45391</v>
      </c>
      <c r="H87" s="15">
        <f t="shared" si="2"/>
        <v>2024</v>
      </c>
      <c r="I87" s="17">
        <v>4200000</v>
      </c>
      <c r="J87" s="17">
        <v>4200000</v>
      </c>
      <c r="K87" s="17">
        <f t="shared" si="3"/>
        <v>0</v>
      </c>
      <c r="L87" s="15" t="s">
        <v>2553</v>
      </c>
      <c r="M87" s="15" t="s">
        <v>2502</v>
      </c>
      <c r="N87" s="15" t="s">
        <v>2791</v>
      </c>
      <c r="O87" s="15" t="s">
        <v>2504</v>
      </c>
      <c r="P87" s="15" t="s">
        <v>2559</v>
      </c>
      <c r="Q87" s="15" t="s">
        <v>2647</v>
      </c>
      <c r="R87" s="15">
        <v>31</v>
      </c>
      <c r="S87" s="15" t="s">
        <v>760</v>
      </c>
      <c r="T87" s="15"/>
    </row>
    <row r="88" spans="1:20" x14ac:dyDescent="0.35">
      <c r="A88" s="15" t="s">
        <v>2792</v>
      </c>
      <c r="B88" s="15" t="s">
        <v>784</v>
      </c>
      <c r="C88" s="15" t="s">
        <v>785</v>
      </c>
      <c r="D88" s="15" t="s">
        <v>46</v>
      </c>
      <c r="E88" s="15" t="s">
        <v>31</v>
      </c>
      <c r="F88" s="15" t="s">
        <v>2732</v>
      </c>
      <c r="G88" s="16">
        <v>45398</v>
      </c>
      <c r="H88" s="15">
        <f t="shared" si="2"/>
        <v>2024</v>
      </c>
      <c r="I88" s="17">
        <v>4000000</v>
      </c>
      <c r="J88" s="17">
        <v>4000000</v>
      </c>
      <c r="K88" s="17">
        <f t="shared" si="3"/>
        <v>0</v>
      </c>
      <c r="L88" s="15" t="s">
        <v>2553</v>
      </c>
      <c r="M88" s="15" t="s">
        <v>2502</v>
      </c>
      <c r="N88" s="15" t="s">
        <v>2793</v>
      </c>
      <c r="O88" s="15" t="s">
        <v>2504</v>
      </c>
      <c r="P88" s="15" t="s">
        <v>2739</v>
      </c>
      <c r="Q88" s="15" t="s">
        <v>2647</v>
      </c>
      <c r="R88" s="15">
        <v>33</v>
      </c>
      <c r="S88" s="15" t="s">
        <v>781</v>
      </c>
      <c r="T88" s="15"/>
    </row>
    <row r="89" spans="1:20" x14ac:dyDescent="0.35">
      <c r="A89" s="15" t="s">
        <v>2794</v>
      </c>
      <c r="B89" s="15" t="s">
        <v>278</v>
      </c>
      <c r="C89" s="15" t="s">
        <v>279</v>
      </c>
      <c r="D89" s="15" t="s">
        <v>46</v>
      </c>
      <c r="E89" s="15" t="s">
        <v>31</v>
      </c>
      <c r="F89" s="15" t="s">
        <v>2732</v>
      </c>
      <c r="G89" s="16">
        <v>45412</v>
      </c>
      <c r="H89" s="15">
        <f t="shared" si="2"/>
        <v>2024</v>
      </c>
      <c r="I89" s="17">
        <v>4830000</v>
      </c>
      <c r="J89" s="17">
        <v>4830000</v>
      </c>
      <c r="K89" s="17">
        <f t="shared" si="3"/>
        <v>0</v>
      </c>
      <c r="L89" s="15" t="s">
        <v>2624</v>
      </c>
      <c r="M89" s="15" t="s">
        <v>2502</v>
      </c>
      <c r="N89" s="15" t="s">
        <v>2795</v>
      </c>
      <c r="O89" s="15" t="s">
        <v>2548</v>
      </c>
      <c r="P89" s="15" t="s">
        <v>1800</v>
      </c>
      <c r="Q89" s="15" t="s">
        <v>2647</v>
      </c>
      <c r="R89" s="15">
        <v>35</v>
      </c>
      <c r="S89" s="15" t="s">
        <v>832</v>
      </c>
      <c r="T89" s="15"/>
    </row>
    <row r="90" spans="1:20" x14ac:dyDescent="0.35">
      <c r="A90" s="15" t="s">
        <v>2796</v>
      </c>
      <c r="B90" s="15" t="s">
        <v>879</v>
      </c>
      <c r="C90" s="15" t="s">
        <v>880</v>
      </c>
      <c r="D90" s="15" t="s">
        <v>46</v>
      </c>
      <c r="E90" s="15" t="s">
        <v>31</v>
      </c>
      <c r="F90" s="15" t="s">
        <v>2717</v>
      </c>
      <c r="G90" s="16">
        <v>45424</v>
      </c>
      <c r="H90" s="15">
        <f t="shared" si="2"/>
        <v>2024</v>
      </c>
      <c r="I90" s="17">
        <v>4200000</v>
      </c>
      <c r="J90" s="17">
        <v>4200000</v>
      </c>
      <c r="K90" s="17">
        <f t="shared" si="3"/>
        <v>0</v>
      </c>
      <c r="L90" s="15" t="s">
        <v>2553</v>
      </c>
      <c r="M90" s="15" t="s">
        <v>2502</v>
      </c>
      <c r="N90" s="15" t="s">
        <v>2797</v>
      </c>
      <c r="O90" s="15" t="s">
        <v>2721</v>
      </c>
      <c r="P90" s="15" t="s">
        <v>2513</v>
      </c>
      <c r="Q90" s="15" t="s">
        <v>2647</v>
      </c>
      <c r="R90" s="15">
        <v>37</v>
      </c>
      <c r="S90" s="15" t="s">
        <v>876</v>
      </c>
      <c r="T90" s="15"/>
    </row>
    <row r="91" spans="1:20" x14ac:dyDescent="0.35">
      <c r="A91" s="15" t="s">
        <v>2798</v>
      </c>
      <c r="B91" s="15" t="s">
        <v>905</v>
      </c>
      <c r="C91" s="15" t="s">
        <v>906</v>
      </c>
      <c r="D91" s="15" t="s">
        <v>46</v>
      </c>
      <c r="E91" s="15" t="s">
        <v>31</v>
      </c>
      <c r="F91" s="15" t="s">
        <v>2717</v>
      </c>
      <c r="G91" s="16">
        <v>45429</v>
      </c>
      <c r="H91" s="15">
        <f t="shared" si="2"/>
        <v>2024</v>
      </c>
      <c r="I91" s="17">
        <v>4200000</v>
      </c>
      <c r="J91" s="17">
        <v>4200000</v>
      </c>
      <c r="K91" s="17">
        <f t="shared" si="3"/>
        <v>0</v>
      </c>
      <c r="L91" s="15" t="s">
        <v>2553</v>
      </c>
      <c r="M91" s="15" t="s">
        <v>2502</v>
      </c>
      <c r="N91" s="15" t="s">
        <v>2799</v>
      </c>
      <c r="O91" s="15" t="s">
        <v>2721</v>
      </c>
      <c r="P91" s="15" t="s">
        <v>2596</v>
      </c>
      <c r="Q91" s="15" t="s">
        <v>2647</v>
      </c>
      <c r="R91" s="15">
        <v>38</v>
      </c>
      <c r="S91" s="15" t="s">
        <v>899</v>
      </c>
      <c r="T91" s="15"/>
    </row>
    <row r="92" spans="1:20" x14ac:dyDescent="0.35">
      <c r="A92" s="15" t="s">
        <v>2800</v>
      </c>
      <c r="B92" s="15" t="s">
        <v>916</v>
      </c>
      <c r="C92" s="15" t="s">
        <v>917</v>
      </c>
      <c r="D92" s="15" t="s">
        <v>46</v>
      </c>
      <c r="E92" s="15" t="s">
        <v>31</v>
      </c>
      <c r="F92" s="15" t="s">
        <v>2746</v>
      </c>
      <c r="G92" s="16">
        <v>45433</v>
      </c>
      <c r="H92" s="15">
        <f t="shared" si="2"/>
        <v>2024</v>
      </c>
      <c r="I92" s="17">
        <v>2160000</v>
      </c>
      <c r="J92" s="17">
        <v>2160000</v>
      </c>
      <c r="K92" s="17">
        <f t="shared" si="3"/>
        <v>0</v>
      </c>
      <c r="L92" s="15" t="s">
        <v>2553</v>
      </c>
      <c r="M92" s="15" t="s">
        <v>2502</v>
      </c>
      <c r="N92" s="15" t="s">
        <v>2801</v>
      </c>
      <c r="O92" s="15" t="s">
        <v>2606</v>
      </c>
      <c r="P92" s="15" t="s">
        <v>2559</v>
      </c>
      <c r="Q92" s="15" t="s">
        <v>2647</v>
      </c>
      <c r="R92" s="15">
        <v>39</v>
      </c>
      <c r="S92" s="15" t="s">
        <v>918</v>
      </c>
      <c r="T92" s="15"/>
    </row>
    <row r="93" spans="1:20" x14ac:dyDescent="0.35">
      <c r="A93" s="15" t="s">
        <v>2802</v>
      </c>
      <c r="B93" s="15" t="s">
        <v>820</v>
      </c>
      <c r="C93" s="15" t="s">
        <v>821</v>
      </c>
      <c r="D93" s="15" t="s">
        <v>46</v>
      </c>
      <c r="E93" s="15" t="s">
        <v>31</v>
      </c>
      <c r="F93" s="15" t="s">
        <v>2746</v>
      </c>
      <c r="G93" s="16">
        <v>45441</v>
      </c>
      <c r="H93" s="15">
        <f t="shared" si="2"/>
        <v>2024</v>
      </c>
      <c r="I93" s="17">
        <v>2160000</v>
      </c>
      <c r="J93" s="17">
        <v>2160000</v>
      </c>
      <c r="K93" s="17">
        <f t="shared" si="3"/>
        <v>0</v>
      </c>
      <c r="L93" s="15" t="s">
        <v>2553</v>
      </c>
      <c r="M93" s="15" t="s">
        <v>2502</v>
      </c>
      <c r="N93" s="15" t="s">
        <v>2803</v>
      </c>
      <c r="O93" s="15" t="s">
        <v>2704</v>
      </c>
      <c r="P93" s="15" t="s">
        <v>2751</v>
      </c>
      <c r="Q93" s="15" t="s">
        <v>2647</v>
      </c>
      <c r="R93" s="15">
        <v>34</v>
      </c>
      <c r="S93" s="15" t="s">
        <v>955</v>
      </c>
      <c r="T93" s="15"/>
    </row>
    <row r="94" spans="1:20" x14ac:dyDescent="0.35">
      <c r="A94" s="15" t="s">
        <v>2804</v>
      </c>
      <c r="B94" s="15" t="s">
        <v>988</v>
      </c>
      <c r="C94" s="15" t="s">
        <v>989</v>
      </c>
      <c r="D94" s="15" t="s">
        <v>46</v>
      </c>
      <c r="E94" s="15" t="s">
        <v>31</v>
      </c>
      <c r="F94" s="15" t="s">
        <v>2712</v>
      </c>
      <c r="G94" s="16">
        <v>45452</v>
      </c>
      <c r="H94" s="15">
        <f t="shared" si="2"/>
        <v>2024</v>
      </c>
      <c r="I94" s="17">
        <v>2160000</v>
      </c>
      <c r="J94" s="17">
        <v>2160000</v>
      </c>
      <c r="K94" s="17">
        <f t="shared" si="3"/>
        <v>0</v>
      </c>
      <c r="L94" s="15" t="s">
        <v>2553</v>
      </c>
      <c r="M94" s="15" t="s">
        <v>2502</v>
      </c>
      <c r="N94" s="15" t="s">
        <v>2805</v>
      </c>
      <c r="O94" s="15" t="s">
        <v>2504</v>
      </c>
      <c r="P94" s="15" t="s">
        <v>2806</v>
      </c>
      <c r="Q94" s="15" t="s">
        <v>2647</v>
      </c>
      <c r="R94" s="15">
        <v>40</v>
      </c>
      <c r="S94" s="15" t="s">
        <v>990</v>
      </c>
      <c r="T94" s="15"/>
    </row>
    <row r="95" spans="1:20" x14ac:dyDescent="0.35">
      <c r="A95" s="15" t="s">
        <v>2807</v>
      </c>
      <c r="B95" s="15" t="s">
        <v>238</v>
      </c>
      <c r="C95" s="15" t="s">
        <v>2628</v>
      </c>
      <c r="D95" s="15" t="s">
        <v>46</v>
      </c>
      <c r="E95" s="15" t="s">
        <v>31</v>
      </c>
      <c r="F95" s="15" t="s">
        <v>2523</v>
      </c>
      <c r="G95" s="16">
        <v>45453</v>
      </c>
      <c r="H95" s="15">
        <f t="shared" si="2"/>
        <v>2024</v>
      </c>
      <c r="I95" s="17">
        <v>4200000</v>
      </c>
      <c r="J95" s="17">
        <v>4200000</v>
      </c>
      <c r="K95" s="17">
        <f t="shared" si="3"/>
        <v>0</v>
      </c>
      <c r="L95" s="15" t="s">
        <v>2553</v>
      </c>
      <c r="M95" s="15" t="s">
        <v>2502</v>
      </c>
      <c r="N95" s="15" t="s">
        <v>2808</v>
      </c>
      <c r="O95" s="15" t="s">
        <v>2809</v>
      </c>
      <c r="P95" s="15" t="s">
        <v>1800</v>
      </c>
      <c r="Q95" s="15" t="s">
        <v>2647</v>
      </c>
      <c r="R95" s="15">
        <v>41</v>
      </c>
      <c r="S95" s="15" t="s">
        <v>994</v>
      </c>
      <c r="T95" s="15"/>
    </row>
    <row r="96" spans="1:20" x14ac:dyDescent="0.35">
      <c r="A96" s="15" t="s">
        <v>2810</v>
      </c>
      <c r="B96" s="15" t="s">
        <v>997</v>
      </c>
      <c r="C96" s="15" t="s">
        <v>1117</v>
      </c>
      <c r="D96" s="15" t="s">
        <v>46</v>
      </c>
      <c r="E96" s="15" t="s">
        <v>31</v>
      </c>
      <c r="F96" s="15" t="s">
        <v>2717</v>
      </c>
      <c r="G96" s="16">
        <v>45454</v>
      </c>
      <c r="H96" s="15">
        <f t="shared" si="2"/>
        <v>2024</v>
      </c>
      <c r="I96" s="17">
        <v>4200000</v>
      </c>
      <c r="J96" s="17">
        <v>4200000</v>
      </c>
      <c r="K96" s="17">
        <f t="shared" si="3"/>
        <v>0</v>
      </c>
      <c r="L96" s="15" t="s">
        <v>2553</v>
      </c>
      <c r="M96" s="15" t="s">
        <v>2502</v>
      </c>
      <c r="N96" s="15" t="s">
        <v>2811</v>
      </c>
      <c r="O96" s="15" t="s">
        <v>2812</v>
      </c>
      <c r="P96" s="15" t="s">
        <v>2813</v>
      </c>
      <c r="Q96" s="15" t="s">
        <v>2647</v>
      </c>
      <c r="R96" s="15">
        <v>42</v>
      </c>
      <c r="S96" s="15" t="s">
        <v>1000</v>
      </c>
      <c r="T96" s="15"/>
    </row>
    <row r="97" spans="1:20" x14ac:dyDescent="0.35">
      <c r="A97" s="15" t="s">
        <v>2814</v>
      </c>
      <c r="B97" s="15" t="s">
        <v>1010</v>
      </c>
      <c r="C97" s="15" t="s">
        <v>1133</v>
      </c>
      <c r="D97" s="15" t="s">
        <v>46</v>
      </c>
      <c r="E97" s="15" t="s">
        <v>29</v>
      </c>
      <c r="F97" s="15" t="s">
        <v>2500</v>
      </c>
      <c r="G97" s="16">
        <v>45457</v>
      </c>
      <c r="H97" s="15">
        <f t="shared" si="2"/>
        <v>2024</v>
      </c>
      <c r="I97" s="17">
        <v>6300000</v>
      </c>
      <c r="J97" s="17">
        <v>6300000</v>
      </c>
      <c r="K97" s="17">
        <f t="shared" si="3"/>
        <v>0</v>
      </c>
      <c r="L97" s="15" t="s">
        <v>2609</v>
      </c>
      <c r="M97" s="15" t="s">
        <v>2502</v>
      </c>
      <c r="N97" s="15" t="s">
        <v>2815</v>
      </c>
      <c r="O97" s="15" t="s">
        <v>2504</v>
      </c>
      <c r="P97" s="15" t="s">
        <v>2816</v>
      </c>
      <c r="Q97" s="15" t="s">
        <v>2505</v>
      </c>
      <c r="R97" s="15">
        <v>48</v>
      </c>
      <c r="S97" s="15" t="s">
        <v>1017</v>
      </c>
      <c r="T97" s="15"/>
    </row>
    <row r="98" spans="1:20" x14ac:dyDescent="0.35">
      <c r="A98" s="15" t="s">
        <v>2817</v>
      </c>
      <c r="B98" s="15" t="s">
        <v>1023</v>
      </c>
      <c r="C98" s="15" t="s">
        <v>1024</v>
      </c>
      <c r="D98" s="15" t="s">
        <v>46</v>
      </c>
      <c r="E98" s="15" t="s">
        <v>31</v>
      </c>
      <c r="F98" s="15" t="s">
        <v>2717</v>
      </c>
      <c r="G98" s="16">
        <v>45458</v>
      </c>
      <c r="H98" s="15">
        <f t="shared" si="2"/>
        <v>2024</v>
      </c>
      <c r="I98" s="17">
        <v>4200000</v>
      </c>
      <c r="J98" s="17">
        <v>4200000</v>
      </c>
      <c r="K98" s="17">
        <f t="shared" si="3"/>
        <v>0</v>
      </c>
      <c r="L98" s="15" t="s">
        <v>2553</v>
      </c>
      <c r="M98" s="15" t="s">
        <v>2502</v>
      </c>
      <c r="N98" s="15" t="s">
        <v>2818</v>
      </c>
      <c r="O98" s="15" t="s">
        <v>2819</v>
      </c>
      <c r="P98" s="15" t="s">
        <v>2820</v>
      </c>
      <c r="Q98" s="15" t="s">
        <v>2647</v>
      </c>
      <c r="R98" s="15">
        <v>45</v>
      </c>
      <c r="S98" s="15" t="s">
        <v>1025</v>
      </c>
      <c r="T98" s="15"/>
    </row>
    <row r="99" spans="1:20" x14ac:dyDescent="0.35">
      <c r="A99" s="15" t="s">
        <v>2821</v>
      </c>
      <c r="B99" s="15" t="s">
        <v>1044</v>
      </c>
      <c r="C99" s="15" t="s">
        <v>1045</v>
      </c>
      <c r="D99" s="15" t="s">
        <v>46</v>
      </c>
      <c r="E99" s="15" t="s">
        <v>31</v>
      </c>
      <c r="F99" s="15" t="s">
        <v>2736</v>
      </c>
      <c r="G99" s="16">
        <v>45464</v>
      </c>
      <c r="H99" s="15">
        <f t="shared" si="2"/>
        <v>2024</v>
      </c>
      <c r="I99" s="17">
        <v>5900000</v>
      </c>
      <c r="J99" s="17">
        <v>1000000</v>
      </c>
      <c r="K99" s="17">
        <f t="shared" si="3"/>
        <v>4900000</v>
      </c>
      <c r="L99" s="15" t="s">
        <v>2553</v>
      </c>
      <c r="M99" s="15" t="s">
        <v>2601</v>
      </c>
      <c r="N99" s="15" t="s">
        <v>2822</v>
      </c>
      <c r="O99" s="15" t="s">
        <v>2645</v>
      </c>
      <c r="P99" s="15" t="s">
        <v>2513</v>
      </c>
      <c r="Q99" s="15" t="s">
        <v>2647</v>
      </c>
      <c r="R99" s="15">
        <v>44</v>
      </c>
      <c r="S99" s="15" t="s">
        <v>1046</v>
      </c>
      <c r="T99" s="15"/>
    </row>
    <row r="100" spans="1:20" x14ac:dyDescent="0.35">
      <c r="A100" s="15" t="s">
        <v>2823</v>
      </c>
      <c r="B100" s="15" t="s">
        <v>362</v>
      </c>
      <c r="C100" s="15" t="s">
        <v>1051</v>
      </c>
      <c r="D100" s="15" t="s">
        <v>46</v>
      </c>
      <c r="E100" s="15" t="s">
        <v>31</v>
      </c>
      <c r="F100" s="15" t="s">
        <v>2824</v>
      </c>
      <c r="G100" s="16">
        <v>45464</v>
      </c>
      <c r="H100" s="15">
        <f t="shared" si="2"/>
        <v>2024</v>
      </c>
      <c r="I100" s="17">
        <v>8400000</v>
      </c>
      <c r="J100" s="17">
        <v>8400000</v>
      </c>
      <c r="K100" s="17">
        <f t="shared" si="3"/>
        <v>0</v>
      </c>
      <c r="L100" s="15" t="s">
        <v>2553</v>
      </c>
      <c r="M100" s="15" t="s">
        <v>2502</v>
      </c>
      <c r="N100" s="15" t="s">
        <v>2825</v>
      </c>
      <c r="O100" s="15" t="s">
        <v>2606</v>
      </c>
      <c r="P100" s="15" t="s">
        <v>2513</v>
      </c>
      <c r="Q100" s="15" t="s">
        <v>2647</v>
      </c>
      <c r="R100" s="15">
        <v>43</v>
      </c>
      <c r="S100" s="15" t="s">
        <v>1046</v>
      </c>
      <c r="T100" s="15"/>
    </row>
    <row r="101" spans="1:20" x14ac:dyDescent="0.35">
      <c r="A101" s="15" t="s">
        <v>2826</v>
      </c>
      <c r="B101" s="15" t="s">
        <v>1057</v>
      </c>
      <c r="C101" s="15" t="s">
        <v>1253</v>
      </c>
      <c r="D101" s="15" t="s">
        <v>46</v>
      </c>
      <c r="E101" s="15" t="s">
        <v>31</v>
      </c>
      <c r="F101" s="15" t="s">
        <v>2736</v>
      </c>
      <c r="G101" s="16">
        <v>45465</v>
      </c>
      <c r="H101" s="15">
        <f t="shared" si="2"/>
        <v>2024</v>
      </c>
      <c r="I101" s="17">
        <v>5900000</v>
      </c>
      <c r="J101" s="17">
        <v>2673000</v>
      </c>
      <c r="K101" s="17">
        <f t="shared" si="3"/>
        <v>3227000</v>
      </c>
      <c r="L101" s="15" t="s">
        <v>2553</v>
      </c>
      <c r="M101" s="15" t="s">
        <v>2486</v>
      </c>
      <c r="N101" s="15" t="s">
        <v>2827</v>
      </c>
      <c r="O101" s="15" t="s">
        <v>2645</v>
      </c>
      <c r="P101" s="15" t="s">
        <v>2789</v>
      </c>
      <c r="Q101" s="15" t="s">
        <v>2647</v>
      </c>
      <c r="R101" s="15">
        <v>47</v>
      </c>
      <c r="S101" s="15" t="s">
        <v>1059</v>
      </c>
      <c r="T101" s="15"/>
    </row>
    <row r="102" spans="1:20" x14ac:dyDescent="0.35">
      <c r="A102" s="15" t="s">
        <v>2828</v>
      </c>
      <c r="B102" s="15" t="s">
        <v>1064</v>
      </c>
      <c r="C102" s="15" t="s">
        <v>1065</v>
      </c>
      <c r="D102" s="15" t="s">
        <v>46</v>
      </c>
      <c r="E102" s="15" t="s">
        <v>31</v>
      </c>
      <c r="F102" s="15" t="s">
        <v>2736</v>
      </c>
      <c r="G102" s="16">
        <v>45468</v>
      </c>
      <c r="H102" s="15">
        <f t="shared" si="2"/>
        <v>2024</v>
      </c>
      <c r="I102" s="17">
        <v>7600000</v>
      </c>
      <c r="J102" s="17">
        <v>1000000</v>
      </c>
      <c r="K102" s="17">
        <f t="shared" si="3"/>
        <v>6600000</v>
      </c>
      <c r="L102" s="15" t="s">
        <v>2553</v>
      </c>
      <c r="M102" s="15" t="s">
        <v>2601</v>
      </c>
      <c r="N102" s="15" t="s">
        <v>2829</v>
      </c>
      <c r="O102" s="15" t="s">
        <v>2645</v>
      </c>
      <c r="P102" s="15" t="s">
        <v>2513</v>
      </c>
      <c r="Q102" s="15" t="s">
        <v>2647</v>
      </c>
      <c r="R102" s="15">
        <v>46</v>
      </c>
      <c r="S102" s="15" t="s">
        <v>1066</v>
      </c>
      <c r="T102" s="15"/>
    </row>
    <row r="103" spans="1:20" x14ac:dyDescent="0.35">
      <c r="A103" s="15" t="s">
        <v>2830</v>
      </c>
      <c r="B103" s="15" t="s">
        <v>2831</v>
      </c>
      <c r="C103" s="15" t="s">
        <v>2832</v>
      </c>
      <c r="D103" s="15" t="s">
        <v>46</v>
      </c>
      <c r="E103" s="15" t="s">
        <v>34</v>
      </c>
      <c r="F103" s="15" t="s">
        <v>2500</v>
      </c>
      <c r="G103" s="16">
        <v>45482</v>
      </c>
      <c r="H103" s="15">
        <f t="shared" si="2"/>
        <v>2024</v>
      </c>
      <c r="I103" s="17">
        <v>495000</v>
      </c>
      <c r="J103" s="17">
        <v>495000</v>
      </c>
      <c r="K103" s="17">
        <f t="shared" si="3"/>
        <v>0</v>
      </c>
      <c r="L103" s="15" t="s">
        <v>2553</v>
      </c>
      <c r="M103" s="15" t="s">
        <v>2502</v>
      </c>
      <c r="N103" s="15" t="s">
        <v>2833</v>
      </c>
      <c r="O103" s="15" t="s">
        <v>2834</v>
      </c>
      <c r="P103" s="15" t="s">
        <v>2835</v>
      </c>
      <c r="Q103" s="15" t="s">
        <v>2836</v>
      </c>
      <c r="R103" s="15">
        <v>2</v>
      </c>
      <c r="S103" s="15" t="s">
        <v>1109</v>
      </c>
      <c r="T103" s="15"/>
    </row>
    <row r="104" spans="1:20" x14ac:dyDescent="0.35">
      <c r="A104" s="15" t="s">
        <v>2837</v>
      </c>
      <c r="B104" s="15" t="s">
        <v>1142</v>
      </c>
      <c r="C104" s="15" t="s">
        <v>1143</v>
      </c>
      <c r="D104" s="15" t="s">
        <v>46</v>
      </c>
      <c r="E104" s="15" t="s">
        <v>32</v>
      </c>
      <c r="F104" s="15" t="s">
        <v>2712</v>
      </c>
      <c r="G104" s="16">
        <v>45492</v>
      </c>
      <c r="H104" s="15">
        <f t="shared" si="2"/>
        <v>2024</v>
      </c>
      <c r="I104" s="17">
        <v>2400000</v>
      </c>
      <c r="J104" s="17">
        <v>300000</v>
      </c>
      <c r="K104" s="17">
        <f t="shared" si="3"/>
        <v>2100000</v>
      </c>
      <c r="L104" s="15" t="s">
        <v>2624</v>
      </c>
      <c r="M104" s="15" t="s">
        <v>2601</v>
      </c>
      <c r="N104" s="15" t="s">
        <v>2838</v>
      </c>
      <c r="O104" s="15" t="s">
        <v>2839</v>
      </c>
      <c r="P104" s="15" t="s">
        <v>1800</v>
      </c>
      <c r="Q104" s="15" t="s">
        <v>2840</v>
      </c>
      <c r="R104" s="15">
        <v>2</v>
      </c>
      <c r="S104" s="15" t="s">
        <v>1144</v>
      </c>
      <c r="T104" s="15"/>
    </row>
    <row r="105" spans="1:20" x14ac:dyDescent="0.35">
      <c r="A105" s="15" t="s">
        <v>2841</v>
      </c>
      <c r="B105" s="15" t="s">
        <v>1147</v>
      </c>
      <c r="C105" s="15" t="s">
        <v>1148</v>
      </c>
      <c r="D105" s="15" t="s">
        <v>46</v>
      </c>
      <c r="E105" s="15" t="s">
        <v>32</v>
      </c>
      <c r="F105" s="15" t="s">
        <v>2717</v>
      </c>
      <c r="G105" s="16">
        <v>45496</v>
      </c>
      <c r="H105" s="15">
        <f t="shared" si="2"/>
        <v>2024</v>
      </c>
      <c r="I105" s="17">
        <v>3800000</v>
      </c>
      <c r="J105" s="17">
        <v>3800000</v>
      </c>
      <c r="K105" s="17">
        <f t="shared" si="3"/>
        <v>0</v>
      </c>
      <c r="L105" s="15" t="s">
        <v>2553</v>
      </c>
      <c r="M105" s="15" t="s">
        <v>2502</v>
      </c>
      <c r="N105" s="15" t="s">
        <v>2773</v>
      </c>
      <c r="O105" s="15" t="s">
        <v>2842</v>
      </c>
      <c r="P105" s="15" t="s">
        <v>2843</v>
      </c>
      <c r="Q105" s="15" t="s">
        <v>2844</v>
      </c>
      <c r="R105" s="15">
        <v>8</v>
      </c>
      <c r="S105" s="15" t="s">
        <v>1149</v>
      </c>
      <c r="T105" s="15" t="s">
        <v>2845</v>
      </c>
    </row>
    <row r="106" spans="1:20" x14ac:dyDescent="0.35">
      <c r="A106" s="15" t="s">
        <v>2846</v>
      </c>
      <c r="B106" s="15" t="s">
        <v>184</v>
      </c>
      <c r="C106" s="15" t="s">
        <v>216</v>
      </c>
      <c r="D106" s="15" t="s">
        <v>46</v>
      </c>
      <c r="E106" s="15" t="s">
        <v>32</v>
      </c>
      <c r="F106" s="15" t="s">
        <v>2746</v>
      </c>
      <c r="G106" s="16">
        <v>45506</v>
      </c>
      <c r="H106" s="15">
        <f t="shared" si="2"/>
        <v>2024</v>
      </c>
      <c r="I106" s="17">
        <v>2000000</v>
      </c>
      <c r="J106" s="17">
        <v>2000000</v>
      </c>
      <c r="K106" s="17">
        <f t="shared" si="3"/>
        <v>0</v>
      </c>
      <c r="L106" s="15" t="s">
        <v>2553</v>
      </c>
      <c r="M106" s="15" t="s">
        <v>2502</v>
      </c>
      <c r="N106" s="15" t="s">
        <v>2698</v>
      </c>
      <c r="O106" s="15" t="s">
        <v>2847</v>
      </c>
      <c r="P106" s="15" t="s">
        <v>2590</v>
      </c>
      <c r="Q106" s="15" t="s">
        <v>2840</v>
      </c>
      <c r="R106" s="15">
        <v>7</v>
      </c>
      <c r="S106" s="15" t="s">
        <v>1176</v>
      </c>
      <c r="T106" s="15"/>
    </row>
    <row r="107" spans="1:20" x14ac:dyDescent="0.35">
      <c r="A107" s="15" t="s">
        <v>2848</v>
      </c>
      <c r="B107" s="15" t="s">
        <v>1179</v>
      </c>
      <c r="C107" s="15" t="s">
        <v>1180</v>
      </c>
      <c r="D107" s="15" t="s">
        <v>46</v>
      </c>
      <c r="E107" s="15" t="s">
        <v>32</v>
      </c>
      <c r="F107" s="15" t="s">
        <v>2746</v>
      </c>
      <c r="G107" s="16">
        <v>45506</v>
      </c>
      <c r="H107" s="15">
        <f t="shared" si="2"/>
        <v>2024</v>
      </c>
      <c r="I107" s="17">
        <v>1860000</v>
      </c>
      <c r="J107" s="17">
        <v>1860000</v>
      </c>
      <c r="K107" s="17">
        <f t="shared" si="3"/>
        <v>0</v>
      </c>
      <c r="L107" s="15" t="s">
        <v>2553</v>
      </c>
      <c r="M107" s="15" t="s">
        <v>2502</v>
      </c>
      <c r="N107" s="15" t="s">
        <v>2725</v>
      </c>
      <c r="O107" s="15" t="s">
        <v>2847</v>
      </c>
      <c r="P107" s="15" t="s">
        <v>2816</v>
      </c>
      <c r="Q107" s="15" t="s">
        <v>2840</v>
      </c>
      <c r="R107" s="15">
        <v>6</v>
      </c>
      <c r="S107" s="15" t="s">
        <v>1176</v>
      </c>
      <c r="T107" s="15"/>
    </row>
    <row r="108" spans="1:20" x14ac:dyDescent="0.35">
      <c r="A108" s="15" t="s">
        <v>2849</v>
      </c>
      <c r="B108" s="15" t="s">
        <v>1183</v>
      </c>
      <c r="C108" s="15" t="s">
        <v>1184</v>
      </c>
      <c r="D108" s="15" t="s">
        <v>46</v>
      </c>
      <c r="E108" s="15" t="s">
        <v>32</v>
      </c>
      <c r="F108" s="15" t="s">
        <v>2712</v>
      </c>
      <c r="G108" s="16">
        <v>45508</v>
      </c>
      <c r="H108" s="15">
        <f t="shared" si="2"/>
        <v>2024</v>
      </c>
      <c r="I108" s="17">
        <v>1860000</v>
      </c>
      <c r="J108" s="17">
        <v>1860000</v>
      </c>
      <c r="K108" s="17">
        <f t="shared" si="3"/>
        <v>0</v>
      </c>
      <c r="L108" s="15" t="s">
        <v>2553</v>
      </c>
      <c r="M108" s="15" t="s">
        <v>2502</v>
      </c>
      <c r="N108" s="15" t="s">
        <v>2707</v>
      </c>
      <c r="O108" s="15" t="s">
        <v>2847</v>
      </c>
      <c r="P108" s="15" t="s">
        <v>2850</v>
      </c>
      <c r="Q108" s="15" t="s">
        <v>2840</v>
      </c>
      <c r="R108" s="15">
        <v>5</v>
      </c>
      <c r="S108" s="15" t="s">
        <v>1185</v>
      </c>
      <c r="T108" s="15"/>
    </row>
    <row r="109" spans="1:20" x14ac:dyDescent="0.35">
      <c r="A109" s="15" t="s">
        <v>2851</v>
      </c>
      <c r="B109" s="15" t="s">
        <v>568</v>
      </c>
      <c r="C109" s="15" t="s">
        <v>875</v>
      </c>
      <c r="D109" s="15" t="s">
        <v>46</v>
      </c>
      <c r="E109" s="15" t="s">
        <v>32</v>
      </c>
      <c r="F109" s="15" t="s">
        <v>2732</v>
      </c>
      <c r="G109" s="16">
        <v>45509</v>
      </c>
      <c r="H109" s="15">
        <f t="shared" si="2"/>
        <v>2024</v>
      </c>
      <c r="I109" s="17">
        <v>3800000</v>
      </c>
      <c r="J109" s="17">
        <v>3800000</v>
      </c>
      <c r="K109" s="17">
        <f t="shared" si="3"/>
        <v>0</v>
      </c>
      <c r="L109" s="15" t="s">
        <v>2553</v>
      </c>
      <c r="M109" s="15" t="s">
        <v>2502</v>
      </c>
      <c r="N109" s="15" t="s">
        <v>2852</v>
      </c>
      <c r="O109" s="15" t="s">
        <v>2853</v>
      </c>
      <c r="P109" s="15" t="s">
        <v>2843</v>
      </c>
      <c r="Q109" s="15" t="s">
        <v>2844</v>
      </c>
      <c r="R109" s="15">
        <v>29</v>
      </c>
      <c r="S109" s="15" t="s">
        <v>1190</v>
      </c>
      <c r="T109" s="15"/>
    </row>
    <row r="110" spans="1:20" x14ac:dyDescent="0.35">
      <c r="A110" s="15" t="s">
        <v>2854</v>
      </c>
      <c r="B110" s="15" t="s">
        <v>1204</v>
      </c>
      <c r="C110" s="15" t="s">
        <v>1205</v>
      </c>
      <c r="D110" s="15" t="s">
        <v>47</v>
      </c>
      <c r="E110" s="15" t="s">
        <v>41</v>
      </c>
      <c r="F110" s="15" t="s">
        <v>2855</v>
      </c>
      <c r="G110" s="16">
        <v>45512</v>
      </c>
      <c r="H110" s="15">
        <f t="shared" si="2"/>
        <v>2024</v>
      </c>
      <c r="I110" s="17">
        <v>55000000</v>
      </c>
      <c r="J110" s="17"/>
      <c r="K110" s="17" t="str">
        <f t="shared" si="3"/>
        <v/>
      </c>
      <c r="L110" s="15" t="s">
        <v>2856</v>
      </c>
      <c r="M110" s="15" t="s">
        <v>2465</v>
      </c>
      <c r="N110" s="15"/>
      <c r="O110" s="15"/>
      <c r="P110" s="15" t="s">
        <v>2739</v>
      </c>
      <c r="Q110" s="15" t="s">
        <v>2467</v>
      </c>
      <c r="R110" s="15">
        <v>11</v>
      </c>
      <c r="S110" s="15" t="s">
        <v>1206</v>
      </c>
      <c r="T110" s="15"/>
    </row>
    <row r="111" spans="1:20" x14ac:dyDescent="0.35">
      <c r="A111" s="15" t="s">
        <v>2857</v>
      </c>
      <c r="B111" s="15" t="s">
        <v>167</v>
      </c>
      <c r="C111" s="15" t="s">
        <v>168</v>
      </c>
      <c r="D111" s="15" t="s">
        <v>46</v>
      </c>
      <c r="E111" s="15" t="s">
        <v>32</v>
      </c>
      <c r="F111" s="15" t="s">
        <v>2732</v>
      </c>
      <c r="G111" s="16">
        <v>45516</v>
      </c>
      <c r="H111" s="15">
        <f t="shared" si="2"/>
        <v>2024</v>
      </c>
      <c r="I111" s="17">
        <v>3510000</v>
      </c>
      <c r="J111" s="17">
        <v>3510000</v>
      </c>
      <c r="K111" s="17">
        <f t="shared" si="3"/>
        <v>0</v>
      </c>
      <c r="L111" s="15" t="s">
        <v>2553</v>
      </c>
      <c r="M111" s="15" t="s">
        <v>2502</v>
      </c>
      <c r="N111" s="15" t="s">
        <v>2858</v>
      </c>
      <c r="O111" s="15" t="s">
        <v>2847</v>
      </c>
      <c r="P111" s="15" t="s">
        <v>2859</v>
      </c>
      <c r="Q111" s="15" t="s">
        <v>2844</v>
      </c>
      <c r="R111" s="15">
        <v>34</v>
      </c>
      <c r="S111" s="15" t="s">
        <v>1218</v>
      </c>
      <c r="T111" s="15"/>
    </row>
    <row r="112" spans="1:20" x14ac:dyDescent="0.35">
      <c r="A112" s="15" t="s">
        <v>2860</v>
      </c>
      <c r="B112" s="15" t="s">
        <v>1220</v>
      </c>
      <c r="C112" s="15" t="s">
        <v>1221</v>
      </c>
      <c r="D112" s="15" t="s">
        <v>46</v>
      </c>
      <c r="E112" s="15" t="s">
        <v>32</v>
      </c>
      <c r="F112" s="15" t="s">
        <v>2732</v>
      </c>
      <c r="G112" s="16">
        <v>45516</v>
      </c>
      <c r="H112" s="15">
        <f t="shared" si="2"/>
        <v>2024</v>
      </c>
      <c r="I112" s="17">
        <v>3800000</v>
      </c>
      <c r="J112" s="17">
        <v>500000</v>
      </c>
      <c r="K112" s="17">
        <f t="shared" si="3"/>
        <v>3300000</v>
      </c>
      <c r="L112" s="15" t="s">
        <v>2553</v>
      </c>
      <c r="M112" s="15" t="s">
        <v>2601</v>
      </c>
      <c r="N112" s="15" t="s">
        <v>2818</v>
      </c>
      <c r="O112" s="15" t="s">
        <v>2839</v>
      </c>
      <c r="P112" s="15" t="s">
        <v>2596</v>
      </c>
      <c r="Q112" s="15" t="s">
        <v>2840</v>
      </c>
      <c r="R112" s="15">
        <v>15</v>
      </c>
      <c r="S112" s="15" t="s">
        <v>1218</v>
      </c>
      <c r="T112" s="15"/>
    </row>
    <row r="113" spans="1:20" x14ac:dyDescent="0.35">
      <c r="A113" s="15" t="s">
        <v>2861</v>
      </c>
      <c r="B113" s="15" t="s">
        <v>1231</v>
      </c>
      <c r="C113" s="15" t="s">
        <v>1232</v>
      </c>
      <c r="D113" s="15" t="s">
        <v>46</v>
      </c>
      <c r="E113" s="15" t="s">
        <v>32</v>
      </c>
      <c r="F113" s="15" t="s">
        <v>2732</v>
      </c>
      <c r="G113" s="16">
        <v>45520</v>
      </c>
      <c r="H113" s="15">
        <f t="shared" si="2"/>
        <v>2024</v>
      </c>
      <c r="I113" s="17">
        <v>3800000</v>
      </c>
      <c r="J113" s="17">
        <v>3800000</v>
      </c>
      <c r="K113" s="17">
        <f t="shared" si="3"/>
        <v>0</v>
      </c>
      <c r="L113" s="15" t="s">
        <v>2553</v>
      </c>
      <c r="M113" s="15" t="s">
        <v>2502</v>
      </c>
      <c r="N113" s="15" t="s">
        <v>2720</v>
      </c>
      <c r="O113" s="15" t="s">
        <v>2862</v>
      </c>
      <c r="P113" s="15" t="s">
        <v>2722</v>
      </c>
      <c r="Q113" s="15" t="s">
        <v>2840</v>
      </c>
      <c r="R113" s="15">
        <v>13</v>
      </c>
      <c r="S113" s="15" t="s">
        <v>1233</v>
      </c>
      <c r="T113" s="15"/>
    </row>
    <row r="114" spans="1:20" x14ac:dyDescent="0.35">
      <c r="A114" s="15" t="s">
        <v>2863</v>
      </c>
      <c r="B114" s="15" t="s">
        <v>1236</v>
      </c>
      <c r="C114" s="15" t="s">
        <v>2864</v>
      </c>
      <c r="D114" s="15" t="s">
        <v>46</v>
      </c>
      <c r="E114" s="15" t="s">
        <v>32</v>
      </c>
      <c r="F114" s="15" t="s">
        <v>2732</v>
      </c>
      <c r="G114" s="16">
        <v>45521</v>
      </c>
      <c r="H114" s="15">
        <f t="shared" si="2"/>
        <v>2024</v>
      </c>
      <c r="I114" s="17">
        <v>3800000</v>
      </c>
      <c r="J114" s="17">
        <v>3800000</v>
      </c>
      <c r="K114" s="17">
        <f t="shared" si="3"/>
        <v>0</v>
      </c>
      <c r="L114" s="15" t="s">
        <v>2553</v>
      </c>
      <c r="M114" s="15" t="s">
        <v>2502</v>
      </c>
      <c r="N114" s="15" t="s">
        <v>2738</v>
      </c>
      <c r="O114" s="15" t="s">
        <v>2862</v>
      </c>
      <c r="P114" s="15" t="s">
        <v>2590</v>
      </c>
      <c r="Q114" s="15" t="s">
        <v>2840</v>
      </c>
      <c r="R114" s="15">
        <v>12</v>
      </c>
      <c r="S114" s="15" t="s">
        <v>1238</v>
      </c>
      <c r="T114" s="15"/>
    </row>
    <row r="115" spans="1:20" x14ac:dyDescent="0.35">
      <c r="A115" s="15" t="s">
        <v>2865</v>
      </c>
      <c r="B115" s="15" t="s">
        <v>1241</v>
      </c>
      <c r="C115" s="15" t="s">
        <v>1242</v>
      </c>
      <c r="D115" s="15" t="s">
        <v>46</v>
      </c>
      <c r="E115" s="15" t="s">
        <v>32</v>
      </c>
      <c r="F115" s="15" t="s">
        <v>2732</v>
      </c>
      <c r="G115" s="16">
        <v>45522</v>
      </c>
      <c r="H115" s="15">
        <f t="shared" si="2"/>
        <v>2024</v>
      </c>
      <c r="I115" s="17">
        <v>3800000</v>
      </c>
      <c r="J115" s="17">
        <v>3800000</v>
      </c>
      <c r="K115" s="17">
        <f t="shared" si="3"/>
        <v>0</v>
      </c>
      <c r="L115" s="15" t="s">
        <v>2553</v>
      </c>
      <c r="M115" s="15" t="s">
        <v>2502</v>
      </c>
      <c r="N115" s="15" t="s">
        <v>2866</v>
      </c>
      <c r="O115" s="15" t="s">
        <v>2867</v>
      </c>
      <c r="P115" s="15" t="s">
        <v>2722</v>
      </c>
      <c r="Q115" s="15" t="s">
        <v>2840</v>
      </c>
      <c r="R115" s="15">
        <v>14</v>
      </c>
      <c r="S115" s="15" t="s">
        <v>1243</v>
      </c>
      <c r="T115" s="15"/>
    </row>
    <row r="116" spans="1:20" x14ac:dyDescent="0.35">
      <c r="A116" s="15" t="s">
        <v>2868</v>
      </c>
      <c r="B116" s="15" t="s">
        <v>397</v>
      </c>
      <c r="C116" s="15" t="s">
        <v>793</v>
      </c>
      <c r="D116" s="15" t="s">
        <v>46</v>
      </c>
      <c r="E116" s="15" t="s">
        <v>34</v>
      </c>
      <c r="F116" s="15" t="s">
        <v>2500</v>
      </c>
      <c r="G116" s="16">
        <v>45526</v>
      </c>
      <c r="H116" s="15">
        <f t="shared" si="2"/>
        <v>2024</v>
      </c>
      <c r="I116" s="17">
        <v>608060</v>
      </c>
      <c r="J116" s="17">
        <v>608060</v>
      </c>
      <c r="K116" s="17">
        <f t="shared" si="3"/>
        <v>0</v>
      </c>
      <c r="L116" s="15" t="s">
        <v>2553</v>
      </c>
      <c r="M116" s="15" t="s">
        <v>2502</v>
      </c>
      <c r="N116" s="15" t="s">
        <v>2869</v>
      </c>
      <c r="O116" s="15" t="s">
        <v>2834</v>
      </c>
      <c r="P116" s="15" t="s">
        <v>2850</v>
      </c>
      <c r="Q116" s="15" t="s">
        <v>2836</v>
      </c>
      <c r="R116" s="15">
        <v>3</v>
      </c>
      <c r="S116" s="15" t="s">
        <v>1254</v>
      </c>
      <c r="T116" s="15"/>
    </row>
    <row r="117" spans="1:20" x14ac:dyDescent="0.35">
      <c r="A117" s="15" t="s">
        <v>2870</v>
      </c>
      <c r="B117" s="15" t="s">
        <v>1360</v>
      </c>
      <c r="C117" s="15" t="s">
        <v>2871</v>
      </c>
      <c r="D117" s="15" t="s">
        <v>46</v>
      </c>
      <c r="E117" s="15" t="s">
        <v>32</v>
      </c>
      <c r="F117" s="15" t="s">
        <v>2732</v>
      </c>
      <c r="G117" s="16">
        <v>45527</v>
      </c>
      <c r="H117" s="15">
        <f t="shared" si="2"/>
        <v>2024</v>
      </c>
      <c r="I117" s="17">
        <v>3800000</v>
      </c>
      <c r="J117" s="17">
        <v>3800000</v>
      </c>
      <c r="K117" s="17">
        <f t="shared" si="3"/>
        <v>0</v>
      </c>
      <c r="L117" s="15" t="s">
        <v>2553</v>
      </c>
      <c r="M117" s="15" t="s">
        <v>2502</v>
      </c>
      <c r="N117" s="15" t="s">
        <v>2747</v>
      </c>
      <c r="O117" s="15" t="s">
        <v>2847</v>
      </c>
      <c r="P117" s="15" t="s">
        <v>2816</v>
      </c>
      <c r="Q117" s="15" t="s">
        <v>2840</v>
      </c>
      <c r="R117" s="15">
        <v>16</v>
      </c>
      <c r="S117" s="15" t="s">
        <v>1256</v>
      </c>
      <c r="T117" s="15"/>
    </row>
    <row r="118" spans="1:20" x14ac:dyDescent="0.35">
      <c r="A118" s="15" t="s">
        <v>2872</v>
      </c>
      <c r="B118" s="15" t="s">
        <v>1272</v>
      </c>
      <c r="C118" s="15" t="s">
        <v>1273</v>
      </c>
      <c r="D118" s="15" t="s">
        <v>46</v>
      </c>
      <c r="E118" s="15" t="s">
        <v>32</v>
      </c>
      <c r="F118" s="15" t="s">
        <v>2732</v>
      </c>
      <c r="G118" s="16">
        <v>45532</v>
      </c>
      <c r="H118" s="15">
        <f t="shared" si="2"/>
        <v>2024</v>
      </c>
      <c r="I118" s="17">
        <v>5000000</v>
      </c>
      <c r="J118" s="17">
        <v>5000000</v>
      </c>
      <c r="K118" s="17">
        <f t="shared" si="3"/>
        <v>0</v>
      </c>
      <c r="L118" s="15" t="s">
        <v>2553</v>
      </c>
      <c r="M118" s="15" t="s">
        <v>2502</v>
      </c>
      <c r="N118" s="15" t="s">
        <v>2801</v>
      </c>
      <c r="O118" s="15" t="s">
        <v>2873</v>
      </c>
      <c r="P118" s="15" t="s">
        <v>2874</v>
      </c>
      <c r="Q118" s="15" t="s">
        <v>2840</v>
      </c>
      <c r="R118" s="15">
        <v>17</v>
      </c>
      <c r="S118" s="15" t="s">
        <v>1268</v>
      </c>
      <c r="T118" s="15"/>
    </row>
    <row r="119" spans="1:20" x14ac:dyDescent="0.35">
      <c r="A119" s="15" t="s">
        <v>2875</v>
      </c>
      <c r="B119" s="15" t="s">
        <v>1317</v>
      </c>
      <c r="C119" s="15" t="s">
        <v>1318</v>
      </c>
      <c r="D119" s="15" t="s">
        <v>46</v>
      </c>
      <c r="E119" s="15" t="s">
        <v>32</v>
      </c>
      <c r="F119" s="15" t="s">
        <v>2732</v>
      </c>
      <c r="G119" s="16">
        <v>45544</v>
      </c>
      <c r="H119" s="15">
        <f t="shared" si="2"/>
        <v>2024</v>
      </c>
      <c r="I119" s="17">
        <v>5000000</v>
      </c>
      <c r="J119" s="17">
        <v>5000000</v>
      </c>
      <c r="K119" s="17">
        <f t="shared" si="3"/>
        <v>0</v>
      </c>
      <c r="L119" s="15" t="s">
        <v>2553</v>
      </c>
      <c r="M119" s="15" t="s">
        <v>2502</v>
      </c>
      <c r="N119" s="15" t="s">
        <v>2743</v>
      </c>
      <c r="O119" s="15" t="s">
        <v>2847</v>
      </c>
      <c r="P119" s="15" t="s">
        <v>2559</v>
      </c>
      <c r="Q119" s="15" t="s">
        <v>2840</v>
      </c>
      <c r="R119" s="15">
        <v>19</v>
      </c>
      <c r="S119" s="15" t="s">
        <v>1322</v>
      </c>
      <c r="T119" s="15"/>
    </row>
    <row r="120" spans="1:20" x14ac:dyDescent="0.35">
      <c r="A120" s="15" t="s">
        <v>2876</v>
      </c>
      <c r="B120" s="15" t="s">
        <v>2877</v>
      </c>
      <c r="C120" s="15" t="s">
        <v>2878</v>
      </c>
      <c r="D120" s="15" t="s">
        <v>46</v>
      </c>
      <c r="E120" s="15" t="s">
        <v>32</v>
      </c>
      <c r="F120" s="15" t="s">
        <v>2732</v>
      </c>
      <c r="G120" s="16">
        <v>45544</v>
      </c>
      <c r="H120" s="15">
        <f t="shared" si="2"/>
        <v>2024</v>
      </c>
      <c r="I120" s="17">
        <v>4500000</v>
      </c>
      <c r="J120" s="17">
        <v>4500000</v>
      </c>
      <c r="K120" s="17">
        <f t="shared" si="3"/>
        <v>0</v>
      </c>
      <c r="L120" s="15" t="s">
        <v>2553</v>
      </c>
      <c r="M120" s="15" t="s">
        <v>2502</v>
      </c>
      <c r="N120" s="15" t="s">
        <v>2762</v>
      </c>
      <c r="O120" s="15" t="s">
        <v>2867</v>
      </c>
      <c r="P120" s="15" t="s">
        <v>2559</v>
      </c>
      <c r="Q120" s="15" t="s">
        <v>2840</v>
      </c>
      <c r="R120" s="15">
        <v>18</v>
      </c>
      <c r="S120" s="15" t="s">
        <v>1322</v>
      </c>
      <c r="T120" s="15"/>
    </row>
    <row r="121" spans="1:20" x14ac:dyDescent="0.35">
      <c r="A121" s="15" t="s">
        <v>2879</v>
      </c>
      <c r="B121" s="15" t="s">
        <v>1331</v>
      </c>
      <c r="C121" s="15" t="s">
        <v>1332</v>
      </c>
      <c r="D121" s="15" t="s">
        <v>46</v>
      </c>
      <c r="E121" s="15" t="s">
        <v>32</v>
      </c>
      <c r="F121" s="15" t="s">
        <v>2746</v>
      </c>
      <c r="G121" s="16">
        <v>45548</v>
      </c>
      <c r="H121" s="15">
        <f t="shared" si="2"/>
        <v>2024</v>
      </c>
      <c r="I121" s="17">
        <v>2600000</v>
      </c>
      <c r="J121" s="17">
        <v>2600000</v>
      </c>
      <c r="K121" s="17">
        <f t="shared" si="3"/>
        <v>0</v>
      </c>
      <c r="L121" s="15" t="s">
        <v>2553</v>
      </c>
      <c r="M121" s="15" t="s">
        <v>2502</v>
      </c>
      <c r="N121" s="15" t="s">
        <v>2750</v>
      </c>
      <c r="O121" s="15" t="s">
        <v>2847</v>
      </c>
      <c r="P121" s="15" t="s">
        <v>2880</v>
      </c>
      <c r="Q121" s="15" t="s">
        <v>2840</v>
      </c>
      <c r="R121" s="15">
        <v>20</v>
      </c>
      <c r="S121" s="15" t="s">
        <v>1333</v>
      </c>
      <c r="T121" s="15"/>
    </row>
    <row r="122" spans="1:20" x14ac:dyDescent="0.35">
      <c r="A122" s="15" t="s">
        <v>2881</v>
      </c>
      <c r="B122" s="15" t="s">
        <v>1346</v>
      </c>
      <c r="C122" s="15" t="s">
        <v>2882</v>
      </c>
      <c r="D122" s="15" t="s">
        <v>46</v>
      </c>
      <c r="E122" s="15" t="s">
        <v>31</v>
      </c>
      <c r="F122" s="15" t="s">
        <v>2883</v>
      </c>
      <c r="G122" s="16">
        <v>45552</v>
      </c>
      <c r="H122" s="15">
        <f t="shared" si="2"/>
        <v>2024</v>
      </c>
      <c r="I122" s="17">
        <v>12800000</v>
      </c>
      <c r="J122" s="17">
        <v>12800000</v>
      </c>
      <c r="K122" s="17">
        <f t="shared" si="3"/>
        <v>0</v>
      </c>
      <c r="L122" s="15" t="s">
        <v>2553</v>
      </c>
      <c r="M122" s="15" t="s">
        <v>2502</v>
      </c>
      <c r="N122" s="15" t="s">
        <v>2884</v>
      </c>
      <c r="O122" s="15" t="s">
        <v>2548</v>
      </c>
      <c r="P122" s="15" t="s">
        <v>2748</v>
      </c>
      <c r="Q122" s="15" t="s">
        <v>2647</v>
      </c>
      <c r="R122" s="15">
        <v>48</v>
      </c>
      <c r="S122" s="15" t="s">
        <v>1343</v>
      </c>
      <c r="T122" s="15"/>
    </row>
    <row r="123" spans="1:20" x14ac:dyDescent="0.35">
      <c r="A123" s="15" t="s">
        <v>2885</v>
      </c>
      <c r="B123" s="15" t="s">
        <v>1365</v>
      </c>
      <c r="C123" s="15" t="s">
        <v>1366</v>
      </c>
      <c r="D123" s="15" t="s">
        <v>46</v>
      </c>
      <c r="E123" s="15" t="s">
        <v>31</v>
      </c>
      <c r="F123" s="15" t="s">
        <v>2523</v>
      </c>
      <c r="G123" s="16">
        <v>45561</v>
      </c>
      <c r="H123" s="15">
        <f t="shared" si="2"/>
        <v>2024</v>
      </c>
      <c r="I123" s="17">
        <v>6000000</v>
      </c>
      <c r="J123" s="17">
        <v>6000000</v>
      </c>
      <c r="K123" s="17">
        <f t="shared" si="3"/>
        <v>0</v>
      </c>
      <c r="L123" s="15" t="s">
        <v>2553</v>
      </c>
      <c r="M123" s="15" t="s">
        <v>2502</v>
      </c>
      <c r="N123" s="15" t="s">
        <v>2886</v>
      </c>
      <c r="O123" s="15" t="s">
        <v>2645</v>
      </c>
      <c r="P123" s="15" t="s">
        <v>1800</v>
      </c>
      <c r="Q123" s="15" t="s">
        <v>2647</v>
      </c>
      <c r="R123" s="15">
        <v>49</v>
      </c>
      <c r="S123" s="15" t="s">
        <v>1367</v>
      </c>
      <c r="T123" s="15"/>
    </row>
    <row r="124" spans="1:20" x14ac:dyDescent="0.35">
      <c r="A124" s="15" t="s">
        <v>2887</v>
      </c>
      <c r="B124" s="15" t="s">
        <v>1382</v>
      </c>
      <c r="C124" s="15" t="s">
        <v>2888</v>
      </c>
      <c r="D124" s="15" t="s">
        <v>46</v>
      </c>
      <c r="E124" s="15" t="s">
        <v>31</v>
      </c>
      <c r="F124" s="15" t="s">
        <v>2523</v>
      </c>
      <c r="G124" s="16">
        <v>45562</v>
      </c>
      <c r="H124" s="15">
        <f t="shared" si="2"/>
        <v>2024</v>
      </c>
      <c r="I124" s="17">
        <v>5800000</v>
      </c>
      <c r="J124" s="17">
        <v>5800000</v>
      </c>
      <c r="K124" s="17">
        <f t="shared" si="3"/>
        <v>0</v>
      </c>
      <c r="L124" s="15" t="s">
        <v>2553</v>
      </c>
      <c r="M124" s="15" t="s">
        <v>2502</v>
      </c>
      <c r="N124" s="15" t="s">
        <v>2866</v>
      </c>
      <c r="O124" s="15" t="s">
        <v>2889</v>
      </c>
      <c r="P124" s="15" t="s">
        <v>1800</v>
      </c>
      <c r="Q124" s="15" t="s">
        <v>2647</v>
      </c>
      <c r="R124" s="15">
        <v>50</v>
      </c>
      <c r="S124" s="15" t="s">
        <v>1375</v>
      </c>
      <c r="T124" s="15"/>
    </row>
    <row r="125" spans="1:20" x14ac:dyDescent="0.35">
      <c r="A125" s="15" t="s">
        <v>2890</v>
      </c>
      <c r="B125" s="15" t="s">
        <v>1378</v>
      </c>
      <c r="C125" s="15" t="s">
        <v>1508</v>
      </c>
      <c r="D125" s="15" t="s">
        <v>46</v>
      </c>
      <c r="E125" s="15" t="s">
        <v>32</v>
      </c>
      <c r="F125" s="15" t="s">
        <v>2746</v>
      </c>
      <c r="G125" s="16">
        <v>45562</v>
      </c>
      <c r="H125" s="15">
        <f t="shared" si="2"/>
        <v>2024</v>
      </c>
      <c r="I125" s="17">
        <v>2600000</v>
      </c>
      <c r="J125" s="17">
        <v>2600000</v>
      </c>
      <c r="K125" s="17">
        <f t="shared" si="3"/>
        <v>0</v>
      </c>
      <c r="L125" s="15" t="s">
        <v>2553</v>
      </c>
      <c r="M125" s="15" t="s">
        <v>2502</v>
      </c>
      <c r="N125" s="15" t="s">
        <v>2791</v>
      </c>
      <c r="O125" s="15" t="s">
        <v>2847</v>
      </c>
      <c r="P125" s="15" t="s">
        <v>2891</v>
      </c>
      <c r="Q125" s="15" t="s">
        <v>2840</v>
      </c>
      <c r="R125" s="15">
        <v>23</v>
      </c>
      <c r="S125" s="15" t="s">
        <v>1375</v>
      </c>
      <c r="T125" s="15"/>
    </row>
    <row r="126" spans="1:20" x14ac:dyDescent="0.35">
      <c r="A126" s="15" t="s">
        <v>2892</v>
      </c>
      <c r="B126" s="15" t="s">
        <v>1386</v>
      </c>
      <c r="C126" s="15" t="s">
        <v>1387</v>
      </c>
      <c r="D126" s="15" t="s">
        <v>46</v>
      </c>
      <c r="E126" s="15" t="s">
        <v>34</v>
      </c>
      <c r="F126" s="15" t="s">
        <v>2500</v>
      </c>
      <c r="G126" s="16">
        <v>45562</v>
      </c>
      <c r="H126" s="15">
        <f t="shared" si="2"/>
        <v>2024</v>
      </c>
      <c r="I126" s="17">
        <v>495000</v>
      </c>
      <c r="J126" s="17">
        <v>495000</v>
      </c>
      <c r="K126" s="17">
        <f t="shared" si="3"/>
        <v>0</v>
      </c>
      <c r="L126" s="15" t="s">
        <v>2553</v>
      </c>
      <c r="M126" s="15" t="s">
        <v>2502</v>
      </c>
      <c r="N126" s="15" t="s">
        <v>2893</v>
      </c>
      <c r="O126" s="15" t="s">
        <v>2834</v>
      </c>
      <c r="P126" s="15" t="s">
        <v>2894</v>
      </c>
      <c r="Q126" s="15" t="s">
        <v>2836</v>
      </c>
      <c r="R126" s="15">
        <v>5</v>
      </c>
      <c r="S126" s="15" t="s">
        <v>1375</v>
      </c>
      <c r="T126" s="15"/>
    </row>
    <row r="127" spans="1:20" x14ac:dyDescent="0.35">
      <c r="A127" s="15" t="s">
        <v>2895</v>
      </c>
      <c r="B127" s="15" t="s">
        <v>1390</v>
      </c>
      <c r="C127" s="15" t="s">
        <v>1391</v>
      </c>
      <c r="D127" s="15" t="s">
        <v>46</v>
      </c>
      <c r="E127" s="15" t="s">
        <v>34</v>
      </c>
      <c r="F127" s="15" t="s">
        <v>2500</v>
      </c>
      <c r="G127" s="16">
        <v>45562</v>
      </c>
      <c r="H127" s="15">
        <f t="shared" si="2"/>
        <v>2024</v>
      </c>
      <c r="I127" s="17">
        <v>550000</v>
      </c>
      <c r="J127" s="17">
        <v>550000</v>
      </c>
      <c r="K127" s="17">
        <f t="shared" si="3"/>
        <v>0</v>
      </c>
      <c r="L127" s="15" t="s">
        <v>2553</v>
      </c>
      <c r="M127" s="15" t="s">
        <v>2502</v>
      </c>
      <c r="N127" s="15" t="s">
        <v>2896</v>
      </c>
      <c r="O127" s="15" t="s">
        <v>2834</v>
      </c>
      <c r="P127" s="15" t="s">
        <v>2806</v>
      </c>
      <c r="Q127" s="15" t="s">
        <v>2836</v>
      </c>
      <c r="R127" s="15">
        <v>4</v>
      </c>
      <c r="S127" s="15" t="s">
        <v>1375</v>
      </c>
      <c r="T127" s="15"/>
    </row>
    <row r="128" spans="1:20" x14ac:dyDescent="0.35">
      <c r="A128" s="15" t="s">
        <v>2897</v>
      </c>
      <c r="B128" s="15" t="s">
        <v>1405</v>
      </c>
      <c r="C128" s="15" t="s">
        <v>1406</v>
      </c>
      <c r="D128" s="15" t="s">
        <v>46</v>
      </c>
      <c r="E128" s="15" t="s">
        <v>32</v>
      </c>
      <c r="F128" s="15" t="s">
        <v>2732</v>
      </c>
      <c r="G128" s="16">
        <v>45565</v>
      </c>
      <c r="H128" s="15">
        <f t="shared" si="2"/>
        <v>2024</v>
      </c>
      <c r="I128" s="17">
        <v>5000000</v>
      </c>
      <c r="J128" s="17">
        <v>5000000</v>
      </c>
      <c r="K128" s="17">
        <f t="shared" si="3"/>
        <v>0</v>
      </c>
      <c r="L128" s="15" t="s">
        <v>2553</v>
      </c>
      <c r="M128" s="15" t="s">
        <v>2502</v>
      </c>
      <c r="N128" s="15" t="s">
        <v>2803</v>
      </c>
      <c r="O128" s="15" t="s">
        <v>2847</v>
      </c>
      <c r="P128" s="15" t="s">
        <v>2898</v>
      </c>
      <c r="Q128" s="15" t="s">
        <v>2840</v>
      </c>
      <c r="R128" s="15">
        <v>22</v>
      </c>
      <c r="S128" s="15" t="s">
        <v>1407</v>
      </c>
      <c r="T128" s="15"/>
    </row>
    <row r="129" spans="1:20" x14ac:dyDescent="0.35">
      <c r="A129" s="15" t="s">
        <v>2899</v>
      </c>
      <c r="B129" s="15" t="s">
        <v>1410</v>
      </c>
      <c r="C129" s="15" t="s">
        <v>2900</v>
      </c>
      <c r="D129" s="15" t="s">
        <v>46</v>
      </c>
      <c r="E129" s="15" t="s">
        <v>32</v>
      </c>
      <c r="F129" s="15" t="s">
        <v>2746</v>
      </c>
      <c r="G129" s="16">
        <v>45565</v>
      </c>
      <c r="H129" s="15">
        <f t="shared" si="2"/>
        <v>2024</v>
      </c>
      <c r="I129" s="17">
        <v>2600000</v>
      </c>
      <c r="J129" s="17">
        <v>2600000</v>
      </c>
      <c r="K129" s="17">
        <f t="shared" si="3"/>
        <v>0</v>
      </c>
      <c r="L129" s="15" t="s">
        <v>2553</v>
      </c>
      <c r="M129" s="15" t="s">
        <v>2502</v>
      </c>
      <c r="N129" s="15" t="s">
        <v>2718</v>
      </c>
      <c r="O129" s="15" t="s">
        <v>2847</v>
      </c>
      <c r="P129" s="15" t="s">
        <v>2901</v>
      </c>
      <c r="Q129" s="15" t="s">
        <v>2840</v>
      </c>
      <c r="R129" s="15">
        <v>21</v>
      </c>
      <c r="S129" s="15" t="s">
        <v>1407</v>
      </c>
      <c r="T129" s="15"/>
    </row>
    <row r="130" spans="1:20" x14ac:dyDescent="0.35">
      <c r="A130" s="15" t="s">
        <v>2902</v>
      </c>
      <c r="B130" s="15" t="s">
        <v>713</v>
      </c>
      <c r="C130" s="15" t="s">
        <v>714</v>
      </c>
      <c r="D130" s="15" t="s">
        <v>46</v>
      </c>
      <c r="E130" s="15" t="s">
        <v>32</v>
      </c>
      <c r="F130" s="15" t="s">
        <v>2732</v>
      </c>
      <c r="G130" s="16">
        <v>45567</v>
      </c>
      <c r="H130" s="15">
        <f t="shared" si="2"/>
        <v>2024</v>
      </c>
      <c r="I130" s="17">
        <v>5000000</v>
      </c>
      <c r="J130" s="17">
        <v>5000000</v>
      </c>
      <c r="K130" s="17">
        <f t="shared" si="3"/>
        <v>0</v>
      </c>
      <c r="L130" s="15" t="s">
        <v>2553</v>
      </c>
      <c r="M130" s="15" t="s">
        <v>2502</v>
      </c>
      <c r="N130" s="15" t="s">
        <v>2903</v>
      </c>
      <c r="O130" s="15" t="s">
        <v>2853</v>
      </c>
      <c r="P130" s="15" t="s">
        <v>2596</v>
      </c>
      <c r="Q130" s="15" t="s">
        <v>2840</v>
      </c>
      <c r="R130" s="15">
        <v>24</v>
      </c>
      <c r="S130" s="15" t="s">
        <v>1416</v>
      </c>
      <c r="T130" s="15"/>
    </row>
    <row r="131" spans="1:20" x14ac:dyDescent="0.35">
      <c r="A131" s="15" t="s">
        <v>2904</v>
      </c>
      <c r="B131" s="15" t="s">
        <v>203</v>
      </c>
      <c r="C131" s="15" t="s">
        <v>2780</v>
      </c>
      <c r="D131" s="15" t="s">
        <v>46</v>
      </c>
      <c r="E131" s="15" t="s">
        <v>27</v>
      </c>
      <c r="F131" s="15" t="s">
        <v>2732</v>
      </c>
      <c r="G131" s="16">
        <v>45568</v>
      </c>
      <c r="H131" s="15">
        <f t="shared" si="2"/>
        <v>2024</v>
      </c>
      <c r="I131" s="17">
        <v>2500000</v>
      </c>
      <c r="J131" s="17">
        <v>2500000</v>
      </c>
      <c r="K131" s="17">
        <f t="shared" si="3"/>
        <v>0</v>
      </c>
      <c r="L131" s="15" t="s">
        <v>2905</v>
      </c>
      <c r="M131" s="15" t="s">
        <v>2502</v>
      </c>
      <c r="N131" s="15" t="s">
        <v>2906</v>
      </c>
      <c r="O131" s="15" t="s">
        <v>2907</v>
      </c>
      <c r="P131" s="15" t="s">
        <v>1800</v>
      </c>
      <c r="Q131" s="15" t="s">
        <v>2908</v>
      </c>
      <c r="R131" s="15">
        <v>2</v>
      </c>
      <c r="S131" s="15" t="s">
        <v>1422</v>
      </c>
      <c r="T131" s="15"/>
    </row>
    <row r="132" spans="1:20" x14ac:dyDescent="0.35">
      <c r="A132" s="15" t="s">
        <v>2909</v>
      </c>
      <c r="B132" s="15" t="s">
        <v>1436</v>
      </c>
      <c r="C132" s="15" t="s">
        <v>1437</v>
      </c>
      <c r="D132" s="15" t="s">
        <v>46</v>
      </c>
      <c r="E132" s="15" t="s">
        <v>32</v>
      </c>
      <c r="F132" s="15" t="s">
        <v>2775</v>
      </c>
      <c r="G132" s="16">
        <v>45573</v>
      </c>
      <c r="H132" s="15">
        <f t="shared" si="2"/>
        <v>2024</v>
      </c>
      <c r="I132" s="17">
        <v>8000000</v>
      </c>
      <c r="J132" s="17">
        <v>8000000</v>
      </c>
      <c r="K132" s="17">
        <f t="shared" si="3"/>
        <v>0</v>
      </c>
      <c r="L132" s="15" t="s">
        <v>2553</v>
      </c>
      <c r="M132" s="15" t="s">
        <v>2502</v>
      </c>
      <c r="N132" s="15" t="s">
        <v>2910</v>
      </c>
      <c r="O132" s="15" t="s">
        <v>2847</v>
      </c>
      <c r="P132" s="15" t="s">
        <v>2911</v>
      </c>
      <c r="Q132" s="15" t="s">
        <v>2840</v>
      </c>
      <c r="R132" s="15">
        <v>25</v>
      </c>
      <c r="S132" s="15" t="s">
        <v>1438</v>
      </c>
      <c r="T132" s="15"/>
    </row>
    <row r="133" spans="1:20" x14ac:dyDescent="0.35">
      <c r="A133" s="15" t="s">
        <v>2912</v>
      </c>
      <c r="B133" s="15" t="s">
        <v>1443</v>
      </c>
      <c r="C133" s="15" t="s">
        <v>1444</v>
      </c>
      <c r="D133" s="15" t="s">
        <v>46</v>
      </c>
      <c r="E133" s="15" t="s">
        <v>32</v>
      </c>
      <c r="F133" s="15" t="s">
        <v>2746</v>
      </c>
      <c r="G133" s="16">
        <v>45576</v>
      </c>
      <c r="H133" s="15">
        <f t="shared" ref="H133:H196" si="4">IF(G133="","",YEAR(G133))</f>
        <v>2024</v>
      </c>
      <c r="I133" s="17">
        <v>3100000</v>
      </c>
      <c r="J133" s="17">
        <v>3100000</v>
      </c>
      <c r="K133" s="17">
        <f t="shared" ref="K133:K196" si="5">IF(OR(I133="",J133=""),"",I133-J133)</f>
        <v>0</v>
      </c>
      <c r="L133" s="15" t="s">
        <v>2624</v>
      </c>
      <c r="M133" s="15" t="s">
        <v>2502</v>
      </c>
      <c r="N133" s="15" t="s">
        <v>2913</v>
      </c>
      <c r="O133" s="15" t="s">
        <v>2847</v>
      </c>
      <c r="P133" s="15" t="s">
        <v>2894</v>
      </c>
      <c r="Q133" s="15" t="s">
        <v>2840</v>
      </c>
      <c r="R133" s="15">
        <v>26</v>
      </c>
      <c r="S133" s="15" t="s">
        <v>1445</v>
      </c>
      <c r="T133" s="15"/>
    </row>
    <row r="134" spans="1:20" x14ac:dyDescent="0.35">
      <c r="A134" s="15" t="s">
        <v>2914</v>
      </c>
      <c r="B134" s="15" t="s">
        <v>1460</v>
      </c>
      <c r="C134" s="15" t="s">
        <v>2915</v>
      </c>
      <c r="D134" s="15" t="s">
        <v>46</v>
      </c>
      <c r="E134" s="15" t="s">
        <v>27</v>
      </c>
      <c r="F134" s="15" t="s">
        <v>2732</v>
      </c>
      <c r="G134" s="16">
        <v>45583</v>
      </c>
      <c r="H134" s="15">
        <f t="shared" si="4"/>
        <v>2024</v>
      </c>
      <c r="I134" s="17">
        <v>2800000</v>
      </c>
      <c r="J134" s="17">
        <v>2800000</v>
      </c>
      <c r="K134" s="17">
        <f t="shared" si="5"/>
        <v>0</v>
      </c>
      <c r="L134" s="15" t="s">
        <v>2553</v>
      </c>
      <c r="M134" s="15" t="s">
        <v>2502</v>
      </c>
      <c r="N134" s="15" t="s">
        <v>2829</v>
      </c>
      <c r="O134" s="15" t="s">
        <v>2907</v>
      </c>
      <c r="P134" s="15" t="s">
        <v>2916</v>
      </c>
      <c r="Q134" s="15" t="s">
        <v>2908</v>
      </c>
      <c r="R134" s="15">
        <v>3</v>
      </c>
      <c r="S134" s="15" t="s">
        <v>1457</v>
      </c>
      <c r="T134" s="15"/>
    </row>
    <row r="135" spans="1:20" x14ac:dyDescent="0.35">
      <c r="A135" s="15" t="s">
        <v>2917</v>
      </c>
      <c r="B135" s="15" t="s">
        <v>1455</v>
      </c>
      <c r="C135" s="15" t="s">
        <v>1604</v>
      </c>
      <c r="D135" s="15" t="s">
        <v>46</v>
      </c>
      <c r="E135" s="15" t="s">
        <v>34</v>
      </c>
      <c r="F135" s="15" t="s">
        <v>2523</v>
      </c>
      <c r="G135" s="16">
        <v>45583</v>
      </c>
      <c r="H135" s="15">
        <f t="shared" si="4"/>
        <v>2024</v>
      </c>
      <c r="I135" s="17">
        <v>1100000</v>
      </c>
      <c r="J135" s="17">
        <v>1100000</v>
      </c>
      <c r="K135" s="17">
        <f t="shared" si="5"/>
        <v>0</v>
      </c>
      <c r="L135" s="15" t="s">
        <v>2553</v>
      </c>
      <c r="M135" s="15" t="s">
        <v>2502</v>
      </c>
      <c r="N135" s="15" t="s">
        <v>2698</v>
      </c>
      <c r="O135" s="15" t="s">
        <v>2834</v>
      </c>
      <c r="P135" s="15" t="s">
        <v>2559</v>
      </c>
      <c r="Q135" s="15" t="s">
        <v>2836</v>
      </c>
      <c r="R135" s="15">
        <v>6</v>
      </c>
      <c r="S135" s="15" t="s">
        <v>1457</v>
      </c>
      <c r="T135" s="15"/>
    </row>
    <row r="136" spans="1:20" x14ac:dyDescent="0.35">
      <c r="A136" s="15" t="s">
        <v>2918</v>
      </c>
      <c r="B136" s="15" t="s">
        <v>1481</v>
      </c>
      <c r="C136" s="15" t="s">
        <v>1482</v>
      </c>
      <c r="D136" s="15" t="s">
        <v>46</v>
      </c>
      <c r="E136" s="15" t="s">
        <v>32</v>
      </c>
      <c r="F136" s="15" t="s">
        <v>2919</v>
      </c>
      <c r="G136" s="16">
        <v>45588</v>
      </c>
      <c r="H136" s="15">
        <f t="shared" si="4"/>
        <v>2024</v>
      </c>
      <c r="I136" s="17">
        <v>20000000</v>
      </c>
      <c r="J136" s="17">
        <v>20000000</v>
      </c>
      <c r="K136" s="17">
        <f t="shared" si="5"/>
        <v>0</v>
      </c>
      <c r="L136" s="15" t="s">
        <v>2624</v>
      </c>
      <c r="M136" s="15" t="s">
        <v>2502</v>
      </c>
      <c r="N136" s="15" t="s">
        <v>2920</v>
      </c>
      <c r="O136" s="15" t="s">
        <v>2847</v>
      </c>
      <c r="P136" s="15" t="s">
        <v>2921</v>
      </c>
      <c r="Q136" s="15" t="s">
        <v>2840</v>
      </c>
      <c r="R136" s="15">
        <v>27</v>
      </c>
      <c r="S136" s="15" t="s">
        <v>1483</v>
      </c>
      <c r="T136" s="15"/>
    </row>
    <row r="137" spans="1:20" x14ac:dyDescent="0.35">
      <c r="A137" s="15" t="s">
        <v>2922</v>
      </c>
      <c r="B137" s="15" t="s">
        <v>1481</v>
      </c>
      <c r="C137" s="15" t="s">
        <v>1482</v>
      </c>
      <c r="D137" s="15" t="s">
        <v>47</v>
      </c>
      <c r="E137" s="15" t="s">
        <v>40</v>
      </c>
      <c r="F137" s="15" t="s">
        <v>2923</v>
      </c>
      <c r="G137" s="16">
        <v>45590</v>
      </c>
      <c r="H137" s="15">
        <f t="shared" si="4"/>
        <v>2024</v>
      </c>
      <c r="I137" s="17">
        <v>65000000</v>
      </c>
      <c r="J137" s="17">
        <v>65000000</v>
      </c>
      <c r="K137" s="17">
        <f t="shared" si="5"/>
        <v>0</v>
      </c>
      <c r="L137" s="15" t="s">
        <v>2501</v>
      </c>
      <c r="M137" s="15" t="s">
        <v>2502</v>
      </c>
      <c r="N137" s="15"/>
      <c r="O137" s="15"/>
      <c r="P137" s="15" t="s">
        <v>2924</v>
      </c>
      <c r="Q137" s="15" t="s">
        <v>2925</v>
      </c>
      <c r="R137" s="15">
        <v>2</v>
      </c>
      <c r="S137" s="15" t="s">
        <v>1489</v>
      </c>
      <c r="T137" s="15"/>
    </row>
    <row r="138" spans="1:20" x14ac:dyDescent="0.35">
      <c r="A138" s="15" t="s">
        <v>2926</v>
      </c>
      <c r="B138" s="15" t="s">
        <v>1519</v>
      </c>
      <c r="C138" s="15" t="s">
        <v>1520</v>
      </c>
      <c r="D138" s="15" t="s">
        <v>46</v>
      </c>
      <c r="E138" s="15" t="s">
        <v>31</v>
      </c>
      <c r="F138" s="15" t="s">
        <v>2500</v>
      </c>
      <c r="G138" s="16">
        <v>45595</v>
      </c>
      <c r="H138" s="15">
        <f t="shared" si="4"/>
        <v>2024</v>
      </c>
      <c r="I138" s="17">
        <v>3200000</v>
      </c>
      <c r="J138" s="17">
        <v>3200000</v>
      </c>
      <c r="K138" s="17">
        <f t="shared" si="5"/>
        <v>0</v>
      </c>
      <c r="L138" s="15" t="s">
        <v>2553</v>
      </c>
      <c r="M138" s="15" t="s">
        <v>2502</v>
      </c>
      <c r="N138" s="15" t="s">
        <v>2644</v>
      </c>
      <c r="O138" s="15" t="s">
        <v>2927</v>
      </c>
      <c r="P138" s="15" t="s">
        <v>2748</v>
      </c>
      <c r="Q138" s="15" t="s">
        <v>2647</v>
      </c>
      <c r="R138" s="15">
        <v>51</v>
      </c>
      <c r="S138" s="15" t="s">
        <v>1516</v>
      </c>
      <c r="T138" s="15"/>
    </row>
    <row r="139" spans="1:20" x14ac:dyDescent="0.35">
      <c r="A139" s="15" t="s">
        <v>2928</v>
      </c>
      <c r="B139" s="15" t="s">
        <v>1849</v>
      </c>
      <c r="C139" s="15" t="s">
        <v>1850</v>
      </c>
      <c r="D139" s="15" t="s">
        <v>47</v>
      </c>
      <c r="E139" s="15" t="s">
        <v>40</v>
      </c>
      <c r="F139" s="15" t="s">
        <v>2923</v>
      </c>
      <c r="G139" s="16">
        <v>45595</v>
      </c>
      <c r="H139" s="15">
        <f t="shared" si="4"/>
        <v>2024</v>
      </c>
      <c r="I139" s="17">
        <v>67000000</v>
      </c>
      <c r="J139" s="17">
        <v>67000000</v>
      </c>
      <c r="K139" s="17">
        <f t="shared" si="5"/>
        <v>0</v>
      </c>
      <c r="L139" s="15" t="s">
        <v>2584</v>
      </c>
      <c r="M139" s="15" t="s">
        <v>2502</v>
      </c>
      <c r="N139" s="15"/>
      <c r="O139" s="15"/>
      <c r="P139" s="15" t="s">
        <v>2929</v>
      </c>
      <c r="Q139" s="15" t="s">
        <v>2925</v>
      </c>
      <c r="R139" s="15">
        <v>3</v>
      </c>
      <c r="S139" s="15" t="s">
        <v>1516</v>
      </c>
      <c r="T139" s="15"/>
    </row>
    <row r="140" spans="1:20" x14ac:dyDescent="0.35">
      <c r="A140" s="15" t="s">
        <v>2930</v>
      </c>
      <c r="B140" s="15" t="s">
        <v>1573</v>
      </c>
      <c r="C140" s="15" t="s">
        <v>2931</v>
      </c>
      <c r="D140" s="15" t="s">
        <v>47</v>
      </c>
      <c r="E140" s="15" t="s">
        <v>40</v>
      </c>
      <c r="F140" s="15" t="s">
        <v>2932</v>
      </c>
      <c r="G140" s="16">
        <v>45605</v>
      </c>
      <c r="H140" s="15">
        <f t="shared" si="4"/>
        <v>2024</v>
      </c>
      <c r="I140" s="17">
        <v>65000000</v>
      </c>
      <c r="J140" s="17">
        <v>10000000</v>
      </c>
      <c r="K140" s="17">
        <f t="shared" si="5"/>
        <v>55000000</v>
      </c>
      <c r="L140" s="15" t="s">
        <v>2546</v>
      </c>
      <c r="M140" s="15" t="s">
        <v>2601</v>
      </c>
      <c r="N140" s="15"/>
      <c r="O140" s="15"/>
      <c r="P140" s="15" t="s">
        <v>2689</v>
      </c>
      <c r="Q140" s="15" t="s">
        <v>2925</v>
      </c>
      <c r="R140" s="15">
        <v>4</v>
      </c>
      <c r="S140" s="15" t="s">
        <v>1575</v>
      </c>
      <c r="T140" s="15"/>
    </row>
    <row r="141" spans="1:20" x14ac:dyDescent="0.35">
      <c r="A141" s="15" t="s">
        <v>2933</v>
      </c>
      <c r="B141" s="15" t="s">
        <v>140</v>
      </c>
      <c r="C141" s="15" t="s">
        <v>141</v>
      </c>
      <c r="D141" s="15" t="s">
        <v>46</v>
      </c>
      <c r="E141" s="15" t="s">
        <v>32</v>
      </c>
      <c r="F141" s="15" t="s">
        <v>2717</v>
      </c>
      <c r="G141" s="16">
        <v>45607</v>
      </c>
      <c r="H141" s="15">
        <f t="shared" si="4"/>
        <v>2024</v>
      </c>
      <c r="I141" s="17">
        <v>4000000</v>
      </c>
      <c r="J141" s="17">
        <v>4000000</v>
      </c>
      <c r="K141" s="17">
        <f t="shared" si="5"/>
        <v>0</v>
      </c>
      <c r="L141" s="15" t="s">
        <v>2553</v>
      </c>
      <c r="M141" s="15" t="s">
        <v>2502</v>
      </c>
      <c r="N141" s="15" t="s">
        <v>2886</v>
      </c>
      <c r="O141" s="15" t="s">
        <v>2853</v>
      </c>
      <c r="P141" s="15" t="s">
        <v>2722</v>
      </c>
      <c r="Q141" s="15" t="s">
        <v>2840</v>
      </c>
      <c r="R141" s="15">
        <v>28</v>
      </c>
      <c r="S141" s="15" t="s">
        <v>1580</v>
      </c>
      <c r="T141" s="15"/>
    </row>
    <row r="142" spans="1:20" x14ac:dyDescent="0.35">
      <c r="A142" s="15" t="s">
        <v>2934</v>
      </c>
      <c r="B142" s="15" t="s">
        <v>1596</v>
      </c>
      <c r="C142" s="15" t="s">
        <v>1597</v>
      </c>
      <c r="D142" s="15" t="s">
        <v>46</v>
      </c>
      <c r="E142" s="15" t="s">
        <v>32</v>
      </c>
      <c r="F142" s="15" t="s">
        <v>2746</v>
      </c>
      <c r="G142" s="16">
        <v>45610</v>
      </c>
      <c r="H142" s="15">
        <f t="shared" si="4"/>
        <v>2024</v>
      </c>
      <c r="I142" s="17">
        <v>2600000</v>
      </c>
      <c r="J142" s="17">
        <v>2600000</v>
      </c>
      <c r="K142" s="17">
        <f t="shared" si="5"/>
        <v>0</v>
      </c>
      <c r="L142" s="15" t="s">
        <v>2553</v>
      </c>
      <c r="M142" s="15" t="s">
        <v>2502</v>
      </c>
      <c r="N142" s="15" t="s">
        <v>2935</v>
      </c>
      <c r="O142" s="15" t="s">
        <v>2847</v>
      </c>
      <c r="P142" s="15" t="s">
        <v>2901</v>
      </c>
      <c r="Q142" s="15" t="s">
        <v>2840</v>
      </c>
      <c r="R142" s="15">
        <v>30</v>
      </c>
      <c r="S142" s="15" t="s">
        <v>1593</v>
      </c>
      <c r="T142" s="15"/>
    </row>
    <row r="143" spans="1:20" x14ac:dyDescent="0.35">
      <c r="A143" s="15" t="s">
        <v>2936</v>
      </c>
      <c r="B143" s="15" t="s">
        <v>1645</v>
      </c>
      <c r="C143" s="15" t="s">
        <v>1646</v>
      </c>
      <c r="D143" s="15" t="s">
        <v>46</v>
      </c>
      <c r="E143" s="15" t="s">
        <v>31</v>
      </c>
      <c r="F143" s="15" t="s">
        <v>2523</v>
      </c>
      <c r="G143" s="16">
        <v>45625</v>
      </c>
      <c r="H143" s="15">
        <f t="shared" si="4"/>
        <v>2024</v>
      </c>
      <c r="I143" s="17">
        <v>10700000</v>
      </c>
      <c r="J143" s="17">
        <v>2703400</v>
      </c>
      <c r="K143" s="17">
        <f t="shared" si="5"/>
        <v>7996600</v>
      </c>
      <c r="L143" s="15" t="s">
        <v>2728</v>
      </c>
      <c r="M143" s="15" t="s">
        <v>2601</v>
      </c>
      <c r="N143" s="15"/>
      <c r="O143" s="15" t="s">
        <v>2839</v>
      </c>
      <c r="P143" s="15" t="s">
        <v>1800</v>
      </c>
      <c r="Q143" s="15" t="s">
        <v>2647</v>
      </c>
      <c r="R143" s="15">
        <v>52</v>
      </c>
      <c r="S143" s="15" t="s">
        <v>1641</v>
      </c>
      <c r="T143" s="15"/>
    </row>
    <row r="144" spans="1:20" x14ac:dyDescent="0.35">
      <c r="A144" s="15" t="s">
        <v>2937</v>
      </c>
      <c r="B144" s="15" t="s">
        <v>1650</v>
      </c>
      <c r="C144" s="15" t="s">
        <v>1651</v>
      </c>
      <c r="D144" s="15" t="s">
        <v>46</v>
      </c>
      <c r="E144" s="15" t="s">
        <v>32</v>
      </c>
      <c r="F144" s="15" t="s">
        <v>2732</v>
      </c>
      <c r="G144" s="16">
        <v>45625</v>
      </c>
      <c r="H144" s="15">
        <f t="shared" si="4"/>
        <v>2024</v>
      </c>
      <c r="I144" s="17">
        <v>5000000</v>
      </c>
      <c r="J144" s="17">
        <v>5000000</v>
      </c>
      <c r="K144" s="17">
        <f t="shared" si="5"/>
        <v>0</v>
      </c>
      <c r="L144" s="15" t="s">
        <v>2553</v>
      </c>
      <c r="M144" s="15" t="s">
        <v>2502</v>
      </c>
      <c r="N144" s="15" t="s">
        <v>2799</v>
      </c>
      <c r="O144" s="15" t="s">
        <v>2847</v>
      </c>
      <c r="P144" s="15" t="s">
        <v>2938</v>
      </c>
      <c r="Q144" s="15" t="s">
        <v>2840</v>
      </c>
      <c r="R144" s="15">
        <v>31</v>
      </c>
      <c r="S144" s="15" t="s">
        <v>1641</v>
      </c>
      <c r="T144" s="15"/>
    </row>
    <row r="145" spans="1:20" x14ac:dyDescent="0.35">
      <c r="A145" s="15" t="s">
        <v>2939</v>
      </c>
      <c r="B145" s="15" t="s">
        <v>1653</v>
      </c>
      <c r="C145" s="15" t="s">
        <v>1861</v>
      </c>
      <c r="D145" s="15" t="s">
        <v>46</v>
      </c>
      <c r="E145" s="15" t="s">
        <v>32</v>
      </c>
      <c r="F145" s="15" t="s">
        <v>2732</v>
      </c>
      <c r="G145" s="16">
        <v>45626</v>
      </c>
      <c r="H145" s="15">
        <f t="shared" si="4"/>
        <v>2024</v>
      </c>
      <c r="I145" s="17">
        <v>5000000</v>
      </c>
      <c r="J145" s="17">
        <v>5000000</v>
      </c>
      <c r="K145" s="17">
        <f t="shared" si="5"/>
        <v>0</v>
      </c>
      <c r="L145" s="15" t="s">
        <v>2553</v>
      </c>
      <c r="M145" s="15" t="s">
        <v>2502</v>
      </c>
      <c r="N145" s="15" t="s">
        <v>2940</v>
      </c>
      <c r="O145" s="15" t="s">
        <v>2847</v>
      </c>
      <c r="P145" s="15" t="s">
        <v>2816</v>
      </c>
      <c r="Q145" s="15" t="s">
        <v>2840</v>
      </c>
      <c r="R145" s="15">
        <v>32</v>
      </c>
      <c r="S145" s="15" t="s">
        <v>1655</v>
      </c>
      <c r="T145" s="15"/>
    </row>
    <row r="146" spans="1:20" x14ac:dyDescent="0.35">
      <c r="A146" s="15" t="s">
        <v>2941</v>
      </c>
      <c r="B146" s="15" t="s">
        <v>1658</v>
      </c>
      <c r="C146" s="15" t="s">
        <v>1659</v>
      </c>
      <c r="D146" s="15" t="s">
        <v>46</v>
      </c>
      <c r="E146" s="15" t="s">
        <v>32</v>
      </c>
      <c r="F146" s="15" t="s">
        <v>2732</v>
      </c>
      <c r="G146" s="16">
        <v>45626</v>
      </c>
      <c r="H146" s="15">
        <f t="shared" si="4"/>
        <v>2024</v>
      </c>
      <c r="I146" s="17">
        <v>5000000</v>
      </c>
      <c r="J146" s="17">
        <v>5000000</v>
      </c>
      <c r="K146" s="17">
        <f t="shared" si="5"/>
        <v>0</v>
      </c>
      <c r="L146" s="15" t="s">
        <v>2553</v>
      </c>
      <c r="M146" s="15" t="s">
        <v>2502</v>
      </c>
      <c r="N146" s="15" t="s">
        <v>2942</v>
      </c>
      <c r="O146" s="15" t="s">
        <v>2847</v>
      </c>
      <c r="P146" s="15" t="s">
        <v>2816</v>
      </c>
      <c r="Q146" s="15" t="s">
        <v>2840</v>
      </c>
      <c r="R146" s="15">
        <v>33</v>
      </c>
      <c r="S146" s="15" t="s">
        <v>1655</v>
      </c>
      <c r="T146" s="15"/>
    </row>
    <row r="147" spans="1:20" x14ac:dyDescent="0.35">
      <c r="A147" s="15" t="s">
        <v>2943</v>
      </c>
      <c r="B147" s="15" t="s">
        <v>2944</v>
      </c>
      <c r="C147" s="15" t="s">
        <v>2945</v>
      </c>
      <c r="D147" s="15" t="s">
        <v>46</v>
      </c>
      <c r="E147" s="15" t="s">
        <v>33</v>
      </c>
      <c r="F147" s="15" t="s">
        <v>2946</v>
      </c>
      <c r="G147" s="16">
        <v>45630</v>
      </c>
      <c r="H147" s="15">
        <f t="shared" si="4"/>
        <v>2024</v>
      </c>
      <c r="I147" s="17">
        <v>2000000</v>
      </c>
      <c r="J147" s="17">
        <v>350000</v>
      </c>
      <c r="K147" s="17">
        <f t="shared" si="5"/>
        <v>1650000</v>
      </c>
      <c r="L147" s="15" t="s">
        <v>2553</v>
      </c>
      <c r="M147" s="15" t="s">
        <v>2486</v>
      </c>
      <c r="N147" s="15"/>
      <c r="O147" s="15" t="s">
        <v>2486</v>
      </c>
      <c r="P147" s="15" t="s">
        <v>2947</v>
      </c>
      <c r="Q147" s="15" t="s">
        <v>2948</v>
      </c>
      <c r="R147" s="15">
        <v>2</v>
      </c>
      <c r="S147" s="15" t="s">
        <v>1672</v>
      </c>
      <c r="T147" s="15"/>
    </row>
    <row r="148" spans="1:20" x14ac:dyDescent="0.35">
      <c r="A148" s="15" t="s">
        <v>2949</v>
      </c>
      <c r="B148" s="15" t="s">
        <v>1703</v>
      </c>
      <c r="C148" s="15" t="s">
        <v>1704</v>
      </c>
      <c r="D148" s="15" t="s">
        <v>46</v>
      </c>
      <c r="E148" s="15" t="s">
        <v>27</v>
      </c>
      <c r="F148" s="15" t="s">
        <v>2732</v>
      </c>
      <c r="G148" s="16">
        <v>45641</v>
      </c>
      <c r="H148" s="15">
        <f t="shared" si="4"/>
        <v>2024</v>
      </c>
      <c r="I148" s="17">
        <v>2900000</v>
      </c>
      <c r="J148" s="17">
        <v>2100000</v>
      </c>
      <c r="K148" s="17">
        <f t="shared" si="5"/>
        <v>800000</v>
      </c>
      <c r="L148" s="15" t="s">
        <v>2553</v>
      </c>
      <c r="M148" s="15" t="s">
        <v>2502</v>
      </c>
      <c r="N148" s="15" t="s">
        <v>2803</v>
      </c>
      <c r="O148" s="15" t="s">
        <v>2907</v>
      </c>
      <c r="P148" s="15" t="s">
        <v>2950</v>
      </c>
      <c r="Q148" s="15" t="s">
        <v>2908</v>
      </c>
      <c r="R148" s="15">
        <v>4</v>
      </c>
      <c r="S148" s="15" t="s">
        <v>1705</v>
      </c>
      <c r="T148" s="15"/>
    </row>
    <row r="149" spans="1:20" x14ac:dyDescent="0.35">
      <c r="A149" s="15" t="s">
        <v>2951</v>
      </c>
      <c r="B149" s="15" t="s">
        <v>1708</v>
      </c>
      <c r="C149" s="15" t="s">
        <v>1709</v>
      </c>
      <c r="D149" s="15" t="s">
        <v>46</v>
      </c>
      <c r="E149" s="15" t="s">
        <v>27</v>
      </c>
      <c r="F149" s="15" t="s">
        <v>2775</v>
      </c>
      <c r="G149" s="16">
        <v>45641</v>
      </c>
      <c r="H149" s="15">
        <f t="shared" si="4"/>
        <v>2024</v>
      </c>
      <c r="I149" s="17">
        <v>5800000</v>
      </c>
      <c r="J149" s="17">
        <v>4200000</v>
      </c>
      <c r="K149" s="17">
        <f t="shared" si="5"/>
        <v>1600000</v>
      </c>
      <c r="L149" s="15" t="s">
        <v>2553</v>
      </c>
      <c r="M149" s="15" t="s">
        <v>2502</v>
      </c>
      <c r="N149" s="15" t="s">
        <v>2952</v>
      </c>
      <c r="O149" s="15" t="s">
        <v>2907</v>
      </c>
      <c r="P149" s="15" t="s">
        <v>2953</v>
      </c>
      <c r="Q149" s="15" t="s">
        <v>2908</v>
      </c>
      <c r="R149" s="15">
        <v>6</v>
      </c>
      <c r="S149" s="15" t="s">
        <v>1705</v>
      </c>
      <c r="T149" s="15"/>
    </row>
    <row r="150" spans="1:20" x14ac:dyDescent="0.35">
      <c r="A150" s="15" t="s">
        <v>2954</v>
      </c>
      <c r="B150" s="15" t="s">
        <v>1711</v>
      </c>
      <c r="C150" s="15" t="s">
        <v>1712</v>
      </c>
      <c r="D150" s="15" t="s">
        <v>46</v>
      </c>
      <c r="E150" s="15" t="s">
        <v>27</v>
      </c>
      <c r="F150" s="15" t="s">
        <v>2732</v>
      </c>
      <c r="G150" s="16">
        <v>45641</v>
      </c>
      <c r="H150" s="15">
        <f t="shared" si="4"/>
        <v>2024</v>
      </c>
      <c r="I150" s="17">
        <v>2900000</v>
      </c>
      <c r="J150" s="17">
        <v>2100000</v>
      </c>
      <c r="K150" s="17">
        <f t="shared" si="5"/>
        <v>800000</v>
      </c>
      <c r="L150" s="15" t="s">
        <v>2553</v>
      </c>
      <c r="M150" s="15" t="s">
        <v>2502</v>
      </c>
      <c r="N150" s="15" t="s">
        <v>2765</v>
      </c>
      <c r="O150" s="15" t="s">
        <v>2907</v>
      </c>
      <c r="P150" s="15" t="s">
        <v>2950</v>
      </c>
      <c r="Q150" s="15" t="s">
        <v>2908</v>
      </c>
      <c r="R150" s="15">
        <v>5</v>
      </c>
      <c r="S150" s="15" t="s">
        <v>1705</v>
      </c>
      <c r="T150" s="15"/>
    </row>
    <row r="151" spans="1:20" x14ac:dyDescent="0.35">
      <c r="A151" s="15" t="s">
        <v>2955</v>
      </c>
      <c r="B151" s="15" t="s">
        <v>1717</v>
      </c>
      <c r="C151" s="15" t="s">
        <v>1718</v>
      </c>
      <c r="D151" s="15" t="s">
        <v>46</v>
      </c>
      <c r="E151" s="15" t="s">
        <v>27</v>
      </c>
      <c r="F151" s="15" t="s">
        <v>2775</v>
      </c>
      <c r="G151" s="16">
        <v>45641</v>
      </c>
      <c r="H151" s="15">
        <f t="shared" si="4"/>
        <v>2024</v>
      </c>
      <c r="I151" s="17">
        <v>5800000</v>
      </c>
      <c r="J151" s="17">
        <v>4200000</v>
      </c>
      <c r="K151" s="17">
        <f t="shared" si="5"/>
        <v>1600000</v>
      </c>
      <c r="L151" s="15" t="s">
        <v>2553</v>
      </c>
      <c r="M151" s="15" t="s">
        <v>2502</v>
      </c>
      <c r="N151" s="15" t="s">
        <v>2956</v>
      </c>
      <c r="O151" s="15" t="s">
        <v>2907</v>
      </c>
      <c r="P151" s="15" t="s">
        <v>2953</v>
      </c>
      <c r="Q151" s="15" t="s">
        <v>2908</v>
      </c>
      <c r="R151" s="15">
        <v>7</v>
      </c>
      <c r="S151" s="15" t="s">
        <v>1705</v>
      </c>
      <c r="T151" s="15"/>
    </row>
    <row r="152" spans="1:20" x14ac:dyDescent="0.35">
      <c r="A152" s="15" t="s">
        <v>2957</v>
      </c>
      <c r="B152" s="15" t="s">
        <v>414</v>
      </c>
      <c r="C152" s="15" t="s">
        <v>700</v>
      </c>
      <c r="D152" s="15" t="s">
        <v>46</v>
      </c>
      <c r="E152" s="15" t="s">
        <v>27</v>
      </c>
      <c r="F152" s="15" t="s">
        <v>2746</v>
      </c>
      <c r="G152" s="16">
        <v>45645</v>
      </c>
      <c r="H152" s="15">
        <f t="shared" si="4"/>
        <v>2024</v>
      </c>
      <c r="I152" s="17">
        <v>1500000</v>
      </c>
      <c r="J152" s="17">
        <v>1500000</v>
      </c>
      <c r="K152" s="17">
        <f t="shared" si="5"/>
        <v>0</v>
      </c>
      <c r="L152" s="15" t="s">
        <v>2553</v>
      </c>
      <c r="M152" s="15" t="s">
        <v>2502</v>
      </c>
      <c r="N152" s="15" t="s">
        <v>2793</v>
      </c>
      <c r="O152" s="15" t="s">
        <v>2907</v>
      </c>
      <c r="P152" s="15" t="s">
        <v>2958</v>
      </c>
      <c r="Q152" s="15" t="s">
        <v>2908</v>
      </c>
      <c r="R152" s="15">
        <v>8</v>
      </c>
      <c r="S152" s="15" t="s">
        <v>1725</v>
      </c>
      <c r="T152" s="15"/>
    </row>
    <row r="153" spans="1:20" x14ac:dyDescent="0.35">
      <c r="A153" s="15" t="s">
        <v>2959</v>
      </c>
      <c r="B153" s="15" t="s">
        <v>1732</v>
      </c>
      <c r="C153" s="15" t="s">
        <v>1733</v>
      </c>
      <c r="D153" s="15" t="s">
        <v>46</v>
      </c>
      <c r="E153" s="15" t="s">
        <v>33</v>
      </c>
      <c r="F153" s="15" t="s">
        <v>2946</v>
      </c>
      <c r="G153" s="16">
        <v>45646</v>
      </c>
      <c r="H153" s="15">
        <f t="shared" si="4"/>
        <v>2024</v>
      </c>
      <c r="I153" s="17">
        <v>2000000</v>
      </c>
      <c r="J153" s="17">
        <v>1500000</v>
      </c>
      <c r="K153" s="17">
        <f t="shared" si="5"/>
        <v>500000</v>
      </c>
      <c r="L153" s="15" t="s">
        <v>2553</v>
      </c>
      <c r="M153" s="15" t="s">
        <v>2960</v>
      </c>
      <c r="N153" s="15" t="s">
        <v>2707</v>
      </c>
      <c r="O153" s="15" t="s">
        <v>2839</v>
      </c>
      <c r="P153" s="15" t="s">
        <v>2961</v>
      </c>
      <c r="Q153" s="15" t="s">
        <v>2948</v>
      </c>
      <c r="R153" s="15">
        <v>3</v>
      </c>
      <c r="S153" s="15" t="s">
        <v>1729</v>
      </c>
      <c r="T153" s="15"/>
    </row>
    <row r="154" spans="1:20" x14ac:dyDescent="0.35">
      <c r="A154" s="15" t="s">
        <v>2962</v>
      </c>
      <c r="B154" s="15" t="s">
        <v>1736</v>
      </c>
      <c r="C154" s="15" t="s">
        <v>1737</v>
      </c>
      <c r="D154" s="15" t="s">
        <v>46</v>
      </c>
      <c r="E154" s="15" t="s">
        <v>34</v>
      </c>
      <c r="F154" s="15" t="s">
        <v>2523</v>
      </c>
      <c r="G154" s="16">
        <v>45650</v>
      </c>
      <c r="H154" s="15">
        <f t="shared" si="4"/>
        <v>2024</v>
      </c>
      <c r="I154" s="17">
        <v>1100000</v>
      </c>
      <c r="J154" s="17">
        <v>1000000</v>
      </c>
      <c r="K154" s="17">
        <f t="shared" si="5"/>
        <v>100000</v>
      </c>
      <c r="L154" s="15" t="s">
        <v>2553</v>
      </c>
      <c r="M154" s="15" t="s">
        <v>2601</v>
      </c>
      <c r="N154" s="15" t="s">
        <v>2707</v>
      </c>
      <c r="O154" s="15" t="s">
        <v>2963</v>
      </c>
      <c r="P154" s="15" t="s">
        <v>2675</v>
      </c>
      <c r="Q154" s="15" t="s">
        <v>2836</v>
      </c>
      <c r="R154" s="15">
        <v>7</v>
      </c>
      <c r="S154" s="15" t="s">
        <v>1738</v>
      </c>
      <c r="T154" s="15"/>
    </row>
    <row r="155" spans="1:20" x14ac:dyDescent="0.35">
      <c r="A155" s="15" t="s">
        <v>2964</v>
      </c>
      <c r="B155" s="15" t="s">
        <v>1755</v>
      </c>
      <c r="C155" s="15" t="s">
        <v>1756</v>
      </c>
      <c r="D155" s="15" t="s">
        <v>47</v>
      </c>
      <c r="E155" s="15" t="s">
        <v>40</v>
      </c>
      <c r="F155" s="15" t="s">
        <v>2932</v>
      </c>
      <c r="G155" s="16">
        <v>45653</v>
      </c>
      <c r="H155" s="15">
        <f t="shared" si="4"/>
        <v>2024</v>
      </c>
      <c r="I155" s="17">
        <v>75000000</v>
      </c>
      <c r="J155" s="17">
        <v>30000000</v>
      </c>
      <c r="K155" s="17">
        <f t="shared" si="5"/>
        <v>45000000</v>
      </c>
      <c r="L155" s="15" t="s">
        <v>2965</v>
      </c>
      <c r="M155" s="15" t="s">
        <v>2601</v>
      </c>
      <c r="N155" s="15"/>
      <c r="O155" s="15"/>
      <c r="P155" s="15" t="s">
        <v>2966</v>
      </c>
      <c r="Q155" s="15" t="s">
        <v>2925</v>
      </c>
      <c r="R155" s="15">
        <v>5</v>
      </c>
      <c r="S155" s="15" t="s">
        <v>1749</v>
      </c>
      <c r="T155" s="15"/>
    </row>
    <row r="156" spans="1:20" x14ac:dyDescent="0.35">
      <c r="A156" s="15" t="s">
        <v>2967</v>
      </c>
      <c r="B156" s="15" t="s">
        <v>2968</v>
      </c>
      <c r="C156" s="15" t="s">
        <v>2969</v>
      </c>
      <c r="D156" s="15" t="s">
        <v>46</v>
      </c>
      <c r="E156" s="15" t="s">
        <v>33</v>
      </c>
      <c r="F156" s="15" t="s">
        <v>2946</v>
      </c>
      <c r="G156" s="16">
        <v>45657</v>
      </c>
      <c r="H156" s="15">
        <f t="shared" si="4"/>
        <v>2024</v>
      </c>
      <c r="I156" s="17">
        <v>2000000</v>
      </c>
      <c r="J156" s="17">
        <v>500000</v>
      </c>
      <c r="K156" s="17">
        <f t="shared" si="5"/>
        <v>1500000</v>
      </c>
      <c r="L156" s="15" t="s">
        <v>2553</v>
      </c>
      <c r="M156" s="15" t="s">
        <v>2486</v>
      </c>
      <c r="N156" s="15"/>
      <c r="O156" s="15" t="s">
        <v>2839</v>
      </c>
      <c r="P156" s="15" t="s">
        <v>2894</v>
      </c>
      <c r="Q156" s="15" t="s">
        <v>2948</v>
      </c>
      <c r="R156" s="15">
        <v>4</v>
      </c>
      <c r="S156" s="15" t="s">
        <v>1773</v>
      </c>
      <c r="T156" s="15"/>
    </row>
    <row r="157" spans="1:20" x14ac:dyDescent="0.35">
      <c r="A157" s="15" t="s">
        <v>2970</v>
      </c>
      <c r="B157" s="15" t="s">
        <v>1771</v>
      </c>
      <c r="C157" s="15" t="s">
        <v>1772</v>
      </c>
      <c r="D157" s="15" t="s">
        <v>46</v>
      </c>
      <c r="E157" s="15" t="s">
        <v>34</v>
      </c>
      <c r="F157" s="15" t="s">
        <v>2500</v>
      </c>
      <c r="G157" s="16">
        <v>45657</v>
      </c>
      <c r="H157" s="15">
        <f t="shared" si="4"/>
        <v>2024</v>
      </c>
      <c r="I157" s="17">
        <v>550000</v>
      </c>
      <c r="J157" s="17">
        <v>550000</v>
      </c>
      <c r="K157" s="17">
        <f t="shared" si="5"/>
        <v>0</v>
      </c>
      <c r="L157" s="15" t="s">
        <v>2553</v>
      </c>
      <c r="M157" s="15" t="s">
        <v>2502</v>
      </c>
      <c r="N157" s="15" t="s">
        <v>2971</v>
      </c>
      <c r="O157" s="15" t="s">
        <v>2834</v>
      </c>
      <c r="P157" s="15" t="s">
        <v>2835</v>
      </c>
      <c r="Q157" s="15" t="s">
        <v>2836</v>
      </c>
      <c r="R157" s="15">
        <v>8</v>
      </c>
      <c r="S157" s="15" t="s">
        <v>1773</v>
      </c>
      <c r="T157" s="15"/>
    </row>
    <row r="158" spans="1:20" x14ac:dyDescent="0.35">
      <c r="A158" s="15" t="s">
        <v>2972</v>
      </c>
      <c r="B158" s="15" t="s">
        <v>1780</v>
      </c>
      <c r="C158" s="15" t="s">
        <v>1781</v>
      </c>
      <c r="D158" s="15" t="s">
        <v>46</v>
      </c>
      <c r="E158" s="15" t="s">
        <v>34</v>
      </c>
      <c r="F158" s="15" t="s">
        <v>2523</v>
      </c>
      <c r="G158" s="16">
        <v>45659</v>
      </c>
      <c r="H158" s="15">
        <f t="shared" si="4"/>
        <v>2025</v>
      </c>
      <c r="I158" s="17">
        <v>1000000</v>
      </c>
      <c r="J158" s="17">
        <v>1000000</v>
      </c>
      <c r="K158" s="17">
        <f t="shared" si="5"/>
        <v>0</v>
      </c>
      <c r="L158" s="15" t="s">
        <v>2553</v>
      </c>
      <c r="M158" s="15" t="s">
        <v>2502</v>
      </c>
      <c r="N158" s="15" t="s">
        <v>2973</v>
      </c>
      <c r="O158" s="15" t="s">
        <v>2834</v>
      </c>
      <c r="P158" s="15" t="s">
        <v>2974</v>
      </c>
      <c r="Q158" s="15" t="s">
        <v>2836</v>
      </c>
      <c r="R158" s="15">
        <v>9</v>
      </c>
      <c r="S158" s="15" t="s">
        <v>1783</v>
      </c>
      <c r="T158" s="15"/>
    </row>
    <row r="159" spans="1:20" x14ac:dyDescent="0.35">
      <c r="A159" s="15" t="s">
        <v>2975</v>
      </c>
      <c r="B159" s="15" t="s">
        <v>1798</v>
      </c>
      <c r="C159" s="15" t="s">
        <v>2976</v>
      </c>
      <c r="D159" s="15" t="s">
        <v>47</v>
      </c>
      <c r="E159" s="15" t="s">
        <v>26</v>
      </c>
      <c r="F159" s="15" t="s">
        <v>2977</v>
      </c>
      <c r="G159" s="16">
        <v>45677</v>
      </c>
      <c r="H159" s="15">
        <f t="shared" si="4"/>
        <v>2025</v>
      </c>
      <c r="I159" s="17">
        <v>250000000</v>
      </c>
      <c r="J159" s="17">
        <v>250000000</v>
      </c>
      <c r="K159" s="17">
        <f t="shared" si="5"/>
        <v>0</v>
      </c>
      <c r="L159" s="15" t="s">
        <v>2553</v>
      </c>
      <c r="M159" s="15" t="s">
        <v>2502</v>
      </c>
      <c r="N159" s="15"/>
      <c r="O159" s="15"/>
      <c r="P159" s="15" t="s">
        <v>2978</v>
      </c>
      <c r="Q159" s="15" t="s">
        <v>2979</v>
      </c>
      <c r="R159" s="15">
        <v>2</v>
      </c>
      <c r="S159" s="15" t="s">
        <v>1801</v>
      </c>
      <c r="T159" s="15"/>
    </row>
    <row r="160" spans="1:20" x14ac:dyDescent="0.35">
      <c r="A160" s="15" t="s">
        <v>2980</v>
      </c>
      <c r="B160" s="15" t="s">
        <v>1812</v>
      </c>
      <c r="C160" s="15" t="s">
        <v>1813</v>
      </c>
      <c r="D160" s="15" t="s">
        <v>46</v>
      </c>
      <c r="E160" s="15" t="s">
        <v>32</v>
      </c>
      <c r="F160" s="15" t="s">
        <v>2746</v>
      </c>
      <c r="G160" s="16">
        <v>45680</v>
      </c>
      <c r="H160" s="15">
        <f t="shared" si="4"/>
        <v>2025</v>
      </c>
      <c r="I160" s="17">
        <v>3800000</v>
      </c>
      <c r="J160" s="17">
        <v>3800000</v>
      </c>
      <c r="K160" s="17">
        <f t="shared" si="5"/>
        <v>0</v>
      </c>
      <c r="L160" s="15" t="s">
        <v>2553</v>
      </c>
      <c r="M160" s="15" t="s">
        <v>2981</v>
      </c>
      <c r="N160" s="15" t="s">
        <v>2982</v>
      </c>
      <c r="O160" s="15" t="s">
        <v>2839</v>
      </c>
      <c r="P160" s="15" t="s">
        <v>2983</v>
      </c>
      <c r="Q160" s="15" t="s">
        <v>2840</v>
      </c>
      <c r="R160" s="15">
        <v>35</v>
      </c>
      <c r="S160" s="15" t="s">
        <v>1815</v>
      </c>
      <c r="T160" s="15"/>
    </row>
    <row r="161" spans="1:20" x14ac:dyDescent="0.35">
      <c r="A161" s="15" t="s">
        <v>2984</v>
      </c>
      <c r="B161" s="15" t="s">
        <v>1864</v>
      </c>
      <c r="C161" s="15" t="s">
        <v>1865</v>
      </c>
      <c r="D161" s="15" t="s">
        <v>46</v>
      </c>
      <c r="E161" s="15" t="s">
        <v>33</v>
      </c>
      <c r="F161" s="15" t="s">
        <v>2946</v>
      </c>
      <c r="G161" s="16">
        <v>45692</v>
      </c>
      <c r="H161" s="15">
        <f t="shared" si="4"/>
        <v>2025</v>
      </c>
      <c r="I161" s="17">
        <v>2000000</v>
      </c>
      <c r="J161" s="17">
        <v>2000000</v>
      </c>
      <c r="K161" s="17">
        <f t="shared" si="5"/>
        <v>0</v>
      </c>
      <c r="L161" s="15" t="s">
        <v>2553</v>
      </c>
      <c r="M161" s="15" t="s">
        <v>2502</v>
      </c>
      <c r="N161" s="15" t="s">
        <v>2718</v>
      </c>
      <c r="O161" s="15" t="s">
        <v>2985</v>
      </c>
      <c r="P161" s="15" t="s">
        <v>2816</v>
      </c>
      <c r="Q161" s="15" t="s">
        <v>2948</v>
      </c>
      <c r="R161" s="15">
        <v>5</v>
      </c>
      <c r="S161" s="15" t="s">
        <v>1866</v>
      </c>
      <c r="T161" s="15"/>
    </row>
    <row r="162" spans="1:20" x14ac:dyDescent="0.35">
      <c r="A162" s="15" t="s">
        <v>2986</v>
      </c>
      <c r="B162" s="15" t="s">
        <v>2987</v>
      </c>
      <c r="C162" s="15" t="s">
        <v>2988</v>
      </c>
      <c r="D162" s="15" t="s">
        <v>46</v>
      </c>
      <c r="E162" s="15" t="s">
        <v>34</v>
      </c>
      <c r="F162" s="15" t="s">
        <v>2500</v>
      </c>
      <c r="G162" s="16">
        <v>45693</v>
      </c>
      <c r="H162" s="15">
        <f t="shared" si="4"/>
        <v>2025</v>
      </c>
      <c r="I162" s="17">
        <v>594000</v>
      </c>
      <c r="J162" s="17">
        <v>75000</v>
      </c>
      <c r="K162" s="17">
        <f t="shared" si="5"/>
        <v>519000</v>
      </c>
      <c r="L162" s="15" t="s">
        <v>2553</v>
      </c>
      <c r="M162" s="15" t="s">
        <v>2601</v>
      </c>
      <c r="N162" s="15" t="s">
        <v>2989</v>
      </c>
      <c r="O162" s="15" t="s">
        <v>2963</v>
      </c>
      <c r="P162" s="15" t="s">
        <v>2990</v>
      </c>
      <c r="Q162" s="15" t="s">
        <v>2836</v>
      </c>
      <c r="R162" s="15">
        <v>10</v>
      </c>
      <c r="S162" s="15" t="s">
        <v>1868</v>
      </c>
      <c r="T162" s="15"/>
    </row>
    <row r="163" spans="1:20" x14ac:dyDescent="0.35">
      <c r="A163" s="15" t="s">
        <v>2991</v>
      </c>
      <c r="B163" s="15" t="s">
        <v>2992</v>
      </c>
      <c r="C163" s="15" t="s">
        <v>2993</v>
      </c>
      <c r="D163" s="15" t="s">
        <v>46</v>
      </c>
      <c r="E163" s="15" t="s">
        <v>33</v>
      </c>
      <c r="F163" s="15" t="s">
        <v>2994</v>
      </c>
      <c r="G163" s="16">
        <v>45694</v>
      </c>
      <c r="H163" s="15">
        <f t="shared" si="4"/>
        <v>2025</v>
      </c>
      <c r="I163" s="17">
        <v>3800000</v>
      </c>
      <c r="J163" s="17">
        <v>3800000</v>
      </c>
      <c r="K163" s="17">
        <f t="shared" si="5"/>
        <v>0</v>
      </c>
      <c r="L163" s="15" t="s">
        <v>2553</v>
      </c>
      <c r="M163" s="15" t="s">
        <v>2502</v>
      </c>
      <c r="N163" s="15" t="s">
        <v>2803</v>
      </c>
      <c r="O163" s="15" t="s">
        <v>2985</v>
      </c>
      <c r="P163" s="15" t="s">
        <v>2995</v>
      </c>
      <c r="Q163" s="15" t="s">
        <v>2948</v>
      </c>
      <c r="R163" s="15">
        <v>6</v>
      </c>
      <c r="S163" s="15" t="s">
        <v>1873</v>
      </c>
      <c r="T163" s="15"/>
    </row>
    <row r="164" spans="1:20" x14ac:dyDescent="0.35">
      <c r="A164" s="15" t="s">
        <v>2996</v>
      </c>
      <c r="B164" s="15" t="s">
        <v>1405</v>
      </c>
      <c r="C164" s="15" t="s">
        <v>1406</v>
      </c>
      <c r="D164" s="15" t="s">
        <v>46</v>
      </c>
      <c r="E164" s="15" t="s">
        <v>27</v>
      </c>
      <c r="F164" s="15" t="s">
        <v>2732</v>
      </c>
      <c r="G164" s="16">
        <v>45699</v>
      </c>
      <c r="H164" s="15">
        <f t="shared" si="4"/>
        <v>2025</v>
      </c>
      <c r="I164" s="17">
        <v>2500000</v>
      </c>
      <c r="J164" s="17">
        <v>2500000</v>
      </c>
      <c r="K164" s="17">
        <f t="shared" si="5"/>
        <v>0</v>
      </c>
      <c r="L164" s="15" t="s">
        <v>2553</v>
      </c>
      <c r="M164" s="15" t="s">
        <v>2502</v>
      </c>
      <c r="N164" s="15" t="s">
        <v>2805</v>
      </c>
      <c r="O164" s="15" t="s">
        <v>2907</v>
      </c>
      <c r="P164" s="15" t="s">
        <v>2898</v>
      </c>
      <c r="Q164" s="15" t="s">
        <v>2908</v>
      </c>
      <c r="R164" s="15">
        <v>9</v>
      </c>
      <c r="S164" s="15" t="s">
        <v>1883</v>
      </c>
      <c r="T164" s="15"/>
    </row>
    <row r="165" spans="1:20" x14ac:dyDescent="0.35">
      <c r="A165" s="15" t="s">
        <v>2997</v>
      </c>
      <c r="B165" s="15" t="s">
        <v>1410</v>
      </c>
      <c r="C165" s="15" t="s">
        <v>1411</v>
      </c>
      <c r="D165" s="15" t="s">
        <v>47</v>
      </c>
      <c r="E165" s="15" t="s">
        <v>40</v>
      </c>
      <c r="F165" s="15" t="s">
        <v>2998</v>
      </c>
      <c r="G165" s="16">
        <v>45699</v>
      </c>
      <c r="H165" s="15">
        <f t="shared" si="4"/>
        <v>2025</v>
      </c>
      <c r="I165" s="17">
        <v>90000000</v>
      </c>
      <c r="J165" s="17">
        <v>80800000</v>
      </c>
      <c r="K165" s="17">
        <f t="shared" si="5"/>
        <v>9200000</v>
      </c>
      <c r="L165" s="15" t="s">
        <v>2584</v>
      </c>
      <c r="M165" s="15" t="s">
        <v>2601</v>
      </c>
      <c r="N165" s="15"/>
      <c r="O165" s="15"/>
      <c r="P165" s="15" t="s">
        <v>2999</v>
      </c>
      <c r="Q165" s="15" t="s">
        <v>2925</v>
      </c>
      <c r="R165" s="15">
        <v>7</v>
      </c>
      <c r="S165" s="15" t="s">
        <v>1883</v>
      </c>
      <c r="T165" s="15"/>
    </row>
    <row r="166" spans="1:20" x14ac:dyDescent="0.35">
      <c r="A166" s="15" t="s">
        <v>3000</v>
      </c>
      <c r="B166" s="15" t="s">
        <v>1894</v>
      </c>
      <c r="C166" s="15" t="s">
        <v>1895</v>
      </c>
      <c r="D166" s="15" t="s">
        <v>46</v>
      </c>
      <c r="E166" s="15" t="s">
        <v>34</v>
      </c>
      <c r="F166" s="15" t="s">
        <v>2500</v>
      </c>
      <c r="G166" s="16">
        <v>45702</v>
      </c>
      <c r="H166" s="15">
        <f t="shared" si="4"/>
        <v>2025</v>
      </c>
      <c r="I166" s="17">
        <v>1050000</v>
      </c>
      <c r="J166" s="17">
        <v>1050000</v>
      </c>
      <c r="K166" s="17">
        <f t="shared" si="5"/>
        <v>0</v>
      </c>
      <c r="L166" s="15" t="s">
        <v>2553</v>
      </c>
      <c r="M166" s="15" t="s">
        <v>2502</v>
      </c>
      <c r="N166" s="15" t="s">
        <v>3001</v>
      </c>
      <c r="O166" s="15" t="s">
        <v>2834</v>
      </c>
      <c r="P166" s="15" t="s">
        <v>3002</v>
      </c>
      <c r="Q166" s="15" t="s">
        <v>2836</v>
      </c>
      <c r="R166" s="15">
        <v>11</v>
      </c>
      <c r="S166" s="15" t="s">
        <v>1897</v>
      </c>
      <c r="T166" s="15"/>
    </row>
    <row r="167" spans="1:20" x14ac:dyDescent="0.35">
      <c r="A167" s="15" t="s">
        <v>3003</v>
      </c>
      <c r="B167" s="15" t="s">
        <v>620</v>
      </c>
      <c r="C167" s="15" t="s">
        <v>621</v>
      </c>
      <c r="D167" s="15" t="s">
        <v>46</v>
      </c>
      <c r="E167" s="15" t="s">
        <v>33</v>
      </c>
      <c r="F167" s="15" t="s">
        <v>2732</v>
      </c>
      <c r="G167" s="16">
        <v>45706</v>
      </c>
      <c r="H167" s="15">
        <f t="shared" si="4"/>
        <v>2025</v>
      </c>
      <c r="I167" s="17">
        <v>3800000</v>
      </c>
      <c r="J167" s="17">
        <v>3800000</v>
      </c>
      <c r="K167" s="17">
        <f t="shared" si="5"/>
        <v>0</v>
      </c>
      <c r="L167" s="15" t="s">
        <v>2553</v>
      </c>
      <c r="M167" s="15" t="s">
        <v>2502</v>
      </c>
      <c r="N167" s="15" t="s">
        <v>2747</v>
      </c>
      <c r="O167" s="15" t="s">
        <v>2606</v>
      </c>
      <c r="P167" s="15" t="s">
        <v>2675</v>
      </c>
      <c r="Q167" s="15" t="s">
        <v>2948</v>
      </c>
      <c r="R167" s="15">
        <v>7</v>
      </c>
      <c r="S167" s="15" t="s">
        <v>1901</v>
      </c>
      <c r="T167" s="15"/>
    </row>
    <row r="168" spans="1:20" x14ac:dyDescent="0.35">
      <c r="A168" s="15" t="s">
        <v>3004</v>
      </c>
      <c r="B168" s="15" t="s">
        <v>1908</v>
      </c>
      <c r="C168" s="15" t="s">
        <v>1909</v>
      </c>
      <c r="D168" s="15" t="s">
        <v>46</v>
      </c>
      <c r="E168" s="15" t="s">
        <v>3005</v>
      </c>
      <c r="F168" s="15" t="s">
        <v>2994</v>
      </c>
      <c r="G168" s="16">
        <v>45713</v>
      </c>
      <c r="H168" s="15">
        <f t="shared" si="4"/>
        <v>2025</v>
      </c>
      <c r="I168" s="17">
        <v>3800000</v>
      </c>
      <c r="J168" s="17">
        <v>3800000</v>
      </c>
      <c r="K168" s="17">
        <f t="shared" si="5"/>
        <v>0</v>
      </c>
      <c r="L168" s="15" t="s">
        <v>2553</v>
      </c>
      <c r="M168" s="15" t="s">
        <v>2502</v>
      </c>
      <c r="N168" s="15" t="s">
        <v>3006</v>
      </c>
      <c r="O168" s="15" t="s">
        <v>3007</v>
      </c>
      <c r="P168" s="15" t="s">
        <v>3008</v>
      </c>
      <c r="Q168" s="15" t="s">
        <v>3009</v>
      </c>
      <c r="R168" s="15">
        <v>2</v>
      </c>
      <c r="S168" s="15" t="s">
        <v>1905</v>
      </c>
      <c r="T168" s="15"/>
    </row>
    <row r="169" spans="1:20" x14ac:dyDescent="0.35">
      <c r="A169" s="15" t="s">
        <v>3010</v>
      </c>
      <c r="B169" s="15" t="s">
        <v>196</v>
      </c>
      <c r="C169" s="15" t="s">
        <v>3011</v>
      </c>
      <c r="D169" s="15" t="s">
        <v>46</v>
      </c>
      <c r="E169" s="15" t="s">
        <v>31</v>
      </c>
      <c r="F169" s="15" t="s">
        <v>2717</v>
      </c>
      <c r="G169" s="16">
        <v>45716</v>
      </c>
      <c r="H169" s="15">
        <f t="shared" si="4"/>
        <v>2025</v>
      </c>
      <c r="I169" s="17">
        <v>3000000</v>
      </c>
      <c r="J169" s="17">
        <v>3000000</v>
      </c>
      <c r="K169" s="17">
        <f t="shared" si="5"/>
        <v>0</v>
      </c>
      <c r="L169" s="15" t="s">
        <v>2553</v>
      </c>
      <c r="M169" s="15" t="s">
        <v>2502</v>
      </c>
      <c r="N169" s="15" t="s">
        <v>3012</v>
      </c>
      <c r="O169" s="15" t="s">
        <v>2839</v>
      </c>
      <c r="P169" s="15" t="s">
        <v>1800</v>
      </c>
      <c r="Q169" s="15" t="s">
        <v>2647</v>
      </c>
      <c r="R169" s="15">
        <v>53</v>
      </c>
      <c r="S169" s="15" t="s">
        <v>1920</v>
      </c>
      <c r="T169" s="15"/>
    </row>
    <row r="170" spans="1:20" x14ac:dyDescent="0.35">
      <c r="A170" s="15" t="s">
        <v>3013</v>
      </c>
      <c r="B170" s="15" t="s">
        <v>1914</v>
      </c>
      <c r="C170" s="15" t="s">
        <v>1915</v>
      </c>
      <c r="D170" s="15" t="s">
        <v>46</v>
      </c>
      <c r="E170" s="15" t="s">
        <v>33</v>
      </c>
      <c r="F170" s="15" t="s">
        <v>2732</v>
      </c>
      <c r="G170" s="16">
        <v>45716</v>
      </c>
      <c r="H170" s="15">
        <f t="shared" si="4"/>
        <v>2025</v>
      </c>
      <c r="I170" s="17">
        <v>3800000</v>
      </c>
      <c r="J170" s="17">
        <v>3800000</v>
      </c>
      <c r="K170" s="17">
        <f t="shared" si="5"/>
        <v>0</v>
      </c>
      <c r="L170" s="15" t="s">
        <v>2553</v>
      </c>
      <c r="M170" s="15" t="s">
        <v>2502</v>
      </c>
      <c r="N170" s="15" t="s">
        <v>2801</v>
      </c>
      <c r="O170" s="15" t="s">
        <v>2606</v>
      </c>
      <c r="P170" s="15" t="s">
        <v>2947</v>
      </c>
      <c r="Q170" s="15" t="s">
        <v>2948</v>
      </c>
      <c r="R170" s="15">
        <v>8</v>
      </c>
      <c r="S170" s="15" t="s">
        <v>1920</v>
      </c>
      <c r="T170" s="15"/>
    </row>
    <row r="171" spans="1:20" x14ac:dyDescent="0.35">
      <c r="A171" s="15" t="s">
        <v>3014</v>
      </c>
      <c r="B171" s="15" t="s">
        <v>1917</v>
      </c>
      <c r="C171" s="15" t="s">
        <v>1918</v>
      </c>
      <c r="D171" s="15" t="s">
        <v>46</v>
      </c>
      <c r="E171" s="15" t="s">
        <v>33</v>
      </c>
      <c r="F171" s="15" t="s">
        <v>2994</v>
      </c>
      <c r="G171" s="16">
        <v>45716</v>
      </c>
      <c r="H171" s="15">
        <f t="shared" si="4"/>
        <v>2025</v>
      </c>
      <c r="I171" s="17">
        <v>3800000</v>
      </c>
      <c r="J171" s="17">
        <v>3800000</v>
      </c>
      <c r="K171" s="17">
        <f t="shared" si="5"/>
        <v>0</v>
      </c>
      <c r="L171" s="15" t="s">
        <v>2553</v>
      </c>
      <c r="M171" s="15" t="s">
        <v>2502</v>
      </c>
      <c r="N171" s="15" t="s">
        <v>2765</v>
      </c>
      <c r="O171" s="15" t="s">
        <v>2606</v>
      </c>
      <c r="P171" s="15" t="s">
        <v>2947</v>
      </c>
      <c r="Q171" s="15" t="s">
        <v>2948</v>
      </c>
      <c r="R171" s="15">
        <v>9</v>
      </c>
      <c r="S171" s="15" t="s">
        <v>1920</v>
      </c>
      <c r="T171" s="15"/>
    </row>
    <row r="172" spans="1:20" x14ac:dyDescent="0.35">
      <c r="A172" s="15" t="s">
        <v>3015</v>
      </c>
      <c r="B172" s="15" t="s">
        <v>1939</v>
      </c>
      <c r="C172" s="15" t="s">
        <v>3016</v>
      </c>
      <c r="D172" s="15" t="s">
        <v>46</v>
      </c>
      <c r="E172" s="15" t="s">
        <v>34</v>
      </c>
      <c r="F172" s="15" t="s">
        <v>2500</v>
      </c>
      <c r="G172" s="16">
        <v>45719</v>
      </c>
      <c r="H172" s="15">
        <f t="shared" si="4"/>
        <v>2025</v>
      </c>
      <c r="I172" s="17">
        <v>1050000</v>
      </c>
      <c r="J172" s="17">
        <v>1050000</v>
      </c>
      <c r="K172" s="17">
        <f t="shared" si="5"/>
        <v>0</v>
      </c>
      <c r="L172" s="15" t="s">
        <v>2553</v>
      </c>
      <c r="M172" s="15" t="s">
        <v>2502</v>
      </c>
      <c r="N172" s="15" t="s">
        <v>3006</v>
      </c>
      <c r="O172" s="15" t="s">
        <v>2963</v>
      </c>
      <c r="P172" s="15" t="s">
        <v>3017</v>
      </c>
      <c r="Q172" s="15" t="s">
        <v>2836</v>
      </c>
      <c r="R172" s="15">
        <v>12</v>
      </c>
      <c r="S172" s="15" t="s">
        <v>1937</v>
      </c>
      <c r="T172" s="15"/>
    </row>
    <row r="173" spans="1:20" x14ac:dyDescent="0.35">
      <c r="A173" s="15" t="s">
        <v>3018</v>
      </c>
      <c r="B173" s="15" t="s">
        <v>3019</v>
      </c>
      <c r="C173" s="15" t="s">
        <v>3020</v>
      </c>
      <c r="D173" s="15" t="s">
        <v>47</v>
      </c>
      <c r="E173" s="15" t="s">
        <v>40</v>
      </c>
      <c r="F173" s="15" t="s">
        <v>3021</v>
      </c>
      <c r="G173" s="16">
        <v>45722</v>
      </c>
      <c r="H173" s="15">
        <f t="shared" si="4"/>
        <v>2025</v>
      </c>
      <c r="I173" s="17">
        <v>100000000</v>
      </c>
      <c r="J173" s="17">
        <v>100000000</v>
      </c>
      <c r="K173" s="17">
        <f t="shared" si="5"/>
        <v>0</v>
      </c>
      <c r="L173" s="15" t="s">
        <v>2546</v>
      </c>
      <c r="M173" s="15" t="s">
        <v>2502</v>
      </c>
      <c r="N173" s="15"/>
      <c r="O173" s="15"/>
      <c r="P173" s="15" t="s">
        <v>1800</v>
      </c>
      <c r="Q173" s="15" t="s">
        <v>2925</v>
      </c>
      <c r="R173" s="15">
        <v>8</v>
      </c>
      <c r="S173" s="15" t="s">
        <v>1950</v>
      </c>
      <c r="T173" s="15"/>
    </row>
    <row r="174" spans="1:20" x14ac:dyDescent="0.35">
      <c r="A174" s="15" t="s">
        <v>3022</v>
      </c>
      <c r="B174" s="15" t="s">
        <v>1988</v>
      </c>
      <c r="C174" s="15" t="s">
        <v>1989</v>
      </c>
      <c r="D174" s="15" t="s">
        <v>46</v>
      </c>
      <c r="E174" s="15" t="s">
        <v>3005</v>
      </c>
      <c r="F174" s="15" t="s">
        <v>2994</v>
      </c>
      <c r="G174" s="16">
        <v>45728</v>
      </c>
      <c r="H174" s="15">
        <f t="shared" si="4"/>
        <v>2025</v>
      </c>
      <c r="I174" s="17">
        <v>3400000</v>
      </c>
      <c r="J174" s="17">
        <v>3400000</v>
      </c>
      <c r="K174" s="17">
        <f t="shared" si="5"/>
        <v>0</v>
      </c>
      <c r="L174" s="15" t="s">
        <v>2553</v>
      </c>
      <c r="M174" s="15" t="s">
        <v>2502</v>
      </c>
      <c r="N174" s="15" t="s">
        <v>3023</v>
      </c>
      <c r="O174" s="15" t="s">
        <v>3007</v>
      </c>
      <c r="P174" s="15" t="s">
        <v>3024</v>
      </c>
      <c r="Q174" s="15" t="s">
        <v>3009</v>
      </c>
      <c r="R174" s="15">
        <v>4</v>
      </c>
      <c r="S174" s="15" t="s">
        <v>3025</v>
      </c>
      <c r="T174" s="15"/>
    </row>
    <row r="175" spans="1:20" x14ac:dyDescent="0.35">
      <c r="A175" s="15" t="s">
        <v>3026</v>
      </c>
      <c r="B175" s="15" t="s">
        <v>3027</v>
      </c>
      <c r="C175" s="15" t="s">
        <v>3028</v>
      </c>
      <c r="D175" s="15" t="s">
        <v>46</v>
      </c>
      <c r="E175" s="15" t="s">
        <v>3005</v>
      </c>
      <c r="F175" s="15" t="s">
        <v>2946</v>
      </c>
      <c r="G175" s="16">
        <v>45728</v>
      </c>
      <c r="H175" s="15">
        <f t="shared" si="4"/>
        <v>2025</v>
      </c>
      <c r="I175" s="17">
        <v>1680000</v>
      </c>
      <c r="J175" s="17">
        <v>1340000</v>
      </c>
      <c r="K175" s="17">
        <f t="shared" si="5"/>
        <v>340000</v>
      </c>
      <c r="L175" s="15" t="s">
        <v>2553</v>
      </c>
      <c r="M175" s="15" t="s">
        <v>2601</v>
      </c>
      <c r="N175" s="15" t="s">
        <v>2743</v>
      </c>
      <c r="O175" s="15" t="s">
        <v>3007</v>
      </c>
      <c r="P175" s="15" t="s">
        <v>3029</v>
      </c>
      <c r="Q175" s="15" t="s">
        <v>3009</v>
      </c>
      <c r="R175" s="15">
        <v>3</v>
      </c>
      <c r="S175" s="15" t="s">
        <v>3025</v>
      </c>
      <c r="T175" s="15"/>
    </row>
    <row r="176" spans="1:20" x14ac:dyDescent="0.35">
      <c r="A176" s="15" t="s">
        <v>3030</v>
      </c>
      <c r="B176" s="15" t="s">
        <v>1969</v>
      </c>
      <c r="C176" s="15" t="s">
        <v>1970</v>
      </c>
      <c r="D176" s="15" t="s">
        <v>46</v>
      </c>
      <c r="E176" s="15" t="s">
        <v>34</v>
      </c>
      <c r="F176" s="15" t="s">
        <v>2523</v>
      </c>
      <c r="G176" s="16">
        <v>45734</v>
      </c>
      <c r="H176" s="15">
        <f t="shared" si="4"/>
        <v>2025</v>
      </c>
      <c r="I176" s="17">
        <v>2100000</v>
      </c>
      <c r="J176" s="17">
        <v>2100000</v>
      </c>
      <c r="K176" s="17">
        <f t="shared" si="5"/>
        <v>0</v>
      </c>
      <c r="L176" s="15" t="s">
        <v>2553</v>
      </c>
      <c r="M176" s="15" t="s">
        <v>2502</v>
      </c>
      <c r="N176" s="15" t="s">
        <v>2718</v>
      </c>
      <c r="O176" s="15" t="s">
        <v>2963</v>
      </c>
      <c r="P176" s="15" t="s">
        <v>2559</v>
      </c>
      <c r="Q176" s="15" t="s">
        <v>2836</v>
      </c>
      <c r="R176" s="15">
        <v>13</v>
      </c>
      <c r="S176" s="15" t="s">
        <v>1971</v>
      </c>
      <c r="T176" s="15"/>
    </row>
    <row r="177" spans="1:20" x14ac:dyDescent="0.35">
      <c r="A177" s="15" t="s">
        <v>3031</v>
      </c>
      <c r="B177" s="15" t="s">
        <v>1984</v>
      </c>
      <c r="C177" s="15" t="s">
        <v>3032</v>
      </c>
      <c r="D177" s="15" t="s">
        <v>47</v>
      </c>
      <c r="E177" s="15" t="s">
        <v>40</v>
      </c>
      <c r="F177" s="15" t="s">
        <v>3033</v>
      </c>
      <c r="G177" s="16">
        <v>45737</v>
      </c>
      <c r="H177" s="15">
        <f t="shared" si="4"/>
        <v>2025</v>
      </c>
      <c r="I177" s="17">
        <v>98000000</v>
      </c>
      <c r="J177" s="17">
        <v>79725000</v>
      </c>
      <c r="K177" s="17">
        <f t="shared" si="5"/>
        <v>18275000</v>
      </c>
      <c r="L177" s="15" t="s">
        <v>2584</v>
      </c>
      <c r="M177" s="15" t="s">
        <v>2601</v>
      </c>
      <c r="N177" s="15"/>
      <c r="O177" s="15"/>
      <c r="P177" s="15" t="s">
        <v>3034</v>
      </c>
      <c r="Q177" s="15" t="s">
        <v>2925</v>
      </c>
      <c r="R177" s="15">
        <v>9</v>
      </c>
      <c r="S177" s="15" t="s">
        <v>1981</v>
      </c>
      <c r="T177" s="15"/>
    </row>
    <row r="178" spans="1:20" x14ac:dyDescent="0.35">
      <c r="A178" s="15" t="s">
        <v>3035</v>
      </c>
      <c r="B178" s="15" t="s">
        <v>1993</v>
      </c>
      <c r="C178" s="15" t="s">
        <v>1994</v>
      </c>
      <c r="D178" s="15" t="s">
        <v>46</v>
      </c>
      <c r="E178" s="15" t="s">
        <v>3005</v>
      </c>
      <c r="F178" s="15" t="s">
        <v>2946</v>
      </c>
      <c r="G178" s="16">
        <v>45740</v>
      </c>
      <c r="H178" s="15">
        <f t="shared" si="4"/>
        <v>2025</v>
      </c>
      <c r="I178" s="17">
        <v>1800000</v>
      </c>
      <c r="J178" s="17">
        <v>1800000</v>
      </c>
      <c r="K178" s="17">
        <f t="shared" si="5"/>
        <v>0</v>
      </c>
      <c r="L178" s="15" t="s">
        <v>2553</v>
      </c>
      <c r="M178" s="15" t="s">
        <v>2502</v>
      </c>
      <c r="N178" s="15" t="s">
        <v>2738</v>
      </c>
      <c r="O178" s="15" t="s">
        <v>2504</v>
      </c>
      <c r="P178" s="15" t="s">
        <v>3036</v>
      </c>
      <c r="Q178" s="15" t="s">
        <v>3009</v>
      </c>
      <c r="R178" s="15">
        <v>5</v>
      </c>
      <c r="S178" s="15" t="s">
        <v>3037</v>
      </c>
      <c r="T178" s="15"/>
    </row>
    <row r="179" spans="1:20" x14ac:dyDescent="0.35">
      <c r="A179" s="15" t="s">
        <v>3038</v>
      </c>
      <c r="B179" s="15" t="s">
        <v>382</v>
      </c>
      <c r="C179" s="15" t="s">
        <v>497</v>
      </c>
      <c r="D179" s="15" t="s">
        <v>46</v>
      </c>
      <c r="E179" s="15" t="s">
        <v>3005</v>
      </c>
      <c r="F179" s="15" t="s">
        <v>2946</v>
      </c>
      <c r="G179" s="16">
        <v>45742</v>
      </c>
      <c r="H179" s="15">
        <f t="shared" si="4"/>
        <v>2025</v>
      </c>
      <c r="I179" s="17">
        <v>1800000</v>
      </c>
      <c r="J179" s="17">
        <v>1800000</v>
      </c>
      <c r="K179" s="17">
        <f t="shared" si="5"/>
        <v>0</v>
      </c>
      <c r="L179" s="15" t="s">
        <v>2553</v>
      </c>
      <c r="M179" s="15" t="s">
        <v>2502</v>
      </c>
      <c r="N179" s="15" t="s">
        <v>2741</v>
      </c>
      <c r="O179" s="15" t="s">
        <v>2927</v>
      </c>
      <c r="P179" s="15" t="s">
        <v>3039</v>
      </c>
      <c r="Q179" s="15" t="s">
        <v>3009</v>
      </c>
      <c r="R179" s="15">
        <v>6</v>
      </c>
      <c r="S179" s="15" t="s">
        <v>2002</v>
      </c>
      <c r="T179" s="15"/>
    </row>
    <row r="180" spans="1:20" x14ac:dyDescent="0.35">
      <c r="A180" s="15" t="s">
        <v>3040</v>
      </c>
      <c r="B180" s="15" t="s">
        <v>2017</v>
      </c>
      <c r="C180" s="15" t="s">
        <v>2018</v>
      </c>
      <c r="D180" s="15" t="s">
        <v>46</v>
      </c>
      <c r="E180" s="15" t="s">
        <v>33</v>
      </c>
      <c r="F180" s="15" t="s">
        <v>2994</v>
      </c>
      <c r="G180" s="16">
        <v>45745</v>
      </c>
      <c r="H180" s="15">
        <f t="shared" si="4"/>
        <v>2025</v>
      </c>
      <c r="I180" s="17">
        <v>3800000</v>
      </c>
      <c r="J180" s="17">
        <v>3800000</v>
      </c>
      <c r="K180" s="17">
        <f t="shared" si="5"/>
        <v>0</v>
      </c>
      <c r="L180" s="15" t="s">
        <v>2553</v>
      </c>
      <c r="M180" s="15" t="s">
        <v>2502</v>
      </c>
      <c r="N180" s="15" t="s">
        <v>3041</v>
      </c>
      <c r="O180" s="15" t="s">
        <v>2985</v>
      </c>
      <c r="P180" s="15" t="s">
        <v>3042</v>
      </c>
      <c r="Q180" s="15" t="s">
        <v>2948</v>
      </c>
      <c r="R180" s="15">
        <v>10</v>
      </c>
      <c r="S180" s="15" t="s">
        <v>2014</v>
      </c>
      <c r="T180" s="15"/>
    </row>
    <row r="181" spans="1:20" x14ac:dyDescent="0.35">
      <c r="A181" s="15" t="s">
        <v>3043</v>
      </c>
      <c r="B181" s="15" t="s">
        <v>2028</v>
      </c>
      <c r="C181" s="15" t="s">
        <v>3044</v>
      </c>
      <c r="D181" s="15" t="s">
        <v>46</v>
      </c>
      <c r="E181" s="15" t="s">
        <v>33</v>
      </c>
      <c r="F181" s="15" t="s">
        <v>2946</v>
      </c>
      <c r="G181" s="16">
        <v>45747</v>
      </c>
      <c r="H181" s="15">
        <f t="shared" si="4"/>
        <v>2025</v>
      </c>
      <c r="I181" s="17">
        <v>2000000</v>
      </c>
      <c r="J181" s="17">
        <v>1700000</v>
      </c>
      <c r="K181" s="17">
        <f t="shared" si="5"/>
        <v>300000</v>
      </c>
      <c r="L181" s="15" t="s">
        <v>2553</v>
      </c>
      <c r="M181" s="15" t="s">
        <v>2601</v>
      </c>
      <c r="N181" s="15" t="s">
        <v>3045</v>
      </c>
      <c r="O181" s="15" t="s">
        <v>2645</v>
      </c>
      <c r="P181" s="15" t="s">
        <v>3046</v>
      </c>
      <c r="Q181" s="15" t="s">
        <v>2948</v>
      </c>
      <c r="R181" s="15">
        <v>11</v>
      </c>
      <c r="S181" s="15" t="s">
        <v>2026</v>
      </c>
      <c r="T181" s="15"/>
    </row>
    <row r="182" spans="1:20" x14ac:dyDescent="0.35">
      <c r="A182" s="15" t="s">
        <v>3047</v>
      </c>
      <c r="B182" s="15" t="s">
        <v>2020</v>
      </c>
      <c r="C182" s="15" t="s">
        <v>3048</v>
      </c>
      <c r="D182" s="15" t="s">
        <v>46</v>
      </c>
      <c r="E182" s="15" t="s">
        <v>3005</v>
      </c>
      <c r="F182" s="15" t="s">
        <v>3049</v>
      </c>
      <c r="G182" s="16">
        <v>45747</v>
      </c>
      <c r="H182" s="15">
        <f t="shared" si="4"/>
        <v>2025</v>
      </c>
      <c r="I182" s="17">
        <v>10200000</v>
      </c>
      <c r="J182" s="17">
        <v>10200000</v>
      </c>
      <c r="K182" s="17">
        <f t="shared" si="5"/>
        <v>0</v>
      </c>
      <c r="L182" s="15" t="s">
        <v>3050</v>
      </c>
      <c r="M182" s="15" t="s">
        <v>2502</v>
      </c>
      <c r="N182" s="15" t="s">
        <v>3051</v>
      </c>
      <c r="O182" s="15" t="s">
        <v>2985</v>
      </c>
      <c r="P182" s="15" t="s">
        <v>3052</v>
      </c>
      <c r="Q182" s="15" t="s">
        <v>3009</v>
      </c>
      <c r="R182" s="15">
        <v>8</v>
      </c>
      <c r="S182" s="15" t="s">
        <v>2026</v>
      </c>
      <c r="T182" s="15"/>
    </row>
    <row r="183" spans="1:20" x14ac:dyDescent="0.35">
      <c r="A183" s="15" t="s">
        <v>3053</v>
      </c>
      <c r="B183" s="15" t="s">
        <v>1460</v>
      </c>
      <c r="C183" s="15" t="s">
        <v>1461</v>
      </c>
      <c r="D183" s="15" t="s">
        <v>46</v>
      </c>
      <c r="E183" s="15" t="s">
        <v>3005</v>
      </c>
      <c r="F183" s="15" t="s">
        <v>2994</v>
      </c>
      <c r="G183" s="16">
        <v>45747</v>
      </c>
      <c r="H183" s="15">
        <f t="shared" si="4"/>
        <v>2025</v>
      </c>
      <c r="I183" s="17">
        <v>3400000</v>
      </c>
      <c r="J183" s="17">
        <v>3400000</v>
      </c>
      <c r="K183" s="17">
        <f t="shared" si="5"/>
        <v>0</v>
      </c>
      <c r="L183" s="15" t="s">
        <v>3050</v>
      </c>
      <c r="M183" s="15" t="s">
        <v>2502</v>
      </c>
      <c r="N183" s="15" t="s">
        <v>3054</v>
      </c>
      <c r="O183" s="15" t="s">
        <v>2985</v>
      </c>
      <c r="P183" s="15" t="s">
        <v>3052</v>
      </c>
      <c r="Q183" s="15" t="s">
        <v>3009</v>
      </c>
      <c r="R183" s="15">
        <v>9</v>
      </c>
      <c r="S183" s="15" t="s">
        <v>2026</v>
      </c>
      <c r="T183" s="15"/>
    </row>
    <row r="184" spans="1:20" x14ac:dyDescent="0.35">
      <c r="A184" s="15" t="s">
        <v>3055</v>
      </c>
      <c r="B184" s="15" t="s">
        <v>2032</v>
      </c>
      <c r="C184" s="15" t="s">
        <v>3056</v>
      </c>
      <c r="D184" s="15" t="s">
        <v>46</v>
      </c>
      <c r="E184" s="15" t="s">
        <v>3005</v>
      </c>
      <c r="F184" s="15" t="s">
        <v>2946</v>
      </c>
      <c r="G184" s="16">
        <v>45747</v>
      </c>
      <c r="H184" s="15">
        <f t="shared" si="4"/>
        <v>2025</v>
      </c>
      <c r="I184" s="17">
        <v>1800000</v>
      </c>
      <c r="J184" s="17">
        <v>1800000</v>
      </c>
      <c r="K184" s="17">
        <f t="shared" si="5"/>
        <v>0</v>
      </c>
      <c r="L184" s="15" t="s">
        <v>2553</v>
      </c>
      <c r="M184" s="15" t="s">
        <v>2502</v>
      </c>
      <c r="N184" s="15" t="s">
        <v>3057</v>
      </c>
      <c r="O184" s="15" t="s">
        <v>2927</v>
      </c>
      <c r="P184" s="15" t="s">
        <v>3058</v>
      </c>
      <c r="Q184" s="15" t="s">
        <v>3009</v>
      </c>
      <c r="R184" s="15">
        <v>7</v>
      </c>
      <c r="S184" s="15" t="s">
        <v>2026</v>
      </c>
      <c r="T184" s="15"/>
    </row>
    <row r="185" spans="1:20" x14ac:dyDescent="0.35">
      <c r="A185" s="15" t="s">
        <v>3059</v>
      </c>
      <c r="B185" s="15" t="s">
        <v>2048</v>
      </c>
      <c r="C185" s="15" t="s">
        <v>3060</v>
      </c>
      <c r="D185" s="15" t="s">
        <v>47</v>
      </c>
      <c r="E185" s="15" t="s">
        <v>40</v>
      </c>
      <c r="F185" s="15" t="s">
        <v>3033</v>
      </c>
      <c r="G185" s="16">
        <v>45752</v>
      </c>
      <c r="H185" s="15">
        <f t="shared" si="4"/>
        <v>2025</v>
      </c>
      <c r="I185" s="17">
        <v>80000000</v>
      </c>
      <c r="J185" s="17">
        <v>53000000</v>
      </c>
      <c r="K185" s="17">
        <f t="shared" si="5"/>
        <v>27000000</v>
      </c>
      <c r="L185" s="15" t="s">
        <v>2584</v>
      </c>
      <c r="M185" s="15" t="s">
        <v>2601</v>
      </c>
      <c r="N185" s="15"/>
      <c r="O185" s="15"/>
      <c r="P185" s="15" t="s">
        <v>2966</v>
      </c>
      <c r="Q185" s="15" t="s">
        <v>2925</v>
      </c>
      <c r="R185" s="15">
        <v>10</v>
      </c>
      <c r="S185" s="15" t="s">
        <v>2050</v>
      </c>
      <c r="T185" s="15"/>
    </row>
    <row r="186" spans="1:20" x14ac:dyDescent="0.35">
      <c r="A186" s="15" t="s">
        <v>3061</v>
      </c>
      <c r="B186" s="15" t="s">
        <v>2070</v>
      </c>
      <c r="C186" s="15" t="s">
        <v>2071</v>
      </c>
      <c r="D186" s="15" t="s">
        <v>47</v>
      </c>
      <c r="E186" s="15" t="s">
        <v>40</v>
      </c>
      <c r="F186" s="15" t="s">
        <v>3033</v>
      </c>
      <c r="G186" s="16">
        <v>45759</v>
      </c>
      <c r="H186" s="15">
        <f t="shared" si="4"/>
        <v>2025</v>
      </c>
      <c r="I186" s="17">
        <v>85000000</v>
      </c>
      <c r="J186" s="17">
        <v>61100000</v>
      </c>
      <c r="K186" s="17">
        <f t="shared" si="5"/>
        <v>23900000</v>
      </c>
      <c r="L186" s="15" t="s">
        <v>2584</v>
      </c>
      <c r="M186" s="15" t="s">
        <v>2601</v>
      </c>
      <c r="N186" s="15"/>
      <c r="O186" s="15"/>
      <c r="P186" s="15" t="s">
        <v>1800</v>
      </c>
      <c r="Q186" s="15" t="s">
        <v>2925</v>
      </c>
      <c r="R186" s="15">
        <v>11</v>
      </c>
      <c r="S186" s="15" t="s">
        <v>2072</v>
      </c>
      <c r="T186" s="15"/>
    </row>
    <row r="187" spans="1:20" x14ac:dyDescent="0.35">
      <c r="A187" s="15" t="s">
        <v>3062</v>
      </c>
      <c r="B187" s="15" t="s">
        <v>2118</v>
      </c>
      <c r="C187" s="15" t="s">
        <v>2119</v>
      </c>
      <c r="D187" s="15" t="s">
        <v>46</v>
      </c>
      <c r="E187" s="15" t="s">
        <v>32</v>
      </c>
      <c r="F187" s="15" t="s">
        <v>2732</v>
      </c>
      <c r="G187" s="16">
        <v>45792</v>
      </c>
      <c r="H187" s="15">
        <f t="shared" si="4"/>
        <v>2025</v>
      </c>
      <c r="I187" s="17">
        <v>7500000</v>
      </c>
      <c r="J187" s="17">
        <v>7500000</v>
      </c>
      <c r="K187" s="17">
        <f t="shared" si="5"/>
        <v>0</v>
      </c>
      <c r="L187" s="15" t="s">
        <v>2553</v>
      </c>
      <c r="M187" s="15" t="s">
        <v>2502</v>
      </c>
      <c r="N187" s="15" t="s">
        <v>3063</v>
      </c>
      <c r="O187" s="15" t="s">
        <v>2853</v>
      </c>
      <c r="P187" s="15" t="s">
        <v>2513</v>
      </c>
      <c r="Q187" s="15" t="s">
        <v>2840</v>
      </c>
      <c r="R187" s="15">
        <v>36</v>
      </c>
      <c r="S187" s="15" t="s">
        <v>3064</v>
      </c>
      <c r="T187" s="15"/>
    </row>
    <row r="188" spans="1:20" x14ac:dyDescent="0.35">
      <c r="A188" s="15" t="s">
        <v>3065</v>
      </c>
      <c r="B188" s="15" t="s">
        <v>2158</v>
      </c>
      <c r="C188" s="15" t="s">
        <v>2414</v>
      </c>
      <c r="D188" s="15" t="s">
        <v>46</v>
      </c>
      <c r="E188" s="15" t="s">
        <v>29</v>
      </c>
      <c r="F188" s="15" t="s">
        <v>3066</v>
      </c>
      <c r="G188" s="16">
        <v>45819</v>
      </c>
      <c r="H188" s="15">
        <f t="shared" si="4"/>
        <v>2025</v>
      </c>
      <c r="I188" s="17">
        <v>4620000</v>
      </c>
      <c r="J188" s="17">
        <v>4620000</v>
      </c>
      <c r="K188" s="17">
        <f t="shared" si="5"/>
        <v>0</v>
      </c>
      <c r="L188" s="15" t="s">
        <v>2510</v>
      </c>
      <c r="M188" s="15" t="s">
        <v>2542</v>
      </c>
      <c r="N188" s="15" t="s">
        <v>3067</v>
      </c>
      <c r="O188" s="15" t="s">
        <v>3068</v>
      </c>
      <c r="P188" s="15" t="s">
        <v>2513</v>
      </c>
      <c r="Q188" s="15" t="s">
        <v>2505</v>
      </c>
      <c r="R188" s="15">
        <v>49</v>
      </c>
      <c r="S188" s="15" t="s">
        <v>2156</v>
      </c>
      <c r="T188" s="15"/>
    </row>
    <row r="189" spans="1:20" x14ac:dyDescent="0.35">
      <c r="A189" s="15" t="s">
        <v>3069</v>
      </c>
      <c r="B189" s="15" t="s">
        <v>3070</v>
      </c>
      <c r="C189" s="15" t="s">
        <v>3071</v>
      </c>
      <c r="D189" s="15" t="s">
        <v>46</v>
      </c>
      <c r="E189" s="15" t="s">
        <v>27</v>
      </c>
      <c r="F189" s="15" t="s">
        <v>2746</v>
      </c>
      <c r="G189" s="16">
        <v>45835</v>
      </c>
      <c r="H189" s="15">
        <f t="shared" si="4"/>
        <v>2025</v>
      </c>
      <c r="I189" s="17">
        <v>1350000</v>
      </c>
      <c r="J189" s="17">
        <v>1350000</v>
      </c>
      <c r="K189" s="17">
        <f t="shared" si="5"/>
        <v>0</v>
      </c>
      <c r="L189" s="15" t="s">
        <v>2553</v>
      </c>
      <c r="M189" s="15" t="s">
        <v>2502</v>
      </c>
      <c r="N189" s="15" t="s">
        <v>2741</v>
      </c>
      <c r="O189" s="15" t="s">
        <v>2907</v>
      </c>
      <c r="P189" s="15" t="s">
        <v>1800</v>
      </c>
      <c r="Q189" s="15" t="s">
        <v>2908</v>
      </c>
      <c r="R189" s="15">
        <v>10</v>
      </c>
      <c r="S189" s="15" t="s">
        <v>3072</v>
      </c>
      <c r="T189" s="15"/>
    </row>
    <row r="190" spans="1:20" x14ac:dyDescent="0.35">
      <c r="A190" s="15" t="s">
        <v>3073</v>
      </c>
      <c r="B190" s="15" t="s">
        <v>2198</v>
      </c>
      <c r="C190" s="15" t="s">
        <v>2199</v>
      </c>
      <c r="D190" s="15" t="s">
        <v>46</v>
      </c>
      <c r="E190" s="15" t="s">
        <v>3005</v>
      </c>
      <c r="F190" s="15" t="s">
        <v>2946</v>
      </c>
      <c r="G190" s="16">
        <v>45854</v>
      </c>
      <c r="H190" s="15">
        <f t="shared" si="4"/>
        <v>2025</v>
      </c>
      <c r="I190" s="17">
        <v>2500000</v>
      </c>
      <c r="J190" s="17">
        <v>2500000</v>
      </c>
      <c r="K190" s="17">
        <f t="shared" si="5"/>
        <v>0</v>
      </c>
      <c r="L190" s="15" t="s">
        <v>3050</v>
      </c>
      <c r="M190" s="15" t="s">
        <v>2502</v>
      </c>
      <c r="N190" s="15"/>
      <c r="O190" s="15" t="s">
        <v>3074</v>
      </c>
      <c r="P190" s="15" t="s">
        <v>3024</v>
      </c>
      <c r="Q190" s="15" t="s">
        <v>3009</v>
      </c>
      <c r="R190" s="15">
        <v>10</v>
      </c>
      <c r="S190" s="15" t="s">
        <v>2200</v>
      </c>
      <c r="T190" s="15"/>
    </row>
    <row r="191" spans="1:20" x14ac:dyDescent="0.35">
      <c r="A191" s="15" t="s">
        <v>3075</v>
      </c>
      <c r="B191" s="15" t="s">
        <v>3076</v>
      </c>
      <c r="C191" s="15" t="s">
        <v>3077</v>
      </c>
      <c r="D191" s="15" t="s">
        <v>47</v>
      </c>
      <c r="E191" s="15" t="s">
        <v>25</v>
      </c>
      <c r="F191" s="15" t="s">
        <v>3078</v>
      </c>
      <c r="G191" s="16">
        <v>45860</v>
      </c>
      <c r="H191" s="15">
        <f t="shared" si="4"/>
        <v>2025</v>
      </c>
      <c r="I191" s="17">
        <v>40100000</v>
      </c>
      <c r="J191" s="17">
        <v>8830000</v>
      </c>
      <c r="K191" s="17">
        <f t="shared" si="5"/>
        <v>31270000</v>
      </c>
      <c r="L191" s="15" t="s">
        <v>3079</v>
      </c>
      <c r="M191" s="15" t="s">
        <v>2601</v>
      </c>
      <c r="N191" s="15"/>
      <c r="O191" s="15"/>
      <c r="P191" s="15" t="s">
        <v>3080</v>
      </c>
      <c r="Q191" s="15" t="s">
        <v>3081</v>
      </c>
      <c r="R191" s="15">
        <v>7</v>
      </c>
      <c r="S191" s="15" t="s">
        <v>2205</v>
      </c>
      <c r="T191" s="15"/>
    </row>
    <row r="192" spans="1:20" x14ac:dyDescent="0.35">
      <c r="A192" s="15" t="s">
        <v>3082</v>
      </c>
      <c r="B192" s="15" t="s">
        <v>2210</v>
      </c>
      <c r="C192" s="15" t="s">
        <v>2211</v>
      </c>
      <c r="D192" s="15" t="s">
        <v>47</v>
      </c>
      <c r="E192" s="15" t="s">
        <v>40</v>
      </c>
      <c r="F192" s="15" t="s">
        <v>3083</v>
      </c>
      <c r="G192" s="16">
        <v>45862</v>
      </c>
      <c r="H192" s="15">
        <f t="shared" si="4"/>
        <v>2025</v>
      </c>
      <c r="I192" s="17">
        <v>112500000</v>
      </c>
      <c r="J192" s="17">
        <v>112500000</v>
      </c>
      <c r="K192" s="17">
        <f t="shared" si="5"/>
        <v>0</v>
      </c>
      <c r="L192" s="15" t="s">
        <v>2553</v>
      </c>
      <c r="M192" s="15" t="s">
        <v>3084</v>
      </c>
      <c r="N192" s="15"/>
      <c r="O192" s="15"/>
      <c r="P192" s="15" t="s">
        <v>2966</v>
      </c>
      <c r="Q192" s="15" t="s">
        <v>2925</v>
      </c>
      <c r="R192" s="15">
        <v>13</v>
      </c>
      <c r="S192" s="15" t="s">
        <v>2212</v>
      </c>
      <c r="T192" s="15"/>
    </row>
    <row r="193" spans="1:20" x14ac:dyDescent="0.35">
      <c r="A193" s="15" t="s">
        <v>3085</v>
      </c>
      <c r="B193" s="15" t="s">
        <v>2214</v>
      </c>
      <c r="C193" s="15" t="s">
        <v>2215</v>
      </c>
      <c r="D193" s="15" t="s">
        <v>47</v>
      </c>
      <c r="E193" s="15" t="s">
        <v>40</v>
      </c>
      <c r="F193" s="15" t="s">
        <v>2932</v>
      </c>
      <c r="G193" s="16">
        <v>45862</v>
      </c>
      <c r="H193" s="15">
        <f t="shared" si="4"/>
        <v>2025</v>
      </c>
      <c r="I193" s="17">
        <v>112500000</v>
      </c>
      <c r="J193" s="17">
        <v>112500000</v>
      </c>
      <c r="K193" s="17">
        <f t="shared" si="5"/>
        <v>0</v>
      </c>
      <c r="L193" s="15" t="s">
        <v>2553</v>
      </c>
      <c r="M193" s="15" t="s">
        <v>3084</v>
      </c>
      <c r="N193" s="15"/>
      <c r="O193" s="15"/>
      <c r="P193" s="15" t="s">
        <v>2966</v>
      </c>
      <c r="Q193" s="15" t="s">
        <v>2925</v>
      </c>
      <c r="R193" s="15">
        <v>12</v>
      </c>
      <c r="S193" s="15" t="s">
        <v>2212</v>
      </c>
      <c r="T193" s="15"/>
    </row>
    <row r="194" spans="1:20" x14ac:dyDescent="0.35">
      <c r="A194" s="15" t="s">
        <v>3086</v>
      </c>
      <c r="B194" s="15" t="s">
        <v>2217</v>
      </c>
      <c r="C194" s="15" t="s">
        <v>2218</v>
      </c>
      <c r="D194" s="15" t="s">
        <v>47</v>
      </c>
      <c r="E194" s="15" t="s">
        <v>40</v>
      </c>
      <c r="F194" s="15" t="s">
        <v>2932</v>
      </c>
      <c r="G194" s="16">
        <v>45863</v>
      </c>
      <c r="H194" s="15">
        <f t="shared" si="4"/>
        <v>2025</v>
      </c>
      <c r="I194" s="17">
        <v>138000000</v>
      </c>
      <c r="J194" s="17">
        <v>60000000</v>
      </c>
      <c r="K194" s="17">
        <f t="shared" si="5"/>
        <v>78000000</v>
      </c>
      <c r="L194" s="15" t="s">
        <v>2584</v>
      </c>
      <c r="M194" s="15" t="s">
        <v>2601</v>
      </c>
      <c r="N194" s="15"/>
      <c r="O194" s="15"/>
      <c r="P194" s="15" t="s">
        <v>2966</v>
      </c>
      <c r="Q194" s="15" t="s">
        <v>2925</v>
      </c>
      <c r="R194" s="15">
        <v>14</v>
      </c>
      <c r="S194" s="15" t="s">
        <v>2219</v>
      </c>
      <c r="T194" s="15"/>
    </row>
    <row r="195" spans="1:20" x14ac:dyDescent="0.35">
      <c r="A195" s="15" t="s">
        <v>3087</v>
      </c>
      <c r="B195" s="15" t="s">
        <v>2202</v>
      </c>
      <c r="C195" s="15" t="s">
        <v>3088</v>
      </c>
      <c r="D195" s="15" t="s">
        <v>47</v>
      </c>
      <c r="E195" s="15" t="s">
        <v>25</v>
      </c>
      <c r="F195" s="15" t="s">
        <v>3078</v>
      </c>
      <c r="G195" s="16">
        <v>45864</v>
      </c>
      <c r="H195" s="15">
        <f t="shared" si="4"/>
        <v>2025</v>
      </c>
      <c r="I195" s="17">
        <v>40100000</v>
      </c>
      <c r="J195" s="17">
        <v>5000000</v>
      </c>
      <c r="K195" s="17">
        <f t="shared" si="5"/>
        <v>35100000</v>
      </c>
      <c r="L195" s="15" t="s">
        <v>3079</v>
      </c>
      <c r="M195" s="15" t="s">
        <v>2601</v>
      </c>
      <c r="N195" s="15"/>
      <c r="O195" s="15"/>
      <c r="P195" s="15" t="s">
        <v>3080</v>
      </c>
      <c r="Q195" s="15" t="s">
        <v>3081</v>
      </c>
      <c r="R195" s="15">
        <v>5</v>
      </c>
      <c r="S195" s="15" t="s">
        <v>2223</v>
      </c>
      <c r="T195" s="15"/>
    </row>
    <row r="196" spans="1:20" x14ac:dyDescent="0.35">
      <c r="A196" s="15" t="s">
        <v>3089</v>
      </c>
      <c r="B196" s="15" t="s">
        <v>3090</v>
      </c>
      <c r="C196" s="15" t="s">
        <v>3091</v>
      </c>
      <c r="D196" s="15" t="s">
        <v>47</v>
      </c>
      <c r="E196" s="15" t="s">
        <v>25</v>
      </c>
      <c r="F196" s="15" t="s">
        <v>3078</v>
      </c>
      <c r="G196" s="16">
        <v>45864</v>
      </c>
      <c r="H196" s="15">
        <f t="shared" si="4"/>
        <v>2025</v>
      </c>
      <c r="I196" s="17">
        <v>40100000</v>
      </c>
      <c r="J196" s="17">
        <v>23000000</v>
      </c>
      <c r="K196" s="17">
        <f t="shared" si="5"/>
        <v>17100000</v>
      </c>
      <c r="L196" s="15" t="s">
        <v>3079</v>
      </c>
      <c r="M196" s="15" t="s">
        <v>2601</v>
      </c>
      <c r="N196" s="15"/>
      <c r="O196" s="15"/>
      <c r="P196" s="15" t="s">
        <v>3080</v>
      </c>
      <c r="Q196" s="15" t="s">
        <v>3081</v>
      </c>
      <c r="R196" s="15">
        <v>4</v>
      </c>
      <c r="S196" s="15" t="s">
        <v>2223</v>
      </c>
      <c r="T196" s="15"/>
    </row>
    <row r="197" spans="1:20" x14ac:dyDescent="0.35">
      <c r="A197" s="15" t="s">
        <v>3092</v>
      </c>
      <c r="B197" s="15" t="s">
        <v>2228</v>
      </c>
      <c r="C197" s="15" t="s">
        <v>3093</v>
      </c>
      <c r="D197" s="15" t="s">
        <v>47</v>
      </c>
      <c r="E197" s="15" t="s">
        <v>25</v>
      </c>
      <c r="F197" s="15" t="s">
        <v>3078</v>
      </c>
      <c r="G197" s="16">
        <v>45867</v>
      </c>
      <c r="H197" s="15">
        <f t="shared" ref="H197:H260" si="6">IF(G197="","",YEAR(G197))</f>
        <v>2025</v>
      </c>
      <c r="I197" s="17">
        <v>40100000</v>
      </c>
      <c r="J197" s="17">
        <v>5000000</v>
      </c>
      <c r="K197" s="17">
        <f t="shared" ref="K197:K260" si="7">IF(OR(I197="",J197=""),"",I197-J197)</f>
        <v>35100000</v>
      </c>
      <c r="L197" s="15" t="s">
        <v>3079</v>
      </c>
      <c r="M197" s="15" t="s">
        <v>2601</v>
      </c>
      <c r="N197" s="15"/>
      <c r="O197" s="15"/>
      <c r="P197" s="15" t="s">
        <v>3080</v>
      </c>
      <c r="Q197" s="15" t="s">
        <v>3081</v>
      </c>
      <c r="R197" s="15">
        <v>6</v>
      </c>
      <c r="S197" s="15" t="s">
        <v>2230</v>
      </c>
      <c r="T197" s="15"/>
    </row>
    <row r="198" spans="1:20" x14ac:dyDescent="0.35">
      <c r="A198" s="15" t="s">
        <v>3094</v>
      </c>
      <c r="B198" s="15" t="s">
        <v>3095</v>
      </c>
      <c r="C198" s="15" t="s">
        <v>3096</v>
      </c>
      <c r="D198" s="15" t="s">
        <v>47</v>
      </c>
      <c r="E198" s="15" t="s">
        <v>25</v>
      </c>
      <c r="F198" s="15" t="s">
        <v>3078</v>
      </c>
      <c r="G198" s="16">
        <v>45867</v>
      </c>
      <c r="H198" s="15">
        <f t="shared" si="6"/>
        <v>2025</v>
      </c>
      <c r="I198" s="17">
        <v>37000000</v>
      </c>
      <c r="J198" s="17">
        <v>37000000</v>
      </c>
      <c r="K198" s="17">
        <f t="shared" si="7"/>
        <v>0</v>
      </c>
      <c r="L198" s="15" t="s">
        <v>2654</v>
      </c>
      <c r="M198" s="15" t="s">
        <v>3097</v>
      </c>
      <c r="N198" s="15"/>
      <c r="O198" s="15"/>
      <c r="P198" s="15" t="s">
        <v>3080</v>
      </c>
      <c r="Q198" s="15" t="s">
        <v>3081</v>
      </c>
      <c r="R198" s="15">
        <v>3</v>
      </c>
      <c r="S198" s="15" t="s">
        <v>2230</v>
      </c>
      <c r="T198" s="15"/>
    </row>
    <row r="199" spans="1:20" x14ac:dyDescent="0.35">
      <c r="A199" s="15" t="s">
        <v>3098</v>
      </c>
      <c r="B199" s="15" t="s">
        <v>357</v>
      </c>
      <c r="C199" s="15" t="s">
        <v>3099</v>
      </c>
      <c r="D199" s="15" t="s">
        <v>47</v>
      </c>
      <c r="E199" s="15" t="s">
        <v>25</v>
      </c>
      <c r="F199" s="15" t="s">
        <v>3100</v>
      </c>
      <c r="G199" s="16">
        <v>45875</v>
      </c>
      <c r="H199" s="15">
        <f t="shared" si="6"/>
        <v>2025</v>
      </c>
      <c r="I199" s="17">
        <v>34000000</v>
      </c>
      <c r="J199" s="17">
        <v>30000000</v>
      </c>
      <c r="K199" s="17">
        <f t="shared" si="7"/>
        <v>4000000</v>
      </c>
      <c r="L199" s="15" t="s">
        <v>3101</v>
      </c>
      <c r="M199" s="15" t="s">
        <v>2601</v>
      </c>
      <c r="N199" s="15"/>
      <c r="O199" s="15"/>
      <c r="P199" s="15" t="s">
        <v>3102</v>
      </c>
      <c r="Q199" s="15" t="s">
        <v>3081</v>
      </c>
      <c r="R199" s="15">
        <v>2</v>
      </c>
      <c r="S199" s="15" t="s">
        <v>3103</v>
      </c>
      <c r="T199" s="15"/>
    </row>
    <row r="200" spans="1:20" x14ac:dyDescent="0.35">
      <c r="A200" s="15" t="s">
        <v>3104</v>
      </c>
      <c r="B200" s="15" t="s">
        <v>1732</v>
      </c>
      <c r="C200" s="15" t="s">
        <v>3105</v>
      </c>
      <c r="D200" s="15" t="s">
        <v>46</v>
      </c>
      <c r="E200" s="15" t="s">
        <v>34</v>
      </c>
      <c r="F200" s="15" t="s">
        <v>2500</v>
      </c>
      <c r="G200" s="16">
        <v>45881</v>
      </c>
      <c r="H200" s="15">
        <f t="shared" si="6"/>
        <v>2025</v>
      </c>
      <c r="I200" s="17">
        <v>1300000</v>
      </c>
      <c r="J200" s="17">
        <v>1300000</v>
      </c>
      <c r="K200" s="17">
        <f t="shared" si="7"/>
        <v>0</v>
      </c>
      <c r="L200" s="15" t="s">
        <v>3106</v>
      </c>
      <c r="M200" s="15" t="s">
        <v>2502</v>
      </c>
      <c r="N200" s="15"/>
      <c r="O200" s="15" t="s">
        <v>2834</v>
      </c>
      <c r="P200" s="15" t="s">
        <v>3107</v>
      </c>
      <c r="Q200" s="15" t="s">
        <v>2836</v>
      </c>
      <c r="R200" s="15">
        <v>14</v>
      </c>
      <c r="S200" s="15" t="s">
        <v>2261</v>
      </c>
      <c r="T200" s="15"/>
    </row>
    <row r="201" spans="1:20" x14ac:dyDescent="0.35">
      <c r="A201" s="15" t="s">
        <v>3108</v>
      </c>
      <c r="B201" s="15" t="s">
        <v>1341</v>
      </c>
      <c r="C201" s="15" t="s">
        <v>1342</v>
      </c>
      <c r="D201" s="15" t="s">
        <v>46</v>
      </c>
      <c r="E201" s="15" t="s">
        <v>33</v>
      </c>
      <c r="F201" s="15" t="s">
        <v>3109</v>
      </c>
      <c r="G201" s="16">
        <v>45883</v>
      </c>
      <c r="H201" s="15">
        <f t="shared" si="6"/>
        <v>2025</v>
      </c>
      <c r="I201" s="17">
        <v>2500000</v>
      </c>
      <c r="J201" s="17">
        <v>2500000</v>
      </c>
      <c r="K201" s="17">
        <f t="shared" si="7"/>
        <v>0</v>
      </c>
      <c r="L201" s="15" t="s">
        <v>3110</v>
      </c>
      <c r="M201" s="15" t="s">
        <v>2502</v>
      </c>
      <c r="N201" s="15" t="s">
        <v>2866</v>
      </c>
      <c r="O201" s="15" t="s">
        <v>2548</v>
      </c>
      <c r="P201" s="15" t="s">
        <v>3111</v>
      </c>
      <c r="Q201" s="15" t="s">
        <v>2948</v>
      </c>
      <c r="R201" s="15">
        <v>12</v>
      </c>
      <c r="S201" s="15" t="s">
        <v>2265</v>
      </c>
      <c r="T201" s="15"/>
    </row>
    <row r="202" spans="1:20" x14ac:dyDescent="0.35">
      <c r="A202" s="15" t="s">
        <v>3112</v>
      </c>
      <c r="B202" s="15" t="s">
        <v>3113</v>
      </c>
      <c r="C202" s="15" t="s">
        <v>3114</v>
      </c>
      <c r="D202" s="15" t="s">
        <v>47</v>
      </c>
      <c r="E202" s="15" t="s">
        <v>25</v>
      </c>
      <c r="F202" s="15" t="s">
        <v>3078</v>
      </c>
      <c r="G202" s="16">
        <v>45888</v>
      </c>
      <c r="H202" s="15">
        <f t="shared" si="6"/>
        <v>2025</v>
      </c>
      <c r="I202" s="17">
        <v>40100000</v>
      </c>
      <c r="J202" s="17">
        <v>20000000</v>
      </c>
      <c r="K202" s="17">
        <f t="shared" si="7"/>
        <v>20100000</v>
      </c>
      <c r="L202" s="15" t="s">
        <v>3079</v>
      </c>
      <c r="M202" s="15" t="s">
        <v>2601</v>
      </c>
      <c r="N202" s="15"/>
      <c r="O202" s="15"/>
      <c r="P202" s="15"/>
      <c r="Q202" s="15" t="s">
        <v>3115</v>
      </c>
      <c r="R202" s="15">
        <v>9</v>
      </c>
      <c r="S202" s="15" t="s">
        <v>2269</v>
      </c>
      <c r="T202" s="15"/>
    </row>
    <row r="203" spans="1:20" x14ac:dyDescent="0.35">
      <c r="A203" s="15" t="s">
        <v>3116</v>
      </c>
      <c r="B203" s="15" t="s">
        <v>3117</v>
      </c>
      <c r="C203" s="15" t="s">
        <v>3118</v>
      </c>
      <c r="D203" s="15" t="s">
        <v>47</v>
      </c>
      <c r="E203" s="15" t="s">
        <v>25</v>
      </c>
      <c r="F203" s="15" t="s">
        <v>3119</v>
      </c>
      <c r="G203" s="16">
        <v>45888</v>
      </c>
      <c r="H203" s="15">
        <f t="shared" si="6"/>
        <v>2025</v>
      </c>
      <c r="I203" s="17">
        <v>40100000</v>
      </c>
      <c r="J203" s="17">
        <v>20000000</v>
      </c>
      <c r="K203" s="17">
        <f t="shared" si="7"/>
        <v>20100000</v>
      </c>
      <c r="L203" s="15" t="s">
        <v>2501</v>
      </c>
      <c r="M203" s="15" t="s">
        <v>2601</v>
      </c>
      <c r="N203" s="15"/>
      <c r="O203" s="15"/>
      <c r="P203" s="15" t="s">
        <v>3080</v>
      </c>
      <c r="Q203" s="15" t="s">
        <v>3120</v>
      </c>
      <c r="R203" s="15">
        <v>8</v>
      </c>
      <c r="S203" s="15" t="s">
        <v>2269</v>
      </c>
      <c r="T203" s="15"/>
    </row>
    <row r="204" spans="1:20" x14ac:dyDescent="0.35">
      <c r="A204" s="15" t="s">
        <v>3121</v>
      </c>
      <c r="B204" s="15" t="s">
        <v>2278</v>
      </c>
      <c r="C204" s="15" t="s">
        <v>3122</v>
      </c>
      <c r="D204" s="15" t="s">
        <v>47</v>
      </c>
      <c r="E204" s="15" t="s">
        <v>25</v>
      </c>
      <c r="F204" s="15" t="s">
        <v>3123</v>
      </c>
      <c r="G204" s="16">
        <v>45892</v>
      </c>
      <c r="H204" s="15">
        <f t="shared" si="6"/>
        <v>2025</v>
      </c>
      <c r="I204" s="17">
        <v>68000000</v>
      </c>
      <c r="J204" s="17">
        <v>48020000</v>
      </c>
      <c r="K204" s="17">
        <f t="shared" si="7"/>
        <v>19980000</v>
      </c>
      <c r="L204" s="15" t="s">
        <v>3101</v>
      </c>
      <c r="M204" s="15" t="s">
        <v>2601</v>
      </c>
      <c r="N204" s="15"/>
      <c r="O204" s="15"/>
      <c r="P204" s="15" t="s">
        <v>3102</v>
      </c>
      <c r="Q204" s="15" t="s">
        <v>3081</v>
      </c>
      <c r="R204" s="15">
        <v>9</v>
      </c>
      <c r="S204" s="15" t="s">
        <v>2276</v>
      </c>
      <c r="T204" s="15"/>
    </row>
    <row r="205" spans="1:20" x14ac:dyDescent="0.35">
      <c r="A205" s="15" t="s">
        <v>3124</v>
      </c>
      <c r="B205" s="15" t="s">
        <v>2274</v>
      </c>
      <c r="C205" s="15" t="s">
        <v>3125</v>
      </c>
      <c r="D205" s="15" t="s">
        <v>47</v>
      </c>
      <c r="E205" s="15" t="s">
        <v>25</v>
      </c>
      <c r="F205" s="15" t="s">
        <v>3100</v>
      </c>
      <c r="G205" s="16">
        <v>45895</v>
      </c>
      <c r="H205" s="15">
        <f t="shared" si="6"/>
        <v>2025</v>
      </c>
      <c r="I205" s="17">
        <v>34000000</v>
      </c>
      <c r="J205" s="17">
        <v>30000000</v>
      </c>
      <c r="K205" s="17">
        <f t="shared" si="7"/>
        <v>4000000</v>
      </c>
      <c r="L205" s="15" t="s">
        <v>3101</v>
      </c>
      <c r="M205" s="15" t="s">
        <v>2601</v>
      </c>
      <c r="N205" s="15"/>
      <c r="O205" s="15"/>
      <c r="P205" s="15" t="s">
        <v>3102</v>
      </c>
      <c r="Q205" s="15" t="s">
        <v>3081</v>
      </c>
      <c r="R205" s="15">
        <v>10</v>
      </c>
      <c r="S205" s="15" t="s">
        <v>2281</v>
      </c>
      <c r="T205" s="15"/>
    </row>
    <row r="206" spans="1:20" x14ac:dyDescent="0.35">
      <c r="A206" s="15" t="s">
        <v>3126</v>
      </c>
      <c r="B206" s="15" t="s">
        <v>2318</v>
      </c>
      <c r="C206" s="15" t="s">
        <v>2319</v>
      </c>
      <c r="D206" s="15" t="s">
        <v>46</v>
      </c>
      <c r="E206" s="15" t="s">
        <v>27</v>
      </c>
      <c r="F206" s="15" t="s">
        <v>2746</v>
      </c>
      <c r="G206" s="16">
        <v>45933</v>
      </c>
      <c r="H206" s="15">
        <f t="shared" si="6"/>
        <v>2025</v>
      </c>
      <c r="I206" s="17">
        <v>2500000</v>
      </c>
      <c r="J206" s="17">
        <v>2500000</v>
      </c>
      <c r="K206" s="17">
        <f t="shared" si="7"/>
        <v>0</v>
      </c>
      <c r="L206" s="15" t="s">
        <v>2553</v>
      </c>
      <c r="M206" s="15" t="s">
        <v>2502</v>
      </c>
      <c r="N206" s="15"/>
      <c r="O206" s="15" t="s">
        <v>2907</v>
      </c>
      <c r="P206" s="15" t="s">
        <v>3127</v>
      </c>
      <c r="Q206" s="15" t="s">
        <v>2908</v>
      </c>
      <c r="R206" s="15">
        <v>11</v>
      </c>
      <c r="S206" s="15" t="s">
        <v>2320</v>
      </c>
      <c r="T206" s="15"/>
    </row>
    <row r="207" spans="1:20" x14ac:dyDescent="0.35">
      <c r="A207" s="15" t="s">
        <v>3128</v>
      </c>
      <c r="B207" s="15" t="s">
        <v>2351</v>
      </c>
      <c r="C207" s="15" t="s">
        <v>2352</v>
      </c>
      <c r="D207" s="15" t="s">
        <v>47</v>
      </c>
      <c r="E207" s="15" t="s">
        <v>26</v>
      </c>
      <c r="F207" s="15" t="s">
        <v>3129</v>
      </c>
      <c r="G207" s="16">
        <v>45972</v>
      </c>
      <c r="H207" s="15">
        <f t="shared" si="6"/>
        <v>2025</v>
      </c>
      <c r="I207" s="17">
        <v>290000000</v>
      </c>
      <c r="J207" s="17">
        <v>280000000</v>
      </c>
      <c r="K207" s="17">
        <f t="shared" si="7"/>
        <v>10000000</v>
      </c>
      <c r="L207" s="15" t="s">
        <v>2553</v>
      </c>
      <c r="M207" s="15" t="s">
        <v>3084</v>
      </c>
      <c r="N207" s="15"/>
      <c r="O207" s="15"/>
      <c r="P207" s="15" t="s">
        <v>3130</v>
      </c>
      <c r="Q207" s="15" t="s">
        <v>2979</v>
      </c>
      <c r="R207" s="15">
        <v>3</v>
      </c>
      <c r="S207" s="15" t="s">
        <v>2354</v>
      </c>
      <c r="T207" s="15"/>
    </row>
    <row r="208" spans="1:20" x14ac:dyDescent="0.35">
      <c r="A208" s="15" t="s">
        <v>3131</v>
      </c>
      <c r="B208" s="15" t="s">
        <v>1405</v>
      </c>
      <c r="C208" s="15" t="s">
        <v>1406</v>
      </c>
      <c r="D208" s="15" t="s">
        <v>47</v>
      </c>
      <c r="E208" s="15" t="s">
        <v>25</v>
      </c>
      <c r="F208" s="15" t="s">
        <v>3078</v>
      </c>
      <c r="G208" s="16">
        <v>45982</v>
      </c>
      <c r="H208" s="15">
        <f t="shared" si="6"/>
        <v>2025</v>
      </c>
      <c r="I208" s="17">
        <v>37000000</v>
      </c>
      <c r="J208" s="17">
        <v>37000000</v>
      </c>
      <c r="K208" s="17">
        <f t="shared" si="7"/>
        <v>0</v>
      </c>
      <c r="L208" s="15" t="s">
        <v>3079</v>
      </c>
      <c r="M208" s="15" t="s">
        <v>3097</v>
      </c>
      <c r="N208" s="15"/>
      <c r="O208" s="15"/>
      <c r="P208" s="15" t="s">
        <v>2898</v>
      </c>
      <c r="Q208" s="15" t="s">
        <v>3081</v>
      </c>
      <c r="R208" s="15">
        <v>12</v>
      </c>
      <c r="S208" s="15" t="s">
        <v>2367</v>
      </c>
      <c r="T208" s="15"/>
    </row>
    <row r="209" spans="1:20" x14ac:dyDescent="0.35">
      <c r="A209" s="15" t="s">
        <v>3132</v>
      </c>
      <c r="B209" s="15" t="s">
        <v>2369</v>
      </c>
      <c r="C209" s="15" t="s">
        <v>3133</v>
      </c>
      <c r="D209" s="15" t="s">
        <v>47</v>
      </c>
      <c r="E209" s="15" t="s">
        <v>25</v>
      </c>
      <c r="F209" s="15" t="s">
        <v>3100</v>
      </c>
      <c r="G209" s="16">
        <v>45982</v>
      </c>
      <c r="H209" s="15">
        <f t="shared" si="6"/>
        <v>2025</v>
      </c>
      <c r="I209" s="17">
        <v>36720000</v>
      </c>
      <c r="J209" s="17">
        <v>34720000</v>
      </c>
      <c r="K209" s="17">
        <f t="shared" si="7"/>
        <v>2000000</v>
      </c>
      <c r="L209" s="15" t="s">
        <v>3079</v>
      </c>
      <c r="M209" s="15" t="s">
        <v>2601</v>
      </c>
      <c r="N209" s="15"/>
      <c r="O209" s="15"/>
      <c r="P209" s="15" t="s">
        <v>3134</v>
      </c>
      <c r="Q209" s="15" t="s">
        <v>3081</v>
      </c>
      <c r="R209" s="15">
        <v>11</v>
      </c>
      <c r="S209" s="15" t="s">
        <v>2367</v>
      </c>
      <c r="T209" s="15"/>
    </row>
    <row r="210" spans="1:20" x14ac:dyDescent="0.35">
      <c r="A210" s="15" t="s">
        <v>3135</v>
      </c>
      <c r="B210" s="15" t="s">
        <v>2389</v>
      </c>
      <c r="C210" s="15" t="s">
        <v>3136</v>
      </c>
      <c r="D210" s="15" t="s">
        <v>46</v>
      </c>
      <c r="E210" s="15" t="s">
        <v>34</v>
      </c>
      <c r="F210" s="15" t="s">
        <v>2500</v>
      </c>
      <c r="G210" s="16">
        <v>45996</v>
      </c>
      <c r="H210" s="15">
        <f t="shared" si="6"/>
        <v>2025</v>
      </c>
      <c r="I210" s="17">
        <v>1050000</v>
      </c>
      <c r="J210" s="17">
        <v>1050000</v>
      </c>
      <c r="K210" s="17">
        <f t="shared" si="7"/>
        <v>0</v>
      </c>
      <c r="L210" s="15" t="s">
        <v>3106</v>
      </c>
      <c r="M210" s="15" t="s">
        <v>2502</v>
      </c>
      <c r="N210" s="15"/>
      <c r="O210" s="15" t="s">
        <v>2963</v>
      </c>
      <c r="P210" s="15" t="s">
        <v>3137</v>
      </c>
      <c r="Q210" s="15" t="s">
        <v>2836</v>
      </c>
      <c r="R210" s="15">
        <v>15</v>
      </c>
      <c r="S210" s="15" t="s">
        <v>2387</v>
      </c>
      <c r="T210" s="15"/>
    </row>
    <row r="211" spans="1:20" x14ac:dyDescent="0.35">
      <c r="A211" s="15" t="s">
        <v>3138</v>
      </c>
      <c r="B211" s="15" t="s">
        <v>2418</v>
      </c>
      <c r="C211" s="15" t="s">
        <v>2419</v>
      </c>
      <c r="D211" s="15" t="s">
        <v>47</v>
      </c>
      <c r="E211" s="15" t="s">
        <v>25</v>
      </c>
      <c r="F211" s="15" t="s">
        <v>3078</v>
      </c>
      <c r="G211" s="16">
        <v>46010</v>
      </c>
      <c r="H211" s="15">
        <f t="shared" si="6"/>
        <v>2025</v>
      </c>
      <c r="I211" s="17">
        <v>38000000</v>
      </c>
      <c r="J211" s="17">
        <v>38000000</v>
      </c>
      <c r="K211" s="17">
        <f t="shared" si="7"/>
        <v>0</v>
      </c>
      <c r="L211" s="15" t="s">
        <v>2654</v>
      </c>
      <c r="M211" s="15" t="s">
        <v>3097</v>
      </c>
      <c r="N211" s="15"/>
      <c r="O211" s="15"/>
      <c r="P211" s="15" t="s">
        <v>3139</v>
      </c>
      <c r="Q211" s="15" t="s">
        <v>3081</v>
      </c>
      <c r="R211" s="15">
        <v>13</v>
      </c>
      <c r="S211" s="15" t="s">
        <v>2421</v>
      </c>
      <c r="T211" s="15"/>
    </row>
    <row r="212" spans="1:20" x14ac:dyDescent="0.35">
      <c r="A212" s="15" t="s">
        <v>3140</v>
      </c>
      <c r="B212" s="15" t="s">
        <v>3141</v>
      </c>
      <c r="C212" s="15" t="s">
        <v>3142</v>
      </c>
      <c r="D212" s="15" t="s">
        <v>46</v>
      </c>
      <c r="E212" s="15" t="s">
        <v>33</v>
      </c>
      <c r="F212" s="15" t="s">
        <v>2946</v>
      </c>
      <c r="G212" s="16">
        <v>46013</v>
      </c>
      <c r="H212" s="15">
        <f t="shared" si="6"/>
        <v>2025</v>
      </c>
      <c r="I212" s="17">
        <v>2250000</v>
      </c>
      <c r="J212" s="17">
        <v>2250000</v>
      </c>
      <c r="K212" s="17">
        <f t="shared" si="7"/>
        <v>0</v>
      </c>
      <c r="L212" s="15" t="s">
        <v>2553</v>
      </c>
      <c r="M212" s="15" t="s">
        <v>2601</v>
      </c>
      <c r="N212" s="15"/>
      <c r="O212" s="15" t="s">
        <v>2645</v>
      </c>
      <c r="P212" s="15" t="s">
        <v>1800</v>
      </c>
      <c r="Q212" s="15" t="s">
        <v>2948</v>
      </c>
      <c r="R212" s="15">
        <v>13</v>
      </c>
      <c r="S212" s="15" t="s">
        <v>3143</v>
      </c>
      <c r="T212" s="15"/>
    </row>
    <row r="213" spans="1:20" x14ac:dyDescent="0.35">
      <c r="A213" s="15" t="s">
        <v>3144</v>
      </c>
      <c r="B213" s="15" t="s">
        <v>3145</v>
      </c>
      <c r="C213" s="15" t="s">
        <v>3146</v>
      </c>
      <c r="D213" s="15" t="s">
        <v>47</v>
      </c>
      <c r="E213" s="15" t="s">
        <v>25</v>
      </c>
      <c r="F213" s="15" t="s">
        <v>3078</v>
      </c>
      <c r="G213" s="16">
        <v>46015</v>
      </c>
      <c r="H213" s="15">
        <f t="shared" si="6"/>
        <v>2025</v>
      </c>
      <c r="I213" s="17">
        <v>38000000</v>
      </c>
      <c r="J213" s="17">
        <v>2500000</v>
      </c>
      <c r="K213" s="17">
        <f t="shared" si="7"/>
        <v>35500000</v>
      </c>
      <c r="L213" s="15" t="s">
        <v>2654</v>
      </c>
      <c r="M213" s="15" t="s">
        <v>2601</v>
      </c>
      <c r="N213" s="15"/>
      <c r="O213" s="15"/>
      <c r="P213" s="15" t="s">
        <v>3147</v>
      </c>
      <c r="Q213" s="15" t="s">
        <v>3081</v>
      </c>
      <c r="R213" s="15">
        <v>14</v>
      </c>
      <c r="S213" s="15" t="s">
        <v>2430</v>
      </c>
      <c r="T213" s="15" t="s">
        <v>3148</v>
      </c>
    </row>
    <row r="214" spans="1:20" x14ac:dyDescent="0.35">
      <c r="A214" s="15" t="s">
        <v>3149</v>
      </c>
      <c r="B214" s="15" t="s">
        <v>2432</v>
      </c>
      <c r="C214" s="15" t="s">
        <v>3150</v>
      </c>
      <c r="D214" s="15" t="s">
        <v>47</v>
      </c>
      <c r="E214" s="15" t="s">
        <v>40</v>
      </c>
      <c r="F214" s="15" t="s">
        <v>2932</v>
      </c>
      <c r="G214" s="16">
        <v>46015</v>
      </c>
      <c r="H214" s="15">
        <f t="shared" si="6"/>
        <v>2025</v>
      </c>
      <c r="I214" s="17">
        <v>142000000</v>
      </c>
      <c r="J214" s="17">
        <v>15000000</v>
      </c>
      <c r="K214" s="17">
        <f t="shared" si="7"/>
        <v>127000000</v>
      </c>
      <c r="L214" s="15" t="s">
        <v>2584</v>
      </c>
      <c r="M214" s="15" t="s">
        <v>2601</v>
      </c>
      <c r="N214" s="15"/>
      <c r="O214" s="15"/>
      <c r="P214" s="15" t="s">
        <v>3034</v>
      </c>
      <c r="Q214" s="15" t="s">
        <v>2925</v>
      </c>
      <c r="R214" s="15">
        <v>15</v>
      </c>
      <c r="S214" s="15" t="s">
        <v>2430</v>
      </c>
      <c r="T214" s="15"/>
    </row>
    <row r="215" spans="1:20" x14ac:dyDescent="0.35">
      <c r="A215" s="15" t="s">
        <v>3151</v>
      </c>
      <c r="B215" s="15" t="s">
        <v>2158</v>
      </c>
      <c r="C215" s="15" t="s">
        <v>2414</v>
      </c>
      <c r="D215" s="15" t="s">
        <v>46</v>
      </c>
      <c r="E215" s="15" t="s">
        <v>32</v>
      </c>
      <c r="F215" s="15" t="s">
        <v>2732</v>
      </c>
      <c r="G215" s="16">
        <v>46020</v>
      </c>
      <c r="H215" s="15">
        <f t="shared" si="6"/>
        <v>2025</v>
      </c>
      <c r="I215" s="17">
        <v>5625000</v>
      </c>
      <c r="J215" s="17">
        <v>2000000</v>
      </c>
      <c r="K215" s="17">
        <f t="shared" si="7"/>
        <v>3625000</v>
      </c>
      <c r="L215" s="15" t="s">
        <v>2553</v>
      </c>
      <c r="M215" s="15" t="s">
        <v>2601</v>
      </c>
      <c r="N215" s="15"/>
      <c r="O215" s="15"/>
      <c r="P215" s="15" t="s">
        <v>2513</v>
      </c>
      <c r="Q215" s="15" t="s">
        <v>2840</v>
      </c>
      <c r="R215" s="15">
        <v>37</v>
      </c>
      <c r="S215" s="15" t="s">
        <v>3152</v>
      </c>
      <c r="T215" s="15"/>
    </row>
    <row r="216" spans="1:20" x14ac:dyDescent="0.35">
      <c r="A216" s="15" t="s">
        <v>3153</v>
      </c>
      <c r="B216" s="15" t="s">
        <v>3154</v>
      </c>
      <c r="C216" s="15" t="s">
        <v>3155</v>
      </c>
      <c r="D216" s="15" t="s">
        <v>47</v>
      </c>
      <c r="E216" s="15" t="s">
        <v>40</v>
      </c>
      <c r="F216" s="15" t="s">
        <v>3033</v>
      </c>
      <c r="G216" s="16"/>
      <c r="H216" s="15" t="str">
        <f t="shared" si="6"/>
        <v/>
      </c>
      <c r="I216" s="17">
        <v>105000000</v>
      </c>
      <c r="J216" s="17">
        <v>4001141</v>
      </c>
      <c r="K216" s="17">
        <f t="shared" si="7"/>
        <v>100998859</v>
      </c>
      <c r="L216" s="15" t="s">
        <v>3156</v>
      </c>
      <c r="M216" s="15" t="s">
        <v>2601</v>
      </c>
      <c r="N216" s="15"/>
      <c r="O216" s="15"/>
      <c r="P216" s="15" t="s">
        <v>1800</v>
      </c>
      <c r="Q216" s="15" t="s">
        <v>2925</v>
      </c>
      <c r="R216" s="15">
        <v>6</v>
      </c>
      <c r="S216" s="15"/>
      <c r="T216" s="15" t="s">
        <v>3148</v>
      </c>
    </row>
    <row r="217" spans="1:20" x14ac:dyDescent="0.35">
      <c r="A217" s="15" t="s">
        <v>3157</v>
      </c>
      <c r="B217" s="15" t="s">
        <v>3158</v>
      </c>
      <c r="C217" s="15" t="s">
        <v>3159</v>
      </c>
      <c r="D217" s="15" t="s">
        <v>47</v>
      </c>
      <c r="E217" s="15" t="s">
        <v>41</v>
      </c>
      <c r="F217" s="15"/>
      <c r="G217" s="16"/>
      <c r="H217" s="15" t="str">
        <f t="shared" si="6"/>
        <v/>
      </c>
      <c r="I217" s="17"/>
      <c r="J217" s="17"/>
      <c r="K217" s="17" t="str">
        <f t="shared" si="7"/>
        <v/>
      </c>
      <c r="L217" s="15"/>
      <c r="M217" s="15" t="s">
        <v>3160</v>
      </c>
      <c r="N217" s="15"/>
      <c r="O217" s="15"/>
      <c r="P217" s="15"/>
      <c r="Q217" s="15" t="s">
        <v>2467</v>
      </c>
      <c r="R217" s="15">
        <v>9</v>
      </c>
      <c r="S217" s="15" t="s">
        <v>3161</v>
      </c>
      <c r="T217" s="15" t="s">
        <v>3148</v>
      </c>
    </row>
    <row r="218" spans="1:20" x14ac:dyDescent="0.35">
      <c r="A218" s="15" t="s">
        <v>3162</v>
      </c>
      <c r="B218" s="15" t="s">
        <v>3163</v>
      </c>
      <c r="C218" s="15" t="s">
        <v>3164</v>
      </c>
      <c r="D218" s="15" t="s">
        <v>47</v>
      </c>
      <c r="E218" s="15" t="s">
        <v>41</v>
      </c>
      <c r="F218" s="15"/>
      <c r="G218" s="16"/>
      <c r="H218" s="15" t="str">
        <f t="shared" si="6"/>
        <v/>
      </c>
      <c r="I218" s="17"/>
      <c r="J218" s="17"/>
      <c r="K218" s="17" t="str">
        <f t="shared" si="7"/>
        <v/>
      </c>
      <c r="L218" s="15"/>
      <c r="M218" s="15" t="s">
        <v>3160</v>
      </c>
      <c r="N218" s="15"/>
      <c r="O218" s="15"/>
      <c r="P218" s="15"/>
      <c r="Q218" s="15" t="s">
        <v>2467</v>
      </c>
      <c r="R218" s="15">
        <v>8</v>
      </c>
      <c r="S218" s="15" t="s">
        <v>3165</v>
      </c>
      <c r="T218" s="15" t="s">
        <v>3148</v>
      </c>
    </row>
    <row r="219" spans="1:20" x14ac:dyDescent="0.35">
      <c r="E219" s="18" t="s">
        <v>19</v>
      </c>
      <c r="I219" s="19">
        <f>SUBTOTAL(9,I5:I218)</f>
        <v>4016366740</v>
      </c>
      <c r="J219" s="19">
        <f>SUBTOTAL(9,J5:J218)</f>
        <v>2349775281</v>
      </c>
      <c r="K219" s="19">
        <f>SUBTOTAL(9,K5:K218)</f>
        <v>774591459</v>
      </c>
    </row>
  </sheetData>
  <autoFilter ref="A4:T21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1"/>
  <sheetViews>
    <sheetView zoomScaleNormal="100" workbookViewId="0">
      <pane xSplit="2" ySplit="4" topLeftCell="C230" activePane="bottomRight" state="frozen"/>
      <selection pane="topRight" activeCell="C1" sqref="C1"/>
      <selection pane="bottomLeft" activeCell="A5" sqref="A5"/>
      <selection pane="bottomRight"/>
    </sheetView>
  </sheetViews>
  <sheetFormatPr defaultColWidth="8.6328125" defaultRowHeight="14.5" x14ac:dyDescent="0.35"/>
  <cols>
    <col min="1" max="1" width="11" customWidth="1"/>
    <col min="2" max="2" width="36" customWidth="1"/>
    <col min="3" max="3" width="16" customWidth="1"/>
    <col min="4" max="4" width="30" customWidth="1"/>
    <col min="5" max="5" width="14" customWidth="1"/>
    <col min="6" max="6" width="40" customWidth="1"/>
    <col min="7" max="7" width="14" customWidth="1"/>
    <col min="8" max="8" width="13" customWidth="1"/>
    <col min="9" max="10" width="16" customWidth="1"/>
    <col min="11" max="13" width="14" customWidth="1"/>
    <col min="14" max="14" width="16" customWidth="1"/>
    <col min="15" max="15" width="30" customWidth="1"/>
    <col min="16" max="16" width="18" customWidth="1"/>
    <col min="17" max="17" width="24" customWidth="1"/>
    <col min="18" max="18" width="44" customWidth="1"/>
  </cols>
  <sheetData>
    <row r="1" spans="1:18" ht="18" x14ac:dyDescent="0.4">
      <c r="A1" s="1" t="s">
        <v>3166</v>
      </c>
    </row>
    <row r="2" spans="1:18" x14ac:dyDescent="0.35">
      <c r="A2" s="2" t="s">
        <v>3167</v>
      </c>
    </row>
    <row r="4" spans="1:18" ht="30" customHeight="1" x14ac:dyDescent="0.35">
      <c r="A4" s="14" t="s">
        <v>119</v>
      </c>
      <c r="B4" s="14" t="s">
        <v>3168</v>
      </c>
      <c r="C4" s="14" t="s">
        <v>3169</v>
      </c>
      <c r="D4" s="14" t="s">
        <v>3170</v>
      </c>
      <c r="E4" s="14" t="s">
        <v>3171</v>
      </c>
      <c r="F4" s="14" t="s">
        <v>3172</v>
      </c>
      <c r="G4" s="14" t="s">
        <v>3173</v>
      </c>
      <c r="H4" s="14" t="s">
        <v>3174</v>
      </c>
      <c r="I4" s="14" t="s">
        <v>3175</v>
      </c>
      <c r="J4" s="14" t="s">
        <v>2451</v>
      </c>
      <c r="K4" s="14" t="s">
        <v>3176</v>
      </c>
      <c r="L4" s="14" t="s">
        <v>3177</v>
      </c>
      <c r="M4" s="14" t="s">
        <v>3178</v>
      </c>
      <c r="N4" s="14" t="s">
        <v>3179</v>
      </c>
      <c r="O4" s="14" t="s">
        <v>3180</v>
      </c>
      <c r="P4" s="14" t="s">
        <v>3181</v>
      </c>
      <c r="Q4" s="14" t="s">
        <v>2457</v>
      </c>
      <c r="R4" s="14" t="s">
        <v>3182</v>
      </c>
    </row>
    <row r="5" spans="1:18" x14ac:dyDescent="0.35">
      <c r="A5" s="15" t="s">
        <v>2461</v>
      </c>
      <c r="B5" s="15" t="s">
        <v>2462</v>
      </c>
      <c r="C5" s="15" t="s">
        <v>3183</v>
      </c>
      <c r="D5" s="15"/>
      <c r="E5" s="15" t="s">
        <v>47</v>
      </c>
      <c r="F5" s="15" t="s">
        <v>41</v>
      </c>
      <c r="G5" s="16">
        <v>44593</v>
      </c>
      <c r="H5" s="16" t="str">
        <f>IF(COUNTIF(Sales_Ledger!$H$5:$H$863,A5)=0,"",_xlfn.MINIFS(Sales_Ledger!$B$5:$B$863,Sales_Ledger!$H$5:$H$863,A5))</f>
        <v/>
      </c>
      <c r="I5" s="17">
        <f>SUMIFS(Subscriptions!$I$5:$I$218,Subscriptions!$B$5:$B$218,A5)</f>
        <v>10500000</v>
      </c>
      <c r="J5" s="17">
        <f>SUMIFS(Subscriptions!$J$5:$J$218,Subscriptions!$B$5:$B$218,A5)</f>
        <v>0</v>
      </c>
      <c r="K5" s="17">
        <f>SUMIFS(Sales_Ledger!$J$5:$J$863,Sales_Ledger!$H$5:$H$863,$A5,Sales_Ledger!$D$5:$D$863,2023)</f>
        <v>0</v>
      </c>
      <c r="L5" s="17">
        <f>SUMIFS(Sales_Ledger!$J$5:$J$863,Sales_Ledger!$H$5:$H$863,$A5,Sales_Ledger!$D$5:$D$863,2024)</f>
        <v>0</v>
      </c>
      <c r="M5" s="17">
        <f>SUMIFS(Sales_Ledger!$J$5:$J$863,Sales_Ledger!$H$5:$H$863,$A5,Sales_Ledger!$D$5:$D$863,2025)</f>
        <v>0</v>
      </c>
      <c r="N5" s="17">
        <f t="shared" ref="N5:N68" si="0">SUM(K5:M5)</f>
        <v>0</v>
      </c>
      <c r="O5" s="15" t="s">
        <v>3184</v>
      </c>
      <c r="P5" s="15" t="s">
        <v>2465</v>
      </c>
      <c r="Q5" s="15" t="s">
        <v>2466</v>
      </c>
      <c r="R5" s="15" t="str">
        <f t="shared" ref="R5:R68" si="1">IF(AND(I5&gt;0,N5&gt;I5*1.02),"Receipts exceed register contract value: check for duplicate entries, extra plots or ancillary fees",IF(AND(I5=0,N5&gt;0),"Not in client register: contract value unknown",""))</f>
        <v/>
      </c>
    </row>
    <row r="6" spans="1:18" x14ac:dyDescent="0.35">
      <c r="A6" s="15" t="s">
        <v>2470</v>
      </c>
      <c r="B6" s="15" t="s">
        <v>2471</v>
      </c>
      <c r="C6" s="15" t="s">
        <v>3185</v>
      </c>
      <c r="D6" s="15" t="s">
        <v>3186</v>
      </c>
      <c r="E6" s="15" t="s">
        <v>47</v>
      </c>
      <c r="F6" s="15" t="s">
        <v>41</v>
      </c>
      <c r="G6" s="16">
        <v>44652</v>
      </c>
      <c r="H6" s="16" t="str">
        <f>IF(COUNTIF(Sales_Ledger!$H$5:$H$863,A6)=0,"",_xlfn.MINIFS(Sales_Ledger!$B$5:$B$863,Sales_Ledger!$H$5:$H$863,A6))</f>
        <v/>
      </c>
      <c r="I6" s="17">
        <f>SUMIFS(Subscriptions!$I$5:$I$218,Subscriptions!$B$5:$B$218,A6)</f>
        <v>52200000</v>
      </c>
      <c r="J6" s="17">
        <f>SUMIFS(Subscriptions!$J$5:$J$218,Subscriptions!$B$5:$B$218,A6)</f>
        <v>0</v>
      </c>
      <c r="K6" s="17">
        <f>SUMIFS(Sales_Ledger!$J$5:$J$863,Sales_Ledger!$H$5:$H$863,$A6,Sales_Ledger!$D$5:$D$863,2023)</f>
        <v>0</v>
      </c>
      <c r="L6" s="17">
        <f>SUMIFS(Sales_Ledger!$J$5:$J$863,Sales_Ledger!$H$5:$H$863,$A6,Sales_Ledger!$D$5:$D$863,2024)</f>
        <v>0</v>
      </c>
      <c r="M6" s="17">
        <f>SUMIFS(Sales_Ledger!$J$5:$J$863,Sales_Ledger!$H$5:$H$863,$A6,Sales_Ledger!$D$5:$D$863,2025)</f>
        <v>0</v>
      </c>
      <c r="N6" s="17">
        <f t="shared" si="0"/>
        <v>0</v>
      </c>
      <c r="O6" s="15" t="s">
        <v>3184</v>
      </c>
      <c r="P6" s="15" t="s">
        <v>2465</v>
      </c>
      <c r="Q6" s="15" t="s">
        <v>1800</v>
      </c>
      <c r="R6" s="15" t="str">
        <f t="shared" si="1"/>
        <v/>
      </c>
    </row>
    <row r="7" spans="1:18" x14ac:dyDescent="0.35">
      <c r="A7" s="15" t="s">
        <v>2476</v>
      </c>
      <c r="B7" s="15" t="s">
        <v>2477</v>
      </c>
      <c r="C7" s="15" t="s">
        <v>3187</v>
      </c>
      <c r="D7" s="15"/>
      <c r="E7" s="15" t="s">
        <v>47</v>
      </c>
      <c r="F7" s="15" t="s">
        <v>41</v>
      </c>
      <c r="G7" s="16">
        <v>44713</v>
      </c>
      <c r="H7" s="16" t="str">
        <f>IF(COUNTIF(Sales_Ledger!$H$5:$H$863,A7)=0,"",_xlfn.MINIFS(Sales_Ledger!$B$5:$B$863,Sales_Ledger!$H$5:$H$863,A7))</f>
        <v/>
      </c>
      <c r="I7" s="17">
        <f>SUMIFS(Subscriptions!$I$5:$I$218,Subscriptions!$B$5:$B$218,A7)</f>
        <v>63000000</v>
      </c>
      <c r="J7" s="17">
        <f>SUMIFS(Subscriptions!$J$5:$J$218,Subscriptions!$B$5:$B$218,A7)</f>
        <v>0</v>
      </c>
      <c r="K7" s="17">
        <f>SUMIFS(Sales_Ledger!$J$5:$J$863,Sales_Ledger!$H$5:$H$863,$A7,Sales_Ledger!$D$5:$D$863,2023)</f>
        <v>0</v>
      </c>
      <c r="L7" s="17">
        <f>SUMIFS(Sales_Ledger!$J$5:$J$863,Sales_Ledger!$H$5:$H$863,$A7,Sales_Ledger!$D$5:$D$863,2024)</f>
        <v>0</v>
      </c>
      <c r="M7" s="17">
        <f>SUMIFS(Sales_Ledger!$J$5:$J$863,Sales_Ledger!$H$5:$H$863,$A7,Sales_Ledger!$D$5:$D$863,2025)</f>
        <v>0</v>
      </c>
      <c r="N7" s="17">
        <f t="shared" si="0"/>
        <v>0</v>
      </c>
      <c r="O7" s="15" t="s">
        <v>3184</v>
      </c>
      <c r="P7" s="15" t="s">
        <v>2465</v>
      </c>
      <c r="Q7" s="15" t="s">
        <v>2479</v>
      </c>
      <c r="R7" s="15" t="str">
        <f t="shared" si="1"/>
        <v/>
      </c>
    </row>
    <row r="8" spans="1:18" x14ac:dyDescent="0.35">
      <c r="A8" s="15" t="s">
        <v>2482</v>
      </c>
      <c r="B8" s="15" t="s">
        <v>2483</v>
      </c>
      <c r="C8" s="15"/>
      <c r="D8" s="15"/>
      <c r="E8" s="15" t="s">
        <v>47</v>
      </c>
      <c r="F8" s="15" t="s">
        <v>41</v>
      </c>
      <c r="G8" s="16">
        <v>44774</v>
      </c>
      <c r="H8" s="16" t="str">
        <f>IF(COUNTIF(Sales_Ledger!$H$5:$H$863,A8)=0,"",_xlfn.MINIFS(Sales_Ledger!$B$5:$B$863,Sales_Ledger!$H$5:$H$863,A8))</f>
        <v/>
      </c>
      <c r="I8" s="17">
        <f>SUMIFS(Subscriptions!$I$5:$I$218,Subscriptions!$B$5:$B$218,A8)</f>
        <v>40000000</v>
      </c>
      <c r="J8" s="17">
        <f>SUMIFS(Subscriptions!$J$5:$J$218,Subscriptions!$B$5:$B$218,A8)</f>
        <v>0</v>
      </c>
      <c r="K8" s="17">
        <f>SUMIFS(Sales_Ledger!$J$5:$J$863,Sales_Ledger!$H$5:$H$863,$A8,Sales_Ledger!$D$5:$D$863,2023)</f>
        <v>0</v>
      </c>
      <c r="L8" s="17">
        <f>SUMIFS(Sales_Ledger!$J$5:$J$863,Sales_Ledger!$H$5:$H$863,$A8,Sales_Ledger!$D$5:$D$863,2024)</f>
        <v>0</v>
      </c>
      <c r="M8" s="17">
        <f>SUMIFS(Sales_Ledger!$J$5:$J$863,Sales_Ledger!$H$5:$H$863,$A8,Sales_Ledger!$D$5:$D$863,2025)</f>
        <v>0</v>
      </c>
      <c r="N8" s="17">
        <f t="shared" si="0"/>
        <v>0</v>
      </c>
      <c r="O8" s="15" t="s">
        <v>3184</v>
      </c>
      <c r="P8" s="15" t="s">
        <v>2486</v>
      </c>
      <c r="Q8" s="15" t="s">
        <v>1800</v>
      </c>
      <c r="R8" s="15" t="str">
        <f t="shared" si="1"/>
        <v/>
      </c>
    </row>
    <row r="9" spans="1:18" x14ac:dyDescent="0.35">
      <c r="A9" s="15" t="s">
        <v>2489</v>
      </c>
      <c r="B9" s="15" t="s">
        <v>2490</v>
      </c>
      <c r="C9" s="15"/>
      <c r="D9" s="15" t="s">
        <v>3186</v>
      </c>
      <c r="E9" s="15" t="s">
        <v>47</v>
      </c>
      <c r="F9" s="15" t="s">
        <v>41</v>
      </c>
      <c r="G9" s="16">
        <v>44896</v>
      </c>
      <c r="H9" s="16" t="str">
        <f>IF(COUNTIF(Sales_Ledger!$H$5:$H$863,A9)=0,"",_xlfn.MINIFS(Sales_Ledger!$B$5:$B$863,Sales_Ledger!$H$5:$H$863,A9))</f>
        <v/>
      </c>
      <c r="I9" s="17">
        <f>SUMIFS(Subscriptions!$I$5:$I$218,Subscriptions!$B$5:$B$218,A9)</f>
        <v>47000000</v>
      </c>
      <c r="J9" s="17">
        <f>SUMIFS(Subscriptions!$J$5:$J$218,Subscriptions!$B$5:$B$218,A9)</f>
        <v>0</v>
      </c>
      <c r="K9" s="17">
        <f>SUMIFS(Sales_Ledger!$J$5:$J$863,Sales_Ledger!$H$5:$H$863,$A9,Sales_Ledger!$D$5:$D$863,2023)</f>
        <v>0</v>
      </c>
      <c r="L9" s="17">
        <f>SUMIFS(Sales_Ledger!$J$5:$J$863,Sales_Ledger!$H$5:$H$863,$A9,Sales_Ledger!$D$5:$D$863,2024)</f>
        <v>0</v>
      </c>
      <c r="M9" s="17">
        <f>SUMIFS(Sales_Ledger!$J$5:$J$863,Sales_Ledger!$H$5:$H$863,$A9,Sales_Ledger!$D$5:$D$863,2025)</f>
        <v>0</v>
      </c>
      <c r="N9" s="17">
        <f t="shared" si="0"/>
        <v>0</v>
      </c>
      <c r="O9" s="15" t="s">
        <v>3184</v>
      </c>
      <c r="P9" s="15" t="s">
        <v>2465</v>
      </c>
      <c r="Q9" s="15" t="s">
        <v>2001</v>
      </c>
      <c r="R9" s="15" t="str">
        <f t="shared" si="1"/>
        <v/>
      </c>
    </row>
    <row r="10" spans="1:18" x14ac:dyDescent="0.35">
      <c r="A10" s="15" t="s">
        <v>132</v>
      </c>
      <c r="B10" s="15" t="s">
        <v>2680</v>
      </c>
      <c r="C10" s="15" t="s">
        <v>3188</v>
      </c>
      <c r="D10" s="15" t="s">
        <v>3186</v>
      </c>
      <c r="E10" s="15" t="s">
        <v>46</v>
      </c>
      <c r="F10" s="15" t="s">
        <v>3189</v>
      </c>
      <c r="G10" s="16">
        <v>45288</v>
      </c>
      <c r="H10" s="16">
        <f>IF(COUNTIF(Sales_Ledger!$H$5:$H$863,A10)=0,"",_xlfn.MINIFS(Sales_Ledger!$B$5:$B$863,Sales_Ledger!$H$5:$H$863,A10))</f>
        <v>44957</v>
      </c>
      <c r="I10" s="17">
        <f>SUMIFS(Subscriptions!$I$5:$I$218,Subscriptions!$B$5:$B$218,A10)</f>
        <v>10000000</v>
      </c>
      <c r="J10" s="17">
        <f>SUMIFS(Subscriptions!$J$5:$J$218,Subscriptions!$B$5:$B$218,A10)</f>
        <v>10000000</v>
      </c>
      <c r="K10" s="17">
        <f>SUMIFS(Sales_Ledger!$J$5:$J$863,Sales_Ledger!$H$5:$H$863,$A10,Sales_Ledger!$D$5:$D$863,2023)</f>
        <v>2894000</v>
      </c>
      <c r="L10" s="17">
        <f>SUMIFS(Sales_Ledger!$J$5:$J$863,Sales_Ledger!$H$5:$H$863,$A10,Sales_Ledger!$D$5:$D$863,2024)</f>
        <v>8385000</v>
      </c>
      <c r="M10" s="17">
        <f>SUMIFS(Sales_Ledger!$J$5:$J$863,Sales_Ledger!$H$5:$H$863,$A10,Sales_Ledger!$D$5:$D$863,2025)</f>
        <v>0</v>
      </c>
      <c r="N10" s="17">
        <f t="shared" si="0"/>
        <v>11279000</v>
      </c>
      <c r="O10" s="15" t="s">
        <v>3190</v>
      </c>
      <c r="P10" s="15" t="s">
        <v>2502</v>
      </c>
      <c r="Q10" s="15" t="s">
        <v>2513</v>
      </c>
      <c r="R10" s="15" t="str">
        <f t="shared" si="1"/>
        <v>Receipts exceed register contract value: check for duplicate entries, extra plots or ancillary fees</v>
      </c>
    </row>
    <row r="11" spans="1:18" x14ac:dyDescent="0.35">
      <c r="A11" s="15" t="s">
        <v>2493</v>
      </c>
      <c r="B11" s="15" t="s">
        <v>2494</v>
      </c>
      <c r="C11" s="15"/>
      <c r="D11" s="15" t="s">
        <v>3186</v>
      </c>
      <c r="E11" s="15" t="s">
        <v>47</v>
      </c>
      <c r="F11" s="15" t="s">
        <v>41</v>
      </c>
      <c r="G11" s="16">
        <v>44958</v>
      </c>
      <c r="H11" s="16" t="str">
        <f>IF(COUNTIF(Sales_Ledger!$H$5:$H$863,A11)=0,"",_xlfn.MINIFS(Sales_Ledger!$B$5:$B$863,Sales_Ledger!$H$5:$H$863,A11))</f>
        <v/>
      </c>
      <c r="I11" s="17">
        <f>SUMIFS(Subscriptions!$I$5:$I$218,Subscriptions!$B$5:$B$218,A11)</f>
        <v>600000000</v>
      </c>
      <c r="J11" s="17">
        <f>SUMIFS(Subscriptions!$J$5:$J$218,Subscriptions!$B$5:$B$218,A11)</f>
        <v>0</v>
      </c>
      <c r="K11" s="17">
        <f>SUMIFS(Sales_Ledger!$J$5:$J$863,Sales_Ledger!$H$5:$H$863,$A11,Sales_Ledger!$D$5:$D$863,2023)</f>
        <v>0</v>
      </c>
      <c r="L11" s="17">
        <f>SUMIFS(Sales_Ledger!$J$5:$J$863,Sales_Ledger!$H$5:$H$863,$A11,Sales_Ledger!$D$5:$D$863,2024)</f>
        <v>0</v>
      </c>
      <c r="M11" s="17">
        <f>SUMIFS(Sales_Ledger!$J$5:$J$863,Sales_Ledger!$H$5:$H$863,$A11,Sales_Ledger!$D$5:$D$863,2025)</f>
        <v>0</v>
      </c>
      <c r="N11" s="17">
        <f t="shared" si="0"/>
        <v>0</v>
      </c>
      <c r="O11" s="15" t="s">
        <v>3184</v>
      </c>
      <c r="P11" s="15" t="s">
        <v>2465</v>
      </c>
      <c r="Q11" s="15" t="s">
        <v>2496</v>
      </c>
      <c r="R11" s="15" t="str">
        <f t="shared" si="1"/>
        <v/>
      </c>
    </row>
    <row r="12" spans="1:18" x14ac:dyDescent="0.35">
      <c r="A12" s="15" t="s">
        <v>212</v>
      </c>
      <c r="B12" s="15" t="s">
        <v>2499</v>
      </c>
      <c r="C12" s="15" t="s">
        <v>3191</v>
      </c>
      <c r="D12" s="15" t="s">
        <v>3186</v>
      </c>
      <c r="E12" s="15" t="s">
        <v>46</v>
      </c>
      <c r="F12" s="15" t="s">
        <v>3192</v>
      </c>
      <c r="G12" s="16">
        <v>44967</v>
      </c>
      <c r="H12" s="16">
        <f>IF(COUNTIF(Sales_Ledger!$H$5:$H$863,A12)=0,"",_xlfn.MINIFS(Sales_Ledger!$B$5:$B$863,Sales_Ledger!$H$5:$H$863,A12))</f>
        <v>45202</v>
      </c>
      <c r="I12" s="17">
        <f>SUMIFS(Subscriptions!$I$5:$I$218,Subscriptions!$B$5:$B$218,A12)</f>
        <v>3900000</v>
      </c>
      <c r="J12" s="17">
        <f>SUMIFS(Subscriptions!$J$5:$J$218,Subscriptions!$B$5:$B$218,A12)</f>
        <v>3900000</v>
      </c>
      <c r="K12" s="17">
        <f>SUMIFS(Sales_Ledger!$J$5:$J$863,Sales_Ledger!$H$5:$H$863,$A12,Sales_Ledger!$D$5:$D$863,2023)</f>
        <v>500000</v>
      </c>
      <c r="L12" s="17">
        <f>SUMIFS(Sales_Ledger!$J$5:$J$863,Sales_Ledger!$H$5:$H$863,$A12,Sales_Ledger!$D$5:$D$863,2024)</f>
        <v>1150000</v>
      </c>
      <c r="M12" s="17">
        <f>SUMIFS(Sales_Ledger!$J$5:$J$863,Sales_Ledger!$H$5:$H$863,$A12,Sales_Ledger!$D$5:$D$863,2025)</f>
        <v>0</v>
      </c>
      <c r="N12" s="17">
        <f t="shared" si="0"/>
        <v>1650000</v>
      </c>
      <c r="O12" s="15" t="s">
        <v>3190</v>
      </c>
      <c r="P12" s="15" t="s">
        <v>2502</v>
      </c>
      <c r="Q12" s="15" t="s">
        <v>1800</v>
      </c>
      <c r="R12" s="15" t="str">
        <f t="shared" si="1"/>
        <v/>
      </c>
    </row>
    <row r="13" spans="1:18" x14ac:dyDescent="0.35">
      <c r="A13" s="15" t="s">
        <v>140</v>
      </c>
      <c r="B13" s="15" t="s">
        <v>141</v>
      </c>
      <c r="C13" s="15" t="s">
        <v>3193</v>
      </c>
      <c r="D13" s="15" t="s">
        <v>3194</v>
      </c>
      <c r="E13" s="15" t="s">
        <v>46</v>
      </c>
      <c r="F13" s="15" t="s">
        <v>3195</v>
      </c>
      <c r="G13" s="16">
        <v>45334</v>
      </c>
      <c r="H13" s="16">
        <f>IF(COUNTIF(Sales_Ledger!$H$5:$H$863,A13)=0,"",_xlfn.MINIFS(Sales_Ledger!$B$5:$B$863,Sales_Ledger!$H$5:$H$863,A13))</f>
        <v>44987</v>
      </c>
      <c r="I13" s="17">
        <f>SUMIFS(Subscriptions!$I$5:$I$218,Subscriptions!$B$5:$B$218,A13)</f>
        <v>7500000</v>
      </c>
      <c r="J13" s="17">
        <f>SUMIFS(Subscriptions!$J$5:$J$218,Subscriptions!$B$5:$B$218,A13)</f>
        <v>7500000</v>
      </c>
      <c r="K13" s="17">
        <f>SUMIFS(Sales_Ledger!$J$5:$J$863,Sales_Ledger!$H$5:$H$863,$A13,Sales_Ledger!$D$5:$D$863,2023)</f>
        <v>740000</v>
      </c>
      <c r="L13" s="17">
        <f>SUMIFS(Sales_Ledger!$J$5:$J$863,Sales_Ledger!$H$5:$H$863,$A13,Sales_Ledger!$D$5:$D$863,2024)</f>
        <v>3875000</v>
      </c>
      <c r="M13" s="17">
        <f>SUMIFS(Sales_Ledger!$J$5:$J$863,Sales_Ledger!$H$5:$H$863,$A13,Sales_Ledger!$D$5:$D$863,2025)</f>
        <v>0</v>
      </c>
      <c r="N13" s="17">
        <f t="shared" si="0"/>
        <v>4615000</v>
      </c>
      <c r="O13" s="15" t="s">
        <v>3190</v>
      </c>
      <c r="P13" s="15" t="s">
        <v>2502</v>
      </c>
      <c r="Q13" s="15" t="s">
        <v>3196</v>
      </c>
      <c r="R13" s="15" t="str">
        <f t="shared" si="1"/>
        <v/>
      </c>
    </row>
    <row r="14" spans="1:18" x14ac:dyDescent="0.35">
      <c r="A14" s="15" t="s">
        <v>147</v>
      </c>
      <c r="B14" s="15" t="s">
        <v>148</v>
      </c>
      <c r="C14" s="15" t="s">
        <v>3197</v>
      </c>
      <c r="D14" s="15" t="s">
        <v>3186</v>
      </c>
      <c r="E14" s="15" t="s">
        <v>46</v>
      </c>
      <c r="F14" s="15" t="s">
        <v>3198</v>
      </c>
      <c r="G14" s="16">
        <v>45365</v>
      </c>
      <c r="H14" s="16">
        <f>IF(COUNTIF(Sales_Ledger!$H$5:$H$863,A14)=0,"",_xlfn.MINIFS(Sales_Ledger!$B$5:$B$863,Sales_Ledger!$H$5:$H$863,A14))</f>
        <v>45059</v>
      </c>
      <c r="I14" s="17">
        <f>SUMIFS(Subscriptions!$I$5:$I$218,Subscriptions!$B$5:$B$218,A14)</f>
        <v>7000000</v>
      </c>
      <c r="J14" s="17">
        <f>SUMIFS(Subscriptions!$J$5:$J$218,Subscriptions!$B$5:$B$218,A14)</f>
        <v>7000000</v>
      </c>
      <c r="K14" s="17">
        <f>SUMIFS(Sales_Ledger!$J$5:$J$863,Sales_Ledger!$H$5:$H$863,$A14,Sales_Ledger!$D$5:$D$863,2023)</f>
        <v>300000</v>
      </c>
      <c r="L14" s="17">
        <f>SUMIFS(Sales_Ledger!$J$5:$J$863,Sales_Ledger!$H$5:$H$863,$A14,Sales_Ledger!$D$5:$D$863,2024)</f>
        <v>5300000</v>
      </c>
      <c r="M14" s="17">
        <f>SUMIFS(Sales_Ledger!$J$5:$J$863,Sales_Ledger!$H$5:$H$863,$A14,Sales_Ledger!$D$5:$D$863,2025)</f>
        <v>0</v>
      </c>
      <c r="N14" s="17">
        <f t="shared" si="0"/>
        <v>5600000</v>
      </c>
      <c r="O14" s="15" t="s">
        <v>3190</v>
      </c>
      <c r="P14" s="15" t="s">
        <v>2502</v>
      </c>
      <c r="Q14" s="15" t="s">
        <v>2689</v>
      </c>
      <c r="R14" s="15" t="str">
        <f t="shared" si="1"/>
        <v/>
      </c>
    </row>
    <row r="15" spans="1:18" x14ac:dyDescent="0.35">
      <c r="A15" s="15" t="s">
        <v>1136</v>
      </c>
      <c r="B15" s="15" t="s">
        <v>2508</v>
      </c>
      <c r="C15" s="15" t="s">
        <v>3199</v>
      </c>
      <c r="D15" s="15" t="s">
        <v>3186</v>
      </c>
      <c r="E15" s="15" t="s">
        <v>46</v>
      </c>
      <c r="F15" s="15" t="s">
        <v>3200</v>
      </c>
      <c r="G15" s="16">
        <v>45061</v>
      </c>
      <c r="H15" s="16">
        <f>IF(COUNTIF(Sales_Ledger!$H$5:$H$863,A15)=0,"",_xlfn.MINIFS(Sales_Ledger!$B$5:$B$863,Sales_Ledger!$H$5:$H$863,A15))</f>
        <v>45491</v>
      </c>
      <c r="I15" s="17">
        <f>SUMIFS(Subscriptions!$I$5:$I$218,Subscriptions!$B$5:$B$218,A15)</f>
        <v>1500000</v>
      </c>
      <c r="J15" s="17">
        <f>SUMIFS(Subscriptions!$J$5:$J$218,Subscriptions!$B$5:$B$218,A15)</f>
        <v>1500000</v>
      </c>
      <c r="K15" s="17">
        <f>SUMIFS(Sales_Ledger!$J$5:$J$863,Sales_Ledger!$H$5:$H$863,$A15,Sales_Ledger!$D$5:$D$863,2023)</f>
        <v>0</v>
      </c>
      <c r="L15" s="17">
        <f>SUMIFS(Sales_Ledger!$J$5:$J$863,Sales_Ledger!$H$5:$H$863,$A15,Sales_Ledger!$D$5:$D$863,2024)</f>
        <v>475000</v>
      </c>
      <c r="M15" s="17">
        <f>SUMIFS(Sales_Ledger!$J$5:$J$863,Sales_Ledger!$H$5:$H$863,$A15,Sales_Ledger!$D$5:$D$863,2025)</f>
        <v>0</v>
      </c>
      <c r="N15" s="17">
        <f t="shared" si="0"/>
        <v>475000</v>
      </c>
      <c r="O15" s="15" t="s">
        <v>3190</v>
      </c>
      <c r="P15" s="15" t="s">
        <v>2502</v>
      </c>
      <c r="Q15" s="15" t="s">
        <v>2513</v>
      </c>
      <c r="R15" s="15" t="str">
        <f t="shared" si="1"/>
        <v/>
      </c>
    </row>
    <row r="16" spans="1:18" x14ac:dyDescent="0.35">
      <c r="A16" s="15" t="s">
        <v>152</v>
      </c>
      <c r="B16" s="15" t="s">
        <v>153</v>
      </c>
      <c r="C16" s="15" t="s">
        <v>3201</v>
      </c>
      <c r="D16" s="15" t="s">
        <v>3202</v>
      </c>
      <c r="E16" s="15" t="s">
        <v>46</v>
      </c>
      <c r="F16" s="15" t="s">
        <v>3203</v>
      </c>
      <c r="G16" s="16">
        <v>45376</v>
      </c>
      <c r="H16" s="16">
        <f>IF(COUNTIF(Sales_Ledger!$H$5:$H$863,A16)=0,"",_xlfn.MINIFS(Sales_Ledger!$B$5:$B$863,Sales_Ledger!$H$5:$H$863,A16))</f>
        <v>45063</v>
      </c>
      <c r="I16" s="17">
        <f>SUMIFS(Subscriptions!$I$5:$I$218,Subscriptions!$B$5:$B$218,A16)</f>
        <v>3500000</v>
      </c>
      <c r="J16" s="17">
        <f>SUMIFS(Subscriptions!$J$5:$J$218,Subscriptions!$B$5:$B$218,A16)</f>
        <v>3500000</v>
      </c>
      <c r="K16" s="17">
        <f>SUMIFS(Sales_Ledger!$J$5:$J$863,Sales_Ledger!$H$5:$H$863,$A16,Sales_Ledger!$D$5:$D$863,2023)</f>
        <v>1000000</v>
      </c>
      <c r="L16" s="17">
        <f>SUMIFS(Sales_Ledger!$J$5:$J$863,Sales_Ledger!$H$5:$H$863,$A16,Sales_Ledger!$D$5:$D$863,2024)</f>
        <v>3500000</v>
      </c>
      <c r="M16" s="17">
        <f>SUMIFS(Sales_Ledger!$J$5:$J$863,Sales_Ledger!$H$5:$H$863,$A16,Sales_Ledger!$D$5:$D$863,2025)</f>
        <v>0</v>
      </c>
      <c r="N16" s="17">
        <f t="shared" si="0"/>
        <v>4500000</v>
      </c>
      <c r="O16" s="15" t="s">
        <v>3190</v>
      </c>
      <c r="P16" s="15" t="s">
        <v>2502</v>
      </c>
      <c r="Q16" s="15" t="s">
        <v>2596</v>
      </c>
      <c r="R16" s="15" t="str">
        <f t="shared" si="1"/>
        <v>Receipts exceed register contract value: check for duplicate entries, extra plots or ancillary fees</v>
      </c>
    </row>
    <row r="17" spans="1:18" x14ac:dyDescent="0.35">
      <c r="A17" s="15" t="s">
        <v>156</v>
      </c>
      <c r="B17" s="15" t="s">
        <v>2516</v>
      </c>
      <c r="C17" s="15" t="s">
        <v>3204</v>
      </c>
      <c r="D17" s="15" t="s">
        <v>3186</v>
      </c>
      <c r="E17" s="15" t="s">
        <v>46</v>
      </c>
      <c r="F17" s="15" t="s">
        <v>3205</v>
      </c>
      <c r="G17" s="16">
        <v>45073</v>
      </c>
      <c r="H17" s="16">
        <f>IF(COUNTIF(Sales_Ledger!$H$5:$H$863,A17)=0,"",_xlfn.MINIFS(Sales_Ledger!$B$5:$B$863,Sales_Ledger!$H$5:$H$863,A17))</f>
        <v>45076</v>
      </c>
      <c r="I17" s="17">
        <f>SUMIFS(Subscriptions!$I$5:$I$218,Subscriptions!$B$5:$B$218,A17)</f>
        <v>1500000</v>
      </c>
      <c r="J17" s="17">
        <f>SUMIFS(Subscriptions!$J$5:$J$218,Subscriptions!$B$5:$B$218,A17)</f>
        <v>1400000</v>
      </c>
      <c r="K17" s="17">
        <f>SUMIFS(Sales_Ledger!$J$5:$J$863,Sales_Ledger!$H$5:$H$863,$A17,Sales_Ledger!$D$5:$D$863,2023)</f>
        <v>1000000</v>
      </c>
      <c r="L17" s="17">
        <f>SUMIFS(Sales_Ledger!$J$5:$J$863,Sales_Ledger!$H$5:$H$863,$A17,Sales_Ledger!$D$5:$D$863,2024)</f>
        <v>400000</v>
      </c>
      <c r="M17" s="17">
        <f>SUMIFS(Sales_Ledger!$J$5:$J$863,Sales_Ledger!$H$5:$H$863,$A17,Sales_Ledger!$D$5:$D$863,2025)</f>
        <v>0</v>
      </c>
      <c r="N17" s="17">
        <f t="shared" si="0"/>
        <v>1400000</v>
      </c>
      <c r="O17" s="15" t="s">
        <v>3190</v>
      </c>
      <c r="P17" s="15" t="s">
        <v>2502</v>
      </c>
      <c r="Q17" s="15" t="s">
        <v>1800</v>
      </c>
      <c r="R17" s="15" t="str">
        <f t="shared" si="1"/>
        <v/>
      </c>
    </row>
    <row r="18" spans="1:18" x14ac:dyDescent="0.35">
      <c r="A18" s="15" t="s">
        <v>2521</v>
      </c>
      <c r="B18" s="15" t="s">
        <v>2522</v>
      </c>
      <c r="C18" s="15" t="s">
        <v>3206</v>
      </c>
      <c r="D18" s="15" t="s">
        <v>3186</v>
      </c>
      <c r="E18" s="15" t="s">
        <v>46</v>
      </c>
      <c r="F18" s="15" t="s">
        <v>29</v>
      </c>
      <c r="G18" s="16">
        <v>45083</v>
      </c>
      <c r="H18" s="16" t="str">
        <f>IF(COUNTIF(Sales_Ledger!$H$5:$H$863,A18)=0,"",_xlfn.MINIFS(Sales_Ledger!$B$5:$B$863,Sales_Ledger!$H$5:$H$863,A18))</f>
        <v/>
      </c>
      <c r="I18" s="17">
        <f>SUMIFS(Subscriptions!$I$5:$I$218,Subscriptions!$B$5:$B$218,A18)</f>
        <v>3600000</v>
      </c>
      <c r="J18" s="17">
        <f>SUMIFS(Subscriptions!$J$5:$J$218,Subscriptions!$B$5:$B$218,A18)</f>
        <v>3600000</v>
      </c>
      <c r="K18" s="17">
        <f>SUMIFS(Sales_Ledger!$J$5:$J$863,Sales_Ledger!$H$5:$H$863,$A18,Sales_Ledger!$D$5:$D$863,2023)</f>
        <v>0</v>
      </c>
      <c r="L18" s="17">
        <f>SUMIFS(Sales_Ledger!$J$5:$J$863,Sales_Ledger!$H$5:$H$863,$A18,Sales_Ledger!$D$5:$D$863,2024)</f>
        <v>0</v>
      </c>
      <c r="M18" s="17">
        <f>SUMIFS(Sales_Ledger!$J$5:$J$863,Sales_Ledger!$H$5:$H$863,$A18,Sales_Ledger!$D$5:$D$863,2025)</f>
        <v>0</v>
      </c>
      <c r="N18" s="17">
        <f t="shared" si="0"/>
        <v>0</v>
      </c>
      <c r="O18" s="15" t="s">
        <v>3184</v>
      </c>
      <c r="P18" s="15" t="s">
        <v>2502</v>
      </c>
      <c r="Q18" s="15" t="s">
        <v>1800</v>
      </c>
      <c r="R18" s="15" t="str">
        <f t="shared" si="1"/>
        <v/>
      </c>
    </row>
    <row r="19" spans="1:18" x14ac:dyDescent="0.35">
      <c r="A19" s="15" t="s">
        <v>161</v>
      </c>
      <c r="B19" s="15" t="s">
        <v>2528</v>
      </c>
      <c r="C19" s="15" t="s">
        <v>3207</v>
      </c>
      <c r="D19" s="15" t="s">
        <v>3186</v>
      </c>
      <c r="E19" s="15" t="s">
        <v>46</v>
      </c>
      <c r="F19" s="15" t="s">
        <v>3208</v>
      </c>
      <c r="G19" s="16">
        <v>45092</v>
      </c>
      <c r="H19" s="16">
        <f>IF(COUNTIF(Sales_Ledger!$H$5:$H$863,A19)=0,"",_xlfn.MINIFS(Sales_Ledger!$B$5:$B$863,Sales_Ledger!$H$5:$H$863,A19))</f>
        <v>45092</v>
      </c>
      <c r="I19" s="17">
        <f>SUMIFS(Subscriptions!$I$5:$I$218,Subscriptions!$B$5:$B$218,A19)</f>
        <v>1500000</v>
      </c>
      <c r="J19" s="17">
        <f>SUMIFS(Subscriptions!$J$5:$J$218,Subscriptions!$B$5:$B$218,A19)</f>
        <v>1500000</v>
      </c>
      <c r="K19" s="17">
        <f>SUMIFS(Sales_Ledger!$J$5:$J$863,Sales_Ledger!$H$5:$H$863,$A19,Sales_Ledger!$D$5:$D$863,2023)</f>
        <v>1500000</v>
      </c>
      <c r="L19" s="17">
        <f>SUMIFS(Sales_Ledger!$J$5:$J$863,Sales_Ledger!$H$5:$H$863,$A19,Sales_Ledger!$D$5:$D$863,2024)</f>
        <v>135000</v>
      </c>
      <c r="M19" s="17">
        <f>SUMIFS(Sales_Ledger!$J$5:$J$863,Sales_Ledger!$H$5:$H$863,$A19,Sales_Ledger!$D$5:$D$863,2025)</f>
        <v>0</v>
      </c>
      <c r="N19" s="17">
        <f t="shared" si="0"/>
        <v>1635000</v>
      </c>
      <c r="O19" s="15" t="s">
        <v>3190</v>
      </c>
      <c r="P19" s="15" t="s">
        <v>2502</v>
      </c>
      <c r="Q19" s="15" t="s">
        <v>2531</v>
      </c>
      <c r="R19" s="15" t="str">
        <f t="shared" si="1"/>
        <v>Receipts exceed register contract value: check for duplicate entries, extra plots or ancillary fees</v>
      </c>
    </row>
    <row r="20" spans="1:18" x14ac:dyDescent="0.35">
      <c r="A20" s="15" t="s">
        <v>2533</v>
      </c>
      <c r="B20" s="15" t="s">
        <v>2534</v>
      </c>
      <c r="C20" s="15" t="s">
        <v>3209</v>
      </c>
      <c r="D20" s="15"/>
      <c r="E20" s="15" t="s">
        <v>46</v>
      </c>
      <c r="F20" s="15" t="s">
        <v>29</v>
      </c>
      <c r="G20" s="16">
        <v>45103</v>
      </c>
      <c r="H20" s="16" t="str">
        <f>IF(COUNTIF(Sales_Ledger!$H$5:$H$863,A20)=0,"",_xlfn.MINIFS(Sales_Ledger!$B$5:$B$863,Sales_Ledger!$H$5:$H$863,A20))</f>
        <v/>
      </c>
      <c r="I20" s="17">
        <f>SUMIFS(Subscriptions!$I$5:$I$218,Subscriptions!$B$5:$B$218,A20)</f>
        <v>1500000</v>
      </c>
      <c r="J20" s="17">
        <f>SUMIFS(Subscriptions!$J$5:$J$218,Subscriptions!$B$5:$B$218,A20)</f>
        <v>0</v>
      </c>
      <c r="K20" s="17">
        <f>SUMIFS(Sales_Ledger!$J$5:$J$863,Sales_Ledger!$H$5:$H$863,$A20,Sales_Ledger!$D$5:$D$863,2023)</f>
        <v>0</v>
      </c>
      <c r="L20" s="17">
        <f>SUMIFS(Sales_Ledger!$J$5:$J$863,Sales_Ledger!$H$5:$H$863,$A20,Sales_Ledger!$D$5:$D$863,2024)</f>
        <v>0</v>
      </c>
      <c r="M20" s="17">
        <f>SUMIFS(Sales_Ledger!$J$5:$J$863,Sales_Ledger!$H$5:$H$863,$A20,Sales_Ledger!$D$5:$D$863,2025)</f>
        <v>0</v>
      </c>
      <c r="N20" s="17">
        <f t="shared" si="0"/>
        <v>0</v>
      </c>
      <c r="O20" s="15" t="s">
        <v>3184</v>
      </c>
      <c r="P20" s="15" t="s">
        <v>2535</v>
      </c>
      <c r="Q20" s="15" t="s">
        <v>2537</v>
      </c>
      <c r="R20" s="15" t="str">
        <f t="shared" si="1"/>
        <v/>
      </c>
    </row>
    <row r="21" spans="1:18" x14ac:dyDescent="0.35">
      <c r="A21" s="15" t="s">
        <v>414</v>
      </c>
      <c r="B21" s="15" t="s">
        <v>2541</v>
      </c>
      <c r="C21" s="15" t="s">
        <v>3210</v>
      </c>
      <c r="D21" s="15" t="s">
        <v>3211</v>
      </c>
      <c r="E21" s="15" t="s">
        <v>46</v>
      </c>
      <c r="F21" s="15" t="s">
        <v>3212</v>
      </c>
      <c r="G21" s="16">
        <v>45129</v>
      </c>
      <c r="H21" s="16">
        <f>IF(COUNTIF(Sales_Ledger!$H$5:$H$863,A21)=0,"",_xlfn.MINIFS(Sales_Ledger!$B$5:$B$863,Sales_Ledger!$H$5:$H$863,A21))</f>
        <v>45306</v>
      </c>
      <c r="I21" s="17">
        <f>SUMIFS(Subscriptions!$I$5:$I$218,Subscriptions!$B$5:$B$218,A21)</f>
        <v>6500000</v>
      </c>
      <c r="J21" s="17">
        <f>SUMIFS(Subscriptions!$J$5:$J$218,Subscriptions!$B$5:$B$218,A21)</f>
        <v>6500000</v>
      </c>
      <c r="K21" s="17">
        <f>SUMIFS(Sales_Ledger!$J$5:$J$863,Sales_Ledger!$H$5:$H$863,$A21,Sales_Ledger!$D$5:$D$863,2023)</f>
        <v>0</v>
      </c>
      <c r="L21" s="17">
        <f>SUMIFS(Sales_Ledger!$J$5:$J$863,Sales_Ledger!$H$5:$H$863,$A21,Sales_Ledger!$D$5:$D$863,2024)</f>
        <v>5455000</v>
      </c>
      <c r="M21" s="17">
        <f>SUMIFS(Sales_Ledger!$J$5:$J$863,Sales_Ledger!$H$5:$H$863,$A21,Sales_Ledger!$D$5:$D$863,2025)</f>
        <v>45000</v>
      </c>
      <c r="N21" s="17">
        <f t="shared" si="0"/>
        <v>5500000</v>
      </c>
      <c r="O21" s="15" t="s">
        <v>3190</v>
      </c>
      <c r="P21" s="15" t="s">
        <v>3213</v>
      </c>
      <c r="Q21" s="15" t="s">
        <v>3214</v>
      </c>
      <c r="R21" s="15" t="str">
        <f t="shared" si="1"/>
        <v/>
      </c>
    </row>
    <row r="22" spans="1:18" x14ac:dyDescent="0.35">
      <c r="A22" s="15" t="s">
        <v>193</v>
      </c>
      <c r="B22" s="15" t="s">
        <v>194</v>
      </c>
      <c r="C22" s="15" t="s">
        <v>3215</v>
      </c>
      <c r="D22" s="15" t="s">
        <v>3186</v>
      </c>
      <c r="E22" s="15" t="s">
        <v>46</v>
      </c>
      <c r="F22" s="15" t="s">
        <v>3189</v>
      </c>
      <c r="G22" s="16">
        <v>45137</v>
      </c>
      <c r="H22" s="16">
        <f>IF(COUNTIF(Sales_Ledger!$H$5:$H$863,A22)=0,"",_xlfn.MINIFS(Sales_Ledger!$B$5:$B$863,Sales_Ledger!$H$5:$H$863,A22))</f>
        <v>45190</v>
      </c>
      <c r="I22" s="17">
        <f>SUMIFS(Subscriptions!$I$5:$I$218,Subscriptions!$B$5:$B$218,A22)</f>
        <v>1500000</v>
      </c>
      <c r="J22" s="17">
        <f>SUMIFS(Subscriptions!$J$5:$J$218,Subscriptions!$B$5:$B$218,A22)</f>
        <v>1500000</v>
      </c>
      <c r="K22" s="17">
        <f>SUMIFS(Sales_Ledger!$J$5:$J$863,Sales_Ledger!$H$5:$H$863,$A22,Sales_Ledger!$D$5:$D$863,2023)</f>
        <v>1500000</v>
      </c>
      <c r="L22" s="17">
        <f>SUMIFS(Sales_Ledger!$J$5:$J$863,Sales_Ledger!$H$5:$H$863,$A22,Sales_Ledger!$D$5:$D$863,2024)</f>
        <v>0</v>
      </c>
      <c r="M22" s="17">
        <f>SUMIFS(Sales_Ledger!$J$5:$J$863,Sales_Ledger!$H$5:$H$863,$A22,Sales_Ledger!$D$5:$D$863,2025)</f>
        <v>0</v>
      </c>
      <c r="N22" s="17">
        <f t="shared" si="0"/>
        <v>1500000</v>
      </c>
      <c r="O22" s="15" t="s">
        <v>3190</v>
      </c>
      <c r="P22" s="15" t="s">
        <v>2542</v>
      </c>
      <c r="Q22" s="15" t="s">
        <v>169</v>
      </c>
      <c r="R22" s="15" t="str">
        <f t="shared" si="1"/>
        <v/>
      </c>
    </row>
    <row r="23" spans="1:18" x14ac:dyDescent="0.35">
      <c r="A23" s="15" t="s">
        <v>167</v>
      </c>
      <c r="B23" s="15" t="s">
        <v>168</v>
      </c>
      <c r="C23" s="15" t="s">
        <v>3216</v>
      </c>
      <c r="D23" s="15" t="s">
        <v>3217</v>
      </c>
      <c r="E23" s="15" t="s">
        <v>46</v>
      </c>
      <c r="F23" s="15" t="s">
        <v>3218</v>
      </c>
      <c r="G23" s="16">
        <v>45516</v>
      </c>
      <c r="H23" s="16">
        <f>IF(COUNTIF(Sales_Ledger!$H$5:$H$863,A23)=0,"",_xlfn.MINIFS(Sales_Ledger!$B$5:$B$863,Sales_Ledger!$H$5:$H$863,A23))</f>
        <v>45152</v>
      </c>
      <c r="I23" s="17">
        <f>SUMIFS(Subscriptions!$I$5:$I$218,Subscriptions!$B$5:$B$218,A23)</f>
        <v>3510000</v>
      </c>
      <c r="J23" s="17">
        <f>SUMIFS(Subscriptions!$J$5:$J$218,Subscriptions!$B$5:$B$218,A23)</f>
        <v>3510000</v>
      </c>
      <c r="K23" s="17">
        <f>SUMIFS(Sales_Ledger!$J$5:$J$863,Sales_Ledger!$H$5:$H$863,$A23,Sales_Ledger!$D$5:$D$863,2023)</f>
        <v>1500000</v>
      </c>
      <c r="L23" s="17">
        <f>SUMIFS(Sales_Ledger!$J$5:$J$863,Sales_Ledger!$H$5:$H$863,$A23,Sales_Ledger!$D$5:$D$863,2024)</f>
        <v>10585000</v>
      </c>
      <c r="M23" s="17">
        <f>SUMIFS(Sales_Ledger!$J$5:$J$863,Sales_Ledger!$H$5:$H$863,$A23,Sales_Ledger!$D$5:$D$863,2025)</f>
        <v>6500000</v>
      </c>
      <c r="N23" s="17">
        <f t="shared" si="0"/>
        <v>18585000</v>
      </c>
      <c r="O23" s="15" t="s">
        <v>3190</v>
      </c>
      <c r="P23" s="15" t="s">
        <v>2502</v>
      </c>
      <c r="Q23" s="15" t="s">
        <v>2859</v>
      </c>
      <c r="R23" s="15" t="str">
        <f t="shared" si="1"/>
        <v>Receipts exceed register contract value: check for duplicate entries, extra plots or ancillary fees</v>
      </c>
    </row>
    <row r="24" spans="1:18" x14ac:dyDescent="0.35">
      <c r="A24" s="15" t="s">
        <v>2551</v>
      </c>
      <c r="B24" s="15" t="s">
        <v>2552</v>
      </c>
      <c r="C24" s="15" t="s">
        <v>3219</v>
      </c>
      <c r="D24" s="15" t="s">
        <v>3186</v>
      </c>
      <c r="E24" s="15" t="s">
        <v>46</v>
      </c>
      <c r="F24" s="15" t="s">
        <v>29</v>
      </c>
      <c r="G24" s="16">
        <v>45161</v>
      </c>
      <c r="H24" s="16" t="str">
        <f>IF(COUNTIF(Sales_Ledger!$H$5:$H$863,A24)=0,"",_xlfn.MINIFS(Sales_Ledger!$B$5:$B$863,Sales_Ledger!$H$5:$H$863,A24))</f>
        <v/>
      </c>
      <c r="I24" s="17">
        <f>SUMIFS(Subscriptions!$I$5:$I$218,Subscriptions!$B$5:$B$218,A24)</f>
        <v>3600000</v>
      </c>
      <c r="J24" s="17">
        <f>SUMIFS(Subscriptions!$J$5:$J$218,Subscriptions!$B$5:$B$218,A24)</f>
        <v>3600000</v>
      </c>
      <c r="K24" s="17">
        <f>SUMIFS(Sales_Ledger!$J$5:$J$863,Sales_Ledger!$H$5:$H$863,$A24,Sales_Ledger!$D$5:$D$863,2023)</f>
        <v>0</v>
      </c>
      <c r="L24" s="17">
        <f>SUMIFS(Sales_Ledger!$J$5:$J$863,Sales_Ledger!$H$5:$H$863,$A24,Sales_Ledger!$D$5:$D$863,2024)</f>
        <v>0</v>
      </c>
      <c r="M24" s="17">
        <f>SUMIFS(Sales_Ledger!$J$5:$J$863,Sales_Ledger!$H$5:$H$863,$A24,Sales_Ledger!$D$5:$D$863,2025)</f>
        <v>0</v>
      </c>
      <c r="N24" s="17">
        <f t="shared" si="0"/>
        <v>0</v>
      </c>
      <c r="O24" s="15" t="s">
        <v>3184</v>
      </c>
      <c r="P24" s="15" t="s">
        <v>2502</v>
      </c>
      <c r="Q24" s="15" t="s">
        <v>1800</v>
      </c>
      <c r="R24" s="15" t="str">
        <f t="shared" si="1"/>
        <v/>
      </c>
    </row>
    <row r="25" spans="1:18" x14ac:dyDescent="0.35">
      <c r="A25" s="15" t="s">
        <v>173</v>
      </c>
      <c r="B25" s="15" t="s">
        <v>2557</v>
      </c>
      <c r="C25" s="15" t="s">
        <v>3220</v>
      </c>
      <c r="D25" s="15" t="s">
        <v>3186</v>
      </c>
      <c r="E25" s="15" t="s">
        <v>46</v>
      </c>
      <c r="F25" s="15" t="s">
        <v>3189</v>
      </c>
      <c r="G25" s="16">
        <v>45161</v>
      </c>
      <c r="H25" s="16">
        <f>IF(COUNTIF(Sales_Ledger!$H$5:$H$863,A25)=0,"",_xlfn.MINIFS(Sales_Ledger!$B$5:$B$863,Sales_Ledger!$H$5:$H$863,A25))</f>
        <v>45161</v>
      </c>
      <c r="I25" s="17">
        <f>SUMIFS(Subscriptions!$I$5:$I$218,Subscriptions!$B$5:$B$218,A25)</f>
        <v>3600000</v>
      </c>
      <c r="J25" s="17">
        <f>SUMIFS(Subscriptions!$J$5:$J$218,Subscriptions!$B$5:$B$218,A25)</f>
        <v>3600000</v>
      </c>
      <c r="K25" s="17">
        <f>SUMIFS(Sales_Ledger!$J$5:$J$863,Sales_Ledger!$H$5:$H$863,$A25,Sales_Ledger!$D$5:$D$863,2023)</f>
        <v>3600000</v>
      </c>
      <c r="L25" s="17">
        <f>SUMIFS(Sales_Ledger!$J$5:$J$863,Sales_Ledger!$H$5:$H$863,$A25,Sales_Ledger!$D$5:$D$863,2024)</f>
        <v>0</v>
      </c>
      <c r="M25" s="17">
        <f>SUMIFS(Sales_Ledger!$J$5:$J$863,Sales_Ledger!$H$5:$H$863,$A25,Sales_Ledger!$D$5:$D$863,2025)</f>
        <v>0</v>
      </c>
      <c r="N25" s="17">
        <f t="shared" si="0"/>
        <v>3600000</v>
      </c>
      <c r="O25" s="15" t="s">
        <v>3190</v>
      </c>
      <c r="P25" s="15" t="s">
        <v>2502</v>
      </c>
      <c r="Q25" s="15" t="s">
        <v>2559</v>
      </c>
      <c r="R25" s="15" t="str">
        <f t="shared" si="1"/>
        <v/>
      </c>
    </row>
    <row r="26" spans="1:18" x14ac:dyDescent="0.35">
      <c r="A26" s="15" t="s">
        <v>2561</v>
      </c>
      <c r="B26" s="15" t="s">
        <v>2562</v>
      </c>
      <c r="C26" s="15" t="s">
        <v>3221</v>
      </c>
      <c r="D26" s="15" t="s">
        <v>3186</v>
      </c>
      <c r="E26" s="15" t="s">
        <v>46</v>
      </c>
      <c r="F26" s="15" t="s">
        <v>29</v>
      </c>
      <c r="G26" s="16">
        <v>45162</v>
      </c>
      <c r="H26" s="16" t="str">
        <f>IF(COUNTIF(Sales_Ledger!$H$5:$H$863,A26)=0,"",_xlfn.MINIFS(Sales_Ledger!$B$5:$B$863,Sales_Ledger!$H$5:$H$863,A26))</f>
        <v/>
      </c>
      <c r="I26" s="17">
        <f>SUMIFS(Subscriptions!$I$5:$I$218,Subscriptions!$B$5:$B$218,A26)</f>
        <v>1500000</v>
      </c>
      <c r="J26" s="17">
        <f>SUMIFS(Subscriptions!$J$5:$J$218,Subscriptions!$B$5:$B$218,A26)</f>
        <v>1500000</v>
      </c>
      <c r="K26" s="17">
        <f>SUMIFS(Sales_Ledger!$J$5:$J$863,Sales_Ledger!$H$5:$H$863,$A26,Sales_Ledger!$D$5:$D$863,2023)</f>
        <v>0</v>
      </c>
      <c r="L26" s="17">
        <f>SUMIFS(Sales_Ledger!$J$5:$J$863,Sales_Ledger!$H$5:$H$863,$A26,Sales_Ledger!$D$5:$D$863,2024)</f>
        <v>0</v>
      </c>
      <c r="M26" s="17">
        <f>SUMIFS(Sales_Ledger!$J$5:$J$863,Sales_Ledger!$H$5:$H$863,$A26,Sales_Ledger!$D$5:$D$863,2025)</f>
        <v>0</v>
      </c>
      <c r="N26" s="17">
        <f t="shared" si="0"/>
        <v>0</v>
      </c>
      <c r="O26" s="15" t="s">
        <v>3184</v>
      </c>
      <c r="P26" s="15" t="s">
        <v>2502</v>
      </c>
      <c r="Q26" s="15" t="s">
        <v>1800</v>
      </c>
      <c r="R26" s="15" t="str">
        <f t="shared" si="1"/>
        <v/>
      </c>
    </row>
    <row r="27" spans="1:18" x14ac:dyDescent="0.35">
      <c r="A27" s="15" t="s">
        <v>2566</v>
      </c>
      <c r="B27" s="15" t="s">
        <v>2567</v>
      </c>
      <c r="C27" s="15" t="s">
        <v>3222</v>
      </c>
      <c r="D27" s="15" t="s">
        <v>3223</v>
      </c>
      <c r="E27" s="15" t="s">
        <v>46</v>
      </c>
      <c r="F27" s="15" t="s">
        <v>3224</v>
      </c>
      <c r="G27" s="16">
        <v>45166</v>
      </c>
      <c r="H27" s="16" t="str">
        <f>IF(COUNTIF(Sales_Ledger!$H$5:$H$863,A27)=0,"",_xlfn.MINIFS(Sales_Ledger!$B$5:$B$863,Sales_Ledger!$H$5:$H$863,A27))</f>
        <v/>
      </c>
      <c r="I27" s="17">
        <f>SUMIFS(Subscriptions!$I$5:$I$218,Subscriptions!$B$5:$B$218,A27)</f>
        <v>5200000</v>
      </c>
      <c r="J27" s="17">
        <f>SUMIFS(Subscriptions!$J$5:$J$218,Subscriptions!$B$5:$B$218,A27)</f>
        <v>3500000</v>
      </c>
      <c r="K27" s="17">
        <f>SUMIFS(Sales_Ledger!$J$5:$J$863,Sales_Ledger!$H$5:$H$863,$A27,Sales_Ledger!$D$5:$D$863,2023)</f>
        <v>0</v>
      </c>
      <c r="L27" s="17">
        <f>SUMIFS(Sales_Ledger!$J$5:$J$863,Sales_Ledger!$H$5:$H$863,$A27,Sales_Ledger!$D$5:$D$863,2024)</f>
        <v>0</v>
      </c>
      <c r="M27" s="17">
        <f>SUMIFS(Sales_Ledger!$J$5:$J$863,Sales_Ledger!$H$5:$H$863,$A27,Sales_Ledger!$D$5:$D$863,2025)</f>
        <v>0</v>
      </c>
      <c r="N27" s="17">
        <f t="shared" si="0"/>
        <v>0</v>
      </c>
      <c r="O27" s="15" t="s">
        <v>3184</v>
      </c>
      <c r="P27" s="15" t="s">
        <v>3225</v>
      </c>
      <c r="Q27" s="15" t="s">
        <v>1800</v>
      </c>
      <c r="R27" s="15" t="str">
        <f t="shared" si="1"/>
        <v/>
      </c>
    </row>
    <row r="28" spans="1:18" x14ac:dyDescent="0.35">
      <c r="A28" s="15" t="s">
        <v>2571</v>
      </c>
      <c r="B28" s="15" t="s">
        <v>2572</v>
      </c>
      <c r="C28" s="15" t="s">
        <v>3226</v>
      </c>
      <c r="D28" s="15"/>
      <c r="E28" s="15" t="s">
        <v>46</v>
      </c>
      <c r="F28" s="15" t="s">
        <v>29</v>
      </c>
      <c r="G28" s="16">
        <v>45166</v>
      </c>
      <c r="H28" s="16" t="str">
        <f>IF(COUNTIF(Sales_Ledger!$H$5:$H$863,A28)=0,"",_xlfn.MINIFS(Sales_Ledger!$B$5:$B$863,Sales_Ledger!$H$5:$H$863,A28))</f>
        <v/>
      </c>
      <c r="I28" s="17">
        <f>SUMIFS(Subscriptions!$I$5:$I$218,Subscriptions!$B$5:$B$218,A28)</f>
        <v>3600000</v>
      </c>
      <c r="J28" s="17">
        <f>SUMIFS(Subscriptions!$J$5:$J$218,Subscriptions!$B$5:$B$218,A28)</f>
        <v>50000</v>
      </c>
      <c r="K28" s="17">
        <f>SUMIFS(Sales_Ledger!$J$5:$J$863,Sales_Ledger!$H$5:$H$863,$A28,Sales_Ledger!$D$5:$D$863,2023)</f>
        <v>0</v>
      </c>
      <c r="L28" s="17">
        <f>SUMIFS(Sales_Ledger!$J$5:$J$863,Sales_Ledger!$H$5:$H$863,$A28,Sales_Ledger!$D$5:$D$863,2024)</f>
        <v>0</v>
      </c>
      <c r="M28" s="17">
        <f>SUMIFS(Sales_Ledger!$J$5:$J$863,Sales_Ledger!$H$5:$H$863,$A28,Sales_Ledger!$D$5:$D$863,2025)</f>
        <v>0</v>
      </c>
      <c r="N28" s="17">
        <f t="shared" si="0"/>
        <v>0</v>
      </c>
      <c r="O28" s="15" t="s">
        <v>3184</v>
      </c>
      <c r="P28" s="15" t="s">
        <v>2574</v>
      </c>
      <c r="Q28" s="15" t="s">
        <v>1800</v>
      </c>
      <c r="R28" s="15" t="str">
        <f t="shared" si="1"/>
        <v/>
      </c>
    </row>
    <row r="29" spans="1:18" x14ac:dyDescent="0.35">
      <c r="A29" s="15" t="s">
        <v>179</v>
      </c>
      <c r="B29" s="15" t="s">
        <v>180</v>
      </c>
      <c r="C29" s="15" t="s">
        <v>3227</v>
      </c>
      <c r="D29" s="15" t="s">
        <v>3186</v>
      </c>
      <c r="E29" s="15" t="s">
        <v>46</v>
      </c>
      <c r="F29" s="15" t="s">
        <v>3208</v>
      </c>
      <c r="G29" s="16">
        <v>45173</v>
      </c>
      <c r="H29" s="16">
        <f>IF(COUNTIF(Sales_Ledger!$H$5:$H$863,A29)=0,"",_xlfn.MINIFS(Sales_Ledger!$B$5:$B$863,Sales_Ledger!$H$5:$H$863,A29))</f>
        <v>45173</v>
      </c>
      <c r="I29" s="17">
        <f>SUMIFS(Subscriptions!$I$5:$I$218,Subscriptions!$B$5:$B$218,A29)</f>
        <v>4320000</v>
      </c>
      <c r="J29" s="17">
        <f>SUMIFS(Subscriptions!$J$5:$J$218,Subscriptions!$B$5:$B$218,A29)</f>
        <v>4320000</v>
      </c>
      <c r="K29" s="17">
        <f>SUMIFS(Sales_Ledger!$J$5:$J$863,Sales_Ledger!$H$5:$H$863,$A29,Sales_Ledger!$D$5:$D$863,2023)</f>
        <v>1500000</v>
      </c>
      <c r="L29" s="17">
        <f>SUMIFS(Sales_Ledger!$J$5:$J$863,Sales_Ledger!$H$5:$H$863,$A29,Sales_Ledger!$D$5:$D$863,2024)</f>
        <v>135000</v>
      </c>
      <c r="M29" s="17">
        <f>SUMIFS(Sales_Ledger!$J$5:$J$863,Sales_Ledger!$H$5:$H$863,$A29,Sales_Ledger!$D$5:$D$863,2025)</f>
        <v>0</v>
      </c>
      <c r="N29" s="17">
        <f t="shared" si="0"/>
        <v>1635000</v>
      </c>
      <c r="O29" s="15" t="s">
        <v>3190</v>
      </c>
      <c r="P29" s="15" t="s">
        <v>2502</v>
      </c>
      <c r="Q29" s="15" t="s">
        <v>2580</v>
      </c>
      <c r="R29" s="15" t="str">
        <f t="shared" si="1"/>
        <v/>
      </c>
    </row>
    <row r="30" spans="1:18" x14ac:dyDescent="0.35">
      <c r="A30" s="15" t="s">
        <v>184</v>
      </c>
      <c r="B30" s="15" t="s">
        <v>216</v>
      </c>
      <c r="C30" s="15" t="s">
        <v>3228</v>
      </c>
      <c r="D30" s="15" t="s">
        <v>3229</v>
      </c>
      <c r="E30" s="15" t="s">
        <v>46</v>
      </c>
      <c r="F30" s="15" t="s">
        <v>3230</v>
      </c>
      <c r="G30" s="16">
        <v>45205</v>
      </c>
      <c r="H30" s="16">
        <f>IF(COUNTIF(Sales_Ledger!$H$5:$H$863,A30)=0,"",_xlfn.MINIFS(Sales_Ledger!$B$5:$B$863,Sales_Ledger!$H$5:$H$863,A30))</f>
        <v>45184</v>
      </c>
      <c r="I30" s="17">
        <f>SUMIFS(Subscriptions!$I$5:$I$218,Subscriptions!$B$5:$B$218,A30)</f>
        <v>10400000</v>
      </c>
      <c r="J30" s="17">
        <f>SUMIFS(Subscriptions!$J$5:$J$218,Subscriptions!$B$5:$B$218,A30)</f>
        <v>10400000</v>
      </c>
      <c r="K30" s="17">
        <f>SUMIFS(Sales_Ledger!$J$5:$J$863,Sales_Ledger!$H$5:$H$863,$A30,Sales_Ledger!$D$5:$D$863,2023)</f>
        <v>5700000</v>
      </c>
      <c r="L30" s="17">
        <f>SUMIFS(Sales_Ledger!$J$5:$J$863,Sales_Ledger!$H$5:$H$863,$A30,Sales_Ledger!$D$5:$D$863,2024)</f>
        <v>2135000</v>
      </c>
      <c r="M30" s="17">
        <f>SUMIFS(Sales_Ledger!$J$5:$J$863,Sales_Ledger!$H$5:$H$863,$A30,Sales_Ledger!$D$5:$D$863,2025)</f>
        <v>0</v>
      </c>
      <c r="N30" s="17">
        <f t="shared" si="0"/>
        <v>7835000</v>
      </c>
      <c r="O30" s="15" t="s">
        <v>3190</v>
      </c>
      <c r="P30" s="15" t="s">
        <v>2502</v>
      </c>
      <c r="Q30" s="15" t="s">
        <v>2590</v>
      </c>
      <c r="R30" s="15" t="str">
        <f t="shared" si="1"/>
        <v/>
      </c>
    </row>
    <row r="31" spans="1:18" x14ac:dyDescent="0.35">
      <c r="A31" s="15" t="s">
        <v>188</v>
      </c>
      <c r="B31" s="15" t="s">
        <v>2582</v>
      </c>
      <c r="C31" s="15" t="s">
        <v>3231</v>
      </c>
      <c r="D31" s="15" t="s">
        <v>3186</v>
      </c>
      <c r="E31" s="15" t="s">
        <v>46</v>
      </c>
      <c r="F31" s="15" t="s">
        <v>3232</v>
      </c>
      <c r="G31" s="16">
        <v>45190</v>
      </c>
      <c r="H31" s="16">
        <f>IF(COUNTIF(Sales_Ledger!$H$5:$H$863,A31)=0,"",_xlfn.MINIFS(Sales_Ledger!$B$5:$B$863,Sales_Ledger!$H$5:$H$863,A31))</f>
        <v>45190</v>
      </c>
      <c r="I31" s="17">
        <f>SUMIFS(Subscriptions!$I$5:$I$218,Subscriptions!$B$5:$B$218,A31)</f>
        <v>1500000</v>
      </c>
      <c r="J31" s="17">
        <f>SUMIFS(Subscriptions!$J$5:$J$218,Subscriptions!$B$5:$B$218,A31)</f>
        <v>1500000</v>
      </c>
      <c r="K31" s="17">
        <f>SUMIFS(Sales_Ledger!$J$5:$J$863,Sales_Ledger!$H$5:$H$863,$A31,Sales_Ledger!$D$5:$D$863,2023)</f>
        <v>2400000</v>
      </c>
      <c r="L31" s="17">
        <f>SUMIFS(Sales_Ledger!$J$5:$J$863,Sales_Ledger!$H$5:$H$863,$A31,Sales_Ledger!$D$5:$D$863,2024)</f>
        <v>6135000</v>
      </c>
      <c r="M31" s="17">
        <f>SUMIFS(Sales_Ledger!$J$5:$J$863,Sales_Ledger!$H$5:$H$863,$A31,Sales_Ledger!$D$5:$D$863,2025)</f>
        <v>0</v>
      </c>
      <c r="N31" s="17">
        <f t="shared" si="0"/>
        <v>8535000</v>
      </c>
      <c r="O31" s="15" t="s">
        <v>3190</v>
      </c>
      <c r="P31" s="15" t="s">
        <v>2502</v>
      </c>
      <c r="Q31" s="15" t="s">
        <v>2586</v>
      </c>
      <c r="R31" s="15" t="str">
        <f t="shared" si="1"/>
        <v>Receipts exceed register contract value: check for duplicate entries, extra plots or ancillary fees</v>
      </c>
    </row>
    <row r="32" spans="1:18" x14ac:dyDescent="0.35">
      <c r="A32" s="15" t="s">
        <v>196</v>
      </c>
      <c r="B32" s="15" t="s">
        <v>3011</v>
      </c>
      <c r="C32" s="15" t="s">
        <v>3233</v>
      </c>
      <c r="D32" s="15" t="s">
        <v>3234</v>
      </c>
      <c r="E32" s="15" t="s">
        <v>46</v>
      </c>
      <c r="F32" s="15" t="s">
        <v>3235</v>
      </c>
      <c r="G32" s="16">
        <v>45716</v>
      </c>
      <c r="H32" s="16">
        <f>IF(COUNTIF(Sales_Ledger!$H$5:$H$863,A32)=0,"",_xlfn.MINIFS(Sales_Ledger!$B$5:$B$863,Sales_Ledger!$H$5:$H$863,A32))</f>
        <v>45197</v>
      </c>
      <c r="I32" s="17">
        <f>SUMIFS(Subscriptions!$I$5:$I$218,Subscriptions!$B$5:$B$218,A32)</f>
        <v>3000000</v>
      </c>
      <c r="J32" s="17">
        <f>SUMIFS(Subscriptions!$J$5:$J$218,Subscriptions!$B$5:$B$218,A32)</f>
        <v>3000000</v>
      </c>
      <c r="K32" s="17">
        <f>SUMIFS(Sales_Ledger!$J$5:$J$863,Sales_Ledger!$H$5:$H$863,$A32,Sales_Ledger!$D$5:$D$863,2023)</f>
        <v>1250000</v>
      </c>
      <c r="L32" s="17">
        <f>SUMIFS(Sales_Ledger!$J$5:$J$863,Sales_Ledger!$H$5:$H$863,$A32,Sales_Ledger!$D$5:$D$863,2024)</f>
        <v>250000</v>
      </c>
      <c r="M32" s="17">
        <f>SUMIFS(Sales_Ledger!$J$5:$J$863,Sales_Ledger!$H$5:$H$863,$A32,Sales_Ledger!$D$5:$D$863,2025)</f>
        <v>0</v>
      </c>
      <c r="N32" s="17">
        <f t="shared" si="0"/>
        <v>1500000</v>
      </c>
      <c r="O32" s="15" t="s">
        <v>3190</v>
      </c>
      <c r="P32" s="15" t="s">
        <v>2502</v>
      </c>
      <c r="Q32" s="15" t="s">
        <v>1800</v>
      </c>
      <c r="R32" s="15" t="str">
        <f t="shared" si="1"/>
        <v/>
      </c>
    </row>
    <row r="33" spans="1:18" x14ac:dyDescent="0.35">
      <c r="A33" s="15" t="s">
        <v>208</v>
      </c>
      <c r="B33" s="15" t="s">
        <v>257</v>
      </c>
      <c r="C33" s="15" t="s">
        <v>3236</v>
      </c>
      <c r="D33" s="15" t="s">
        <v>3237</v>
      </c>
      <c r="E33" s="15" t="s">
        <v>46</v>
      </c>
      <c r="F33" s="15" t="s">
        <v>3238</v>
      </c>
      <c r="G33" s="16">
        <v>45229</v>
      </c>
      <c r="H33" s="16">
        <f>IF(COUNTIF(Sales_Ledger!$H$5:$H$863,A33)=0,"",_xlfn.MINIFS(Sales_Ledger!$B$5:$B$863,Sales_Ledger!$H$5:$H$863,A33))</f>
        <v>45202</v>
      </c>
      <c r="I33" s="17">
        <f>SUMIFS(Subscriptions!$I$5:$I$218,Subscriptions!$B$5:$B$218,A33)</f>
        <v>18000000</v>
      </c>
      <c r="J33" s="17">
        <f>SUMIFS(Subscriptions!$J$5:$J$218,Subscriptions!$B$5:$B$218,A33)</f>
        <v>13540000</v>
      </c>
      <c r="K33" s="17">
        <f>SUMIFS(Sales_Ledger!$J$5:$J$863,Sales_Ledger!$H$5:$H$863,$A33,Sales_Ledger!$D$5:$D$863,2023)</f>
        <v>21446000</v>
      </c>
      <c r="L33" s="17">
        <f>SUMIFS(Sales_Ledger!$J$5:$J$863,Sales_Ledger!$H$5:$H$863,$A33,Sales_Ledger!$D$5:$D$863,2024)</f>
        <v>9467000</v>
      </c>
      <c r="M33" s="17">
        <f>SUMIFS(Sales_Ledger!$J$5:$J$863,Sales_Ledger!$H$5:$H$863,$A33,Sales_Ledger!$D$5:$D$863,2025)</f>
        <v>0</v>
      </c>
      <c r="N33" s="17">
        <f t="shared" si="0"/>
        <v>30913000</v>
      </c>
      <c r="O33" s="15" t="s">
        <v>3190</v>
      </c>
      <c r="P33" s="15" t="s">
        <v>3225</v>
      </c>
      <c r="Q33" s="15" t="s">
        <v>3239</v>
      </c>
      <c r="R33" s="15" t="str">
        <f t="shared" si="1"/>
        <v>Receipts exceed register contract value: check for duplicate entries, extra plots or ancillary fees</v>
      </c>
    </row>
    <row r="34" spans="1:18" x14ac:dyDescent="0.35">
      <c r="A34" s="15" t="s">
        <v>203</v>
      </c>
      <c r="B34" s="15" t="s">
        <v>2780</v>
      </c>
      <c r="C34" s="15" t="s">
        <v>3222</v>
      </c>
      <c r="D34" s="15" t="s">
        <v>3223</v>
      </c>
      <c r="E34" s="15" t="s">
        <v>46</v>
      </c>
      <c r="F34" s="15" t="s">
        <v>3240</v>
      </c>
      <c r="G34" s="16">
        <v>45376</v>
      </c>
      <c r="H34" s="16">
        <f>IF(COUNTIF(Sales_Ledger!$H$5:$H$863,A34)=0,"",_xlfn.MINIFS(Sales_Ledger!$B$5:$B$863,Sales_Ledger!$H$5:$H$863,A34))</f>
        <v>45202</v>
      </c>
      <c r="I34" s="17">
        <f>SUMIFS(Subscriptions!$I$5:$I$218,Subscriptions!$B$5:$B$218,A34)</f>
        <v>5500000</v>
      </c>
      <c r="J34" s="17">
        <f>SUMIFS(Subscriptions!$J$5:$J$218,Subscriptions!$B$5:$B$218,A34)</f>
        <v>5500000</v>
      </c>
      <c r="K34" s="17">
        <f>SUMIFS(Sales_Ledger!$J$5:$J$863,Sales_Ledger!$H$5:$H$863,$A34,Sales_Ledger!$D$5:$D$863,2023)</f>
        <v>1400000</v>
      </c>
      <c r="L34" s="17">
        <f>SUMIFS(Sales_Ledger!$J$5:$J$863,Sales_Ledger!$H$5:$H$863,$A34,Sales_Ledger!$D$5:$D$863,2024)</f>
        <v>5290000</v>
      </c>
      <c r="M34" s="17">
        <f>SUMIFS(Sales_Ledger!$J$5:$J$863,Sales_Ledger!$H$5:$H$863,$A34,Sales_Ledger!$D$5:$D$863,2025)</f>
        <v>500000</v>
      </c>
      <c r="N34" s="17">
        <f t="shared" si="0"/>
        <v>7190000</v>
      </c>
      <c r="O34" s="15" t="s">
        <v>3190</v>
      </c>
      <c r="P34" s="15" t="s">
        <v>2502</v>
      </c>
      <c r="Q34" s="15" t="s">
        <v>1800</v>
      </c>
      <c r="R34" s="15" t="str">
        <f t="shared" si="1"/>
        <v>Receipts exceed register contract value: check for duplicate entries, extra plots or ancillary fees</v>
      </c>
    </row>
    <row r="35" spans="1:18" x14ac:dyDescent="0.35">
      <c r="A35" s="15" t="s">
        <v>2592</v>
      </c>
      <c r="B35" s="15" t="s">
        <v>2593</v>
      </c>
      <c r="C35" s="15"/>
      <c r="D35" s="15" t="s">
        <v>3241</v>
      </c>
      <c r="E35" s="15" t="s">
        <v>46</v>
      </c>
      <c r="F35" s="15" t="s">
        <v>2594</v>
      </c>
      <c r="G35" s="16">
        <v>45209</v>
      </c>
      <c r="H35" s="16" t="str">
        <f>IF(COUNTIF(Sales_Ledger!$H$5:$H$863,A35)=0,"",_xlfn.MINIFS(Sales_Ledger!$B$5:$B$863,Sales_Ledger!$H$5:$H$863,A35))</f>
        <v/>
      </c>
      <c r="I35" s="17">
        <f>SUMIFS(Subscriptions!$I$5:$I$218,Subscriptions!$B$5:$B$218,A35)</f>
        <v>750000</v>
      </c>
      <c r="J35" s="17">
        <f>SUMIFS(Subscriptions!$J$5:$J$218,Subscriptions!$B$5:$B$218,A35)</f>
        <v>750000</v>
      </c>
      <c r="K35" s="17">
        <f>SUMIFS(Sales_Ledger!$J$5:$J$863,Sales_Ledger!$H$5:$H$863,$A35,Sales_Ledger!$D$5:$D$863,2023)</f>
        <v>0</v>
      </c>
      <c r="L35" s="17">
        <f>SUMIFS(Sales_Ledger!$J$5:$J$863,Sales_Ledger!$H$5:$H$863,$A35,Sales_Ledger!$D$5:$D$863,2024)</f>
        <v>0</v>
      </c>
      <c r="M35" s="17">
        <f>SUMIFS(Sales_Ledger!$J$5:$J$863,Sales_Ledger!$H$5:$H$863,$A35,Sales_Ledger!$D$5:$D$863,2025)</f>
        <v>0</v>
      </c>
      <c r="N35" s="17">
        <f t="shared" si="0"/>
        <v>0</v>
      </c>
      <c r="O35" s="15" t="s">
        <v>3184</v>
      </c>
      <c r="P35" s="15" t="s">
        <v>2595</v>
      </c>
      <c r="Q35" s="15" t="s">
        <v>2596</v>
      </c>
      <c r="R35" s="15" t="str">
        <f t="shared" si="1"/>
        <v/>
      </c>
    </row>
    <row r="36" spans="1:18" x14ac:dyDescent="0.35">
      <c r="A36" s="15" t="s">
        <v>2599</v>
      </c>
      <c r="B36" s="15" t="s">
        <v>2600</v>
      </c>
      <c r="C36" s="15" t="s">
        <v>3242</v>
      </c>
      <c r="D36" s="15"/>
      <c r="E36" s="15" t="s">
        <v>46</v>
      </c>
      <c r="F36" s="15" t="s">
        <v>29</v>
      </c>
      <c r="G36" s="16">
        <v>45209</v>
      </c>
      <c r="H36" s="16" t="str">
        <f>IF(COUNTIF(Sales_Ledger!$H$5:$H$863,A36)=0,"",_xlfn.MINIFS(Sales_Ledger!$B$5:$B$863,Sales_Ledger!$H$5:$H$863,A36))</f>
        <v/>
      </c>
      <c r="I36" s="17">
        <f>SUMIFS(Subscriptions!$I$5:$I$218,Subscriptions!$B$5:$B$218,A36)</f>
        <v>3600000</v>
      </c>
      <c r="J36" s="17">
        <f>SUMIFS(Subscriptions!$J$5:$J$218,Subscriptions!$B$5:$B$218,A36)</f>
        <v>1000000</v>
      </c>
      <c r="K36" s="17">
        <f>SUMIFS(Sales_Ledger!$J$5:$J$863,Sales_Ledger!$H$5:$H$863,$A36,Sales_Ledger!$D$5:$D$863,2023)</f>
        <v>0</v>
      </c>
      <c r="L36" s="17">
        <f>SUMIFS(Sales_Ledger!$J$5:$J$863,Sales_Ledger!$H$5:$H$863,$A36,Sales_Ledger!$D$5:$D$863,2024)</f>
        <v>0</v>
      </c>
      <c r="M36" s="17">
        <f>SUMIFS(Sales_Ledger!$J$5:$J$863,Sales_Ledger!$H$5:$H$863,$A36,Sales_Ledger!$D$5:$D$863,2025)</f>
        <v>0</v>
      </c>
      <c r="N36" s="17">
        <f t="shared" si="0"/>
        <v>0</v>
      </c>
      <c r="O36" s="15" t="s">
        <v>3184</v>
      </c>
      <c r="P36" s="15" t="s">
        <v>2601</v>
      </c>
      <c r="Q36" s="15" t="s">
        <v>1800</v>
      </c>
      <c r="R36" s="15" t="str">
        <f t="shared" si="1"/>
        <v/>
      </c>
    </row>
    <row r="37" spans="1:18" x14ac:dyDescent="0.35">
      <c r="A37" s="15" t="s">
        <v>222</v>
      </c>
      <c r="B37" s="15" t="s">
        <v>223</v>
      </c>
      <c r="C37" s="15" t="s">
        <v>3243</v>
      </c>
      <c r="D37" s="15" t="s">
        <v>3186</v>
      </c>
      <c r="E37" s="15" t="s">
        <v>46</v>
      </c>
      <c r="F37" s="15" t="s">
        <v>3198</v>
      </c>
      <c r="G37" s="16">
        <v>45211</v>
      </c>
      <c r="H37" s="16">
        <f>IF(COUNTIF(Sales_Ledger!$H$5:$H$863,A37)=0,"",_xlfn.MINIFS(Sales_Ledger!$B$5:$B$863,Sales_Ledger!$H$5:$H$863,A37))</f>
        <v>45211</v>
      </c>
      <c r="I37" s="17">
        <f>SUMIFS(Subscriptions!$I$5:$I$218,Subscriptions!$B$5:$B$218,A37)</f>
        <v>6000000</v>
      </c>
      <c r="J37" s="17">
        <f>SUMIFS(Subscriptions!$J$5:$J$218,Subscriptions!$B$5:$B$218,A37)</f>
        <v>6000000</v>
      </c>
      <c r="K37" s="17">
        <f>SUMIFS(Sales_Ledger!$J$5:$J$863,Sales_Ledger!$H$5:$H$863,$A37,Sales_Ledger!$D$5:$D$863,2023)</f>
        <v>3000000</v>
      </c>
      <c r="L37" s="17">
        <f>SUMIFS(Sales_Ledger!$J$5:$J$863,Sales_Ledger!$H$5:$H$863,$A37,Sales_Ledger!$D$5:$D$863,2024)</f>
        <v>3800000</v>
      </c>
      <c r="M37" s="17">
        <f>SUMIFS(Sales_Ledger!$J$5:$J$863,Sales_Ledger!$H$5:$H$863,$A37,Sales_Ledger!$D$5:$D$863,2025)</f>
        <v>0</v>
      </c>
      <c r="N37" s="17">
        <f t="shared" si="0"/>
        <v>6800000</v>
      </c>
      <c r="O37" s="15" t="s">
        <v>3190</v>
      </c>
      <c r="P37" s="15" t="s">
        <v>2502</v>
      </c>
      <c r="Q37" s="15" t="s">
        <v>2559</v>
      </c>
      <c r="R37" s="15" t="str">
        <f t="shared" si="1"/>
        <v>Receipts exceed register contract value: check for duplicate entries, extra plots or ancillary fees</v>
      </c>
    </row>
    <row r="38" spans="1:18" x14ac:dyDescent="0.35">
      <c r="A38" s="15" t="s">
        <v>227</v>
      </c>
      <c r="B38" s="15" t="s">
        <v>228</v>
      </c>
      <c r="C38" s="15" t="s">
        <v>3244</v>
      </c>
      <c r="D38" s="15" t="s">
        <v>3186</v>
      </c>
      <c r="E38" s="15" t="s">
        <v>46</v>
      </c>
      <c r="F38" s="15" t="s">
        <v>3189</v>
      </c>
      <c r="G38" s="16">
        <v>45211</v>
      </c>
      <c r="H38" s="16">
        <f>IF(COUNTIF(Sales_Ledger!$H$5:$H$863,A38)=0,"",_xlfn.MINIFS(Sales_Ledger!$B$5:$B$863,Sales_Ledger!$H$5:$H$863,A38))</f>
        <v>45211</v>
      </c>
      <c r="I38" s="17">
        <f>SUMIFS(Subscriptions!$I$5:$I$218,Subscriptions!$B$5:$B$218,A38)</f>
        <v>3900000</v>
      </c>
      <c r="J38" s="17">
        <f>SUMIFS(Subscriptions!$J$5:$J$218,Subscriptions!$B$5:$B$218,A38)</f>
        <v>3900000</v>
      </c>
      <c r="K38" s="17">
        <f>SUMIFS(Sales_Ledger!$J$5:$J$863,Sales_Ledger!$H$5:$H$863,$A38,Sales_Ledger!$D$5:$D$863,2023)</f>
        <v>1500000</v>
      </c>
      <c r="L38" s="17">
        <f>SUMIFS(Sales_Ledger!$J$5:$J$863,Sales_Ledger!$H$5:$H$863,$A38,Sales_Ledger!$D$5:$D$863,2024)</f>
        <v>0</v>
      </c>
      <c r="M38" s="17">
        <f>SUMIFS(Sales_Ledger!$J$5:$J$863,Sales_Ledger!$H$5:$H$863,$A38,Sales_Ledger!$D$5:$D$863,2025)</f>
        <v>0</v>
      </c>
      <c r="N38" s="17">
        <f t="shared" si="0"/>
        <v>1500000</v>
      </c>
      <c r="O38" s="15" t="s">
        <v>3190</v>
      </c>
      <c r="P38" s="15" t="s">
        <v>2502</v>
      </c>
      <c r="Q38" s="15" t="s">
        <v>2611</v>
      </c>
      <c r="R38" s="15" t="str">
        <f t="shared" si="1"/>
        <v/>
      </c>
    </row>
    <row r="39" spans="1:18" x14ac:dyDescent="0.35">
      <c r="A39" s="15" t="s">
        <v>2613</v>
      </c>
      <c r="B39" s="15" t="s">
        <v>2614</v>
      </c>
      <c r="C39" s="15" t="s">
        <v>3245</v>
      </c>
      <c r="D39" s="15"/>
      <c r="E39" s="15" t="s">
        <v>46</v>
      </c>
      <c r="F39" s="15" t="s">
        <v>29</v>
      </c>
      <c r="G39" s="16">
        <v>45211</v>
      </c>
      <c r="H39" s="16" t="str">
        <f>IF(COUNTIF(Sales_Ledger!$H$5:$H$863,A39)=0,"",_xlfn.MINIFS(Sales_Ledger!$B$5:$B$863,Sales_Ledger!$H$5:$H$863,A39))</f>
        <v/>
      </c>
      <c r="I39" s="17">
        <f>SUMIFS(Subscriptions!$I$5:$I$218,Subscriptions!$B$5:$B$218,A39)</f>
        <v>1500000</v>
      </c>
      <c r="J39" s="17">
        <f>SUMIFS(Subscriptions!$J$5:$J$218,Subscriptions!$B$5:$B$218,A39)</f>
        <v>1500000</v>
      </c>
      <c r="K39" s="17">
        <f>SUMIFS(Sales_Ledger!$J$5:$J$863,Sales_Ledger!$H$5:$H$863,$A39,Sales_Ledger!$D$5:$D$863,2023)</f>
        <v>0</v>
      </c>
      <c r="L39" s="17">
        <f>SUMIFS(Sales_Ledger!$J$5:$J$863,Sales_Ledger!$H$5:$H$863,$A39,Sales_Ledger!$D$5:$D$863,2024)</f>
        <v>0</v>
      </c>
      <c r="M39" s="17">
        <f>SUMIFS(Sales_Ledger!$J$5:$J$863,Sales_Ledger!$H$5:$H$863,$A39,Sales_Ledger!$D$5:$D$863,2025)</f>
        <v>0</v>
      </c>
      <c r="N39" s="17">
        <f t="shared" si="0"/>
        <v>0</v>
      </c>
      <c r="O39" s="15" t="s">
        <v>3184</v>
      </c>
      <c r="P39" s="15" t="s">
        <v>2542</v>
      </c>
      <c r="Q39" s="15" t="s">
        <v>1800</v>
      </c>
      <c r="R39" s="15" t="str">
        <f t="shared" si="1"/>
        <v/>
      </c>
    </row>
    <row r="40" spans="1:18" x14ac:dyDescent="0.35">
      <c r="A40" s="15" t="s">
        <v>238</v>
      </c>
      <c r="B40" s="15" t="s">
        <v>2628</v>
      </c>
      <c r="C40" s="15" t="s">
        <v>3246</v>
      </c>
      <c r="D40" s="15" t="s">
        <v>3247</v>
      </c>
      <c r="E40" s="15" t="s">
        <v>46</v>
      </c>
      <c r="F40" s="15" t="s">
        <v>3248</v>
      </c>
      <c r="G40" s="16">
        <v>45232</v>
      </c>
      <c r="H40" s="16">
        <f>IF(COUNTIF(Sales_Ledger!$H$5:$H$863,A40)=0,"",_xlfn.MINIFS(Sales_Ledger!$B$5:$B$863,Sales_Ledger!$H$5:$H$863,A40))</f>
        <v>45227</v>
      </c>
      <c r="I40" s="17">
        <f>SUMIFS(Subscriptions!$I$5:$I$218,Subscriptions!$B$5:$B$218,A40)</f>
        <v>19200000</v>
      </c>
      <c r="J40" s="17">
        <f>SUMIFS(Subscriptions!$J$5:$J$218,Subscriptions!$B$5:$B$218,A40)</f>
        <v>19200000</v>
      </c>
      <c r="K40" s="17">
        <f>SUMIFS(Sales_Ledger!$J$5:$J$863,Sales_Ledger!$H$5:$H$863,$A40,Sales_Ledger!$D$5:$D$863,2023)</f>
        <v>10600000</v>
      </c>
      <c r="L40" s="17">
        <f>SUMIFS(Sales_Ledger!$J$5:$J$863,Sales_Ledger!$H$5:$H$863,$A40,Sales_Ledger!$D$5:$D$863,2024)</f>
        <v>19370000</v>
      </c>
      <c r="M40" s="17">
        <f>SUMIFS(Sales_Ledger!$J$5:$J$863,Sales_Ledger!$H$5:$H$863,$A40,Sales_Ledger!$D$5:$D$863,2025)</f>
        <v>0</v>
      </c>
      <c r="N40" s="17">
        <f t="shared" si="0"/>
        <v>29970000</v>
      </c>
      <c r="O40" s="15" t="s">
        <v>3190</v>
      </c>
      <c r="P40" s="15" t="s">
        <v>2502</v>
      </c>
      <c r="Q40" s="15" t="s">
        <v>1800</v>
      </c>
      <c r="R40" s="15" t="str">
        <f t="shared" si="1"/>
        <v>Receipts exceed register contract value: check for duplicate entries, extra plots or ancillary fees</v>
      </c>
    </row>
    <row r="41" spans="1:18" x14ac:dyDescent="0.35">
      <c r="A41" s="15" t="s">
        <v>1183</v>
      </c>
      <c r="B41" s="15" t="s">
        <v>1184</v>
      </c>
      <c r="C41" s="15" t="s">
        <v>3249</v>
      </c>
      <c r="D41" s="15" t="s">
        <v>3250</v>
      </c>
      <c r="E41" s="15" t="s">
        <v>46</v>
      </c>
      <c r="F41" s="15" t="s">
        <v>3251</v>
      </c>
      <c r="G41" s="16">
        <v>45228</v>
      </c>
      <c r="H41" s="16">
        <f>IF(COUNTIF(Sales_Ledger!$H$5:$H$863,A41)=0,"",_xlfn.MINIFS(Sales_Ledger!$B$5:$B$863,Sales_Ledger!$H$5:$H$863,A41))</f>
        <v>45508</v>
      </c>
      <c r="I41" s="17">
        <f>SUMIFS(Subscriptions!$I$5:$I$218,Subscriptions!$B$5:$B$218,A41)</f>
        <v>6460000</v>
      </c>
      <c r="J41" s="17">
        <f>SUMIFS(Subscriptions!$J$5:$J$218,Subscriptions!$B$5:$B$218,A41)</f>
        <v>6460000</v>
      </c>
      <c r="K41" s="17">
        <f>SUMIFS(Sales_Ledger!$J$5:$J$863,Sales_Ledger!$H$5:$H$863,$A41,Sales_Ledger!$D$5:$D$863,2023)</f>
        <v>0</v>
      </c>
      <c r="L41" s="17">
        <f>SUMIFS(Sales_Ledger!$J$5:$J$863,Sales_Ledger!$H$5:$H$863,$A41,Sales_Ledger!$D$5:$D$863,2024)</f>
        <v>1860000</v>
      </c>
      <c r="M41" s="17">
        <f>SUMIFS(Sales_Ledger!$J$5:$J$863,Sales_Ledger!$H$5:$H$863,$A41,Sales_Ledger!$D$5:$D$863,2025)</f>
        <v>0</v>
      </c>
      <c r="N41" s="17">
        <f t="shared" si="0"/>
        <v>1860000</v>
      </c>
      <c r="O41" s="15" t="s">
        <v>3190</v>
      </c>
      <c r="P41" s="15" t="s">
        <v>2502</v>
      </c>
      <c r="Q41" s="15" t="s">
        <v>3252</v>
      </c>
      <c r="R41" s="15" t="str">
        <f t="shared" si="1"/>
        <v/>
      </c>
    </row>
    <row r="42" spans="1:18" x14ac:dyDescent="0.35">
      <c r="A42" s="15" t="s">
        <v>244</v>
      </c>
      <c r="B42" s="15" t="s">
        <v>245</v>
      </c>
      <c r="C42" s="15"/>
      <c r="D42" s="15"/>
      <c r="E42" s="15" t="s">
        <v>46</v>
      </c>
      <c r="F42" s="15" t="s">
        <v>36</v>
      </c>
      <c r="G42" s="16"/>
      <c r="H42" s="16">
        <f>IF(COUNTIF(Sales_Ledger!$H$5:$H$863,A42)=0,"",_xlfn.MINIFS(Sales_Ledger!$B$5:$B$863,Sales_Ledger!$H$5:$H$863,A42))</f>
        <v>45228</v>
      </c>
      <c r="I42" s="17">
        <f>SUMIFS(Subscriptions!$I$5:$I$218,Subscriptions!$B$5:$B$218,A42)</f>
        <v>0</v>
      </c>
      <c r="J42" s="17">
        <f>SUMIFS(Subscriptions!$J$5:$J$218,Subscriptions!$B$5:$B$218,A42)</f>
        <v>0</v>
      </c>
      <c r="K42" s="17">
        <f>SUMIFS(Sales_Ledger!$J$5:$J$863,Sales_Ledger!$H$5:$H$863,$A42,Sales_Ledger!$D$5:$D$863,2023)</f>
        <v>2000000</v>
      </c>
      <c r="L42" s="17">
        <f>SUMIFS(Sales_Ledger!$J$5:$J$863,Sales_Ledger!$H$5:$H$863,$A42,Sales_Ledger!$D$5:$D$863,2024)</f>
        <v>0</v>
      </c>
      <c r="M42" s="17">
        <f>SUMIFS(Sales_Ledger!$J$5:$J$863,Sales_Ledger!$H$5:$H$863,$A42,Sales_Ledger!$D$5:$D$863,2025)</f>
        <v>0</v>
      </c>
      <c r="N42" s="17">
        <f t="shared" si="0"/>
        <v>2000000</v>
      </c>
      <c r="O42" s="15" t="s">
        <v>3253</v>
      </c>
      <c r="P42" s="15"/>
      <c r="Q42" s="15"/>
      <c r="R42" s="15" t="str">
        <f t="shared" si="1"/>
        <v>Not in client register: contract value unknown</v>
      </c>
    </row>
    <row r="43" spans="1:18" x14ac:dyDescent="0.35">
      <c r="A43" s="15" t="s">
        <v>254</v>
      </c>
      <c r="B43" s="15" t="s">
        <v>2700</v>
      </c>
      <c r="C43" s="15" t="s">
        <v>3254</v>
      </c>
      <c r="D43" s="15" t="s">
        <v>3255</v>
      </c>
      <c r="E43" s="15" t="s">
        <v>46</v>
      </c>
      <c r="F43" s="15" t="s">
        <v>3203</v>
      </c>
      <c r="G43" s="16">
        <v>45321</v>
      </c>
      <c r="H43" s="16">
        <f>IF(COUNTIF(Sales_Ledger!$H$5:$H$863,A43)=0,"",_xlfn.MINIFS(Sales_Ledger!$B$5:$B$863,Sales_Ledger!$H$5:$H$863,A43))</f>
        <v>45229</v>
      </c>
      <c r="I43" s="17">
        <f>SUMIFS(Subscriptions!$I$5:$I$218,Subscriptions!$B$5:$B$218,A43)</f>
        <v>1800000</v>
      </c>
      <c r="J43" s="17">
        <f>SUMIFS(Subscriptions!$J$5:$J$218,Subscriptions!$B$5:$B$218,A43)</f>
        <v>1800000</v>
      </c>
      <c r="K43" s="17">
        <f>SUMIFS(Sales_Ledger!$J$5:$J$863,Sales_Ledger!$H$5:$H$863,$A43,Sales_Ledger!$D$5:$D$863,2023)</f>
        <v>1800000</v>
      </c>
      <c r="L43" s="17">
        <f>SUMIFS(Sales_Ledger!$J$5:$J$863,Sales_Ledger!$H$5:$H$863,$A43,Sales_Ledger!$D$5:$D$863,2024)</f>
        <v>0</v>
      </c>
      <c r="M43" s="17">
        <f>SUMIFS(Sales_Ledger!$J$5:$J$863,Sales_Ledger!$H$5:$H$863,$A43,Sales_Ledger!$D$5:$D$863,2025)</f>
        <v>0</v>
      </c>
      <c r="N43" s="17">
        <f t="shared" si="0"/>
        <v>1800000</v>
      </c>
      <c r="O43" s="15" t="s">
        <v>3190</v>
      </c>
      <c r="P43" s="15" t="s">
        <v>2486</v>
      </c>
      <c r="Q43" s="15" t="s">
        <v>1800</v>
      </c>
      <c r="R43" s="15" t="str">
        <f t="shared" si="1"/>
        <v/>
      </c>
    </row>
    <row r="44" spans="1:18" x14ac:dyDescent="0.35">
      <c r="A44" s="15" t="s">
        <v>248</v>
      </c>
      <c r="B44" s="15" t="s">
        <v>249</v>
      </c>
      <c r="C44" s="15" t="s">
        <v>3256</v>
      </c>
      <c r="D44" s="15" t="s">
        <v>3186</v>
      </c>
      <c r="E44" s="15" t="s">
        <v>46</v>
      </c>
      <c r="F44" s="15" t="s">
        <v>3189</v>
      </c>
      <c r="G44" s="16">
        <v>45229</v>
      </c>
      <c r="H44" s="16">
        <f>IF(COUNTIF(Sales_Ledger!$H$5:$H$863,A44)=0,"",_xlfn.MINIFS(Sales_Ledger!$B$5:$B$863,Sales_Ledger!$H$5:$H$863,A44))</f>
        <v>45229</v>
      </c>
      <c r="I44" s="17">
        <f>SUMIFS(Subscriptions!$I$5:$I$218,Subscriptions!$B$5:$B$218,A44)</f>
        <v>2000000</v>
      </c>
      <c r="J44" s="17">
        <f>SUMIFS(Subscriptions!$J$5:$J$218,Subscriptions!$B$5:$B$218,A44)</f>
        <v>2000000</v>
      </c>
      <c r="K44" s="17">
        <f>SUMIFS(Sales_Ledger!$J$5:$J$863,Sales_Ledger!$H$5:$H$863,$A44,Sales_Ledger!$D$5:$D$863,2023)</f>
        <v>12000000</v>
      </c>
      <c r="L44" s="17">
        <f>SUMIFS(Sales_Ledger!$J$5:$J$863,Sales_Ledger!$H$5:$H$863,$A44,Sales_Ledger!$D$5:$D$863,2024)</f>
        <v>0</v>
      </c>
      <c r="M44" s="17">
        <f>SUMIFS(Sales_Ledger!$J$5:$J$863,Sales_Ledger!$H$5:$H$863,$A44,Sales_Ledger!$D$5:$D$863,2025)</f>
        <v>0</v>
      </c>
      <c r="N44" s="17">
        <f t="shared" si="0"/>
        <v>12000000</v>
      </c>
      <c r="O44" s="15" t="s">
        <v>3190</v>
      </c>
      <c r="P44" s="15" t="s">
        <v>2502</v>
      </c>
      <c r="Q44" s="15" t="s">
        <v>2611</v>
      </c>
      <c r="R44" s="15" t="str">
        <f t="shared" si="1"/>
        <v>Receipts exceed register contract value: check for duplicate entries, extra plots or ancillary fees</v>
      </c>
    </row>
    <row r="45" spans="1:18" x14ac:dyDescent="0.35">
      <c r="A45" s="15" t="s">
        <v>2632</v>
      </c>
      <c r="B45" s="15" t="s">
        <v>2633</v>
      </c>
      <c r="C45" s="15" t="s">
        <v>3257</v>
      </c>
      <c r="D45" s="15" t="s">
        <v>3186</v>
      </c>
      <c r="E45" s="15" t="s">
        <v>46</v>
      </c>
      <c r="F45" s="15" t="s">
        <v>29</v>
      </c>
      <c r="G45" s="16">
        <v>45233</v>
      </c>
      <c r="H45" s="16" t="str">
        <f>IF(COUNTIF(Sales_Ledger!$H$5:$H$863,A45)=0,"",_xlfn.MINIFS(Sales_Ledger!$B$5:$B$863,Sales_Ledger!$H$5:$H$863,A45))</f>
        <v/>
      </c>
      <c r="I45" s="17">
        <f>SUMIFS(Subscriptions!$I$5:$I$218,Subscriptions!$B$5:$B$218,A45)</f>
        <v>27600000</v>
      </c>
      <c r="J45" s="17">
        <f>SUMIFS(Subscriptions!$J$5:$J$218,Subscriptions!$B$5:$B$218,A45)</f>
        <v>27600000</v>
      </c>
      <c r="K45" s="17">
        <f>SUMIFS(Sales_Ledger!$J$5:$J$863,Sales_Ledger!$H$5:$H$863,$A45,Sales_Ledger!$D$5:$D$863,2023)</f>
        <v>0</v>
      </c>
      <c r="L45" s="17">
        <f>SUMIFS(Sales_Ledger!$J$5:$J$863,Sales_Ledger!$H$5:$H$863,$A45,Sales_Ledger!$D$5:$D$863,2024)</f>
        <v>0</v>
      </c>
      <c r="M45" s="17">
        <f>SUMIFS(Sales_Ledger!$J$5:$J$863,Sales_Ledger!$H$5:$H$863,$A45,Sales_Ledger!$D$5:$D$863,2025)</f>
        <v>0</v>
      </c>
      <c r="N45" s="17">
        <f t="shared" si="0"/>
        <v>0</v>
      </c>
      <c r="O45" s="15" t="s">
        <v>3184</v>
      </c>
      <c r="P45" s="15" t="s">
        <v>2502</v>
      </c>
      <c r="Q45" s="15" t="s">
        <v>2635</v>
      </c>
      <c r="R45" s="15" t="str">
        <f t="shared" si="1"/>
        <v/>
      </c>
    </row>
    <row r="46" spans="1:18" x14ac:dyDescent="0.35">
      <c r="A46" s="15" t="s">
        <v>264</v>
      </c>
      <c r="B46" s="15" t="s">
        <v>265</v>
      </c>
      <c r="C46" s="15"/>
      <c r="D46" s="15"/>
      <c r="E46" s="15" t="s">
        <v>46</v>
      </c>
      <c r="F46" s="15" t="s">
        <v>36</v>
      </c>
      <c r="G46" s="16"/>
      <c r="H46" s="16">
        <f>IF(COUNTIF(Sales_Ledger!$H$5:$H$863,A46)=0,"",_xlfn.MINIFS(Sales_Ledger!$B$5:$B$863,Sales_Ledger!$H$5:$H$863,A46))</f>
        <v>45233</v>
      </c>
      <c r="I46" s="17">
        <f>SUMIFS(Subscriptions!$I$5:$I$218,Subscriptions!$B$5:$B$218,A46)</f>
        <v>0</v>
      </c>
      <c r="J46" s="17">
        <f>SUMIFS(Subscriptions!$J$5:$J$218,Subscriptions!$B$5:$B$218,A46)</f>
        <v>0</v>
      </c>
      <c r="K46" s="17">
        <f>SUMIFS(Sales_Ledger!$J$5:$J$863,Sales_Ledger!$H$5:$H$863,$A46,Sales_Ledger!$D$5:$D$863,2023)</f>
        <v>3900000</v>
      </c>
      <c r="L46" s="17">
        <f>SUMIFS(Sales_Ledger!$J$5:$J$863,Sales_Ledger!$H$5:$H$863,$A46,Sales_Ledger!$D$5:$D$863,2024)</f>
        <v>0</v>
      </c>
      <c r="M46" s="17">
        <f>SUMIFS(Sales_Ledger!$J$5:$J$863,Sales_Ledger!$H$5:$H$863,$A46,Sales_Ledger!$D$5:$D$863,2025)</f>
        <v>0</v>
      </c>
      <c r="N46" s="17">
        <f t="shared" si="0"/>
        <v>3900000</v>
      </c>
      <c r="O46" s="15" t="s">
        <v>3253</v>
      </c>
      <c r="P46" s="15"/>
      <c r="Q46" s="15"/>
      <c r="R46" s="15" t="str">
        <f t="shared" si="1"/>
        <v>Not in client register: contract value unknown</v>
      </c>
    </row>
    <row r="47" spans="1:18" x14ac:dyDescent="0.35">
      <c r="A47" s="15" t="s">
        <v>274</v>
      </c>
      <c r="B47" s="15" t="s">
        <v>2637</v>
      </c>
      <c r="C47" s="15" t="s">
        <v>3258</v>
      </c>
      <c r="D47" s="15" t="s">
        <v>3259</v>
      </c>
      <c r="E47" s="15" t="s">
        <v>46</v>
      </c>
      <c r="F47" s="15" t="s">
        <v>3260</v>
      </c>
      <c r="G47" s="16">
        <v>45239</v>
      </c>
      <c r="H47" s="16">
        <f>IF(COUNTIF(Sales_Ledger!$H$5:$H$863,A47)=0,"",_xlfn.MINIFS(Sales_Ledger!$B$5:$B$863,Sales_Ledger!$H$5:$H$863,A47))</f>
        <v>45239</v>
      </c>
      <c r="I47" s="17">
        <f>SUMIFS(Subscriptions!$I$5:$I$218,Subscriptions!$B$5:$B$218,A47)</f>
        <v>2050000</v>
      </c>
      <c r="J47" s="17">
        <f>SUMIFS(Subscriptions!$J$5:$J$218,Subscriptions!$B$5:$B$218,A47)</f>
        <v>750000</v>
      </c>
      <c r="K47" s="17">
        <f>SUMIFS(Sales_Ledger!$J$5:$J$863,Sales_Ledger!$H$5:$H$863,$A47,Sales_Ledger!$D$5:$D$863,2023)</f>
        <v>750000</v>
      </c>
      <c r="L47" s="17">
        <f>SUMIFS(Sales_Ledger!$J$5:$J$863,Sales_Ledger!$H$5:$H$863,$A47,Sales_Ledger!$D$5:$D$863,2024)</f>
        <v>0</v>
      </c>
      <c r="M47" s="17">
        <f>SUMIFS(Sales_Ledger!$J$5:$J$863,Sales_Ledger!$H$5:$H$863,$A47,Sales_Ledger!$D$5:$D$863,2025)</f>
        <v>0</v>
      </c>
      <c r="N47" s="17">
        <f t="shared" si="0"/>
        <v>750000</v>
      </c>
      <c r="O47" s="15" t="s">
        <v>3190</v>
      </c>
      <c r="P47" s="15" t="s">
        <v>3261</v>
      </c>
      <c r="Q47" s="15" t="s">
        <v>3262</v>
      </c>
      <c r="R47" s="15" t="str">
        <f t="shared" si="1"/>
        <v/>
      </c>
    </row>
    <row r="48" spans="1:18" x14ac:dyDescent="0.35">
      <c r="A48" s="15" t="s">
        <v>271</v>
      </c>
      <c r="B48" s="15" t="s">
        <v>2641</v>
      </c>
      <c r="C48" s="15" t="s">
        <v>3263</v>
      </c>
      <c r="D48" s="15" t="s">
        <v>3186</v>
      </c>
      <c r="E48" s="15" t="s">
        <v>46</v>
      </c>
      <c r="F48" s="15" t="s">
        <v>3264</v>
      </c>
      <c r="G48" s="16">
        <v>45239</v>
      </c>
      <c r="H48" s="16">
        <f>IF(COUNTIF(Sales_Ledger!$H$5:$H$863,A48)=0,"",_xlfn.MINIFS(Sales_Ledger!$B$5:$B$863,Sales_Ledger!$H$5:$H$863,A48))</f>
        <v>45239</v>
      </c>
      <c r="I48" s="17">
        <f>SUMIFS(Subscriptions!$I$5:$I$218,Subscriptions!$B$5:$B$218,A48)</f>
        <v>5290000</v>
      </c>
      <c r="J48" s="17">
        <f>SUMIFS(Subscriptions!$J$5:$J$218,Subscriptions!$B$5:$B$218,A48)</f>
        <v>5290000</v>
      </c>
      <c r="K48" s="17">
        <f>SUMIFS(Sales_Ledger!$J$5:$J$863,Sales_Ledger!$H$5:$H$863,$A48,Sales_Ledger!$D$5:$D$863,2023)</f>
        <v>1200000</v>
      </c>
      <c r="L48" s="17">
        <f>SUMIFS(Sales_Ledger!$J$5:$J$863,Sales_Ledger!$H$5:$H$863,$A48,Sales_Ledger!$D$5:$D$863,2024)</f>
        <v>4090000</v>
      </c>
      <c r="M48" s="17">
        <f>SUMIFS(Sales_Ledger!$J$5:$J$863,Sales_Ledger!$H$5:$H$863,$A48,Sales_Ledger!$D$5:$D$863,2025)</f>
        <v>0</v>
      </c>
      <c r="N48" s="17">
        <f t="shared" si="0"/>
        <v>5290000</v>
      </c>
      <c r="O48" s="15" t="s">
        <v>3190</v>
      </c>
      <c r="P48" s="15" t="s">
        <v>2502</v>
      </c>
      <c r="Q48" s="15" t="s">
        <v>1800</v>
      </c>
      <c r="R48" s="15" t="str">
        <f t="shared" si="1"/>
        <v/>
      </c>
    </row>
    <row r="49" spans="1:18" x14ac:dyDescent="0.35">
      <c r="A49" s="15" t="s">
        <v>278</v>
      </c>
      <c r="B49" s="15" t="s">
        <v>279</v>
      </c>
      <c r="C49" s="15" t="s">
        <v>3265</v>
      </c>
      <c r="D49" s="15" t="s">
        <v>3266</v>
      </c>
      <c r="E49" s="15" t="s">
        <v>46</v>
      </c>
      <c r="F49" s="15" t="s">
        <v>3205</v>
      </c>
      <c r="G49" s="16">
        <v>45245</v>
      </c>
      <c r="H49" s="16">
        <f>IF(COUNTIF(Sales_Ledger!$H$5:$H$863,A49)=0,"",_xlfn.MINIFS(Sales_Ledger!$B$5:$B$863,Sales_Ledger!$H$5:$H$863,A49))</f>
        <v>45245</v>
      </c>
      <c r="I49" s="17">
        <f>SUMIFS(Subscriptions!$I$5:$I$218,Subscriptions!$B$5:$B$218,A49)</f>
        <v>10120000</v>
      </c>
      <c r="J49" s="17">
        <f>SUMIFS(Subscriptions!$J$5:$J$218,Subscriptions!$B$5:$B$218,A49)</f>
        <v>10120000</v>
      </c>
      <c r="K49" s="17">
        <f>SUMIFS(Sales_Ledger!$J$5:$J$863,Sales_Ledger!$H$5:$H$863,$A49,Sales_Ledger!$D$5:$D$863,2023)</f>
        <v>1000000</v>
      </c>
      <c r="L49" s="17">
        <f>SUMIFS(Sales_Ledger!$J$5:$J$863,Sales_Ledger!$H$5:$H$863,$A49,Sales_Ledger!$D$5:$D$863,2024)</f>
        <v>8430000</v>
      </c>
      <c r="M49" s="17">
        <f>SUMIFS(Sales_Ledger!$J$5:$J$863,Sales_Ledger!$H$5:$H$863,$A49,Sales_Ledger!$D$5:$D$863,2025)</f>
        <v>0</v>
      </c>
      <c r="N49" s="17">
        <f t="shared" si="0"/>
        <v>9430000</v>
      </c>
      <c r="O49" s="15" t="s">
        <v>3190</v>
      </c>
      <c r="P49" s="15" t="s">
        <v>2502</v>
      </c>
      <c r="Q49" s="15" t="s">
        <v>1800</v>
      </c>
      <c r="R49" s="15" t="str">
        <f t="shared" si="1"/>
        <v/>
      </c>
    </row>
    <row r="50" spans="1:18" x14ac:dyDescent="0.35">
      <c r="A50" s="15" t="s">
        <v>285</v>
      </c>
      <c r="B50" s="15" t="s">
        <v>286</v>
      </c>
      <c r="C50" s="15"/>
      <c r="D50" s="15"/>
      <c r="E50" s="15" t="s">
        <v>46</v>
      </c>
      <c r="F50" s="15" t="s">
        <v>3267</v>
      </c>
      <c r="G50" s="16"/>
      <c r="H50" s="16">
        <f>IF(COUNTIF(Sales_Ledger!$H$5:$H$863,A50)=0,"",_xlfn.MINIFS(Sales_Ledger!$B$5:$B$863,Sales_Ledger!$H$5:$H$863,A50))</f>
        <v>45251</v>
      </c>
      <c r="I50" s="17">
        <f>SUMIFS(Subscriptions!$I$5:$I$218,Subscriptions!$B$5:$B$218,A50)</f>
        <v>0</v>
      </c>
      <c r="J50" s="17">
        <f>SUMIFS(Subscriptions!$J$5:$J$218,Subscriptions!$B$5:$B$218,A50)</f>
        <v>0</v>
      </c>
      <c r="K50" s="17">
        <f>SUMIFS(Sales_Ledger!$J$5:$J$863,Sales_Ledger!$H$5:$H$863,$A50,Sales_Ledger!$D$5:$D$863,2023)</f>
        <v>1000000</v>
      </c>
      <c r="L50" s="17">
        <f>SUMIFS(Sales_Ledger!$J$5:$J$863,Sales_Ledger!$H$5:$H$863,$A50,Sales_Ledger!$D$5:$D$863,2024)</f>
        <v>1641000</v>
      </c>
      <c r="M50" s="17">
        <f>SUMIFS(Sales_Ledger!$J$5:$J$863,Sales_Ledger!$H$5:$H$863,$A50,Sales_Ledger!$D$5:$D$863,2025)</f>
        <v>0</v>
      </c>
      <c r="N50" s="17">
        <f t="shared" si="0"/>
        <v>2641000</v>
      </c>
      <c r="O50" s="15" t="s">
        <v>3253</v>
      </c>
      <c r="P50" s="15"/>
      <c r="Q50" s="15"/>
      <c r="R50" s="15" t="str">
        <f t="shared" si="1"/>
        <v>Not in client register: contract value unknown</v>
      </c>
    </row>
    <row r="51" spans="1:18" x14ac:dyDescent="0.35">
      <c r="A51" s="15" t="s">
        <v>289</v>
      </c>
      <c r="B51" s="15" t="s">
        <v>290</v>
      </c>
      <c r="C51" s="15"/>
      <c r="D51" s="15" t="s">
        <v>3186</v>
      </c>
      <c r="E51" s="15" t="s">
        <v>47</v>
      </c>
      <c r="F51" s="15" t="s">
        <v>3268</v>
      </c>
      <c r="G51" s="16">
        <v>45261</v>
      </c>
      <c r="H51" s="16">
        <f>IF(COUNTIF(Sales_Ledger!$H$5:$H$863,A51)=0,"",_xlfn.MINIFS(Sales_Ledger!$B$5:$B$863,Sales_Ledger!$H$5:$H$863,A51))</f>
        <v>45254</v>
      </c>
      <c r="I51" s="17">
        <f>SUMIFS(Subscriptions!$I$5:$I$218,Subscriptions!$B$5:$B$218,A51)</f>
        <v>21500000</v>
      </c>
      <c r="J51" s="17">
        <f>SUMIFS(Subscriptions!$J$5:$J$218,Subscriptions!$B$5:$B$218,A51)</f>
        <v>0</v>
      </c>
      <c r="K51" s="17">
        <f>SUMIFS(Sales_Ledger!$J$5:$J$863,Sales_Ledger!$H$5:$H$863,$A51,Sales_Ledger!$D$5:$D$863,2023)</f>
        <v>21500000</v>
      </c>
      <c r="L51" s="17">
        <f>SUMIFS(Sales_Ledger!$J$5:$J$863,Sales_Ledger!$H$5:$H$863,$A51,Sales_Ledger!$D$5:$D$863,2024)</f>
        <v>0</v>
      </c>
      <c r="M51" s="17">
        <f>SUMIFS(Sales_Ledger!$J$5:$J$863,Sales_Ledger!$H$5:$H$863,$A51,Sales_Ledger!$D$5:$D$863,2025)</f>
        <v>0</v>
      </c>
      <c r="N51" s="17">
        <f t="shared" si="0"/>
        <v>21500000</v>
      </c>
      <c r="O51" s="15" t="s">
        <v>3190</v>
      </c>
      <c r="P51" s="15" t="s">
        <v>2465</v>
      </c>
      <c r="Q51" s="15" t="s">
        <v>2655</v>
      </c>
      <c r="R51" s="15" t="str">
        <f t="shared" si="1"/>
        <v/>
      </c>
    </row>
    <row r="52" spans="1:18" x14ac:dyDescent="0.35">
      <c r="A52" s="15" t="s">
        <v>313</v>
      </c>
      <c r="B52" s="15" t="s">
        <v>2658</v>
      </c>
      <c r="C52" s="15" t="s">
        <v>3269</v>
      </c>
      <c r="D52" s="15" t="s">
        <v>3186</v>
      </c>
      <c r="E52" s="15" t="s">
        <v>46</v>
      </c>
      <c r="F52" s="15" t="s">
        <v>3189</v>
      </c>
      <c r="G52" s="16">
        <v>45268</v>
      </c>
      <c r="H52" s="16">
        <f>IF(COUNTIF(Sales_Ledger!$H$5:$H$863,A52)=0,"",_xlfn.MINIFS(Sales_Ledger!$B$5:$B$863,Sales_Ledger!$H$5:$H$863,A52))</f>
        <v>45268</v>
      </c>
      <c r="I52" s="17">
        <f>SUMIFS(Subscriptions!$I$5:$I$218,Subscriptions!$B$5:$B$218,A52)</f>
        <v>5040000</v>
      </c>
      <c r="J52" s="17">
        <f>SUMIFS(Subscriptions!$J$5:$J$218,Subscriptions!$B$5:$B$218,A52)</f>
        <v>5040000</v>
      </c>
      <c r="K52" s="17">
        <f>SUMIFS(Sales_Ledger!$J$5:$J$863,Sales_Ledger!$H$5:$H$863,$A52,Sales_Ledger!$D$5:$D$863,2023)</f>
        <v>2600000</v>
      </c>
      <c r="L52" s="17">
        <f>SUMIFS(Sales_Ledger!$J$5:$J$863,Sales_Ledger!$H$5:$H$863,$A52,Sales_Ledger!$D$5:$D$863,2024)</f>
        <v>0</v>
      </c>
      <c r="M52" s="17">
        <f>SUMIFS(Sales_Ledger!$J$5:$J$863,Sales_Ledger!$H$5:$H$863,$A52,Sales_Ledger!$D$5:$D$863,2025)</f>
        <v>0</v>
      </c>
      <c r="N52" s="17">
        <f t="shared" si="0"/>
        <v>2600000</v>
      </c>
      <c r="O52" s="15" t="s">
        <v>3190</v>
      </c>
      <c r="P52" s="15" t="s">
        <v>2502</v>
      </c>
      <c r="Q52" s="15" t="s">
        <v>2661</v>
      </c>
      <c r="R52" s="15" t="str">
        <f t="shared" si="1"/>
        <v/>
      </c>
    </row>
    <row r="53" spans="1:18" x14ac:dyDescent="0.35">
      <c r="A53" s="15" t="s">
        <v>323</v>
      </c>
      <c r="B53" s="15" t="s">
        <v>324</v>
      </c>
      <c r="C53" s="15" t="s">
        <v>3270</v>
      </c>
      <c r="D53" s="15" t="s">
        <v>3186</v>
      </c>
      <c r="E53" s="15" t="s">
        <v>46</v>
      </c>
      <c r="F53" s="15" t="s">
        <v>3189</v>
      </c>
      <c r="G53" s="16">
        <v>45271</v>
      </c>
      <c r="H53" s="16">
        <f>IF(COUNTIF(Sales_Ledger!$H$5:$H$863,A53)=0,"",_xlfn.MINIFS(Sales_Ledger!$B$5:$B$863,Sales_Ledger!$H$5:$H$863,A53))</f>
        <v>45271</v>
      </c>
      <c r="I53" s="17">
        <f>SUMIFS(Subscriptions!$I$5:$I$218,Subscriptions!$B$5:$B$218,A53)</f>
        <v>2743680</v>
      </c>
      <c r="J53" s="17">
        <f>SUMIFS(Subscriptions!$J$5:$J$218,Subscriptions!$B$5:$B$218,A53)</f>
        <v>2743680</v>
      </c>
      <c r="K53" s="17">
        <f>SUMIFS(Sales_Ledger!$J$5:$J$863,Sales_Ledger!$H$5:$H$863,$A53,Sales_Ledger!$D$5:$D$863,2023)</f>
        <v>5040000</v>
      </c>
      <c r="L53" s="17">
        <f>SUMIFS(Sales_Ledger!$J$5:$J$863,Sales_Ledger!$H$5:$H$863,$A53,Sales_Ledger!$D$5:$D$863,2024)</f>
        <v>0</v>
      </c>
      <c r="M53" s="17">
        <f>SUMIFS(Sales_Ledger!$J$5:$J$863,Sales_Ledger!$H$5:$H$863,$A53,Sales_Ledger!$D$5:$D$863,2025)</f>
        <v>0</v>
      </c>
      <c r="N53" s="17">
        <f t="shared" si="0"/>
        <v>5040000</v>
      </c>
      <c r="O53" s="15" t="s">
        <v>3190</v>
      </c>
      <c r="P53" s="15" t="s">
        <v>2502</v>
      </c>
      <c r="Q53" s="15" t="s">
        <v>1800</v>
      </c>
      <c r="R53" s="15" t="str">
        <f t="shared" si="1"/>
        <v>Receipts exceed register contract value: check for duplicate entries, extra plots or ancillary fees</v>
      </c>
    </row>
    <row r="54" spans="1:18" x14ac:dyDescent="0.35">
      <c r="A54" s="15" t="s">
        <v>382</v>
      </c>
      <c r="B54" s="15" t="s">
        <v>497</v>
      </c>
      <c r="C54" s="15" t="s">
        <v>3271</v>
      </c>
      <c r="D54" s="15" t="s">
        <v>3272</v>
      </c>
      <c r="E54" s="15" t="s">
        <v>46</v>
      </c>
      <c r="F54" s="15" t="s">
        <v>3273</v>
      </c>
      <c r="G54" s="16">
        <v>45274</v>
      </c>
      <c r="H54" s="16">
        <f>IF(COUNTIF(Sales_Ledger!$H$5:$H$863,A54)=0,"",_xlfn.MINIFS(Sales_Ledger!$B$5:$B$863,Sales_Ledger!$H$5:$H$863,A54))</f>
        <v>45290</v>
      </c>
      <c r="I54" s="17">
        <f>SUMIFS(Subscriptions!$I$5:$I$218,Subscriptions!$B$5:$B$218,A54)</f>
        <v>4400000</v>
      </c>
      <c r="J54" s="17">
        <f>SUMIFS(Subscriptions!$J$5:$J$218,Subscriptions!$B$5:$B$218,A54)</f>
        <v>4400000</v>
      </c>
      <c r="K54" s="17">
        <f>SUMIFS(Sales_Ledger!$J$5:$J$863,Sales_Ledger!$H$5:$H$863,$A54,Sales_Ledger!$D$5:$D$863,2023)</f>
        <v>500000</v>
      </c>
      <c r="L54" s="17">
        <f>SUMIFS(Sales_Ledger!$J$5:$J$863,Sales_Ledger!$H$5:$H$863,$A54,Sales_Ledger!$D$5:$D$863,2024)</f>
        <v>4135000</v>
      </c>
      <c r="M54" s="17">
        <f>SUMIFS(Sales_Ledger!$J$5:$J$863,Sales_Ledger!$H$5:$H$863,$A54,Sales_Ledger!$D$5:$D$863,2025)</f>
        <v>1800000</v>
      </c>
      <c r="N54" s="17">
        <f t="shared" si="0"/>
        <v>6435000</v>
      </c>
      <c r="O54" s="15" t="s">
        <v>3190</v>
      </c>
      <c r="P54" s="15" t="s">
        <v>2502</v>
      </c>
      <c r="Q54" s="15" t="s">
        <v>3274</v>
      </c>
      <c r="R54" s="15" t="str">
        <f t="shared" si="1"/>
        <v>Receipts exceed register contract value: check for duplicate entries, extra plots or ancillary fees</v>
      </c>
    </row>
    <row r="55" spans="1:18" x14ac:dyDescent="0.35">
      <c r="A55" s="15" t="s">
        <v>337</v>
      </c>
      <c r="B55" s="15" t="s">
        <v>732</v>
      </c>
      <c r="C55" s="15" t="s">
        <v>3275</v>
      </c>
      <c r="D55" s="15" t="s">
        <v>3276</v>
      </c>
      <c r="E55" s="15" t="s">
        <v>46</v>
      </c>
      <c r="F55" s="15" t="s">
        <v>3277</v>
      </c>
      <c r="G55" s="16">
        <v>45280</v>
      </c>
      <c r="H55" s="16">
        <f>IF(COUNTIF(Sales_Ledger!$H$5:$H$863,A55)=0,"",_xlfn.MINIFS(Sales_Ledger!$B$5:$B$863,Sales_Ledger!$H$5:$H$863,A55))</f>
        <v>45281</v>
      </c>
      <c r="I55" s="17">
        <f>SUMIFS(Subscriptions!$I$5:$I$218,Subscriptions!$B$5:$B$218,A55)</f>
        <v>14100000</v>
      </c>
      <c r="J55" s="17">
        <f>SUMIFS(Subscriptions!$J$5:$J$218,Subscriptions!$B$5:$B$218,A55)</f>
        <v>12100000</v>
      </c>
      <c r="K55" s="17">
        <f>SUMIFS(Sales_Ledger!$J$5:$J$863,Sales_Ledger!$H$5:$H$863,$A55,Sales_Ledger!$D$5:$D$863,2023)</f>
        <v>500000</v>
      </c>
      <c r="L55" s="17">
        <f>SUMIFS(Sales_Ledger!$J$5:$J$863,Sales_Ledger!$H$5:$H$863,$A55,Sales_Ledger!$D$5:$D$863,2024)</f>
        <v>5285000</v>
      </c>
      <c r="M55" s="17">
        <f>SUMIFS(Sales_Ledger!$J$5:$J$863,Sales_Ledger!$H$5:$H$863,$A55,Sales_Ledger!$D$5:$D$863,2025)</f>
        <v>0</v>
      </c>
      <c r="N55" s="17">
        <f t="shared" si="0"/>
        <v>5785000</v>
      </c>
      <c r="O55" s="15" t="s">
        <v>3190</v>
      </c>
      <c r="P55" s="15" t="s">
        <v>3225</v>
      </c>
      <c r="Q55" s="15" t="s">
        <v>1800</v>
      </c>
      <c r="R55" s="15" t="str">
        <f t="shared" si="1"/>
        <v/>
      </c>
    </row>
    <row r="56" spans="1:18" x14ac:dyDescent="0.35">
      <c r="A56" s="15" t="s">
        <v>345</v>
      </c>
      <c r="B56" s="15" t="s">
        <v>2672</v>
      </c>
      <c r="C56" s="15" t="s">
        <v>3278</v>
      </c>
      <c r="D56" s="15" t="s">
        <v>3186</v>
      </c>
      <c r="E56" s="15" t="s">
        <v>46</v>
      </c>
      <c r="F56" s="15" t="s">
        <v>3189</v>
      </c>
      <c r="G56" s="16">
        <v>45283</v>
      </c>
      <c r="H56" s="16">
        <f>IF(COUNTIF(Sales_Ledger!$H$5:$H$863,A56)=0,"",_xlfn.MINIFS(Sales_Ledger!$B$5:$B$863,Sales_Ledger!$H$5:$H$863,A56))</f>
        <v>45283</v>
      </c>
      <c r="I56" s="17">
        <f>SUMIFS(Subscriptions!$I$5:$I$218,Subscriptions!$B$5:$B$218,A56)</f>
        <v>5796000</v>
      </c>
      <c r="J56" s="17">
        <f>SUMIFS(Subscriptions!$J$5:$J$218,Subscriptions!$B$5:$B$218,A56)</f>
        <v>5796000</v>
      </c>
      <c r="K56" s="17">
        <f>SUMIFS(Sales_Ledger!$J$5:$J$863,Sales_Ledger!$H$5:$H$863,$A56,Sales_Ledger!$D$5:$D$863,2023)</f>
        <v>1000000</v>
      </c>
      <c r="L56" s="17">
        <f>SUMIFS(Sales_Ledger!$J$5:$J$863,Sales_Ledger!$H$5:$H$863,$A56,Sales_Ledger!$D$5:$D$863,2024)</f>
        <v>1640000</v>
      </c>
      <c r="M56" s="17">
        <f>SUMIFS(Sales_Ledger!$J$5:$J$863,Sales_Ledger!$H$5:$H$863,$A56,Sales_Ledger!$D$5:$D$863,2025)</f>
        <v>0</v>
      </c>
      <c r="N56" s="17">
        <f t="shared" si="0"/>
        <v>2640000</v>
      </c>
      <c r="O56" s="15" t="s">
        <v>3190</v>
      </c>
      <c r="P56" s="15" t="s">
        <v>2502</v>
      </c>
      <c r="Q56" s="15" t="s">
        <v>2611</v>
      </c>
      <c r="R56" s="15" t="str">
        <f t="shared" si="1"/>
        <v/>
      </c>
    </row>
    <row r="57" spans="1:18" x14ac:dyDescent="0.35">
      <c r="A57" s="15" t="s">
        <v>352</v>
      </c>
      <c r="B57" s="15" t="s">
        <v>523</v>
      </c>
      <c r="C57" s="15" t="s">
        <v>3279</v>
      </c>
      <c r="D57" s="15" t="s">
        <v>3186</v>
      </c>
      <c r="E57" s="15" t="s">
        <v>46</v>
      </c>
      <c r="F57" s="15" t="s">
        <v>3208</v>
      </c>
      <c r="G57" s="16">
        <v>45286</v>
      </c>
      <c r="H57" s="16">
        <f>IF(COUNTIF(Sales_Ledger!$H$5:$H$863,A57)=0,"",_xlfn.MINIFS(Sales_Ledger!$B$5:$B$863,Sales_Ledger!$H$5:$H$863,A57))</f>
        <v>45286</v>
      </c>
      <c r="I57" s="17">
        <f>SUMIFS(Subscriptions!$I$5:$I$218,Subscriptions!$B$5:$B$218,A57)</f>
        <v>2640000</v>
      </c>
      <c r="J57" s="17">
        <f>SUMIFS(Subscriptions!$J$5:$J$218,Subscriptions!$B$5:$B$218,A57)</f>
        <v>2640000</v>
      </c>
      <c r="K57" s="17">
        <f>SUMIFS(Sales_Ledger!$J$5:$J$863,Sales_Ledger!$H$5:$H$863,$A57,Sales_Ledger!$D$5:$D$863,2023)</f>
        <v>500000</v>
      </c>
      <c r="L57" s="17">
        <f>SUMIFS(Sales_Ledger!$J$5:$J$863,Sales_Ledger!$H$5:$H$863,$A57,Sales_Ledger!$D$5:$D$863,2024)</f>
        <v>4635000</v>
      </c>
      <c r="M57" s="17">
        <f>SUMIFS(Sales_Ledger!$J$5:$J$863,Sales_Ledger!$H$5:$H$863,$A57,Sales_Ledger!$D$5:$D$863,2025)</f>
        <v>0</v>
      </c>
      <c r="N57" s="17">
        <f t="shared" si="0"/>
        <v>5135000</v>
      </c>
      <c r="O57" s="15" t="s">
        <v>3190</v>
      </c>
      <c r="P57" s="15" t="s">
        <v>2502</v>
      </c>
      <c r="Q57" s="15" t="s">
        <v>2675</v>
      </c>
      <c r="R57" s="15" t="str">
        <f t="shared" si="1"/>
        <v>Receipts exceed register contract value: check for duplicate entries, extra plots or ancillary fees</v>
      </c>
    </row>
    <row r="58" spans="1:18" x14ac:dyDescent="0.35">
      <c r="A58" s="15" t="s">
        <v>362</v>
      </c>
      <c r="B58" s="15" t="s">
        <v>363</v>
      </c>
      <c r="C58" s="15" t="s">
        <v>3280</v>
      </c>
      <c r="D58" s="15" t="s">
        <v>3281</v>
      </c>
      <c r="E58" s="15" t="s">
        <v>46</v>
      </c>
      <c r="F58" s="15" t="s">
        <v>3282</v>
      </c>
      <c r="G58" s="16">
        <v>45288</v>
      </c>
      <c r="H58" s="16">
        <f>IF(COUNTIF(Sales_Ledger!$H$5:$H$863,A58)=0,"",_xlfn.MINIFS(Sales_Ledger!$B$5:$B$863,Sales_Ledger!$H$5:$H$863,A58))</f>
        <v>45288</v>
      </c>
      <c r="I58" s="17">
        <f>SUMIFS(Subscriptions!$I$5:$I$218,Subscriptions!$B$5:$B$218,A58)</f>
        <v>11040000</v>
      </c>
      <c r="J58" s="17">
        <f>SUMIFS(Subscriptions!$J$5:$J$218,Subscriptions!$B$5:$B$218,A58)</f>
        <v>11040000</v>
      </c>
      <c r="K58" s="17">
        <f>SUMIFS(Sales_Ledger!$J$5:$J$863,Sales_Ledger!$H$5:$H$863,$A58,Sales_Ledger!$D$5:$D$863,2023)</f>
        <v>2000000</v>
      </c>
      <c r="L58" s="17">
        <f>SUMIFS(Sales_Ledger!$J$5:$J$863,Sales_Ledger!$H$5:$H$863,$A58,Sales_Ledger!$D$5:$D$863,2024)</f>
        <v>16670000</v>
      </c>
      <c r="M58" s="17">
        <f>SUMIFS(Sales_Ledger!$J$5:$J$863,Sales_Ledger!$H$5:$H$863,$A58,Sales_Ledger!$D$5:$D$863,2025)</f>
        <v>0</v>
      </c>
      <c r="N58" s="17">
        <f t="shared" si="0"/>
        <v>18670000</v>
      </c>
      <c r="O58" s="15" t="s">
        <v>3190</v>
      </c>
      <c r="P58" s="15" t="s">
        <v>2502</v>
      </c>
      <c r="Q58" s="15" t="s">
        <v>2513</v>
      </c>
      <c r="R58" s="15" t="str">
        <f t="shared" si="1"/>
        <v>Receipts exceed register contract value: check for duplicate entries, extra plots or ancillary fees</v>
      </c>
    </row>
    <row r="59" spans="1:18" x14ac:dyDescent="0.35">
      <c r="A59" s="15" t="s">
        <v>357</v>
      </c>
      <c r="B59" s="15" t="s">
        <v>3099</v>
      </c>
      <c r="C59" s="15" t="s">
        <v>3283</v>
      </c>
      <c r="D59" s="15" t="s">
        <v>3284</v>
      </c>
      <c r="E59" s="15" t="s">
        <v>3285</v>
      </c>
      <c r="F59" s="15" t="s">
        <v>3286</v>
      </c>
      <c r="G59" s="16">
        <v>45875</v>
      </c>
      <c r="H59" s="16">
        <f>IF(COUNTIF(Sales_Ledger!$H$5:$H$863,A59)=0,"",_xlfn.MINIFS(Sales_Ledger!$B$5:$B$863,Sales_Ledger!$H$5:$H$863,A59))</f>
        <v>45288</v>
      </c>
      <c r="I59" s="17">
        <f>SUMIFS(Subscriptions!$I$5:$I$218,Subscriptions!$B$5:$B$218,A59)</f>
        <v>34000000</v>
      </c>
      <c r="J59" s="17">
        <f>SUMIFS(Subscriptions!$J$5:$J$218,Subscriptions!$B$5:$B$218,A59)</f>
        <v>30000000</v>
      </c>
      <c r="K59" s="17">
        <f>SUMIFS(Sales_Ledger!$J$5:$J$863,Sales_Ledger!$H$5:$H$863,$A59,Sales_Ledger!$D$5:$D$863,2023)</f>
        <v>2000000</v>
      </c>
      <c r="L59" s="17">
        <f>SUMIFS(Sales_Ledger!$J$5:$J$863,Sales_Ledger!$H$5:$H$863,$A59,Sales_Ledger!$D$5:$D$863,2024)</f>
        <v>3000000</v>
      </c>
      <c r="M59" s="17">
        <f>SUMIFS(Sales_Ledger!$J$5:$J$863,Sales_Ledger!$H$5:$H$863,$A59,Sales_Ledger!$D$5:$D$863,2025)</f>
        <v>20000000</v>
      </c>
      <c r="N59" s="17">
        <f t="shared" si="0"/>
        <v>25000000</v>
      </c>
      <c r="O59" s="15" t="s">
        <v>3190</v>
      </c>
      <c r="P59" s="15" t="s">
        <v>2601</v>
      </c>
      <c r="Q59" s="15" t="s">
        <v>3102</v>
      </c>
      <c r="R59" s="15" t="str">
        <f t="shared" si="1"/>
        <v/>
      </c>
    </row>
    <row r="60" spans="1:18" x14ac:dyDescent="0.35">
      <c r="A60" s="15" t="s">
        <v>369</v>
      </c>
      <c r="B60" s="15" t="s">
        <v>370</v>
      </c>
      <c r="C60" s="15" t="s">
        <v>3287</v>
      </c>
      <c r="D60" s="15" t="s">
        <v>3186</v>
      </c>
      <c r="E60" s="15" t="s">
        <v>46</v>
      </c>
      <c r="F60" s="15" t="s">
        <v>3208</v>
      </c>
      <c r="G60" s="16">
        <v>45289</v>
      </c>
      <c r="H60" s="16">
        <f>IF(COUNTIF(Sales_Ledger!$H$5:$H$863,A60)=0,"",_xlfn.MINIFS(Sales_Ledger!$B$5:$B$863,Sales_Ledger!$H$5:$H$863,A60))</f>
        <v>45289</v>
      </c>
      <c r="I60" s="17">
        <f>SUMIFS(Subscriptions!$I$5:$I$218,Subscriptions!$B$5:$B$218,A60)</f>
        <v>5040000</v>
      </c>
      <c r="J60" s="17">
        <f>SUMIFS(Subscriptions!$J$5:$J$218,Subscriptions!$B$5:$B$218,A60)</f>
        <v>5040000</v>
      </c>
      <c r="K60" s="17">
        <f>SUMIFS(Sales_Ledger!$J$5:$J$863,Sales_Ledger!$H$5:$H$863,$A60,Sales_Ledger!$D$5:$D$863,2023)</f>
        <v>500000</v>
      </c>
      <c r="L60" s="17">
        <f>SUMIFS(Sales_Ledger!$J$5:$J$863,Sales_Ledger!$H$5:$H$863,$A60,Sales_Ledger!$D$5:$D$863,2024)</f>
        <v>2275000</v>
      </c>
      <c r="M60" s="17">
        <f>SUMIFS(Sales_Ledger!$J$5:$J$863,Sales_Ledger!$H$5:$H$863,$A60,Sales_Ledger!$D$5:$D$863,2025)</f>
        <v>0</v>
      </c>
      <c r="N60" s="17">
        <f t="shared" si="0"/>
        <v>2775000</v>
      </c>
      <c r="O60" s="15" t="s">
        <v>3190</v>
      </c>
      <c r="P60" s="15" t="s">
        <v>2502</v>
      </c>
      <c r="Q60" s="15" t="s">
        <v>2513</v>
      </c>
      <c r="R60" s="15" t="str">
        <f t="shared" si="1"/>
        <v/>
      </c>
    </row>
    <row r="61" spans="1:18" x14ac:dyDescent="0.35">
      <c r="A61" s="15" t="s">
        <v>378</v>
      </c>
      <c r="B61" s="15" t="s">
        <v>379</v>
      </c>
      <c r="C61" s="15"/>
      <c r="D61" s="15"/>
      <c r="E61" s="15" t="s">
        <v>46</v>
      </c>
      <c r="F61" s="15" t="s">
        <v>3189</v>
      </c>
      <c r="G61" s="16"/>
      <c r="H61" s="16">
        <f>IF(COUNTIF(Sales_Ledger!$H$5:$H$863,A61)=0,"",_xlfn.MINIFS(Sales_Ledger!$B$5:$B$863,Sales_Ledger!$H$5:$H$863,A61))</f>
        <v>45289</v>
      </c>
      <c r="I61" s="17">
        <f>SUMIFS(Subscriptions!$I$5:$I$218,Subscriptions!$B$5:$B$218,A61)</f>
        <v>0</v>
      </c>
      <c r="J61" s="17">
        <f>SUMIFS(Subscriptions!$J$5:$J$218,Subscriptions!$B$5:$B$218,A61)</f>
        <v>0</v>
      </c>
      <c r="K61" s="17">
        <f>SUMIFS(Sales_Ledger!$J$5:$J$863,Sales_Ledger!$H$5:$H$863,$A61,Sales_Ledger!$D$5:$D$863,2023)</f>
        <v>2000000</v>
      </c>
      <c r="L61" s="17">
        <f>SUMIFS(Sales_Ledger!$J$5:$J$863,Sales_Ledger!$H$5:$H$863,$A61,Sales_Ledger!$D$5:$D$863,2024)</f>
        <v>3040000</v>
      </c>
      <c r="M61" s="17">
        <f>SUMIFS(Sales_Ledger!$J$5:$J$863,Sales_Ledger!$H$5:$H$863,$A61,Sales_Ledger!$D$5:$D$863,2025)</f>
        <v>0</v>
      </c>
      <c r="N61" s="17">
        <f t="shared" si="0"/>
        <v>5040000</v>
      </c>
      <c r="O61" s="15" t="s">
        <v>3253</v>
      </c>
      <c r="P61" s="15"/>
      <c r="Q61" s="15"/>
      <c r="R61" s="15" t="str">
        <f t="shared" si="1"/>
        <v>Not in client register: contract value unknown</v>
      </c>
    </row>
    <row r="62" spans="1:18" x14ac:dyDescent="0.35">
      <c r="A62" s="15" t="s">
        <v>1020</v>
      </c>
      <c r="B62" s="15" t="s">
        <v>2686</v>
      </c>
      <c r="C62" s="15" t="s">
        <v>3288</v>
      </c>
      <c r="D62" s="15" t="s">
        <v>3186</v>
      </c>
      <c r="E62" s="15" t="s">
        <v>46</v>
      </c>
      <c r="F62" s="15" t="s">
        <v>3208</v>
      </c>
      <c r="G62" s="16">
        <v>45289</v>
      </c>
      <c r="H62" s="16">
        <f>IF(COUNTIF(Sales_Ledger!$H$5:$H$863,A62)=0,"",_xlfn.MINIFS(Sales_Ledger!$B$5:$B$863,Sales_Ledger!$H$5:$H$863,A62))</f>
        <v>45457</v>
      </c>
      <c r="I62" s="17">
        <f>SUMIFS(Subscriptions!$I$5:$I$218,Subscriptions!$B$5:$B$218,A62)</f>
        <v>5500000</v>
      </c>
      <c r="J62" s="17">
        <f>SUMIFS(Subscriptions!$J$5:$J$218,Subscriptions!$B$5:$B$218,A62)</f>
        <v>5500000</v>
      </c>
      <c r="K62" s="17">
        <f>SUMIFS(Sales_Ledger!$J$5:$J$863,Sales_Ledger!$H$5:$H$863,$A62,Sales_Ledger!$D$5:$D$863,2023)</f>
        <v>0</v>
      </c>
      <c r="L62" s="17">
        <f>SUMIFS(Sales_Ledger!$J$5:$J$863,Sales_Ledger!$H$5:$H$863,$A62,Sales_Ledger!$D$5:$D$863,2024)</f>
        <v>135000</v>
      </c>
      <c r="M62" s="17">
        <f>SUMIFS(Sales_Ledger!$J$5:$J$863,Sales_Ledger!$H$5:$H$863,$A62,Sales_Ledger!$D$5:$D$863,2025)</f>
        <v>0</v>
      </c>
      <c r="N62" s="17">
        <f t="shared" si="0"/>
        <v>135000</v>
      </c>
      <c r="O62" s="15" t="s">
        <v>3190</v>
      </c>
      <c r="P62" s="15" t="s">
        <v>2502</v>
      </c>
      <c r="Q62" s="15" t="s">
        <v>2689</v>
      </c>
      <c r="R62" s="15" t="str">
        <f t="shared" si="1"/>
        <v/>
      </c>
    </row>
    <row r="63" spans="1:18" x14ac:dyDescent="0.35">
      <c r="A63" s="15" t="s">
        <v>387</v>
      </c>
      <c r="B63" s="15" t="s">
        <v>2691</v>
      </c>
      <c r="C63" s="15" t="s">
        <v>3289</v>
      </c>
      <c r="D63" s="15" t="s">
        <v>3186</v>
      </c>
      <c r="E63" s="15" t="s">
        <v>46</v>
      </c>
      <c r="F63" s="15" t="s">
        <v>3189</v>
      </c>
      <c r="G63" s="16">
        <v>45291</v>
      </c>
      <c r="H63" s="16">
        <f>IF(COUNTIF(Sales_Ledger!$H$5:$H$863,A63)=0,"",_xlfn.MINIFS(Sales_Ledger!$B$5:$B$863,Sales_Ledger!$H$5:$H$863,A63))</f>
        <v>45291</v>
      </c>
      <c r="I63" s="17">
        <f>SUMIFS(Subscriptions!$I$5:$I$218,Subscriptions!$B$5:$B$218,A63)</f>
        <v>10000000</v>
      </c>
      <c r="J63" s="17">
        <f>SUMIFS(Subscriptions!$J$5:$J$218,Subscriptions!$B$5:$B$218,A63)</f>
        <v>10000000</v>
      </c>
      <c r="K63" s="17">
        <f>SUMIFS(Sales_Ledger!$J$5:$J$863,Sales_Ledger!$H$5:$H$863,$A63,Sales_Ledger!$D$5:$D$863,2023)</f>
        <v>500000</v>
      </c>
      <c r="L63" s="17">
        <f>SUMIFS(Sales_Ledger!$J$5:$J$863,Sales_Ledger!$H$5:$H$863,$A63,Sales_Ledger!$D$5:$D$863,2024)</f>
        <v>4540000</v>
      </c>
      <c r="M63" s="17">
        <f>SUMIFS(Sales_Ledger!$J$5:$J$863,Sales_Ledger!$H$5:$H$863,$A63,Sales_Ledger!$D$5:$D$863,2025)</f>
        <v>0</v>
      </c>
      <c r="N63" s="17">
        <f t="shared" si="0"/>
        <v>5040000</v>
      </c>
      <c r="O63" s="15" t="s">
        <v>3190</v>
      </c>
      <c r="P63" s="15" t="s">
        <v>2502</v>
      </c>
      <c r="Q63" s="15" t="s">
        <v>2513</v>
      </c>
      <c r="R63" s="15" t="str">
        <f t="shared" si="1"/>
        <v/>
      </c>
    </row>
    <row r="64" spans="1:18" x14ac:dyDescent="0.35">
      <c r="A64" s="15" t="s">
        <v>397</v>
      </c>
      <c r="B64" s="15" t="s">
        <v>793</v>
      </c>
      <c r="C64" s="15" t="s">
        <v>3290</v>
      </c>
      <c r="D64" s="15" t="s">
        <v>3291</v>
      </c>
      <c r="E64" s="15" t="s">
        <v>46</v>
      </c>
      <c r="F64" s="15" t="s">
        <v>3292</v>
      </c>
      <c r="G64" s="16">
        <v>45526</v>
      </c>
      <c r="H64" s="16">
        <f>IF(COUNTIF(Sales_Ledger!$H$5:$H$863,A64)=0,"",_xlfn.MINIFS(Sales_Ledger!$B$5:$B$863,Sales_Ledger!$H$5:$H$863,A64))</f>
        <v>45292</v>
      </c>
      <c r="I64" s="17">
        <f>SUMIFS(Subscriptions!$I$5:$I$218,Subscriptions!$B$5:$B$218,A64)</f>
        <v>608060</v>
      </c>
      <c r="J64" s="17">
        <f>SUMIFS(Subscriptions!$J$5:$J$218,Subscriptions!$B$5:$B$218,A64)</f>
        <v>608060</v>
      </c>
      <c r="K64" s="17">
        <f>SUMIFS(Sales_Ledger!$J$5:$J$863,Sales_Ledger!$H$5:$H$863,$A64,Sales_Ledger!$D$5:$D$863,2023)</f>
        <v>0</v>
      </c>
      <c r="L64" s="17">
        <f>SUMIFS(Sales_Ledger!$J$5:$J$863,Sales_Ledger!$H$5:$H$863,$A64,Sales_Ledger!$D$5:$D$863,2024)</f>
        <v>980600</v>
      </c>
      <c r="M64" s="17">
        <f>SUMIFS(Sales_Ledger!$J$5:$J$863,Sales_Ledger!$H$5:$H$863,$A64,Sales_Ledger!$D$5:$D$863,2025)</f>
        <v>0</v>
      </c>
      <c r="N64" s="17">
        <f t="shared" si="0"/>
        <v>980600</v>
      </c>
      <c r="O64" s="15" t="s">
        <v>3190</v>
      </c>
      <c r="P64" s="15" t="s">
        <v>2502</v>
      </c>
      <c r="Q64" s="15" t="s">
        <v>2850</v>
      </c>
      <c r="R64" s="15" t="str">
        <f t="shared" si="1"/>
        <v>Receipts exceed register contract value: check for duplicate entries, extra plots or ancillary fees</v>
      </c>
    </row>
    <row r="65" spans="1:18" x14ac:dyDescent="0.35">
      <c r="A65" s="15" t="s">
        <v>409</v>
      </c>
      <c r="B65" s="15" t="s">
        <v>2694</v>
      </c>
      <c r="C65" s="15" t="s">
        <v>3293</v>
      </c>
      <c r="D65" s="15" t="s">
        <v>3294</v>
      </c>
      <c r="E65" s="15" t="s">
        <v>46</v>
      </c>
      <c r="F65" s="15" t="s">
        <v>3295</v>
      </c>
      <c r="G65" s="16">
        <v>45296</v>
      </c>
      <c r="H65" s="16">
        <f>IF(COUNTIF(Sales_Ledger!$H$5:$H$863,A65)=0,"",_xlfn.MINIFS(Sales_Ledger!$B$5:$B$863,Sales_Ledger!$H$5:$H$863,A65))</f>
        <v>45296</v>
      </c>
      <c r="I65" s="17">
        <f>SUMIFS(Subscriptions!$I$5:$I$218,Subscriptions!$B$5:$B$218,A65)</f>
        <v>1800000</v>
      </c>
      <c r="J65" s="17">
        <f>SUMIFS(Subscriptions!$J$5:$J$218,Subscriptions!$B$5:$B$218,A65)</f>
        <v>1700000</v>
      </c>
      <c r="K65" s="17">
        <f>SUMIFS(Sales_Ledger!$J$5:$J$863,Sales_Ledger!$H$5:$H$863,$A65,Sales_Ledger!$D$5:$D$863,2023)</f>
        <v>0</v>
      </c>
      <c r="L65" s="17">
        <f>SUMIFS(Sales_Ledger!$J$5:$J$863,Sales_Ledger!$H$5:$H$863,$A65,Sales_Ledger!$D$5:$D$863,2024)</f>
        <v>1830000</v>
      </c>
      <c r="M65" s="17">
        <f>SUMIFS(Sales_Ledger!$J$5:$J$863,Sales_Ledger!$H$5:$H$863,$A65,Sales_Ledger!$D$5:$D$863,2025)</f>
        <v>0</v>
      </c>
      <c r="N65" s="17">
        <f t="shared" si="0"/>
        <v>1830000</v>
      </c>
      <c r="O65" s="15" t="s">
        <v>3190</v>
      </c>
      <c r="P65" s="15" t="s">
        <v>2542</v>
      </c>
      <c r="Q65" s="15" t="s">
        <v>1800</v>
      </c>
      <c r="R65" s="15" t="str">
        <f t="shared" si="1"/>
        <v/>
      </c>
    </row>
    <row r="66" spans="1:18" x14ac:dyDescent="0.35">
      <c r="A66" s="15" t="s">
        <v>469</v>
      </c>
      <c r="B66" s="15" t="s">
        <v>470</v>
      </c>
      <c r="C66" s="15" t="s">
        <v>3296</v>
      </c>
      <c r="D66" s="15" t="s">
        <v>3186</v>
      </c>
      <c r="E66" s="15" t="s">
        <v>46</v>
      </c>
      <c r="F66" s="15" t="s">
        <v>3264</v>
      </c>
      <c r="G66" s="16">
        <v>45323</v>
      </c>
      <c r="H66" s="16">
        <f>IF(COUNTIF(Sales_Ledger!$H$5:$H$863,A66)=0,"",_xlfn.MINIFS(Sales_Ledger!$B$5:$B$863,Sales_Ledger!$H$5:$H$863,A66))</f>
        <v>45324</v>
      </c>
      <c r="I66" s="17">
        <f>SUMIFS(Subscriptions!$I$5:$I$218,Subscriptions!$B$5:$B$218,A66)</f>
        <v>5040000</v>
      </c>
      <c r="J66" s="17">
        <f>SUMIFS(Subscriptions!$J$5:$J$218,Subscriptions!$B$5:$B$218,A66)</f>
        <v>5040000</v>
      </c>
      <c r="K66" s="17">
        <f>SUMIFS(Sales_Ledger!$J$5:$J$863,Sales_Ledger!$H$5:$H$863,$A66,Sales_Ledger!$D$5:$D$863,2023)</f>
        <v>0</v>
      </c>
      <c r="L66" s="17">
        <f>SUMIFS(Sales_Ledger!$J$5:$J$863,Sales_Ledger!$H$5:$H$863,$A66,Sales_Ledger!$D$5:$D$863,2024)</f>
        <v>4500000</v>
      </c>
      <c r="M66" s="17">
        <f>SUMIFS(Sales_Ledger!$J$5:$J$863,Sales_Ledger!$H$5:$H$863,$A66,Sales_Ledger!$D$5:$D$863,2025)</f>
        <v>0</v>
      </c>
      <c r="N66" s="17">
        <f t="shared" si="0"/>
        <v>4500000</v>
      </c>
      <c r="O66" s="15" t="s">
        <v>3190</v>
      </c>
      <c r="P66" s="15" t="s">
        <v>2502</v>
      </c>
      <c r="Q66" s="15" t="s">
        <v>1800</v>
      </c>
      <c r="R66" s="15" t="str">
        <f t="shared" si="1"/>
        <v/>
      </c>
    </row>
    <row r="67" spans="1:18" x14ac:dyDescent="0.35">
      <c r="A67" s="15" t="s">
        <v>478</v>
      </c>
      <c r="B67" s="15" t="s">
        <v>2706</v>
      </c>
      <c r="C67" s="15" t="s">
        <v>3297</v>
      </c>
      <c r="D67" s="15" t="s">
        <v>3298</v>
      </c>
      <c r="E67" s="15" t="s">
        <v>46</v>
      </c>
      <c r="F67" s="15" t="s">
        <v>31</v>
      </c>
      <c r="G67" s="16">
        <v>45326</v>
      </c>
      <c r="H67" s="16">
        <f>IF(COUNTIF(Sales_Ledger!$H$5:$H$863,A67)=0,"",_xlfn.MINIFS(Sales_Ledger!$B$5:$B$863,Sales_Ledger!$H$5:$H$863,A67))</f>
        <v>45325</v>
      </c>
      <c r="I67" s="17">
        <f>SUMIFS(Subscriptions!$I$5:$I$218,Subscriptions!$B$5:$B$218,A67)</f>
        <v>3500000</v>
      </c>
      <c r="J67" s="17">
        <f>SUMIFS(Subscriptions!$J$5:$J$218,Subscriptions!$B$5:$B$218,A67)</f>
        <v>3500000</v>
      </c>
      <c r="K67" s="17">
        <f>SUMIFS(Sales_Ledger!$J$5:$J$863,Sales_Ledger!$H$5:$H$863,$A67,Sales_Ledger!$D$5:$D$863,2023)</f>
        <v>0</v>
      </c>
      <c r="L67" s="17">
        <f>SUMIFS(Sales_Ledger!$J$5:$J$863,Sales_Ledger!$H$5:$H$863,$A67,Sales_Ledger!$D$5:$D$863,2024)</f>
        <v>3500000</v>
      </c>
      <c r="M67" s="17">
        <f>SUMIFS(Sales_Ledger!$J$5:$J$863,Sales_Ledger!$H$5:$H$863,$A67,Sales_Ledger!$D$5:$D$863,2025)</f>
        <v>0</v>
      </c>
      <c r="N67" s="17">
        <f t="shared" si="0"/>
        <v>3500000</v>
      </c>
      <c r="O67" s="15" t="s">
        <v>3190</v>
      </c>
      <c r="P67" s="15" t="s">
        <v>2502</v>
      </c>
      <c r="Q67" s="15" t="s">
        <v>2708</v>
      </c>
      <c r="R67" s="15" t="str">
        <f t="shared" si="1"/>
        <v/>
      </c>
    </row>
    <row r="68" spans="1:18" x14ac:dyDescent="0.35">
      <c r="A68" s="15" t="s">
        <v>486</v>
      </c>
      <c r="B68" s="15" t="s">
        <v>2711</v>
      </c>
      <c r="C68" s="15" t="s">
        <v>3299</v>
      </c>
      <c r="D68" s="15" t="s">
        <v>3300</v>
      </c>
      <c r="E68" s="15" t="s">
        <v>46</v>
      </c>
      <c r="F68" s="15" t="s">
        <v>31</v>
      </c>
      <c r="G68" s="16">
        <v>45327</v>
      </c>
      <c r="H68" s="16">
        <f>IF(COUNTIF(Sales_Ledger!$H$5:$H$863,A68)=0,"",_xlfn.MINIFS(Sales_Ledger!$B$5:$B$863,Sales_Ledger!$H$5:$H$863,A68))</f>
        <v>45328</v>
      </c>
      <c r="I68" s="17">
        <f>SUMIFS(Subscriptions!$I$5:$I$218,Subscriptions!$B$5:$B$218,A68)</f>
        <v>1800000</v>
      </c>
      <c r="J68" s="17">
        <f>SUMIFS(Subscriptions!$J$5:$J$218,Subscriptions!$B$5:$B$218,A68)</f>
        <v>1800000</v>
      </c>
      <c r="K68" s="17">
        <f>SUMIFS(Sales_Ledger!$J$5:$J$863,Sales_Ledger!$H$5:$H$863,$A68,Sales_Ledger!$D$5:$D$863,2023)</f>
        <v>0</v>
      </c>
      <c r="L68" s="17">
        <f>SUMIFS(Sales_Ledger!$J$5:$J$863,Sales_Ledger!$H$5:$H$863,$A68,Sales_Ledger!$D$5:$D$863,2024)</f>
        <v>1800000</v>
      </c>
      <c r="M68" s="17">
        <f>SUMIFS(Sales_Ledger!$J$5:$J$863,Sales_Ledger!$H$5:$H$863,$A68,Sales_Ledger!$D$5:$D$863,2025)</f>
        <v>0</v>
      </c>
      <c r="N68" s="17">
        <f t="shared" si="0"/>
        <v>1800000</v>
      </c>
      <c r="O68" s="15" t="s">
        <v>3190</v>
      </c>
      <c r="P68" s="15" t="s">
        <v>2502</v>
      </c>
      <c r="Q68" s="15" t="s">
        <v>2559</v>
      </c>
      <c r="R68" s="15" t="str">
        <f t="shared" si="1"/>
        <v/>
      </c>
    </row>
    <row r="69" spans="1:18" x14ac:dyDescent="0.35">
      <c r="A69" s="15" t="s">
        <v>493</v>
      </c>
      <c r="B69" s="15" t="s">
        <v>494</v>
      </c>
      <c r="C69" s="15" t="s">
        <v>3301</v>
      </c>
      <c r="D69" s="15" t="s">
        <v>3302</v>
      </c>
      <c r="E69" s="15" t="s">
        <v>46</v>
      </c>
      <c r="F69" s="15" t="s">
        <v>31</v>
      </c>
      <c r="G69" s="16">
        <v>45328</v>
      </c>
      <c r="H69" s="16">
        <f>IF(COUNTIF(Sales_Ledger!$H$5:$H$863,A69)=0,"",_xlfn.MINIFS(Sales_Ledger!$B$5:$B$863,Sales_Ledger!$H$5:$H$863,A69))</f>
        <v>45328</v>
      </c>
      <c r="I69" s="17">
        <f>SUMIFS(Subscriptions!$I$5:$I$218,Subscriptions!$B$5:$B$218,A69)</f>
        <v>1800000</v>
      </c>
      <c r="J69" s="17">
        <f>SUMIFS(Subscriptions!$J$5:$J$218,Subscriptions!$B$5:$B$218,A69)</f>
        <v>1800000</v>
      </c>
      <c r="K69" s="17">
        <f>SUMIFS(Sales_Ledger!$J$5:$J$863,Sales_Ledger!$H$5:$H$863,$A69,Sales_Ledger!$D$5:$D$863,2023)</f>
        <v>0</v>
      </c>
      <c r="L69" s="17">
        <f>SUMIFS(Sales_Ledger!$J$5:$J$863,Sales_Ledger!$H$5:$H$863,$A69,Sales_Ledger!$D$5:$D$863,2024)</f>
        <v>1800000</v>
      </c>
      <c r="M69" s="17">
        <f>SUMIFS(Sales_Ledger!$J$5:$J$863,Sales_Ledger!$H$5:$H$863,$A69,Sales_Ledger!$D$5:$D$863,2025)</f>
        <v>0</v>
      </c>
      <c r="N69" s="17">
        <f t="shared" ref="N69:N132" si="2">SUM(K69:M69)</f>
        <v>1800000</v>
      </c>
      <c r="O69" s="15" t="s">
        <v>3190</v>
      </c>
      <c r="P69" s="15" t="s">
        <v>2502</v>
      </c>
      <c r="Q69" s="15" t="s">
        <v>1800</v>
      </c>
      <c r="R69" s="15" t="str">
        <f t="shared" ref="R69:R132" si="3">IF(AND(I69&gt;0,N69&gt;I69*1.02),"Receipts exceed register contract value: check for duplicate entries, extra plots or ancillary fees",IF(AND(I69=0,N69&gt;0),"Not in client register: contract value unknown",""))</f>
        <v/>
      </c>
    </row>
    <row r="70" spans="1:18" x14ac:dyDescent="0.35">
      <c r="A70" s="15" t="s">
        <v>568</v>
      </c>
      <c r="B70" s="15" t="s">
        <v>875</v>
      </c>
      <c r="C70" s="15" t="s">
        <v>3303</v>
      </c>
      <c r="D70" s="15" t="s">
        <v>3304</v>
      </c>
      <c r="E70" s="15" t="s">
        <v>46</v>
      </c>
      <c r="F70" s="15" t="s">
        <v>3195</v>
      </c>
      <c r="G70" s="16">
        <v>45343</v>
      </c>
      <c r="H70" s="16">
        <f>IF(COUNTIF(Sales_Ledger!$H$5:$H$863,A70)=0,"",_xlfn.MINIFS(Sales_Ledger!$B$5:$B$863,Sales_Ledger!$H$5:$H$863,A70))</f>
        <v>45354</v>
      </c>
      <c r="I70" s="17">
        <f>SUMIFS(Subscriptions!$I$5:$I$218,Subscriptions!$B$5:$B$218,A70)</f>
        <v>7300000</v>
      </c>
      <c r="J70" s="17">
        <f>SUMIFS(Subscriptions!$J$5:$J$218,Subscriptions!$B$5:$B$218,A70)</f>
        <v>7300000</v>
      </c>
      <c r="K70" s="17">
        <f>SUMIFS(Sales_Ledger!$J$5:$J$863,Sales_Ledger!$H$5:$H$863,$A70,Sales_Ledger!$D$5:$D$863,2023)</f>
        <v>0</v>
      </c>
      <c r="L70" s="17">
        <f>SUMIFS(Sales_Ledger!$J$5:$J$863,Sales_Ledger!$H$5:$H$863,$A70,Sales_Ledger!$D$5:$D$863,2024)</f>
        <v>14265000</v>
      </c>
      <c r="M70" s="17">
        <f>SUMIFS(Sales_Ledger!$J$5:$J$863,Sales_Ledger!$H$5:$H$863,$A70,Sales_Ledger!$D$5:$D$863,2025)</f>
        <v>0</v>
      </c>
      <c r="N70" s="17">
        <f t="shared" si="2"/>
        <v>14265000</v>
      </c>
      <c r="O70" s="15" t="s">
        <v>3190</v>
      </c>
      <c r="P70" s="15" t="s">
        <v>2502</v>
      </c>
      <c r="Q70" s="15" t="s">
        <v>3305</v>
      </c>
      <c r="R70" s="15" t="str">
        <f t="shared" si="3"/>
        <v>Receipts exceed register contract value: check for duplicate entries, extra plots or ancillary fees</v>
      </c>
    </row>
    <row r="71" spans="1:18" x14ac:dyDescent="0.35">
      <c r="A71" s="15" t="s">
        <v>534</v>
      </c>
      <c r="B71" s="15" t="s">
        <v>535</v>
      </c>
      <c r="C71" s="15" t="s">
        <v>3306</v>
      </c>
      <c r="D71" s="15" t="s">
        <v>3307</v>
      </c>
      <c r="E71" s="15" t="s">
        <v>46</v>
      </c>
      <c r="F71" s="15" t="s">
        <v>31</v>
      </c>
      <c r="G71" s="16">
        <v>45348</v>
      </c>
      <c r="H71" s="16">
        <f>IF(COUNTIF(Sales_Ledger!$H$5:$H$863,A71)=0,"",_xlfn.MINIFS(Sales_Ledger!$B$5:$B$863,Sales_Ledger!$H$5:$H$863,A71))</f>
        <v>45348</v>
      </c>
      <c r="I71" s="17">
        <f>SUMIFS(Subscriptions!$I$5:$I$218,Subscriptions!$B$5:$B$218,A71)</f>
        <v>3500000</v>
      </c>
      <c r="J71" s="17">
        <f>SUMIFS(Subscriptions!$J$5:$J$218,Subscriptions!$B$5:$B$218,A71)</f>
        <v>3500000</v>
      </c>
      <c r="K71" s="17">
        <f>SUMIFS(Sales_Ledger!$J$5:$J$863,Sales_Ledger!$H$5:$H$863,$A71,Sales_Ledger!$D$5:$D$863,2023)</f>
        <v>0</v>
      </c>
      <c r="L71" s="17">
        <f>SUMIFS(Sales_Ledger!$J$5:$J$863,Sales_Ledger!$H$5:$H$863,$A71,Sales_Ledger!$D$5:$D$863,2024)</f>
        <v>3500000</v>
      </c>
      <c r="M71" s="17">
        <f>SUMIFS(Sales_Ledger!$J$5:$J$863,Sales_Ledger!$H$5:$H$863,$A71,Sales_Ledger!$D$5:$D$863,2025)</f>
        <v>0</v>
      </c>
      <c r="N71" s="17">
        <f t="shared" si="2"/>
        <v>3500000</v>
      </c>
      <c r="O71" s="15" t="s">
        <v>3190</v>
      </c>
      <c r="P71" s="15" t="s">
        <v>2502</v>
      </c>
      <c r="Q71" s="15" t="s">
        <v>2726</v>
      </c>
      <c r="R71" s="15" t="str">
        <f t="shared" si="3"/>
        <v/>
      </c>
    </row>
    <row r="72" spans="1:18" x14ac:dyDescent="0.35">
      <c r="A72" s="15" t="s">
        <v>713</v>
      </c>
      <c r="B72" s="15" t="s">
        <v>714</v>
      </c>
      <c r="C72" s="15" t="s">
        <v>3308</v>
      </c>
      <c r="D72" s="15" t="s">
        <v>3309</v>
      </c>
      <c r="E72" s="15" t="s">
        <v>46</v>
      </c>
      <c r="F72" s="15" t="s">
        <v>3310</v>
      </c>
      <c r="G72" s="16">
        <v>45350</v>
      </c>
      <c r="H72" s="16">
        <f>IF(COUNTIF(Sales_Ledger!$H$5:$H$863,A72)=0,"",_xlfn.MINIFS(Sales_Ledger!$B$5:$B$863,Sales_Ledger!$H$5:$H$863,A72))</f>
        <v>45379</v>
      </c>
      <c r="I72" s="17">
        <f>SUMIFS(Subscriptions!$I$5:$I$218,Subscriptions!$B$5:$B$218,A72)</f>
        <v>9000000</v>
      </c>
      <c r="J72" s="17">
        <f>SUMIFS(Subscriptions!$J$5:$J$218,Subscriptions!$B$5:$B$218,A72)</f>
        <v>9000000</v>
      </c>
      <c r="K72" s="17">
        <f>SUMIFS(Sales_Ledger!$J$5:$J$863,Sales_Ledger!$H$5:$H$863,$A72,Sales_Ledger!$D$5:$D$863,2023)</f>
        <v>0</v>
      </c>
      <c r="L72" s="17">
        <f>SUMIFS(Sales_Ledger!$J$5:$J$863,Sales_Ledger!$H$5:$H$863,$A72,Sales_Ledger!$D$5:$D$863,2024)</f>
        <v>7010000</v>
      </c>
      <c r="M72" s="17">
        <f>SUMIFS(Sales_Ledger!$J$5:$J$863,Sales_Ledger!$H$5:$H$863,$A72,Sales_Ledger!$D$5:$D$863,2025)</f>
        <v>1330000</v>
      </c>
      <c r="N72" s="17">
        <f t="shared" si="2"/>
        <v>8340000</v>
      </c>
      <c r="O72" s="15" t="s">
        <v>3190</v>
      </c>
      <c r="P72" s="15" t="s">
        <v>2502</v>
      </c>
      <c r="Q72" s="15" t="s">
        <v>3311</v>
      </c>
      <c r="R72" s="15" t="str">
        <f t="shared" si="3"/>
        <v/>
      </c>
    </row>
    <row r="73" spans="1:18" x14ac:dyDescent="0.35">
      <c r="A73" s="15" t="s">
        <v>579</v>
      </c>
      <c r="B73" s="15" t="s">
        <v>580</v>
      </c>
      <c r="C73" s="15"/>
      <c r="D73" s="15"/>
      <c r="E73" s="15" t="s">
        <v>46</v>
      </c>
      <c r="F73" s="15" t="s">
        <v>29</v>
      </c>
      <c r="G73" s="16"/>
      <c r="H73" s="16">
        <f>IF(COUNTIF(Sales_Ledger!$H$5:$H$863,A73)=0,"",_xlfn.MINIFS(Sales_Ledger!$B$5:$B$863,Sales_Ledger!$H$5:$H$863,A73))</f>
        <v>45357</v>
      </c>
      <c r="I73" s="17">
        <f>SUMIFS(Subscriptions!$I$5:$I$218,Subscriptions!$B$5:$B$218,A73)</f>
        <v>0</v>
      </c>
      <c r="J73" s="17">
        <f>SUMIFS(Subscriptions!$J$5:$J$218,Subscriptions!$B$5:$B$218,A73)</f>
        <v>0</v>
      </c>
      <c r="K73" s="17">
        <f>SUMIFS(Sales_Ledger!$J$5:$J$863,Sales_Ledger!$H$5:$H$863,$A73,Sales_Ledger!$D$5:$D$863,2023)</f>
        <v>0</v>
      </c>
      <c r="L73" s="17">
        <f>SUMIFS(Sales_Ledger!$J$5:$J$863,Sales_Ledger!$H$5:$H$863,$A73,Sales_Ledger!$D$5:$D$863,2024)</f>
        <v>135000</v>
      </c>
      <c r="M73" s="17">
        <f>SUMIFS(Sales_Ledger!$J$5:$J$863,Sales_Ledger!$H$5:$H$863,$A73,Sales_Ledger!$D$5:$D$863,2025)</f>
        <v>0</v>
      </c>
      <c r="N73" s="17">
        <f t="shared" si="2"/>
        <v>135000</v>
      </c>
      <c r="O73" s="15" t="s">
        <v>3253</v>
      </c>
      <c r="P73" s="15"/>
      <c r="Q73" s="15"/>
      <c r="R73" s="15" t="str">
        <f t="shared" si="3"/>
        <v>Not in client register: contract value unknown</v>
      </c>
    </row>
    <row r="74" spans="1:18" x14ac:dyDescent="0.35">
      <c r="A74" s="15" t="s">
        <v>583</v>
      </c>
      <c r="B74" s="15" t="s">
        <v>1155</v>
      </c>
      <c r="C74" s="15" t="s">
        <v>3312</v>
      </c>
      <c r="D74" s="15" t="s">
        <v>3313</v>
      </c>
      <c r="E74" s="15" t="s">
        <v>46</v>
      </c>
      <c r="F74" s="15" t="s">
        <v>3314</v>
      </c>
      <c r="G74" s="16">
        <v>45357</v>
      </c>
      <c r="H74" s="16">
        <f>IF(COUNTIF(Sales_Ledger!$H$5:$H$863,A74)=0,"",_xlfn.MINIFS(Sales_Ledger!$B$5:$B$863,Sales_Ledger!$H$5:$H$863,A74))</f>
        <v>45357</v>
      </c>
      <c r="I74" s="17">
        <f>SUMIFS(Subscriptions!$I$5:$I$218,Subscriptions!$B$5:$B$218,A74)</f>
        <v>3500000</v>
      </c>
      <c r="J74" s="17">
        <f>SUMIFS(Subscriptions!$J$5:$J$218,Subscriptions!$B$5:$B$218,A74)</f>
        <v>3500000</v>
      </c>
      <c r="K74" s="17">
        <f>SUMIFS(Sales_Ledger!$J$5:$J$863,Sales_Ledger!$H$5:$H$863,$A74,Sales_Ledger!$D$5:$D$863,2023)</f>
        <v>0</v>
      </c>
      <c r="L74" s="17">
        <f>SUMIFS(Sales_Ledger!$J$5:$J$863,Sales_Ledger!$H$5:$H$863,$A74,Sales_Ledger!$D$5:$D$863,2024)</f>
        <v>3635000</v>
      </c>
      <c r="M74" s="17">
        <f>SUMIFS(Sales_Ledger!$J$5:$J$863,Sales_Ledger!$H$5:$H$863,$A74,Sales_Ledger!$D$5:$D$863,2025)</f>
        <v>0</v>
      </c>
      <c r="N74" s="17">
        <f t="shared" si="2"/>
        <v>3635000</v>
      </c>
      <c r="O74" s="15" t="s">
        <v>3190</v>
      </c>
      <c r="P74" s="15" t="s">
        <v>2502</v>
      </c>
      <c r="Q74" s="15" t="s">
        <v>2708</v>
      </c>
      <c r="R74" s="15" t="str">
        <f t="shared" si="3"/>
        <v>Receipts exceed register contract value: check for duplicate entries, extra plots or ancillary fees</v>
      </c>
    </row>
    <row r="75" spans="1:18" x14ac:dyDescent="0.35">
      <c r="A75" s="15" t="s">
        <v>589</v>
      </c>
      <c r="B75" s="15" t="s">
        <v>590</v>
      </c>
      <c r="C75" s="15" t="s">
        <v>3315</v>
      </c>
      <c r="D75" s="15" t="s">
        <v>3316</v>
      </c>
      <c r="E75" s="15" t="s">
        <v>46</v>
      </c>
      <c r="F75" s="15" t="s">
        <v>31</v>
      </c>
      <c r="G75" s="16">
        <v>45359</v>
      </c>
      <c r="H75" s="16">
        <f>IF(COUNTIF(Sales_Ledger!$H$5:$H$863,A75)=0,"",_xlfn.MINIFS(Sales_Ledger!$B$5:$B$863,Sales_Ledger!$H$5:$H$863,A75))</f>
        <v>45359</v>
      </c>
      <c r="I75" s="17">
        <f>SUMIFS(Subscriptions!$I$5:$I$218,Subscriptions!$B$5:$B$218,A75)</f>
        <v>3000000</v>
      </c>
      <c r="J75" s="17">
        <f>SUMIFS(Subscriptions!$J$5:$J$218,Subscriptions!$B$5:$B$218,A75)</f>
        <v>3000000</v>
      </c>
      <c r="K75" s="17">
        <f>SUMIFS(Sales_Ledger!$J$5:$J$863,Sales_Ledger!$H$5:$H$863,$A75,Sales_Ledger!$D$5:$D$863,2023)</f>
        <v>0</v>
      </c>
      <c r="L75" s="17">
        <f>SUMIFS(Sales_Ledger!$J$5:$J$863,Sales_Ledger!$H$5:$H$863,$A75,Sales_Ledger!$D$5:$D$863,2024)</f>
        <v>3000000</v>
      </c>
      <c r="M75" s="17">
        <f>SUMIFS(Sales_Ledger!$J$5:$J$863,Sales_Ledger!$H$5:$H$863,$A75,Sales_Ledger!$D$5:$D$863,2025)</f>
        <v>0</v>
      </c>
      <c r="N75" s="17">
        <f t="shared" si="2"/>
        <v>3000000</v>
      </c>
      <c r="O75" s="15" t="s">
        <v>3190</v>
      </c>
      <c r="P75" s="15" t="s">
        <v>2502</v>
      </c>
      <c r="Q75" s="15" t="s">
        <v>2739</v>
      </c>
      <c r="R75" s="15" t="str">
        <f t="shared" si="3"/>
        <v/>
      </c>
    </row>
    <row r="76" spans="1:18" x14ac:dyDescent="0.35">
      <c r="A76" s="15" t="s">
        <v>594</v>
      </c>
      <c r="B76" s="15" t="s">
        <v>595</v>
      </c>
      <c r="C76" s="15" t="s">
        <v>3315</v>
      </c>
      <c r="D76" s="15" t="s">
        <v>3316</v>
      </c>
      <c r="E76" s="15" t="s">
        <v>46</v>
      </c>
      <c r="F76" s="15" t="s">
        <v>3314</v>
      </c>
      <c r="G76" s="16">
        <v>45359</v>
      </c>
      <c r="H76" s="16">
        <f>IF(COUNTIF(Sales_Ledger!$H$5:$H$863,A76)=0,"",_xlfn.MINIFS(Sales_Ledger!$B$5:$B$863,Sales_Ledger!$H$5:$H$863,A76))</f>
        <v>45359</v>
      </c>
      <c r="I76" s="17">
        <f>SUMIFS(Subscriptions!$I$5:$I$218,Subscriptions!$B$5:$B$218,A76)</f>
        <v>3000000</v>
      </c>
      <c r="J76" s="17">
        <f>SUMIFS(Subscriptions!$J$5:$J$218,Subscriptions!$B$5:$B$218,A76)</f>
        <v>3000000</v>
      </c>
      <c r="K76" s="17">
        <f>SUMIFS(Sales_Ledger!$J$5:$J$863,Sales_Ledger!$H$5:$H$863,$A76,Sales_Ledger!$D$5:$D$863,2023)</f>
        <v>0</v>
      </c>
      <c r="L76" s="17">
        <f>SUMIFS(Sales_Ledger!$J$5:$J$863,Sales_Ledger!$H$5:$H$863,$A76,Sales_Ledger!$D$5:$D$863,2024)</f>
        <v>3135000</v>
      </c>
      <c r="M76" s="17">
        <f>SUMIFS(Sales_Ledger!$J$5:$J$863,Sales_Ledger!$H$5:$H$863,$A76,Sales_Ledger!$D$5:$D$863,2025)</f>
        <v>0</v>
      </c>
      <c r="N76" s="17">
        <f t="shared" si="2"/>
        <v>3135000</v>
      </c>
      <c r="O76" s="15" t="s">
        <v>3190</v>
      </c>
      <c r="P76" s="15" t="s">
        <v>2502</v>
      </c>
      <c r="Q76" s="15" t="s">
        <v>2739</v>
      </c>
      <c r="R76" s="15" t="str">
        <f t="shared" si="3"/>
        <v>Receipts exceed register contract value: check for duplicate entries, extra plots or ancillary fees</v>
      </c>
    </row>
    <row r="77" spans="1:18" x14ac:dyDescent="0.35">
      <c r="A77" s="15" t="s">
        <v>598</v>
      </c>
      <c r="B77" s="15" t="s">
        <v>599</v>
      </c>
      <c r="C77" s="15" t="s">
        <v>3315</v>
      </c>
      <c r="D77" s="15" t="s">
        <v>3316</v>
      </c>
      <c r="E77" s="15" t="s">
        <v>46</v>
      </c>
      <c r="F77" s="15" t="s">
        <v>31</v>
      </c>
      <c r="G77" s="16">
        <v>45359</v>
      </c>
      <c r="H77" s="16">
        <f>IF(COUNTIF(Sales_Ledger!$H$5:$H$863,A77)=0,"",_xlfn.MINIFS(Sales_Ledger!$B$5:$B$863,Sales_Ledger!$H$5:$H$863,A77))</f>
        <v>45359</v>
      </c>
      <c r="I77" s="17">
        <f>SUMIFS(Subscriptions!$I$5:$I$218,Subscriptions!$B$5:$B$218,A77)</f>
        <v>3000000</v>
      </c>
      <c r="J77" s="17">
        <f>SUMIFS(Subscriptions!$J$5:$J$218,Subscriptions!$B$5:$B$218,A77)</f>
        <v>3000000</v>
      </c>
      <c r="K77" s="17">
        <f>SUMIFS(Sales_Ledger!$J$5:$J$863,Sales_Ledger!$H$5:$H$863,$A77,Sales_Ledger!$D$5:$D$863,2023)</f>
        <v>0</v>
      </c>
      <c r="L77" s="17">
        <f>SUMIFS(Sales_Ledger!$J$5:$J$863,Sales_Ledger!$H$5:$H$863,$A77,Sales_Ledger!$D$5:$D$863,2024)</f>
        <v>3000000</v>
      </c>
      <c r="M77" s="17">
        <f>SUMIFS(Sales_Ledger!$J$5:$J$863,Sales_Ledger!$H$5:$H$863,$A77,Sales_Ledger!$D$5:$D$863,2025)</f>
        <v>0</v>
      </c>
      <c r="N77" s="17">
        <f t="shared" si="2"/>
        <v>3000000</v>
      </c>
      <c r="O77" s="15" t="s">
        <v>3190</v>
      </c>
      <c r="P77" s="15" t="s">
        <v>2502</v>
      </c>
      <c r="Q77" s="15" t="s">
        <v>2739</v>
      </c>
      <c r="R77" s="15" t="str">
        <f t="shared" si="3"/>
        <v/>
      </c>
    </row>
    <row r="78" spans="1:18" x14ac:dyDescent="0.35">
      <c r="A78" s="15" t="s">
        <v>604</v>
      </c>
      <c r="B78" s="15" t="s">
        <v>2735</v>
      </c>
      <c r="C78" s="15" t="s">
        <v>3317</v>
      </c>
      <c r="D78" s="15" t="s">
        <v>3186</v>
      </c>
      <c r="E78" s="15" t="s">
        <v>46</v>
      </c>
      <c r="F78" s="15" t="s">
        <v>3200</v>
      </c>
      <c r="G78" s="16">
        <v>45359</v>
      </c>
      <c r="H78" s="16">
        <f>IF(COUNTIF(Sales_Ledger!$H$5:$H$863,A78)=0,"",_xlfn.MINIFS(Sales_Ledger!$B$5:$B$863,Sales_Ledger!$H$5:$H$863,A78))</f>
        <v>45359</v>
      </c>
      <c r="I78" s="17">
        <f>SUMIFS(Subscriptions!$I$5:$I$218,Subscriptions!$B$5:$B$218,A78)</f>
        <v>3000000</v>
      </c>
      <c r="J78" s="17">
        <f>SUMIFS(Subscriptions!$J$5:$J$218,Subscriptions!$B$5:$B$218,A78)</f>
        <v>3000000</v>
      </c>
      <c r="K78" s="17">
        <f>SUMIFS(Sales_Ledger!$J$5:$J$863,Sales_Ledger!$H$5:$H$863,$A78,Sales_Ledger!$D$5:$D$863,2023)</f>
        <v>0</v>
      </c>
      <c r="L78" s="17">
        <f>SUMIFS(Sales_Ledger!$J$5:$J$863,Sales_Ledger!$H$5:$H$863,$A78,Sales_Ledger!$D$5:$D$863,2024)</f>
        <v>7135000</v>
      </c>
      <c r="M78" s="17">
        <f>SUMIFS(Sales_Ledger!$J$5:$J$863,Sales_Ledger!$H$5:$H$863,$A78,Sales_Ledger!$D$5:$D$863,2025)</f>
        <v>0</v>
      </c>
      <c r="N78" s="17">
        <f t="shared" si="2"/>
        <v>7135000</v>
      </c>
      <c r="O78" s="15" t="s">
        <v>3190</v>
      </c>
      <c r="P78" s="15" t="s">
        <v>2502</v>
      </c>
      <c r="Q78" s="15" t="s">
        <v>1800</v>
      </c>
      <c r="R78" s="15" t="str">
        <f t="shared" si="3"/>
        <v>Receipts exceed register contract value: check for duplicate entries, extra plots or ancillary fees</v>
      </c>
    </row>
    <row r="79" spans="1:18" x14ac:dyDescent="0.35">
      <c r="A79" s="15" t="s">
        <v>612</v>
      </c>
      <c r="B79" s="15" t="s">
        <v>2745</v>
      </c>
      <c r="C79" s="15" t="s">
        <v>3318</v>
      </c>
      <c r="D79" s="15" t="s">
        <v>3319</v>
      </c>
      <c r="E79" s="15" t="s">
        <v>46</v>
      </c>
      <c r="F79" s="15" t="s">
        <v>3314</v>
      </c>
      <c r="G79" s="16">
        <v>45360</v>
      </c>
      <c r="H79" s="16">
        <f>IF(COUNTIF(Sales_Ledger!$H$5:$H$863,A79)=0,"",_xlfn.MINIFS(Sales_Ledger!$B$5:$B$863,Sales_Ledger!$H$5:$H$863,A79))</f>
        <v>45360</v>
      </c>
      <c r="I79" s="17">
        <f>SUMIFS(Subscriptions!$I$5:$I$218,Subscriptions!$B$5:$B$218,A79)</f>
        <v>1800000</v>
      </c>
      <c r="J79" s="17">
        <f>SUMIFS(Subscriptions!$J$5:$J$218,Subscriptions!$B$5:$B$218,A79)</f>
        <v>1800000</v>
      </c>
      <c r="K79" s="17">
        <f>SUMIFS(Sales_Ledger!$J$5:$J$863,Sales_Ledger!$H$5:$H$863,$A79,Sales_Ledger!$D$5:$D$863,2023)</f>
        <v>0</v>
      </c>
      <c r="L79" s="17">
        <f>SUMIFS(Sales_Ledger!$J$5:$J$863,Sales_Ledger!$H$5:$H$863,$A79,Sales_Ledger!$D$5:$D$863,2024)</f>
        <v>1935000</v>
      </c>
      <c r="M79" s="17">
        <f>SUMIFS(Sales_Ledger!$J$5:$J$863,Sales_Ledger!$H$5:$H$863,$A79,Sales_Ledger!$D$5:$D$863,2025)</f>
        <v>0</v>
      </c>
      <c r="N79" s="17">
        <f t="shared" si="2"/>
        <v>1935000</v>
      </c>
      <c r="O79" s="15" t="s">
        <v>3190</v>
      </c>
      <c r="P79" s="15" t="s">
        <v>2502</v>
      </c>
      <c r="Q79" s="15" t="s">
        <v>2748</v>
      </c>
      <c r="R79" s="15" t="str">
        <f t="shared" si="3"/>
        <v>Receipts exceed register contract value: check for duplicate entries, extra plots or ancillary fees</v>
      </c>
    </row>
    <row r="80" spans="1:18" x14ac:dyDescent="0.35">
      <c r="A80" s="15" t="s">
        <v>616</v>
      </c>
      <c r="B80" s="15" t="s">
        <v>617</v>
      </c>
      <c r="C80" s="15" t="s">
        <v>3320</v>
      </c>
      <c r="D80" s="15" t="s">
        <v>3321</v>
      </c>
      <c r="E80" s="15" t="s">
        <v>46</v>
      </c>
      <c r="F80" s="15" t="s">
        <v>3314</v>
      </c>
      <c r="G80" s="16">
        <v>45360</v>
      </c>
      <c r="H80" s="16">
        <f>IF(COUNTIF(Sales_Ledger!$H$5:$H$863,A80)=0,"",_xlfn.MINIFS(Sales_Ledger!$B$5:$B$863,Sales_Ledger!$H$5:$H$863,A80))</f>
        <v>45360</v>
      </c>
      <c r="I80" s="17">
        <f>SUMIFS(Subscriptions!$I$5:$I$218,Subscriptions!$B$5:$B$218,A80)</f>
        <v>3500000</v>
      </c>
      <c r="J80" s="17">
        <f>SUMIFS(Subscriptions!$J$5:$J$218,Subscriptions!$B$5:$B$218,A80)</f>
        <v>3500000</v>
      </c>
      <c r="K80" s="17">
        <f>SUMIFS(Sales_Ledger!$J$5:$J$863,Sales_Ledger!$H$5:$H$863,$A80,Sales_Ledger!$D$5:$D$863,2023)</f>
        <v>0</v>
      </c>
      <c r="L80" s="17">
        <f>SUMIFS(Sales_Ledger!$J$5:$J$863,Sales_Ledger!$H$5:$H$863,$A80,Sales_Ledger!$D$5:$D$863,2024)</f>
        <v>3635000</v>
      </c>
      <c r="M80" s="17">
        <f>SUMIFS(Sales_Ledger!$J$5:$J$863,Sales_Ledger!$H$5:$H$863,$A80,Sales_Ledger!$D$5:$D$863,2025)</f>
        <v>0</v>
      </c>
      <c r="N80" s="17">
        <f t="shared" si="2"/>
        <v>3635000</v>
      </c>
      <c r="O80" s="15" t="s">
        <v>3190</v>
      </c>
      <c r="P80" s="15" t="s">
        <v>2502</v>
      </c>
      <c r="Q80" s="15" t="s">
        <v>2751</v>
      </c>
      <c r="R80" s="15" t="str">
        <f t="shared" si="3"/>
        <v>Receipts exceed register contract value: check for duplicate entries, extra plots or ancillary fees</v>
      </c>
    </row>
    <row r="81" spans="1:18" x14ac:dyDescent="0.35">
      <c r="A81" s="15" t="s">
        <v>620</v>
      </c>
      <c r="B81" s="15" t="s">
        <v>621</v>
      </c>
      <c r="C81" s="15" t="s">
        <v>3322</v>
      </c>
      <c r="D81" s="15" t="s">
        <v>3323</v>
      </c>
      <c r="E81" s="15" t="s">
        <v>46</v>
      </c>
      <c r="F81" s="15" t="s">
        <v>3324</v>
      </c>
      <c r="G81" s="16">
        <v>45706</v>
      </c>
      <c r="H81" s="16">
        <f>IF(COUNTIF(Sales_Ledger!$H$5:$H$863,A81)=0,"",_xlfn.MINIFS(Sales_Ledger!$B$5:$B$863,Sales_Ledger!$H$5:$H$863,A81))</f>
        <v>45361</v>
      </c>
      <c r="I81" s="17">
        <f>SUMIFS(Subscriptions!$I$5:$I$218,Subscriptions!$B$5:$B$218,A81)</f>
        <v>3800000</v>
      </c>
      <c r="J81" s="17">
        <f>SUMIFS(Subscriptions!$J$5:$J$218,Subscriptions!$B$5:$B$218,A81)</f>
        <v>3800000</v>
      </c>
      <c r="K81" s="17">
        <f>SUMIFS(Sales_Ledger!$J$5:$J$863,Sales_Ledger!$H$5:$H$863,$A81,Sales_Ledger!$D$5:$D$863,2023)</f>
        <v>0</v>
      </c>
      <c r="L81" s="17">
        <f>SUMIFS(Sales_Ledger!$J$5:$J$863,Sales_Ledger!$H$5:$H$863,$A81,Sales_Ledger!$D$5:$D$863,2024)</f>
        <v>500000</v>
      </c>
      <c r="M81" s="17">
        <f>SUMIFS(Sales_Ledger!$J$5:$J$863,Sales_Ledger!$H$5:$H$863,$A81,Sales_Ledger!$D$5:$D$863,2025)</f>
        <v>3407000</v>
      </c>
      <c r="N81" s="17">
        <f t="shared" si="2"/>
        <v>3907000</v>
      </c>
      <c r="O81" s="15" t="s">
        <v>3190</v>
      </c>
      <c r="P81" s="15" t="s">
        <v>2502</v>
      </c>
      <c r="Q81" s="15" t="s">
        <v>2675</v>
      </c>
      <c r="R81" s="15" t="str">
        <f t="shared" si="3"/>
        <v>Receipts exceed register contract value: check for duplicate entries, extra plots or ancillary fees</v>
      </c>
    </row>
    <row r="82" spans="1:18" x14ac:dyDescent="0.35">
      <c r="A82" s="15" t="s">
        <v>625</v>
      </c>
      <c r="B82" s="15" t="s">
        <v>626</v>
      </c>
      <c r="C82" s="15" t="s">
        <v>3325</v>
      </c>
      <c r="D82" s="15" t="s">
        <v>3326</v>
      </c>
      <c r="E82" s="15" t="s">
        <v>46</v>
      </c>
      <c r="F82" s="15" t="s">
        <v>3327</v>
      </c>
      <c r="G82" s="16">
        <v>45362</v>
      </c>
      <c r="H82" s="16">
        <f>IF(COUNTIF(Sales_Ledger!$H$5:$H$863,A82)=0,"",_xlfn.MINIFS(Sales_Ledger!$B$5:$B$863,Sales_Ledger!$H$5:$H$863,A82))</f>
        <v>45362</v>
      </c>
      <c r="I82" s="17">
        <f>SUMIFS(Subscriptions!$I$5:$I$218,Subscriptions!$B$5:$B$218,A82)</f>
        <v>10500000</v>
      </c>
      <c r="J82" s="17">
        <f>SUMIFS(Subscriptions!$J$5:$J$218,Subscriptions!$B$5:$B$218,A82)</f>
        <v>10500000</v>
      </c>
      <c r="K82" s="17">
        <f>SUMIFS(Sales_Ledger!$J$5:$J$863,Sales_Ledger!$H$5:$H$863,$A82,Sales_Ledger!$D$5:$D$863,2023)</f>
        <v>0</v>
      </c>
      <c r="L82" s="17">
        <f>SUMIFS(Sales_Ledger!$J$5:$J$863,Sales_Ledger!$H$5:$H$863,$A82,Sales_Ledger!$D$5:$D$863,2024)</f>
        <v>12300000</v>
      </c>
      <c r="M82" s="17">
        <f>SUMIFS(Sales_Ledger!$J$5:$J$863,Sales_Ledger!$H$5:$H$863,$A82,Sales_Ledger!$D$5:$D$863,2025)</f>
        <v>0</v>
      </c>
      <c r="N82" s="17">
        <f t="shared" si="2"/>
        <v>12300000</v>
      </c>
      <c r="O82" s="15" t="s">
        <v>3190</v>
      </c>
      <c r="P82" s="15" t="s">
        <v>2502</v>
      </c>
      <c r="Q82" s="15" t="s">
        <v>2513</v>
      </c>
      <c r="R82" s="15" t="str">
        <f t="shared" si="3"/>
        <v>Receipts exceed register contract value: check for duplicate entries, extra plots or ancillary fees</v>
      </c>
    </row>
    <row r="83" spans="1:18" x14ac:dyDescent="0.35">
      <c r="A83" s="15" t="s">
        <v>636</v>
      </c>
      <c r="B83" s="15" t="s">
        <v>637</v>
      </c>
      <c r="C83" s="15" t="s">
        <v>3328</v>
      </c>
      <c r="D83" s="15" t="s">
        <v>3329</v>
      </c>
      <c r="E83" s="15" t="s">
        <v>46</v>
      </c>
      <c r="F83" s="15" t="s">
        <v>3314</v>
      </c>
      <c r="G83" s="16">
        <v>45362</v>
      </c>
      <c r="H83" s="16">
        <f>IF(COUNTIF(Sales_Ledger!$H$5:$H$863,A83)=0,"",_xlfn.MINIFS(Sales_Ledger!$B$5:$B$863,Sales_Ledger!$H$5:$H$863,A83))</f>
        <v>45362</v>
      </c>
      <c r="I83" s="17">
        <f>SUMIFS(Subscriptions!$I$5:$I$218,Subscriptions!$B$5:$B$218,A83)</f>
        <v>3500000</v>
      </c>
      <c r="J83" s="17">
        <f>SUMIFS(Subscriptions!$J$5:$J$218,Subscriptions!$B$5:$B$218,A83)</f>
        <v>3500000</v>
      </c>
      <c r="K83" s="17">
        <f>SUMIFS(Sales_Ledger!$J$5:$J$863,Sales_Ledger!$H$5:$H$863,$A83,Sales_Ledger!$D$5:$D$863,2023)</f>
        <v>0</v>
      </c>
      <c r="L83" s="17">
        <f>SUMIFS(Sales_Ledger!$J$5:$J$863,Sales_Ledger!$H$5:$H$863,$A83,Sales_Ledger!$D$5:$D$863,2024)</f>
        <v>3635000</v>
      </c>
      <c r="M83" s="17">
        <f>SUMIFS(Sales_Ledger!$J$5:$J$863,Sales_Ledger!$H$5:$H$863,$A83,Sales_Ledger!$D$5:$D$863,2025)</f>
        <v>0</v>
      </c>
      <c r="N83" s="17">
        <f t="shared" si="2"/>
        <v>3635000</v>
      </c>
      <c r="O83" s="15" t="s">
        <v>3190</v>
      </c>
      <c r="P83" s="15" t="s">
        <v>2502</v>
      </c>
      <c r="Q83" s="15" t="s">
        <v>2760</v>
      </c>
      <c r="R83" s="15" t="str">
        <f t="shared" si="3"/>
        <v>Receipts exceed register contract value: check for duplicate entries, extra plots or ancillary fees</v>
      </c>
    </row>
    <row r="84" spans="1:18" x14ac:dyDescent="0.35">
      <c r="A84" s="15" t="s">
        <v>640</v>
      </c>
      <c r="B84" s="15" t="s">
        <v>641</v>
      </c>
      <c r="C84" s="15" t="s">
        <v>3330</v>
      </c>
      <c r="D84" s="15" t="s">
        <v>3331</v>
      </c>
      <c r="E84" s="15" t="s">
        <v>46</v>
      </c>
      <c r="F84" s="15" t="s">
        <v>3314</v>
      </c>
      <c r="G84" s="16">
        <v>45363</v>
      </c>
      <c r="H84" s="16">
        <f>IF(COUNTIF(Sales_Ledger!$H$5:$H$863,A84)=0,"",_xlfn.MINIFS(Sales_Ledger!$B$5:$B$863,Sales_Ledger!$H$5:$H$863,A84))</f>
        <v>45363</v>
      </c>
      <c r="I84" s="17">
        <f>SUMIFS(Subscriptions!$I$5:$I$218,Subscriptions!$B$5:$B$218,A84)</f>
        <v>3500000</v>
      </c>
      <c r="J84" s="17">
        <f>SUMIFS(Subscriptions!$J$5:$J$218,Subscriptions!$B$5:$B$218,A84)</f>
        <v>3500000</v>
      </c>
      <c r="K84" s="17">
        <f>SUMIFS(Sales_Ledger!$J$5:$J$863,Sales_Ledger!$H$5:$H$863,$A84,Sales_Ledger!$D$5:$D$863,2023)</f>
        <v>0</v>
      </c>
      <c r="L84" s="17">
        <f>SUMIFS(Sales_Ledger!$J$5:$J$863,Sales_Ledger!$H$5:$H$863,$A84,Sales_Ledger!$D$5:$D$863,2024)</f>
        <v>3635000</v>
      </c>
      <c r="M84" s="17">
        <f>SUMIFS(Sales_Ledger!$J$5:$J$863,Sales_Ledger!$H$5:$H$863,$A84,Sales_Ledger!$D$5:$D$863,2025)</f>
        <v>0</v>
      </c>
      <c r="N84" s="17">
        <f t="shared" si="2"/>
        <v>3635000</v>
      </c>
      <c r="O84" s="15" t="s">
        <v>3190</v>
      </c>
      <c r="P84" s="15" t="s">
        <v>2502</v>
      </c>
      <c r="Q84" s="15" t="s">
        <v>2763</v>
      </c>
      <c r="R84" s="15" t="str">
        <f t="shared" si="3"/>
        <v>Receipts exceed register contract value: check for duplicate entries, extra plots or ancillary fees</v>
      </c>
    </row>
    <row r="85" spans="1:18" x14ac:dyDescent="0.35">
      <c r="A85" s="15" t="s">
        <v>650</v>
      </c>
      <c r="B85" s="15" t="s">
        <v>651</v>
      </c>
      <c r="C85" s="15" t="s">
        <v>3332</v>
      </c>
      <c r="D85" s="15" t="s">
        <v>3333</v>
      </c>
      <c r="E85" s="15" t="s">
        <v>46</v>
      </c>
      <c r="F85" s="15" t="s">
        <v>3314</v>
      </c>
      <c r="G85" s="16">
        <v>45363</v>
      </c>
      <c r="H85" s="16">
        <f>IF(COUNTIF(Sales_Ledger!$H$5:$H$863,A85)=0,"",_xlfn.MINIFS(Sales_Ledger!$B$5:$B$863,Sales_Ledger!$H$5:$H$863,A85))</f>
        <v>45363</v>
      </c>
      <c r="I85" s="17">
        <f>SUMIFS(Subscriptions!$I$5:$I$218,Subscriptions!$B$5:$B$218,A85)</f>
        <v>1800000</v>
      </c>
      <c r="J85" s="17">
        <f>SUMIFS(Subscriptions!$J$5:$J$218,Subscriptions!$B$5:$B$218,A85)</f>
        <v>1800000</v>
      </c>
      <c r="K85" s="17">
        <f>SUMIFS(Sales_Ledger!$J$5:$J$863,Sales_Ledger!$H$5:$H$863,$A85,Sales_Ledger!$D$5:$D$863,2023)</f>
        <v>0</v>
      </c>
      <c r="L85" s="17">
        <f>SUMIFS(Sales_Ledger!$J$5:$J$863,Sales_Ledger!$H$5:$H$863,$A85,Sales_Ledger!$D$5:$D$863,2024)</f>
        <v>1935000</v>
      </c>
      <c r="M85" s="17">
        <f>SUMIFS(Sales_Ledger!$J$5:$J$863,Sales_Ledger!$H$5:$H$863,$A85,Sales_Ledger!$D$5:$D$863,2025)</f>
        <v>0</v>
      </c>
      <c r="N85" s="17">
        <f t="shared" si="2"/>
        <v>1935000</v>
      </c>
      <c r="O85" s="15" t="s">
        <v>3190</v>
      </c>
      <c r="P85" s="15" t="s">
        <v>2502</v>
      </c>
      <c r="Q85" s="15" t="s">
        <v>2760</v>
      </c>
      <c r="R85" s="15" t="str">
        <f t="shared" si="3"/>
        <v>Receipts exceed register contract value: check for duplicate entries, extra plots or ancillary fees</v>
      </c>
    </row>
    <row r="86" spans="1:18" x14ac:dyDescent="0.35">
      <c r="A86" s="15" t="s">
        <v>654</v>
      </c>
      <c r="B86" s="15" t="s">
        <v>655</v>
      </c>
      <c r="C86" s="15" t="s">
        <v>3334</v>
      </c>
      <c r="D86" s="15" t="s">
        <v>3335</v>
      </c>
      <c r="E86" s="15" t="s">
        <v>46</v>
      </c>
      <c r="F86" s="15" t="s">
        <v>31</v>
      </c>
      <c r="G86" s="16">
        <v>45363</v>
      </c>
      <c r="H86" s="16">
        <f>IF(COUNTIF(Sales_Ledger!$H$5:$H$863,A86)=0,"",_xlfn.MINIFS(Sales_Ledger!$B$5:$B$863,Sales_Ledger!$H$5:$H$863,A86))</f>
        <v>45363</v>
      </c>
      <c r="I86" s="17">
        <f>SUMIFS(Subscriptions!$I$5:$I$218,Subscriptions!$B$5:$B$218,A86)</f>
        <v>3500000</v>
      </c>
      <c r="J86" s="17">
        <f>SUMIFS(Subscriptions!$J$5:$J$218,Subscriptions!$B$5:$B$218,A86)</f>
        <v>3500000</v>
      </c>
      <c r="K86" s="17">
        <f>SUMIFS(Sales_Ledger!$J$5:$J$863,Sales_Ledger!$H$5:$H$863,$A86,Sales_Ledger!$D$5:$D$863,2023)</f>
        <v>0</v>
      </c>
      <c r="L86" s="17">
        <f>SUMIFS(Sales_Ledger!$J$5:$J$863,Sales_Ledger!$H$5:$H$863,$A86,Sales_Ledger!$D$5:$D$863,2024)</f>
        <v>3500000</v>
      </c>
      <c r="M86" s="17">
        <f>SUMIFS(Sales_Ledger!$J$5:$J$863,Sales_Ledger!$H$5:$H$863,$A86,Sales_Ledger!$D$5:$D$863,2025)</f>
        <v>0</v>
      </c>
      <c r="N86" s="17">
        <f t="shared" si="2"/>
        <v>3500000</v>
      </c>
      <c r="O86" s="15" t="s">
        <v>3190</v>
      </c>
      <c r="P86" s="15" t="s">
        <v>2502</v>
      </c>
      <c r="Q86" s="15" t="s">
        <v>2763</v>
      </c>
      <c r="R86" s="15" t="str">
        <f t="shared" si="3"/>
        <v/>
      </c>
    </row>
    <row r="87" spans="1:18" x14ac:dyDescent="0.35">
      <c r="A87" s="15" t="s">
        <v>661</v>
      </c>
      <c r="B87" s="15" t="s">
        <v>662</v>
      </c>
      <c r="C87" s="15"/>
      <c r="D87" s="15"/>
      <c r="E87" s="15" t="s">
        <v>46</v>
      </c>
      <c r="F87" s="15" t="s">
        <v>29</v>
      </c>
      <c r="G87" s="16"/>
      <c r="H87" s="16">
        <f>IF(COUNTIF(Sales_Ledger!$H$5:$H$863,A87)=0,"",_xlfn.MINIFS(Sales_Ledger!$B$5:$B$863,Sales_Ledger!$H$5:$H$863,A87))</f>
        <v>45365</v>
      </c>
      <c r="I87" s="17">
        <f>SUMIFS(Subscriptions!$I$5:$I$218,Subscriptions!$B$5:$B$218,A87)</f>
        <v>0</v>
      </c>
      <c r="J87" s="17">
        <f>SUMIFS(Subscriptions!$J$5:$J$218,Subscriptions!$B$5:$B$218,A87)</f>
        <v>0</v>
      </c>
      <c r="K87" s="17">
        <f>SUMIFS(Sales_Ledger!$J$5:$J$863,Sales_Ledger!$H$5:$H$863,$A87,Sales_Ledger!$D$5:$D$863,2023)</f>
        <v>0</v>
      </c>
      <c r="L87" s="17">
        <f>SUMIFS(Sales_Ledger!$J$5:$J$863,Sales_Ledger!$H$5:$H$863,$A87,Sales_Ledger!$D$5:$D$863,2024)</f>
        <v>3000000</v>
      </c>
      <c r="M87" s="17">
        <f>SUMIFS(Sales_Ledger!$J$5:$J$863,Sales_Ledger!$H$5:$H$863,$A87,Sales_Ledger!$D$5:$D$863,2025)</f>
        <v>0</v>
      </c>
      <c r="N87" s="17">
        <f t="shared" si="2"/>
        <v>3000000</v>
      </c>
      <c r="O87" s="15" t="s">
        <v>3253</v>
      </c>
      <c r="P87" s="15"/>
      <c r="Q87" s="15"/>
      <c r="R87" s="15" t="str">
        <f t="shared" si="3"/>
        <v>Not in client register: contract value unknown</v>
      </c>
    </row>
    <row r="88" spans="1:18" x14ac:dyDescent="0.35">
      <c r="A88" s="15" t="s">
        <v>924</v>
      </c>
      <c r="B88" s="15" t="s">
        <v>925</v>
      </c>
      <c r="C88" s="15" t="s">
        <v>3336</v>
      </c>
      <c r="D88" s="15" t="s">
        <v>3337</v>
      </c>
      <c r="E88" s="15" t="s">
        <v>46</v>
      </c>
      <c r="F88" s="15" t="s">
        <v>31</v>
      </c>
      <c r="G88" s="16">
        <v>45376</v>
      </c>
      <c r="H88" s="16">
        <f>IF(COUNTIF(Sales_Ledger!$H$5:$H$863,A88)=0,"",_xlfn.MINIFS(Sales_Ledger!$B$5:$B$863,Sales_Ledger!$H$5:$H$863,A88))</f>
        <v>45434</v>
      </c>
      <c r="I88" s="17">
        <f>SUMIFS(Subscriptions!$I$5:$I$218,Subscriptions!$B$5:$B$218,A88)</f>
        <v>7000000</v>
      </c>
      <c r="J88" s="17">
        <f>SUMIFS(Subscriptions!$J$5:$J$218,Subscriptions!$B$5:$B$218,A88)</f>
        <v>7000000</v>
      </c>
      <c r="K88" s="17">
        <f>SUMIFS(Sales_Ledger!$J$5:$J$863,Sales_Ledger!$H$5:$H$863,$A88,Sales_Ledger!$D$5:$D$863,2023)</f>
        <v>0</v>
      </c>
      <c r="L88" s="17">
        <f>SUMIFS(Sales_Ledger!$J$5:$J$863,Sales_Ledger!$H$5:$H$863,$A88,Sales_Ledger!$D$5:$D$863,2024)</f>
        <v>2885000</v>
      </c>
      <c r="M88" s="17">
        <f>SUMIFS(Sales_Ledger!$J$5:$J$863,Sales_Ledger!$H$5:$H$863,$A88,Sales_Ledger!$D$5:$D$863,2025)</f>
        <v>0</v>
      </c>
      <c r="N88" s="17">
        <f t="shared" si="2"/>
        <v>2885000</v>
      </c>
      <c r="O88" s="15" t="s">
        <v>3190</v>
      </c>
      <c r="P88" s="15" t="s">
        <v>2502</v>
      </c>
      <c r="Q88" s="15" t="s">
        <v>2751</v>
      </c>
      <c r="R88" s="15" t="str">
        <f t="shared" si="3"/>
        <v/>
      </c>
    </row>
    <row r="89" spans="1:18" x14ac:dyDescent="0.35">
      <c r="A89" s="15" t="s">
        <v>697</v>
      </c>
      <c r="B89" s="15" t="s">
        <v>698</v>
      </c>
      <c r="C89" s="15"/>
      <c r="D89" s="15"/>
      <c r="E89" s="15" t="s">
        <v>46</v>
      </c>
      <c r="F89" s="15" t="s">
        <v>31</v>
      </c>
      <c r="G89" s="16"/>
      <c r="H89" s="16">
        <f>IF(COUNTIF(Sales_Ledger!$H$5:$H$863,A89)=0,"",_xlfn.MINIFS(Sales_Ledger!$B$5:$B$863,Sales_Ledger!$H$5:$H$863,A89))</f>
        <v>45376</v>
      </c>
      <c r="I89" s="17">
        <f>SUMIFS(Subscriptions!$I$5:$I$218,Subscriptions!$B$5:$B$218,A89)</f>
        <v>0</v>
      </c>
      <c r="J89" s="17">
        <f>SUMIFS(Subscriptions!$J$5:$J$218,Subscriptions!$B$5:$B$218,A89)</f>
        <v>0</v>
      </c>
      <c r="K89" s="17">
        <f>SUMIFS(Sales_Ledger!$J$5:$J$863,Sales_Ledger!$H$5:$H$863,$A89,Sales_Ledger!$D$5:$D$863,2023)</f>
        <v>0</v>
      </c>
      <c r="L89" s="17">
        <f>SUMIFS(Sales_Ledger!$J$5:$J$863,Sales_Ledger!$H$5:$H$863,$A89,Sales_Ledger!$D$5:$D$863,2024)</f>
        <v>1430000</v>
      </c>
      <c r="M89" s="17">
        <f>SUMIFS(Sales_Ledger!$J$5:$J$863,Sales_Ledger!$H$5:$H$863,$A89,Sales_Ledger!$D$5:$D$863,2025)</f>
        <v>0</v>
      </c>
      <c r="N89" s="17">
        <f t="shared" si="2"/>
        <v>1430000</v>
      </c>
      <c r="O89" s="15" t="s">
        <v>3253</v>
      </c>
      <c r="P89" s="15"/>
      <c r="Q89" s="15"/>
      <c r="R89" s="15" t="str">
        <f t="shared" si="3"/>
        <v>Not in client register: contract value unknown</v>
      </c>
    </row>
    <row r="90" spans="1:18" x14ac:dyDescent="0.35">
      <c r="A90" s="15" t="s">
        <v>704</v>
      </c>
      <c r="B90" s="15" t="s">
        <v>705</v>
      </c>
      <c r="C90" s="15" t="s">
        <v>3338</v>
      </c>
      <c r="D90" s="15" t="s">
        <v>3186</v>
      </c>
      <c r="E90" s="15" t="s">
        <v>46</v>
      </c>
      <c r="F90" s="15" t="s">
        <v>3189</v>
      </c>
      <c r="G90" s="16">
        <v>45377</v>
      </c>
      <c r="H90" s="16">
        <f>IF(COUNTIF(Sales_Ledger!$H$5:$H$863,A90)=0,"",_xlfn.MINIFS(Sales_Ledger!$B$5:$B$863,Sales_Ledger!$H$5:$H$863,A90))</f>
        <v>45377</v>
      </c>
      <c r="I90" s="17">
        <f>SUMIFS(Subscriptions!$I$5:$I$218,Subscriptions!$B$5:$B$218,A90)</f>
        <v>8300000</v>
      </c>
      <c r="J90" s="17">
        <f>SUMIFS(Subscriptions!$J$5:$J$218,Subscriptions!$B$5:$B$218,A90)</f>
        <v>8300000</v>
      </c>
      <c r="K90" s="17">
        <f>SUMIFS(Sales_Ledger!$J$5:$J$863,Sales_Ledger!$H$5:$H$863,$A90,Sales_Ledger!$D$5:$D$863,2023)</f>
        <v>0</v>
      </c>
      <c r="L90" s="17">
        <f>SUMIFS(Sales_Ledger!$J$5:$J$863,Sales_Ledger!$H$5:$H$863,$A90,Sales_Ledger!$D$5:$D$863,2024)</f>
        <v>6350000</v>
      </c>
      <c r="M90" s="17">
        <f>SUMIFS(Sales_Ledger!$J$5:$J$863,Sales_Ledger!$H$5:$H$863,$A90,Sales_Ledger!$D$5:$D$863,2025)</f>
        <v>0</v>
      </c>
      <c r="N90" s="17">
        <f t="shared" si="2"/>
        <v>6350000</v>
      </c>
      <c r="O90" s="15" t="s">
        <v>3190</v>
      </c>
      <c r="P90" s="15" t="s">
        <v>2502</v>
      </c>
      <c r="Q90" s="15" t="s">
        <v>1800</v>
      </c>
      <c r="R90" s="15" t="str">
        <f t="shared" si="3"/>
        <v/>
      </c>
    </row>
    <row r="91" spans="1:18" x14ac:dyDescent="0.35">
      <c r="A91" s="15" t="s">
        <v>746</v>
      </c>
      <c r="B91" s="15" t="s">
        <v>747</v>
      </c>
      <c r="C91" s="15" t="s">
        <v>3339</v>
      </c>
      <c r="D91" s="15" t="s">
        <v>3340</v>
      </c>
      <c r="E91" s="15" t="s">
        <v>46</v>
      </c>
      <c r="F91" s="15" t="s">
        <v>31</v>
      </c>
      <c r="G91" s="16">
        <v>45385</v>
      </c>
      <c r="H91" s="16">
        <f>IF(COUNTIF(Sales_Ledger!$H$5:$H$863,A91)=0,"",_xlfn.MINIFS(Sales_Ledger!$B$5:$B$863,Sales_Ledger!$H$5:$H$863,A91))</f>
        <v>45385</v>
      </c>
      <c r="I91" s="17">
        <f>SUMIFS(Subscriptions!$I$5:$I$218,Subscriptions!$B$5:$B$218,A91)</f>
        <v>4200000</v>
      </c>
      <c r="J91" s="17">
        <f>SUMIFS(Subscriptions!$J$5:$J$218,Subscriptions!$B$5:$B$218,A91)</f>
        <v>4200000</v>
      </c>
      <c r="K91" s="17">
        <f>SUMIFS(Sales_Ledger!$J$5:$J$863,Sales_Ledger!$H$5:$H$863,$A91,Sales_Ledger!$D$5:$D$863,2023)</f>
        <v>0</v>
      </c>
      <c r="L91" s="17">
        <f>SUMIFS(Sales_Ledger!$J$5:$J$863,Sales_Ledger!$H$5:$H$863,$A91,Sales_Ledger!$D$5:$D$863,2024)</f>
        <v>4200000</v>
      </c>
      <c r="M91" s="17">
        <f>SUMIFS(Sales_Ledger!$J$5:$J$863,Sales_Ledger!$H$5:$H$863,$A91,Sales_Ledger!$D$5:$D$863,2025)</f>
        <v>0</v>
      </c>
      <c r="N91" s="17">
        <f t="shared" si="2"/>
        <v>4200000</v>
      </c>
      <c r="O91" s="15" t="s">
        <v>3190</v>
      </c>
      <c r="P91" s="15" t="s">
        <v>2502</v>
      </c>
      <c r="Q91" s="15" t="s">
        <v>2789</v>
      </c>
      <c r="R91" s="15" t="str">
        <f t="shared" si="3"/>
        <v/>
      </c>
    </row>
    <row r="92" spans="1:18" x14ac:dyDescent="0.35">
      <c r="A92" s="15" t="s">
        <v>770</v>
      </c>
      <c r="B92" s="15" t="s">
        <v>771</v>
      </c>
      <c r="C92" s="15" t="s">
        <v>3341</v>
      </c>
      <c r="D92" s="15" t="s">
        <v>3342</v>
      </c>
      <c r="E92" s="15" t="s">
        <v>46</v>
      </c>
      <c r="F92" s="15" t="s">
        <v>3314</v>
      </c>
      <c r="G92" s="16">
        <v>45391</v>
      </c>
      <c r="H92" s="16">
        <f>IF(COUNTIF(Sales_Ledger!$H$5:$H$863,A92)=0,"",_xlfn.MINIFS(Sales_Ledger!$B$5:$B$863,Sales_Ledger!$H$5:$H$863,A92))</f>
        <v>45391</v>
      </c>
      <c r="I92" s="17">
        <f>SUMIFS(Subscriptions!$I$5:$I$218,Subscriptions!$B$5:$B$218,A92)</f>
        <v>4200000</v>
      </c>
      <c r="J92" s="17">
        <f>SUMIFS(Subscriptions!$J$5:$J$218,Subscriptions!$B$5:$B$218,A92)</f>
        <v>4200000</v>
      </c>
      <c r="K92" s="17">
        <f>SUMIFS(Sales_Ledger!$J$5:$J$863,Sales_Ledger!$H$5:$H$863,$A92,Sales_Ledger!$D$5:$D$863,2023)</f>
        <v>0</v>
      </c>
      <c r="L92" s="17">
        <f>SUMIFS(Sales_Ledger!$J$5:$J$863,Sales_Ledger!$H$5:$H$863,$A92,Sales_Ledger!$D$5:$D$863,2024)</f>
        <v>4335000</v>
      </c>
      <c r="M92" s="17">
        <f>SUMIFS(Sales_Ledger!$J$5:$J$863,Sales_Ledger!$H$5:$H$863,$A92,Sales_Ledger!$D$5:$D$863,2025)</f>
        <v>0</v>
      </c>
      <c r="N92" s="17">
        <f t="shared" si="2"/>
        <v>4335000</v>
      </c>
      <c r="O92" s="15" t="s">
        <v>3190</v>
      </c>
      <c r="P92" s="15" t="s">
        <v>2502</v>
      </c>
      <c r="Q92" s="15" t="s">
        <v>2559</v>
      </c>
      <c r="R92" s="15" t="str">
        <f t="shared" si="3"/>
        <v>Receipts exceed register contract value: check for duplicate entries, extra plots or ancillary fees</v>
      </c>
    </row>
    <row r="93" spans="1:18" x14ac:dyDescent="0.35">
      <c r="A93" s="15" t="s">
        <v>784</v>
      </c>
      <c r="B93" s="15" t="s">
        <v>785</v>
      </c>
      <c r="C93" s="15" t="s">
        <v>3343</v>
      </c>
      <c r="D93" s="15" t="s">
        <v>3344</v>
      </c>
      <c r="E93" s="15" t="s">
        <v>46</v>
      </c>
      <c r="F93" s="15" t="s">
        <v>3314</v>
      </c>
      <c r="G93" s="16">
        <v>45398</v>
      </c>
      <c r="H93" s="16">
        <f>IF(COUNTIF(Sales_Ledger!$H$5:$H$863,A93)=0,"",_xlfn.MINIFS(Sales_Ledger!$B$5:$B$863,Sales_Ledger!$H$5:$H$863,A93))</f>
        <v>45398</v>
      </c>
      <c r="I93" s="17">
        <f>SUMIFS(Subscriptions!$I$5:$I$218,Subscriptions!$B$5:$B$218,A93)</f>
        <v>4000000</v>
      </c>
      <c r="J93" s="17">
        <f>SUMIFS(Subscriptions!$J$5:$J$218,Subscriptions!$B$5:$B$218,A93)</f>
        <v>4000000</v>
      </c>
      <c r="K93" s="17">
        <f>SUMIFS(Sales_Ledger!$J$5:$J$863,Sales_Ledger!$H$5:$H$863,$A93,Sales_Ledger!$D$5:$D$863,2023)</f>
        <v>0</v>
      </c>
      <c r="L93" s="17">
        <f>SUMIFS(Sales_Ledger!$J$5:$J$863,Sales_Ledger!$H$5:$H$863,$A93,Sales_Ledger!$D$5:$D$863,2024)</f>
        <v>4135000</v>
      </c>
      <c r="M93" s="17">
        <f>SUMIFS(Sales_Ledger!$J$5:$J$863,Sales_Ledger!$H$5:$H$863,$A93,Sales_Ledger!$D$5:$D$863,2025)</f>
        <v>0</v>
      </c>
      <c r="N93" s="17">
        <f t="shared" si="2"/>
        <v>4135000</v>
      </c>
      <c r="O93" s="15" t="s">
        <v>3190</v>
      </c>
      <c r="P93" s="15" t="s">
        <v>2502</v>
      </c>
      <c r="Q93" s="15" t="s">
        <v>2739</v>
      </c>
      <c r="R93" s="15" t="str">
        <f t="shared" si="3"/>
        <v>Receipts exceed register contract value: check for duplicate entries, extra plots or ancillary fees</v>
      </c>
    </row>
    <row r="94" spans="1:18" x14ac:dyDescent="0.35">
      <c r="A94" s="15" t="s">
        <v>820</v>
      </c>
      <c r="B94" s="15" t="s">
        <v>821</v>
      </c>
      <c r="C94" s="15" t="s">
        <v>3345</v>
      </c>
      <c r="D94" s="15" t="s">
        <v>3346</v>
      </c>
      <c r="E94" s="15" t="s">
        <v>46</v>
      </c>
      <c r="F94" s="15" t="s">
        <v>3295</v>
      </c>
      <c r="G94" s="16">
        <v>45441</v>
      </c>
      <c r="H94" s="16">
        <f>IF(COUNTIF(Sales_Ledger!$H$5:$H$863,A94)=0,"",_xlfn.MINIFS(Sales_Ledger!$B$5:$B$863,Sales_Ledger!$H$5:$H$863,A94))</f>
        <v>45409</v>
      </c>
      <c r="I94" s="17">
        <f>SUMIFS(Subscriptions!$I$5:$I$218,Subscriptions!$B$5:$B$218,A94)</f>
        <v>2160000</v>
      </c>
      <c r="J94" s="17">
        <f>SUMIFS(Subscriptions!$J$5:$J$218,Subscriptions!$B$5:$B$218,A94)</f>
        <v>2160000</v>
      </c>
      <c r="K94" s="17">
        <f>SUMIFS(Sales_Ledger!$J$5:$J$863,Sales_Ledger!$H$5:$H$863,$A94,Sales_Ledger!$D$5:$D$863,2023)</f>
        <v>0</v>
      </c>
      <c r="L94" s="17">
        <f>SUMIFS(Sales_Ledger!$J$5:$J$863,Sales_Ledger!$H$5:$H$863,$A94,Sales_Ledger!$D$5:$D$863,2024)</f>
        <v>2295000</v>
      </c>
      <c r="M94" s="17">
        <f>SUMIFS(Sales_Ledger!$J$5:$J$863,Sales_Ledger!$H$5:$H$863,$A94,Sales_Ledger!$D$5:$D$863,2025)</f>
        <v>0</v>
      </c>
      <c r="N94" s="17">
        <f t="shared" si="2"/>
        <v>2295000</v>
      </c>
      <c r="O94" s="15" t="s">
        <v>3190</v>
      </c>
      <c r="P94" s="15" t="s">
        <v>2502</v>
      </c>
      <c r="Q94" s="15" t="s">
        <v>2751</v>
      </c>
      <c r="R94" s="15" t="str">
        <f t="shared" si="3"/>
        <v>Receipts exceed register contract value: check for duplicate entries, extra plots or ancillary fees</v>
      </c>
    </row>
    <row r="95" spans="1:18" x14ac:dyDescent="0.35">
      <c r="A95" s="15" t="s">
        <v>879</v>
      </c>
      <c r="B95" s="15" t="s">
        <v>880</v>
      </c>
      <c r="C95" s="15" t="s">
        <v>3347</v>
      </c>
      <c r="D95" s="15" t="s">
        <v>3348</v>
      </c>
      <c r="E95" s="15" t="s">
        <v>46</v>
      </c>
      <c r="F95" s="15" t="s">
        <v>3349</v>
      </c>
      <c r="G95" s="16">
        <v>45424</v>
      </c>
      <c r="H95" s="16">
        <f>IF(COUNTIF(Sales_Ledger!$H$5:$H$863,A95)=0,"",_xlfn.MINIFS(Sales_Ledger!$B$5:$B$863,Sales_Ledger!$H$5:$H$863,A95))</f>
        <v>45424</v>
      </c>
      <c r="I95" s="17">
        <f>SUMIFS(Subscriptions!$I$5:$I$218,Subscriptions!$B$5:$B$218,A95)</f>
        <v>4200000</v>
      </c>
      <c r="J95" s="17">
        <f>SUMIFS(Subscriptions!$J$5:$J$218,Subscriptions!$B$5:$B$218,A95)</f>
        <v>4200000</v>
      </c>
      <c r="K95" s="17">
        <f>SUMIFS(Sales_Ledger!$J$5:$J$863,Sales_Ledger!$H$5:$H$863,$A95,Sales_Ledger!$D$5:$D$863,2023)</f>
        <v>0</v>
      </c>
      <c r="L95" s="17">
        <f>SUMIFS(Sales_Ledger!$J$5:$J$863,Sales_Ledger!$H$5:$H$863,$A95,Sales_Ledger!$D$5:$D$863,2024)</f>
        <v>4335000</v>
      </c>
      <c r="M95" s="17">
        <f>SUMIFS(Sales_Ledger!$J$5:$J$863,Sales_Ledger!$H$5:$H$863,$A95,Sales_Ledger!$D$5:$D$863,2025)</f>
        <v>0</v>
      </c>
      <c r="N95" s="17">
        <f t="shared" si="2"/>
        <v>4335000</v>
      </c>
      <c r="O95" s="15" t="s">
        <v>3190</v>
      </c>
      <c r="P95" s="15" t="s">
        <v>2502</v>
      </c>
      <c r="Q95" s="15" t="s">
        <v>2513</v>
      </c>
      <c r="R95" s="15" t="str">
        <f t="shared" si="3"/>
        <v>Receipts exceed register contract value: check for duplicate entries, extra plots or ancillary fees</v>
      </c>
    </row>
    <row r="96" spans="1:18" x14ac:dyDescent="0.35">
      <c r="A96" s="15" t="s">
        <v>905</v>
      </c>
      <c r="B96" s="15" t="s">
        <v>906</v>
      </c>
      <c r="C96" s="15" t="s">
        <v>3350</v>
      </c>
      <c r="D96" s="15" t="s">
        <v>3351</v>
      </c>
      <c r="E96" s="15" t="s">
        <v>46</v>
      </c>
      <c r="F96" s="15" t="s">
        <v>3295</v>
      </c>
      <c r="G96" s="16">
        <v>45429</v>
      </c>
      <c r="H96" s="16">
        <f>IF(COUNTIF(Sales_Ledger!$H$5:$H$863,A96)=0,"",_xlfn.MINIFS(Sales_Ledger!$B$5:$B$863,Sales_Ledger!$H$5:$H$863,A96))</f>
        <v>45429</v>
      </c>
      <c r="I96" s="17">
        <f>SUMIFS(Subscriptions!$I$5:$I$218,Subscriptions!$B$5:$B$218,A96)</f>
        <v>4200000</v>
      </c>
      <c r="J96" s="17">
        <f>SUMIFS(Subscriptions!$J$5:$J$218,Subscriptions!$B$5:$B$218,A96)</f>
        <v>4200000</v>
      </c>
      <c r="K96" s="17">
        <f>SUMIFS(Sales_Ledger!$J$5:$J$863,Sales_Ledger!$H$5:$H$863,$A96,Sales_Ledger!$D$5:$D$863,2023)</f>
        <v>0</v>
      </c>
      <c r="L96" s="17">
        <f>SUMIFS(Sales_Ledger!$J$5:$J$863,Sales_Ledger!$H$5:$H$863,$A96,Sales_Ledger!$D$5:$D$863,2024)</f>
        <v>3635000</v>
      </c>
      <c r="M96" s="17">
        <f>SUMIFS(Sales_Ledger!$J$5:$J$863,Sales_Ledger!$H$5:$H$863,$A96,Sales_Ledger!$D$5:$D$863,2025)</f>
        <v>0</v>
      </c>
      <c r="N96" s="17">
        <f t="shared" si="2"/>
        <v>3635000</v>
      </c>
      <c r="O96" s="15" t="s">
        <v>3190</v>
      </c>
      <c r="P96" s="15" t="s">
        <v>2502</v>
      </c>
      <c r="Q96" s="15" t="s">
        <v>2596</v>
      </c>
      <c r="R96" s="15" t="str">
        <f t="shared" si="3"/>
        <v/>
      </c>
    </row>
    <row r="97" spans="1:18" x14ac:dyDescent="0.35">
      <c r="A97" s="15" t="s">
        <v>916</v>
      </c>
      <c r="B97" s="15" t="s">
        <v>917</v>
      </c>
      <c r="C97" s="15" t="s">
        <v>3352</v>
      </c>
      <c r="D97" s="15" t="s">
        <v>3353</v>
      </c>
      <c r="E97" s="15" t="s">
        <v>46</v>
      </c>
      <c r="F97" s="15" t="s">
        <v>3349</v>
      </c>
      <c r="G97" s="16">
        <v>45433</v>
      </c>
      <c r="H97" s="16">
        <f>IF(COUNTIF(Sales_Ledger!$H$5:$H$863,A97)=0,"",_xlfn.MINIFS(Sales_Ledger!$B$5:$B$863,Sales_Ledger!$H$5:$H$863,A97))</f>
        <v>45433</v>
      </c>
      <c r="I97" s="17">
        <f>SUMIFS(Subscriptions!$I$5:$I$218,Subscriptions!$B$5:$B$218,A97)</f>
        <v>2160000</v>
      </c>
      <c r="J97" s="17">
        <f>SUMIFS(Subscriptions!$J$5:$J$218,Subscriptions!$B$5:$B$218,A97)</f>
        <v>2160000</v>
      </c>
      <c r="K97" s="17">
        <f>SUMIFS(Sales_Ledger!$J$5:$J$863,Sales_Ledger!$H$5:$H$863,$A97,Sales_Ledger!$D$5:$D$863,2023)</f>
        <v>0</v>
      </c>
      <c r="L97" s="17">
        <f>SUMIFS(Sales_Ledger!$J$5:$J$863,Sales_Ledger!$H$5:$H$863,$A97,Sales_Ledger!$D$5:$D$863,2024)</f>
        <v>2295000</v>
      </c>
      <c r="M97" s="17">
        <f>SUMIFS(Sales_Ledger!$J$5:$J$863,Sales_Ledger!$H$5:$H$863,$A97,Sales_Ledger!$D$5:$D$863,2025)</f>
        <v>0</v>
      </c>
      <c r="N97" s="17">
        <f t="shared" si="2"/>
        <v>2295000</v>
      </c>
      <c r="O97" s="15" t="s">
        <v>3190</v>
      </c>
      <c r="P97" s="15" t="s">
        <v>2502</v>
      </c>
      <c r="Q97" s="15" t="s">
        <v>2559</v>
      </c>
      <c r="R97" s="15" t="str">
        <f t="shared" si="3"/>
        <v>Receipts exceed register contract value: check for duplicate entries, extra plots or ancillary fees</v>
      </c>
    </row>
    <row r="98" spans="1:18" x14ac:dyDescent="0.35">
      <c r="A98" s="15" t="s">
        <v>928</v>
      </c>
      <c r="B98" s="15" t="s">
        <v>929</v>
      </c>
      <c r="C98" s="15"/>
      <c r="D98" s="15"/>
      <c r="E98" s="15" t="s">
        <v>46</v>
      </c>
      <c r="F98" s="15" t="s">
        <v>31</v>
      </c>
      <c r="G98" s="16"/>
      <c r="H98" s="16">
        <f>IF(COUNTIF(Sales_Ledger!$H$5:$H$863,A98)=0,"",_xlfn.MINIFS(Sales_Ledger!$B$5:$B$863,Sales_Ledger!$H$5:$H$863,A98))</f>
        <v>45434</v>
      </c>
      <c r="I98" s="17">
        <f>SUMIFS(Subscriptions!$I$5:$I$218,Subscriptions!$B$5:$B$218,A98)</f>
        <v>0</v>
      </c>
      <c r="J98" s="17">
        <f>SUMIFS(Subscriptions!$J$5:$J$218,Subscriptions!$B$5:$B$218,A98)</f>
        <v>0</v>
      </c>
      <c r="K98" s="17">
        <f>SUMIFS(Sales_Ledger!$J$5:$J$863,Sales_Ledger!$H$5:$H$863,$A98,Sales_Ledger!$D$5:$D$863,2023)</f>
        <v>0</v>
      </c>
      <c r="L98" s="17">
        <f>SUMIFS(Sales_Ledger!$J$5:$J$863,Sales_Ledger!$H$5:$H$863,$A98,Sales_Ledger!$D$5:$D$863,2024)</f>
        <v>1000000</v>
      </c>
      <c r="M98" s="17">
        <f>SUMIFS(Sales_Ledger!$J$5:$J$863,Sales_Ledger!$H$5:$H$863,$A98,Sales_Ledger!$D$5:$D$863,2025)</f>
        <v>0</v>
      </c>
      <c r="N98" s="17">
        <f t="shared" si="2"/>
        <v>1000000</v>
      </c>
      <c r="O98" s="15" t="s">
        <v>3253</v>
      </c>
      <c r="P98" s="15"/>
      <c r="Q98" s="15"/>
      <c r="R98" s="15" t="str">
        <f t="shared" si="3"/>
        <v>Not in client register: contract value unknown</v>
      </c>
    </row>
    <row r="99" spans="1:18" x14ac:dyDescent="0.35">
      <c r="A99" s="15" t="s">
        <v>947</v>
      </c>
      <c r="B99" s="15" t="s">
        <v>948</v>
      </c>
      <c r="C99" s="15"/>
      <c r="D99" s="15"/>
      <c r="E99" s="15" t="s">
        <v>46</v>
      </c>
      <c r="F99" s="15" t="s">
        <v>31</v>
      </c>
      <c r="G99" s="16"/>
      <c r="H99" s="16">
        <f>IF(COUNTIF(Sales_Ledger!$H$5:$H$863,A99)=0,"",_xlfn.MINIFS(Sales_Ledger!$B$5:$B$863,Sales_Ledger!$H$5:$H$863,A99))</f>
        <v>45440</v>
      </c>
      <c r="I99" s="17">
        <f>SUMIFS(Subscriptions!$I$5:$I$218,Subscriptions!$B$5:$B$218,A99)</f>
        <v>0</v>
      </c>
      <c r="J99" s="17">
        <f>SUMIFS(Subscriptions!$J$5:$J$218,Subscriptions!$B$5:$B$218,A99)</f>
        <v>0</v>
      </c>
      <c r="K99" s="17">
        <f>SUMIFS(Sales_Ledger!$J$5:$J$863,Sales_Ledger!$H$5:$H$863,$A99,Sales_Ledger!$D$5:$D$863,2023)</f>
        <v>0</v>
      </c>
      <c r="L99" s="17">
        <f>SUMIFS(Sales_Ledger!$J$5:$J$863,Sales_Ledger!$H$5:$H$863,$A99,Sales_Ledger!$D$5:$D$863,2024)</f>
        <v>295000</v>
      </c>
      <c r="M99" s="17">
        <f>SUMIFS(Sales_Ledger!$J$5:$J$863,Sales_Ledger!$H$5:$H$863,$A99,Sales_Ledger!$D$5:$D$863,2025)</f>
        <v>0</v>
      </c>
      <c r="N99" s="17">
        <f t="shared" si="2"/>
        <v>295000</v>
      </c>
      <c r="O99" s="15" t="s">
        <v>3253</v>
      </c>
      <c r="P99" s="15"/>
      <c r="Q99" s="15"/>
      <c r="R99" s="15" t="str">
        <f t="shared" si="3"/>
        <v>Not in client register: contract value unknown</v>
      </c>
    </row>
    <row r="100" spans="1:18" x14ac:dyDescent="0.35">
      <c r="A100" s="15" t="s">
        <v>988</v>
      </c>
      <c r="B100" s="15" t="s">
        <v>989</v>
      </c>
      <c r="C100" s="15" t="s">
        <v>3354</v>
      </c>
      <c r="D100" s="15" t="s">
        <v>3355</v>
      </c>
      <c r="E100" s="15" t="s">
        <v>46</v>
      </c>
      <c r="F100" s="15" t="s">
        <v>3295</v>
      </c>
      <c r="G100" s="16">
        <v>45452</v>
      </c>
      <c r="H100" s="16">
        <f>IF(COUNTIF(Sales_Ledger!$H$5:$H$863,A100)=0,"",_xlfn.MINIFS(Sales_Ledger!$B$5:$B$863,Sales_Ledger!$H$5:$H$863,A100))</f>
        <v>45452</v>
      </c>
      <c r="I100" s="17">
        <f>SUMIFS(Subscriptions!$I$5:$I$218,Subscriptions!$B$5:$B$218,A100)</f>
        <v>2160000</v>
      </c>
      <c r="J100" s="17">
        <f>SUMIFS(Subscriptions!$J$5:$J$218,Subscriptions!$B$5:$B$218,A100)</f>
        <v>2160000</v>
      </c>
      <c r="K100" s="17">
        <f>SUMIFS(Sales_Ledger!$J$5:$J$863,Sales_Ledger!$H$5:$H$863,$A100,Sales_Ledger!$D$5:$D$863,2023)</f>
        <v>0</v>
      </c>
      <c r="L100" s="17">
        <f>SUMIFS(Sales_Ledger!$J$5:$J$863,Sales_Ledger!$H$5:$H$863,$A100,Sales_Ledger!$D$5:$D$863,2024)</f>
        <v>2290000</v>
      </c>
      <c r="M100" s="17">
        <f>SUMIFS(Sales_Ledger!$J$5:$J$863,Sales_Ledger!$H$5:$H$863,$A100,Sales_Ledger!$D$5:$D$863,2025)</f>
        <v>0</v>
      </c>
      <c r="N100" s="17">
        <f t="shared" si="2"/>
        <v>2290000</v>
      </c>
      <c r="O100" s="15" t="s">
        <v>3190</v>
      </c>
      <c r="P100" s="15" t="s">
        <v>2502</v>
      </c>
      <c r="Q100" s="15" t="s">
        <v>2806</v>
      </c>
      <c r="R100" s="15" t="str">
        <f t="shared" si="3"/>
        <v>Receipts exceed register contract value: check for duplicate entries, extra plots or ancillary fees</v>
      </c>
    </row>
    <row r="101" spans="1:18" x14ac:dyDescent="0.35">
      <c r="A101" s="15" t="s">
        <v>997</v>
      </c>
      <c r="B101" s="15" t="s">
        <v>1117</v>
      </c>
      <c r="C101" s="15" t="s">
        <v>3356</v>
      </c>
      <c r="D101" s="15" t="s">
        <v>3357</v>
      </c>
      <c r="E101" s="15" t="s">
        <v>46</v>
      </c>
      <c r="F101" s="15" t="s">
        <v>3295</v>
      </c>
      <c r="G101" s="16">
        <v>45454</v>
      </c>
      <c r="H101" s="16">
        <f>IF(COUNTIF(Sales_Ledger!$H$5:$H$863,A101)=0,"",_xlfn.MINIFS(Sales_Ledger!$B$5:$B$863,Sales_Ledger!$H$5:$H$863,A101))</f>
        <v>45454</v>
      </c>
      <c r="I101" s="17">
        <f>SUMIFS(Subscriptions!$I$5:$I$218,Subscriptions!$B$5:$B$218,A101)</f>
        <v>4200000</v>
      </c>
      <c r="J101" s="17">
        <f>SUMIFS(Subscriptions!$J$5:$J$218,Subscriptions!$B$5:$B$218,A101)</f>
        <v>4200000</v>
      </c>
      <c r="K101" s="17">
        <f>SUMIFS(Sales_Ledger!$J$5:$J$863,Sales_Ledger!$H$5:$H$863,$A101,Sales_Ledger!$D$5:$D$863,2023)</f>
        <v>0</v>
      </c>
      <c r="L101" s="17">
        <f>SUMIFS(Sales_Ledger!$J$5:$J$863,Sales_Ledger!$H$5:$H$863,$A101,Sales_Ledger!$D$5:$D$863,2024)</f>
        <v>4510000</v>
      </c>
      <c r="M101" s="17">
        <f>SUMIFS(Sales_Ledger!$J$5:$J$863,Sales_Ledger!$H$5:$H$863,$A101,Sales_Ledger!$D$5:$D$863,2025)</f>
        <v>0</v>
      </c>
      <c r="N101" s="17">
        <f t="shared" si="2"/>
        <v>4510000</v>
      </c>
      <c r="O101" s="15" t="s">
        <v>3190</v>
      </c>
      <c r="P101" s="15" t="s">
        <v>2502</v>
      </c>
      <c r="Q101" s="15" t="s">
        <v>2813</v>
      </c>
      <c r="R101" s="15" t="str">
        <f t="shared" si="3"/>
        <v>Receipts exceed register contract value: check for duplicate entries, extra plots or ancillary fees</v>
      </c>
    </row>
    <row r="102" spans="1:18" x14ac:dyDescent="0.35">
      <c r="A102" s="15" t="s">
        <v>1005</v>
      </c>
      <c r="B102" s="15" t="s">
        <v>1006</v>
      </c>
      <c r="C102" s="15"/>
      <c r="D102" s="15"/>
      <c r="E102" s="15" t="s">
        <v>46</v>
      </c>
      <c r="F102" s="15" t="s">
        <v>3358</v>
      </c>
      <c r="G102" s="16"/>
      <c r="H102" s="16">
        <f>IF(COUNTIF(Sales_Ledger!$H$5:$H$863,A102)=0,"",_xlfn.MINIFS(Sales_Ledger!$B$5:$B$863,Sales_Ledger!$H$5:$H$863,A102))</f>
        <v>45454</v>
      </c>
      <c r="I102" s="17">
        <f>SUMIFS(Subscriptions!$I$5:$I$218,Subscriptions!$B$5:$B$218,A102)</f>
        <v>0</v>
      </c>
      <c r="J102" s="17">
        <f>SUMIFS(Subscriptions!$J$5:$J$218,Subscriptions!$B$5:$B$218,A102)</f>
        <v>0</v>
      </c>
      <c r="K102" s="17">
        <f>SUMIFS(Sales_Ledger!$J$5:$J$863,Sales_Ledger!$H$5:$H$863,$A102,Sales_Ledger!$D$5:$D$863,2023)</f>
        <v>0</v>
      </c>
      <c r="L102" s="17">
        <f>SUMIFS(Sales_Ledger!$J$5:$J$863,Sales_Ledger!$H$5:$H$863,$A102,Sales_Ledger!$D$5:$D$863,2024)</f>
        <v>135000</v>
      </c>
      <c r="M102" s="17">
        <f>SUMIFS(Sales_Ledger!$J$5:$J$863,Sales_Ledger!$H$5:$H$863,$A102,Sales_Ledger!$D$5:$D$863,2025)</f>
        <v>0</v>
      </c>
      <c r="N102" s="17">
        <f t="shared" si="2"/>
        <v>135000</v>
      </c>
      <c r="O102" s="15" t="s">
        <v>3253</v>
      </c>
      <c r="P102" s="15"/>
      <c r="Q102" s="15"/>
      <c r="R102" s="15" t="str">
        <f t="shared" si="3"/>
        <v>Not in client register: contract value unknown</v>
      </c>
    </row>
    <row r="103" spans="1:18" x14ac:dyDescent="0.35">
      <c r="A103" s="15" t="s">
        <v>1010</v>
      </c>
      <c r="B103" s="15" t="s">
        <v>1133</v>
      </c>
      <c r="C103" s="15" t="s">
        <v>3359</v>
      </c>
      <c r="D103" s="15" t="s">
        <v>3186</v>
      </c>
      <c r="E103" s="15" t="s">
        <v>46</v>
      </c>
      <c r="F103" s="15" t="s">
        <v>3200</v>
      </c>
      <c r="G103" s="16">
        <v>45457</v>
      </c>
      <c r="H103" s="16">
        <f>IF(COUNTIF(Sales_Ledger!$H$5:$H$863,A103)=0,"",_xlfn.MINIFS(Sales_Ledger!$B$5:$B$863,Sales_Ledger!$H$5:$H$863,A103))</f>
        <v>45454</v>
      </c>
      <c r="I103" s="17">
        <f>SUMIFS(Subscriptions!$I$5:$I$218,Subscriptions!$B$5:$B$218,A103)</f>
        <v>6300000</v>
      </c>
      <c r="J103" s="17">
        <f>SUMIFS(Subscriptions!$J$5:$J$218,Subscriptions!$B$5:$B$218,A103)</f>
        <v>6300000</v>
      </c>
      <c r="K103" s="17">
        <f>SUMIFS(Sales_Ledger!$J$5:$J$863,Sales_Ledger!$H$5:$H$863,$A103,Sales_Ledger!$D$5:$D$863,2023)</f>
        <v>0</v>
      </c>
      <c r="L103" s="17">
        <f>SUMIFS(Sales_Ledger!$J$5:$J$863,Sales_Ledger!$H$5:$H$863,$A103,Sales_Ledger!$D$5:$D$863,2024)</f>
        <v>4755000</v>
      </c>
      <c r="M103" s="17">
        <f>SUMIFS(Sales_Ledger!$J$5:$J$863,Sales_Ledger!$H$5:$H$863,$A103,Sales_Ledger!$D$5:$D$863,2025)</f>
        <v>0</v>
      </c>
      <c r="N103" s="17">
        <f t="shared" si="2"/>
        <v>4755000</v>
      </c>
      <c r="O103" s="15" t="s">
        <v>3190</v>
      </c>
      <c r="P103" s="15" t="s">
        <v>2502</v>
      </c>
      <c r="Q103" s="15" t="s">
        <v>2816</v>
      </c>
      <c r="R103" s="15" t="str">
        <f t="shared" si="3"/>
        <v/>
      </c>
    </row>
    <row r="104" spans="1:18" x14ac:dyDescent="0.35">
      <c r="A104" s="15" t="s">
        <v>1023</v>
      </c>
      <c r="B104" s="15" t="s">
        <v>1024</v>
      </c>
      <c r="C104" s="15" t="s">
        <v>3360</v>
      </c>
      <c r="D104" s="15" t="s">
        <v>3361</v>
      </c>
      <c r="E104" s="15" t="s">
        <v>46</v>
      </c>
      <c r="F104" s="15" t="s">
        <v>3295</v>
      </c>
      <c r="G104" s="16">
        <v>45458</v>
      </c>
      <c r="H104" s="16">
        <f>IF(COUNTIF(Sales_Ledger!$H$5:$H$863,A104)=0,"",_xlfn.MINIFS(Sales_Ledger!$B$5:$B$863,Sales_Ledger!$H$5:$H$863,A104))</f>
        <v>45458</v>
      </c>
      <c r="I104" s="17">
        <f>SUMIFS(Subscriptions!$I$5:$I$218,Subscriptions!$B$5:$B$218,A104)</f>
        <v>4200000</v>
      </c>
      <c r="J104" s="17">
        <f>SUMIFS(Subscriptions!$J$5:$J$218,Subscriptions!$B$5:$B$218,A104)</f>
        <v>4200000</v>
      </c>
      <c r="K104" s="17">
        <f>SUMIFS(Sales_Ledger!$J$5:$J$863,Sales_Ledger!$H$5:$H$863,$A104,Sales_Ledger!$D$5:$D$863,2023)</f>
        <v>0</v>
      </c>
      <c r="L104" s="17">
        <f>SUMIFS(Sales_Ledger!$J$5:$J$863,Sales_Ledger!$H$5:$H$863,$A104,Sales_Ledger!$D$5:$D$863,2024)</f>
        <v>4340000</v>
      </c>
      <c r="M104" s="17">
        <f>SUMIFS(Sales_Ledger!$J$5:$J$863,Sales_Ledger!$H$5:$H$863,$A104,Sales_Ledger!$D$5:$D$863,2025)</f>
        <v>0</v>
      </c>
      <c r="N104" s="17">
        <f t="shared" si="2"/>
        <v>4340000</v>
      </c>
      <c r="O104" s="15" t="s">
        <v>3190</v>
      </c>
      <c r="P104" s="15" t="s">
        <v>2502</v>
      </c>
      <c r="Q104" s="15" t="s">
        <v>2820</v>
      </c>
      <c r="R104" s="15" t="str">
        <f t="shared" si="3"/>
        <v>Receipts exceed register contract value: check for duplicate entries, extra plots or ancillary fees</v>
      </c>
    </row>
    <row r="105" spans="1:18" x14ac:dyDescent="0.35">
      <c r="A105" s="15" t="s">
        <v>1041</v>
      </c>
      <c r="B105" s="15" t="s">
        <v>1042</v>
      </c>
      <c r="C105" s="15"/>
      <c r="D105" s="15"/>
      <c r="E105" s="15" t="s">
        <v>46</v>
      </c>
      <c r="F105" s="15" t="s">
        <v>3358</v>
      </c>
      <c r="G105" s="16"/>
      <c r="H105" s="16">
        <f>IF(COUNTIF(Sales_Ledger!$H$5:$H$863,A105)=0,"",_xlfn.MINIFS(Sales_Ledger!$B$5:$B$863,Sales_Ledger!$H$5:$H$863,A105))</f>
        <v>45463</v>
      </c>
      <c r="I105" s="17">
        <f>SUMIFS(Subscriptions!$I$5:$I$218,Subscriptions!$B$5:$B$218,A105)</f>
        <v>0</v>
      </c>
      <c r="J105" s="17">
        <f>SUMIFS(Subscriptions!$J$5:$J$218,Subscriptions!$B$5:$B$218,A105)</f>
        <v>0</v>
      </c>
      <c r="K105" s="17">
        <f>SUMIFS(Sales_Ledger!$J$5:$J$863,Sales_Ledger!$H$5:$H$863,$A105,Sales_Ledger!$D$5:$D$863,2023)</f>
        <v>0</v>
      </c>
      <c r="L105" s="17">
        <f>SUMIFS(Sales_Ledger!$J$5:$J$863,Sales_Ledger!$H$5:$H$863,$A105,Sales_Ledger!$D$5:$D$863,2024)</f>
        <v>135000</v>
      </c>
      <c r="M105" s="17">
        <f>SUMIFS(Sales_Ledger!$J$5:$J$863,Sales_Ledger!$H$5:$H$863,$A105,Sales_Ledger!$D$5:$D$863,2025)</f>
        <v>0</v>
      </c>
      <c r="N105" s="17">
        <f t="shared" si="2"/>
        <v>135000</v>
      </c>
      <c r="O105" s="15" t="s">
        <v>3253</v>
      </c>
      <c r="P105" s="15"/>
      <c r="Q105" s="15"/>
      <c r="R105" s="15" t="str">
        <f t="shared" si="3"/>
        <v>Not in client register: contract value unknown</v>
      </c>
    </row>
    <row r="106" spans="1:18" x14ac:dyDescent="0.35">
      <c r="A106" s="15" t="s">
        <v>1044</v>
      </c>
      <c r="B106" s="15" t="s">
        <v>1045</v>
      </c>
      <c r="C106" s="15" t="s">
        <v>3362</v>
      </c>
      <c r="D106" s="15" t="s">
        <v>3363</v>
      </c>
      <c r="E106" s="15" t="s">
        <v>46</v>
      </c>
      <c r="F106" s="15" t="s">
        <v>31</v>
      </c>
      <c r="G106" s="16">
        <v>45464</v>
      </c>
      <c r="H106" s="16">
        <f>IF(COUNTIF(Sales_Ledger!$H$5:$H$863,A106)=0,"",_xlfn.MINIFS(Sales_Ledger!$B$5:$B$863,Sales_Ledger!$H$5:$H$863,A106))</f>
        <v>45464</v>
      </c>
      <c r="I106" s="17">
        <f>SUMIFS(Subscriptions!$I$5:$I$218,Subscriptions!$B$5:$B$218,A106)</f>
        <v>5900000</v>
      </c>
      <c r="J106" s="17">
        <f>SUMIFS(Subscriptions!$J$5:$J$218,Subscriptions!$B$5:$B$218,A106)</f>
        <v>1000000</v>
      </c>
      <c r="K106" s="17">
        <f>SUMIFS(Sales_Ledger!$J$5:$J$863,Sales_Ledger!$H$5:$H$863,$A106,Sales_Ledger!$D$5:$D$863,2023)</f>
        <v>0</v>
      </c>
      <c r="L106" s="17">
        <f>SUMIFS(Sales_Ledger!$J$5:$J$863,Sales_Ledger!$H$5:$H$863,$A106,Sales_Ledger!$D$5:$D$863,2024)</f>
        <v>1000000</v>
      </c>
      <c r="M106" s="17">
        <f>SUMIFS(Sales_Ledger!$J$5:$J$863,Sales_Ledger!$H$5:$H$863,$A106,Sales_Ledger!$D$5:$D$863,2025)</f>
        <v>0</v>
      </c>
      <c r="N106" s="17">
        <f t="shared" si="2"/>
        <v>1000000</v>
      </c>
      <c r="O106" s="15" t="s">
        <v>3190</v>
      </c>
      <c r="P106" s="15" t="s">
        <v>2601</v>
      </c>
      <c r="Q106" s="15" t="s">
        <v>2513</v>
      </c>
      <c r="R106" s="15" t="str">
        <f t="shared" si="3"/>
        <v/>
      </c>
    </row>
    <row r="107" spans="1:18" x14ac:dyDescent="0.35">
      <c r="A107" s="15" t="s">
        <v>1057</v>
      </c>
      <c r="B107" s="15" t="s">
        <v>1253</v>
      </c>
      <c r="C107" s="15" t="s">
        <v>3339</v>
      </c>
      <c r="D107" s="15" t="s">
        <v>3340</v>
      </c>
      <c r="E107" s="15" t="s">
        <v>46</v>
      </c>
      <c r="F107" s="15" t="s">
        <v>3364</v>
      </c>
      <c r="G107" s="16">
        <v>45465</v>
      </c>
      <c r="H107" s="16">
        <f>IF(COUNTIF(Sales_Ledger!$H$5:$H$863,A107)=0,"",_xlfn.MINIFS(Sales_Ledger!$B$5:$B$863,Sales_Ledger!$H$5:$H$863,A107))</f>
        <v>45465</v>
      </c>
      <c r="I107" s="17">
        <f>SUMIFS(Subscriptions!$I$5:$I$218,Subscriptions!$B$5:$B$218,A107)</f>
        <v>5900000</v>
      </c>
      <c r="J107" s="17">
        <f>SUMIFS(Subscriptions!$J$5:$J$218,Subscriptions!$B$5:$B$218,A107)</f>
        <v>2673000</v>
      </c>
      <c r="K107" s="17">
        <f>SUMIFS(Sales_Ledger!$J$5:$J$863,Sales_Ledger!$H$5:$H$863,$A107,Sales_Ledger!$D$5:$D$863,2023)</f>
        <v>0</v>
      </c>
      <c r="L107" s="17">
        <f>SUMIFS(Sales_Ledger!$J$5:$J$863,Sales_Ledger!$H$5:$H$863,$A107,Sales_Ledger!$D$5:$D$863,2024)</f>
        <v>3000000</v>
      </c>
      <c r="M107" s="17">
        <f>SUMIFS(Sales_Ledger!$J$5:$J$863,Sales_Ledger!$H$5:$H$863,$A107,Sales_Ledger!$D$5:$D$863,2025)</f>
        <v>0</v>
      </c>
      <c r="N107" s="17">
        <f t="shared" si="2"/>
        <v>3000000</v>
      </c>
      <c r="O107" s="15" t="s">
        <v>3190</v>
      </c>
      <c r="P107" s="15" t="s">
        <v>2486</v>
      </c>
      <c r="Q107" s="15" t="s">
        <v>2789</v>
      </c>
      <c r="R107" s="15" t="str">
        <f t="shared" si="3"/>
        <v/>
      </c>
    </row>
    <row r="108" spans="1:18" x14ac:dyDescent="0.35">
      <c r="A108" s="15" t="s">
        <v>1064</v>
      </c>
      <c r="B108" s="15" t="s">
        <v>1065</v>
      </c>
      <c r="C108" s="15" t="s">
        <v>3365</v>
      </c>
      <c r="D108" s="15" t="s">
        <v>3366</v>
      </c>
      <c r="E108" s="15" t="s">
        <v>46</v>
      </c>
      <c r="F108" s="15" t="s">
        <v>31</v>
      </c>
      <c r="G108" s="16">
        <v>45468</v>
      </c>
      <c r="H108" s="16">
        <f>IF(COUNTIF(Sales_Ledger!$H$5:$H$863,A108)=0,"",_xlfn.MINIFS(Sales_Ledger!$B$5:$B$863,Sales_Ledger!$H$5:$H$863,A108))</f>
        <v>45468</v>
      </c>
      <c r="I108" s="17">
        <f>SUMIFS(Subscriptions!$I$5:$I$218,Subscriptions!$B$5:$B$218,A108)</f>
        <v>7600000</v>
      </c>
      <c r="J108" s="17">
        <f>SUMIFS(Subscriptions!$J$5:$J$218,Subscriptions!$B$5:$B$218,A108)</f>
        <v>1000000</v>
      </c>
      <c r="K108" s="17">
        <f>SUMIFS(Sales_Ledger!$J$5:$J$863,Sales_Ledger!$H$5:$H$863,$A108,Sales_Ledger!$D$5:$D$863,2023)</f>
        <v>0</v>
      </c>
      <c r="L108" s="17">
        <f>SUMIFS(Sales_Ledger!$J$5:$J$863,Sales_Ledger!$H$5:$H$863,$A108,Sales_Ledger!$D$5:$D$863,2024)</f>
        <v>1000000</v>
      </c>
      <c r="M108" s="17">
        <f>SUMIFS(Sales_Ledger!$J$5:$J$863,Sales_Ledger!$H$5:$H$863,$A108,Sales_Ledger!$D$5:$D$863,2025)</f>
        <v>0</v>
      </c>
      <c r="N108" s="17">
        <f t="shared" si="2"/>
        <v>1000000</v>
      </c>
      <c r="O108" s="15" t="s">
        <v>3190</v>
      </c>
      <c r="P108" s="15" t="s">
        <v>2601</v>
      </c>
      <c r="Q108" s="15" t="s">
        <v>2513</v>
      </c>
      <c r="R108" s="15" t="str">
        <f t="shared" si="3"/>
        <v/>
      </c>
    </row>
    <row r="109" spans="1:18" x14ac:dyDescent="0.35">
      <c r="A109" s="15" t="s">
        <v>1079</v>
      </c>
      <c r="B109" s="15" t="s">
        <v>1080</v>
      </c>
      <c r="C109" s="15"/>
      <c r="D109" s="15"/>
      <c r="E109" s="15" t="s">
        <v>46</v>
      </c>
      <c r="F109" s="15" t="s">
        <v>3358</v>
      </c>
      <c r="G109" s="16"/>
      <c r="H109" s="16">
        <f>IF(COUNTIF(Sales_Ledger!$H$5:$H$863,A109)=0,"",_xlfn.MINIFS(Sales_Ledger!$B$5:$B$863,Sales_Ledger!$H$5:$H$863,A109))</f>
        <v>45473</v>
      </c>
      <c r="I109" s="17">
        <f>SUMIFS(Subscriptions!$I$5:$I$218,Subscriptions!$B$5:$B$218,A109)</f>
        <v>0</v>
      </c>
      <c r="J109" s="17">
        <f>SUMIFS(Subscriptions!$J$5:$J$218,Subscriptions!$B$5:$B$218,A109)</f>
        <v>0</v>
      </c>
      <c r="K109" s="17">
        <f>SUMIFS(Sales_Ledger!$J$5:$J$863,Sales_Ledger!$H$5:$H$863,$A109,Sales_Ledger!$D$5:$D$863,2023)</f>
        <v>0</v>
      </c>
      <c r="L109" s="17">
        <f>SUMIFS(Sales_Ledger!$J$5:$J$863,Sales_Ledger!$H$5:$H$863,$A109,Sales_Ledger!$D$5:$D$863,2024)</f>
        <v>135000</v>
      </c>
      <c r="M109" s="17">
        <f>SUMIFS(Sales_Ledger!$J$5:$J$863,Sales_Ledger!$H$5:$H$863,$A109,Sales_Ledger!$D$5:$D$863,2025)</f>
        <v>0</v>
      </c>
      <c r="N109" s="17">
        <f t="shared" si="2"/>
        <v>135000</v>
      </c>
      <c r="O109" s="15" t="s">
        <v>3253</v>
      </c>
      <c r="P109" s="15"/>
      <c r="Q109" s="15"/>
      <c r="R109" s="15" t="str">
        <f t="shared" si="3"/>
        <v>Not in client register: contract value unknown</v>
      </c>
    </row>
    <row r="110" spans="1:18" x14ac:dyDescent="0.35">
      <c r="A110" s="15" t="s">
        <v>1099</v>
      </c>
      <c r="B110" s="15" t="s">
        <v>1100</v>
      </c>
      <c r="C110" s="15"/>
      <c r="D110" s="15"/>
      <c r="E110" s="15" t="s">
        <v>46</v>
      </c>
      <c r="F110" s="15" t="s">
        <v>3358</v>
      </c>
      <c r="G110" s="16"/>
      <c r="H110" s="16">
        <f>IF(COUNTIF(Sales_Ledger!$H$5:$H$863,A110)=0,"",_xlfn.MINIFS(Sales_Ledger!$B$5:$B$863,Sales_Ledger!$H$5:$H$863,A110))</f>
        <v>45477</v>
      </c>
      <c r="I110" s="17">
        <f>SUMIFS(Subscriptions!$I$5:$I$218,Subscriptions!$B$5:$B$218,A110)</f>
        <v>0</v>
      </c>
      <c r="J110" s="17">
        <f>SUMIFS(Subscriptions!$J$5:$J$218,Subscriptions!$B$5:$B$218,A110)</f>
        <v>0</v>
      </c>
      <c r="K110" s="17">
        <f>SUMIFS(Sales_Ledger!$J$5:$J$863,Sales_Ledger!$H$5:$H$863,$A110,Sales_Ledger!$D$5:$D$863,2023)</f>
        <v>0</v>
      </c>
      <c r="L110" s="17">
        <f>SUMIFS(Sales_Ledger!$J$5:$J$863,Sales_Ledger!$H$5:$H$863,$A110,Sales_Ledger!$D$5:$D$863,2024)</f>
        <v>135000</v>
      </c>
      <c r="M110" s="17">
        <f>SUMIFS(Sales_Ledger!$J$5:$J$863,Sales_Ledger!$H$5:$H$863,$A110,Sales_Ledger!$D$5:$D$863,2025)</f>
        <v>0</v>
      </c>
      <c r="N110" s="17">
        <f t="shared" si="2"/>
        <v>135000</v>
      </c>
      <c r="O110" s="15" t="s">
        <v>3253</v>
      </c>
      <c r="P110" s="15"/>
      <c r="Q110" s="15"/>
      <c r="R110" s="15" t="str">
        <f t="shared" si="3"/>
        <v>Not in client register: contract value unknown</v>
      </c>
    </row>
    <row r="111" spans="1:18" x14ac:dyDescent="0.35">
      <c r="A111" s="15" t="s">
        <v>2831</v>
      </c>
      <c r="B111" s="15" t="s">
        <v>2832</v>
      </c>
      <c r="C111" s="15" t="s">
        <v>3367</v>
      </c>
      <c r="D111" s="15" t="s">
        <v>3368</v>
      </c>
      <c r="E111" s="15" t="s">
        <v>46</v>
      </c>
      <c r="F111" s="15" t="s">
        <v>34</v>
      </c>
      <c r="G111" s="16">
        <v>45482</v>
      </c>
      <c r="H111" s="16" t="str">
        <f>IF(COUNTIF(Sales_Ledger!$H$5:$H$863,A111)=0,"",_xlfn.MINIFS(Sales_Ledger!$B$5:$B$863,Sales_Ledger!$H$5:$H$863,A111))</f>
        <v/>
      </c>
      <c r="I111" s="17">
        <f>SUMIFS(Subscriptions!$I$5:$I$218,Subscriptions!$B$5:$B$218,A111)</f>
        <v>495000</v>
      </c>
      <c r="J111" s="17">
        <f>SUMIFS(Subscriptions!$J$5:$J$218,Subscriptions!$B$5:$B$218,A111)</f>
        <v>495000</v>
      </c>
      <c r="K111" s="17">
        <f>SUMIFS(Sales_Ledger!$J$5:$J$863,Sales_Ledger!$H$5:$H$863,$A111,Sales_Ledger!$D$5:$D$863,2023)</f>
        <v>0</v>
      </c>
      <c r="L111" s="17">
        <f>SUMIFS(Sales_Ledger!$J$5:$J$863,Sales_Ledger!$H$5:$H$863,$A111,Sales_Ledger!$D$5:$D$863,2024)</f>
        <v>0</v>
      </c>
      <c r="M111" s="17">
        <f>SUMIFS(Sales_Ledger!$J$5:$J$863,Sales_Ledger!$H$5:$H$863,$A111,Sales_Ledger!$D$5:$D$863,2025)</f>
        <v>0</v>
      </c>
      <c r="N111" s="17">
        <f t="shared" si="2"/>
        <v>0</v>
      </c>
      <c r="O111" s="15" t="s">
        <v>3184</v>
      </c>
      <c r="P111" s="15" t="s">
        <v>2502</v>
      </c>
      <c r="Q111" s="15" t="s">
        <v>2835</v>
      </c>
      <c r="R111" s="15" t="str">
        <f t="shared" si="3"/>
        <v/>
      </c>
    </row>
    <row r="112" spans="1:18" x14ac:dyDescent="0.35">
      <c r="A112" s="15" t="s">
        <v>1112</v>
      </c>
      <c r="B112" s="15" t="s">
        <v>1113</v>
      </c>
      <c r="C112" s="15"/>
      <c r="D112" s="15"/>
      <c r="E112" s="15" t="s">
        <v>46</v>
      </c>
      <c r="F112" s="15" t="s">
        <v>34</v>
      </c>
      <c r="G112" s="16"/>
      <c r="H112" s="16">
        <f>IF(COUNTIF(Sales_Ledger!$H$5:$H$863,A112)=0,"",_xlfn.MINIFS(Sales_Ledger!$B$5:$B$863,Sales_Ledger!$H$5:$H$863,A112))</f>
        <v>45482</v>
      </c>
      <c r="I112" s="17">
        <f>SUMIFS(Subscriptions!$I$5:$I$218,Subscriptions!$B$5:$B$218,A112)</f>
        <v>0</v>
      </c>
      <c r="J112" s="17">
        <f>SUMIFS(Subscriptions!$J$5:$J$218,Subscriptions!$B$5:$B$218,A112)</f>
        <v>0</v>
      </c>
      <c r="K112" s="17">
        <f>SUMIFS(Sales_Ledger!$J$5:$J$863,Sales_Ledger!$H$5:$H$863,$A112,Sales_Ledger!$D$5:$D$863,2023)</f>
        <v>0</v>
      </c>
      <c r="L112" s="17">
        <f>SUMIFS(Sales_Ledger!$J$5:$J$863,Sales_Ledger!$H$5:$H$863,$A112,Sales_Ledger!$D$5:$D$863,2024)</f>
        <v>350000</v>
      </c>
      <c r="M112" s="17">
        <f>SUMIFS(Sales_Ledger!$J$5:$J$863,Sales_Ledger!$H$5:$H$863,$A112,Sales_Ledger!$D$5:$D$863,2025)</f>
        <v>0</v>
      </c>
      <c r="N112" s="17">
        <f t="shared" si="2"/>
        <v>350000</v>
      </c>
      <c r="O112" s="15" t="s">
        <v>3253</v>
      </c>
      <c r="P112" s="15"/>
      <c r="Q112" s="15"/>
      <c r="R112" s="15" t="str">
        <f t="shared" si="3"/>
        <v>Not in client register: contract value unknown</v>
      </c>
    </row>
    <row r="113" spans="1:18" x14ac:dyDescent="0.35">
      <c r="A113" s="15" t="s">
        <v>1142</v>
      </c>
      <c r="B113" s="15" t="s">
        <v>1143</v>
      </c>
      <c r="C113" s="15" t="s">
        <v>3369</v>
      </c>
      <c r="D113" s="15" t="s">
        <v>3370</v>
      </c>
      <c r="E113" s="15" t="s">
        <v>46</v>
      </c>
      <c r="F113" s="15" t="s">
        <v>32</v>
      </c>
      <c r="G113" s="16">
        <v>45492</v>
      </c>
      <c r="H113" s="16">
        <f>IF(COUNTIF(Sales_Ledger!$H$5:$H$863,A113)=0,"",_xlfn.MINIFS(Sales_Ledger!$B$5:$B$863,Sales_Ledger!$H$5:$H$863,A113))</f>
        <v>45492</v>
      </c>
      <c r="I113" s="17">
        <f>SUMIFS(Subscriptions!$I$5:$I$218,Subscriptions!$B$5:$B$218,A113)</f>
        <v>2400000</v>
      </c>
      <c r="J113" s="17">
        <f>SUMIFS(Subscriptions!$J$5:$J$218,Subscriptions!$B$5:$B$218,A113)</f>
        <v>300000</v>
      </c>
      <c r="K113" s="17">
        <f>SUMIFS(Sales_Ledger!$J$5:$J$863,Sales_Ledger!$H$5:$H$863,$A113,Sales_Ledger!$D$5:$D$863,2023)</f>
        <v>0</v>
      </c>
      <c r="L113" s="17">
        <f>SUMIFS(Sales_Ledger!$J$5:$J$863,Sales_Ledger!$H$5:$H$863,$A113,Sales_Ledger!$D$5:$D$863,2024)</f>
        <v>300000</v>
      </c>
      <c r="M113" s="17">
        <f>SUMIFS(Sales_Ledger!$J$5:$J$863,Sales_Ledger!$H$5:$H$863,$A113,Sales_Ledger!$D$5:$D$863,2025)</f>
        <v>0</v>
      </c>
      <c r="N113" s="17">
        <f t="shared" si="2"/>
        <v>300000</v>
      </c>
      <c r="O113" s="15" t="s">
        <v>3190</v>
      </c>
      <c r="P113" s="15" t="s">
        <v>2601</v>
      </c>
      <c r="Q113" s="15" t="s">
        <v>1800</v>
      </c>
      <c r="R113" s="15" t="str">
        <f t="shared" si="3"/>
        <v/>
      </c>
    </row>
    <row r="114" spans="1:18" x14ac:dyDescent="0.35">
      <c r="A114" s="15" t="s">
        <v>1147</v>
      </c>
      <c r="B114" s="15" t="s">
        <v>1148</v>
      </c>
      <c r="C114" s="15" t="s">
        <v>3371</v>
      </c>
      <c r="D114" s="15" t="s">
        <v>3372</v>
      </c>
      <c r="E114" s="15" t="s">
        <v>46</v>
      </c>
      <c r="F114" s="15" t="s">
        <v>3218</v>
      </c>
      <c r="G114" s="16">
        <v>45496</v>
      </c>
      <c r="H114" s="16">
        <f>IF(COUNTIF(Sales_Ledger!$H$5:$H$863,A114)=0,"",_xlfn.MINIFS(Sales_Ledger!$B$5:$B$863,Sales_Ledger!$H$5:$H$863,A114))</f>
        <v>45496</v>
      </c>
      <c r="I114" s="17">
        <f>SUMIFS(Subscriptions!$I$5:$I$218,Subscriptions!$B$5:$B$218,A114)</f>
        <v>3800000</v>
      </c>
      <c r="J114" s="17">
        <f>SUMIFS(Subscriptions!$J$5:$J$218,Subscriptions!$B$5:$B$218,A114)</f>
        <v>3800000</v>
      </c>
      <c r="K114" s="17">
        <f>SUMIFS(Sales_Ledger!$J$5:$J$863,Sales_Ledger!$H$5:$H$863,$A114,Sales_Ledger!$D$5:$D$863,2023)</f>
        <v>0</v>
      </c>
      <c r="L114" s="17">
        <f>SUMIFS(Sales_Ledger!$J$5:$J$863,Sales_Ledger!$H$5:$H$863,$A114,Sales_Ledger!$D$5:$D$863,2024)</f>
        <v>7735000</v>
      </c>
      <c r="M114" s="17">
        <f>SUMIFS(Sales_Ledger!$J$5:$J$863,Sales_Ledger!$H$5:$H$863,$A114,Sales_Ledger!$D$5:$D$863,2025)</f>
        <v>0</v>
      </c>
      <c r="N114" s="17">
        <f t="shared" si="2"/>
        <v>7735000</v>
      </c>
      <c r="O114" s="15" t="s">
        <v>3190</v>
      </c>
      <c r="P114" s="15" t="s">
        <v>2502</v>
      </c>
      <c r="Q114" s="15" t="s">
        <v>2843</v>
      </c>
      <c r="R114" s="15" t="str">
        <f t="shared" si="3"/>
        <v>Receipts exceed register contract value: check for duplicate entries, extra plots or ancillary fees</v>
      </c>
    </row>
    <row r="115" spans="1:18" x14ac:dyDescent="0.35">
      <c r="A115" s="15" t="s">
        <v>1179</v>
      </c>
      <c r="B115" s="15" t="s">
        <v>1180</v>
      </c>
      <c r="C115" s="15" t="s">
        <v>3373</v>
      </c>
      <c r="D115" s="15" t="s">
        <v>3374</v>
      </c>
      <c r="E115" s="15" t="s">
        <v>46</v>
      </c>
      <c r="F115" s="15" t="s">
        <v>3375</v>
      </c>
      <c r="G115" s="16">
        <v>45506</v>
      </c>
      <c r="H115" s="16">
        <f>IF(COUNTIF(Sales_Ledger!$H$5:$H$863,A115)=0,"",_xlfn.MINIFS(Sales_Ledger!$B$5:$B$863,Sales_Ledger!$H$5:$H$863,A115))</f>
        <v>45506</v>
      </c>
      <c r="I115" s="17">
        <f>SUMIFS(Subscriptions!$I$5:$I$218,Subscriptions!$B$5:$B$218,A115)</f>
        <v>1860000</v>
      </c>
      <c r="J115" s="17">
        <f>SUMIFS(Subscriptions!$J$5:$J$218,Subscriptions!$B$5:$B$218,A115)</f>
        <v>1860000</v>
      </c>
      <c r="K115" s="17">
        <f>SUMIFS(Sales_Ledger!$J$5:$J$863,Sales_Ledger!$H$5:$H$863,$A115,Sales_Ledger!$D$5:$D$863,2023)</f>
        <v>0</v>
      </c>
      <c r="L115" s="17">
        <f>SUMIFS(Sales_Ledger!$J$5:$J$863,Sales_Ledger!$H$5:$H$863,$A115,Sales_Ledger!$D$5:$D$863,2024)</f>
        <v>1995000</v>
      </c>
      <c r="M115" s="17">
        <f>SUMIFS(Sales_Ledger!$J$5:$J$863,Sales_Ledger!$H$5:$H$863,$A115,Sales_Ledger!$D$5:$D$863,2025)</f>
        <v>0</v>
      </c>
      <c r="N115" s="17">
        <f t="shared" si="2"/>
        <v>1995000</v>
      </c>
      <c r="O115" s="15" t="s">
        <v>3190</v>
      </c>
      <c r="P115" s="15" t="s">
        <v>2502</v>
      </c>
      <c r="Q115" s="15" t="s">
        <v>2816</v>
      </c>
      <c r="R115" s="15" t="str">
        <f t="shared" si="3"/>
        <v>Receipts exceed register contract value: check for duplicate entries, extra plots or ancillary fees</v>
      </c>
    </row>
    <row r="116" spans="1:18" x14ac:dyDescent="0.35">
      <c r="A116" s="15" t="s">
        <v>1204</v>
      </c>
      <c r="B116" s="15" t="s">
        <v>1205</v>
      </c>
      <c r="C116" s="15" t="s">
        <v>3376</v>
      </c>
      <c r="D116" s="15" t="s">
        <v>3186</v>
      </c>
      <c r="E116" s="15" t="s">
        <v>47</v>
      </c>
      <c r="F116" s="15" t="s">
        <v>3268</v>
      </c>
      <c r="G116" s="16">
        <v>45512</v>
      </c>
      <c r="H116" s="16">
        <f>IF(COUNTIF(Sales_Ledger!$H$5:$H$863,A116)=0,"",_xlfn.MINIFS(Sales_Ledger!$B$5:$B$863,Sales_Ledger!$H$5:$H$863,A116))</f>
        <v>45512</v>
      </c>
      <c r="I116" s="17">
        <f>SUMIFS(Subscriptions!$I$5:$I$218,Subscriptions!$B$5:$B$218,A116)</f>
        <v>55000000</v>
      </c>
      <c r="J116" s="17">
        <f>SUMIFS(Subscriptions!$J$5:$J$218,Subscriptions!$B$5:$B$218,A116)</f>
        <v>0</v>
      </c>
      <c r="K116" s="17">
        <f>SUMIFS(Sales_Ledger!$J$5:$J$863,Sales_Ledger!$H$5:$H$863,$A116,Sales_Ledger!$D$5:$D$863,2023)</f>
        <v>0</v>
      </c>
      <c r="L116" s="17">
        <f>SUMIFS(Sales_Ledger!$J$5:$J$863,Sales_Ledger!$H$5:$H$863,$A116,Sales_Ledger!$D$5:$D$863,2024)</f>
        <v>55000000</v>
      </c>
      <c r="M116" s="17">
        <f>SUMIFS(Sales_Ledger!$J$5:$J$863,Sales_Ledger!$H$5:$H$863,$A116,Sales_Ledger!$D$5:$D$863,2025)</f>
        <v>0</v>
      </c>
      <c r="N116" s="17">
        <f t="shared" si="2"/>
        <v>55000000</v>
      </c>
      <c r="O116" s="15" t="s">
        <v>3190</v>
      </c>
      <c r="P116" s="15" t="s">
        <v>2465</v>
      </c>
      <c r="Q116" s="15" t="s">
        <v>2739</v>
      </c>
      <c r="R116" s="15" t="str">
        <f t="shared" si="3"/>
        <v/>
      </c>
    </row>
    <row r="117" spans="1:18" x14ac:dyDescent="0.35">
      <c r="A117" s="15" t="s">
        <v>1220</v>
      </c>
      <c r="B117" s="15" t="s">
        <v>1221</v>
      </c>
      <c r="C117" s="15" t="s">
        <v>3377</v>
      </c>
      <c r="D117" s="15" t="s">
        <v>3378</v>
      </c>
      <c r="E117" s="15" t="s">
        <v>46</v>
      </c>
      <c r="F117" s="15" t="s">
        <v>32</v>
      </c>
      <c r="G117" s="16">
        <v>45516</v>
      </c>
      <c r="H117" s="16">
        <f>IF(COUNTIF(Sales_Ledger!$H$5:$H$863,A117)=0,"",_xlfn.MINIFS(Sales_Ledger!$B$5:$B$863,Sales_Ledger!$H$5:$H$863,A117))</f>
        <v>45516</v>
      </c>
      <c r="I117" s="17">
        <f>SUMIFS(Subscriptions!$I$5:$I$218,Subscriptions!$B$5:$B$218,A117)</f>
        <v>3800000</v>
      </c>
      <c r="J117" s="17">
        <f>SUMIFS(Subscriptions!$J$5:$J$218,Subscriptions!$B$5:$B$218,A117)</f>
        <v>500000</v>
      </c>
      <c r="K117" s="17">
        <f>SUMIFS(Sales_Ledger!$J$5:$J$863,Sales_Ledger!$H$5:$H$863,$A117,Sales_Ledger!$D$5:$D$863,2023)</f>
        <v>0</v>
      </c>
      <c r="L117" s="17">
        <f>SUMIFS(Sales_Ledger!$J$5:$J$863,Sales_Ledger!$H$5:$H$863,$A117,Sales_Ledger!$D$5:$D$863,2024)</f>
        <v>500000</v>
      </c>
      <c r="M117" s="17">
        <f>SUMIFS(Sales_Ledger!$J$5:$J$863,Sales_Ledger!$H$5:$H$863,$A117,Sales_Ledger!$D$5:$D$863,2025)</f>
        <v>0</v>
      </c>
      <c r="N117" s="17">
        <f t="shared" si="2"/>
        <v>500000</v>
      </c>
      <c r="O117" s="15" t="s">
        <v>3190</v>
      </c>
      <c r="P117" s="15" t="s">
        <v>2601</v>
      </c>
      <c r="Q117" s="15" t="s">
        <v>2596</v>
      </c>
      <c r="R117" s="15" t="str">
        <f t="shared" si="3"/>
        <v/>
      </c>
    </row>
    <row r="118" spans="1:18" x14ac:dyDescent="0.35">
      <c r="A118" s="15" t="s">
        <v>1231</v>
      </c>
      <c r="B118" s="15" t="s">
        <v>1232</v>
      </c>
      <c r="C118" s="15" t="s">
        <v>3379</v>
      </c>
      <c r="D118" s="15" t="s">
        <v>3380</v>
      </c>
      <c r="E118" s="15" t="s">
        <v>46</v>
      </c>
      <c r="F118" s="15" t="s">
        <v>3218</v>
      </c>
      <c r="G118" s="16">
        <v>45520</v>
      </c>
      <c r="H118" s="16">
        <f>IF(COUNTIF(Sales_Ledger!$H$5:$H$863,A118)=0,"",_xlfn.MINIFS(Sales_Ledger!$B$5:$B$863,Sales_Ledger!$H$5:$H$863,A118))</f>
        <v>45520</v>
      </c>
      <c r="I118" s="17">
        <f>SUMIFS(Subscriptions!$I$5:$I$218,Subscriptions!$B$5:$B$218,A118)</f>
        <v>3800000</v>
      </c>
      <c r="J118" s="17">
        <f>SUMIFS(Subscriptions!$J$5:$J$218,Subscriptions!$B$5:$B$218,A118)</f>
        <v>3800000</v>
      </c>
      <c r="K118" s="17">
        <f>SUMIFS(Sales_Ledger!$J$5:$J$863,Sales_Ledger!$H$5:$H$863,$A118,Sales_Ledger!$D$5:$D$863,2023)</f>
        <v>0</v>
      </c>
      <c r="L118" s="17">
        <f>SUMIFS(Sales_Ledger!$J$5:$J$863,Sales_Ledger!$H$5:$H$863,$A118,Sales_Ledger!$D$5:$D$863,2024)</f>
        <v>4402000</v>
      </c>
      <c r="M118" s="17">
        <f>SUMIFS(Sales_Ledger!$J$5:$J$863,Sales_Ledger!$H$5:$H$863,$A118,Sales_Ledger!$D$5:$D$863,2025)</f>
        <v>0</v>
      </c>
      <c r="N118" s="17">
        <f t="shared" si="2"/>
        <v>4402000</v>
      </c>
      <c r="O118" s="15" t="s">
        <v>3190</v>
      </c>
      <c r="P118" s="15" t="s">
        <v>2502</v>
      </c>
      <c r="Q118" s="15" t="s">
        <v>2722</v>
      </c>
      <c r="R118" s="15" t="str">
        <f t="shared" si="3"/>
        <v>Receipts exceed register contract value: check for duplicate entries, extra plots or ancillary fees</v>
      </c>
    </row>
    <row r="119" spans="1:18" x14ac:dyDescent="0.35">
      <c r="A119" s="15" t="s">
        <v>1236</v>
      </c>
      <c r="B119" s="15" t="s">
        <v>2864</v>
      </c>
      <c r="C119" s="15" t="s">
        <v>3381</v>
      </c>
      <c r="D119" s="15" t="s">
        <v>3382</v>
      </c>
      <c r="E119" s="15" t="s">
        <v>46</v>
      </c>
      <c r="F119" s="15" t="s">
        <v>3375</v>
      </c>
      <c r="G119" s="16">
        <v>45521</v>
      </c>
      <c r="H119" s="16">
        <f>IF(COUNTIF(Sales_Ledger!$H$5:$H$863,A119)=0,"",_xlfn.MINIFS(Sales_Ledger!$B$5:$B$863,Sales_Ledger!$H$5:$H$863,A119))</f>
        <v>45521</v>
      </c>
      <c r="I119" s="17">
        <f>SUMIFS(Subscriptions!$I$5:$I$218,Subscriptions!$B$5:$B$218,A119)</f>
        <v>3800000</v>
      </c>
      <c r="J119" s="17">
        <f>SUMIFS(Subscriptions!$J$5:$J$218,Subscriptions!$B$5:$B$218,A119)</f>
        <v>3800000</v>
      </c>
      <c r="K119" s="17">
        <f>SUMIFS(Sales_Ledger!$J$5:$J$863,Sales_Ledger!$H$5:$H$863,$A119,Sales_Ledger!$D$5:$D$863,2023)</f>
        <v>0</v>
      </c>
      <c r="L119" s="17">
        <f>SUMIFS(Sales_Ledger!$J$5:$J$863,Sales_Ledger!$H$5:$H$863,$A119,Sales_Ledger!$D$5:$D$863,2024)</f>
        <v>3935000</v>
      </c>
      <c r="M119" s="17">
        <f>SUMIFS(Sales_Ledger!$J$5:$J$863,Sales_Ledger!$H$5:$H$863,$A119,Sales_Ledger!$D$5:$D$863,2025)</f>
        <v>0</v>
      </c>
      <c r="N119" s="17">
        <f t="shared" si="2"/>
        <v>3935000</v>
      </c>
      <c r="O119" s="15" t="s">
        <v>3190</v>
      </c>
      <c r="P119" s="15" t="s">
        <v>2502</v>
      </c>
      <c r="Q119" s="15" t="s">
        <v>2590</v>
      </c>
      <c r="R119" s="15" t="str">
        <f t="shared" si="3"/>
        <v>Receipts exceed register contract value: check for duplicate entries, extra plots or ancillary fees</v>
      </c>
    </row>
    <row r="120" spans="1:18" x14ac:dyDescent="0.35">
      <c r="A120" s="15" t="s">
        <v>1241</v>
      </c>
      <c r="B120" s="15" t="s">
        <v>1242</v>
      </c>
      <c r="C120" s="15" t="s">
        <v>3383</v>
      </c>
      <c r="D120" s="15" t="s">
        <v>3384</v>
      </c>
      <c r="E120" s="15" t="s">
        <v>46</v>
      </c>
      <c r="F120" s="15" t="s">
        <v>3375</v>
      </c>
      <c r="G120" s="16">
        <v>45522</v>
      </c>
      <c r="H120" s="16">
        <f>IF(COUNTIF(Sales_Ledger!$H$5:$H$863,A120)=0,"",_xlfn.MINIFS(Sales_Ledger!$B$5:$B$863,Sales_Ledger!$H$5:$H$863,A120))</f>
        <v>45522</v>
      </c>
      <c r="I120" s="17">
        <f>SUMIFS(Subscriptions!$I$5:$I$218,Subscriptions!$B$5:$B$218,A120)</f>
        <v>3800000</v>
      </c>
      <c r="J120" s="17">
        <f>SUMIFS(Subscriptions!$J$5:$J$218,Subscriptions!$B$5:$B$218,A120)</f>
        <v>3800000</v>
      </c>
      <c r="K120" s="17">
        <f>SUMIFS(Sales_Ledger!$J$5:$J$863,Sales_Ledger!$H$5:$H$863,$A120,Sales_Ledger!$D$5:$D$863,2023)</f>
        <v>0</v>
      </c>
      <c r="L120" s="17">
        <f>SUMIFS(Sales_Ledger!$J$5:$J$863,Sales_Ledger!$H$5:$H$863,$A120,Sales_Ledger!$D$5:$D$863,2024)</f>
        <v>3935000</v>
      </c>
      <c r="M120" s="17">
        <f>SUMIFS(Sales_Ledger!$J$5:$J$863,Sales_Ledger!$H$5:$H$863,$A120,Sales_Ledger!$D$5:$D$863,2025)</f>
        <v>0</v>
      </c>
      <c r="N120" s="17">
        <f t="shared" si="2"/>
        <v>3935000</v>
      </c>
      <c r="O120" s="15" t="s">
        <v>3190</v>
      </c>
      <c r="P120" s="15" t="s">
        <v>2502</v>
      </c>
      <c r="Q120" s="15" t="s">
        <v>2722</v>
      </c>
      <c r="R120" s="15" t="str">
        <f t="shared" si="3"/>
        <v>Receipts exceed register contract value: check for duplicate entries, extra plots or ancillary fees</v>
      </c>
    </row>
    <row r="121" spans="1:18" x14ac:dyDescent="0.35">
      <c r="A121" s="15" t="s">
        <v>1258</v>
      </c>
      <c r="B121" s="15" t="s">
        <v>1259</v>
      </c>
      <c r="C121" s="15"/>
      <c r="D121" s="15"/>
      <c r="E121" s="15" t="s">
        <v>46</v>
      </c>
      <c r="F121" s="15" t="s">
        <v>32</v>
      </c>
      <c r="G121" s="16"/>
      <c r="H121" s="16">
        <f>IF(COUNTIF(Sales_Ledger!$H$5:$H$863,A121)=0,"",_xlfn.MINIFS(Sales_Ledger!$B$5:$B$863,Sales_Ledger!$H$5:$H$863,A121))</f>
        <v>45527</v>
      </c>
      <c r="I121" s="17">
        <f>SUMIFS(Subscriptions!$I$5:$I$218,Subscriptions!$B$5:$B$218,A121)</f>
        <v>0</v>
      </c>
      <c r="J121" s="17">
        <f>SUMIFS(Subscriptions!$J$5:$J$218,Subscriptions!$B$5:$B$218,A121)</f>
        <v>0</v>
      </c>
      <c r="K121" s="17">
        <f>SUMIFS(Sales_Ledger!$J$5:$J$863,Sales_Ledger!$H$5:$H$863,$A121,Sales_Ledger!$D$5:$D$863,2023)</f>
        <v>0</v>
      </c>
      <c r="L121" s="17">
        <f>SUMIFS(Sales_Ledger!$J$5:$J$863,Sales_Ledger!$H$5:$H$863,$A121,Sales_Ledger!$D$5:$D$863,2024)</f>
        <v>2000000</v>
      </c>
      <c r="M121" s="17">
        <f>SUMIFS(Sales_Ledger!$J$5:$J$863,Sales_Ledger!$H$5:$H$863,$A121,Sales_Ledger!$D$5:$D$863,2025)</f>
        <v>0</v>
      </c>
      <c r="N121" s="17">
        <f t="shared" si="2"/>
        <v>2000000</v>
      </c>
      <c r="O121" s="15" t="s">
        <v>3253</v>
      </c>
      <c r="P121" s="15"/>
      <c r="Q121" s="15"/>
      <c r="R121" s="15" t="str">
        <f t="shared" si="3"/>
        <v>Not in client register: contract value unknown</v>
      </c>
    </row>
    <row r="122" spans="1:18" x14ac:dyDescent="0.35">
      <c r="A122" s="15" t="s">
        <v>1360</v>
      </c>
      <c r="B122" s="15" t="s">
        <v>2871</v>
      </c>
      <c r="C122" s="15" t="s">
        <v>3385</v>
      </c>
      <c r="D122" s="15" t="s">
        <v>3386</v>
      </c>
      <c r="E122" s="15" t="s">
        <v>46</v>
      </c>
      <c r="F122" s="15" t="s">
        <v>3387</v>
      </c>
      <c r="G122" s="16">
        <v>45527</v>
      </c>
      <c r="H122" s="16">
        <f>IF(COUNTIF(Sales_Ledger!$H$5:$H$863,A122)=0,"",_xlfn.MINIFS(Sales_Ledger!$B$5:$B$863,Sales_Ledger!$H$5:$H$863,A122))</f>
        <v>45560</v>
      </c>
      <c r="I122" s="17">
        <f>SUMIFS(Subscriptions!$I$5:$I$218,Subscriptions!$B$5:$B$218,A122)</f>
        <v>3800000</v>
      </c>
      <c r="J122" s="17">
        <f>SUMIFS(Subscriptions!$J$5:$J$218,Subscriptions!$B$5:$B$218,A122)</f>
        <v>3800000</v>
      </c>
      <c r="K122" s="17">
        <f>SUMIFS(Sales_Ledger!$J$5:$J$863,Sales_Ledger!$H$5:$H$863,$A122,Sales_Ledger!$D$5:$D$863,2023)</f>
        <v>0</v>
      </c>
      <c r="L122" s="17">
        <f>SUMIFS(Sales_Ledger!$J$5:$J$863,Sales_Ledger!$H$5:$H$863,$A122,Sales_Ledger!$D$5:$D$863,2024)</f>
        <v>1800000</v>
      </c>
      <c r="M122" s="17">
        <f>SUMIFS(Sales_Ledger!$J$5:$J$863,Sales_Ledger!$H$5:$H$863,$A122,Sales_Ledger!$D$5:$D$863,2025)</f>
        <v>0</v>
      </c>
      <c r="N122" s="17">
        <f t="shared" si="2"/>
        <v>1800000</v>
      </c>
      <c r="O122" s="15" t="s">
        <v>3190</v>
      </c>
      <c r="P122" s="15" t="s">
        <v>2502</v>
      </c>
      <c r="Q122" s="15" t="s">
        <v>2816</v>
      </c>
      <c r="R122" s="15" t="str">
        <f t="shared" si="3"/>
        <v/>
      </c>
    </row>
    <row r="123" spans="1:18" x14ac:dyDescent="0.35">
      <c r="A123" s="15" t="s">
        <v>1272</v>
      </c>
      <c r="B123" s="15" t="s">
        <v>1273</v>
      </c>
      <c r="C123" s="15" t="s">
        <v>3388</v>
      </c>
      <c r="D123" s="15" t="s">
        <v>3389</v>
      </c>
      <c r="E123" s="15" t="s">
        <v>46</v>
      </c>
      <c r="F123" s="15" t="s">
        <v>3218</v>
      </c>
      <c r="G123" s="16">
        <v>45532</v>
      </c>
      <c r="H123" s="16">
        <f>IF(COUNTIF(Sales_Ledger!$H$5:$H$863,A123)=0,"",_xlfn.MINIFS(Sales_Ledger!$B$5:$B$863,Sales_Ledger!$H$5:$H$863,A123))</f>
        <v>45532</v>
      </c>
      <c r="I123" s="17">
        <f>SUMIFS(Subscriptions!$I$5:$I$218,Subscriptions!$B$5:$B$218,A123)</f>
        <v>5000000</v>
      </c>
      <c r="J123" s="17">
        <f>SUMIFS(Subscriptions!$J$5:$J$218,Subscriptions!$B$5:$B$218,A123)</f>
        <v>5000000</v>
      </c>
      <c r="K123" s="17">
        <f>SUMIFS(Sales_Ledger!$J$5:$J$863,Sales_Ledger!$H$5:$H$863,$A123,Sales_Ledger!$D$5:$D$863,2023)</f>
        <v>0</v>
      </c>
      <c r="L123" s="17">
        <f>SUMIFS(Sales_Ledger!$J$5:$J$863,Sales_Ledger!$H$5:$H$863,$A123,Sales_Ledger!$D$5:$D$863,2024)</f>
        <v>5135000</v>
      </c>
      <c r="M123" s="17">
        <f>SUMIFS(Sales_Ledger!$J$5:$J$863,Sales_Ledger!$H$5:$H$863,$A123,Sales_Ledger!$D$5:$D$863,2025)</f>
        <v>0</v>
      </c>
      <c r="N123" s="17">
        <f t="shared" si="2"/>
        <v>5135000</v>
      </c>
      <c r="O123" s="15" t="s">
        <v>3190</v>
      </c>
      <c r="P123" s="15" t="s">
        <v>2502</v>
      </c>
      <c r="Q123" s="15" t="s">
        <v>2874</v>
      </c>
      <c r="R123" s="15" t="str">
        <f t="shared" si="3"/>
        <v>Receipts exceed register contract value: check for duplicate entries, extra plots or ancillary fees</v>
      </c>
    </row>
    <row r="124" spans="1:18" x14ac:dyDescent="0.35">
      <c r="A124" s="15" t="s">
        <v>1297</v>
      </c>
      <c r="B124" s="15" t="s">
        <v>1298</v>
      </c>
      <c r="C124" s="15"/>
      <c r="D124" s="15"/>
      <c r="E124" s="15" t="s">
        <v>46</v>
      </c>
      <c r="F124" s="15" t="s">
        <v>3375</v>
      </c>
      <c r="G124" s="16"/>
      <c r="H124" s="16">
        <f>IF(COUNTIF(Sales_Ledger!$H$5:$H$863,A124)=0,"",_xlfn.MINIFS(Sales_Ledger!$B$5:$B$863,Sales_Ledger!$H$5:$H$863,A124))</f>
        <v>45538</v>
      </c>
      <c r="I124" s="17">
        <f>SUMIFS(Subscriptions!$I$5:$I$218,Subscriptions!$B$5:$B$218,A124)</f>
        <v>0</v>
      </c>
      <c r="J124" s="17">
        <f>SUMIFS(Subscriptions!$J$5:$J$218,Subscriptions!$B$5:$B$218,A124)</f>
        <v>0</v>
      </c>
      <c r="K124" s="17">
        <f>SUMIFS(Sales_Ledger!$J$5:$J$863,Sales_Ledger!$H$5:$H$863,$A124,Sales_Ledger!$D$5:$D$863,2023)</f>
        <v>0</v>
      </c>
      <c r="L124" s="17">
        <f>SUMIFS(Sales_Ledger!$J$5:$J$863,Sales_Ledger!$H$5:$H$863,$A124,Sales_Ledger!$D$5:$D$863,2024)</f>
        <v>4635000</v>
      </c>
      <c r="M124" s="17">
        <f>SUMIFS(Sales_Ledger!$J$5:$J$863,Sales_Ledger!$H$5:$H$863,$A124,Sales_Ledger!$D$5:$D$863,2025)</f>
        <v>0</v>
      </c>
      <c r="N124" s="17">
        <f t="shared" si="2"/>
        <v>4635000</v>
      </c>
      <c r="O124" s="15" t="s">
        <v>3253</v>
      </c>
      <c r="P124" s="15"/>
      <c r="Q124" s="15"/>
      <c r="R124" s="15" t="str">
        <f t="shared" si="3"/>
        <v>Not in client register: contract value unknown</v>
      </c>
    </row>
    <row r="125" spans="1:18" x14ac:dyDescent="0.35">
      <c r="A125" s="15" t="s">
        <v>1317</v>
      </c>
      <c r="B125" s="15" t="s">
        <v>1318</v>
      </c>
      <c r="C125" s="15" t="s">
        <v>3390</v>
      </c>
      <c r="D125" s="15" t="s">
        <v>3391</v>
      </c>
      <c r="E125" s="15" t="s">
        <v>46</v>
      </c>
      <c r="F125" s="15" t="s">
        <v>3375</v>
      </c>
      <c r="G125" s="16">
        <v>45544</v>
      </c>
      <c r="H125" s="16">
        <f>IF(COUNTIF(Sales_Ledger!$H$5:$H$863,A125)=0,"",_xlfn.MINIFS(Sales_Ledger!$B$5:$B$863,Sales_Ledger!$H$5:$H$863,A125))</f>
        <v>45543</v>
      </c>
      <c r="I125" s="17">
        <f>SUMIFS(Subscriptions!$I$5:$I$218,Subscriptions!$B$5:$B$218,A125)</f>
        <v>5000000</v>
      </c>
      <c r="J125" s="17">
        <f>SUMIFS(Subscriptions!$J$5:$J$218,Subscriptions!$B$5:$B$218,A125)</f>
        <v>5000000</v>
      </c>
      <c r="K125" s="17">
        <f>SUMIFS(Sales_Ledger!$J$5:$J$863,Sales_Ledger!$H$5:$H$863,$A125,Sales_Ledger!$D$5:$D$863,2023)</f>
        <v>0</v>
      </c>
      <c r="L125" s="17">
        <f>SUMIFS(Sales_Ledger!$J$5:$J$863,Sales_Ledger!$H$5:$H$863,$A125,Sales_Ledger!$D$5:$D$863,2024)</f>
        <v>5135000</v>
      </c>
      <c r="M125" s="17">
        <f>SUMIFS(Sales_Ledger!$J$5:$J$863,Sales_Ledger!$H$5:$H$863,$A125,Sales_Ledger!$D$5:$D$863,2025)</f>
        <v>0</v>
      </c>
      <c r="N125" s="17">
        <f t="shared" si="2"/>
        <v>5135000</v>
      </c>
      <c r="O125" s="15" t="s">
        <v>3190</v>
      </c>
      <c r="P125" s="15" t="s">
        <v>2502</v>
      </c>
      <c r="Q125" s="15" t="s">
        <v>2559</v>
      </c>
      <c r="R125" s="15" t="str">
        <f t="shared" si="3"/>
        <v>Receipts exceed register contract value: check for duplicate entries, extra plots or ancillary fees</v>
      </c>
    </row>
    <row r="126" spans="1:18" x14ac:dyDescent="0.35">
      <c r="A126" s="15" t="s">
        <v>2877</v>
      </c>
      <c r="B126" s="15" t="s">
        <v>2878</v>
      </c>
      <c r="C126" s="15" t="s">
        <v>3392</v>
      </c>
      <c r="D126" s="15" t="s">
        <v>3393</v>
      </c>
      <c r="E126" s="15" t="s">
        <v>46</v>
      </c>
      <c r="F126" s="15" t="s">
        <v>32</v>
      </c>
      <c r="G126" s="16">
        <v>45544</v>
      </c>
      <c r="H126" s="16" t="str">
        <f>IF(COUNTIF(Sales_Ledger!$H$5:$H$863,A126)=0,"",_xlfn.MINIFS(Sales_Ledger!$B$5:$B$863,Sales_Ledger!$H$5:$H$863,A126))</f>
        <v/>
      </c>
      <c r="I126" s="17">
        <f>SUMIFS(Subscriptions!$I$5:$I$218,Subscriptions!$B$5:$B$218,A126)</f>
        <v>4500000</v>
      </c>
      <c r="J126" s="17">
        <f>SUMIFS(Subscriptions!$J$5:$J$218,Subscriptions!$B$5:$B$218,A126)</f>
        <v>4500000</v>
      </c>
      <c r="K126" s="17">
        <f>SUMIFS(Sales_Ledger!$J$5:$J$863,Sales_Ledger!$H$5:$H$863,$A126,Sales_Ledger!$D$5:$D$863,2023)</f>
        <v>0</v>
      </c>
      <c r="L126" s="17">
        <f>SUMIFS(Sales_Ledger!$J$5:$J$863,Sales_Ledger!$H$5:$H$863,$A126,Sales_Ledger!$D$5:$D$863,2024)</f>
        <v>0</v>
      </c>
      <c r="M126" s="17">
        <f>SUMIFS(Sales_Ledger!$J$5:$J$863,Sales_Ledger!$H$5:$H$863,$A126,Sales_Ledger!$D$5:$D$863,2025)</f>
        <v>0</v>
      </c>
      <c r="N126" s="17">
        <f t="shared" si="2"/>
        <v>0</v>
      </c>
      <c r="O126" s="15" t="s">
        <v>3184</v>
      </c>
      <c r="P126" s="15" t="s">
        <v>2502</v>
      </c>
      <c r="Q126" s="15" t="s">
        <v>2559</v>
      </c>
      <c r="R126" s="15" t="str">
        <f t="shared" si="3"/>
        <v/>
      </c>
    </row>
    <row r="127" spans="1:18" x14ac:dyDescent="0.35">
      <c r="A127" s="15" t="s">
        <v>1331</v>
      </c>
      <c r="B127" s="15" t="s">
        <v>1332</v>
      </c>
      <c r="C127" s="15" t="s">
        <v>3394</v>
      </c>
      <c r="D127" s="15" t="s">
        <v>3395</v>
      </c>
      <c r="E127" s="15" t="s">
        <v>46</v>
      </c>
      <c r="F127" s="15" t="s">
        <v>32</v>
      </c>
      <c r="G127" s="16">
        <v>45548</v>
      </c>
      <c r="H127" s="16">
        <f>IF(COUNTIF(Sales_Ledger!$H$5:$H$863,A127)=0,"",_xlfn.MINIFS(Sales_Ledger!$B$5:$B$863,Sales_Ledger!$H$5:$H$863,A127))</f>
        <v>45548</v>
      </c>
      <c r="I127" s="17">
        <f>SUMIFS(Subscriptions!$I$5:$I$218,Subscriptions!$B$5:$B$218,A127)</f>
        <v>2600000</v>
      </c>
      <c r="J127" s="17">
        <f>SUMIFS(Subscriptions!$J$5:$J$218,Subscriptions!$B$5:$B$218,A127)</f>
        <v>2600000</v>
      </c>
      <c r="K127" s="17">
        <f>SUMIFS(Sales_Ledger!$J$5:$J$863,Sales_Ledger!$H$5:$H$863,$A127,Sales_Ledger!$D$5:$D$863,2023)</f>
        <v>0</v>
      </c>
      <c r="L127" s="17">
        <f>SUMIFS(Sales_Ledger!$J$5:$J$863,Sales_Ledger!$H$5:$H$863,$A127,Sales_Ledger!$D$5:$D$863,2024)</f>
        <v>2600000</v>
      </c>
      <c r="M127" s="17">
        <f>SUMIFS(Sales_Ledger!$J$5:$J$863,Sales_Ledger!$H$5:$H$863,$A127,Sales_Ledger!$D$5:$D$863,2025)</f>
        <v>0</v>
      </c>
      <c r="N127" s="17">
        <f t="shared" si="2"/>
        <v>2600000</v>
      </c>
      <c r="O127" s="15" t="s">
        <v>3190</v>
      </c>
      <c r="P127" s="15" t="s">
        <v>2502</v>
      </c>
      <c r="Q127" s="15" t="s">
        <v>2880</v>
      </c>
      <c r="R127" s="15" t="str">
        <f t="shared" si="3"/>
        <v/>
      </c>
    </row>
    <row r="128" spans="1:18" x14ac:dyDescent="0.35">
      <c r="A128" s="15" t="s">
        <v>1341</v>
      </c>
      <c r="B128" s="15" t="s">
        <v>1342</v>
      </c>
      <c r="C128" s="15" t="s">
        <v>3396</v>
      </c>
      <c r="D128" s="15" t="s">
        <v>3397</v>
      </c>
      <c r="E128" s="15" t="s">
        <v>46</v>
      </c>
      <c r="F128" s="15" t="s">
        <v>3398</v>
      </c>
      <c r="G128" s="16">
        <v>45883</v>
      </c>
      <c r="H128" s="16">
        <f>IF(COUNTIF(Sales_Ledger!$H$5:$H$863,A128)=0,"",_xlfn.MINIFS(Sales_Ledger!$B$5:$B$863,Sales_Ledger!$H$5:$H$863,A128))</f>
        <v>45552</v>
      </c>
      <c r="I128" s="17">
        <f>SUMIFS(Subscriptions!$I$5:$I$218,Subscriptions!$B$5:$B$218,A128)</f>
        <v>2500000</v>
      </c>
      <c r="J128" s="17">
        <f>SUMIFS(Subscriptions!$J$5:$J$218,Subscriptions!$B$5:$B$218,A128)</f>
        <v>2500000</v>
      </c>
      <c r="K128" s="17">
        <f>SUMIFS(Sales_Ledger!$J$5:$J$863,Sales_Ledger!$H$5:$H$863,$A128,Sales_Ledger!$D$5:$D$863,2023)</f>
        <v>0</v>
      </c>
      <c r="L128" s="17">
        <f>SUMIFS(Sales_Ledger!$J$5:$J$863,Sales_Ledger!$H$5:$H$863,$A128,Sales_Ledger!$D$5:$D$863,2024)</f>
        <v>200000</v>
      </c>
      <c r="M128" s="17">
        <f>SUMIFS(Sales_Ledger!$J$5:$J$863,Sales_Ledger!$H$5:$H$863,$A128,Sales_Ledger!$D$5:$D$863,2025)</f>
        <v>2000000</v>
      </c>
      <c r="N128" s="17">
        <f t="shared" si="2"/>
        <v>2200000</v>
      </c>
      <c r="O128" s="15" t="s">
        <v>3190</v>
      </c>
      <c r="P128" s="15" t="s">
        <v>2502</v>
      </c>
      <c r="Q128" s="15" t="s">
        <v>3111</v>
      </c>
      <c r="R128" s="15" t="str">
        <f t="shared" si="3"/>
        <v/>
      </c>
    </row>
    <row r="129" spans="1:18" x14ac:dyDescent="0.35">
      <c r="A129" s="15" t="s">
        <v>1346</v>
      </c>
      <c r="B129" s="15" t="s">
        <v>2882</v>
      </c>
      <c r="C129" s="15" t="s">
        <v>3399</v>
      </c>
      <c r="D129" s="15" t="s">
        <v>3400</v>
      </c>
      <c r="E129" s="15" t="s">
        <v>46</v>
      </c>
      <c r="F129" s="15" t="s">
        <v>3364</v>
      </c>
      <c r="G129" s="16">
        <v>45552</v>
      </c>
      <c r="H129" s="16">
        <f>IF(COUNTIF(Sales_Ledger!$H$5:$H$863,A129)=0,"",_xlfn.MINIFS(Sales_Ledger!$B$5:$B$863,Sales_Ledger!$H$5:$H$863,A129))</f>
        <v>45552</v>
      </c>
      <c r="I129" s="17">
        <f>SUMIFS(Subscriptions!$I$5:$I$218,Subscriptions!$B$5:$B$218,A129)</f>
        <v>12800000</v>
      </c>
      <c r="J129" s="17">
        <f>SUMIFS(Subscriptions!$J$5:$J$218,Subscriptions!$B$5:$B$218,A129)</f>
        <v>12800000</v>
      </c>
      <c r="K129" s="17">
        <f>SUMIFS(Sales_Ledger!$J$5:$J$863,Sales_Ledger!$H$5:$H$863,$A129,Sales_Ledger!$D$5:$D$863,2023)</f>
        <v>0</v>
      </c>
      <c r="L129" s="17">
        <f>SUMIFS(Sales_Ledger!$J$5:$J$863,Sales_Ledger!$H$5:$H$863,$A129,Sales_Ledger!$D$5:$D$863,2024)</f>
        <v>12800000</v>
      </c>
      <c r="M129" s="17">
        <f>SUMIFS(Sales_Ledger!$J$5:$J$863,Sales_Ledger!$H$5:$H$863,$A129,Sales_Ledger!$D$5:$D$863,2025)</f>
        <v>0</v>
      </c>
      <c r="N129" s="17">
        <f t="shared" si="2"/>
        <v>12800000</v>
      </c>
      <c r="O129" s="15" t="s">
        <v>3190</v>
      </c>
      <c r="P129" s="15" t="s">
        <v>2502</v>
      </c>
      <c r="Q129" s="15" t="s">
        <v>2748</v>
      </c>
      <c r="R129" s="15" t="str">
        <f t="shared" si="3"/>
        <v/>
      </c>
    </row>
    <row r="130" spans="1:18" x14ac:dyDescent="0.35">
      <c r="A130" s="15" t="s">
        <v>1365</v>
      </c>
      <c r="B130" s="15" t="s">
        <v>1366</v>
      </c>
      <c r="C130" s="15" t="s">
        <v>3401</v>
      </c>
      <c r="D130" s="15" t="s">
        <v>3402</v>
      </c>
      <c r="E130" s="15" t="s">
        <v>46</v>
      </c>
      <c r="F130" s="15" t="s">
        <v>3364</v>
      </c>
      <c r="G130" s="16">
        <v>45561</v>
      </c>
      <c r="H130" s="16">
        <f>IF(COUNTIF(Sales_Ledger!$H$5:$H$863,A130)=0,"",_xlfn.MINIFS(Sales_Ledger!$B$5:$B$863,Sales_Ledger!$H$5:$H$863,A130))</f>
        <v>45561</v>
      </c>
      <c r="I130" s="17">
        <f>SUMIFS(Subscriptions!$I$5:$I$218,Subscriptions!$B$5:$B$218,A130)</f>
        <v>6000000</v>
      </c>
      <c r="J130" s="17">
        <f>SUMIFS(Subscriptions!$J$5:$J$218,Subscriptions!$B$5:$B$218,A130)</f>
        <v>6000000</v>
      </c>
      <c r="K130" s="17">
        <f>SUMIFS(Sales_Ledger!$J$5:$J$863,Sales_Ledger!$H$5:$H$863,$A130,Sales_Ledger!$D$5:$D$863,2023)</f>
        <v>0</v>
      </c>
      <c r="L130" s="17">
        <f>SUMIFS(Sales_Ledger!$J$5:$J$863,Sales_Ledger!$H$5:$H$863,$A130,Sales_Ledger!$D$5:$D$863,2024)</f>
        <v>5335000</v>
      </c>
      <c r="M130" s="17">
        <f>SUMIFS(Sales_Ledger!$J$5:$J$863,Sales_Ledger!$H$5:$H$863,$A130,Sales_Ledger!$D$5:$D$863,2025)</f>
        <v>0</v>
      </c>
      <c r="N130" s="17">
        <f t="shared" si="2"/>
        <v>5335000</v>
      </c>
      <c r="O130" s="15" t="s">
        <v>3190</v>
      </c>
      <c r="P130" s="15" t="s">
        <v>2502</v>
      </c>
      <c r="Q130" s="15" t="s">
        <v>1800</v>
      </c>
      <c r="R130" s="15" t="str">
        <f t="shared" si="3"/>
        <v/>
      </c>
    </row>
    <row r="131" spans="1:18" x14ac:dyDescent="0.35">
      <c r="A131" s="15" t="s">
        <v>1378</v>
      </c>
      <c r="B131" s="15" t="s">
        <v>1508</v>
      </c>
      <c r="C131" s="15" t="s">
        <v>3403</v>
      </c>
      <c r="D131" s="15" t="s">
        <v>3404</v>
      </c>
      <c r="E131" s="15" t="s">
        <v>46</v>
      </c>
      <c r="F131" s="15" t="s">
        <v>3387</v>
      </c>
      <c r="G131" s="16">
        <v>45562</v>
      </c>
      <c r="H131" s="16">
        <f>IF(COUNTIF(Sales_Ledger!$H$5:$H$863,A131)=0,"",_xlfn.MINIFS(Sales_Ledger!$B$5:$B$863,Sales_Ledger!$H$5:$H$863,A131))</f>
        <v>45562</v>
      </c>
      <c r="I131" s="17">
        <f>SUMIFS(Subscriptions!$I$5:$I$218,Subscriptions!$B$5:$B$218,A131)</f>
        <v>2600000</v>
      </c>
      <c r="J131" s="17">
        <f>SUMIFS(Subscriptions!$J$5:$J$218,Subscriptions!$B$5:$B$218,A131)</f>
        <v>2600000</v>
      </c>
      <c r="K131" s="17">
        <f>SUMIFS(Sales_Ledger!$J$5:$J$863,Sales_Ledger!$H$5:$H$863,$A131,Sales_Ledger!$D$5:$D$863,2023)</f>
        <v>0</v>
      </c>
      <c r="L131" s="17">
        <f>SUMIFS(Sales_Ledger!$J$5:$J$863,Sales_Ledger!$H$5:$H$863,$A131,Sales_Ledger!$D$5:$D$863,2024)</f>
        <v>1900000</v>
      </c>
      <c r="M131" s="17">
        <f>SUMIFS(Sales_Ledger!$J$5:$J$863,Sales_Ledger!$H$5:$H$863,$A131,Sales_Ledger!$D$5:$D$863,2025)</f>
        <v>700000</v>
      </c>
      <c r="N131" s="17">
        <f t="shared" si="2"/>
        <v>2600000</v>
      </c>
      <c r="O131" s="15" t="s">
        <v>3190</v>
      </c>
      <c r="P131" s="15" t="s">
        <v>2502</v>
      </c>
      <c r="Q131" s="15" t="s">
        <v>2891</v>
      </c>
      <c r="R131" s="15" t="str">
        <f t="shared" si="3"/>
        <v/>
      </c>
    </row>
    <row r="132" spans="1:18" x14ac:dyDescent="0.35">
      <c r="A132" s="15" t="s">
        <v>1382</v>
      </c>
      <c r="B132" s="15" t="s">
        <v>2888</v>
      </c>
      <c r="C132" s="15" t="s">
        <v>3405</v>
      </c>
      <c r="D132" s="15" t="s">
        <v>3406</v>
      </c>
      <c r="E132" s="15" t="s">
        <v>46</v>
      </c>
      <c r="F132" s="15" t="s">
        <v>3407</v>
      </c>
      <c r="G132" s="16">
        <v>45562</v>
      </c>
      <c r="H132" s="16">
        <f>IF(COUNTIF(Sales_Ledger!$H$5:$H$863,A132)=0,"",_xlfn.MINIFS(Sales_Ledger!$B$5:$B$863,Sales_Ledger!$H$5:$H$863,A132))</f>
        <v>45562</v>
      </c>
      <c r="I132" s="17">
        <f>SUMIFS(Subscriptions!$I$5:$I$218,Subscriptions!$B$5:$B$218,A132)</f>
        <v>5800000</v>
      </c>
      <c r="J132" s="17">
        <f>SUMIFS(Subscriptions!$J$5:$J$218,Subscriptions!$B$5:$B$218,A132)</f>
        <v>5800000</v>
      </c>
      <c r="K132" s="17">
        <f>SUMIFS(Sales_Ledger!$J$5:$J$863,Sales_Ledger!$H$5:$H$863,$A132,Sales_Ledger!$D$5:$D$863,2023)</f>
        <v>0</v>
      </c>
      <c r="L132" s="17">
        <f>SUMIFS(Sales_Ledger!$J$5:$J$863,Sales_Ledger!$H$5:$H$863,$A132,Sales_Ledger!$D$5:$D$863,2024)</f>
        <v>5850000</v>
      </c>
      <c r="M132" s="17">
        <f>SUMIFS(Sales_Ledger!$J$5:$J$863,Sales_Ledger!$H$5:$H$863,$A132,Sales_Ledger!$D$5:$D$863,2025)</f>
        <v>0</v>
      </c>
      <c r="N132" s="17">
        <f t="shared" si="2"/>
        <v>5850000</v>
      </c>
      <c r="O132" s="15" t="s">
        <v>3190</v>
      </c>
      <c r="P132" s="15" t="s">
        <v>2502</v>
      </c>
      <c r="Q132" s="15" t="s">
        <v>1800</v>
      </c>
      <c r="R132" s="15" t="str">
        <f t="shared" si="3"/>
        <v/>
      </c>
    </row>
    <row r="133" spans="1:18" x14ac:dyDescent="0.35">
      <c r="A133" s="15" t="s">
        <v>1386</v>
      </c>
      <c r="B133" s="15" t="s">
        <v>1387</v>
      </c>
      <c r="C133" s="15" t="s">
        <v>3408</v>
      </c>
      <c r="D133" s="15" t="s">
        <v>3409</v>
      </c>
      <c r="E133" s="15" t="s">
        <v>46</v>
      </c>
      <c r="F133" s="15" t="s">
        <v>34</v>
      </c>
      <c r="G133" s="16">
        <v>45562</v>
      </c>
      <c r="H133" s="16">
        <f>IF(COUNTIF(Sales_Ledger!$H$5:$H$863,A133)=0,"",_xlfn.MINIFS(Sales_Ledger!$B$5:$B$863,Sales_Ledger!$H$5:$H$863,A133))</f>
        <v>45562</v>
      </c>
      <c r="I133" s="17">
        <f>SUMIFS(Subscriptions!$I$5:$I$218,Subscriptions!$B$5:$B$218,A133)</f>
        <v>495000</v>
      </c>
      <c r="J133" s="17">
        <f>SUMIFS(Subscriptions!$J$5:$J$218,Subscriptions!$B$5:$B$218,A133)</f>
        <v>495000</v>
      </c>
      <c r="K133" s="17">
        <f>SUMIFS(Sales_Ledger!$J$5:$J$863,Sales_Ledger!$H$5:$H$863,$A133,Sales_Ledger!$D$5:$D$863,2023)</f>
        <v>0</v>
      </c>
      <c r="L133" s="17">
        <f>SUMIFS(Sales_Ledger!$J$5:$J$863,Sales_Ledger!$H$5:$H$863,$A133,Sales_Ledger!$D$5:$D$863,2024)</f>
        <v>495000</v>
      </c>
      <c r="M133" s="17">
        <f>SUMIFS(Sales_Ledger!$J$5:$J$863,Sales_Ledger!$H$5:$H$863,$A133,Sales_Ledger!$D$5:$D$863,2025)</f>
        <v>0</v>
      </c>
      <c r="N133" s="17">
        <f t="shared" ref="N133:N196" si="4">SUM(K133:M133)</f>
        <v>495000</v>
      </c>
      <c r="O133" s="15" t="s">
        <v>3190</v>
      </c>
      <c r="P133" s="15" t="s">
        <v>2502</v>
      </c>
      <c r="Q133" s="15" t="s">
        <v>2894</v>
      </c>
      <c r="R133" s="15" t="str">
        <f t="shared" ref="R133:R196" si="5">IF(AND(I133&gt;0,N133&gt;I133*1.02),"Receipts exceed register contract value: check for duplicate entries, extra plots or ancillary fees",IF(AND(I133=0,N133&gt;0),"Not in client register: contract value unknown",""))</f>
        <v/>
      </c>
    </row>
    <row r="134" spans="1:18" x14ac:dyDescent="0.35">
      <c r="A134" s="15" t="s">
        <v>1390</v>
      </c>
      <c r="B134" s="15" t="s">
        <v>1391</v>
      </c>
      <c r="C134" s="15" t="s">
        <v>3410</v>
      </c>
      <c r="D134" s="15" t="s">
        <v>3411</v>
      </c>
      <c r="E134" s="15" t="s">
        <v>46</v>
      </c>
      <c r="F134" s="15" t="s">
        <v>3412</v>
      </c>
      <c r="G134" s="16">
        <v>45562</v>
      </c>
      <c r="H134" s="16">
        <f>IF(COUNTIF(Sales_Ledger!$H$5:$H$863,A134)=0,"",_xlfn.MINIFS(Sales_Ledger!$B$5:$B$863,Sales_Ledger!$H$5:$H$863,A134))</f>
        <v>45562</v>
      </c>
      <c r="I134" s="17">
        <f>SUMIFS(Subscriptions!$I$5:$I$218,Subscriptions!$B$5:$B$218,A134)</f>
        <v>550000</v>
      </c>
      <c r="J134" s="17">
        <f>SUMIFS(Subscriptions!$J$5:$J$218,Subscriptions!$B$5:$B$218,A134)</f>
        <v>550000</v>
      </c>
      <c r="K134" s="17">
        <f>SUMIFS(Sales_Ledger!$J$5:$J$863,Sales_Ledger!$H$5:$H$863,$A134,Sales_Ledger!$D$5:$D$863,2023)</f>
        <v>0</v>
      </c>
      <c r="L134" s="17">
        <f>SUMIFS(Sales_Ledger!$J$5:$J$863,Sales_Ledger!$H$5:$H$863,$A134,Sales_Ledger!$D$5:$D$863,2024)</f>
        <v>450000</v>
      </c>
      <c r="M134" s="17">
        <f>SUMIFS(Sales_Ledger!$J$5:$J$863,Sales_Ledger!$H$5:$H$863,$A134,Sales_Ledger!$D$5:$D$863,2025)</f>
        <v>100000</v>
      </c>
      <c r="N134" s="17">
        <f t="shared" si="4"/>
        <v>550000</v>
      </c>
      <c r="O134" s="15" t="s">
        <v>3190</v>
      </c>
      <c r="P134" s="15" t="s">
        <v>2502</v>
      </c>
      <c r="Q134" s="15" t="s">
        <v>2806</v>
      </c>
      <c r="R134" s="15" t="str">
        <f t="shared" si="5"/>
        <v/>
      </c>
    </row>
    <row r="135" spans="1:18" x14ac:dyDescent="0.35">
      <c r="A135" s="15" t="s">
        <v>1394</v>
      </c>
      <c r="B135" s="15" t="s">
        <v>1395</v>
      </c>
      <c r="C135" s="15"/>
      <c r="D135" s="15"/>
      <c r="E135" s="15" t="s">
        <v>46</v>
      </c>
      <c r="F135" s="15" t="s">
        <v>32</v>
      </c>
      <c r="G135" s="16"/>
      <c r="H135" s="16">
        <f>IF(COUNTIF(Sales_Ledger!$H$5:$H$863,A135)=0,"",_xlfn.MINIFS(Sales_Ledger!$B$5:$B$863,Sales_Ledger!$H$5:$H$863,A135))</f>
        <v>45562</v>
      </c>
      <c r="I135" s="17">
        <f>SUMIFS(Subscriptions!$I$5:$I$218,Subscriptions!$B$5:$B$218,A135)</f>
        <v>0</v>
      </c>
      <c r="J135" s="17">
        <f>SUMIFS(Subscriptions!$J$5:$J$218,Subscriptions!$B$5:$B$218,A135)</f>
        <v>0</v>
      </c>
      <c r="K135" s="17">
        <f>SUMIFS(Sales_Ledger!$J$5:$J$863,Sales_Ledger!$H$5:$H$863,$A135,Sales_Ledger!$D$5:$D$863,2023)</f>
        <v>0</v>
      </c>
      <c r="L135" s="17">
        <f>SUMIFS(Sales_Ledger!$J$5:$J$863,Sales_Ledger!$H$5:$H$863,$A135,Sales_Ledger!$D$5:$D$863,2024)</f>
        <v>33000000</v>
      </c>
      <c r="M135" s="17">
        <f>SUMIFS(Sales_Ledger!$J$5:$J$863,Sales_Ledger!$H$5:$H$863,$A135,Sales_Ledger!$D$5:$D$863,2025)</f>
        <v>0</v>
      </c>
      <c r="N135" s="17">
        <f t="shared" si="4"/>
        <v>33000000</v>
      </c>
      <c r="O135" s="15" t="s">
        <v>3253</v>
      </c>
      <c r="P135" s="15"/>
      <c r="Q135" s="15"/>
      <c r="R135" s="15" t="str">
        <f t="shared" si="5"/>
        <v>Not in client register: contract value unknown</v>
      </c>
    </row>
    <row r="136" spans="1:18" x14ac:dyDescent="0.35">
      <c r="A136" s="15" t="s">
        <v>1405</v>
      </c>
      <c r="B136" s="15" t="s">
        <v>1406</v>
      </c>
      <c r="C136" s="15" t="s">
        <v>3413</v>
      </c>
      <c r="D136" s="15" t="s">
        <v>3414</v>
      </c>
      <c r="E136" s="15" t="s">
        <v>3285</v>
      </c>
      <c r="F136" s="15" t="s">
        <v>3415</v>
      </c>
      <c r="G136" s="16">
        <v>45565</v>
      </c>
      <c r="H136" s="16">
        <f>IF(COUNTIF(Sales_Ledger!$H$5:$H$863,A136)=0,"",_xlfn.MINIFS(Sales_Ledger!$B$5:$B$863,Sales_Ledger!$H$5:$H$863,A136))</f>
        <v>45565</v>
      </c>
      <c r="I136" s="17">
        <f>SUMIFS(Subscriptions!$I$5:$I$218,Subscriptions!$B$5:$B$218,A136)</f>
        <v>44500000</v>
      </c>
      <c r="J136" s="17">
        <f>SUMIFS(Subscriptions!$J$5:$J$218,Subscriptions!$B$5:$B$218,A136)</f>
        <v>44500000</v>
      </c>
      <c r="K136" s="17">
        <f>SUMIFS(Sales_Ledger!$J$5:$J$863,Sales_Ledger!$H$5:$H$863,$A136,Sales_Ledger!$D$5:$D$863,2023)</f>
        <v>0</v>
      </c>
      <c r="L136" s="17">
        <f>SUMIFS(Sales_Ledger!$J$5:$J$863,Sales_Ledger!$H$5:$H$863,$A136,Sales_Ledger!$D$5:$D$863,2024)</f>
        <v>5135000</v>
      </c>
      <c r="M136" s="17">
        <f>SUMIFS(Sales_Ledger!$J$5:$J$863,Sales_Ledger!$H$5:$H$863,$A136,Sales_Ledger!$D$5:$D$863,2025)</f>
        <v>19500000</v>
      </c>
      <c r="N136" s="17">
        <f t="shared" si="4"/>
        <v>24635000</v>
      </c>
      <c r="O136" s="15" t="s">
        <v>3190</v>
      </c>
      <c r="P136" s="15" t="s">
        <v>3416</v>
      </c>
      <c r="Q136" s="15" t="s">
        <v>2898</v>
      </c>
      <c r="R136" s="15" t="str">
        <f t="shared" si="5"/>
        <v/>
      </c>
    </row>
    <row r="137" spans="1:18" x14ac:dyDescent="0.35">
      <c r="A137" s="15" t="s">
        <v>1410</v>
      </c>
      <c r="B137" s="15" t="s">
        <v>1411</v>
      </c>
      <c r="C137" s="15" t="s">
        <v>3417</v>
      </c>
      <c r="D137" s="15" t="s">
        <v>3418</v>
      </c>
      <c r="E137" s="15" t="s">
        <v>3285</v>
      </c>
      <c r="F137" s="15" t="s">
        <v>3419</v>
      </c>
      <c r="G137" s="16">
        <v>45565</v>
      </c>
      <c r="H137" s="16">
        <f>IF(COUNTIF(Sales_Ledger!$H$5:$H$863,A137)=0,"",_xlfn.MINIFS(Sales_Ledger!$B$5:$B$863,Sales_Ledger!$H$5:$H$863,A137))</f>
        <v>45565</v>
      </c>
      <c r="I137" s="17">
        <f>SUMIFS(Subscriptions!$I$5:$I$218,Subscriptions!$B$5:$B$218,A137)</f>
        <v>92600000</v>
      </c>
      <c r="J137" s="17">
        <f>SUMIFS(Subscriptions!$J$5:$J$218,Subscriptions!$B$5:$B$218,A137)</f>
        <v>83400000</v>
      </c>
      <c r="K137" s="17">
        <f>SUMIFS(Sales_Ledger!$J$5:$J$863,Sales_Ledger!$H$5:$H$863,$A137,Sales_Ledger!$D$5:$D$863,2023)</f>
        <v>0</v>
      </c>
      <c r="L137" s="17">
        <f>SUMIFS(Sales_Ledger!$J$5:$J$863,Sales_Ledger!$H$5:$H$863,$A137,Sales_Ledger!$D$5:$D$863,2024)</f>
        <v>2735000</v>
      </c>
      <c r="M137" s="17">
        <f>SUMIFS(Sales_Ledger!$J$5:$J$863,Sales_Ledger!$H$5:$H$863,$A137,Sales_Ledger!$D$5:$D$863,2025)</f>
        <v>63000000</v>
      </c>
      <c r="N137" s="17">
        <f t="shared" si="4"/>
        <v>65735000</v>
      </c>
      <c r="O137" s="15" t="s">
        <v>3190</v>
      </c>
      <c r="P137" s="15" t="s">
        <v>3225</v>
      </c>
      <c r="Q137" s="15" t="s">
        <v>3420</v>
      </c>
      <c r="R137" s="15" t="str">
        <f t="shared" si="5"/>
        <v/>
      </c>
    </row>
    <row r="138" spans="1:18" x14ac:dyDescent="0.35">
      <c r="A138" s="15" t="s">
        <v>1433</v>
      </c>
      <c r="B138" s="15" t="s">
        <v>1434</v>
      </c>
      <c r="C138" s="15"/>
      <c r="D138" s="15"/>
      <c r="E138" s="15" t="s">
        <v>46</v>
      </c>
      <c r="F138" s="15" t="s">
        <v>34</v>
      </c>
      <c r="G138" s="16"/>
      <c r="H138" s="16">
        <f>IF(COUNTIF(Sales_Ledger!$H$5:$H$863,A138)=0,"",_xlfn.MINIFS(Sales_Ledger!$B$5:$B$863,Sales_Ledger!$H$5:$H$863,A138))</f>
        <v>45569</v>
      </c>
      <c r="I138" s="17">
        <f>SUMIFS(Subscriptions!$I$5:$I$218,Subscriptions!$B$5:$B$218,A138)</f>
        <v>0</v>
      </c>
      <c r="J138" s="17">
        <f>SUMIFS(Subscriptions!$J$5:$J$218,Subscriptions!$B$5:$B$218,A138)</f>
        <v>0</v>
      </c>
      <c r="K138" s="17">
        <f>SUMIFS(Sales_Ledger!$J$5:$J$863,Sales_Ledger!$H$5:$H$863,$A138,Sales_Ledger!$D$5:$D$863,2023)</f>
        <v>0</v>
      </c>
      <c r="L138" s="17">
        <f>SUMIFS(Sales_Ledger!$J$5:$J$863,Sales_Ledger!$H$5:$H$863,$A138,Sales_Ledger!$D$5:$D$863,2024)</f>
        <v>145000</v>
      </c>
      <c r="M138" s="17">
        <f>SUMIFS(Sales_Ledger!$J$5:$J$863,Sales_Ledger!$H$5:$H$863,$A138,Sales_Ledger!$D$5:$D$863,2025)</f>
        <v>0</v>
      </c>
      <c r="N138" s="17">
        <f t="shared" si="4"/>
        <v>145000</v>
      </c>
      <c r="O138" s="15" t="s">
        <v>3253</v>
      </c>
      <c r="P138" s="15"/>
      <c r="Q138" s="15"/>
      <c r="R138" s="15" t="str">
        <f t="shared" si="5"/>
        <v>Not in client register: contract value unknown</v>
      </c>
    </row>
    <row r="139" spans="1:18" x14ac:dyDescent="0.35">
      <c r="A139" s="15" t="s">
        <v>1436</v>
      </c>
      <c r="B139" s="15" t="s">
        <v>1437</v>
      </c>
      <c r="C139" s="15" t="s">
        <v>3421</v>
      </c>
      <c r="D139" s="15" t="s">
        <v>3422</v>
      </c>
      <c r="E139" s="15" t="s">
        <v>46</v>
      </c>
      <c r="F139" s="15" t="s">
        <v>32</v>
      </c>
      <c r="G139" s="16">
        <v>45573</v>
      </c>
      <c r="H139" s="16">
        <f>IF(COUNTIF(Sales_Ledger!$H$5:$H$863,A139)=0,"",_xlfn.MINIFS(Sales_Ledger!$B$5:$B$863,Sales_Ledger!$H$5:$H$863,A139))</f>
        <v>45573</v>
      </c>
      <c r="I139" s="17">
        <f>SUMIFS(Subscriptions!$I$5:$I$218,Subscriptions!$B$5:$B$218,A139)</f>
        <v>8000000</v>
      </c>
      <c r="J139" s="17">
        <f>SUMIFS(Subscriptions!$J$5:$J$218,Subscriptions!$B$5:$B$218,A139)</f>
        <v>8000000</v>
      </c>
      <c r="K139" s="17">
        <f>SUMIFS(Sales_Ledger!$J$5:$J$863,Sales_Ledger!$H$5:$H$863,$A139,Sales_Ledger!$D$5:$D$863,2023)</f>
        <v>0</v>
      </c>
      <c r="L139" s="17">
        <f>SUMIFS(Sales_Ledger!$J$5:$J$863,Sales_Ledger!$H$5:$H$863,$A139,Sales_Ledger!$D$5:$D$863,2024)</f>
        <v>8000000</v>
      </c>
      <c r="M139" s="17">
        <f>SUMIFS(Sales_Ledger!$J$5:$J$863,Sales_Ledger!$H$5:$H$863,$A139,Sales_Ledger!$D$5:$D$863,2025)</f>
        <v>0</v>
      </c>
      <c r="N139" s="17">
        <f t="shared" si="4"/>
        <v>8000000</v>
      </c>
      <c r="O139" s="15" t="s">
        <v>3190</v>
      </c>
      <c r="P139" s="15" t="s">
        <v>2502</v>
      </c>
      <c r="Q139" s="15" t="s">
        <v>2911</v>
      </c>
      <c r="R139" s="15" t="str">
        <f t="shared" si="5"/>
        <v/>
      </c>
    </row>
    <row r="140" spans="1:18" x14ac:dyDescent="0.35">
      <c r="A140" s="15" t="s">
        <v>1443</v>
      </c>
      <c r="B140" s="15" t="s">
        <v>1444</v>
      </c>
      <c r="C140" s="15" t="s">
        <v>3423</v>
      </c>
      <c r="D140" s="15" t="s">
        <v>3424</v>
      </c>
      <c r="E140" s="15" t="s">
        <v>46</v>
      </c>
      <c r="F140" s="15" t="s">
        <v>3387</v>
      </c>
      <c r="G140" s="16">
        <v>45576</v>
      </c>
      <c r="H140" s="16">
        <f>IF(COUNTIF(Sales_Ledger!$H$5:$H$863,A140)=0,"",_xlfn.MINIFS(Sales_Ledger!$B$5:$B$863,Sales_Ledger!$H$5:$H$863,A140))</f>
        <v>45576</v>
      </c>
      <c r="I140" s="17">
        <f>SUMIFS(Subscriptions!$I$5:$I$218,Subscriptions!$B$5:$B$218,A140)</f>
        <v>3100000</v>
      </c>
      <c r="J140" s="17">
        <f>SUMIFS(Subscriptions!$J$5:$J$218,Subscriptions!$B$5:$B$218,A140)</f>
        <v>3100000</v>
      </c>
      <c r="K140" s="17">
        <f>SUMIFS(Sales_Ledger!$J$5:$J$863,Sales_Ledger!$H$5:$H$863,$A140,Sales_Ledger!$D$5:$D$863,2023)</f>
        <v>0</v>
      </c>
      <c r="L140" s="17">
        <f>SUMIFS(Sales_Ledger!$J$5:$J$863,Sales_Ledger!$H$5:$H$863,$A140,Sales_Ledger!$D$5:$D$863,2024)</f>
        <v>1400000</v>
      </c>
      <c r="M140" s="17">
        <f>SUMIFS(Sales_Ledger!$J$5:$J$863,Sales_Ledger!$H$5:$H$863,$A140,Sales_Ledger!$D$5:$D$863,2025)</f>
        <v>1700000</v>
      </c>
      <c r="N140" s="17">
        <f t="shared" si="4"/>
        <v>3100000</v>
      </c>
      <c r="O140" s="15" t="s">
        <v>3190</v>
      </c>
      <c r="P140" s="15" t="s">
        <v>2502</v>
      </c>
      <c r="Q140" s="15" t="s">
        <v>2894</v>
      </c>
      <c r="R140" s="15" t="str">
        <f t="shared" si="5"/>
        <v/>
      </c>
    </row>
    <row r="141" spans="1:18" x14ac:dyDescent="0.35">
      <c r="A141" s="15" t="s">
        <v>1455</v>
      </c>
      <c r="B141" s="15" t="s">
        <v>1604</v>
      </c>
      <c r="C141" s="15" t="s">
        <v>3425</v>
      </c>
      <c r="D141" s="15" t="s">
        <v>3426</v>
      </c>
      <c r="E141" s="15" t="s">
        <v>46</v>
      </c>
      <c r="F141" s="15" t="s">
        <v>34</v>
      </c>
      <c r="G141" s="16">
        <v>45583</v>
      </c>
      <c r="H141" s="16">
        <f>IF(COUNTIF(Sales_Ledger!$H$5:$H$863,A141)=0,"",_xlfn.MINIFS(Sales_Ledger!$B$5:$B$863,Sales_Ledger!$H$5:$H$863,A141))</f>
        <v>45583</v>
      </c>
      <c r="I141" s="17">
        <f>SUMIFS(Subscriptions!$I$5:$I$218,Subscriptions!$B$5:$B$218,A141)</f>
        <v>1100000</v>
      </c>
      <c r="J141" s="17">
        <f>SUMIFS(Subscriptions!$J$5:$J$218,Subscriptions!$B$5:$B$218,A141)</f>
        <v>1100000</v>
      </c>
      <c r="K141" s="17">
        <f>SUMIFS(Sales_Ledger!$J$5:$J$863,Sales_Ledger!$H$5:$H$863,$A141,Sales_Ledger!$D$5:$D$863,2023)</f>
        <v>0</v>
      </c>
      <c r="L141" s="17">
        <f>SUMIFS(Sales_Ledger!$J$5:$J$863,Sales_Ledger!$H$5:$H$863,$A141,Sales_Ledger!$D$5:$D$863,2024)</f>
        <v>1100000</v>
      </c>
      <c r="M141" s="17">
        <f>SUMIFS(Sales_Ledger!$J$5:$J$863,Sales_Ledger!$H$5:$H$863,$A141,Sales_Ledger!$D$5:$D$863,2025)</f>
        <v>0</v>
      </c>
      <c r="N141" s="17">
        <f t="shared" si="4"/>
        <v>1100000</v>
      </c>
      <c r="O141" s="15" t="s">
        <v>3190</v>
      </c>
      <c r="P141" s="15" t="s">
        <v>2502</v>
      </c>
      <c r="Q141" s="15" t="s">
        <v>2559</v>
      </c>
      <c r="R141" s="15" t="str">
        <f t="shared" si="5"/>
        <v/>
      </c>
    </row>
    <row r="142" spans="1:18" x14ac:dyDescent="0.35">
      <c r="A142" s="15" t="s">
        <v>1460</v>
      </c>
      <c r="B142" s="15" t="s">
        <v>2915</v>
      </c>
      <c r="C142" s="15" t="s">
        <v>3427</v>
      </c>
      <c r="D142" s="15" t="s">
        <v>3428</v>
      </c>
      <c r="E142" s="15" t="s">
        <v>46</v>
      </c>
      <c r="F142" s="15" t="s">
        <v>3429</v>
      </c>
      <c r="G142" s="16">
        <v>45583</v>
      </c>
      <c r="H142" s="16">
        <f>IF(COUNTIF(Sales_Ledger!$H$5:$H$863,A142)=0,"",_xlfn.MINIFS(Sales_Ledger!$B$5:$B$863,Sales_Ledger!$H$5:$H$863,A142))</f>
        <v>45583</v>
      </c>
      <c r="I142" s="17">
        <f>SUMIFS(Subscriptions!$I$5:$I$218,Subscriptions!$B$5:$B$218,A142)</f>
        <v>6200000</v>
      </c>
      <c r="J142" s="17">
        <f>SUMIFS(Subscriptions!$J$5:$J$218,Subscriptions!$B$5:$B$218,A142)</f>
        <v>6200000</v>
      </c>
      <c r="K142" s="17">
        <f>SUMIFS(Sales_Ledger!$J$5:$J$863,Sales_Ledger!$H$5:$H$863,$A142,Sales_Ledger!$D$5:$D$863,2023)</f>
        <v>0</v>
      </c>
      <c r="L142" s="17">
        <f>SUMIFS(Sales_Ledger!$J$5:$J$863,Sales_Ledger!$H$5:$H$863,$A142,Sales_Ledger!$D$5:$D$863,2024)</f>
        <v>2800000</v>
      </c>
      <c r="M142" s="17">
        <f>SUMIFS(Sales_Ledger!$J$5:$J$863,Sales_Ledger!$H$5:$H$863,$A142,Sales_Ledger!$D$5:$D$863,2025)</f>
        <v>1400000</v>
      </c>
      <c r="N142" s="17">
        <f t="shared" si="4"/>
        <v>4200000</v>
      </c>
      <c r="O142" s="15" t="s">
        <v>3190</v>
      </c>
      <c r="P142" s="15" t="s">
        <v>2502</v>
      </c>
      <c r="Q142" s="15" t="s">
        <v>3430</v>
      </c>
      <c r="R142" s="15" t="str">
        <f t="shared" si="5"/>
        <v/>
      </c>
    </row>
    <row r="143" spans="1:18" x14ac:dyDescent="0.35">
      <c r="A143" s="15" t="s">
        <v>1469</v>
      </c>
      <c r="B143" s="15" t="s">
        <v>1470</v>
      </c>
      <c r="C143" s="15"/>
      <c r="D143" s="15"/>
      <c r="E143" s="15" t="s">
        <v>46</v>
      </c>
      <c r="F143" s="15" t="s">
        <v>32</v>
      </c>
      <c r="G143" s="16"/>
      <c r="H143" s="16">
        <f>IF(COUNTIF(Sales_Ledger!$H$5:$H$863,A143)=0,"",_xlfn.MINIFS(Sales_Ledger!$B$5:$B$863,Sales_Ledger!$H$5:$H$863,A143))</f>
        <v>45586</v>
      </c>
      <c r="I143" s="17">
        <f>SUMIFS(Subscriptions!$I$5:$I$218,Subscriptions!$B$5:$B$218,A143)</f>
        <v>0</v>
      </c>
      <c r="J143" s="17">
        <f>SUMIFS(Subscriptions!$J$5:$J$218,Subscriptions!$B$5:$B$218,A143)</f>
        <v>0</v>
      </c>
      <c r="K143" s="17">
        <f>SUMIFS(Sales_Ledger!$J$5:$J$863,Sales_Ledger!$H$5:$H$863,$A143,Sales_Ledger!$D$5:$D$863,2023)</f>
        <v>0</v>
      </c>
      <c r="L143" s="17">
        <f>SUMIFS(Sales_Ledger!$J$5:$J$863,Sales_Ledger!$H$5:$H$863,$A143,Sales_Ledger!$D$5:$D$863,2024)</f>
        <v>200000</v>
      </c>
      <c r="M143" s="17">
        <f>SUMIFS(Sales_Ledger!$J$5:$J$863,Sales_Ledger!$H$5:$H$863,$A143,Sales_Ledger!$D$5:$D$863,2025)</f>
        <v>0</v>
      </c>
      <c r="N143" s="17">
        <f t="shared" si="4"/>
        <v>200000</v>
      </c>
      <c r="O143" s="15" t="s">
        <v>3253</v>
      </c>
      <c r="P143" s="15"/>
      <c r="Q143" s="15"/>
      <c r="R143" s="15" t="str">
        <f t="shared" si="5"/>
        <v>Not in client register: contract value unknown</v>
      </c>
    </row>
    <row r="144" spans="1:18" x14ac:dyDescent="0.35">
      <c r="A144" s="15" t="s">
        <v>1481</v>
      </c>
      <c r="B144" s="15" t="s">
        <v>1482</v>
      </c>
      <c r="C144" s="15" t="s">
        <v>3431</v>
      </c>
      <c r="D144" s="15" t="s">
        <v>3432</v>
      </c>
      <c r="E144" s="15" t="s">
        <v>3285</v>
      </c>
      <c r="F144" s="15" t="s">
        <v>3433</v>
      </c>
      <c r="G144" s="16">
        <v>45588</v>
      </c>
      <c r="H144" s="16">
        <f>IF(COUNTIF(Sales_Ledger!$H$5:$H$863,A144)=0,"",_xlfn.MINIFS(Sales_Ledger!$B$5:$B$863,Sales_Ledger!$H$5:$H$863,A144))</f>
        <v>45588</v>
      </c>
      <c r="I144" s="17">
        <f>SUMIFS(Subscriptions!$I$5:$I$218,Subscriptions!$B$5:$B$218,A144)</f>
        <v>85000000</v>
      </c>
      <c r="J144" s="17">
        <f>SUMIFS(Subscriptions!$J$5:$J$218,Subscriptions!$B$5:$B$218,A144)</f>
        <v>85000000</v>
      </c>
      <c r="K144" s="17">
        <f>SUMIFS(Sales_Ledger!$J$5:$J$863,Sales_Ledger!$H$5:$H$863,$A144,Sales_Ledger!$D$5:$D$863,2023)</f>
        <v>0</v>
      </c>
      <c r="L144" s="17">
        <f>SUMIFS(Sales_Ledger!$J$5:$J$863,Sales_Ledger!$H$5:$H$863,$A144,Sales_Ledger!$D$5:$D$863,2024)</f>
        <v>61000000</v>
      </c>
      <c r="M144" s="17">
        <f>SUMIFS(Sales_Ledger!$J$5:$J$863,Sales_Ledger!$H$5:$H$863,$A144,Sales_Ledger!$D$5:$D$863,2025)</f>
        <v>10000000</v>
      </c>
      <c r="N144" s="17">
        <f t="shared" si="4"/>
        <v>71000000</v>
      </c>
      <c r="O144" s="15" t="s">
        <v>3190</v>
      </c>
      <c r="P144" s="15" t="s">
        <v>2502</v>
      </c>
      <c r="Q144" s="15" t="s">
        <v>3434</v>
      </c>
      <c r="R144" s="15" t="str">
        <f t="shared" si="5"/>
        <v/>
      </c>
    </row>
    <row r="145" spans="1:18" x14ac:dyDescent="0.35">
      <c r="A145" s="15" t="s">
        <v>1519</v>
      </c>
      <c r="B145" s="15" t="s">
        <v>1520</v>
      </c>
      <c r="C145" s="15" t="s">
        <v>3435</v>
      </c>
      <c r="D145" s="15" t="s">
        <v>3436</v>
      </c>
      <c r="E145" s="15" t="s">
        <v>46</v>
      </c>
      <c r="F145" s="15" t="s">
        <v>3203</v>
      </c>
      <c r="G145" s="16">
        <v>45595</v>
      </c>
      <c r="H145" s="16">
        <f>IF(COUNTIF(Sales_Ledger!$H$5:$H$863,A145)=0,"",_xlfn.MINIFS(Sales_Ledger!$B$5:$B$863,Sales_Ledger!$H$5:$H$863,A145))</f>
        <v>45595</v>
      </c>
      <c r="I145" s="17">
        <f>SUMIFS(Subscriptions!$I$5:$I$218,Subscriptions!$B$5:$B$218,A145)</f>
        <v>3200000</v>
      </c>
      <c r="J145" s="17">
        <f>SUMIFS(Subscriptions!$J$5:$J$218,Subscriptions!$B$5:$B$218,A145)</f>
        <v>3200000</v>
      </c>
      <c r="K145" s="17">
        <f>SUMIFS(Sales_Ledger!$J$5:$J$863,Sales_Ledger!$H$5:$H$863,$A145,Sales_Ledger!$D$5:$D$863,2023)</f>
        <v>0</v>
      </c>
      <c r="L145" s="17">
        <f>SUMIFS(Sales_Ledger!$J$5:$J$863,Sales_Ledger!$H$5:$H$863,$A145,Sales_Ledger!$D$5:$D$863,2024)</f>
        <v>3000000</v>
      </c>
      <c r="M145" s="17">
        <f>SUMIFS(Sales_Ledger!$J$5:$J$863,Sales_Ledger!$H$5:$H$863,$A145,Sales_Ledger!$D$5:$D$863,2025)</f>
        <v>200000</v>
      </c>
      <c r="N145" s="17">
        <f t="shared" si="4"/>
        <v>3200000</v>
      </c>
      <c r="O145" s="15" t="s">
        <v>3190</v>
      </c>
      <c r="P145" s="15" t="s">
        <v>2502</v>
      </c>
      <c r="Q145" s="15" t="s">
        <v>2748</v>
      </c>
      <c r="R145" s="15" t="str">
        <f t="shared" si="5"/>
        <v/>
      </c>
    </row>
    <row r="146" spans="1:18" x14ac:dyDescent="0.35">
      <c r="A146" s="15" t="s">
        <v>1526</v>
      </c>
      <c r="B146" s="15" t="s">
        <v>1527</v>
      </c>
      <c r="C146" s="15"/>
      <c r="D146" s="15"/>
      <c r="E146" s="15" t="s">
        <v>47</v>
      </c>
      <c r="F146" s="15" t="s">
        <v>40</v>
      </c>
      <c r="G146" s="16"/>
      <c r="H146" s="16">
        <f>IF(COUNTIF(Sales_Ledger!$H$5:$H$863,A146)=0,"",_xlfn.MINIFS(Sales_Ledger!$B$5:$B$863,Sales_Ledger!$H$5:$H$863,A146))</f>
        <v>45595</v>
      </c>
      <c r="I146" s="17">
        <f>SUMIFS(Subscriptions!$I$5:$I$218,Subscriptions!$B$5:$B$218,A146)</f>
        <v>0</v>
      </c>
      <c r="J146" s="17">
        <f>SUMIFS(Subscriptions!$J$5:$J$218,Subscriptions!$B$5:$B$218,A146)</f>
        <v>0</v>
      </c>
      <c r="K146" s="17">
        <f>SUMIFS(Sales_Ledger!$J$5:$J$863,Sales_Ledger!$H$5:$H$863,$A146,Sales_Ledger!$D$5:$D$863,2023)</f>
        <v>0</v>
      </c>
      <c r="L146" s="17">
        <f>SUMIFS(Sales_Ledger!$J$5:$J$863,Sales_Ledger!$H$5:$H$863,$A146,Sales_Ledger!$D$5:$D$863,2024)</f>
        <v>14750000</v>
      </c>
      <c r="M146" s="17">
        <f>SUMIFS(Sales_Ledger!$J$5:$J$863,Sales_Ledger!$H$5:$H$863,$A146,Sales_Ledger!$D$5:$D$863,2025)</f>
        <v>0</v>
      </c>
      <c r="N146" s="17">
        <f t="shared" si="4"/>
        <v>14750000</v>
      </c>
      <c r="O146" s="15" t="s">
        <v>3253</v>
      </c>
      <c r="P146" s="15"/>
      <c r="Q146" s="15"/>
      <c r="R146" s="15" t="str">
        <f t="shared" si="5"/>
        <v>Not in client register: contract value unknown</v>
      </c>
    </row>
    <row r="147" spans="1:18" x14ac:dyDescent="0.35">
      <c r="A147" s="15" t="s">
        <v>1849</v>
      </c>
      <c r="B147" s="15" t="s">
        <v>1850</v>
      </c>
      <c r="C147" s="15" t="s">
        <v>3437</v>
      </c>
      <c r="D147" s="15" t="s">
        <v>3438</v>
      </c>
      <c r="E147" s="15" t="s">
        <v>47</v>
      </c>
      <c r="F147" s="15" t="s">
        <v>40</v>
      </c>
      <c r="G147" s="16">
        <v>45595</v>
      </c>
      <c r="H147" s="16">
        <f>IF(COUNTIF(Sales_Ledger!$H$5:$H$863,A147)=0,"",_xlfn.MINIFS(Sales_Ledger!$B$5:$B$863,Sales_Ledger!$H$5:$H$863,A147))</f>
        <v>45687</v>
      </c>
      <c r="I147" s="17">
        <f>SUMIFS(Subscriptions!$I$5:$I$218,Subscriptions!$B$5:$B$218,A147)</f>
        <v>67000000</v>
      </c>
      <c r="J147" s="17">
        <f>SUMIFS(Subscriptions!$J$5:$J$218,Subscriptions!$B$5:$B$218,A147)</f>
        <v>67000000</v>
      </c>
      <c r="K147" s="17">
        <f>SUMIFS(Sales_Ledger!$J$5:$J$863,Sales_Ledger!$H$5:$H$863,$A147,Sales_Ledger!$D$5:$D$863,2023)</f>
        <v>0</v>
      </c>
      <c r="L147" s="17">
        <f>SUMIFS(Sales_Ledger!$J$5:$J$863,Sales_Ledger!$H$5:$H$863,$A147,Sales_Ledger!$D$5:$D$863,2024)</f>
        <v>0</v>
      </c>
      <c r="M147" s="17">
        <f>SUMIFS(Sales_Ledger!$J$5:$J$863,Sales_Ledger!$H$5:$H$863,$A147,Sales_Ledger!$D$5:$D$863,2025)</f>
        <v>47500000</v>
      </c>
      <c r="N147" s="17">
        <f t="shared" si="4"/>
        <v>47500000</v>
      </c>
      <c r="O147" s="15" t="s">
        <v>3190</v>
      </c>
      <c r="P147" s="15" t="s">
        <v>2502</v>
      </c>
      <c r="Q147" s="15" t="s">
        <v>2929</v>
      </c>
      <c r="R147" s="15" t="str">
        <f t="shared" si="5"/>
        <v/>
      </c>
    </row>
    <row r="148" spans="1:18" x14ac:dyDescent="0.35">
      <c r="A148" s="15" t="s">
        <v>1545</v>
      </c>
      <c r="B148" s="15" t="s">
        <v>1546</v>
      </c>
      <c r="C148" s="15"/>
      <c r="D148" s="15"/>
      <c r="E148" s="15" t="s">
        <v>46</v>
      </c>
      <c r="F148" s="15" t="s">
        <v>32</v>
      </c>
      <c r="G148" s="16"/>
      <c r="H148" s="16">
        <f>IF(COUNTIF(Sales_Ledger!$H$5:$H$863,A148)=0,"",_xlfn.MINIFS(Sales_Ledger!$B$5:$B$863,Sales_Ledger!$H$5:$H$863,A148))</f>
        <v>45598</v>
      </c>
      <c r="I148" s="17">
        <f>SUMIFS(Subscriptions!$I$5:$I$218,Subscriptions!$B$5:$B$218,A148)</f>
        <v>0</v>
      </c>
      <c r="J148" s="17">
        <f>SUMIFS(Subscriptions!$J$5:$J$218,Subscriptions!$B$5:$B$218,A148)</f>
        <v>0</v>
      </c>
      <c r="K148" s="17">
        <f>SUMIFS(Sales_Ledger!$J$5:$J$863,Sales_Ledger!$H$5:$H$863,$A148,Sales_Ledger!$D$5:$D$863,2023)</f>
        <v>0</v>
      </c>
      <c r="L148" s="17">
        <f>SUMIFS(Sales_Ledger!$J$5:$J$863,Sales_Ledger!$H$5:$H$863,$A148,Sales_Ledger!$D$5:$D$863,2024)</f>
        <v>300000</v>
      </c>
      <c r="M148" s="17">
        <f>SUMIFS(Sales_Ledger!$J$5:$J$863,Sales_Ledger!$H$5:$H$863,$A148,Sales_Ledger!$D$5:$D$863,2025)</f>
        <v>0</v>
      </c>
      <c r="N148" s="17">
        <f t="shared" si="4"/>
        <v>300000</v>
      </c>
      <c r="O148" s="15" t="s">
        <v>3253</v>
      </c>
      <c r="P148" s="15"/>
      <c r="Q148" s="15"/>
      <c r="R148" s="15" t="str">
        <f t="shared" si="5"/>
        <v>Not in client register: contract value unknown</v>
      </c>
    </row>
    <row r="149" spans="1:18" x14ac:dyDescent="0.35">
      <c r="A149" s="15" t="s">
        <v>1573</v>
      </c>
      <c r="B149" s="15" t="s">
        <v>2931</v>
      </c>
      <c r="C149" s="15" t="s">
        <v>3439</v>
      </c>
      <c r="D149" s="15" t="s">
        <v>3440</v>
      </c>
      <c r="E149" s="15" t="s">
        <v>47</v>
      </c>
      <c r="F149" s="15" t="s">
        <v>40</v>
      </c>
      <c r="G149" s="16">
        <v>45605</v>
      </c>
      <c r="H149" s="16">
        <f>IF(COUNTIF(Sales_Ledger!$H$5:$H$863,A149)=0,"",_xlfn.MINIFS(Sales_Ledger!$B$5:$B$863,Sales_Ledger!$H$5:$H$863,A149))</f>
        <v>45605</v>
      </c>
      <c r="I149" s="17">
        <f>SUMIFS(Subscriptions!$I$5:$I$218,Subscriptions!$B$5:$B$218,A149)</f>
        <v>65000000</v>
      </c>
      <c r="J149" s="17">
        <f>SUMIFS(Subscriptions!$J$5:$J$218,Subscriptions!$B$5:$B$218,A149)</f>
        <v>10000000</v>
      </c>
      <c r="K149" s="17">
        <f>SUMIFS(Sales_Ledger!$J$5:$J$863,Sales_Ledger!$H$5:$H$863,$A149,Sales_Ledger!$D$5:$D$863,2023)</f>
        <v>0</v>
      </c>
      <c r="L149" s="17">
        <f>SUMIFS(Sales_Ledger!$J$5:$J$863,Sales_Ledger!$H$5:$H$863,$A149,Sales_Ledger!$D$5:$D$863,2024)</f>
        <v>10000000</v>
      </c>
      <c r="M149" s="17">
        <f>SUMIFS(Sales_Ledger!$J$5:$J$863,Sales_Ledger!$H$5:$H$863,$A149,Sales_Ledger!$D$5:$D$863,2025)</f>
        <v>0</v>
      </c>
      <c r="N149" s="17">
        <f t="shared" si="4"/>
        <v>10000000</v>
      </c>
      <c r="O149" s="15" t="s">
        <v>3190</v>
      </c>
      <c r="P149" s="15" t="s">
        <v>2601</v>
      </c>
      <c r="Q149" s="15" t="s">
        <v>2689</v>
      </c>
      <c r="R149" s="15" t="str">
        <f t="shared" si="5"/>
        <v/>
      </c>
    </row>
    <row r="150" spans="1:18" x14ac:dyDescent="0.35">
      <c r="A150" s="15" t="s">
        <v>1596</v>
      </c>
      <c r="B150" s="15" t="s">
        <v>1597</v>
      </c>
      <c r="C150" s="15" t="s">
        <v>3441</v>
      </c>
      <c r="D150" s="15" t="s">
        <v>3442</v>
      </c>
      <c r="E150" s="15" t="s">
        <v>46</v>
      </c>
      <c r="F150" s="15" t="s">
        <v>3387</v>
      </c>
      <c r="G150" s="16">
        <v>45610</v>
      </c>
      <c r="H150" s="16">
        <f>IF(COUNTIF(Sales_Ledger!$H$5:$H$863,A150)=0,"",_xlfn.MINIFS(Sales_Ledger!$B$5:$B$863,Sales_Ledger!$H$5:$H$863,A150))</f>
        <v>45610</v>
      </c>
      <c r="I150" s="17">
        <f>SUMIFS(Subscriptions!$I$5:$I$218,Subscriptions!$B$5:$B$218,A150)</f>
        <v>2600000</v>
      </c>
      <c r="J150" s="17">
        <f>SUMIFS(Subscriptions!$J$5:$J$218,Subscriptions!$B$5:$B$218,A150)</f>
        <v>2600000</v>
      </c>
      <c r="K150" s="17">
        <f>SUMIFS(Sales_Ledger!$J$5:$J$863,Sales_Ledger!$H$5:$H$863,$A150,Sales_Ledger!$D$5:$D$863,2023)</f>
        <v>0</v>
      </c>
      <c r="L150" s="17">
        <f>SUMIFS(Sales_Ledger!$J$5:$J$863,Sales_Ledger!$H$5:$H$863,$A150,Sales_Ledger!$D$5:$D$863,2024)</f>
        <v>800000</v>
      </c>
      <c r="M150" s="17">
        <f>SUMIFS(Sales_Ledger!$J$5:$J$863,Sales_Ledger!$H$5:$H$863,$A150,Sales_Ledger!$D$5:$D$863,2025)</f>
        <v>1840000</v>
      </c>
      <c r="N150" s="17">
        <f t="shared" si="4"/>
        <v>2640000</v>
      </c>
      <c r="O150" s="15" t="s">
        <v>3190</v>
      </c>
      <c r="P150" s="15" t="s">
        <v>2502</v>
      </c>
      <c r="Q150" s="15" t="s">
        <v>2901</v>
      </c>
      <c r="R150" s="15" t="str">
        <f t="shared" si="5"/>
        <v/>
      </c>
    </row>
    <row r="151" spans="1:18" x14ac:dyDescent="0.35">
      <c r="A151" s="15" t="s">
        <v>1627</v>
      </c>
      <c r="B151" s="15" t="s">
        <v>1628</v>
      </c>
      <c r="C151" s="15"/>
      <c r="D151" s="15"/>
      <c r="E151" s="15" t="s">
        <v>46</v>
      </c>
      <c r="F151" s="15" t="s">
        <v>3358</v>
      </c>
      <c r="G151" s="16"/>
      <c r="H151" s="16">
        <f>IF(COUNTIF(Sales_Ledger!$H$5:$H$863,A151)=0,"",_xlfn.MINIFS(Sales_Ledger!$B$5:$B$863,Sales_Ledger!$H$5:$H$863,A151))</f>
        <v>45622</v>
      </c>
      <c r="I151" s="17">
        <f>SUMIFS(Subscriptions!$I$5:$I$218,Subscriptions!$B$5:$B$218,A151)</f>
        <v>0</v>
      </c>
      <c r="J151" s="17">
        <f>SUMIFS(Subscriptions!$J$5:$J$218,Subscriptions!$B$5:$B$218,A151)</f>
        <v>0</v>
      </c>
      <c r="K151" s="17">
        <f>SUMIFS(Sales_Ledger!$J$5:$J$863,Sales_Ledger!$H$5:$H$863,$A151,Sales_Ledger!$D$5:$D$863,2023)</f>
        <v>0</v>
      </c>
      <c r="L151" s="17">
        <f>SUMIFS(Sales_Ledger!$J$5:$J$863,Sales_Ledger!$H$5:$H$863,$A151,Sales_Ledger!$D$5:$D$863,2024)</f>
        <v>135000</v>
      </c>
      <c r="M151" s="17">
        <f>SUMIFS(Sales_Ledger!$J$5:$J$863,Sales_Ledger!$H$5:$H$863,$A151,Sales_Ledger!$D$5:$D$863,2025)</f>
        <v>0</v>
      </c>
      <c r="N151" s="17">
        <f t="shared" si="4"/>
        <v>135000</v>
      </c>
      <c r="O151" s="15" t="s">
        <v>3253</v>
      </c>
      <c r="P151" s="15"/>
      <c r="Q151" s="15"/>
      <c r="R151" s="15" t="str">
        <f t="shared" si="5"/>
        <v>Not in client register: contract value unknown</v>
      </c>
    </row>
    <row r="152" spans="1:18" x14ac:dyDescent="0.35">
      <c r="A152" s="15" t="s">
        <v>1645</v>
      </c>
      <c r="B152" s="15" t="s">
        <v>1646</v>
      </c>
      <c r="C152" s="15" t="s">
        <v>3443</v>
      </c>
      <c r="D152" s="15" t="s">
        <v>3444</v>
      </c>
      <c r="E152" s="15" t="s">
        <v>46</v>
      </c>
      <c r="F152" s="15" t="s">
        <v>3203</v>
      </c>
      <c r="G152" s="16">
        <v>45625</v>
      </c>
      <c r="H152" s="16">
        <f>IF(COUNTIF(Sales_Ledger!$H$5:$H$863,A152)=0,"",_xlfn.MINIFS(Sales_Ledger!$B$5:$B$863,Sales_Ledger!$H$5:$H$863,A152))</f>
        <v>45625</v>
      </c>
      <c r="I152" s="17">
        <f>SUMIFS(Subscriptions!$I$5:$I$218,Subscriptions!$B$5:$B$218,A152)</f>
        <v>10700000</v>
      </c>
      <c r="J152" s="17">
        <f>SUMIFS(Subscriptions!$J$5:$J$218,Subscriptions!$B$5:$B$218,A152)</f>
        <v>2703400</v>
      </c>
      <c r="K152" s="17">
        <f>SUMIFS(Sales_Ledger!$J$5:$J$863,Sales_Ledger!$H$5:$H$863,$A152,Sales_Ledger!$D$5:$D$863,2023)</f>
        <v>0</v>
      </c>
      <c r="L152" s="17">
        <f>SUMIFS(Sales_Ledger!$J$5:$J$863,Sales_Ledger!$H$5:$H$863,$A152,Sales_Ledger!$D$5:$D$863,2024)</f>
        <v>1000000</v>
      </c>
      <c r="M152" s="17">
        <f>SUMIFS(Sales_Ledger!$J$5:$J$863,Sales_Ledger!$H$5:$H$863,$A152,Sales_Ledger!$D$5:$D$863,2025)</f>
        <v>1991400</v>
      </c>
      <c r="N152" s="17">
        <f t="shared" si="4"/>
        <v>2991400</v>
      </c>
      <c r="O152" s="15" t="s">
        <v>3190</v>
      </c>
      <c r="P152" s="15" t="s">
        <v>2601</v>
      </c>
      <c r="Q152" s="15" t="s">
        <v>1800</v>
      </c>
      <c r="R152" s="15" t="str">
        <f t="shared" si="5"/>
        <v/>
      </c>
    </row>
    <row r="153" spans="1:18" x14ac:dyDescent="0.35">
      <c r="A153" s="15" t="s">
        <v>1650</v>
      </c>
      <c r="B153" s="15" t="s">
        <v>1651</v>
      </c>
      <c r="C153" s="15" t="s">
        <v>3445</v>
      </c>
      <c r="D153" s="15" t="s">
        <v>3446</v>
      </c>
      <c r="E153" s="15" t="s">
        <v>46</v>
      </c>
      <c r="F153" s="15" t="s">
        <v>32</v>
      </c>
      <c r="G153" s="16">
        <v>45625</v>
      </c>
      <c r="H153" s="16">
        <f>IF(COUNTIF(Sales_Ledger!$H$5:$H$863,A153)=0,"",_xlfn.MINIFS(Sales_Ledger!$B$5:$B$863,Sales_Ledger!$H$5:$H$863,A153))</f>
        <v>45625</v>
      </c>
      <c r="I153" s="17">
        <f>SUMIFS(Subscriptions!$I$5:$I$218,Subscriptions!$B$5:$B$218,A153)</f>
        <v>5000000</v>
      </c>
      <c r="J153" s="17">
        <f>SUMIFS(Subscriptions!$J$5:$J$218,Subscriptions!$B$5:$B$218,A153)</f>
        <v>5000000</v>
      </c>
      <c r="K153" s="17">
        <f>SUMIFS(Sales_Ledger!$J$5:$J$863,Sales_Ledger!$H$5:$H$863,$A153,Sales_Ledger!$D$5:$D$863,2023)</f>
        <v>0</v>
      </c>
      <c r="L153" s="17">
        <f>SUMIFS(Sales_Ledger!$J$5:$J$863,Sales_Ledger!$H$5:$H$863,$A153,Sales_Ledger!$D$5:$D$863,2024)</f>
        <v>1500000</v>
      </c>
      <c r="M153" s="17">
        <f>SUMIFS(Sales_Ledger!$J$5:$J$863,Sales_Ledger!$H$5:$H$863,$A153,Sales_Ledger!$D$5:$D$863,2025)</f>
        <v>0</v>
      </c>
      <c r="N153" s="17">
        <f t="shared" si="4"/>
        <v>1500000</v>
      </c>
      <c r="O153" s="15" t="s">
        <v>3190</v>
      </c>
      <c r="P153" s="15" t="s">
        <v>2502</v>
      </c>
      <c r="Q153" s="15" t="s">
        <v>2938</v>
      </c>
      <c r="R153" s="15" t="str">
        <f t="shared" si="5"/>
        <v/>
      </c>
    </row>
    <row r="154" spans="1:18" x14ac:dyDescent="0.35">
      <c r="A154" s="15" t="s">
        <v>1653</v>
      </c>
      <c r="B154" s="15" t="s">
        <v>1861</v>
      </c>
      <c r="C154" s="15" t="s">
        <v>3447</v>
      </c>
      <c r="D154" s="15" t="s">
        <v>3448</v>
      </c>
      <c r="E154" s="15" t="s">
        <v>46</v>
      </c>
      <c r="F154" s="15" t="s">
        <v>3387</v>
      </c>
      <c r="G154" s="16">
        <v>45626</v>
      </c>
      <c r="H154" s="16">
        <f>IF(COUNTIF(Sales_Ledger!$H$5:$H$863,A154)=0,"",_xlfn.MINIFS(Sales_Ledger!$B$5:$B$863,Sales_Ledger!$H$5:$H$863,A154))</f>
        <v>45626</v>
      </c>
      <c r="I154" s="17">
        <f>SUMIFS(Subscriptions!$I$5:$I$218,Subscriptions!$B$5:$B$218,A154)</f>
        <v>5000000</v>
      </c>
      <c r="J154" s="17">
        <f>SUMIFS(Subscriptions!$J$5:$J$218,Subscriptions!$B$5:$B$218,A154)</f>
        <v>5000000</v>
      </c>
      <c r="K154" s="17">
        <f>SUMIFS(Sales_Ledger!$J$5:$J$863,Sales_Ledger!$H$5:$H$863,$A154,Sales_Ledger!$D$5:$D$863,2023)</f>
        <v>0</v>
      </c>
      <c r="L154" s="17">
        <f>SUMIFS(Sales_Ledger!$J$5:$J$863,Sales_Ledger!$H$5:$H$863,$A154,Sales_Ledger!$D$5:$D$863,2024)</f>
        <v>1000000</v>
      </c>
      <c r="M154" s="17">
        <f>SUMIFS(Sales_Ledger!$J$5:$J$863,Sales_Ledger!$H$5:$H$863,$A154,Sales_Ledger!$D$5:$D$863,2025)</f>
        <v>4000000</v>
      </c>
      <c r="N154" s="17">
        <f t="shared" si="4"/>
        <v>5000000</v>
      </c>
      <c r="O154" s="15" t="s">
        <v>3190</v>
      </c>
      <c r="P154" s="15" t="s">
        <v>2502</v>
      </c>
      <c r="Q154" s="15" t="s">
        <v>2816</v>
      </c>
      <c r="R154" s="15" t="str">
        <f t="shared" si="5"/>
        <v/>
      </c>
    </row>
    <row r="155" spans="1:18" x14ac:dyDescent="0.35">
      <c r="A155" s="15" t="s">
        <v>1658</v>
      </c>
      <c r="B155" s="15" t="s">
        <v>1659</v>
      </c>
      <c r="C155" s="15" t="s">
        <v>3449</v>
      </c>
      <c r="D155" s="15" t="s">
        <v>3450</v>
      </c>
      <c r="E155" s="15" t="s">
        <v>46</v>
      </c>
      <c r="F155" s="15" t="s">
        <v>3387</v>
      </c>
      <c r="G155" s="16">
        <v>45626</v>
      </c>
      <c r="H155" s="16">
        <f>IF(COUNTIF(Sales_Ledger!$H$5:$H$863,A155)=0,"",_xlfn.MINIFS(Sales_Ledger!$B$5:$B$863,Sales_Ledger!$H$5:$H$863,A155))</f>
        <v>45626</v>
      </c>
      <c r="I155" s="17">
        <f>SUMIFS(Subscriptions!$I$5:$I$218,Subscriptions!$B$5:$B$218,A155)</f>
        <v>5000000</v>
      </c>
      <c r="J155" s="17">
        <f>SUMIFS(Subscriptions!$J$5:$J$218,Subscriptions!$B$5:$B$218,A155)</f>
        <v>5000000</v>
      </c>
      <c r="K155" s="17">
        <f>SUMIFS(Sales_Ledger!$J$5:$J$863,Sales_Ledger!$H$5:$H$863,$A155,Sales_Ledger!$D$5:$D$863,2023)</f>
        <v>0</v>
      </c>
      <c r="L155" s="17">
        <f>SUMIFS(Sales_Ledger!$J$5:$J$863,Sales_Ledger!$H$5:$H$863,$A155,Sales_Ledger!$D$5:$D$863,2024)</f>
        <v>1000000</v>
      </c>
      <c r="M155" s="17">
        <f>SUMIFS(Sales_Ledger!$J$5:$J$863,Sales_Ledger!$H$5:$H$863,$A155,Sales_Ledger!$D$5:$D$863,2025)</f>
        <v>4000000</v>
      </c>
      <c r="N155" s="17">
        <f t="shared" si="4"/>
        <v>5000000</v>
      </c>
      <c r="O155" s="15" t="s">
        <v>3190</v>
      </c>
      <c r="P155" s="15" t="s">
        <v>2502</v>
      </c>
      <c r="Q155" s="15" t="s">
        <v>2816</v>
      </c>
      <c r="R155" s="15" t="str">
        <f t="shared" si="5"/>
        <v/>
      </c>
    </row>
    <row r="156" spans="1:18" x14ac:dyDescent="0.35">
      <c r="A156" s="15" t="s">
        <v>2944</v>
      </c>
      <c r="B156" s="15" t="s">
        <v>2945</v>
      </c>
      <c r="C156" s="15" t="s">
        <v>3451</v>
      </c>
      <c r="D156" s="15" t="s">
        <v>3452</v>
      </c>
      <c r="E156" s="15" t="s">
        <v>46</v>
      </c>
      <c r="F156" s="15" t="s">
        <v>33</v>
      </c>
      <c r="G156" s="16">
        <v>45630</v>
      </c>
      <c r="H156" s="16" t="str">
        <f>IF(COUNTIF(Sales_Ledger!$H$5:$H$863,A156)=0,"",_xlfn.MINIFS(Sales_Ledger!$B$5:$B$863,Sales_Ledger!$H$5:$H$863,A156))</f>
        <v/>
      </c>
      <c r="I156" s="17">
        <f>SUMIFS(Subscriptions!$I$5:$I$218,Subscriptions!$B$5:$B$218,A156)</f>
        <v>2000000</v>
      </c>
      <c r="J156" s="17">
        <f>SUMIFS(Subscriptions!$J$5:$J$218,Subscriptions!$B$5:$B$218,A156)</f>
        <v>350000</v>
      </c>
      <c r="K156" s="17">
        <f>SUMIFS(Sales_Ledger!$J$5:$J$863,Sales_Ledger!$H$5:$H$863,$A156,Sales_Ledger!$D$5:$D$863,2023)</f>
        <v>0</v>
      </c>
      <c r="L156" s="17">
        <f>SUMIFS(Sales_Ledger!$J$5:$J$863,Sales_Ledger!$H$5:$H$863,$A156,Sales_Ledger!$D$5:$D$863,2024)</f>
        <v>0</v>
      </c>
      <c r="M156" s="17">
        <f>SUMIFS(Sales_Ledger!$J$5:$J$863,Sales_Ledger!$H$5:$H$863,$A156,Sales_Ledger!$D$5:$D$863,2025)</f>
        <v>0</v>
      </c>
      <c r="N156" s="17">
        <f t="shared" si="4"/>
        <v>0</v>
      </c>
      <c r="O156" s="15" t="s">
        <v>3184</v>
      </c>
      <c r="P156" s="15" t="s">
        <v>2486</v>
      </c>
      <c r="Q156" s="15" t="s">
        <v>2947</v>
      </c>
      <c r="R156" s="15" t="str">
        <f t="shared" si="5"/>
        <v/>
      </c>
    </row>
    <row r="157" spans="1:18" x14ac:dyDescent="0.35">
      <c r="A157" s="15" t="s">
        <v>1703</v>
      </c>
      <c r="B157" s="15" t="s">
        <v>1704</v>
      </c>
      <c r="C157" s="15" t="s">
        <v>3453</v>
      </c>
      <c r="D157" s="15" t="s">
        <v>3454</v>
      </c>
      <c r="E157" s="15" t="s">
        <v>46</v>
      </c>
      <c r="F157" s="15" t="s">
        <v>3455</v>
      </c>
      <c r="G157" s="16">
        <v>45641</v>
      </c>
      <c r="H157" s="16">
        <f>IF(COUNTIF(Sales_Ledger!$H$5:$H$863,A157)=0,"",_xlfn.MINIFS(Sales_Ledger!$B$5:$B$863,Sales_Ledger!$H$5:$H$863,A157))</f>
        <v>45641</v>
      </c>
      <c r="I157" s="17">
        <f>SUMIFS(Subscriptions!$I$5:$I$218,Subscriptions!$B$5:$B$218,A157)</f>
        <v>2900000</v>
      </c>
      <c r="J157" s="17">
        <f>SUMIFS(Subscriptions!$J$5:$J$218,Subscriptions!$B$5:$B$218,A157)</f>
        <v>2100000</v>
      </c>
      <c r="K157" s="17">
        <f>SUMIFS(Sales_Ledger!$J$5:$J$863,Sales_Ledger!$H$5:$H$863,$A157,Sales_Ledger!$D$5:$D$863,2023)</f>
        <v>0</v>
      </c>
      <c r="L157" s="17">
        <f>SUMIFS(Sales_Ledger!$J$5:$J$863,Sales_Ledger!$H$5:$H$863,$A157,Sales_Ledger!$D$5:$D$863,2024)</f>
        <v>500000</v>
      </c>
      <c r="M157" s="17">
        <f>SUMIFS(Sales_Ledger!$J$5:$J$863,Sales_Ledger!$H$5:$H$863,$A157,Sales_Ledger!$D$5:$D$863,2025)</f>
        <v>2400000</v>
      </c>
      <c r="N157" s="17">
        <f t="shared" si="4"/>
        <v>2900000</v>
      </c>
      <c r="O157" s="15" t="s">
        <v>3190</v>
      </c>
      <c r="P157" s="15" t="s">
        <v>2502</v>
      </c>
      <c r="Q157" s="15" t="s">
        <v>2950</v>
      </c>
      <c r="R157" s="15" t="str">
        <f t="shared" si="5"/>
        <v/>
      </c>
    </row>
    <row r="158" spans="1:18" x14ac:dyDescent="0.35">
      <c r="A158" s="15" t="s">
        <v>1708</v>
      </c>
      <c r="B158" s="15" t="s">
        <v>1709</v>
      </c>
      <c r="C158" s="15" t="s">
        <v>3456</v>
      </c>
      <c r="D158" s="15" t="s">
        <v>3457</v>
      </c>
      <c r="E158" s="15" t="s">
        <v>46</v>
      </c>
      <c r="F158" s="15" t="s">
        <v>3455</v>
      </c>
      <c r="G158" s="16">
        <v>45641</v>
      </c>
      <c r="H158" s="16">
        <f>IF(COUNTIF(Sales_Ledger!$H$5:$H$863,A158)=0,"",_xlfn.MINIFS(Sales_Ledger!$B$5:$B$863,Sales_Ledger!$H$5:$H$863,A158))</f>
        <v>45641</v>
      </c>
      <c r="I158" s="17">
        <f>SUMIFS(Subscriptions!$I$5:$I$218,Subscriptions!$B$5:$B$218,A158)</f>
        <v>5800000</v>
      </c>
      <c r="J158" s="17">
        <f>SUMIFS(Subscriptions!$J$5:$J$218,Subscriptions!$B$5:$B$218,A158)</f>
        <v>4200000</v>
      </c>
      <c r="K158" s="17">
        <f>SUMIFS(Sales_Ledger!$J$5:$J$863,Sales_Ledger!$H$5:$H$863,$A158,Sales_Ledger!$D$5:$D$863,2023)</f>
        <v>0</v>
      </c>
      <c r="L158" s="17">
        <f>SUMIFS(Sales_Ledger!$J$5:$J$863,Sales_Ledger!$H$5:$H$863,$A158,Sales_Ledger!$D$5:$D$863,2024)</f>
        <v>1000000</v>
      </c>
      <c r="M158" s="17">
        <f>SUMIFS(Sales_Ledger!$J$5:$J$863,Sales_Ledger!$H$5:$H$863,$A158,Sales_Ledger!$D$5:$D$863,2025)</f>
        <v>4800000</v>
      </c>
      <c r="N158" s="17">
        <f t="shared" si="4"/>
        <v>5800000</v>
      </c>
      <c r="O158" s="15" t="s">
        <v>3190</v>
      </c>
      <c r="P158" s="15" t="s">
        <v>2502</v>
      </c>
      <c r="Q158" s="15" t="s">
        <v>2953</v>
      </c>
      <c r="R158" s="15" t="str">
        <f t="shared" si="5"/>
        <v/>
      </c>
    </row>
    <row r="159" spans="1:18" x14ac:dyDescent="0.35">
      <c r="A159" s="15" t="s">
        <v>1711</v>
      </c>
      <c r="B159" s="15" t="s">
        <v>1712</v>
      </c>
      <c r="C159" s="15" t="s">
        <v>3458</v>
      </c>
      <c r="D159" s="15" t="s">
        <v>3459</v>
      </c>
      <c r="E159" s="15" t="s">
        <v>46</v>
      </c>
      <c r="F159" s="15" t="s">
        <v>3455</v>
      </c>
      <c r="G159" s="16">
        <v>45641</v>
      </c>
      <c r="H159" s="16">
        <f>IF(COUNTIF(Sales_Ledger!$H$5:$H$863,A159)=0,"",_xlfn.MINIFS(Sales_Ledger!$B$5:$B$863,Sales_Ledger!$H$5:$H$863,A159))</f>
        <v>45641</v>
      </c>
      <c r="I159" s="17">
        <f>SUMIFS(Subscriptions!$I$5:$I$218,Subscriptions!$B$5:$B$218,A159)</f>
        <v>2900000</v>
      </c>
      <c r="J159" s="17">
        <f>SUMIFS(Subscriptions!$J$5:$J$218,Subscriptions!$B$5:$B$218,A159)</f>
        <v>2100000</v>
      </c>
      <c r="K159" s="17">
        <f>SUMIFS(Sales_Ledger!$J$5:$J$863,Sales_Ledger!$H$5:$H$863,$A159,Sales_Ledger!$D$5:$D$863,2023)</f>
        <v>0</v>
      </c>
      <c r="L159" s="17">
        <f>SUMIFS(Sales_Ledger!$J$5:$J$863,Sales_Ledger!$H$5:$H$863,$A159,Sales_Ledger!$D$5:$D$863,2024)</f>
        <v>500000</v>
      </c>
      <c r="M159" s="17">
        <f>SUMIFS(Sales_Ledger!$J$5:$J$863,Sales_Ledger!$H$5:$H$863,$A159,Sales_Ledger!$D$5:$D$863,2025)</f>
        <v>2400000</v>
      </c>
      <c r="N159" s="17">
        <f t="shared" si="4"/>
        <v>2900000</v>
      </c>
      <c r="O159" s="15" t="s">
        <v>3190</v>
      </c>
      <c r="P159" s="15" t="s">
        <v>2502</v>
      </c>
      <c r="Q159" s="15" t="s">
        <v>2950</v>
      </c>
      <c r="R159" s="15" t="str">
        <f t="shared" si="5"/>
        <v/>
      </c>
    </row>
    <row r="160" spans="1:18" x14ac:dyDescent="0.35">
      <c r="A160" s="15" t="s">
        <v>1714</v>
      </c>
      <c r="B160" s="15" t="s">
        <v>1715</v>
      </c>
      <c r="C160" s="15"/>
      <c r="D160" s="15"/>
      <c r="E160" s="15" t="s">
        <v>47</v>
      </c>
      <c r="F160" s="15" t="s">
        <v>40</v>
      </c>
      <c r="G160" s="16"/>
      <c r="H160" s="16">
        <f>IF(COUNTIF(Sales_Ledger!$H$5:$H$863,A160)=0,"",_xlfn.MINIFS(Sales_Ledger!$B$5:$B$863,Sales_Ledger!$H$5:$H$863,A160))</f>
        <v>45641</v>
      </c>
      <c r="I160" s="17">
        <f>SUMIFS(Subscriptions!$I$5:$I$218,Subscriptions!$B$5:$B$218,A160)</f>
        <v>0</v>
      </c>
      <c r="J160" s="17">
        <f>SUMIFS(Subscriptions!$J$5:$J$218,Subscriptions!$B$5:$B$218,A160)</f>
        <v>0</v>
      </c>
      <c r="K160" s="17">
        <f>SUMIFS(Sales_Ledger!$J$5:$J$863,Sales_Ledger!$H$5:$H$863,$A160,Sales_Ledger!$D$5:$D$863,2023)</f>
        <v>0</v>
      </c>
      <c r="L160" s="17">
        <f>SUMIFS(Sales_Ledger!$J$5:$J$863,Sales_Ledger!$H$5:$H$863,$A160,Sales_Ledger!$D$5:$D$863,2024)</f>
        <v>4750000</v>
      </c>
      <c r="M160" s="17">
        <f>SUMIFS(Sales_Ledger!$J$5:$J$863,Sales_Ledger!$H$5:$H$863,$A160,Sales_Ledger!$D$5:$D$863,2025)</f>
        <v>0</v>
      </c>
      <c r="N160" s="17">
        <f t="shared" si="4"/>
        <v>4750000</v>
      </c>
      <c r="O160" s="15" t="s">
        <v>3253</v>
      </c>
      <c r="P160" s="15"/>
      <c r="Q160" s="15"/>
      <c r="R160" s="15" t="str">
        <f t="shared" si="5"/>
        <v>Not in client register: contract value unknown</v>
      </c>
    </row>
    <row r="161" spans="1:18" x14ac:dyDescent="0.35">
      <c r="A161" s="15" t="s">
        <v>1717</v>
      </c>
      <c r="B161" s="15" t="s">
        <v>1718</v>
      </c>
      <c r="C161" s="15" t="s">
        <v>3460</v>
      </c>
      <c r="D161" s="15" t="s">
        <v>3461</v>
      </c>
      <c r="E161" s="15" t="s">
        <v>46</v>
      </c>
      <c r="F161" s="15" t="s">
        <v>3455</v>
      </c>
      <c r="G161" s="16">
        <v>45641</v>
      </c>
      <c r="H161" s="16">
        <f>IF(COUNTIF(Sales_Ledger!$H$5:$H$863,A161)=0,"",_xlfn.MINIFS(Sales_Ledger!$B$5:$B$863,Sales_Ledger!$H$5:$H$863,A161))</f>
        <v>45641</v>
      </c>
      <c r="I161" s="17">
        <f>SUMIFS(Subscriptions!$I$5:$I$218,Subscriptions!$B$5:$B$218,A161)</f>
        <v>5800000</v>
      </c>
      <c r="J161" s="17">
        <f>SUMIFS(Subscriptions!$J$5:$J$218,Subscriptions!$B$5:$B$218,A161)</f>
        <v>4200000</v>
      </c>
      <c r="K161" s="17">
        <f>SUMIFS(Sales_Ledger!$J$5:$J$863,Sales_Ledger!$H$5:$H$863,$A161,Sales_Ledger!$D$5:$D$863,2023)</f>
        <v>0</v>
      </c>
      <c r="L161" s="17">
        <f>SUMIFS(Sales_Ledger!$J$5:$J$863,Sales_Ledger!$H$5:$H$863,$A161,Sales_Ledger!$D$5:$D$863,2024)</f>
        <v>1000000</v>
      </c>
      <c r="M161" s="17">
        <f>SUMIFS(Sales_Ledger!$J$5:$J$863,Sales_Ledger!$H$5:$H$863,$A161,Sales_Ledger!$D$5:$D$863,2025)</f>
        <v>4800000</v>
      </c>
      <c r="N161" s="17">
        <f t="shared" si="4"/>
        <v>5800000</v>
      </c>
      <c r="O161" s="15" t="s">
        <v>3190</v>
      </c>
      <c r="P161" s="15" t="s">
        <v>2502</v>
      </c>
      <c r="Q161" s="15" t="s">
        <v>2953</v>
      </c>
      <c r="R161" s="15" t="str">
        <f t="shared" si="5"/>
        <v/>
      </c>
    </row>
    <row r="162" spans="1:18" x14ac:dyDescent="0.35">
      <c r="A162" s="15" t="s">
        <v>1732</v>
      </c>
      <c r="B162" s="15" t="s">
        <v>3105</v>
      </c>
      <c r="C162" s="15" t="s">
        <v>3462</v>
      </c>
      <c r="D162" s="15" t="s">
        <v>3463</v>
      </c>
      <c r="E162" s="15" t="s">
        <v>46</v>
      </c>
      <c r="F162" s="15" t="s">
        <v>3464</v>
      </c>
      <c r="G162" s="16">
        <v>45646</v>
      </c>
      <c r="H162" s="16">
        <f>IF(COUNTIF(Sales_Ledger!$H$5:$H$863,A162)=0,"",_xlfn.MINIFS(Sales_Ledger!$B$5:$B$863,Sales_Ledger!$H$5:$H$863,A162))</f>
        <v>45646</v>
      </c>
      <c r="I162" s="17">
        <f>SUMIFS(Subscriptions!$I$5:$I$218,Subscriptions!$B$5:$B$218,A162)</f>
        <v>3300000</v>
      </c>
      <c r="J162" s="17">
        <f>SUMIFS(Subscriptions!$J$5:$J$218,Subscriptions!$B$5:$B$218,A162)</f>
        <v>2800000</v>
      </c>
      <c r="K162" s="17">
        <f>SUMIFS(Sales_Ledger!$J$5:$J$863,Sales_Ledger!$H$5:$H$863,$A162,Sales_Ledger!$D$5:$D$863,2023)</f>
        <v>0</v>
      </c>
      <c r="L162" s="17">
        <f>SUMIFS(Sales_Ledger!$J$5:$J$863,Sales_Ledger!$H$5:$H$863,$A162,Sales_Ledger!$D$5:$D$863,2024)</f>
        <v>300000</v>
      </c>
      <c r="M162" s="17">
        <f>SUMIFS(Sales_Ledger!$J$5:$J$863,Sales_Ledger!$H$5:$H$863,$A162,Sales_Ledger!$D$5:$D$863,2025)</f>
        <v>1200000</v>
      </c>
      <c r="N162" s="17">
        <f t="shared" si="4"/>
        <v>1500000</v>
      </c>
      <c r="O162" s="15" t="s">
        <v>3190</v>
      </c>
      <c r="P162" s="15" t="s">
        <v>3465</v>
      </c>
      <c r="Q162" s="15" t="s">
        <v>3466</v>
      </c>
      <c r="R162" s="15" t="str">
        <f t="shared" si="5"/>
        <v/>
      </c>
    </row>
    <row r="163" spans="1:18" x14ac:dyDescent="0.35">
      <c r="A163" s="15" t="s">
        <v>1736</v>
      </c>
      <c r="B163" s="15" t="s">
        <v>1737</v>
      </c>
      <c r="C163" s="15" t="s">
        <v>3467</v>
      </c>
      <c r="D163" s="15" t="s">
        <v>3468</v>
      </c>
      <c r="E163" s="15" t="s">
        <v>46</v>
      </c>
      <c r="F163" s="15" t="s">
        <v>3412</v>
      </c>
      <c r="G163" s="16">
        <v>45650</v>
      </c>
      <c r="H163" s="16">
        <f>IF(COUNTIF(Sales_Ledger!$H$5:$H$863,A163)=0,"",_xlfn.MINIFS(Sales_Ledger!$B$5:$B$863,Sales_Ledger!$H$5:$H$863,A163))</f>
        <v>45650</v>
      </c>
      <c r="I163" s="17">
        <f>SUMIFS(Subscriptions!$I$5:$I$218,Subscriptions!$B$5:$B$218,A163)</f>
        <v>1100000</v>
      </c>
      <c r="J163" s="17">
        <f>SUMIFS(Subscriptions!$J$5:$J$218,Subscriptions!$B$5:$B$218,A163)</f>
        <v>1000000</v>
      </c>
      <c r="K163" s="17">
        <f>SUMIFS(Sales_Ledger!$J$5:$J$863,Sales_Ledger!$H$5:$H$863,$A163,Sales_Ledger!$D$5:$D$863,2023)</f>
        <v>0</v>
      </c>
      <c r="L163" s="17">
        <f>SUMIFS(Sales_Ledger!$J$5:$J$863,Sales_Ledger!$H$5:$H$863,$A163,Sales_Ledger!$D$5:$D$863,2024)</f>
        <v>500000</v>
      </c>
      <c r="M163" s="17">
        <f>SUMIFS(Sales_Ledger!$J$5:$J$863,Sales_Ledger!$H$5:$H$863,$A163,Sales_Ledger!$D$5:$D$863,2025)</f>
        <v>500000</v>
      </c>
      <c r="N163" s="17">
        <f t="shared" si="4"/>
        <v>1000000</v>
      </c>
      <c r="O163" s="15" t="s">
        <v>3190</v>
      </c>
      <c r="P163" s="15" t="s">
        <v>2601</v>
      </c>
      <c r="Q163" s="15" t="s">
        <v>2675</v>
      </c>
      <c r="R163" s="15" t="str">
        <f t="shared" si="5"/>
        <v/>
      </c>
    </row>
    <row r="164" spans="1:18" x14ac:dyDescent="0.35">
      <c r="A164" s="15" t="s">
        <v>1755</v>
      </c>
      <c r="B164" s="15" t="s">
        <v>1756</v>
      </c>
      <c r="C164" s="15" t="s">
        <v>3469</v>
      </c>
      <c r="D164" s="15" t="s">
        <v>3470</v>
      </c>
      <c r="E164" s="15" t="s">
        <v>47</v>
      </c>
      <c r="F164" s="15" t="s">
        <v>40</v>
      </c>
      <c r="G164" s="16">
        <v>45653</v>
      </c>
      <c r="H164" s="16">
        <f>IF(COUNTIF(Sales_Ledger!$H$5:$H$863,A164)=0,"",_xlfn.MINIFS(Sales_Ledger!$B$5:$B$863,Sales_Ledger!$H$5:$H$863,A164))</f>
        <v>45653</v>
      </c>
      <c r="I164" s="17">
        <f>SUMIFS(Subscriptions!$I$5:$I$218,Subscriptions!$B$5:$B$218,A164)</f>
        <v>75000000</v>
      </c>
      <c r="J164" s="17">
        <f>SUMIFS(Subscriptions!$J$5:$J$218,Subscriptions!$B$5:$B$218,A164)</f>
        <v>30000000</v>
      </c>
      <c r="K164" s="17">
        <f>SUMIFS(Sales_Ledger!$J$5:$J$863,Sales_Ledger!$H$5:$H$863,$A164,Sales_Ledger!$D$5:$D$863,2023)</f>
        <v>0</v>
      </c>
      <c r="L164" s="17">
        <f>SUMIFS(Sales_Ledger!$J$5:$J$863,Sales_Ledger!$H$5:$H$863,$A164,Sales_Ledger!$D$5:$D$863,2024)</f>
        <v>10000000</v>
      </c>
      <c r="M164" s="17">
        <f>SUMIFS(Sales_Ledger!$J$5:$J$863,Sales_Ledger!$H$5:$H$863,$A164,Sales_Ledger!$D$5:$D$863,2025)</f>
        <v>15000000</v>
      </c>
      <c r="N164" s="17">
        <f t="shared" si="4"/>
        <v>25000000</v>
      </c>
      <c r="O164" s="15" t="s">
        <v>3190</v>
      </c>
      <c r="P164" s="15" t="s">
        <v>2601</v>
      </c>
      <c r="Q164" s="15" t="s">
        <v>2966</v>
      </c>
      <c r="R164" s="15" t="str">
        <f t="shared" si="5"/>
        <v/>
      </c>
    </row>
    <row r="165" spans="1:18" x14ac:dyDescent="0.35">
      <c r="A165" s="15" t="s">
        <v>1764</v>
      </c>
      <c r="B165" s="15" t="s">
        <v>1765</v>
      </c>
      <c r="C165" s="15"/>
      <c r="D165" s="15"/>
      <c r="E165" s="15" t="s">
        <v>46</v>
      </c>
      <c r="F165" s="15" t="s">
        <v>33</v>
      </c>
      <c r="G165" s="16"/>
      <c r="H165" s="16">
        <f>IF(COUNTIF(Sales_Ledger!$H$5:$H$863,A165)=0,"",_xlfn.MINIFS(Sales_Ledger!$B$5:$B$863,Sales_Ledger!$H$5:$H$863,A165))</f>
        <v>45656</v>
      </c>
      <c r="I165" s="17">
        <f>SUMIFS(Subscriptions!$I$5:$I$218,Subscriptions!$B$5:$B$218,A165)</f>
        <v>0</v>
      </c>
      <c r="J165" s="17">
        <f>SUMIFS(Subscriptions!$J$5:$J$218,Subscriptions!$B$5:$B$218,A165)</f>
        <v>0</v>
      </c>
      <c r="K165" s="17">
        <f>SUMIFS(Sales_Ledger!$J$5:$J$863,Sales_Ledger!$H$5:$H$863,$A165,Sales_Ledger!$D$5:$D$863,2023)</f>
        <v>0</v>
      </c>
      <c r="L165" s="17">
        <f>SUMIFS(Sales_Ledger!$J$5:$J$863,Sales_Ledger!$H$5:$H$863,$A165,Sales_Ledger!$D$5:$D$863,2024)</f>
        <v>300000</v>
      </c>
      <c r="M165" s="17">
        <f>SUMIFS(Sales_Ledger!$J$5:$J$863,Sales_Ledger!$H$5:$H$863,$A165,Sales_Ledger!$D$5:$D$863,2025)</f>
        <v>0</v>
      </c>
      <c r="N165" s="17">
        <f t="shared" si="4"/>
        <v>300000</v>
      </c>
      <c r="O165" s="15" t="s">
        <v>3253</v>
      </c>
      <c r="P165" s="15"/>
      <c r="Q165" s="15"/>
      <c r="R165" s="15" t="str">
        <f t="shared" si="5"/>
        <v>Not in client register: contract value unknown</v>
      </c>
    </row>
    <row r="166" spans="1:18" x14ac:dyDescent="0.35">
      <c r="A166" s="15" t="s">
        <v>2968</v>
      </c>
      <c r="B166" s="15" t="s">
        <v>2969</v>
      </c>
      <c r="C166" s="15" t="s">
        <v>3471</v>
      </c>
      <c r="D166" s="15" t="s">
        <v>3472</v>
      </c>
      <c r="E166" s="15" t="s">
        <v>46</v>
      </c>
      <c r="F166" s="15" t="s">
        <v>33</v>
      </c>
      <c r="G166" s="16">
        <v>45657</v>
      </c>
      <c r="H166" s="16" t="str">
        <f>IF(COUNTIF(Sales_Ledger!$H$5:$H$863,A166)=0,"",_xlfn.MINIFS(Sales_Ledger!$B$5:$B$863,Sales_Ledger!$H$5:$H$863,A166))</f>
        <v/>
      </c>
      <c r="I166" s="17">
        <f>SUMIFS(Subscriptions!$I$5:$I$218,Subscriptions!$B$5:$B$218,A166)</f>
        <v>2000000</v>
      </c>
      <c r="J166" s="17">
        <f>SUMIFS(Subscriptions!$J$5:$J$218,Subscriptions!$B$5:$B$218,A166)</f>
        <v>500000</v>
      </c>
      <c r="K166" s="17">
        <f>SUMIFS(Sales_Ledger!$J$5:$J$863,Sales_Ledger!$H$5:$H$863,$A166,Sales_Ledger!$D$5:$D$863,2023)</f>
        <v>0</v>
      </c>
      <c r="L166" s="17">
        <f>SUMIFS(Sales_Ledger!$J$5:$J$863,Sales_Ledger!$H$5:$H$863,$A166,Sales_Ledger!$D$5:$D$863,2024)</f>
        <v>0</v>
      </c>
      <c r="M166" s="17">
        <f>SUMIFS(Sales_Ledger!$J$5:$J$863,Sales_Ledger!$H$5:$H$863,$A166,Sales_Ledger!$D$5:$D$863,2025)</f>
        <v>0</v>
      </c>
      <c r="N166" s="17">
        <f t="shared" si="4"/>
        <v>0</v>
      </c>
      <c r="O166" s="15" t="s">
        <v>3184</v>
      </c>
      <c r="P166" s="15" t="s">
        <v>2486</v>
      </c>
      <c r="Q166" s="15" t="s">
        <v>2894</v>
      </c>
      <c r="R166" s="15" t="str">
        <f t="shared" si="5"/>
        <v/>
      </c>
    </row>
    <row r="167" spans="1:18" x14ac:dyDescent="0.35">
      <c r="A167" s="15" t="s">
        <v>1771</v>
      </c>
      <c r="B167" s="15" t="s">
        <v>1772</v>
      </c>
      <c r="C167" s="15" t="s">
        <v>3473</v>
      </c>
      <c r="D167" s="15" t="s">
        <v>3474</v>
      </c>
      <c r="E167" s="15" t="s">
        <v>46</v>
      </c>
      <c r="F167" s="15" t="s">
        <v>3475</v>
      </c>
      <c r="G167" s="16">
        <v>45657</v>
      </c>
      <c r="H167" s="16">
        <f>IF(COUNTIF(Sales_Ledger!$H$5:$H$863,A167)=0,"",_xlfn.MINIFS(Sales_Ledger!$B$5:$B$863,Sales_Ledger!$H$5:$H$863,A167))</f>
        <v>45657</v>
      </c>
      <c r="I167" s="17">
        <f>SUMIFS(Subscriptions!$I$5:$I$218,Subscriptions!$B$5:$B$218,A167)</f>
        <v>550000</v>
      </c>
      <c r="J167" s="17">
        <f>SUMIFS(Subscriptions!$J$5:$J$218,Subscriptions!$B$5:$B$218,A167)</f>
        <v>550000</v>
      </c>
      <c r="K167" s="17">
        <f>SUMIFS(Sales_Ledger!$J$5:$J$863,Sales_Ledger!$H$5:$H$863,$A167,Sales_Ledger!$D$5:$D$863,2023)</f>
        <v>0</v>
      </c>
      <c r="L167" s="17">
        <f>SUMIFS(Sales_Ledger!$J$5:$J$863,Sales_Ledger!$H$5:$H$863,$A167,Sales_Ledger!$D$5:$D$863,2024)</f>
        <v>600000</v>
      </c>
      <c r="M167" s="17">
        <f>SUMIFS(Sales_Ledger!$J$5:$J$863,Sales_Ledger!$H$5:$H$863,$A167,Sales_Ledger!$D$5:$D$863,2025)</f>
        <v>0</v>
      </c>
      <c r="N167" s="17">
        <f t="shared" si="4"/>
        <v>600000</v>
      </c>
      <c r="O167" s="15" t="s">
        <v>3190</v>
      </c>
      <c r="P167" s="15" t="s">
        <v>2502</v>
      </c>
      <c r="Q167" s="15" t="s">
        <v>2835</v>
      </c>
      <c r="R167" s="15" t="str">
        <f t="shared" si="5"/>
        <v>Receipts exceed register contract value: check for duplicate entries, extra plots or ancillary fees</v>
      </c>
    </row>
    <row r="168" spans="1:18" x14ac:dyDescent="0.35">
      <c r="A168" s="15" t="s">
        <v>1780</v>
      </c>
      <c r="B168" s="15" t="s">
        <v>1781</v>
      </c>
      <c r="C168" s="15" t="s">
        <v>3476</v>
      </c>
      <c r="D168" s="15" t="s">
        <v>3477</v>
      </c>
      <c r="E168" s="15" t="s">
        <v>46</v>
      </c>
      <c r="F168" s="15" t="s">
        <v>34</v>
      </c>
      <c r="G168" s="16">
        <v>45659</v>
      </c>
      <c r="H168" s="16">
        <f>IF(COUNTIF(Sales_Ledger!$H$5:$H$863,A168)=0,"",_xlfn.MINIFS(Sales_Ledger!$B$5:$B$863,Sales_Ledger!$H$5:$H$863,A168))</f>
        <v>45659</v>
      </c>
      <c r="I168" s="17">
        <f>SUMIFS(Subscriptions!$I$5:$I$218,Subscriptions!$B$5:$B$218,A168)</f>
        <v>1000000</v>
      </c>
      <c r="J168" s="17">
        <f>SUMIFS(Subscriptions!$J$5:$J$218,Subscriptions!$B$5:$B$218,A168)</f>
        <v>1000000</v>
      </c>
      <c r="K168" s="17">
        <f>SUMIFS(Sales_Ledger!$J$5:$J$863,Sales_Ledger!$H$5:$H$863,$A168,Sales_Ledger!$D$5:$D$863,2023)</f>
        <v>0</v>
      </c>
      <c r="L168" s="17">
        <f>SUMIFS(Sales_Ledger!$J$5:$J$863,Sales_Ledger!$H$5:$H$863,$A168,Sales_Ledger!$D$5:$D$863,2024)</f>
        <v>0</v>
      </c>
      <c r="M168" s="17">
        <f>SUMIFS(Sales_Ledger!$J$5:$J$863,Sales_Ledger!$H$5:$H$863,$A168,Sales_Ledger!$D$5:$D$863,2025)</f>
        <v>1000000</v>
      </c>
      <c r="N168" s="17">
        <f t="shared" si="4"/>
        <v>1000000</v>
      </c>
      <c r="O168" s="15" t="s">
        <v>3190</v>
      </c>
      <c r="P168" s="15" t="s">
        <v>2502</v>
      </c>
      <c r="Q168" s="15" t="s">
        <v>2974</v>
      </c>
      <c r="R168" s="15" t="str">
        <f t="shared" si="5"/>
        <v/>
      </c>
    </row>
    <row r="169" spans="1:18" x14ac:dyDescent="0.35">
      <c r="A169" s="15" t="s">
        <v>1798</v>
      </c>
      <c r="B169" s="15" t="s">
        <v>2976</v>
      </c>
      <c r="C169" s="15" t="s">
        <v>3478</v>
      </c>
      <c r="D169" s="15" t="s">
        <v>3479</v>
      </c>
      <c r="E169" s="15" t="s">
        <v>47</v>
      </c>
      <c r="F169" s="15" t="s">
        <v>26</v>
      </c>
      <c r="G169" s="16">
        <v>45677</v>
      </c>
      <c r="H169" s="16">
        <f>IF(COUNTIF(Sales_Ledger!$H$5:$H$863,A169)=0,"",_xlfn.MINIFS(Sales_Ledger!$B$5:$B$863,Sales_Ledger!$H$5:$H$863,A169))</f>
        <v>45677</v>
      </c>
      <c r="I169" s="17">
        <f>SUMIFS(Subscriptions!$I$5:$I$218,Subscriptions!$B$5:$B$218,A169)</f>
        <v>250000000</v>
      </c>
      <c r="J169" s="17">
        <f>SUMIFS(Subscriptions!$J$5:$J$218,Subscriptions!$B$5:$B$218,A169)</f>
        <v>250000000</v>
      </c>
      <c r="K169" s="17">
        <f>SUMIFS(Sales_Ledger!$J$5:$J$863,Sales_Ledger!$H$5:$H$863,$A169,Sales_Ledger!$D$5:$D$863,2023)</f>
        <v>0</v>
      </c>
      <c r="L169" s="17">
        <f>SUMIFS(Sales_Ledger!$J$5:$J$863,Sales_Ledger!$H$5:$H$863,$A169,Sales_Ledger!$D$5:$D$863,2024)</f>
        <v>0</v>
      </c>
      <c r="M169" s="17">
        <f>SUMIFS(Sales_Ledger!$J$5:$J$863,Sales_Ledger!$H$5:$H$863,$A169,Sales_Ledger!$D$5:$D$863,2025)</f>
        <v>250000000</v>
      </c>
      <c r="N169" s="17">
        <f t="shared" si="4"/>
        <v>250000000</v>
      </c>
      <c r="O169" s="15" t="s">
        <v>3190</v>
      </c>
      <c r="P169" s="15" t="s">
        <v>2502</v>
      </c>
      <c r="Q169" s="15" t="s">
        <v>2978</v>
      </c>
      <c r="R169" s="15" t="str">
        <f t="shared" si="5"/>
        <v/>
      </c>
    </row>
    <row r="170" spans="1:18" x14ac:dyDescent="0.35">
      <c r="A170" s="15" t="s">
        <v>1812</v>
      </c>
      <c r="B170" s="15" t="s">
        <v>1813</v>
      </c>
      <c r="C170" s="15" t="s">
        <v>3480</v>
      </c>
      <c r="D170" s="15" t="s">
        <v>3481</v>
      </c>
      <c r="E170" s="15" t="s">
        <v>46</v>
      </c>
      <c r="F170" s="15" t="s">
        <v>3387</v>
      </c>
      <c r="G170" s="16">
        <v>45680</v>
      </c>
      <c r="H170" s="16">
        <f>IF(COUNTIF(Sales_Ledger!$H$5:$H$863,A170)=0,"",_xlfn.MINIFS(Sales_Ledger!$B$5:$B$863,Sales_Ledger!$H$5:$H$863,A170))</f>
        <v>45680</v>
      </c>
      <c r="I170" s="17">
        <f>SUMIFS(Subscriptions!$I$5:$I$218,Subscriptions!$B$5:$B$218,A170)</f>
        <v>3800000</v>
      </c>
      <c r="J170" s="17">
        <f>SUMIFS(Subscriptions!$J$5:$J$218,Subscriptions!$B$5:$B$218,A170)</f>
        <v>3800000</v>
      </c>
      <c r="K170" s="17">
        <f>SUMIFS(Sales_Ledger!$J$5:$J$863,Sales_Ledger!$H$5:$H$863,$A170,Sales_Ledger!$D$5:$D$863,2023)</f>
        <v>0</v>
      </c>
      <c r="L170" s="17">
        <f>SUMIFS(Sales_Ledger!$J$5:$J$863,Sales_Ledger!$H$5:$H$863,$A170,Sales_Ledger!$D$5:$D$863,2024)</f>
        <v>0</v>
      </c>
      <c r="M170" s="17">
        <f>SUMIFS(Sales_Ledger!$J$5:$J$863,Sales_Ledger!$H$5:$H$863,$A170,Sales_Ledger!$D$5:$D$863,2025)</f>
        <v>1800000</v>
      </c>
      <c r="N170" s="17">
        <f t="shared" si="4"/>
        <v>1800000</v>
      </c>
      <c r="O170" s="15" t="s">
        <v>3190</v>
      </c>
      <c r="P170" s="15" t="s">
        <v>2981</v>
      </c>
      <c r="Q170" s="15" t="s">
        <v>2983</v>
      </c>
      <c r="R170" s="15" t="str">
        <f t="shared" si="5"/>
        <v/>
      </c>
    </row>
    <row r="171" spans="1:18" x14ac:dyDescent="0.35">
      <c r="A171" s="15" t="s">
        <v>1835</v>
      </c>
      <c r="B171" s="15" t="s">
        <v>1836</v>
      </c>
      <c r="C171" s="15"/>
      <c r="D171" s="15"/>
      <c r="E171" s="15" t="s">
        <v>46</v>
      </c>
      <c r="F171" s="15" t="s">
        <v>36</v>
      </c>
      <c r="G171" s="16"/>
      <c r="H171" s="16">
        <f>IF(COUNTIF(Sales_Ledger!$H$5:$H$863,A171)=0,"",_xlfn.MINIFS(Sales_Ledger!$B$5:$B$863,Sales_Ledger!$H$5:$H$863,A171))</f>
        <v>45686</v>
      </c>
      <c r="I171" s="17">
        <f>SUMIFS(Subscriptions!$I$5:$I$218,Subscriptions!$B$5:$B$218,A171)</f>
        <v>0</v>
      </c>
      <c r="J171" s="17">
        <f>SUMIFS(Subscriptions!$J$5:$J$218,Subscriptions!$B$5:$B$218,A171)</f>
        <v>0</v>
      </c>
      <c r="K171" s="17">
        <f>SUMIFS(Sales_Ledger!$J$5:$J$863,Sales_Ledger!$H$5:$H$863,$A171,Sales_Ledger!$D$5:$D$863,2023)</f>
        <v>0</v>
      </c>
      <c r="L171" s="17">
        <f>SUMIFS(Sales_Ledger!$J$5:$J$863,Sales_Ledger!$H$5:$H$863,$A171,Sales_Ledger!$D$5:$D$863,2024)</f>
        <v>0</v>
      </c>
      <c r="M171" s="17">
        <f>SUMIFS(Sales_Ledger!$J$5:$J$863,Sales_Ledger!$H$5:$H$863,$A171,Sales_Ledger!$D$5:$D$863,2025)</f>
        <v>3000000</v>
      </c>
      <c r="N171" s="17">
        <f t="shared" si="4"/>
        <v>3000000</v>
      </c>
      <c r="O171" s="15" t="s">
        <v>3253</v>
      </c>
      <c r="P171" s="15"/>
      <c r="Q171" s="15"/>
      <c r="R171" s="15" t="str">
        <f t="shared" si="5"/>
        <v>Not in client register: contract value unknown</v>
      </c>
    </row>
    <row r="172" spans="1:18" x14ac:dyDescent="0.35">
      <c r="A172" s="15" t="s">
        <v>1864</v>
      </c>
      <c r="B172" s="15" t="s">
        <v>1865</v>
      </c>
      <c r="C172" s="15" t="s">
        <v>3482</v>
      </c>
      <c r="D172" s="15" t="s">
        <v>3374</v>
      </c>
      <c r="E172" s="15" t="s">
        <v>46</v>
      </c>
      <c r="F172" s="15" t="s">
        <v>3483</v>
      </c>
      <c r="G172" s="16">
        <v>45692</v>
      </c>
      <c r="H172" s="16">
        <f>IF(COUNTIF(Sales_Ledger!$H$5:$H$863,A172)=0,"",_xlfn.MINIFS(Sales_Ledger!$B$5:$B$863,Sales_Ledger!$H$5:$H$863,A172))</f>
        <v>45692</v>
      </c>
      <c r="I172" s="17">
        <f>SUMIFS(Subscriptions!$I$5:$I$218,Subscriptions!$B$5:$B$218,A172)</f>
        <v>2000000</v>
      </c>
      <c r="J172" s="17">
        <f>SUMIFS(Subscriptions!$J$5:$J$218,Subscriptions!$B$5:$B$218,A172)</f>
        <v>2000000</v>
      </c>
      <c r="K172" s="17">
        <f>SUMIFS(Sales_Ledger!$J$5:$J$863,Sales_Ledger!$H$5:$H$863,$A172,Sales_Ledger!$D$5:$D$863,2023)</f>
        <v>0</v>
      </c>
      <c r="L172" s="17">
        <f>SUMIFS(Sales_Ledger!$J$5:$J$863,Sales_Ledger!$H$5:$H$863,$A172,Sales_Ledger!$D$5:$D$863,2024)</f>
        <v>0</v>
      </c>
      <c r="M172" s="17">
        <f>SUMIFS(Sales_Ledger!$J$5:$J$863,Sales_Ledger!$H$5:$H$863,$A172,Sales_Ledger!$D$5:$D$863,2025)</f>
        <v>2000000</v>
      </c>
      <c r="N172" s="17">
        <f t="shared" si="4"/>
        <v>2000000</v>
      </c>
      <c r="O172" s="15" t="s">
        <v>3190</v>
      </c>
      <c r="P172" s="15" t="s">
        <v>2502</v>
      </c>
      <c r="Q172" s="15" t="s">
        <v>2816</v>
      </c>
      <c r="R172" s="15" t="str">
        <f t="shared" si="5"/>
        <v/>
      </c>
    </row>
    <row r="173" spans="1:18" x14ac:dyDescent="0.35">
      <c r="A173" s="15" t="s">
        <v>2987</v>
      </c>
      <c r="B173" s="15" t="s">
        <v>2988</v>
      </c>
      <c r="C173" s="15" t="s">
        <v>3484</v>
      </c>
      <c r="D173" s="15" t="s">
        <v>3485</v>
      </c>
      <c r="E173" s="15" t="s">
        <v>46</v>
      </c>
      <c r="F173" s="15" t="s">
        <v>34</v>
      </c>
      <c r="G173" s="16">
        <v>45693</v>
      </c>
      <c r="H173" s="16" t="str">
        <f>IF(COUNTIF(Sales_Ledger!$H$5:$H$863,A173)=0,"",_xlfn.MINIFS(Sales_Ledger!$B$5:$B$863,Sales_Ledger!$H$5:$H$863,A173))</f>
        <v/>
      </c>
      <c r="I173" s="17">
        <f>SUMIFS(Subscriptions!$I$5:$I$218,Subscriptions!$B$5:$B$218,A173)</f>
        <v>594000</v>
      </c>
      <c r="J173" s="17">
        <f>SUMIFS(Subscriptions!$J$5:$J$218,Subscriptions!$B$5:$B$218,A173)</f>
        <v>75000</v>
      </c>
      <c r="K173" s="17">
        <f>SUMIFS(Sales_Ledger!$J$5:$J$863,Sales_Ledger!$H$5:$H$863,$A173,Sales_Ledger!$D$5:$D$863,2023)</f>
        <v>0</v>
      </c>
      <c r="L173" s="17">
        <f>SUMIFS(Sales_Ledger!$J$5:$J$863,Sales_Ledger!$H$5:$H$863,$A173,Sales_Ledger!$D$5:$D$863,2024)</f>
        <v>0</v>
      </c>
      <c r="M173" s="17">
        <f>SUMIFS(Sales_Ledger!$J$5:$J$863,Sales_Ledger!$H$5:$H$863,$A173,Sales_Ledger!$D$5:$D$863,2025)</f>
        <v>0</v>
      </c>
      <c r="N173" s="17">
        <f t="shared" si="4"/>
        <v>0</v>
      </c>
      <c r="O173" s="15" t="s">
        <v>3184</v>
      </c>
      <c r="P173" s="15" t="s">
        <v>2601</v>
      </c>
      <c r="Q173" s="15" t="s">
        <v>2990</v>
      </c>
      <c r="R173" s="15" t="str">
        <f t="shared" si="5"/>
        <v/>
      </c>
    </row>
    <row r="174" spans="1:18" x14ac:dyDescent="0.35">
      <c r="A174" s="15" t="s">
        <v>1870</v>
      </c>
      <c r="B174" s="15" t="s">
        <v>1871</v>
      </c>
      <c r="C174" s="15"/>
      <c r="D174" s="15"/>
      <c r="E174" s="15" t="s">
        <v>46</v>
      </c>
      <c r="F174" s="15" t="s">
        <v>36</v>
      </c>
      <c r="G174" s="16"/>
      <c r="H174" s="16">
        <f>IF(COUNTIF(Sales_Ledger!$H$5:$H$863,A174)=0,"",_xlfn.MINIFS(Sales_Ledger!$B$5:$B$863,Sales_Ledger!$H$5:$H$863,A174))</f>
        <v>45694</v>
      </c>
      <c r="I174" s="17">
        <f>SUMIFS(Subscriptions!$I$5:$I$218,Subscriptions!$B$5:$B$218,A174)</f>
        <v>0</v>
      </c>
      <c r="J174" s="17">
        <f>SUMIFS(Subscriptions!$J$5:$J$218,Subscriptions!$B$5:$B$218,A174)</f>
        <v>0</v>
      </c>
      <c r="K174" s="17">
        <f>SUMIFS(Sales_Ledger!$J$5:$J$863,Sales_Ledger!$H$5:$H$863,$A174,Sales_Ledger!$D$5:$D$863,2023)</f>
        <v>0</v>
      </c>
      <c r="L174" s="17">
        <f>SUMIFS(Sales_Ledger!$J$5:$J$863,Sales_Ledger!$H$5:$H$863,$A174,Sales_Ledger!$D$5:$D$863,2024)</f>
        <v>0</v>
      </c>
      <c r="M174" s="17">
        <f>SUMIFS(Sales_Ledger!$J$5:$J$863,Sales_Ledger!$H$5:$H$863,$A174,Sales_Ledger!$D$5:$D$863,2025)</f>
        <v>3800000</v>
      </c>
      <c r="N174" s="17">
        <f t="shared" si="4"/>
        <v>3800000</v>
      </c>
      <c r="O174" s="15" t="s">
        <v>3253</v>
      </c>
      <c r="P174" s="15"/>
      <c r="Q174" s="15"/>
      <c r="R174" s="15" t="str">
        <f t="shared" si="5"/>
        <v>Not in client register: contract value unknown</v>
      </c>
    </row>
    <row r="175" spans="1:18" x14ac:dyDescent="0.35">
      <c r="A175" s="15" t="s">
        <v>2992</v>
      </c>
      <c r="B175" s="15" t="s">
        <v>2993</v>
      </c>
      <c r="C175" s="15" t="s">
        <v>3486</v>
      </c>
      <c r="D175" s="15" t="s">
        <v>3487</v>
      </c>
      <c r="E175" s="15" t="s">
        <v>46</v>
      </c>
      <c r="F175" s="15" t="s">
        <v>33</v>
      </c>
      <c r="G175" s="16">
        <v>45694</v>
      </c>
      <c r="H175" s="16" t="str">
        <f>IF(COUNTIF(Sales_Ledger!$H$5:$H$863,A175)=0,"",_xlfn.MINIFS(Sales_Ledger!$B$5:$B$863,Sales_Ledger!$H$5:$H$863,A175))</f>
        <v/>
      </c>
      <c r="I175" s="17">
        <f>SUMIFS(Subscriptions!$I$5:$I$218,Subscriptions!$B$5:$B$218,A175)</f>
        <v>3800000</v>
      </c>
      <c r="J175" s="17">
        <f>SUMIFS(Subscriptions!$J$5:$J$218,Subscriptions!$B$5:$B$218,A175)</f>
        <v>3800000</v>
      </c>
      <c r="K175" s="17">
        <f>SUMIFS(Sales_Ledger!$J$5:$J$863,Sales_Ledger!$H$5:$H$863,$A175,Sales_Ledger!$D$5:$D$863,2023)</f>
        <v>0</v>
      </c>
      <c r="L175" s="17">
        <f>SUMIFS(Sales_Ledger!$J$5:$J$863,Sales_Ledger!$H$5:$H$863,$A175,Sales_Ledger!$D$5:$D$863,2024)</f>
        <v>0</v>
      </c>
      <c r="M175" s="17">
        <f>SUMIFS(Sales_Ledger!$J$5:$J$863,Sales_Ledger!$H$5:$H$863,$A175,Sales_Ledger!$D$5:$D$863,2025)</f>
        <v>0</v>
      </c>
      <c r="N175" s="17">
        <f t="shared" si="4"/>
        <v>0</v>
      </c>
      <c r="O175" s="15" t="s">
        <v>3184</v>
      </c>
      <c r="P175" s="15" t="s">
        <v>2502</v>
      </c>
      <c r="Q175" s="15" t="s">
        <v>2995</v>
      </c>
      <c r="R175" s="15" t="str">
        <f t="shared" si="5"/>
        <v/>
      </c>
    </row>
    <row r="176" spans="1:18" x14ac:dyDescent="0.35">
      <c r="A176" s="15" t="s">
        <v>1877</v>
      </c>
      <c r="B176" s="15" t="s">
        <v>1878</v>
      </c>
      <c r="C176" s="15"/>
      <c r="D176" s="15"/>
      <c r="E176" s="15" t="s">
        <v>46</v>
      </c>
      <c r="F176" s="15" t="s">
        <v>36</v>
      </c>
      <c r="G176" s="16"/>
      <c r="H176" s="16">
        <f>IF(COUNTIF(Sales_Ledger!$H$5:$H$863,A176)=0,"",_xlfn.MINIFS(Sales_Ledger!$B$5:$B$863,Sales_Ledger!$H$5:$H$863,A176))</f>
        <v>45698</v>
      </c>
      <c r="I176" s="17">
        <f>SUMIFS(Subscriptions!$I$5:$I$218,Subscriptions!$B$5:$B$218,A176)</f>
        <v>0</v>
      </c>
      <c r="J176" s="17">
        <f>SUMIFS(Subscriptions!$J$5:$J$218,Subscriptions!$B$5:$B$218,A176)</f>
        <v>0</v>
      </c>
      <c r="K176" s="17">
        <f>SUMIFS(Sales_Ledger!$J$5:$J$863,Sales_Ledger!$H$5:$H$863,$A176,Sales_Ledger!$D$5:$D$863,2023)</f>
        <v>0</v>
      </c>
      <c r="L176" s="17">
        <f>SUMIFS(Sales_Ledger!$J$5:$J$863,Sales_Ledger!$H$5:$H$863,$A176,Sales_Ledger!$D$5:$D$863,2024)</f>
        <v>0</v>
      </c>
      <c r="M176" s="17">
        <f>SUMIFS(Sales_Ledger!$J$5:$J$863,Sales_Ledger!$H$5:$H$863,$A176,Sales_Ledger!$D$5:$D$863,2025)</f>
        <v>200000</v>
      </c>
      <c r="N176" s="17">
        <f t="shared" si="4"/>
        <v>200000</v>
      </c>
      <c r="O176" s="15" t="s">
        <v>3253</v>
      </c>
      <c r="P176" s="15"/>
      <c r="Q176" s="15"/>
      <c r="R176" s="15" t="str">
        <f t="shared" si="5"/>
        <v>Not in client register: contract value unknown</v>
      </c>
    </row>
    <row r="177" spans="1:18" x14ac:dyDescent="0.35">
      <c r="A177" s="15" t="s">
        <v>1894</v>
      </c>
      <c r="B177" s="15" t="s">
        <v>1895</v>
      </c>
      <c r="C177" s="15" t="s">
        <v>3488</v>
      </c>
      <c r="D177" s="15" t="s">
        <v>3489</v>
      </c>
      <c r="E177" s="15" t="s">
        <v>46</v>
      </c>
      <c r="F177" s="15" t="s">
        <v>3412</v>
      </c>
      <c r="G177" s="16">
        <v>45702</v>
      </c>
      <c r="H177" s="16">
        <f>IF(COUNTIF(Sales_Ledger!$H$5:$H$863,A177)=0,"",_xlfn.MINIFS(Sales_Ledger!$B$5:$B$863,Sales_Ledger!$H$5:$H$863,A177))</f>
        <v>45702</v>
      </c>
      <c r="I177" s="17">
        <f>SUMIFS(Subscriptions!$I$5:$I$218,Subscriptions!$B$5:$B$218,A177)</f>
        <v>1050000</v>
      </c>
      <c r="J177" s="17">
        <f>SUMIFS(Subscriptions!$J$5:$J$218,Subscriptions!$B$5:$B$218,A177)</f>
        <v>1050000</v>
      </c>
      <c r="K177" s="17">
        <f>SUMIFS(Sales_Ledger!$J$5:$J$863,Sales_Ledger!$H$5:$H$863,$A177,Sales_Ledger!$D$5:$D$863,2023)</f>
        <v>0</v>
      </c>
      <c r="L177" s="17">
        <f>SUMIFS(Sales_Ledger!$J$5:$J$863,Sales_Ledger!$H$5:$H$863,$A177,Sales_Ledger!$D$5:$D$863,2024)</f>
        <v>0</v>
      </c>
      <c r="M177" s="17">
        <f>SUMIFS(Sales_Ledger!$J$5:$J$863,Sales_Ledger!$H$5:$H$863,$A177,Sales_Ledger!$D$5:$D$863,2025)</f>
        <v>1050000</v>
      </c>
      <c r="N177" s="17">
        <f t="shared" si="4"/>
        <v>1050000</v>
      </c>
      <c r="O177" s="15" t="s">
        <v>3190</v>
      </c>
      <c r="P177" s="15" t="s">
        <v>2502</v>
      </c>
      <c r="Q177" s="15" t="s">
        <v>3002</v>
      </c>
      <c r="R177" s="15" t="str">
        <f t="shared" si="5"/>
        <v/>
      </c>
    </row>
    <row r="178" spans="1:18" x14ac:dyDescent="0.35">
      <c r="A178" s="15" t="s">
        <v>1908</v>
      </c>
      <c r="B178" s="15" t="s">
        <v>1909</v>
      </c>
      <c r="C178" s="15" t="s">
        <v>3490</v>
      </c>
      <c r="D178" s="15" t="s">
        <v>3491</v>
      </c>
      <c r="E178" s="15" t="s">
        <v>46</v>
      </c>
      <c r="F178" s="15" t="s">
        <v>3492</v>
      </c>
      <c r="G178" s="16">
        <v>45713</v>
      </c>
      <c r="H178" s="16">
        <f>IF(COUNTIF(Sales_Ledger!$H$5:$H$863,A178)=0,"",_xlfn.MINIFS(Sales_Ledger!$B$5:$B$863,Sales_Ledger!$H$5:$H$863,A178))</f>
        <v>45713</v>
      </c>
      <c r="I178" s="17">
        <f>SUMIFS(Subscriptions!$I$5:$I$218,Subscriptions!$B$5:$B$218,A178)</f>
        <v>3800000</v>
      </c>
      <c r="J178" s="17">
        <f>SUMIFS(Subscriptions!$J$5:$J$218,Subscriptions!$B$5:$B$218,A178)</f>
        <v>3800000</v>
      </c>
      <c r="K178" s="17">
        <f>SUMIFS(Sales_Ledger!$J$5:$J$863,Sales_Ledger!$H$5:$H$863,$A178,Sales_Ledger!$D$5:$D$863,2023)</f>
        <v>0</v>
      </c>
      <c r="L178" s="17">
        <f>SUMIFS(Sales_Ledger!$J$5:$J$863,Sales_Ledger!$H$5:$H$863,$A178,Sales_Ledger!$D$5:$D$863,2024)</f>
        <v>0</v>
      </c>
      <c r="M178" s="17">
        <f>SUMIFS(Sales_Ledger!$J$5:$J$863,Sales_Ledger!$H$5:$H$863,$A178,Sales_Ledger!$D$5:$D$863,2025)</f>
        <v>3150000</v>
      </c>
      <c r="N178" s="17">
        <f t="shared" si="4"/>
        <v>3150000</v>
      </c>
      <c r="O178" s="15" t="s">
        <v>3190</v>
      </c>
      <c r="P178" s="15" t="s">
        <v>2502</v>
      </c>
      <c r="Q178" s="15" t="s">
        <v>3008</v>
      </c>
      <c r="R178" s="15" t="str">
        <f t="shared" si="5"/>
        <v/>
      </c>
    </row>
    <row r="179" spans="1:18" x14ac:dyDescent="0.35">
      <c r="A179" s="15" t="s">
        <v>1914</v>
      </c>
      <c r="B179" s="15" t="s">
        <v>1915</v>
      </c>
      <c r="C179" s="15" t="s">
        <v>3493</v>
      </c>
      <c r="D179" s="15" t="s">
        <v>3494</v>
      </c>
      <c r="E179" s="15" t="s">
        <v>46</v>
      </c>
      <c r="F179" s="15" t="s">
        <v>3483</v>
      </c>
      <c r="G179" s="16">
        <v>45716</v>
      </c>
      <c r="H179" s="16">
        <f>IF(COUNTIF(Sales_Ledger!$H$5:$H$863,A179)=0,"",_xlfn.MINIFS(Sales_Ledger!$B$5:$B$863,Sales_Ledger!$H$5:$H$863,A179))</f>
        <v>45714</v>
      </c>
      <c r="I179" s="17">
        <f>SUMIFS(Subscriptions!$I$5:$I$218,Subscriptions!$B$5:$B$218,A179)</f>
        <v>3800000</v>
      </c>
      <c r="J179" s="17">
        <f>SUMIFS(Subscriptions!$J$5:$J$218,Subscriptions!$B$5:$B$218,A179)</f>
        <v>3800000</v>
      </c>
      <c r="K179" s="17">
        <f>SUMIFS(Sales_Ledger!$J$5:$J$863,Sales_Ledger!$H$5:$H$863,$A179,Sales_Ledger!$D$5:$D$863,2023)</f>
        <v>0</v>
      </c>
      <c r="L179" s="17">
        <f>SUMIFS(Sales_Ledger!$J$5:$J$863,Sales_Ledger!$H$5:$H$863,$A179,Sales_Ledger!$D$5:$D$863,2024)</f>
        <v>0</v>
      </c>
      <c r="M179" s="17">
        <f>SUMIFS(Sales_Ledger!$J$5:$J$863,Sales_Ledger!$H$5:$H$863,$A179,Sales_Ledger!$D$5:$D$863,2025)</f>
        <v>3800000</v>
      </c>
      <c r="N179" s="17">
        <f t="shared" si="4"/>
        <v>3800000</v>
      </c>
      <c r="O179" s="15" t="s">
        <v>3190</v>
      </c>
      <c r="P179" s="15" t="s">
        <v>2502</v>
      </c>
      <c r="Q179" s="15" t="s">
        <v>2947</v>
      </c>
      <c r="R179" s="15" t="str">
        <f t="shared" si="5"/>
        <v/>
      </c>
    </row>
    <row r="180" spans="1:18" x14ac:dyDescent="0.35">
      <c r="A180" s="15" t="s">
        <v>1917</v>
      </c>
      <c r="B180" s="15" t="s">
        <v>1918</v>
      </c>
      <c r="C180" s="15" t="s">
        <v>3495</v>
      </c>
      <c r="D180" s="15" t="s">
        <v>3496</v>
      </c>
      <c r="E180" s="15" t="s">
        <v>46</v>
      </c>
      <c r="F180" s="15" t="s">
        <v>3483</v>
      </c>
      <c r="G180" s="16">
        <v>45716</v>
      </c>
      <c r="H180" s="16">
        <f>IF(COUNTIF(Sales_Ledger!$H$5:$H$863,A180)=0,"",_xlfn.MINIFS(Sales_Ledger!$B$5:$B$863,Sales_Ledger!$H$5:$H$863,A180))</f>
        <v>45714</v>
      </c>
      <c r="I180" s="17">
        <f>SUMIFS(Subscriptions!$I$5:$I$218,Subscriptions!$B$5:$B$218,A180)</f>
        <v>3800000</v>
      </c>
      <c r="J180" s="17">
        <f>SUMIFS(Subscriptions!$J$5:$J$218,Subscriptions!$B$5:$B$218,A180)</f>
        <v>3800000</v>
      </c>
      <c r="K180" s="17">
        <f>SUMIFS(Sales_Ledger!$J$5:$J$863,Sales_Ledger!$H$5:$H$863,$A180,Sales_Ledger!$D$5:$D$863,2023)</f>
        <v>0</v>
      </c>
      <c r="L180" s="17">
        <f>SUMIFS(Sales_Ledger!$J$5:$J$863,Sales_Ledger!$H$5:$H$863,$A180,Sales_Ledger!$D$5:$D$863,2024)</f>
        <v>0</v>
      </c>
      <c r="M180" s="17">
        <f>SUMIFS(Sales_Ledger!$J$5:$J$863,Sales_Ledger!$H$5:$H$863,$A180,Sales_Ledger!$D$5:$D$863,2025)</f>
        <v>3800000</v>
      </c>
      <c r="N180" s="17">
        <f t="shared" si="4"/>
        <v>3800000</v>
      </c>
      <c r="O180" s="15" t="s">
        <v>3190</v>
      </c>
      <c r="P180" s="15" t="s">
        <v>2502</v>
      </c>
      <c r="Q180" s="15" t="s">
        <v>2947</v>
      </c>
      <c r="R180" s="15" t="str">
        <f t="shared" si="5"/>
        <v/>
      </c>
    </row>
    <row r="181" spans="1:18" x14ac:dyDescent="0.35">
      <c r="A181" s="15" t="s">
        <v>1932</v>
      </c>
      <c r="B181" s="15" t="s">
        <v>1933</v>
      </c>
      <c r="C181" s="15"/>
      <c r="D181" s="15"/>
      <c r="E181" s="15" t="s">
        <v>47</v>
      </c>
      <c r="F181" s="15" t="s">
        <v>25</v>
      </c>
      <c r="G181" s="16"/>
      <c r="H181" s="16">
        <f>IF(COUNTIF(Sales_Ledger!$H$5:$H$863,A181)=0,"",_xlfn.MINIFS(Sales_Ledger!$B$5:$B$863,Sales_Ledger!$H$5:$H$863,A181))</f>
        <v>45718</v>
      </c>
      <c r="I181" s="17">
        <f>SUMIFS(Subscriptions!$I$5:$I$218,Subscriptions!$B$5:$B$218,A181)</f>
        <v>0</v>
      </c>
      <c r="J181" s="17">
        <f>SUMIFS(Subscriptions!$J$5:$J$218,Subscriptions!$B$5:$B$218,A181)</f>
        <v>0</v>
      </c>
      <c r="K181" s="17">
        <f>SUMIFS(Sales_Ledger!$J$5:$J$863,Sales_Ledger!$H$5:$H$863,$A181,Sales_Ledger!$D$5:$D$863,2023)</f>
        <v>0</v>
      </c>
      <c r="L181" s="17">
        <f>SUMIFS(Sales_Ledger!$J$5:$J$863,Sales_Ledger!$H$5:$H$863,$A181,Sales_Ledger!$D$5:$D$863,2024)</f>
        <v>0</v>
      </c>
      <c r="M181" s="17">
        <f>SUMIFS(Sales_Ledger!$J$5:$J$863,Sales_Ledger!$H$5:$H$863,$A181,Sales_Ledger!$D$5:$D$863,2025)</f>
        <v>25000000</v>
      </c>
      <c r="N181" s="17">
        <f t="shared" si="4"/>
        <v>25000000</v>
      </c>
      <c r="O181" s="15" t="s">
        <v>3253</v>
      </c>
      <c r="P181" s="15"/>
      <c r="Q181" s="15"/>
      <c r="R181" s="15" t="str">
        <f t="shared" si="5"/>
        <v>Not in client register: contract value unknown</v>
      </c>
    </row>
    <row r="182" spans="1:18" x14ac:dyDescent="0.35">
      <c r="A182" s="15" t="s">
        <v>1939</v>
      </c>
      <c r="B182" s="15" t="s">
        <v>3016</v>
      </c>
      <c r="C182" s="15" t="s">
        <v>3497</v>
      </c>
      <c r="D182" s="15" t="s">
        <v>3498</v>
      </c>
      <c r="E182" s="15" t="s">
        <v>46</v>
      </c>
      <c r="F182" s="15" t="s">
        <v>3412</v>
      </c>
      <c r="G182" s="16">
        <v>45719</v>
      </c>
      <c r="H182" s="16">
        <f>IF(COUNTIF(Sales_Ledger!$H$5:$H$863,A182)=0,"",_xlfn.MINIFS(Sales_Ledger!$B$5:$B$863,Sales_Ledger!$H$5:$H$863,A182))</f>
        <v>45719</v>
      </c>
      <c r="I182" s="17">
        <f>SUMIFS(Subscriptions!$I$5:$I$218,Subscriptions!$B$5:$B$218,A182)</f>
        <v>1050000</v>
      </c>
      <c r="J182" s="17">
        <f>SUMIFS(Subscriptions!$J$5:$J$218,Subscriptions!$B$5:$B$218,A182)</f>
        <v>1050000</v>
      </c>
      <c r="K182" s="17">
        <f>SUMIFS(Sales_Ledger!$J$5:$J$863,Sales_Ledger!$H$5:$H$863,$A182,Sales_Ledger!$D$5:$D$863,2023)</f>
        <v>0</v>
      </c>
      <c r="L182" s="17">
        <f>SUMIFS(Sales_Ledger!$J$5:$J$863,Sales_Ledger!$H$5:$H$863,$A182,Sales_Ledger!$D$5:$D$863,2024)</f>
        <v>0</v>
      </c>
      <c r="M182" s="17">
        <f>SUMIFS(Sales_Ledger!$J$5:$J$863,Sales_Ledger!$H$5:$H$863,$A182,Sales_Ledger!$D$5:$D$863,2025)</f>
        <v>1050000</v>
      </c>
      <c r="N182" s="17">
        <f t="shared" si="4"/>
        <v>1050000</v>
      </c>
      <c r="O182" s="15" t="s">
        <v>3190</v>
      </c>
      <c r="P182" s="15" t="s">
        <v>2502</v>
      </c>
      <c r="Q182" s="15" t="s">
        <v>3017</v>
      </c>
      <c r="R182" s="15" t="str">
        <f t="shared" si="5"/>
        <v/>
      </c>
    </row>
    <row r="183" spans="1:18" x14ac:dyDescent="0.35">
      <c r="A183" s="15" t="s">
        <v>1948</v>
      </c>
      <c r="B183" s="15" t="s">
        <v>1949</v>
      </c>
      <c r="C183" s="15"/>
      <c r="D183" s="15"/>
      <c r="E183" s="15" t="s">
        <v>47</v>
      </c>
      <c r="F183" s="15" t="s">
        <v>40</v>
      </c>
      <c r="G183" s="16"/>
      <c r="H183" s="16">
        <f>IF(COUNTIF(Sales_Ledger!$H$5:$H$863,A183)=0,"",_xlfn.MINIFS(Sales_Ledger!$B$5:$B$863,Sales_Ledger!$H$5:$H$863,A183))</f>
        <v>45722</v>
      </c>
      <c r="I183" s="17">
        <f>SUMIFS(Subscriptions!$I$5:$I$218,Subscriptions!$B$5:$B$218,A183)</f>
        <v>0</v>
      </c>
      <c r="J183" s="17">
        <f>SUMIFS(Subscriptions!$J$5:$J$218,Subscriptions!$B$5:$B$218,A183)</f>
        <v>0</v>
      </c>
      <c r="K183" s="17">
        <f>SUMIFS(Sales_Ledger!$J$5:$J$863,Sales_Ledger!$H$5:$H$863,$A183,Sales_Ledger!$D$5:$D$863,2023)</f>
        <v>0</v>
      </c>
      <c r="L183" s="17">
        <f>SUMIFS(Sales_Ledger!$J$5:$J$863,Sales_Ledger!$H$5:$H$863,$A183,Sales_Ledger!$D$5:$D$863,2024)</f>
        <v>0</v>
      </c>
      <c r="M183" s="17">
        <f>SUMIFS(Sales_Ledger!$J$5:$J$863,Sales_Ledger!$H$5:$H$863,$A183,Sales_Ledger!$D$5:$D$863,2025)</f>
        <v>100000000</v>
      </c>
      <c r="N183" s="17">
        <f t="shared" si="4"/>
        <v>100000000</v>
      </c>
      <c r="O183" s="15" t="s">
        <v>3253</v>
      </c>
      <c r="P183" s="15"/>
      <c r="Q183" s="15"/>
      <c r="R183" s="15" t="str">
        <f t="shared" si="5"/>
        <v>Not in client register: contract value unknown</v>
      </c>
    </row>
    <row r="184" spans="1:18" x14ac:dyDescent="0.35">
      <c r="A184" s="15" t="s">
        <v>3019</v>
      </c>
      <c r="B184" s="15" t="s">
        <v>3020</v>
      </c>
      <c r="C184" s="15" t="s">
        <v>3499</v>
      </c>
      <c r="D184" s="15" t="s">
        <v>3500</v>
      </c>
      <c r="E184" s="15" t="s">
        <v>47</v>
      </c>
      <c r="F184" s="15" t="s">
        <v>40</v>
      </c>
      <c r="G184" s="16">
        <v>45722</v>
      </c>
      <c r="H184" s="16" t="str">
        <f>IF(COUNTIF(Sales_Ledger!$H$5:$H$863,A184)=0,"",_xlfn.MINIFS(Sales_Ledger!$B$5:$B$863,Sales_Ledger!$H$5:$H$863,A184))</f>
        <v/>
      </c>
      <c r="I184" s="17">
        <f>SUMIFS(Subscriptions!$I$5:$I$218,Subscriptions!$B$5:$B$218,A184)</f>
        <v>100000000</v>
      </c>
      <c r="J184" s="17">
        <f>SUMIFS(Subscriptions!$J$5:$J$218,Subscriptions!$B$5:$B$218,A184)</f>
        <v>100000000</v>
      </c>
      <c r="K184" s="17">
        <f>SUMIFS(Sales_Ledger!$J$5:$J$863,Sales_Ledger!$H$5:$H$863,$A184,Sales_Ledger!$D$5:$D$863,2023)</f>
        <v>0</v>
      </c>
      <c r="L184" s="17">
        <f>SUMIFS(Sales_Ledger!$J$5:$J$863,Sales_Ledger!$H$5:$H$863,$A184,Sales_Ledger!$D$5:$D$863,2024)</f>
        <v>0</v>
      </c>
      <c r="M184" s="17">
        <f>SUMIFS(Sales_Ledger!$J$5:$J$863,Sales_Ledger!$H$5:$H$863,$A184,Sales_Ledger!$D$5:$D$863,2025)</f>
        <v>0</v>
      </c>
      <c r="N184" s="17">
        <f t="shared" si="4"/>
        <v>0</v>
      </c>
      <c r="O184" s="15" t="s">
        <v>3184</v>
      </c>
      <c r="P184" s="15" t="s">
        <v>2502</v>
      </c>
      <c r="Q184" s="15" t="s">
        <v>1800</v>
      </c>
      <c r="R184" s="15" t="str">
        <f t="shared" si="5"/>
        <v/>
      </c>
    </row>
    <row r="185" spans="1:18" x14ac:dyDescent="0.35">
      <c r="A185" s="15" t="s">
        <v>1988</v>
      </c>
      <c r="B185" s="15" t="s">
        <v>1989</v>
      </c>
      <c r="C185" s="15" t="s">
        <v>3501</v>
      </c>
      <c r="D185" s="15" t="s">
        <v>3502</v>
      </c>
      <c r="E185" s="15" t="s">
        <v>46</v>
      </c>
      <c r="F185" s="15" t="s">
        <v>3492</v>
      </c>
      <c r="G185" s="16">
        <v>45728</v>
      </c>
      <c r="H185" s="16">
        <f>IF(COUNTIF(Sales_Ledger!$H$5:$H$863,A185)=0,"",_xlfn.MINIFS(Sales_Ledger!$B$5:$B$863,Sales_Ledger!$H$5:$H$863,A185))</f>
        <v>45739</v>
      </c>
      <c r="I185" s="17">
        <f>SUMIFS(Subscriptions!$I$5:$I$218,Subscriptions!$B$5:$B$218,A185)</f>
        <v>3400000</v>
      </c>
      <c r="J185" s="17">
        <f>SUMIFS(Subscriptions!$J$5:$J$218,Subscriptions!$B$5:$B$218,A185)</f>
        <v>3400000</v>
      </c>
      <c r="K185" s="17">
        <f>SUMIFS(Sales_Ledger!$J$5:$J$863,Sales_Ledger!$H$5:$H$863,$A185,Sales_Ledger!$D$5:$D$863,2023)</f>
        <v>0</v>
      </c>
      <c r="L185" s="17">
        <f>SUMIFS(Sales_Ledger!$J$5:$J$863,Sales_Ledger!$H$5:$H$863,$A185,Sales_Ledger!$D$5:$D$863,2024)</f>
        <v>0</v>
      </c>
      <c r="M185" s="17">
        <f>SUMIFS(Sales_Ledger!$J$5:$J$863,Sales_Ledger!$H$5:$H$863,$A185,Sales_Ledger!$D$5:$D$863,2025)</f>
        <v>3500000</v>
      </c>
      <c r="N185" s="17">
        <f t="shared" si="4"/>
        <v>3500000</v>
      </c>
      <c r="O185" s="15" t="s">
        <v>3190</v>
      </c>
      <c r="P185" s="15" t="s">
        <v>2502</v>
      </c>
      <c r="Q185" s="15" t="s">
        <v>3024</v>
      </c>
      <c r="R185" s="15" t="str">
        <f t="shared" si="5"/>
        <v>Receipts exceed register contract value: check for duplicate entries, extra plots or ancillary fees</v>
      </c>
    </row>
    <row r="186" spans="1:18" x14ac:dyDescent="0.35">
      <c r="A186" s="15" t="s">
        <v>3027</v>
      </c>
      <c r="B186" s="15" t="s">
        <v>3028</v>
      </c>
      <c r="C186" s="15" t="s">
        <v>3503</v>
      </c>
      <c r="D186" s="15" t="s">
        <v>3504</v>
      </c>
      <c r="E186" s="15" t="s">
        <v>46</v>
      </c>
      <c r="F186" s="15" t="s">
        <v>3005</v>
      </c>
      <c r="G186" s="16">
        <v>45728</v>
      </c>
      <c r="H186" s="16" t="str">
        <f>IF(COUNTIF(Sales_Ledger!$H$5:$H$863,A186)=0,"",_xlfn.MINIFS(Sales_Ledger!$B$5:$B$863,Sales_Ledger!$H$5:$H$863,A186))</f>
        <v/>
      </c>
      <c r="I186" s="17">
        <f>SUMIFS(Subscriptions!$I$5:$I$218,Subscriptions!$B$5:$B$218,A186)</f>
        <v>1680000</v>
      </c>
      <c r="J186" s="17">
        <f>SUMIFS(Subscriptions!$J$5:$J$218,Subscriptions!$B$5:$B$218,A186)</f>
        <v>1340000</v>
      </c>
      <c r="K186" s="17">
        <f>SUMIFS(Sales_Ledger!$J$5:$J$863,Sales_Ledger!$H$5:$H$863,$A186,Sales_Ledger!$D$5:$D$863,2023)</f>
        <v>0</v>
      </c>
      <c r="L186" s="17">
        <f>SUMIFS(Sales_Ledger!$J$5:$J$863,Sales_Ledger!$H$5:$H$863,$A186,Sales_Ledger!$D$5:$D$863,2024)</f>
        <v>0</v>
      </c>
      <c r="M186" s="17">
        <f>SUMIFS(Sales_Ledger!$J$5:$J$863,Sales_Ledger!$H$5:$H$863,$A186,Sales_Ledger!$D$5:$D$863,2025)</f>
        <v>0</v>
      </c>
      <c r="N186" s="17">
        <f t="shared" si="4"/>
        <v>0</v>
      </c>
      <c r="O186" s="15" t="s">
        <v>3184</v>
      </c>
      <c r="P186" s="15" t="s">
        <v>2601</v>
      </c>
      <c r="Q186" s="15" t="s">
        <v>3029</v>
      </c>
      <c r="R186" s="15" t="str">
        <f t="shared" si="5"/>
        <v/>
      </c>
    </row>
    <row r="187" spans="1:18" x14ac:dyDescent="0.35">
      <c r="A187" s="15" t="s">
        <v>1961</v>
      </c>
      <c r="B187" s="15" t="s">
        <v>1962</v>
      </c>
      <c r="C187" s="15"/>
      <c r="D187" s="15"/>
      <c r="E187" s="15" t="s">
        <v>47</v>
      </c>
      <c r="F187" s="15" t="s">
        <v>40</v>
      </c>
      <c r="G187" s="16"/>
      <c r="H187" s="16">
        <f>IF(COUNTIF(Sales_Ledger!$H$5:$H$863,A187)=0,"",_xlfn.MINIFS(Sales_Ledger!$B$5:$B$863,Sales_Ledger!$H$5:$H$863,A187))</f>
        <v>45730</v>
      </c>
      <c r="I187" s="17">
        <f>SUMIFS(Subscriptions!$I$5:$I$218,Subscriptions!$B$5:$B$218,A187)</f>
        <v>0</v>
      </c>
      <c r="J187" s="17">
        <f>SUMIFS(Subscriptions!$J$5:$J$218,Subscriptions!$B$5:$B$218,A187)</f>
        <v>0</v>
      </c>
      <c r="K187" s="17">
        <f>SUMIFS(Sales_Ledger!$J$5:$J$863,Sales_Ledger!$H$5:$H$863,$A187,Sales_Ledger!$D$5:$D$863,2023)</f>
        <v>0</v>
      </c>
      <c r="L187" s="17">
        <f>SUMIFS(Sales_Ledger!$J$5:$J$863,Sales_Ledger!$H$5:$H$863,$A187,Sales_Ledger!$D$5:$D$863,2024)</f>
        <v>0</v>
      </c>
      <c r="M187" s="17">
        <f>SUMIFS(Sales_Ledger!$J$5:$J$863,Sales_Ledger!$H$5:$H$863,$A187,Sales_Ledger!$D$5:$D$863,2025)</f>
        <v>5000000</v>
      </c>
      <c r="N187" s="17">
        <f t="shared" si="4"/>
        <v>5000000</v>
      </c>
      <c r="O187" s="15" t="s">
        <v>3253</v>
      </c>
      <c r="P187" s="15"/>
      <c r="Q187" s="15"/>
      <c r="R187" s="15" t="str">
        <f t="shared" si="5"/>
        <v>Not in client register: contract value unknown</v>
      </c>
    </row>
    <row r="188" spans="1:18" x14ac:dyDescent="0.35">
      <c r="A188" s="15" t="s">
        <v>1969</v>
      </c>
      <c r="B188" s="15" t="s">
        <v>1970</v>
      </c>
      <c r="C188" s="15" t="s">
        <v>3505</v>
      </c>
      <c r="D188" s="15" t="s">
        <v>3506</v>
      </c>
      <c r="E188" s="15" t="s">
        <v>46</v>
      </c>
      <c r="F188" s="15" t="s">
        <v>3412</v>
      </c>
      <c r="G188" s="16">
        <v>45734</v>
      </c>
      <c r="H188" s="16">
        <f>IF(COUNTIF(Sales_Ledger!$H$5:$H$863,A188)=0,"",_xlfn.MINIFS(Sales_Ledger!$B$5:$B$863,Sales_Ledger!$H$5:$H$863,A188))</f>
        <v>45734</v>
      </c>
      <c r="I188" s="17">
        <f>SUMIFS(Subscriptions!$I$5:$I$218,Subscriptions!$B$5:$B$218,A188)</f>
        <v>2100000</v>
      </c>
      <c r="J188" s="17">
        <f>SUMIFS(Subscriptions!$J$5:$J$218,Subscriptions!$B$5:$B$218,A188)</f>
        <v>2100000</v>
      </c>
      <c r="K188" s="17">
        <f>SUMIFS(Sales_Ledger!$J$5:$J$863,Sales_Ledger!$H$5:$H$863,$A188,Sales_Ledger!$D$5:$D$863,2023)</f>
        <v>0</v>
      </c>
      <c r="L188" s="17">
        <f>SUMIFS(Sales_Ledger!$J$5:$J$863,Sales_Ledger!$H$5:$H$863,$A188,Sales_Ledger!$D$5:$D$863,2024)</f>
        <v>0</v>
      </c>
      <c r="M188" s="17">
        <f>SUMIFS(Sales_Ledger!$J$5:$J$863,Sales_Ledger!$H$5:$H$863,$A188,Sales_Ledger!$D$5:$D$863,2025)</f>
        <v>2100000</v>
      </c>
      <c r="N188" s="17">
        <f t="shared" si="4"/>
        <v>2100000</v>
      </c>
      <c r="O188" s="15" t="s">
        <v>3190</v>
      </c>
      <c r="P188" s="15" t="s">
        <v>2502</v>
      </c>
      <c r="Q188" s="15" t="s">
        <v>2559</v>
      </c>
      <c r="R188" s="15" t="str">
        <f t="shared" si="5"/>
        <v/>
      </c>
    </row>
    <row r="189" spans="1:18" x14ac:dyDescent="0.35">
      <c r="A189" s="15" t="s">
        <v>1977</v>
      </c>
      <c r="B189" s="15" t="s">
        <v>1978</v>
      </c>
      <c r="C189" s="15"/>
      <c r="D189" s="15"/>
      <c r="E189" s="15" t="s">
        <v>47</v>
      </c>
      <c r="F189" s="15" t="s">
        <v>42</v>
      </c>
      <c r="G189" s="16"/>
      <c r="H189" s="16">
        <f>IF(COUNTIF(Sales_Ledger!$H$5:$H$863,A189)=0,"",_xlfn.MINIFS(Sales_Ledger!$B$5:$B$863,Sales_Ledger!$H$5:$H$863,A189))</f>
        <v>45736</v>
      </c>
      <c r="I189" s="17">
        <f>SUMIFS(Subscriptions!$I$5:$I$218,Subscriptions!$B$5:$B$218,A189)</f>
        <v>0</v>
      </c>
      <c r="J189" s="17">
        <f>SUMIFS(Subscriptions!$J$5:$J$218,Subscriptions!$B$5:$B$218,A189)</f>
        <v>0</v>
      </c>
      <c r="K189" s="17">
        <f>SUMIFS(Sales_Ledger!$J$5:$J$863,Sales_Ledger!$H$5:$H$863,$A189,Sales_Ledger!$D$5:$D$863,2023)</f>
        <v>0</v>
      </c>
      <c r="L189" s="17">
        <f>SUMIFS(Sales_Ledger!$J$5:$J$863,Sales_Ledger!$H$5:$H$863,$A189,Sales_Ledger!$D$5:$D$863,2024)</f>
        <v>0</v>
      </c>
      <c r="M189" s="17">
        <f>SUMIFS(Sales_Ledger!$J$5:$J$863,Sales_Ledger!$H$5:$H$863,$A189,Sales_Ledger!$D$5:$D$863,2025)</f>
        <v>36000000</v>
      </c>
      <c r="N189" s="17">
        <f t="shared" si="4"/>
        <v>36000000</v>
      </c>
      <c r="O189" s="15" t="s">
        <v>3253</v>
      </c>
      <c r="P189" s="15"/>
      <c r="Q189" s="15"/>
      <c r="R189" s="15" t="str">
        <f t="shared" si="5"/>
        <v>Not in client register: contract value unknown</v>
      </c>
    </row>
    <row r="190" spans="1:18" x14ac:dyDescent="0.35">
      <c r="A190" s="15" t="s">
        <v>1984</v>
      </c>
      <c r="B190" s="15" t="s">
        <v>3032</v>
      </c>
      <c r="C190" s="15" t="s">
        <v>3507</v>
      </c>
      <c r="D190" s="15" t="s">
        <v>3508</v>
      </c>
      <c r="E190" s="15" t="s">
        <v>47</v>
      </c>
      <c r="F190" s="15" t="s">
        <v>40</v>
      </c>
      <c r="G190" s="16">
        <v>45737</v>
      </c>
      <c r="H190" s="16">
        <f>IF(COUNTIF(Sales_Ledger!$H$5:$H$863,A190)=0,"",_xlfn.MINIFS(Sales_Ledger!$B$5:$B$863,Sales_Ledger!$H$5:$H$863,A190))</f>
        <v>45737</v>
      </c>
      <c r="I190" s="17">
        <f>SUMIFS(Subscriptions!$I$5:$I$218,Subscriptions!$B$5:$B$218,A190)</f>
        <v>98000000</v>
      </c>
      <c r="J190" s="17">
        <f>SUMIFS(Subscriptions!$J$5:$J$218,Subscriptions!$B$5:$B$218,A190)</f>
        <v>79725000</v>
      </c>
      <c r="K190" s="17">
        <f>SUMIFS(Sales_Ledger!$J$5:$J$863,Sales_Ledger!$H$5:$H$863,$A190,Sales_Ledger!$D$5:$D$863,2023)</f>
        <v>0</v>
      </c>
      <c r="L190" s="17">
        <f>SUMIFS(Sales_Ledger!$J$5:$J$863,Sales_Ledger!$H$5:$H$863,$A190,Sales_Ledger!$D$5:$D$863,2024)</f>
        <v>0</v>
      </c>
      <c r="M190" s="17">
        <f>SUMIFS(Sales_Ledger!$J$5:$J$863,Sales_Ledger!$H$5:$H$863,$A190,Sales_Ledger!$D$5:$D$863,2025)</f>
        <v>41725000</v>
      </c>
      <c r="N190" s="17">
        <f t="shared" si="4"/>
        <v>41725000</v>
      </c>
      <c r="O190" s="15" t="s">
        <v>3190</v>
      </c>
      <c r="P190" s="15" t="s">
        <v>2601</v>
      </c>
      <c r="Q190" s="15" t="s">
        <v>3034</v>
      </c>
      <c r="R190" s="15" t="str">
        <f t="shared" si="5"/>
        <v/>
      </c>
    </row>
    <row r="191" spans="1:18" x14ac:dyDescent="0.35">
      <c r="A191" s="15" t="s">
        <v>1993</v>
      </c>
      <c r="B191" s="15" t="s">
        <v>1994</v>
      </c>
      <c r="C191" s="15" t="s">
        <v>3509</v>
      </c>
      <c r="D191" s="15" t="s">
        <v>3510</v>
      </c>
      <c r="E191" s="15" t="s">
        <v>46</v>
      </c>
      <c r="F191" s="15" t="s">
        <v>3492</v>
      </c>
      <c r="G191" s="16">
        <v>45740</v>
      </c>
      <c r="H191" s="16">
        <f>IF(COUNTIF(Sales_Ledger!$H$5:$H$863,A191)=0,"",_xlfn.MINIFS(Sales_Ledger!$B$5:$B$863,Sales_Ledger!$H$5:$H$863,A191))</f>
        <v>45739</v>
      </c>
      <c r="I191" s="17">
        <f>SUMIFS(Subscriptions!$I$5:$I$218,Subscriptions!$B$5:$B$218,A191)</f>
        <v>1800000</v>
      </c>
      <c r="J191" s="17">
        <f>SUMIFS(Subscriptions!$J$5:$J$218,Subscriptions!$B$5:$B$218,A191)</f>
        <v>1800000</v>
      </c>
      <c r="K191" s="17">
        <f>SUMIFS(Sales_Ledger!$J$5:$J$863,Sales_Ledger!$H$5:$H$863,$A191,Sales_Ledger!$D$5:$D$863,2023)</f>
        <v>0</v>
      </c>
      <c r="L191" s="17">
        <f>SUMIFS(Sales_Ledger!$J$5:$J$863,Sales_Ledger!$H$5:$H$863,$A191,Sales_Ledger!$D$5:$D$863,2024)</f>
        <v>0</v>
      </c>
      <c r="M191" s="17">
        <f>SUMIFS(Sales_Ledger!$J$5:$J$863,Sales_Ledger!$H$5:$H$863,$A191,Sales_Ledger!$D$5:$D$863,2025)</f>
        <v>1680000</v>
      </c>
      <c r="N191" s="17">
        <f t="shared" si="4"/>
        <v>1680000</v>
      </c>
      <c r="O191" s="15" t="s">
        <v>3190</v>
      </c>
      <c r="P191" s="15" t="s">
        <v>2502</v>
      </c>
      <c r="Q191" s="15" t="s">
        <v>3036</v>
      </c>
      <c r="R191" s="15" t="str">
        <f t="shared" si="5"/>
        <v/>
      </c>
    </row>
    <row r="192" spans="1:18" x14ac:dyDescent="0.35">
      <c r="A192" s="15" t="s">
        <v>2017</v>
      </c>
      <c r="B192" s="15" t="s">
        <v>2018</v>
      </c>
      <c r="C192" s="15" t="s">
        <v>3511</v>
      </c>
      <c r="D192" s="15" t="s">
        <v>3512</v>
      </c>
      <c r="E192" s="15" t="s">
        <v>46</v>
      </c>
      <c r="F192" s="15" t="s">
        <v>3483</v>
      </c>
      <c r="G192" s="16">
        <v>45745</v>
      </c>
      <c r="H192" s="16">
        <f>IF(COUNTIF(Sales_Ledger!$H$5:$H$863,A192)=0,"",_xlfn.MINIFS(Sales_Ledger!$B$5:$B$863,Sales_Ledger!$H$5:$H$863,A192))</f>
        <v>45745</v>
      </c>
      <c r="I192" s="17">
        <f>SUMIFS(Subscriptions!$I$5:$I$218,Subscriptions!$B$5:$B$218,A192)</f>
        <v>3800000</v>
      </c>
      <c r="J192" s="17">
        <f>SUMIFS(Subscriptions!$J$5:$J$218,Subscriptions!$B$5:$B$218,A192)</f>
        <v>3800000</v>
      </c>
      <c r="K192" s="17">
        <f>SUMIFS(Sales_Ledger!$J$5:$J$863,Sales_Ledger!$H$5:$H$863,$A192,Sales_Ledger!$D$5:$D$863,2023)</f>
        <v>0</v>
      </c>
      <c r="L192" s="17">
        <f>SUMIFS(Sales_Ledger!$J$5:$J$863,Sales_Ledger!$H$5:$H$863,$A192,Sales_Ledger!$D$5:$D$863,2024)</f>
        <v>0</v>
      </c>
      <c r="M192" s="17">
        <f>SUMIFS(Sales_Ledger!$J$5:$J$863,Sales_Ledger!$H$5:$H$863,$A192,Sales_Ledger!$D$5:$D$863,2025)</f>
        <v>3800000</v>
      </c>
      <c r="N192" s="17">
        <f t="shared" si="4"/>
        <v>3800000</v>
      </c>
      <c r="O192" s="15" t="s">
        <v>3190</v>
      </c>
      <c r="P192" s="15" t="s">
        <v>2502</v>
      </c>
      <c r="Q192" s="15" t="s">
        <v>3042</v>
      </c>
      <c r="R192" s="15" t="str">
        <f t="shared" si="5"/>
        <v/>
      </c>
    </row>
    <row r="193" spans="1:18" x14ac:dyDescent="0.35">
      <c r="A193" s="15" t="s">
        <v>2020</v>
      </c>
      <c r="B193" s="15" t="s">
        <v>3048</v>
      </c>
      <c r="C193" s="15" t="s">
        <v>3513</v>
      </c>
      <c r="D193" s="15" t="s">
        <v>3514</v>
      </c>
      <c r="E193" s="15" t="s">
        <v>46</v>
      </c>
      <c r="F193" s="15" t="s">
        <v>3492</v>
      </c>
      <c r="G193" s="16">
        <v>45747</v>
      </c>
      <c r="H193" s="16">
        <f>IF(COUNTIF(Sales_Ledger!$H$5:$H$863,A193)=0,"",_xlfn.MINIFS(Sales_Ledger!$B$5:$B$863,Sales_Ledger!$H$5:$H$863,A193))</f>
        <v>45746</v>
      </c>
      <c r="I193" s="17">
        <f>SUMIFS(Subscriptions!$I$5:$I$218,Subscriptions!$B$5:$B$218,A193)</f>
        <v>10200000</v>
      </c>
      <c r="J193" s="17">
        <f>SUMIFS(Subscriptions!$J$5:$J$218,Subscriptions!$B$5:$B$218,A193)</f>
        <v>10200000</v>
      </c>
      <c r="K193" s="17">
        <f>SUMIFS(Sales_Ledger!$J$5:$J$863,Sales_Ledger!$H$5:$H$863,$A193,Sales_Ledger!$D$5:$D$863,2023)</f>
        <v>0</v>
      </c>
      <c r="L193" s="17">
        <f>SUMIFS(Sales_Ledger!$J$5:$J$863,Sales_Ledger!$H$5:$H$863,$A193,Sales_Ledger!$D$5:$D$863,2024)</f>
        <v>0</v>
      </c>
      <c r="M193" s="17">
        <f>SUMIFS(Sales_Ledger!$J$5:$J$863,Sales_Ledger!$H$5:$H$863,$A193,Sales_Ledger!$D$5:$D$863,2025)</f>
        <v>10200000</v>
      </c>
      <c r="N193" s="17">
        <f t="shared" si="4"/>
        <v>10200000</v>
      </c>
      <c r="O193" s="15" t="s">
        <v>3190</v>
      </c>
      <c r="P193" s="15" t="s">
        <v>2502</v>
      </c>
      <c r="Q193" s="15" t="s">
        <v>3052</v>
      </c>
      <c r="R193" s="15" t="str">
        <f t="shared" si="5"/>
        <v/>
      </c>
    </row>
    <row r="194" spans="1:18" x14ac:dyDescent="0.35">
      <c r="A194" s="15" t="s">
        <v>2028</v>
      </c>
      <c r="B194" s="15" t="s">
        <v>3044</v>
      </c>
      <c r="C194" s="15" t="s">
        <v>3515</v>
      </c>
      <c r="D194" s="15" t="s">
        <v>3516</v>
      </c>
      <c r="E194" s="15" t="s">
        <v>46</v>
      </c>
      <c r="F194" s="15" t="s">
        <v>3483</v>
      </c>
      <c r="G194" s="16">
        <v>45747</v>
      </c>
      <c r="H194" s="16">
        <f>IF(COUNTIF(Sales_Ledger!$H$5:$H$863,A194)=0,"",_xlfn.MINIFS(Sales_Ledger!$B$5:$B$863,Sales_Ledger!$H$5:$H$863,A194))</f>
        <v>45747</v>
      </c>
      <c r="I194" s="17">
        <f>SUMIFS(Subscriptions!$I$5:$I$218,Subscriptions!$B$5:$B$218,A194)</f>
        <v>2000000</v>
      </c>
      <c r="J194" s="17">
        <f>SUMIFS(Subscriptions!$J$5:$J$218,Subscriptions!$B$5:$B$218,A194)</f>
        <v>1700000</v>
      </c>
      <c r="K194" s="17">
        <f>SUMIFS(Sales_Ledger!$J$5:$J$863,Sales_Ledger!$H$5:$H$863,$A194,Sales_Ledger!$D$5:$D$863,2023)</f>
        <v>0</v>
      </c>
      <c r="L194" s="17">
        <f>SUMIFS(Sales_Ledger!$J$5:$J$863,Sales_Ledger!$H$5:$H$863,$A194,Sales_Ledger!$D$5:$D$863,2024)</f>
        <v>0</v>
      </c>
      <c r="M194" s="17">
        <f>SUMIFS(Sales_Ledger!$J$5:$J$863,Sales_Ledger!$H$5:$H$863,$A194,Sales_Ledger!$D$5:$D$863,2025)</f>
        <v>2000000</v>
      </c>
      <c r="N194" s="17">
        <f t="shared" si="4"/>
        <v>2000000</v>
      </c>
      <c r="O194" s="15" t="s">
        <v>3190</v>
      </c>
      <c r="P194" s="15" t="s">
        <v>2601</v>
      </c>
      <c r="Q194" s="15" t="s">
        <v>3046</v>
      </c>
      <c r="R194" s="15" t="str">
        <f t="shared" si="5"/>
        <v/>
      </c>
    </row>
    <row r="195" spans="1:18" x14ac:dyDescent="0.35">
      <c r="A195" s="15" t="s">
        <v>2032</v>
      </c>
      <c r="B195" s="15" t="s">
        <v>3056</v>
      </c>
      <c r="C195" s="15" t="s">
        <v>3517</v>
      </c>
      <c r="D195" s="15" t="s">
        <v>3518</v>
      </c>
      <c r="E195" s="15" t="s">
        <v>46</v>
      </c>
      <c r="F195" s="15" t="s">
        <v>3492</v>
      </c>
      <c r="G195" s="16">
        <v>45747</v>
      </c>
      <c r="H195" s="16">
        <f>IF(COUNTIF(Sales_Ledger!$H$5:$H$863,A195)=0,"",_xlfn.MINIFS(Sales_Ledger!$B$5:$B$863,Sales_Ledger!$H$5:$H$863,A195))</f>
        <v>45747</v>
      </c>
      <c r="I195" s="17">
        <f>SUMIFS(Subscriptions!$I$5:$I$218,Subscriptions!$B$5:$B$218,A195)</f>
        <v>1800000</v>
      </c>
      <c r="J195" s="17">
        <f>SUMIFS(Subscriptions!$J$5:$J$218,Subscriptions!$B$5:$B$218,A195)</f>
        <v>1800000</v>
      </c>
      <c r="K195" s="17">
        <f>SUMIFS(Sales_Ledger!$J$5:$J$863,Sales_Ledger!$H$5:$H$863,$A195,Sales_Ledger!$D$5:$D$863,2023)</f>
        <v>0</v>
      </c>
      <c r="L195" s="17">
        <f>SUMIFS(Sales_Ledger!$J$5:$J$863,Sales_Ledger!$H$5:$H$863,$A195,Sales_Ledger!$D$5:$D$863,2024)</f>
        <v>0</v>
      </c>
      <c r="M195" s="17">
        <f>SUMIFS(Sales_Ledger!$J$5:$J$863,Sales_Ledger!$H$5:$H$863,$A195,Sales_Ledger!$D$5:$D$863,2025)</f>
        <v>1800000</v>
      </c>
      <c r="N195" s="17">
        <f t="shared" si="4"/>
        <v>1800000</v>
      </c>
      <c r="O195" s="15" t="s">
        <v>3190</v>
      </c>
      <c r="P195" s="15" t="s">
        <v>2502</v>
      </c>
      <c r="Q195" s="15" t="s">
        <v>3058</v>
      </c>
      <c r="R195" s="15" t="str">
        <f t="shared" si="5"/>
        <v/>
      </c>
    </row>
    <row r="196" spans="1:18" x14ac:dyDescent="0.35">
      <c r="A196" s="15" t="s">
        <v>2048</v>
      </c>
      <c r="B196" s="15" t="s">
        <v>3060</v>
      </c>
      <c r="C196" s="15" t="s">
        <v>3519</v>
      </c>
      <c r="D196" s="15" t="s">
        <v>3520</v>
      </c>
      <c r="E196" s="15" t="s">
        <v>47</v>
      </c>
      <c r="F196" s="15" t="s">
        <v>40</v>
      </c>
      <c r="G196" s="16">
        <v>45752</v>
      </c>
      <c r="H196" s="16">
        <f>IF(COUNTIF(Sales_Ledger!$H$5:$H$863,A196)=0,"",_xlfn.MINIFS(Sales_Ledger!$B$5:$B$863,Sales_Ledger!$H$5:$H$863,A196))</f>
        <v>45752</v>
      </c>
      <c r="I196" s="17">
        <f>SUMIFS(Subscriptions!$I$5:$I$218,Subscriptions!$B$5:$B$218,A196)</f>
        <v>80000000</v>
      </c>
      <c r="J196" s="17">
        <f>SUMIFS(Subscriptions!$J$5:$J$218,Subscriptions!$B$5:$B$218,A196)</f>
        <v>53000000</v>
      </c>
      <c r="K196" s="17">
        <f>SUMIFS(Sales_Ledger!$J$5:$J$863,Sales_Ledger!$H$5:$H$863,$A196,Sales_Ledger!$D$5:$D$863,2023)</f>
        <v>0</v>
      </c>
      <c r="L196" s="17">
        <f>SUMIFS(Sales_Ledger!$J$5:$J$863,Sales_Ledger!$H$5:$H$863,$A196,Sales_Ledger!$D$5:$D$863,2024)</f>
        <v>0</v>
      </c>
      <c r="M196" s="17">
        <f>SUMIFS(Sales_Ledger!$J$5:$J$863,Sales_Ledger!$H$5:$H$863,$A196,Sales_Ledger!$D$5:$D$863,2025)</f>
        <v>64000000</v>
      </c>
      <c r="N196" s="17">
        <f t="shared" si="4"/>
        <v>64000000</v>
      </c>
      <c r="O196" s="15" t="s">
        <v>3190</v>
      </c>
      <c r="P196" s="15" t="s">
        <v>2601</v>
      </c>
      <c r="Q196" s="15" t="s">
        <v>2966</v>
      </c>
      <c r="R196" s="15" t="str">
        <f t="shared" si="5"/>
        <v/>
      </c>
    </row>
    <row r="197" spans="1:18" x14ac:dyDescent="0.35">
      <c r="A197" s="15" t="s">
        <v>2055</v>
      </c>
      <c r="B197" s="15" t="s">
        <v>2056</v>
      </c>
      <c r="C197" s="15"/>
      <c r="D197" s="15"/>
      <c r="E197" s="15" t="s">
        <v>46</v>
      </c>
      <c r="F197" s="15" t="s">
        <v>36</v>
      </c>
      <c r="G197" s="16"/>
      <c r="H197" s="16">
        <f>IF(COUNTIF(Sales_Ledger!$H$5:$H$863,A197)=0,"",_xlfn.MINIFS(Sales_Ledger!$B$5:$B$863,Sales_Ledger!$H$5:$H$863,A197))</f>
        <v>45754</v>
      </c>
      <c r="I197" s="17">
        <f>SUMIFS(Subscriptions!$I$5:$I$218,Subscriptions!$B$5:$B$218,A197)</f>
        <v>0</v>
      </c>
      <c r="J197" s="17">
        <f>SUMIFS(Subscriptions!$J$5:$J$218,Subscriptions!$B$5:$B$218,A197)</f>
        <v>0</v>
      </c>
      <c r="K197" s="17">
        <f>SUMIFS(Sales_Ledger!$J$5:$J$863,Sales_Ledger!$H$5:$H$863,$A197,Sales_Ledger!$D$5:$D$863,2023)</f>
        <v>0</v>
      </c>
      <c r="L197" s="17">
        <f>SUMIFS(Sales_Ledger!$J$5:$J$863,Sales_Ledger!$H$5:$H$863,$A197,Sales_Ledger!$D$5:$D$863,2024)</f>
        <v>0</v>
      </c>
      <c r="M197" s="17">
        <f>SUMIFS(Sales_Ledger!$J$5:$J$863,Sales_Ledger!$H$5:$H$863,$A197,Sales_Ledger!$D$5:$D$863,2025)</f>
        <v>1050000</v>
      </c>
      <c r="N197" s="17">
        <f t="shared" ref="N197:N260" si="6">SUM(K197:M197)</f>
        <v>1050000</v>
      </c>
      <c r="O197" s="15" t="s">
        <v>3253</v>
      </c>
      <c r="P197" s="15"/>
      <c r="Q197" s="15"/>
      <c r="R197" s="15" t="str">
        <f t="shared" ref="R197:R240" si="7">IF(AND(I197&gt;0,N197&gt;I197*1.02),"Receipts exceed register contract value: check for duplicate entries, extra plots or ancillary fees",IF(AND(I197=0,N197&gt;0),"Not in client register: contract value unknown",""))</f>
        <v>Not in client register: contract value unknown</v>
      </c>
    </row>
    <row r="198" spans="1:18" x14ac:dyDescent="0.35">
      <c r="A198" s="15" t="s">
        <v>2070</v>
      </c>
      <c r="B198" s="15" t="s">
        <v>2071</v>
      </c>
      <c r="C198" s="15" t="s">
        <v>3521</v>
      </c>
      <c r="D198" s="15" t="s">
        <v>3522</v>
      </c>
      <c r="E198" s="15" t="s">
        <v>47</v>
      </c>
      <c r="F198" s="15" t="s">
        <v>3523</v>
      </c>
      <c r="G198" s="16">
        <v>45759</v>
      </c>
      <c r="H198" s="16">
        <f>IF(COUNTIF(Sales_Ledger!$H$5:$H$863,A198)=0,"",_xlfn.MINIFS(Sales_Ledger!$B$5:$B$863,Sales_Ledger!$H$5:$H$863,A198))</f>
        <v>45759</v>
      </c>
      <c r="I198" s="17">
        <f>SUMIFS(Subscriptions!$I$5:$I$218,Subscriptions!$B$5:$B$218,A198)</f>
        <v>85000000</v>
      </c>
      <c r="J198" s="17">
        <f>SUMIFS(Subscriptions!$J$5:$J$218,Subscriptions!$B$5:$B$218,A198)</f>
        <v>61100000</v>
      </c>
      <c r="K198" s="17">
        <f>SUMIFS(Sales_Ledger!$J$5:$J$863,Sales_Ledger!$H$5:$H$863,$A198,Sales_Ledger!$D$5:$D$863,2023)</f>
        <v>0</v>
      </c>
      <c r="L198" s="17">
        <f>SUMIFS(Sales_Ledger!$J$5:$J$863,Sales_Ledger!$H$5:$H$863,$A198,Sales_Ledger!$D$5:$D$863,2024)</f>
        <v>0</v>
      </c>
      <c r="M198" s="17">
        <f>SUMIFS(Sales_Ledger!$J$5:$J$863,Sales_Ledger!$H$5:$H$863,$A198,Sales_Ledger!$D$5:$D$863,2025)</f>
        <v>24100000</v>
      </c>
      <c r="N198" s="17">
        <f t="shared" si="6"/>
        <v>24100000</v>
      </c>
      <c r="O198" s="15" t="s">
        <v>3190</v>
      </c>
      <c r="P198" s="15" t="s">
        <v>2601</v>
      </c>
      <c r="Q198" s="15" t="s">
        <v>1800</v>
      </c>
      <c r="R198" s="15" t="str">
        <f t="shared" si="7"/>
        <v/>
      </c>
    </row>
    <row r="199" spans="1:18" x14ac:dyDescent="0.35">
      <c r="A199" s="15" t="s">
        <v>2118</v>
      </c>
      <c r="B199" s="15" t="s">
        <v>2119</v>
      </c>
      <c r="C199" s="15" t="s">
        <v>3524</v>
      </c>
      <c r="D199" s="15" t="s">
        <v>3525</v>
      </c>
      <c r="E199" s="15" t="s">
        <v>46</v>
      </c>
      <c r="F199" s="15" t="s">
        <v>3387</v>
      </c>
      <c r="G199" s="16">
        <v>45792</v>
      </c>
      <c r="H199" s="16">
        <f>IF(COUNTIF(Sales_Ledger!$H$5:$H$863,A199)=0,"",_xlfn.MINIFS(Sales_Ledger!$B$5:$B$863,Sales_Ledger!$H$5:$H$863,A199))</f>
        <v>45791</v>
      </c>
      <c r="I199" s="17">
        <f>SUMIFS(Subscriptions!$I$5:$I$218,Subscriptions!$B$5:$B$218,A199)</f>
        <v>7500000</v>
      </c>
      <c r="J199" s="17">
        <f>SUMIFS(Subscriptions!$J$5:$J$218,Subscriptions!$B$5:$B$218,A199)</f>
        <v>7500000</v>
      </c>
      <c r="K199" s="17">
        <f>SUMIFS(Sales_Ledger!$J$5:$J$863,Sales_Ledger!$H$5:$H$863,$A199,Sales_Ledger!$D$5:$D$863,2023)</f>
        <v>0</v>
      </c>
      <c r="L199" s="17">
        <f>SUMIFS(Sales_Ledger!$J$5:$J$863,Sales_Ledger!$H$5:$H$863,$A199,Sales_Ledger!$D$5:$D$863,2024)</f>
        <v>0</v>
      </c>
      <c r="M199" s="17">
        <f>SUMIFS(Sales_Ledger!$J$5:$J$863,Sales_Ledger!$H$5:$H$863,$A199,Sales_Ledger!$D$5:$D$863,2025)</f>
        <v>7500000</v>
      </c>
      <c r="N199" s="17">
        <f t="shared" si="6"/>
        <v>7500000</v>
      </c>
      <c r="O199" s="15" t="s">
        <v>3190</v>
      </c>
      <c r="P199" s="15" t="s">
        <v>2502</v>
      </c>
      <c r="Q199" s="15" t="s">
        <v>2513</v>
      </c>
      <c r="R199" s="15" t="str">
        <f t="shared" si="7"/>
        <v/>
      </c>
    </row>
    <row r="200" spans="1:18" x14ac:dyDescent="0.35">
      <c r="A200" s="15" t="s">
        <v>2158</v>
      </c>
      <c r="B200" s="15" t="s">
        <v>2414</v>
      </c>
      <c r="C200" s="15" t="s">
        <v>3526</v>
      </c>
      <c r="D200" s="15" t="s">
        <v>3527</v>
      </c>
      <c r="E200" s="15" t="s">
        <v>46</v>
      </c>
      <c r="F200" s="15" t="s">
        <v>3528</v>
      </c>
      <c r="G200" s="16">
        <v>45819</v>
      </c>
      <c r="H200" s="16">
        <f>IF(COUNTIF(Sales_Ledger!$H$5:$H$863,A200)=0,"",_xlfn.MINIFS(Sales_Ledger!$B$5:$B$863,Sales_Ledger!$H$5:$H$863,A200))</f>
        <v>45819</v>
      </c>
      <c r="I200" s="17">
        <f>SUMIFS(Subscriptions!$I$5:$I$218,Subscriptions!$B$5:$B$218,A200)</f>
        <v>10245000</v>
      </c>
      <c r="J200" s="17">
        <f>SUMIFS(Subscriptions!$J$5:$J$218,Subscriptions!$B$5:$B$218,A200)</f>
        <v>6620000</v>
      </c>
      <c r="K200" s="17">
        <f>SUMIFS(Sales_Ledger!$J$5:$J$863,Sales_Ledger!$H$5:$H$863,$A200,Sales_Ledger!$D$5:$D$863,2023)</f>
        <v>0</v>
      </c>
      <c r="L200" s="17">
        <f>SUMIFS(Sales_Ledger!$J$5:$J$863,Sales_Ledger!$H$5:$H$863,$A200,Sales_Ledger!$D$5:$D$863,2024)</f>
        <v>0</v>
      </c>
      <c r="M200" s="17">
        <f>SUMIFS(Sales_Ledger!$J$5:$J$863,Sales_Ledger!$H$5:$H$863,$A200,Sales_Ledger!$D$5:$D$863,2025)</f>
        <v>9000000</v>
      </c>
      <c r="N200" s="17">
        <f t="shared" si="6"/>
        <v>9000000</v>
      </c>
      <c r="O200" s="15" t="s">
        <v>3190</v>
      </c>
      <c r="P200" s="15" t="s">
        <v>3529</v>
      </c>
      <c r="Q200" s="15" t="s">
        <v>2513</v>
      </c>
      <c r="R200" s="15" t="str">
        <f t="shared" si="7"/>
        <v/>
      </c>
    </row>
    <row r="201" spans="1:18" x14ac:dyDescent="0.35">
      <c r="A201" s="15" t="s">
        <v>3070</v>
      </c>
      <c r="B201" s="15" t="s">
        <v>3071</v>
      </c>
      <c r="C201" s="15" t="s">
        <v>3530</v>
      </c>
      <c r="D201" s="15" t="s">
        <v>3531</v>
      </c>
      <c r="E201" s="15" t="s">
        <v>46</v>
      </c>
      <c r="F201" s="15" t="s">
        <v>27</v>
      </c>
      <c r="G201" s="16">
        <v>45835</v>
      </c>
      <c r="H201" s="16" t="str">
        <f>IF(COUNTIF(Sales_Ledger!$H$5:$H$863,A201)=0,"",_xlfn.MINIFS(Sales_Ledger!$B$5:$B$863,Sales_Ledger!$H$5:$H$863,A201))</f>
        <v/>
      </c>
      <c r="I201" s="17">
        <f>SUMIFS(Subscriptions!$I$5:$I$218,Subscriptions!$B$5:$B$218,A201)</f>
        <v>1350000</v>
      </c>
      <c r="J201" s="17">
        <f>SUMIFS(Subscriptions!$J$5:$J$218,Subscriptions!$B$5:$B$218,A201)</f>
        <v>1350000</v>
      </c>
      <c r="K201" s="17">
        <f>SUMIFS(Sales_Ledger!$J$5:$J$863,Sales_Ledger!$H$5:$H$863,$A201,Sales_Ledger!$D$5:$D$863,2023)</f>
        <v>0</v>
      </c>
      <c r="L201" s="17">
        <f>SUMIFS(Sales_Ledger!$J$5:$J$863,Sales_Ledger!$H$5:$H$863,$A201,Sales_Ledger!$D$5:$D$863,2024)</f>
        <v>0</v>
      </c>
      <c r="M201" s="17">
        <f>SUMIFS(Sales_Ledger!$J$5:$J$863,Sales_Ledger!$H$5:$H$863,$A201,Sales_Ledger!$D$5:$D$863,2025)</f>
        <v>0</v>
      </c>
      <c r="N201" s="17">
        <f t="shared" si="6"/>
        <v>0</v>
      </c>
      <c r="O201" s="15" t="s">
        <v>3184</v>
      </c>
      <c r="P201" s="15" t="s">
        <v>2502</v>
      </c>
      <c r="Q201" s="15" t="s">
        <v>1800</v>
      </c>
      <c r="R201" s="15" t="str">
        <f t="shared" si="7"/>
        <v/>
      </c>
    </row>
    <row r="202" spans="1:18" x14ac:dyDescent="0.35">
      <c r="A202" s="15" t="s">
        <v>2198</v>
      </c>
      <c r="B202" s="15" t="s">
        <v>2199</v>
      </c>
      <c r="C202" s="15" t="s">
        <v>3532</v>
      </c>
      <c r="D202" s="15" t="s">
        <v>3533</v>
      </c>
      <c r="E202" s="15" t="s">
        <v>46</v>
      </c>
      <c r="F202" s="15" t="s">
        <v>3492</v>
      </c>
      <c r="G202" s="16">
        <v>45854</v>
      </c>
      <c r="H202" s="16">
        <f>IF(COUNTIF(Sales_Ledger!$H$5:$H$863,A202)=0,"",_xlfn.MINIFS(Sales_Ledger!$B$5:$B$863,Sales_Ledger!$H$5:$H$863,A202))</f>
        <v>45854</v>
      </c>
      <c r="I202" s="17">
        <f>SUMIFS(Subscriptions!$I$5:$I$218,Subscriptions!$B$5:$B$218,A202)</f>
        <v>2500000</v>
      </c>
      <c r="J202" s="17">
        <f>SUMIFS(Subscriptions!$J$5:$J$218,Subscriptions!$B$5:$B$218,A202)</f>
        <v>2500000</v>
      </c>
      <c r="K202" s="17">
        <f>SUMIFS(Sales_Ledger!$J$5:$J$863,Sales_Ledger!$H$5:$H$863,$A202,Sales_Ledger!$D$5:$D$863,2023)</f>
        <v>0</v>
      </c>
      <c r="L202" s="17">
        <f>SUMIFS(Sales_Ledger!$J$5:$J$863,Sales_Ledger!$H$5:$H$863,$A202,Sales_Ledger!$D$5:$D$863,2024)</f>
        <v>0</v>
      </c>
      <c r="M202" s="17">
        <f>SUMIFS(Sales_Ledger!$J$5:$J$863,Sales_Ledger!$H$5:$H$863,$A202,Sales_Ledger!$D$5:$D$863,2025)</f>
        <v>2500000</v>
      </c>
      <c r="N202" s="17">
        <f t="shared" si="6"/>
        <v>2500000</v>
      </c>
      <c r="O202" s="15" t="s">
        <v>3190</v>
      </c>
      <c r="P202" s="15" t="s">
        <v>2502</v>
      </c>
      <c r="Q202" s="15" t="s">
        <v>3024</v>
      </c>
      <c r="R202" s="15" t="str">
        <f t="shared" si="7"/>
        <v/>
      </c>
    </row>
    <row r="203" spans="1:18" x14ac:dyDescent="0.35">
      <c r="A203" s="15" t="s">
        <v>2207</v>
      </c>
      <c r="B203" s="15" t="s">
        <v>2208</v>
      </c>
      <c r="C203" s="15"/>
      <c r="D203" s="15"/>
      <c r="E203" s="15" t="s">
        <v>47</v>
      </c>
      <c r="F203" s="15" t="s">
        <v>25</v>
      </c>
      <c r="G203" s="16"/>
      <c r="H203" s="16">
        <f>IF(COUNTIF(Sales_Ledger!$H$5:$H$863,A203)=0,"",_xlfn.MINIFS(Sales_Ledger!$B$5:$B$863,Sales_Ledger!$H$5:$H$863,A203))</f>
        <v>45860</v>
      </c>
      <c r="I203" s="17">
        <f>SUMIFS(Subscriptions!$I$5:$I$218,Subscriptions!$B$5:$B$218,A203)</f>
        <v>0</v>
      </c>
      <c r="J203" s="17">
        <f>SUMIFS(Subscriptions!$J$5:$J$218,Subscriptions!$B$5:$B$218,A203)</f>
        <v>0</v>
      </c>
      <c r="K203" s="17">
        <f>SUMIFS(Sales_Ledger!$J$5:$J$863,Sales_Ledger!$H$5:$H$863,$A203,Sales_Ledger!$D$5:$D$863,2023)</f>
        <v>0</v>
      </c>
      <c r="L203" s="17">
        <f>SUMIFS(Sales_Ledger!$J$5:$J$863,Sales_Ledger!$H$5:$H$863,$A203,Sales_Ledger!$D$5:$D$863,2024)</f>
        <v>0</v>
      </c>
      <c r="M203" s="17">
        <f>SUMIFS(Sales_Ledger!$J$5:$J$863,Sales_Ledger!$H$5:$H$863,$A203,Sales_Ledger!$D$5:$D$863,2025)</f>
        <v>5000000</v>
      </c>
      <c r="N203" s="17">
        <f t="shared" si="6"/>
        <v>5000000</v>
      </c>
      <c r="O203" s="15" t="s">
        <v>3253</v>
      </c>
      <c r="P203" s="15"/>
      <c r="Q203" s="15"/>
      <c r="R203" s="15" t="str">
        <f t="shared" si="7"/>
        <v>Not in client register: contract value unknown</v>
      </c>
    </row>
    <row r="204" spans="1:18" x14ac:dyDescent="0.35">
      <c r="A204" s="15" t="s">
        <v>2202</v>
      </c>
      <c r="B204" s="15" t="s">
        <v>3088</v>
      </c>
      <c r="C204" s="15" t="s">
        <v>3534</v>
      </c>
      <c r="D204" s="15" t="s">
        <v>3535</v>
      </c>
      <c r="E204" s="15" t="s">
        <v>47</v>
      </c>
      <c r="F204" s="15" t="s">
        <v>25</v>
      </c>
      <c r="G204" s="16">
        <v>45864</v>
      </c>
      <c r="H204" s="16">
        <f>IF(COUNTIF(Sales_Ledger!$H$5:$H$863,A204)=0,"",_xlfn.MINIFS(Sales_Ledger!$B$5:$B$863,Sales_Ledger!$H$5:$H$863,A204))</f>
        <v>45860</v>
      </c>
      <c r="I204" s="17">
        <f>SUMIFS(Subscriptions!$I$5:$I$218,Subscriptions!$B$5:$B$218,A204)</f>
        <v>40100000</v>
      </c>
      <c r="J204" s="17">
        <f>SUMIFS(Subscriptions!$J$5:$J$218,Subscriptions!$B$5:$B$218,A204)</f>
        <v>5000000</v>
      </c>
      <c r="K204" s="17">
        <f>SUMIFS(Sales_Ledger!$J$5:$J$863,Sales_Ledger!$H$5:$H$863,$A204,Sales_Ledger!$D$5:$D$863,2023)</f>
        <v>0</v>
      </c>
      <c r="L204" s="17">
        <f>SUMIFS(Sales_Ledger!$J$5:$J$863,Sales_Ledger!$H$5:$H$863,$A204,Sales_Ledger!$D$5:$D$863,2024)</f>
        <v>0</v>
      </c>
      <c r="M204" s="17">
        <f>SUMIFS(Sales_Ledger!$J$5:$J$863,Sales_Ledger!$H$5:$H$863,$A204,Sales_Ledger!$D$5:$D$863,2025)</f>
        <v>5000000</v>
      </c>
      <c r="N204" s="17">
        <f t="shared" si="6"/>
        <v>5000000</v>
      </c>
      <c r="O204" s="15" t="s">
        <v>3190</v>
      </c>
      <c r="P204" s="15" t="s">
        <v>2601</v>
      </c>
      <c r="Q204" s="15" t="s">
        <v>3080</v>
      </c>
      <c r="R204" s="15" t="str">
        <f t="shared" si="7"/>
        <v/>
      </c>
    </row>
    <row r="205" spans="1:18" x14ac:dyDescent="0.35">
      <c r="A205" s="15" t="s">
        <v>3076</v>
      </c>
      <c r="B205" s="15" t="s">
        <v>3077</v>
      </c>
      <c r="C205" s="15" t="s">
        <v>3534</v>
      </c>
      <c r="D205" s="15" t="s">
        <v>3535</v>
      </c>
      <c r="E205" s="15" t="s">
        <v>47</v>
      </c>
      <c r="F205" s="15" t="s">
        <v>25</v>
      </c>
      <c r="G205" s="16">
        <v>45860</v>
      </c>
      <c r="H205" s="16" t="str">
        <f>IF(COUNTIF(Sales_Ledger!$H$5:$H$863,A205)=0,"",_xlfn.MINIFS(Sales_Ledger!$B$5:$B$863,Sales_Ledger!$H$5:$H$863,A205))</f>
        <v/>
      </c>
      <c r="I205" s="17">
        <f>SUMIFS(Subscriptions!$I$5:$I$218,Subscriptions!$B$5:$B$218,A205)</f>
        <v>40100000</v>
      </c>
      <c r="J205" s="17">
        <f>SUMIFS(Subscriptions!$J$5:$J$218,Subscriptions!$B$5:$B$218,A205)</f>
        <v>8830000</v>
      </c>
      <c r="K205" s="17">
        <f>SUMIFS(Sales_Ledger!$J$5:$J$863,Sales_Ledger!$H$5:$H$863,$A205,Sales_Ledger!$D$5:$D$863,2023)</f>
        <v>0</v>
      </c>
      <c r="L205" s="17">
        <f>SUMIFS(Sales_Ledger!$J$5:$J$863,Sales_Ledger!$H$5:$H$863,$A205,Sales_Ledger!$D$5:$D$863,2024)</f>
        <v>0</v>
      </c>
      <c r="M205" s="17">
        <f>SUMIFS(Sales_Ledger!$J$5:$J$863,Sales_Ledger!$H$5:$H$863,$A205,Sales_Ledger!$D$5:$D$863,2025)</f>
        <v>0</v>
      </c>
      <c r="N205" s="17">
        <f t="shared" si="6"/>
        <v>0</v>
      </c>
      <c r="O205" s="15" t="s">
        <v>3184</v>
      </c>
      <c r="P205" s="15" t="s">
        <v>2601</v>
      </c>
      <c r="Q205" s="15" t="s">
        <v>3080</v>
      </c>
      <c r="R205" s="15" t="str">
        <f t="shared" si="7"/>
        <v/>
      </c>
    </row>
    <row r="206" spans="1:18" x14ac:dyDescent="0.35">
      <c r="A206" s="15" t="s">
        <v>2210</v>
      </c>
      <c r="B206" s="15" t="s">
        <v>2211</v>
      </c>
      <c r="C206" s="15" t="s">
        <v>3536</v>
      </c>
      <c r="D206" s="15" t="s">
        <v>3537</v>
      </c>
      <c r="E206" s="15" t="s">
        <v>47</v>
      </c>
      <c r="F206" s="15" t="s">
        <v>3538</v>
      </c>
      <c r="G206" s="16">
        <v>45862</v>
      </c>
      <c r="H206" s="16">
        <f>IF(COUNTIF(Sales_Ledger!$H$5:$H$863,A206)=0,"",_xlfn.MINIFS(Sales_Ledger!$B$5:$B$863,Sales_Ledger!$H$5:$H$863,A206))</f>
        <v>45862</v>
      </c>
      <c r="I206" s="17">
        <f>SUMIFS(Subscriptions!$I$5:$I$218,Subscriptions!$B$5:$B$218,A206)</f>
        <v>112500000</v>
      </c>
      <c r="J206" s="17">
        <f>SUMIFS(Subscriptions!$J$5:$J$218,Subscriptions!$B$5:$B$218,A206)</f>
        <v>112500000</v>
      </c>
      <c r="K206" s="17">
        <f>SUMIFS(Sales_Ledger!$J$5:$J$863,Sales_Ledger!$H$5:$H$863,$A206,Sales_Ledger!$D$5:$D$863,2023)</f>
        <v>0</v>
      </c>
      <c r="L206" s="17">
        <f>SUMIFS(Sales_Ledger!$J$5:$J$863,Sales_Ledger!$H$5:$H$863,$A206,Sales_Ledger!$D$5:$D$863,2024)</f>
        <v>0</v>
      </c>
      <c r="M206" s="17">
        <f>SUMIFS(Sales_Ledger!$J$5:$J$863,Sales_Ledger!$H$5:$H$863,$A206,Sales_Ledger!$D$5:$D$863,2025)</f>
        <v>112500000</v>
      </c>
      <c r="N206" s="17">
        <f t="shared" si="6"/>
        <v>112500000</v>
      </c>
      <c r="O206" s="15" t="s">
        <v>3190</v>
      </c>
      <c r="P206" s="15" t="s">
        <v>3084</v>
      </c>
      <c r="Q206" s="15" t="s">
        <v>2966</v>
      </c>
      <c r="R206" s="15" t="str">
        <f t="shared" si="7"/>
        <v/>
      </c>
    </row>
    <row r="207" spans="1:18" x14ac:dyDescent="0.35">
      <c r="A207" s="15" t="s">
        <v>2214</v>
      </c>
      <c r="B207" s="15" t="s">
        <v>2215</v>
      </c>
      <c r="C207" s="15"/>
      <c r="D207" s="15" t="s">
        <v>3539</v>
      </c>
      <c r="E207" s="15" t="s">
        <v>47</v>
      </c>
      <c r="F207" s="15" t="s">
        <v>40</v>
      </c>
      <c r="G207" s="16">
        <v>45862</v>
      </c>
      <c r="H207" s="16">
        <f>IF(COUNTIF(Sales_Ledger!$H$5:$H$863,A207)=0,"",_xlfn.MINIFS(Sales_Ledger!$B$5:$B$863,Sales_Ledger!$H$5:$H$863,A207))</f>
        <v>45862</v>
      </c>
      <c r="I207" s="17">
        <f>SUMIFS(Subscriptions!$I$5:$I$218,Subscriptions!$B$5:$B$218,A207)</f>
        <v>112500000</v>
      </c>
      <c r="J207" s="17">
        <f>SUMIFS(Subscriptions!$J$5:$J$218,Subscriptions!$B$5:$B$218,A207)</f>
        <v>112500000</v>
      </c>
      <c r="K207" s="17">
        <f>SUMIFS(Sales_Ledger!$J$5:$J$863,Sales_Ledger!$H$5:$H$863,$A207,Sales_Ledger!$D$5:$D$863,2023)</f>
        <v>0</v>
      </c>
      <c r="L207" s="17">
        <f>SUMIFS(Sales_Ledger!$J$5:$J$863,Sales_Ledger!$H$5:$H$863,$A207,Sales_Ledger!$D$5:$D$863,2024)</f>
        <v>0</v>
      </c>
      <c r="M207" s="17">
        <f>SUMIFS(Sales_Ledger!$J$5:$J$863,Sales_Ledger!$H$5:$H$863,$A207,Sales_Ledger!$D$5:$D$863,2025)</f>
        <v>142500000</v>
      </c>
      <c r="N207" s="17">
        <f t="shared" si="6"/>
        <v>142500000</v>
      </c>
      <c r="O207" s="15" t="s">
        <v>3190</v>
      </c>
      <c r="P207" s="15" t="s">
        <v>3084</v>
      </c>
      <c r="Q207" s="15" t="s">
        <v>2966</v>
      </c>
      <c r="R207" s="15" t="str">
        <f t="shared" si="7"/>
        <v>Receipts exceed register contract value: check for duplicate entries, extra plots or ancillary fees</v>
      </c>
    </row>
    <row r="208" spans="1:18" x14ac:dyDescent="0.35">
      <c r="A208" s="15" t="s">
        <v>2217</v>
      </c>
      <c r="B208" s="15" t="s">
        <v>2218</v>
      </c>
      <c r="C208" s="15" t="s">
        <v>3540</v>
      </c>
      <c r="D208" s="15" t="s">
        <v>3541</v>
      </c>
      <c r="E208" s="15" t="s">
        <v>47</v>
      </c>
      <c r="F208" s="15" t="s">
        <v>3538</v>
      </c>
      <c r="G208" s="16">
        <v>45863</v>
      </c>
      <c r="H208" s="16">
        <f>IF(COUNTIF(Sales_Ledger!$H$5:$H$863,A208)=0,"",_xlfn.MINIFS(Sales_Ledger!$B$5:$B$863,Sales_Ledger!$H$5:$H$863,A208))</f>
        <v>45863</v>
      </c>
      <c r="I208" s="17">
        <f>SUMIFS(Subscriptions!$I$5:$I$218,Subscriptions!$B$5:$B$218,A208)</f>
        <v>138000000</v>
      </c>
      <c r="J208" s="17">
        <f>SUMIFS(Subscriptions!$J$5:$J$218,Subscriptions!$B$5:$B$218,A208)</f>
        <v>60000000</v>
      </c>
      <c r="K208" s="17">
        <f>SUMIFS(Sales_Ledger!$J$5:$J$863,Sales_Ledger!$H$5:$H$863,$A208,Sales_Ledger!$D$5:$D$863,2023)</f>
        <v>0</v>
      </c>
      <c r="L208" s="17">
        <f>SUMIFS(Sales_Ledger!$J$5:$J$863,Sales_Ledger!$H$5:$H$863,$A208,Sales_Ledger!$D$5:$D$863,2024)</f>
        <v>0</v>
      </c>
      <c r="M208" s="17">
        <f>SUMIFS(Sales_Ledger!$J$5:$J$863,Sales_Ledger!$H$5:$H$863,$A208,Sales_Ledger!$D$5:$D$863,2025)</f>
        <v>59000000</v>
      </c>
      <c r="N208" s="17">
        <f t="shared" si="6"/>
        <v>59000000</v>
      </c>
      <c r="O208" s="15" t="s">
        <v>3190</v>
      </c>
      <c r="P208" s="15" t="s">
        <v>2601</v>
      </c>
      <c r="Q208" s="15" t="s">
        <v>2966</v>
      </c>
      <c r="R208" s="15" t="str">
        <f t="shared" si="7"/>
        <v/>
      </c>
    </row>
    <row r="209" spans="1:18" x14ac:dyDescent="0.35">
      <c r="A209" s="15" t="s">
        <v>2221</v>
      </c>
      <c r="B209" s="15" t="s">
        <v>2222</v>
      </c>
      <c r="C209" s="15"/>
      <c r="D209" s="15"/>
      <c r="E209" s="15" t="s">
        <v>47</v>
      </c>
      <c r="F209" s="15" t="s">
        <v>25</v>
      </c>
      <c r="G209" s="16"/>
      <c r="H209" s="16">
        <f>IF(COUNTIF(Sales_Ledger!$H$5:$H$863,A209)=0,"",_xlfn.MINIFS(Sales_Ledger!$B$5:$B$863,Sales_Ledger!$H$5:$H$863,A209))</f>
        <v>45864</v>
      </c>
      <c r="I209" s="17">
        <f>SUMIFS(Subscriptions!$I$5:$I$218,Subscriptions!$B$5:$B$218,A209)</f>
        <v>0</v>
      </c>
      <c r="J209" s="17">
        <f>SUMIFS(Subscriptions!$J$5:$J$218,Subscriptions!$B$5:$B$218,A209)</f>
        <v>0</v>
      </c>
      <c r="K209" s="17">
        <f>SUMIFS(Sales_Ledger!$J$5:$J$863,Sales_Ledger!$H$5:$H$863,$A209,Sales_Ledger!$D$5:$D$863,2023)</f>
        <v>0</v>
      </c>
      <c r="L209" s="17">
        <f>SUMIFS(Sales_Ledger!$J$5:$J$863,Sales_Ledger!$H$5:$H$863,$A209,Sales_Ledger!$D$5:$D$863,2024)</f>
        <v>0</v>
      </c>
      <c r="M209" s="17">
        <f>SUMIFS(Sales_Ledger!$J$5:$J$863,Sales_Ledger!$H$5:$H$863,$A209,Sales_Ledger!$D$5:$D$863,2025)</f>
        <v>15000000</v>
      </c>
      <c r="N209" s="17">
        <f t="shared" si="6"/>
        <v>15000000</v>
      </c>
      <c r="O209" s="15" t="s">
        <v>3253</v>
      </c>
      <c r="P209" s="15"/>
      <c r="Q209" s="15"/>
      <c r="R209" s="15" t="str">
        <f t="shared" si="7"/>
        <v>Not in client register: contract value unknown</v>
      </c>
    </row>
    <row r="210" spans="1:18" x14ac:dyDescent="0.35">
      <c r="A210" s="15" t="s">
        <v>3090</v>
      </c>
      <c r="B210" s="15" t="s">
        <v>3091</v>
      </c>
      <c r="C210" s="15" t="s">
        <v>3534</v>
      </c>
      <c r="D210" s="15" t="s">
        <v>3535</v>
      </c>
      <c r="E210" s="15" t="s">
        <v>47</v>
      </c>
      <c r="F210" s="15" t="s">
        <v>25</v>
      </c>
      <c r="G210" s="16">
        <v>45864</v>
      </c>
      <c r="H210" s="16" t="str">
        <f>IF(COUNTIF(Sales_Ledger!$H$5:$H$863,A210)=0,"",_xlfn.MINIFS(Sales_Ledger!$B$5:$B$863,Sales_Ledger!$H$5:$H$863,A210))</f>
        <v/>
      </c>
      <c r="I210" s="17">
        <f>SUMIFS(Subscriptions!$I$5:$I$218,Subscriptions!$B$5:$B$218,A210)</f>
        <v>40100000</v>
      </c>
      <c r="J210" s="17">
        <f>SUMIFS(Subscriptions!$J$5:$J$218,Subscriptions!$B$5:$B$218,A210)</f>
        <v>23000000</v>
      </c>
      <c r="K210" s="17">
        <f>SUMIFS(Sales_Ledger!$J$5:$J$863,Sales_Ledger!$H$5:$H$863,$A210,Sales_Ledger!$D$5:$D$863,2023)</f>
        <v>0</v>
      </c>
      <c r="L210" s="17">
        <f>SUMIFS(Sales_Ledger!$J$5:$J$863,Sales_Ledger!$H$5:$H$863,$A210,Sales_Ledger!$D$5:$D$863,2024)</f>
        <v>0</v>
      </c>
      <c r="M210" s="17">
        <f>SUMIFS(Sales_Ledger!$J$5:$J$863,Sales_Ledger!$H$5:$H$863,$A210,Sales_Ledger!$D$5:$D$863,2025)</f>
        <v>0</v>
      </c>
      <c r="N210" s="17">
        <f t="shared" si="6"/>
        <v>0</v>
      </c>
      <c r="O210" s="15" t="s">
        <v>3184</v>
      </c>
      <c r="P210" s="15" t="s">
        <v>2601</v>
      </c>
      <c r="Q210" s="15" t="s">
        <v>3080</v>
      </c>
      <c r="R210" s="15" t="str">
        <f t="shared" si="7"/>
        <v/>
      </c>
    </row>
    <row r="211" spans="1:18" x14ac:dyDescent="0.35">
      <c r="A211" s="15" t="s">
        <v>2232</v>
      </c>
      <c r="B211" s="15" t="s">
        <v>2233</v>
      </c>
      <c r="C211" s="15"/>
      <c r="D211" s="15"/>
      <c r="E211" s="15" t="s">
        <v>47</v>
      </c>
      <c r="F211" s="15" t="s">
        <v>25</v>
      </c>
      <c r="G211" s="16"/>
      <c r="H211" s="16">
        <f>IF(COUNTIF(Sales_Ledger!$H$5:$H$863,A211)=0,"",_xlfn.MINIFS(Sales_Ledger!$B$5:$B$863,Sales_Ledger!$H$5:$H$863,A211))</f>
        <v>45867</v>
      </c>
      <c r="I211" s="17">
        <f>SUMIFS(Subscriptions!$I$5:$I$218,Subscriptions!$B$5:$B$218,A211)</f>
        <v>0</v>
      </c>
      <c r="J211" s="17">
        <f>SUMIFS(Subscriptions!$J$5:$J$218,Subscriptions!$B$5:$B$218,A211)</f>
        <v>0</v>
      </c>
      <c r="K211" s="17">
        <f>SUMIFS(Sales_Ledger!$J$5:$J$863,Sales_Ledger!$H$5:$H$863,$A211,Sales_Ledger!$D$5:$D$863,2023)</f>
        <v>0</v>
      </c>
      <c r="L211" s="17">
        <f>SUMIFS(Sales_Ledger!$J$5:$J$863,Sales_Ledger!$H$5:$H$863,$A211,Sales_Ledger!$D$5:$D$863,2024)</f>
        <v>0</v>
      </c>
      <c r="M211" s="17">
        <f>SUMIFS(Sales_Ledger!$J$5:$J$863,Sales_Ledger!$H$5:$H$863,$A211,Sales_Ledger!$D$5:$D$863,2025)</f>
        <v>22915000</v>
      </c>
      <c r="N211" s="17">
        <f t="shared" si="6"/>
        <v>22915000</v>
      </c>
      <c r="O211" s="15" t="s">
        <v>3253</v>
      </c>
      <c r="P211" s="15"/>
      <c r="Q211" s="15"/>
      <c r="R211" s="15" t="str">
        <f t="shared" si="7"/>
        <v>Not in client register: contract value unknown</v>
      </c>
    </row>
    <row r="212" spans="1:18" x14ac:dyDescent="0.35">
      <c r="A212" s="15" t="s">
        <v>2228</v>
      </c>
      <c r="B212" s="15" t="s">
        <v>3093</v>
      </c>
      <c r="C212" s="15" t="s">
        <v>3534</v>
      </c>
      <c r="D212" s="15" t="s">
        <v>3535</v>
      </c>
      <c r="E212" s="15" t="s">
        <v>47</v>
      </c>
      <c r="F212" s="15" t="s">
        <v>25</v>
      </c>
      <c r="G212" s="16">
        <v>45867</v>
      </c>
      <c r="H212" s="16">
        <f>IF(COUNTIF(Sales_Ledger!$H$5:$H$863,A212)=0,"",_xlfn.MINIFS(Sales_Ledger!$B$5:$B$863,Sales_Ledger!$H$5:$H$863,A212))</f>
        <v>45867</v>
      </c>
      <c r="I212" s="17">
        <f>SUMIFS(Subscriptions!$I$5:$I$218,Subscriptions!$B$5:$B$218,A212)</f>
        <v>40100000</v>
      </c>
      <c r="J212" s="17">
        <f>SUMIFS(Subscriptions!$J$5:$J$218,Subscriptions!$B$5:$B$218,A212)</f>
        <v>5000000</v>
      </c>
      <c r="K212" s="17">
        <f>SUMIFS(Sales_Ledger!$J$5:$J$863,Sales_Ledger!$H$5:$H$863,$A212,Sales_Ledger!$D$5:$D$863,2023)</f>
        <v>0</v>
      </c>
      <c r="L212" s="17">
        <f>SUMIFS(Sales_Ledger!$J$5:$J$863,Sales_Ledger!$H$5:$H$863,$A212,Sales_Ledger!$D$5:$D$863,2024)</f>
        <v>0</v>
      </c>
      <c r="M212" s="17">
        <f>SUMIFS(Sales_Ledger!$J$5:$J$863,Sales_Ledger!$H$5:$H$863,$A212,Sales_Ledger!$D$5:$D$863,2025)</f>
        <v>5000000</v>
      </c>
      <c r="N212" s="17">
        <f t="shared" si="6"/>
        <v>5000000</v>
      </c>
      <c r="O212" s="15" t="s">
        <v>3190</v>
      </c>
      <c r="P212" s="15" t="s">
        <v>2601</v>
      </c>
      <c r="Q212" s="15" t="s">
        <v>3080</v>
      </c>
      <c r="R212" s="15" t="str">
        <f t="shared" si="7"/>
        <v/>
      </c>
    </row>
    <row r="213" spans="1:18" x14ac:dyDescent="0.35">
      <c r="A213" s="15" t="s">
        <v>3095</v>
      </c>
      <c r="B213" s="15" t="s">
        <v>3096</v>
      </c>
      <c r="C213" s="15" t="s">
        <v>3534</v>
      </c>
      <c r="D213" s="15" t="s">
        <v>3535</v>
      </c>
      <c r="E213" s="15" t="s">
        <v>47</v>
      </c>
      <c r="F213" s="15" t="s">
        <v>25</v>
      </c>
      <c r="G213" s="16">
        <v>45867</v>
      </c>
      <c r="H213" s="16" t="str">
        <f>IF(COUNTIF(Sales_Ledger!$H$5:$H$863,A213)=0,"",_xlfn.MINIFS(Sales_Ledger!$B$5:$B$863,Sales_Ledger!$H$5:$H$863,A213))</f>
        <v/>
      </c>
      <c r="I213" s="17">
        <f>SUMIFS(Subscriptions!$I$5:$I$218,Subscriptions!$B$5:$B$218,A213)</f>
        <v>37000000</v>
      </c>
      <c r="J213" s="17">
        <f>SUMIFS(Subscriptions!$J$5:$J$218,Subscriptions!$B$5:$B$218,A213)</f>
        <v>37000000</v>
      </c>
      <c r="K213" s="17">
        <f>SUMIFS(Sales_Ledger!$J$5:$J$863,Sales_Ledger!$H$5:$H$863,$A213,Sales_Ledger!$D$5:$D$863,2023)</f>
        <v>0</v>
      </c>
      <c r="L213" s="17">
        <f>SUMIFS(Sales_Ledger!$J$5:$J$863,Sales_Ledger!$H$5:$H$863,$A213,Sales_Ledger!$D$5:$D$863,2024)</f>
        <v>0</v>
      </c>
      <c r="M213" s="17">
        <f>SUMIFS(Sales_Ledger!$J$5:$J$863,Sales_Ledger!$H$5:$H$863,$A213,Sales_Ledger!$D$5:$D$863,2025)</f>
        <v>0</v>
      </c>
      <c r="N213" s="17">
        <f t="shared" si="6"/>
        <v>0</v>
      </c>
      <c r="O213" s="15" t="s">
        <v>3184</v>
      </c>
      <c r="P213" s="15" t="s">
        <v>3097</v>
      </c>
      <c r="Q213" s="15" t="s">
        <v>3080</v>
      </c>
      <c r="R213" s="15" t="str">
        <f t="shared" si="7"/>
        <v/>
      </c>
    </row>
    <row r="214" spans="1:18" x14ac:dyDescent="0.35">
      <c r="A214" s="15" t="s">
        <v>2236</v>
      </c>
      <c r="B214" s="15" t="s">
        <v>2237</v>
      </c>
      <c r="C214" s="15"/>
      <c r="D214" s="15"/>
      <c r="E214" s="15" t="s">
        <v>47</v>
      </c>
      <c r="F214" s="15" t="s">
        <v>35</v>
      </c>
      <c r="G214" s="16"/>
      <c r="H214" s="16">
        <f>IF(COUNTIF(Sales_Ledger!$H$5:$H$863,A214)=0,"",_xlfn.MINIFS(Sales_Ledger!$B$5:$B$863,Sales_Ledger!$H$5:$H$863,A214))</f>
        <v>45867</v>
      </c>
      <c r="I214" s="17">
        <f>SUMIFS(Subscriptions!$I$5:$I$218,Subscriptions!$B$5:$B$218,A214)</f>
        <v>0</v>
      </c>
      <c r="J214" s="17">
        <f>SUMIFS(Subscriptions!$J$5:$J$218,Subscriptions!$B$5:$B$218,A214)</f>
        <v>0</v>
      </c>
      <c r="K214" s="17">
        <f>SUMIFS(Sales_Ledger!$J$5:$J$863,Sales_Ledger!$H$5:$H$863,$A214,Sales_Ledger!$D$5:$D$863,2023)</f>
        <v>0</v>
      </c>
      <c r="L214" s="17">
        <f>SUMIFS(Sales_Ledger!$J$5:$J$863,Sales_Ledger!$H$5:$H$863,$A214,Sales_Ledger!$D$5:$D$863,2024)</f>
        <v>0</v>
      </c>
      <c r="M214" s="17">
        <f>SUMIFS(Sales_Ledger!$J$5:$J$863,Sales_Ledger!$H$5:$H$863,$A214,Sales_Ledger!$D$5:$D$863,2025)</f>
        <v>4000000</v>
      </c>
      <c r="N214" s="17">
        <f t="shared" si="6"/>
        <v>4000000</v>
      </c>
      <c r="O214" s="15" t="s">
        <v>3253</v>
      </c>
      <c r="P214" s="15"/>
      <c r="Q214" s="15"/>
      <c r="R214" s="15" t="str">
        <f t="shared" si="7"/>
        <v>Not in client register: contract value unknown</v>
      </c>
    </row>
    <row r="215" spans="1:18" x14ac:dyDescent="0.35">
      <c r="A215" s="15" t="s">
        <v>3113</v>
      </c>
      <c r="B215" s="15" t="s">
        <v>3114</v>
      </c>
      <c r="C215" s="15"/>
      <c r="D215" s="15"/>
      <c r="E215" s="15" t="s">
        <v>47</v>
      </c>
      <c r="F215" s="15" t="s">
        <v>25</v>
      </c>
      <c r="G215" s="16">
        <v>45888</v>
      </c>
      <c r="H215" s="16" t="str">
        <f>IF(COUNTIF(Sales_Ledger!$H$5:$H$863,A215)=0,"",_xlfn.MINIFS(Sales_Ledger!$B$5:$B$863,Sales_Ledger!$H$5:$H$863,A215))</f>
        <v/>
      </c>
      <c r="I215" s="17">
        <f>SUMIFS(Subscriptions!$I$5:$I$218,Subscriptions!$B$5:$B$218,A215)</f>
        <v>40100000</v>
      </c>
      <c r="J215" s="17">
        <f>SUMIFS(Subscriptions!$J$5:$J$218,Subscriptions!$B$5:$B$218,A215)</f>
        <v>20000000</v>
      </c>
      <c r="K215" s="17">
        <f>SUMIFS(Sales_Ledger!$J$5:$J$863,Sales_Ledger!$H$5:$H$863,$A215,Sales_Ledger!$D$5:$D$863,2023)</f>
        <v>0</v>
      </c>
      <c r="L215" s="17">
        <f>SUMIFS(Sales_Ledger!$J$5:$J$863,Sales_Ledger!$H$5:$H$863,$A215,Sales_Ledger!$D$5:$D$863,2024)</f>
        <v>0</v>
      </c>
      <c r="M215" s="17">
        <f>SUMIFS(Sales_Ledger!$J$5:$J$863,Sales_Ledger!$H$5:$H$863,$A215,Sales_Ledger!$D$5:$D$863,2025)</f>
        <v>0</v>
      </c>
      <c r="N215" s="17">
        <f t="shared" si="6"/>
        <v>0</v>
      </c>
      <c r="O215" s="15" t="s">
        <v>3184</v>
      </c>
      <c r="P215" s="15" t="s">
        <v>2601</v>
      </c>
      <c r="Q215" s="15"/>
      <c r="R215" s="15" t="str">
        <f t="shared" si="7"/>
        <v/>
      </c>
    </row>
    <row r="216" spans="1:18" x14ac:dyDescent="0.35">
      <c r="A216" s="15" t="s">
        <v>3117</v>
      </c>
      <c r="B216" s="15" t="s">
        <v>3118</v>
      </c>
      <c r="C216" s="15" t="s">
        <v>3534</v>
      </c>
      <c r="D216" s="15" t="s">
        <v>3535</v>
      </c>
      <c r="E216" s="15" t="s">
        <v>47</v>
      </c>
      <c r="F216" s="15" t="s">
        <v>25</v>
      </c>
      <c r="G216" s="16">
        <v>45888</v>
      </c>
      <c r="H216" s="16" t="str">
        <f>IF(COUNTIF(Sales_Ledger!$H$5:$H$863,A216)=0,"",_xlfn.MINIFS(Sales_Ledger!$B$5:$B$863,Sales_Ledger!$H$5:$H$863,A216))</f>
        <v/>
      </c>
      <c r="I216" s="17">
        <f>SUMIFS(Subscriptions!$I$5:$I$218,Subscriptions!$B$5:$B$218,A216)</f>
        <v>40100000</v>
      </c>
      <c r="J216" s="17">
        <f>SUMIFS(Subscriptions!$J$5:$J$218,Subscriptions!$B$5:$B$218,A216)</f>
        <v>20000000</v>
      </c>
      <c r="K216" s="17">
        <f>SUMIFS(Sales_Ledger!$J$5:$J$863,Sales_Ledger!$H$5:$H$863,$A216,Sales_Ledger!$D$5:$D$863,2023)</f>
        <v>0</v>
      </c>
      <c r="L216" s="17">
        <f>SUMIFS(Sales_Ledger!$J$5:$J$863,Sales_Ledger!$H$5:$H$863,$A216,Sales_Ledger!$D$5:$D$863,2024)</f>
        <v>0</v>
      </c>
      <c r="M216" s="17">
        <f>SUMIFS(Sales_Ledger!$J$5:$J$863,Sales_Ledger!$H$5:$H$863,$A216,Sales_Ledger!$D$5:$D$863,2025)</f>
        <v>0</v>
      </c>
      <c r="N216" s="17">
        <f t="shared" si="6"/>
        <v>0</v>
      </c>
      <c r="O216" s="15" t="s">
        <v>3184</v>
      </c>
      <c r="P216" s="15" t="s">
        <v>2601</v>
      </c>
      <c r="Q216" s="15" t="s">
        <v>3080</v>
      </c>
      <c r="R216" s="15" t="str">
        <f t="shared" si="7"/>
        <v/>
      </c>
    </row>
    <row r="217" spans="1:18" x14ac:dyDescent="0.35">
      <c r="A217" s="15" t="s">
        <v>2274</v>
      </c>
      <c r="B217" s="15" t="s">
        <v>3125</v>
      </c>
      <c r="C217" s="15" t="s">
        <v>3542</v>
      </c>
      <c r="D217" s="15" t="s">
        <v>3543</v>
      </c>
      <c r="E217" s="15" t="s">
        <v>47</v>
      </c>
      <c r="F217" s="15" t="s">
        <v>25</v>
      </c>
      <c r="G217" s="16">
        <v>45895</v>
      </c>
      <c r="H217" s="16">
        <f>IF(COUNTIF(Sales_Ledger!$H$5:$H$863,A217)=0,"",_xlfn.MINIFS(Sales_Ledger!$B$5:$B$863,Sales_Ledger!$H$5:$H$863,A217))</f>
        <v>45892</v>
      </c>
      <c r="I217" s="17">
        <f>SUMIFS(Subscriptions!$I$5:$I$218,Subscriptions!$B$5:$B$218,A217)</f>
        <v>34000000</v>
      </c>
      <c r="J217" s="17">
        <f>SUMIFS(Subscriptions!$J$5:$J$218,Subscriptions!$B$5:$B$218,A217)</f>
        <v>30000000</v>
      </c>
      <c r="K217" s="17">
        <f>SUMIFS(Sales_Ledger!$J$5:$J$863,Sales_Ledger!$H$5:$H$863,$A217,Sales_Ledger!$D$5:$D$863,2023)</f>
        <v>0</v>
      </c>
      <c r="L217" s="17">
        <f>SUMIFS(Sales_Ledger!$J$5:$J$863,Sales_Ledger!$H$5:$H$863,$A217,Sales_Ledger!$D$5:$D$863,2024)</f>
        <v>0</v>
      </c>
      <c r="M217" s="17">
        <f>SUMIFS(Sales_Ledger!$J$5:$J$863,Sales_Ledger!$H$5:$H$863,$A217,Sales_Ledger!$D$5:$D$863,2025)</f>
        <v>15000000</v>
      </c>
      <c r="N217" s="17">
        <f t="shared" si="6"/>
        <v>15000000</v>
      </c>
      <c r="O217" s="15" t="s">
        <v>3190</v>
      </c>
      <c r="P217" s="15" t="s">
        <v>2601</v>
      </c>
      <c r="Q217" s="15" t="s">
        <v>3102</v>
      </c>
      <c r="R217" s="15" t="str">
        <f t="shared" si="7"/>
        <v/>
      </c>
    </row>
    <row r="218" spans="1:18" x14ac:dyDescent="0.35">
      <c r="A218" s="15" t="s">
        <v>2278</v>
      </c>
      <c r="B218" s="15" t="s">
        <v>3122</v>
      </c>
      <c r="C218" s="15" t="s">
        <v>3544</v>
      </c>
      <c r="D218" s="15" t="s">
        <v>3545</v>
      </c>
      <c r="E218" s="15" t="s">
        <v>47</v>
      </c>
      <c r="F218" s="15" t="s">
        <v>25</v>
      </c>
      <c r="G218" s="16">
        <v>45892</v>
      </c>
      <c r="H218" s="16">
        <f>IF(COUNTIF(Sales_Ledger!$H$5:$H$863,A218)=0,"",_xlfn.MINIFS(Sales_Ledger!$B$5:$B$863,Sales_Ledger!$H$5:$H$863,A218))</f>
        <v>45892</v>
      </c>
      <c r="I218" s="17">
        <f>SUMIFS(Subscriptions!$I$5:$I$218,Subscriptions!$B$5:$B$218,A218)</f>
        <v>68000000</v>
      </c>
      <c r="J218" s="17">
        <f>SUMIFS(Subscriptions!$J$5:$J$218,Subscriptions!$B$5:$B$218,A218)</f>
        <v>48020000</v>
      </c>
      <c r="K218" s="17">
        <f>SUMIFS(Sales_Ledger!$J$5:$J$863,Sales_Ledger!$H$5:$H$863,$A218,Sales_Ledger!$D$5:$D$863,2023)</f>
        <v>0</v>
      </c>
      <c r="L218" s="17">
        <f>SUMIFS(Sales_Ledger!$J$5:$J$863,Sales_Ledger!$H$5:$H$863,$A218,Sales_Ledger!$D$5:$D$863,2024)</f>
        <v>0</v>
      </c>
      <c r="M218" s="17">
        <f>SUMIFS(Sales_Ledger!$J$5:$J$863,Sales_Ledger!$H$5:$H$863,$A218,Sales_Ledger!$D$5:$D$863,2025)</f>
        <v>35000000</v>
      </c>
      <c r="N218" s="17">
        <f t="shared" si="6"/>
        <v>35000000</v>
      </c>
      <c r="O218" s="15" t="s">
        <v>3190</v>
      </c>
      <c r="P218" s="15" t="s">
        <v>2601</v>
      </c>
      <c r="Q218" s="15" t="s">
        <v>3102</v>
      </c>
      <c r="R218" s="15" t="str">
        <f t="shared" si="7"/>
        <v/>
      </c>
    </row>
    <row r="219" spans="1:18" x14ac:dyDescent="0.35">
      <c r="A219" s="15" t="s">
        <v>2293</v>
      </c>
      <c r="B219" s="15" t="s">
        <v>2294</v>
      </c>
      <c r="C219" s="15"/>
      <c r="D219" s="15"/>
      <c r="E219" s="15" t="s">
        <v>47</v>
      </c>
      <c r="F219" s="15" t="s">
        <v>25</v>
      </c>
      <c r="G219" s="16"/>
      <c r="H219" s="16">
        <f>IF(COUNTIF(Sales_Ledger!$H$5:$H$863,A219)=0,"",_xlfn.MINIFS(Sales_Ledger!$B$5:$B$863,Sales_Ledger!$H$5:$H$863,A219))</f>
        <v>45903</v>
      </c>
      <c r="I219" s="17">
        <f>SUMIFS(Subscriptions!$I$5:$I$218,Subscriptions!$B$5:$B$218,A219)</f>
        <v>0</v>
      </c>
      <c r="J219" s="17">
        <f>SUMIFS(Subscriptions!$J$5:$J$218,Subscriptions!$B$5:$B$218,A219)</f>
        <v>0</v>
      </c>
      <c r="K219" s="17">
        <f>SUMIFS(Sales_Ledger!$J$5:$J$863,Sales_Ledger!$H$5:$H$863,$A219,Sales_Ledger!$D$5:$D$863,2023)</f>
        <v>0</v>
      </c>
      <c r="L219" s="17">
        <f>SUMIFS(Sales_Ledger!$J$5:$J$863,Sales_Ledger!$H$5:$H$863,$A219,Sales_Ledger!$D$5:$D$863,2024)</f>
        <v>0</v>
      </c>
      <c r="M219" s="17">
        <f>SUMIFS(Sales_Ledger!$J$5:$J$863,Sales_Ledger!$H$5:$H$863,$A219,Sales_Ledger!$D$5:$D$863,2025)</f>
        <v>26430000</v>
      </c>
      <c r="N219" s="17">
        <f t="shared" si="6"/>
        <v>26430000</v>
      </c>
      <c r="O219" s="15" t="s">
        <v>3253</v>
      </c>
      <c r="P219" s="15"/>
      <c r="Q219" s="15"/>
      <c r="R219" s="15" t="str">
        <f t="shared" si="7"/>
        <v>Not in client register: contract value unknown</v>
      </c>
    </row>
    <row r="220" spans="1:18" x14ac:dyDescent="0.35">
      <c r="A220" s="15" t="s">
        <v>2318</v>
      </c>
      <c r="B220" s="15" t="s">
        <v>2319</v>
      </c>
      <c r="C220" s="15" t="s">
        <v>3546</v>
      </c>
      <c r="D220" s="15" t="s">
        <v>3547</v>
      </c>
      <c r="E220" s="15" t="s">
        <v>46</v>
      </c>
      <c r="F220" s="15" t="s">
        <v>3455</v>
      </c>
      <c r="G220" s="16">
        <v>45933</v>
      </c>
      <c r="H220" s="16">
        <f>IF(COUNTIF(Sales_Ledger!$H$5:$H$863,A220)=0,"",_xlfn.MINIFS(Sales_Ledger!$B$5:$B$863,Sales_Ledger!$H$5:$H$863,A220))</f>
        <v>45933</v>
      </c>
      <c r="I220" s="17">
        <f>SUMIFS(Subscriptions!$I$5:$I$218,Subscriptions!$B$5:$B$218,A220)</f>
        <v>2500000</v>
      </c>
      <c r="J220" s="17">
        <f>SUMIFS(Subscriptions!$J$5:$J$218,Subscriptions!$B$5:$B$218,A220)</f>
        <v>2500000</v>
      </c>
      <c r="K220" s="17">
        <f>SUMIFS(Sales_Ledger!$J$5:$J$863,Sales_Ledger!$H$5:$H$863,$A220,Sales_Ledger!$D$5:$D$863,2023)</f>
        <v>0</v>
      </c>
      <c r="L220" s="17">
        <f>SUMIFS(Sales_Ledger!$J$5:$J$863,Sales_Ledger!$H$5:$H$863,$A220,Sales_Ledger!$D$5:$D$863,2024)</f>
        <v>0</v>
      </c>
      <c r="M220" s="17">
        <f>SUMIFS(Sales_Ledger!$J$5:$J$863,Sales_Ledger!$H$5:$H$863,$A220,Sales_Ledger!$D$5:$D$863,2025)</f>
        <v>2500000</v>
      </c>
      <c r="N220" s="17">
        <f t="shared" si="6"/>
        <v>2500000</v>
      </c>
      <c r="O220" s="15" t="s">
        <v>3190</v>
      </c>
      <c r="P220" s="15" t="s">
        <v>2502</v>
      </c>
      <c r="Q220" s="15" t="s">
        <v>3127</v>
      </c>
      <c r="R220" s="15" t="str">
        <f t="shared" si="7"/>
        <v/>
      </c>
    </row>
    <row r="221" spans="1:18" x14ac:dyDescent="0.35">
      <c r="A221" s="15" t="s">
        <v>2351</v>
      </c>
      <c r="B221" s="15" t="s">
        <v>2352</v>
      </c>
      <c r="C221" s="15" t="s">
        <v>3548</v>
      </c>
      <c r="D221" s="15" t="s">
        <v>3549</v>
      </c>
      <c r="E221" s="15" t="s">
        <v>47</v>
      </c>
      <c r="F221" s="15" t="s">
        <v>26</v>
      </c>
      <c r="G221" s="16">
        <v>45972</v>
      </c>
      <c r="H221" s="16">
        <f>IF(COUNTIF(Sales_Ledger!$H$5:$H$863,A221)=0,"",_xlfn.MINIFS(Sales_Ledger!$B$5:$B$863,Sales_Ledger!$H$5:$H$863,A221))</f>
        <v>45972</v>
      </c>
      <c r="I221" s="17">
        <f>SUMIFS(Subscriptions!$I$5:$I$218,Subscriptions!$B$5:$B$218,A221)</f>
        <v>290000000</v>
      </c>
      <c r="J221" s="17">
        <f>SUMIFS(Subscriptions!$J$5:$J$218,Subscriptions!$B$5:$B$218,A221)</f>
        <v>280000000</v>
      </c>
      <c r="K221" s="17">
        <f>SUMIFS(Sales_Ledger!$J$5:$J$863,Sales_Ledger!$H$5:$H$863,$A221,Sales_Ledger!$D$5:$D$863,2023)</f>
        <v>0</v>
      </c>
      <c r="L221" s="17">
        <f>SUMIFS(Sales_Ledger!$J$5:$J$863,Sales_Ledger!$H$5:$H$863,$A221,Sales_Ledger!$D$5:$D$863,2024)</f>
        <v>0</v>
      </c>
      <c r="M221" s="17">
        <f>SUMIFS(Sales_Ledger!$J$5:$J$863,Sales_Ledger!$H$5:$H$863,$A221,Sales_Ledger!$D$5:$D$863,2025)</f>
        <v>280000000</v>
      </c>
      <c r="N221" s="17">
        <f t="shared" si="6"/>
        <v>280000000</v>
      </c>
      <c r="O221" s="15" t="s">
        <v>3190</v>
      </c>
      <c r="P221" s="15" t="s">
        <v>3084</v>
      </c>
      <c r="Q221" s="15" t="s">
        <v>3130</v>
      </c>
      <c r="R221" s="15" t="str">
        <f t="shared" si="7"/>
        <v/>
      </c>
    </row>
    <row r="222" spans="1:18" x14ac:dyDescent="0.35">
      <c r="A222" s="15" t="s">
        <v>2360</v>
      </c>
      <c r="B222" s="15" t="s">
        <v>2361</v>
      </c>
      <c r="C222" s="15"/>
      <c r="D222" s="15"/>
      <c r="E222" s="15" t="s">
        <v>47</v>
      </c>
      <c r="F222" s="15" t="s">
        <v>25</v>
      </c>
      <c r="G222" s="16"/>
      <c r="H222" s="16">
        <f>IF(COUNTIF(Sales_Ledger!$H$5:$H$863,A222)=0,"",_xlfn.MINIFS(Sales_Ledger!$B$5:$B$863,Sales_Ledger!$H$5:$H$863,A222))</f>
        <v>45974</v>
      </c>
      <c r="I222" s="17">
        <f>SUMIFS(Subscriptions!$I$5:$I$218,Subscriptions!$B$5:$B$218,A222)</f>
        <v>0</v>
      </c>
      <c r="J222" s="17">
        <f>SUMIFS(Subscriptions!$J$5:$J$218,Subscriptions!$B$5:$B$218,A222)</f>
        <v>0</v>
      </c>
      <c r="K222" s="17">
        <f>SUMIFS(Sales_Ledger!$J$5:$J$863,Sales_Ledger!$H$5:$H$863,$A222,Sales_Ledger!$D$5:$D$863,2023)</f>
        <v>0</v>
      </c>
      <c r="L222" s="17">
        <f>SUMIFS(Sales_Ledger!$J$5:$J$863,Sales_Ledger!$H$5:$H$863,$A222,Sales_Ledger!$D$5:$D$863,2024)</f>
        <v>0</v>
      </c>
      <c r="M222" s="17">
        <f>SUMIFS(Sales_Ledger!$J$5:$J$863,Sales_Ledger!$H$5:$H$863,$A222,Sales_Ledger!$D$5:$D$863,2025)</f>
        <v>5000000</v>
      </c>
      <c r="N222" s="17">
        <f t="shared" si="6"/>
        <v>5000000</v>
      </c>
      <c r="O222" s="15" t="s">
        <v>3253</v>
      </c>
      <c r="P222" s="15"/>
      <c r="Q222" s="15"/>
      <c r="R222" s="15" t="str">
        <f t="shared" si="7"/>
        <v>Not in client register: contract value unknown</v>
      </c>
    </row>
    <row r="223" spans="1:18" x14ac:dyDescent="0.35">
      <c r="A223" s="15" t="s">
        <v>2369</v>
      </c>
      <c r="B223" s="15" t="s">
        <v>3133</v>
      </c>
      <c r="C223" s="15" t="s">
        <v>3550</v>
      </c>
      <c r="D223" s="15" t="s">
        <v>3551</v>
      </c>
      <c r="E223" s="15" t="s">
        <v>47</v>
      </c>
      <c r="F223" s="15" t="s">
        <v>25</v>
      </c>
      <c r="G223" s="16">
        <v>45982</v>
      </c>
      <c r="H223" s="16">
        <f>IF(COUNTIF(Sales_Ledger!$H$5:$H$863,A223)=0,"",_xlfn.MINIFS(Sales_Ledger!$B$5:$B$863,Sales_Ledger!$H$5:$H$863,A223))</f>
        <v>45982</v>
      </c>
      <c r="I223" s="17">
        <f>SUMIFS(Subscriptions!$I$5:$I$218,Subscriptions!$B$5:$B$218,A223)</f>
        <v>36720000</v>
      </c>
      <c r="J223" s="17">
        <f>SUMIFS(Subscriptions!$J$5:$J$218,Subscriptions!$B$5:$B$218,A223)</f>
        <v>34720000</v>
      </c>
      <c r="K223" s="17">
        <f>SUMIFS(Sales_Ledger!$J$5:$J$863,Sales_Ledger!$H$5:$H$863,$A223,Sales_Ledger!$D$5:$D$863,2023)</f>
        <v>0</v>
      </c>
      <c r="L223" s="17">
        <f>SUMIFS(Sales_Ledger!$J$5:$J$863,Sales_Ledger!$H$5:$H$863,$A223,Sales_Ledger!$D$5:$D$863,2024)</f>
        <v>0</v>
      </c>
      <c r="M223" s="17">
        <f>SUMIFS(Sales_Ledger!$J$5:$J$863,Sales_Ledger!$H$5:$H$863,$A223,Sales_Ledger!$D$5:$D$863,2025)</f>
        <v>10000000</v>
      </c>
      <c r="N223" s="17">
        <f t="shared" si="6"/>
        <v>10000000</v>
      </c>
      <c r="O223" s="15" t="s">
        <v>3190</v>
      </c>
      <c r="P223" s="15" t="s">
        <v>2601</v>
      </c>
      <c r="Q223" s="15" t="s">
        <v>3134</v>
      </c>
      <c r="R223" s="15" t="str">
        <f t="shared" si="7"/>
        <v/>
      </c>
    </row>
    <row r="224" spans="1:18" x14ac:dyDescent="0.35">
      <c r="A224" s="15" t="s">
        <v>2389</v>
      </c>
      <c r="B224" s="15" t="s">
        <v>3136</v>
      </c>
      <c r="C224" s="15" t="s">
        <v>3552</v>
      </c>
      <c r="D224" s="15" t="s">
        <v>3553</v>
      </c>
      <c r="E224" s="15" t="s">
        <v>46</v>
      </c>
      <c r="F224" s="15" t="s">
        <v>3412</v>
      </c>
      <c r="G224" s="16">
        <v>45996</v>
      </c>
      <c r="H224" s="16">
        <f>IF(COUNTIF(Sales_Ledger!$H$5:$H$863,A224)=0,"",_xlfn.MINIFS(Sales_Ledger!$B$5:$B$863,Sales_Ledger!$H$5:$H$863,A224))</f>
        <v>45996</v>
      </c>
      <c r="I224" s="17">
        <f>SUMIFS(Subscriptions!$I$5:$I$218,Subscriptions!$B$5:$B$218,A224)</f>
        <v>1050000</v>
      </c>
      <c r="J224" s="17">
        <f>SUMIFS(Subscriptions!$J$5:$J$218,Subscriptions!$B$5:$B$218,A224)</f>
        <v>1050000</v>
      </c>
      <c r="K224" s="17">
        <f>SUMIFS(Sales_Ledger!$J$5:$J$863,Sales_Ledger!$H$5:$H$863,$A224,Sales_Ledger!$D$5:$D$863,2023)</f>
        <v>0</v>
      </c>
      <c r="L224" s="17">
        <f>SUMIFS(Sales_Ledger!$J$5:$J$863,Sales_Ledger!$H$5:$H$863,$A224,Sales_Ledger!$D$5:$D$863,2024)</f>
        <v>0</v>
      </c>
      <c r="M224" s="17">
        <f>SUMIFS(Sales_Ledger!$J$5:$J$863,Sales_Ledger!$H$5:$H$863,$A224,Sales_Ledger!$D$5:$D$863,2025)</f>
        <v>1050000</v>
      </c>
      <c r="N224" s="17">
        <f t="shared" si="6"/>
        <v>1050000</v>
      </c>
      <c r="O224" s="15" t="s">
        <v>3190</v>
      </c>
      <c r="P224" s="15" t="s">
        <v>2502</v>
      </c>
      <c r="Q224" s="15" t="s">
        <v>3137</v>
      </c>
      <c r="R224" s="15" t="str">
        <f t="shared" si="7"/>
        <v/>
      </c>
    </row>
    <row r="225" spans="1:18" x14ac:dyDescent="0.35">
      <c r="A225" s="15" t="s">
        <v>2402</v>
      </c>
      <c r="B225" s="15" t="s">
        <v>2403</v>
      </c>
      <c r="C225" s="15"/>
      <c r="D225" s="15"/>
      <c r="E225" s="15" t="s">
        <v>47</v>
      </c>
      <c r="F225" s="15" t="s">
        <v>26</v>
      </c>
      <c r="G225" s="16"/>
      <c r="H225" s="16">
        <f>IF(COUNTIF(Sales_Ledger!$H$5:$H$863,A225)=0,"",_xlfn.MINIFS(Sales_Ledger!$B$5:$B$863,Sales_Ledger!$H$5:$H$863,A225))</f>
        <v>46001</v>
      </c>
      <c r="I225" s="17">
        <f>SUMIFS(Subscriptions!$I$5:$I$218,Subscriptions!$B$5:$B$218,A225)</f>
        <v>0</v>
      </c>
      <c r="J225" s="17">
        <f>SUMIFS(Subscriptions!$J$5:$J$218,Subscriptions!$B$5:$B$218,A225)</f>
        <v>0</v>
      </c>
      <c r="K225" s="17">
        <f>SUMIFS(Sales_Ledger!$J$5:$J$863,Sales_Ledger!$H$5:$H$863,$A225,Sales_Ledger!$D$5:$D$863,2023)</f>
        <v>0</v>
      </c>
      <c r="L225" s="17">
        <f>SUMIFS(Sales_Ledger!$J$5:$J$863,Sales_Ledger!$H$5:$H$863,$A225,Sales_Ledger!$D$5:$D$863,2024)</f>
        <v>0</v>
      </c>
      <c r="M225" s="17">
        <f>SUMIFS(Sales_Ledger!$J$5:$J$863,Sales_Ledger!$H$5:$H$863,$A225,Sales_Ledger!$D$5:$D$863,2025)</f>
        <v>250000000</v>
      </c>
      <c r="N225" s="17">
        <f t="shared" si="6"/>
        <v>250000000</v>
      </c>
      <c r="O225" s="15" t="s">
        <v>3253</v>
      </c>
      <c r="P225" s="15"/>
      <c r="Q225" s="15"/>
      <c r="R225" s="15" t="str">
        <f t="shared" si="7"/>
        <v>Not in client register: contract value unknown</v>
      </c>
    </row>
    <row r="226" spans="1:18" x14ac:dyDescent="0.35">
      <c r="A226" s="15" t="s">
        <v>2418</v>
      </c>
      <c r="B226" s="15" t="s">
        <v>2419</v>
      </c>
      <c r="C226" s="15" t="s">
        <v>3554</v>
      </c>
      <c r="D226" s="15" t="s">
        <v>3555</v>
      </c>
      <c r="E226" s="15" t="s">
        <v>47</v>
      </c>
      <c r="F226" s="15" t="s">
        <v>25</v>
      </c>
      <c r="G226" s="16">
        <v>46010</v>
      </c>
      <c r="H226" s="16">
        <f>IF(COUNTIF(Sales_Ledger!$H$5:$H$863,A226)=0,"",_xlfn.MINIFS(Sales_Ledger!$B$5:$B$863,Sales_Ledger!$H$5:$H$863,A226))</f>
        <v>46010</v>
      </c>
      <c r="I226" s="17">
        <f>SUMIFS(Subscriptions!$I$5:$I$218,Subscriptions!$B$5:$B$218,A226)</f>
        <v>38000000</v>
      </c>
      <c r="J226" s="17">
        <f>SUMIFS(Subscriptions!$J$5:$J$218,Subscriptions!$B$5:$B$218,A226)</f>
        <v>38000000</v>
      </c>
      <c r="K226" s="17">
        <f>SUMIFS(Sales_Ledger!$J$5:$J$863,Sales_Ledger!$H$5:$H$863,$A226,Sales_Ledger!$D$5:$D$863,2023)</f>
        <v>0</v>
      </c>
      <c r="L226" s="17">
        <f>SUMIFS(Sales_Ledger!$J$5:$J$863,Sales_Ledger!$H$5:$H$863,$A226,Sales_Ledger!$D$5:$D$863,2024)</f>
        <v>0</v>
      </c>
      <c r="M226" s="17">
        <f>SUMIFS(Sales_Ledger!$J$5:$J$863,Sales_Ledger!$H$5:$H$863,$A226,Sales_Ledger!$D$5:$D$863,2025)</f>
        <v>16000000</v>
      </c>
      <c r="N226" s="17">
        <f t="shared" si="6"/>
        <v>16000000</v>
      </c>
      <c r="O226" s="15" t="s">
        <v>3190</v>
      </c>
      <c r="P226" s="15" t="s">
        <v>3097</v>
      </c>
      <c r="Q226" s="15" t="s">
        <v>3139</v>
      </c>
      <c r="R226" s="15" t="str">
        <f t="shared" si="7"/>
        <v/>
      </c>
    </row>
    <row r="227" spans="1:18" x14ac:dyDescent="0.35">
      <c r="A227" s="15" t="s">
        <v>3141</v>
      </c>
      <c r="B227" s="15" t="s">
        <v>3142</v>
      </c>
      <c r="C227" s="15" t="s">
        <v>3556</v>
      </c>
      <c r="D227" s="15" t="s">
        <v>3557</v>
      </c>
      <c r="E227" s="15" t="s">
        <v>46</v>
      </c>
      <c r="F227" s="15" t="s">
        <v>33</v>
      </c>
      <c r="G227" s="16">
        <v>46013</v>
      </c>
      <c r="H227" s="16" t="str">
        <f>IF(COUNTIF(Sales_Ledger!$H$5:$H$863,A227)=0,"",_xlfn.MINIFS(Sales_Ledger!$B$5:$B$863,Sales_Ledger!$H$5:$H$863,A227))</f>
        <v/>
      </c>
      <c r="I227" s="17">
        <f>SUMIFS(Subscriptions!$I$5:$I$218,Subscriptions!$B$5:$B$218,A227)</f>
        <v>2250000</v>
      </c>
      <c r="J227" s="17">
        <f>SUMIFS(Subscriptions!$J$5:$J$218,Subscriptions!$B$5:$B$218,A227)</f>
        <v>2250000</v>
      </c>
      <c r="K227" s="17">
        <f>SUMIFS(Sales_Ledger!$J$5:$J$863,Sales_Ledger!$H$5:$H$863,$A227,Sales_Ledger!$D$5:$D$863,2023)</f>
        <v>0</v>
      </c>
      <c r="L227" s="17">
        <f>SUMIFS(Sales_Ledger!$J$5:$J$863,Sales_Ledger!$H$5:$H$863,$A227,Sales_Ledger!$D$5:$D$863,2024)</f>
        <v>0</v>
      </c>
      <c r="M227" s="17">
        <f>SUMIFS(Sales_Ledger!$J$5:$J$863,Sales_Ledger!$H$5:$H$863,$A227,Sales_Ledger!$D$5:$D$863,2025)</f>
        <v>0</v>
      </c>
      <c r="N227" s="17">
        <f t="shared" si="6"/>
        <v>0</v>
      </c>
      <c r="O227" s="15" t="s">
        <v>3184</v>
      </c>
      <c r="P227" s="15" t="s">
        <v>2601</v>
      </c>
      <c r="Q227" s="15" t="s">
        <v>1800</v>
      </c>
      <c r="R227" s="15" t="str">
        <f t="shared" si="7"/>
        <v/>
      </c>
    </row>
    <row r="228" spans="1:18" x14ac:dyDescent="0.35">
      <c r="A228" s="15" t="s">
        <v>2432</v>
      </c>
      <c r="B228" s="15" t="s">
        <v>3150</v>
      </c>
      <c r="C228" s="15" t="s">
        <v>3558</v>
      </c>
      <c r="D228" s="15" t="s">
        <v>3559</v>
      </c>
      <c r="E228" s="15" t="s">
        <v>47</v>
      </c>
      <c r="F228" s="15" t="s">
        <v>40</v>
      </c>
      <c r="G228" s="16">
        <v>46015</v>
      </c>
      <c r="H228" s="16">
        <f>IF(COUNTIF(Sales_Ledger!$H$5:$H$863,A228)=0,"",_xlfn.MINIFS(Sales_Ledger!$B$5:$B$863,Sales_Ledger!$H$5:$H$863,A228))</f>
        <v>46015</v>
      </c>
      <c r="I228" s="17">
        <f>SUMIFS(Subscriptions!$I$5:$I$218,Subscriptions!$B$5:$B$218,A228)</f>
        <v>142000000</v>
      </c>
      <c r="J228" s="17">
        <f>SUMIFS(Subscriptions!$J$5:$J$218,Subscriptions!$B$5:$B$218,A228)</f>
        <v>15000000</v>
      </c>
      <c r="K228" s="17">
        <f>SUMIFS(Sales_Ledger!$J$5:$J$863,Sales_Ledger!$H$5:$H$863,$A228,Sales_Ledger!$D$5:$D$863,2023)</f>
        <v>0</v>
      </c>
      <c r="L228" s="17">
        <f>SUMIFS(Sales_Ledger!$J$5:$J$863,Sales_Ledger!$H$5:$H$863,$A228,Sales_Ledger!$D$5:$D$863,2024)</f>
        <v>0</v>
      </c>
      <c r="M228" s="17">
        <f>SUMIFS(Sales_Ledger!$J$5:$J$863,Sales_Ledger!$H$5:$H$863,$A228,Sales_Ledger!$D$5:$D$863,2025)</f>
        <v>15000000</v>
      </c>
      <c r="N228" s="17">
        <f t="shared" si="6"/>
        <v>15000000</v>
      </c>
      <c r="O228" s="15" t="s">
        <v>3190</v>
      </c>
      <c r="P228" s="15" t="s">
        <v>2601</v>
      </c>
      <c r="Q228" s="15" t="s">
        <v>3034</v>
      </c>
      <c r="R228" s="15" t="str">
        <f t="shared" si="7"/>
        <v/>
      </c>
    </row>
    <row r="229" spans="1:18" x14ac:dyDescent="0.35">
      <c r="A229" s="15" t="s">
        <v>3145</v>
      </c>
      <c r="B229" s="15" t="s">
        <v>3146</v>
      </c>
      <c r="C229" s="15" t="s">
        <v>3560</v>
      </c>
      <c r="D229" s="15" t="s">
        <v>3561</v>
      </c>
      <c r="E229" s="15" t="s">
        <v>47</v>
      </c>
      <c r="F229" s="15" t="s">
        <v>25</v>
      </c>
      <c r="G229" s="16">
        <v>46015</v>
      </c>
      <c r="H229" s="16" t="str">
        <f>IF(COUNTIF(Sales_Ledger!$H$5:$H$863,A229)=0,"",_xlfn.MINIFS(Sales_Ledger!$B$5:$B$863,Sales_Ledger!$H$5:$H$863,A229))</f>
        <v/>
      </c>
      <c r="I229" s="17">
        <f>SUMIFS(Subscriptions!$I$5:$I$218,Subscriptions!$B$5:$B$218,A229)</f>
        <v>38000000</v>
      </c>
      <c r="J229" s="17">
        <f>SUMIFS(Subscriptions!$J$5:$J$218,Subscriptions!$B$5:$B$218,A229)</f>
        <v>2500000</v>
      </c>
      <c r="K229" s="17">
        <f>SUMIFS(Sales_Ledger!$J$5:$J$863,Sales_Ledger!$H$5:$H$863,$A229,Sales_Ledger!$D$5:$D$863,2023)</f>
        <v>0</v>
      </c>
      <c r="L229" s="17">
        <f>SUMIFS(Sales_Ledger!$J$5:$J$863,Sales_Ledger!$H$5:$H$863,$A229,Sales_Ledger!$D$5:$D$863,2024)</f>
        <v>0</v>
      </c>
      <c r="M229" s="17">
        <f>SUMIFS(Sales_Ledger!$J$5:$J$863,Sales_Ledger!$H$5:$H$863,$A229,Sales_Ledger!$D$5:$D$863,2025)</f>
        <v>0</v>
      </c>
      <c r="N229" s="17">
        <f t="shared" si="6"/>
        <v>0</v>
      </c>
      <c r="O229" s="15" t="s">
        <v>3184</v>
      </c>
      <c r="P229" s="15" t="s">
        <v>2601</v>
      </c>
      <c r="Q229" s="15" t="s">
        <v>3147</v>
      </c>
      <c r="R229" s="15" t="str">
        <f t="shared" si="7"/>
        <v/>
      </c>
    </row>
    <row r="230" spans="1:18" x14ac:dyDescent="0.35">
      <c r="A230" s="15" t="s">
        <v>3562</v>
      </c>
      <c r="B230" s="15" t="s">
        <v>3563</v>
      </c>
      <c r="C230" s="15"/>
      <c r="D230" s="15"/>
      <c r="E230" s="15" t="s">
        <v>46</v>
      </c>
      <c r="F230" s="15" t="s">
        <v>36</v>
      </c>
      <c r="G230" s="16"/>
      <c r="H230" s="16" t="str">
        <f>IF(COUNTIF(Sales_Ledger!$H$5:$H$863,A230)=0,"",_xlfn.MINIFS(Sales_Ledger!$B$5:$B$863,Sales_Ledger!$H$5:$H$863,A230))</f>
        <v/>
      </c>
      <c r="I230" s="17">
        <f>SUMIFS(Subscriptions!$I$5:$I$218,Subscriptions!$B$5:$B$218,A230)</f>
        <v>0</v>
      </c>
      <c r="J230" s="17">
        <f>SUMIFS(Subscriptions!$J$5:$J$218,Subscriptions!$B$5:$B$218,A230)</f>
        <v>0</v>
      </c>
      <c r="K230" s="17">
        <f>SUMIFS(Sales_Ledger!$J$5:$J$863,Sales_Ledger!$H$5:$H$863,$A230,Sales_Ledger!$D$5:$D$863,2023)</f>
        <v>0</v>
      </c>
      <c r="L230" s="17">
        <f>SUMIFS(Sales_Ledger!$J$5:$J$863,Sales_Ledger!$H$5:$H$863,$A230,Sales_Ledger!$D$5:$D$863,2024)</f>
        <v>0</v>
      </c>
      <c r="M230" s="17">
        <f>SUMIFS(Sales_Ledger!$J$5:$J$863,Sales_Ledger!$H$5:$H$863,$A230,Sales_Ledger!$D$5:$D$863,2025)</f>
        <v>0</v>
      </c>
      <c r="N230" s="17">
        <f t="shared" si="6"/>
        <v>0</v>
      </c>
      <c r="O230" s="15" t="s">
        <v>3564</v>
      </c>
      <c r="P230" s="15"/>
      <c r="Q230" s="15"/>
      <c r="R230" s="15" t="str">
        <f t="shared" si="7"/>
        <v/>
      </c>
    </row>
    <row r="231" spans="1:18" x14ac:dyDescent="0.35">
      <c r="A231" s="15" t="s">
        <v>3565</v>
      </c>
      <c r="B231" s="15" t="s">
        <v>3566</v>
      </c>
      <c r="C231" s="15"/>
      <c r="D231" s="15"/>
      <c r="E231" s="15" t="s">
        <v>46</v>
      </c>
      <c r="F231" s="15" t="s">
        <v>36</v>
      </c>
      <c r="G231" s="16"/>
      <c r="H231" s="16" t="str">
        <f>IF(COUNTIF(Sales_Ledger!$H$5:$H$863,A231)=0,"",_xlfn.MINIFS(Sales_Ledger!$B$5:$B$863,Sales_Ledger!$H$5:$H$863,A231))</f>
        <v/>
      </c>
      <c r="I231" s="17">
        <f>SUMIFS(Subscriptions!$I$5:$I$218,Subscriptions!$B$5:$B$218,A231)</f>
        <v>0</v>
      </c>
      <c r="J231" s="17">
        <f>SUMIFS(Subscriptions!$J$5:$J$218,Subscriptions!$B$5:$B$218,A231)</f>
        <v>0</v>
      </c>
      <c r="K231" s="17">
        <f>SUMIFS(Sales_Ledger!$J$5:$J$863,Sales_Ledger!$H$5:$H$863,$A231,Sales_Ledger!$D$5:$D$863,2023)</f>
        <v>0</v>
      </c>
      <c r="L231" s="17">
        <f>SUMIFS(Sales_Ledger!$J$5:$J$863,Sales_Ledger!$H$5:$H$863,$A231,Sales_Ledger!$D$5:$D$863,2024)</f>
        <v>0</v>
      </c>
      <c r="M231" s="17">
        <f>SUMIFS(Sales_Ledger!$J$5:$J$863,Sales_Ledger!$H$5:$H$863,$A231,Sales_Ledger!$D$5:$D$863,2025)</f>
        <v>0</v>
      </c>
      <c r="N231" s="17">
        <f t="shared" si="6"/>
        <v>0</v>
      </c>
      <c r="O231" s="15" t="s">
        <v>3564</v>
      </c>
      <c r="P231" s="15"/>
      <c r="Q231" s="15"/>
      <c r="R231" s="15" t="str">
        <f t="shared" si="7"/>
        <v/>
      </c>
    </row>
    <row r="232" spans="1:18" x14ac:dyDescent="0.35">
      <c r="A232" s="15" t="s">
        <v>3567</v>
      </c>
      <c r="B232" s="15" t="s">
        <v>3568</v>
      </c>
      <c r="C232" s="15"/>
      <c r="D232" s="15"/>
      <c r="E232" s="15" t="s">
        <v>46</v>
      </c>
      <c r="F232" s="15" t="s">
        <v>36</v>
      </c>
      <c r="G232" s="16"/>
      <c r="H232" s="16" t="str">
        <f>IF(COUNTIF(Sales_Ledger!$H$5:$H$863,A232)=0,"",_xlfn.MINIFS(Sales_Ledger!$B$5:$B$863,Sales_Ledger!$H$5:$H$863,A232))</f>
        <v/>
      </c>
      <c r="I232" s="17">
        <f>SUMIFS(Subscriptions!$I$5:$I$218,Subscriptions!$B$5:$B$218,A232)</f>
        <v>0</v>
      </c>
      <c r="J232" s="17">
        <f>SUMIFS(Subscriptions!$J$5:$J$218,Subscriptions!$B$5:$B$218,A232)</f>
        <v>0</v>
      </c>
      <c r="K232" s="17">
        <f>SUMIFS(Sales_Ledger!$J$5:$J$863,Sales_Ledger!$H$5:$H$863,$A232,Sales_Ledger!$D$5:$D$863,2023)</f>
        <v>0</v>
      </c>
      <c r="L232" s="17">
        <f>SUMIFS(Sales_Ledger!$J$5:$J$863,Sales_Ledger!$H$5:$H$863,$A232,Sales_Ledger!$D$5:$D$863,2024)</f>
        <v>0</v>
      </c>
      <c r="M232" s="17">
        <f>SUMIFS(Sales_Ledger!$J$5:$J$863,Sales_Ledger!$H$5:$H$863,$A232,Sales_Ledger!$D$5:$D$863,2025)</f>
        <v>0</v>
      </c>
      <c r="N232" s="17">
        <f t="shared" si="6"/>
        <v>0</v>
      </c>
      <c r="O232" s="15" t="s">
        <v>3564</v>
      </c>
      <c r="P232" s="15"/>
      <c r="Q232" s="15"/>
      <c r="R232" s="15" t="str">
        <f t="shared" si="7"/>
        <v/>
      </c>
    </row>
    <row r="233" spans="1:18" x14ac:dyDescent="0.35">
      <c r="A233" s="15" t="s">
        <v>3569</v>
      </c>
      <c r="B233" s="15" t="s">
        <v>3570</v>
      </c>
      <c r="C233" s="15"/>
      <c r="D233" s="15"/>
      <c r="E233" s="15" t="s">
        <v>46</v>
      </c>
      <c r="F233" s="15" t="s">
        <v>36</v>
      </c>
      <c r="G233" s="16"/>
      <c r="H233" s="16" t="str">
        <f>IF(COUNTIF(Sales_Ledger!$H$5:$H$863,A233)=0,"",_xlfn.MINIFS(Sales_Ledger!$B$5:$B$863,Sales_Ledger!$H$5:$H$863,A233))</f>
        <v/>
      </c>
      <c r="I233" s="17">
        <f>SUMIFS(Subscriptions!$I$5:$I$218,Subscriptions!$B$5:$B$218,A233)</f>
        <v>0</v>
      </c>
      <c r="J233" s="17">
        <f>SUMIFS(Subscriptions!$J$5:$J$218,Subscriptions!$B$5:$B$218,A233)</f>
        <v>0</v>
      </c>
      <c r="K233" s="17">
        <f>SUMIFS(Sales_Ledger!$J$5:$J$863,Sales_Ledger!$H$5:$H$863,$A233,Sales_Ledger!$D$5:$D$863,2023)</f>
        <v>0</v>
      </c>
      <c r="L233" s="17">
        <f>SUMIFS(Sales_Ledger!$J$5:$J$863,Sales_Ledger!$H$5:$H$863,$A233,Sales_Ledger!$D$5:$D$863,2024)</f>
        <v>0</v>
      </c>
      <c r="M233" s="17">
        <f>SUMIFS(Sales_Ledger!$J$5:$J$863,Sales_Ledger!$H$5:$H$863,$A233,Sales_Ledger!$D$5:$D$863,2025)</f>
        <v>0</v>
      </c>
      <c r="N233" s="17">
        <f t="shared" si="6"/>
        <v>0</v>
      </c>
      <c r="O233" s="15" t="s">
        <v>3564</v>
      </c>
      <c r="P233" s="15"/>
      <c r="Q233" s="15"/>
      <c r="R233" s="15" t="str">
        <f t="shared" si="7"/>
        <v/>
      </c>
    </row>
    <row r="234" spans="1:18" x14ac:dyDescent="0.35">
      <c r="A234" s="15" t="s">
        <v>3158</v>
      </c>
      <c r="B234" s="15" t="s">
        <v>3159</v>
      </c>
      <c r="C234" s="15" t="s">
        <v>3571</v>
      </c>
      <c r="D234" s="15"/>
      <c r="E234" s="15" t="s">
        <v>47</v>
      </c>
      <c r="F234" s="15" t="s">
        <v>41</v>
      </c>
      <c r="G234" s="16"/>
      <c r="H234" s="16" t="str">
        <f>IF(COUNTIF(Sales_Ledger!$H$5:$H$863,A234)=0,"",_xlfn.MINIFS(Sales_Ledger!$B$5:$B$863,Sales_Ledger!$H$5:$H$863,A234))</f>
        <v/>
      </c>
      <c r="I234" s="17">
        <f>SUMIFS(Subscriptions!$I$5:$I$218,Subscriptions!$B$5:$B$218,A234)</f>
        <v>0</v>
      </c>
      <c r="J234" s="17">
        <f>SUMIFS(Subscriptions!$J$5:$J$218,Subscriptions!$B$5:$B$218,A234)</f>
        <v>0</v>
      </c>
      <c r="K234" s="17">
        <f>SUMIFS(Sales_Ledger!$J$5:$J$863,Sales_Ledger!$H$5:$H$863,$A234,Sales_Ledger!$D$5:$D$863,2023)</f>
        <v>0</v>
      </c>
      <c r="L234" s="17">
        <f>SUMIFS(Sales_Ledger!$J$5:$J$863,Sales_Ledger!$H$5:$H$863,$A234,Sales_Ledger!$D$5:$D$863,2024)</f>
        <v>0</v>
      </c>
      <c r="M234" s="17">
        <f>SUMIFS(Sales_Ledger!$J$5:$J$863,Sales_Ledger!$H$5:$H$863,$A234,Sales_Ledger!$D$5:$D$863,2025)</f>
        <v>0</v>
      </c>
      <c r="N234" s="17">
        <f t="shared" si="6"/>
        <v>0</v>
      </c>
      <c r="O234" s="15" t="s">
        <v>3184</v>
      </c>
      <c r="P234" s="15" t="s">
        <v>3160</v>
      </c>
      <c r="Q234" s="15"/>
      <c r="R234" s="15" t="str">
        <f t="shared" si="7"/>
        <v/>
      </c>
    </row>
    <row r="235" spans="1:18" x14ac:dyDescent="0.35">
      <c r="A235" s="15" t="s">
        <v>3572</v>
      </c>
      <c r="B235" s="15" t="s">
        <v>3573</v>
      </c>
      <c r="C235" s="15"/>
      <c r="D235" s="15"/>
      <c r="E235" s="15" t="s">
        <v>46</v>
      </c>
      <c r="F235" s="15" t="s">
        <v>36</v>
      </c>
      <c r="G235" s="16"/>
      <c r="H235" s="16" t="str">
        <f>IF(COUNTIF(Sales_Ledger!$H$5:$H$863,A235)=0,"",_xlfn.MINIFS(Sales_Ledger!$B$5:$B$863,Sales_Ledger!$H$5:$H$863,A235))</f>
        <v/>
      </c>
      <c r="I235" s="17">
        <f>SUMIFS(Subscriptions!$I$5:$I$218,Subscriptions!$B$5:$B$218,A235)</f>
        <v>0</v>
      </c>
      <c r="J235" s="17">
        <f>SUMIFS(Subscriptions!$J$5:$J$218,Subscriptions!$B$5:$B$218,A235)</f>
        <v>0</v>
      </c>
      <c r="K235" s="17">
        <f>SUMIFS(Sales_Ledger!$J$5:$J$863,Sales_Ledger!$H$5:$H$863,$A235,Sales_Ledger!$D$5:$D$863,2023)</f>
        <v>0</v>
      </c>
      <c r="L235" s="17">
        <f>SUMIFS(Sales_Ledger!$J$5:$J$863,Sales_Ledger!$H$5:$H$863,$A235,Sales_Ledger!$D$5:$D$863,2024)</f>
        <v>0</v>
      </c>
      <c r="M235" s="17">
        <f>SUMIFS(Sales_Ledger!$J$5:$J$863,Sales_Ledger!$H$5:$H$863,$A235,Sales_Ledger!$D$5:$D$863,2025)</f>
        <v>0</v>
      </c>
      <c r="N235" s="17">
        <f t="shared" si="6"/>
        <v>0</v>
      </c>
      <c r="O235" s="15" t="s">
        <v>3564</v>
      </c>
      <c r="P235" s="15"/>
      <c r="Q235" s="15"/>
      <c r="R235" s="15" t="str">
        <f t="shared" si="7"/>
        <v/>
      </c>
    </row>
    <row r="236" spans="1:18" x14ac:dyDescent="0.35">
      <c r="A236" s="15" t="s">
        <v>3154</v>
      </c>
      <c r="B236" s="15" t="s">
        <v>3155</v>
      </c>
      <c r="C236" s="15" t="s">
        <v>3574</v>
      </c>
      <c r="D236" s="15" t="s">
        <v>3575</v>
      </c>
      <c r="E236" s="15" t="s">
        <v>47</v>
      </c>
      <c r="F236" s="15" t="s">
        <v>40</v>
      </c>
      <c r="G236" s="16"/>
      <c r="H236" s="16" t="str">
        <f>IF(COUNTIF(Sales_Ledger!$H$5:$H$863,A236)=0,"",_xlfn.MINIFS(Sales_Ledger!$B$5:$B$863,Sales_Ledger!$H$5:$H$863,A236))</f>
        <v/>
      </c>
      <c r="I236" s="17">
        <f>SUMIFS(Subscriptions!$I$5:$I$218,Subscriptions!$B$5:$B$218,A236)</f>
        <v>105000000</v>
      </c>
      <c r="J236" s="17">
        <f>SUMIFS(Subscriptions!$J$5:$J$218,Subscriptions!$B$5:$B$218,A236)</f>
        <v>4001141</v>
      </c>
      <c r="K236" s="17">
        <f>SUMIFS(Sales_Ledger!$J$5:$J$863,Sales_Ledger!$H$5:$H$863,$A236,Sales_Ledger!$D$5:$D$863,2023)</f>
        <v>0</v>
      </c>
      <c r="L236" s="17">
        <f>SUMIFS(Sales_Ledger!$J$5:$J$863,Sales_Ledger!$H$5:$H$863,$A236,Sales_Ledger!$D$5:$D$863,2024)</f>
        <v>0</v>
      </c>
      <c r="M236" s="17">
        <f>SUMIFS(Sales_Ledger!$J$5:$J$863,Sales_Ledger!$H$5:$H$863,$A236,Sales_Ledger!$D$5:$D$863,2025)</f>
        <v>0</v>
      </c>
      <c r="N236" s="17">
        <f t="shared" si="6"/>
        <v>0</v>
      </c>
      <c r="O236" s="15" t="s">
        <v>3184</v>
      </c>
      <c r="P236" s="15" t="s">
        <v>2601</v>
      </c>
      <c r="Q236" s="15" t="s">
        <v>1800</v>
      </c>
      <c r="R236" s="15" t="str">
        <f t="shared" si="7"/>
        <v/>
      </c>
    </row>
    <row r="237" spans="1:18" x14ac:dyDescent="0.35">
      <c r="A237" s="15" t="s">
        <v>3163</v>
      </c>
      <c r="B237" s="15" t="s">
        <v>3164</v>
      </c>
      <c r="C237" s="15" t="s">
        <v>3576</v>
      </c>
      <c r="D237" s="15"/>
      <c r="E237" s="15" t="s">
        <v>47</v>
      </c>
      <c r="F237" s="15" t="s">
        <v>41</v>
      </c>
      <c r="G237" s="16"/>
      <c r="H237" s="16" t="str">
        <f>IF(COUNTIF(Sales_Ledger!$H$5:$H$863,A237)=0,"",_xlfn.MINIFS(Sales_Ledger!$B$5:$B$863,Sales_Ledger!$H$5:$H$863,A237))</f>
        <v/>
      </c>
      <c r="I237" s="17">
        <f>SUMIFS(Subscriptions!$I$5:$I$218,Subscriptions!$B$5:$B$218,A237)</f>
        <v>0</v>
      </c>
      <c r="J237" s="17">
        <f>SUMIFS(Subscriptions!$J$5:$J$218,Subscriptions!$B$5:$B$218,A237)</f>
        <v>0</v>
      </c>
      <c r="K237" s="17">
        <f>SUMIFS(Sales_Ledger!$J$5:$J$863,Sales_Ledger!$H$5:$H$863,$A237,Sales_Ledger!$D$5:$D$863,2023)</f>
        <v>0</v>
      </c>
      <c r="L237" s="17">
        <f>SUMIFS(Sales_Ledger!$J$5:$J$863,Sales_Ledger!$H$5:$H$863,$A237,Sales_Ledger!$D$5:$D$863,2024)</f>
        <v>0</v>
      </c>
      <c r="M237" s="17">
        <f>SUMIFS(Sales_Ledger!$J$5:$J$863,Sales_Ledger!$H$5:$H$863,$A237,Sales_Ledger!$D$5:$D$863,2025)</f>
        <v>0</v>
      </c>
      <c r="N237" s="17">
        <f t="shared" si="6"/>
        <v>0</v>
      </c>
      <c r="O237" s="15" t="s">
        <v>3184</v>
      </c>
      <c r="P237" s="15" t="s">
        <v>3160</v>
      </c>
      <c r="Q237" s="15"/>
      <c r="R237" s="15" t="str">
        <f t="shared" si="7"/>
        <v/>
      </c>
    </row>
    <row r="238" spans="1:18" x14ac:dyDescent="0.35">
      <c r="A238" s="15" t="s">
        <v>3577</v>
      </c>
      <c r="B238" s="15" t="s">
        <v>3578</v>
      </c>
      <c r="C238" s="15"/>
      <c r="D238" s="15"/>
      <c r="E238" s="15" t="s">
        <v>46</v>
      </c>
      <c r="F238" s="15" t="s">
        <v>36</v>
      </c>
      <c r="G238" s="16"/>
      <c r="H238" s="16" t="str">
        <f>IF(COUNTIF(Sales_Ledger!$H$5:$H$863,A238)=0,"",_xlfn.MINIFS(Sales_Ledger!$B$5:$B$863,Sales_Ledger!$H$5:$H$863,A238))</f>
        <v/>
      </c>
      <c r="I238" s="17">
        <f>SUMIFS(Subscriptions!$I$5:$I$218,Subscriptions!$B$5:$B$218,A238)</f>
        <v>0</v>
      </c>
      <c r="J238" s="17">
        <f>SUMIFS(Subscriptions!$J$5:$J$218,Subscriptions!$B$5:$B$218,A238)</f>
        <v>0</v>
      </c>
      <c r="K238" s="17">
        <f>SUMIFS(Sales_Ledger!$J$5:$J$863,Sales_Ledger!$H$5:$H$863,$A238,Sales_Ledger!$D$5:$D$863,2023)</f>
        <v>0</v>
      </c>
      <c r="L238" s="17">
        <f>SUMIFS(Sales_Ledger!$J$5:$J$863,Sales_Ledger!$H$5:$H$863,$A238,Sales_Ledger!$D$5:$D$863,2024)</f>
        <v>0</v>
      </c>
      <c r="M238" s="17">
        <f>SUMIFS(Sales_Ledger!$J$5:$J$863,Sales_Ledger!$H$5:$H$863,$A238,Sales_Ledger!$D$5:$D$863,2025)</f>
        <v>0</v>
      </c>
      <c r="N238" s="17">
        <f t="shared" si="6"/>
        <v>0</v>
      </c>
      <c r="O238" s="15" t="s">
        <v>3564</v>
      </c>
      <c r="P238" s="15"/>
      <c r="Q238" s="15"/>
      <c r="R238" s="15" t="str">
        <f t="shared" si="7"/>
        <v/>
      </c>
    </row>
    <row r="239" spans="1:18" x14ac:dyDescent="0.35">
      <c r="A239" s="15" t="s">
        <v>3579</v>
      </c>
      <c r="B239" s="15" t="s">
        <v>3580</v>
      </c>
      <c r="C239" s="15"/>
      <c r="D239" s="15"/>
      <c r="E239" s="15" t="s">
        <v>46</v>
      </c>
      <c r="F239" s="15" t="s">
        <v>36</v>
      </c>
      <c r="G239" s="16"/>
      <c r="H239" s="16" t="str">
        <f>IF(COUNTIF(Sales_Ledger!$H$5:$H$863,A239)=0,"",_xlfn.MINIFS(Sales_Ledger!$B$5:$B$863,Sales_Ledger!$H$5:$H$863,A239))</f>
        <v/>
      </c>
      <c r="I239" s="17">
        <f>SUMIFS(Subscriptions!$I$5:$I$218,Subscriptions!$B$5:$B$218,A239)</f>
        <v>0</v>
      </c>
      <c r="J239" s="17">
        <f>SUMIFS(Subscriptions!$J$5:$J$218,Subscriptions!$B$5:$B$218,A239)</f>
        <v>0</v>
      </c>
      <c r="K239" s="17">
        <f>SUMIFS(Sales_Ledger!$J$5:$J$863,Sales_Ledger!$H$5:$H$863,$A239,Sales_Ledger!$D$5:$D$863,2023)</f>
        <v>0</v>
      </c>
      <c r="L239" s="17">
        <f>SUMIFS(Sales_Ledger!$J$5:$J$863,Sales_Ledger!$H$5:$H$863,$A239,Sales_Ledger!$D$5:$D$863,2024)</f>
        <v>0</v>
      </c>
      <c r="M239" s="17">
        <f>SUMIFS(Sales_Ledger!$J$5:$J$863,Sales_Ledger!$H$5:$H$863,$A239,Sales_Ledger!$D$5:$D$863,2025)</f>
        <v>0</v>
      </c>
      <c r="N239" s="17">
        <f t="shared" si="6"/>
        <v>0</v>
      </c>
      <c r="O239" s="15" t="s">
        <v>3564</v>
      </c>
      <c r="P239" s="15"/>
      <c r="Q239" s="15"/>
      <c r="R239" s="15" t="str">
        <f t="shared" si="7"/>
        <v/>
      </c>
    </row>
    <row r="240" spans="1:18" x14ac:dyDescent="0.35">
      <c r="A240" s="15" t="s">
        <v>3581</v>
      </c>
      <c r="B240" s="15" t="s">
        <v>3582</v>
      </c>
      <c r="C240" s="15"/>
      <c r="D240" s="15"/>
      <c r="E240" s="15" t="s">
        <v>46</v>
      </c>
      <c r="F240" s="15" t="s">
        <v>36</v>
      </c>
      <c r="G240" s="16"/>
      <c r="H240" s="16" t="str">
        <f>IF(COUNTIF(Sales_Ledger!$H$5:$H$863,A240)=0,"",_xlfn.MINIFS(Sales_Ledger!$B$5:$B$863,Sales_Ledger!$H$5:$H$863,A240))</f>
        <v/>
      </c>
      <c r="I240" s="17">
        <f>SUMIFS(Subscriptions!$I$5:$I$218,Subscriptions!$B$5:$B$218,A240)</f>
        <v>0</v>
      </c>
      <c r="J240" s="17">
        <f>SUMIFS(Subscriptions!$J$5:$J$218,Subscriptions!$B$5:$B$218,A240)</f>
        <v>0</v>
      </c>
      <c r="K240" s="17">
        <f>SUMIFS(Sales_Ledger!$J$5:$J$863,Sales_Ledger!$H$5:$H$863,$A240,Sales_Ledger!$D$5:$D$863,2023)</f>
        <v>0</v>
      </c>
      <c r="L240" s="17">
        <f>SUMIFS(Sales_Ledger!$J$5:$J$863,Sales_Ledger!$H$5:$H$863,$A240,Sales_Ledger!$D$5:$D$863,2024)</f>
        <v>0</v>
      </c>
      <c r="M240" s="17">
        <f>SUMIFS(Sales_Ledger!$J$5:$J$863,Sales_Ledger!$H$5:$H$863,$A240,Sales_Ledger!$D$5:$D$863,2025)</f>
        <v>0</v>
      </c>
      <c r="N240" s="17">
        <f t="shared" si="6"/>
        <v>0</v>
      </c>
      <c r="O240" s="15" t="s">
        <v>3564</v>
      </c>
      <c r="P240" s="15"/>
      <c r="Q240" s="15"/>
      <c r="R240" s="15" t="str">
        <f t="shared" si="7"/>
        <v/>
      </c>
    </row>
    <row r="241" spans="2:14" x14ac:dyDescent="0.35">
      <c r="B241" s="18" t="s">
        <v>19</v>
      </c>
      <c r="I241" s="19">
        <f t="shared" ref="I241:N241" si="8">SUBTOTAL(9,I5:I240)</f>
        <v>4016366740</v>
      </c>
      <c r="J241" s="19">
        <f t="shared" si="8"/>
        <v>2349775281</v>
      </c>
      <c r="K241" s="19">
        <f t="shared" si="8"/>
        <v>125620000</v>
      </c>
      <c r="L241" s="19">
        <f t="shared" si="8"/>
        <v>594080600</v>
      </c>
      <c r="M241" s="19">
        <f t="shared" si="8"/>
        <v>1865113400</v>
      </c>
      <c r="N241" s="19">
        <f t="shared" si="8"/>
        <v>2584814000</v>
      </c>
    </row>
  </sheetData>
  <autoFilter ref="A4:R240"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9"/>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9" customWidth="1"/>
    <col min="2" max="2" width="12" customWidth="1"/>
    <col min="3" max="3" width="11" customWidth="1"/>
    <col min="4" max="4" width="7" customWidth="1"/>
    <col min="5" max="5" width="34" customWidth="1"/>
    <col min="6" max="6" width="15" customWidth="1"/>
    <col min="7" max="7" width="22" customWidth="1"/>
    <col min="8" max="8" width="60" customWidth="1"/>
    <col min="9" max="9" width="34" customWidth="1"/>
    <col min="10" max="10" width="22" customWidth="1"/>
    <col min="11" max="11" width="8" customWidth="1"/>
    <col min="12" max="12" width="13" customWidth="1"/>
  </cols>
  <sheetData>
    <row r="1" spans="1:12" ht="18" x14ac:dyDescent="0.4">
      <c r="A1" s="1" t="s">
        <v>3583</v>
      </c>
    </row>
    <row r="2" spans="1:12" x14ac:dyDescent="0.35">
      <c r="A2" s="2" t="s">
        <v>3584</v>
      </c>
    </row>
    <row r="4" spans="1:12" ht="30" customHeight="1" x14ac:dyDescent="0.35">
      <c r="A4" s="14" t="s">
        <v>114</v>
      </c>
      <c r="B4" s="14" t="s">
        <v>3585</v>
      </c>
      <c r="C4" s="14" t="s">
        <v>116</v>
      </c>
      <c r="D4" s="14" t="s">
        <v>117</v>
      </c>
      <c r="E4" s="14" t="s">
        <v>3586</v>
      </c>
      <c r="F4" s="14" t="s">
        <v>121</v>
      </c>
      <c r="G4" s="14" t="s">
        <v>3587</v>
      </c>
      <c r="H4" s="14" t="s">
        <v>3588</v>
      </c>
      <c r="I4" s="14" t="s">
        <v>123</v>
      </c>
      <c r="J4" s="14" t="s">
        <v>124</v>
      </c>
      <c r="K4" s="14" t="s">
        <v>125</v>
      </c>
      <c r="L4" s="14" t="s">
        <v>2458</v>
      </c>
    </row>
    <row r="5" spans="1:12" x14ac:dyDescent="0.35">
      <c r="A5" s="15" t="s">
        <v>3589</v>
      </c>
      <c r="B5" s="16">
        <v>45355</v>
      </c>
      <c r="C5" s="15" t="s">
        <v>551</v>
      </c>
      <c r="D5" s="15">
        <v>2024</v>
      </c>
      <c r="E5" s="15" t="s">
        <v>560</v>
      </c>
      <c r="F5" s="17">
        <v>175000</v>
      </c>
      <c r="G5" s="15" t="s">
        <v>3590</v>
      </c>
      <c r="H5" s="15" t="s">
        <v>3591</v>
      </c>
      <c r="I5" s="15" t="s">
        <v>74</v>
      </c>
      <c r="J5" s="15" t="s">
        <v>552</v>
      </c>
      <c r="K5" s="15">
        <v>12</v>
      </c>
      <c r="L5" s="15" t="s">
        <v>572</v>
      </c>
    </row>
    <row r="6" spans="1:12" x14ac:dyDescent="0.35">
      <c r="A6" s="15" t="s">
        <v>3592</v>
      </c>
      <c r="B6" s="16">
        <v>45379</v>
      </c>
      <c r="C6" s="15" t="s">
        <v>551</v>
      </c>
      <c r="D6" s="15">
        <v>2024</v>
      </c>
      <c r="E6" s="15" t="s">
        <v>560</v>
      </c>
      <c r="F6" s="17">
        <v>85000</v>
      </c>
      <c r="G6" s="15" t="s">
        <v>3590</v>
      </c>
      <c r="H6" s="15" t="s">
        <v>3591</v>
      </c>
      <c r="I6" s="15" t="s">
        <v>74</v>
      </c>
      <c r="J6" s="15" t="s">
        <v>552</v>
      </c>
      <c r="K6" s="15">
        <v>58</v>
      </c>
      <c r="L6" s="15" t="s">
        <v>715</v>
      </c>
    </row>
    <row r="7" spans="1:12" x14ac:dyDescent="0.35">
      <c r="A7" s="15" t="s">
        <v>3593</v>
      </c>
      <c r="B7" s="16">
        <v>45447</v>
      </c>
      <c r="C7" s="15" t="s">
        <v>934</v>
      </c>
      <c r="D7" s="15">
        <v>2024</v>
      </c>
      <c r="E7" s="15" t="s">
        <v>3594</v>
      </c>
      <c r="F7" s="17">
        <v>1000000</v>
      </c>
      <c r="G7" s="15" t="s">
        <v>3595</v>
      </c>
      <c r="H7" s="15" t="s">
        <v>3596</v>
      </c>
      <c r="I7" s="15" t="s">
        <v>74</v>
      </c>
      <c r="J7" s="15" t="s">
        <v>936</v>
      </c>
      <c r="K7" s="15">
        <v>9</v>
      </c>
      <c r="L7" s="15" t="s">
        <v>970</v>
      </c>
    </row>
    <row r="8" spans="1:12" x14ac:dyDescent="0.35">
      <c r="A8" s="15" t="s">
        <v>3597</v>
      </c>
      <c r="B8" s="16">
        <v>45455</v>
      </c>
      <c r="C8" s="15" t="s">
        <v>934</v>
      </c>
      <c r="D8" s="15">
        <v>2024</v>
      </c>
      <c r="E8" s="15" t="s">
        <v>3598</v>
      </c>
      <c r="F8" s="17">
        <v>1000000</v>
      </c>
      <c r="G8" s="15" t="s">
        <v>3595</v>
      </c>
      <c r="H8" s="15" t="s">
        <v>3596</v>
      </c>
      <c r="I8" s="15" t="s">
        <v>74</v>
      </c>
      <c r="J8" s="15" t="s">
        <v>936</v>
      </c>
      <c r="K8" s="15">
        <v>22</v>
      </c>
      <c r="L8" s="15" t="s">
        <v>3599</v>
      </c>
    </row>
    <row r="9" spans="1:12" x14ac:dyDescent="0.35">
      <c r="A9" s="15" t="s">
        <v>3600</v>
      </c>
      <c r="B9" s="16">
        <v>45467</v>
      </c>
      <c r="C9" s="15" t="s">
        <v>934</v>
      </c>
      <c r="D9" s="15">
        <v>2024</v>
      </c>
      <c r="E9" s="15" t="s">
        <v>1724</v>
      </c>
      <c r="F9" s="17">
        <v>1000000</v>
      </c>
      <c r="G9" s="15" t="s">
        <v>3595</v>
      </c>
      <c r="H9" s="15" t="s">
        <v>3596</v>
      </c>
      <c r="I9" s="15" t="s">
        <v>74</v>
      </c>
      <c r="J9" s="15" t="s">
        <v>936</v>
      </c>
      <c r="K9" s="15">
        <v>35</v>
      </c>
      <c r="L9" s="15" t="s">
        <v>3601</v>
      </c>
    </row>
    <row r="10" spans="1:12" x14ac:dyDescent="0.35">
      <c r="A10" s="15" t="s">
        <v>3602</v>
      </c>
      <c r="B10" s="16">
        <v>45469</v>
      </c>
      <c r="C10" s="15" t="s">
        <v>934</v>
      </c>
      <c r="D10" s="15">
        <v>2024</v>
      </c>
      <c r="E10" s="15" t="s">
        <v>3598</v>
      </c>
      <c r="F10" s="17">
        <v>1000000</v>
      </c>
      <c r="G10" s="15" t="s">
        <v>3595</v>
      </c>
      <c r="H10" s="15" t="s">
        <v>3596</v>
      </c>
      <c r="I10" s="15" t="s">
        <v>74</v>
      </c>
      <c r="J10" s="15" t="s">
        <v>936</v>
      </c>
      <c r="K10" s="15">
        <v>39</v>
      </c>
      <c r="L10" s="15" t="s">
        <v>3603</v>
      </c>
    </row>
    <row r="11" spans="1:12" x14ac:dyDescent="0.35">
      <c r="A11" s="15" t="s">
        <v>3604</v>
      </c>
      <c r="B11" s="16">
        <v>45469</v>
      </c>
      <c r="C11" s="15" t="s">
        <v>934</v>
      </c>
      <c r="D11" s="15">
        <v>2024</v>
      </c>
      <c r="E11" s="15" t="s">
        <v>1724</v>
      </c>
      <c r="F11" s="17">
        <v>1000000</v>
      </c>
      <c r="G11" s="15" t="s">
        <v>3595</v>
      </c>
      <c r="H11" s="15" t="s">
        <v>3596</v>
      </c>
      <c r="I11" s="15" t="s">
        <v>74</v>
      </c>
      <c r="J11" s="15" t="s">
        <v>936</v>
      </c>
      <c r="K11" s="15">
        <v>40</v>
      </c>
      <c r="L11" s="15" t="s">
        <v>3603</v>
      </c>
    </row>
    <row r="12" spans="1:12" x14ac:dyDescent="0.35">
      <c r="A12" s="15" t="s">
        <v>3605</v>
      </c>
      <c r="B12" s="16">
        <v>45474</v>
      </c>
      <c r="C12" s="15" t="s">
        <v>1083</v>
      </c>
      <c r="D12" s="15">
        <v>2024</v>
      </c>
      <c r="E12" s="15" t="s">
        <v>1724</v>
      </c>
      <c r="F12" s="17">
        <v>1000000</v>
      </c>
      <c r="G12" s="15" t="s">
        <v>3606</v>
      </c>
      <c r="H12" s="15" t="s">
        <v>3596</v>
      </c>
      <c r="I12" s="15" t="s">
        <v>76</v>
      </c>
      <c r="J12" s="15" t="s">
        <v>1792</v>
      </c>
      <c r="K12" s="15">
        <v>13</v>
      </c>
      <c r="L12" s="15" t="s">
        <v>1086</v>
      </c>
    </row>
    <row r="13" spans="1:12" x14ac:dyDescent="0.35">
      <c r="A13" s="15" t="s">
        <v>3607</v>
      </c>
      <c r="B13" s="16">
        <v>45488</v>
      </c>
      <c r="C13" s="15" t="s">
        <v>1083</v>
      </c>
      <c r="D13" s="15">
        <v>2024</v>
      </c>
      <c r="E13" s="15" t="s">
        <v>3608</v>
      </c>
      <c r="F13" s="17">
        <v>220000</v>
      </c>
      <c r="G13" s="15" t="s">
        <v>3606</v>
      </c>
      <c r="H13" s="15" t="s">
        <v>3596</v>
      </c>
      <c r="I13" s="15" t="s">
        <v>76</v>
      </c>
      <c r="J13" s="15" t="s">
        <v>1823</v>
      </c>
      <c r="K13" s="15">
        <v>3</v>
      </c>
      <c r="L13" s="15" t="s">
        <v>1130</v>
      </c>
    </row>
    <row r="14" spans="1:12" x14ac:dyDescent="0.35">
      <c r="A14" s="15" t="s">
        <v>3609</v>
      </c>
      <c r="B14" s="16">
        <v>45490</v>
      </c>
      <c r="C14" s="15" t="s">
        <v>1083</v>
      </c>
      <c r="D14" s="15">
        <v>2024</v>
      </c>
      <c r="E14" s="15" t="s">
        <v>3610</v>
      </c>
      <c r="F14" s="17">
        <v>1000000</v>
      </c>
      <c r="G14" s="15" t="s">
        <v>3595</v>
      </c>
      <c r="H14" s="15" t="s">
        <v>3596</v>
      </c>
      <c r="I14" s="15" t="s">
        <v>74</v>
      </c>
      <c r="J14" s="15" t="s">
        <v>1085</v>
      </c>
      <c r="K14" s="15">
        <v>24</v>
      </c>
      <c r="L14" s="15" t="s">
        <v>3611</v>
      </c>
    </row>
    <row r="15" spans="1:12" x14ac:dyDescent="0.35">
      <c r="A15" s="15" t="s">
        <v>3612</v>
      </c>
      <c r="B15" s="16">
        <v>45498</v>
      </c>
      <c r="C15" s="15" t="s">
        <v>1083</v>
      </c>
      <c r="D15" s="15">
        <v>2024</v>
      </c>
      <c r="E15" s="15" t="s">
        <v>1724</v>
      </c>
      <c r="F15" s="17">
        <v>1000000</v>
      </c>
      <c r="G15" s="15" t="s">
        <v>3595</v>
      </c>
      <c r="H15" s="15" t="s">
        <v>3596</v>
      </c>
      <c r="I15" s="15" t="s">
        <v>74</v>
      </c>
      <c r="J15" s="15" t="s">
        <v>1085</v>
      </c>
      <c r="K15" s="15">
        <v>11</v>
      </c>
      <c r="L15" s="15" t="s">
        <v>1156</v>
      </c>
    </row>
    <row r="16" spans="1:12" x14ac:dyDescent="0.35">
      <c r="A16" s="15" t="s">
        <v>3613</v>
      </c>
      <c r="B16" s="16">
        <v>45501</v>
      </c>
      <c r="C16" s="15" t="s">
        <v>1083</v>
      </c>
      <c r="D16" s="15">
        <v>2024</v>
      </c>
      <c r="E16" s="15" t="s">
        <v>3614</v>
      </c>
      <c r="F16" s="17">
        <v>200000</v>
      </c>
      <c r="G16" s="15" t="s">
        <v>3595</v>
      </c>
      <c r="H16" s="15" t="s">
        <v>3596</v>
      </c>
      <c r="I16" s="15" t="s">
        <v>74</v>
      </c>
      <c r="J16" s="15" t="s">
        <v>1085</v>
      </c>
      <c r="K16" s="15">
        <v>31</v>
      </c>
      <c r="L16" s="15" t="s">
        <v>3615</v>
      </c>
    </row>
    <row r="17" spans="1:12" x14ac:dyDescent="0.35">
      <c r="A17" s="15" t="s">
        <v>3616</v>
      </c>
      <c r="B17" s="16">
        <v>45501</v>
      </c>
      <c r="C17" s="15" t="s">
        <v>1083</v>
      </c>
      <c r="D17" s="15">
        <v>2024</v>
      </c>
      <c r="E17" s="15" t="s">
        <v>3617</v>
      </c>
      <c r="F17" s="17">
        <v>3500000</v>
      </c>
      <c r="G17" s="15" t="s">
        <v>3595</v>
      </c>
      <c r="H17" s="15" t="s">
        <v>3596</v>
      </c>
      <c r="I17" s="15" t="s">
        <v>74</v>
      </c>
      <c r="J17" s="15" t="s">
        <v>1085</v>
      </c>
      <c r="K17" s="15">
        <v>32</v>
      </c>
      <c r="L17" s="15" t="s">
        <v>3615</v>
      </c>
    </row>
    <row r="18" spans="1:12" x14ac:dyDescent="0.35">
      <c r="A18" s="15" t="s">
        <v>3618</v>
      </c>
      <c r="B18" s="16">
        <v>45509</v>
      </c>
      <c r="C18" s="15" t="s">
        <v>1172</v>
      </c>
      <c r="D18" s="15">
        <v>2024</v>
      </c>
      <c r="E18" s="15" t="s">
        <v>3619</v>
      </c>
      <c r="F18" s="17">
        <v>300000</v>
      </c>
      <c r="G18" s="15" t="s">
        <v>3595</v>
      </c>
      <c r="H18" s="15" t="s">
        <v>3596</v>
      </c>
      <c r="I18" s="15" t="s">
        <v>74</v>
      </c>
      <c r="J18" s="15" t="s">
        <v>1173</v>
      </c>
      <c r="K18" s="15">
        <v>12</v>
      </c>
      <c r="L18" s="15" t="s">
        <v>1190</v>
      </c>
    </row>
    <row r="19" spans="1:12" x14ac:dyDescent="0.35">
      <c r="A19" s="15" t="s">
        <v>3620</v>
      </c>
      <c r="B19" s="16">
        <v>45512</v>
      </c>
      <c r="C19" s="15" t="s">
        <v>1172</v>
      </c>
      <c r="D19" s="15">
        <v>2024</v>
      </c>
      <c r="E19" s="15" t="s">
        <v>3621</v>
      </c>
      <c r="F19" s="17">
        <v>500000</v>
      </c>
      <c r="G19" s="15" t="s">
        <v>3595</v>
      </c>
      <c r="H19" s="15" t="s">
        <v>3596</v>
      </c>
      <c r="I19" s="15" t="s">
        <v>74</v>
      </c>
      <c r="J19" s="15" t="s">
        <v>1173</v>
      </c>
      <c r="K19" s="15">
        <v>16</v>
      </c>
      <c r="L19" s="15" t="s">
        <v>1206</v>
      </c>
    </row>
    <row r="20" spans="1:12" x14ac:dyDescent="0.35">
      <c r="A20" s="15" t="s">
        <v>3622</v>
      </c>
      <c r="B20" s="16">
        <v>45519</v>
      </c>
      <c r="C20" s="15" t="s">
        <v>1172</v>
      </c>
      <c r="D20" s="15">
        <v>2024</v>
      </c>
      <c r="E20" s="15" t="s">
        <v>3623</v>
      </c>
      <c r="F20" s="17">
        <v>500000</v>
      </c>
      <c r="G20" s="15" t="s">
        <v>3624</v>
      </c>
      <c r="H20" s="15" t="s">
        <v>3625</v>
      </c>
      <c r="I20" s="15" t="s">
        <v>74</v>
      </c>
      <c r="J20" s="15" t="s">
        <v>1173</v>
      </c>
      <c r="K20" s="15">
        <v>19</v>
      </c>
      <c r="L20" s="15" t="s">
        <v>1229</v>
      </c>
    </row>
    <row r="21" spans="1:12" x14ac:dyDescent="0.35">
      <c r="A21" s="15" t="s">
        <v>3626</v>
      </c>
      <c r="B21" s="16">
        <v>45541</v>
      </c>
      <c r="C21" s="15" t="s">
        <v>1289</v>
      </c>
      <c r="D21" s="15">
        <v>2024</v>
      </c>
      <c r="E21" s="15" t="s">
        <v>3627</v>
      </c>
      <c r="F21" s="17">
        <v>100000</v>
      </c>
      <c r="G21" s="15" t="s">
        <v>3628</v>
      </c>
      <c r="H21" s="15" t="s">
        <v>3625</v>
      </c>
      <c r="I21" s="15" t="s">
        <v>74</v>
      </c>
      <c r="J21" s="15" t="s">
        <v>1290</v>
      </c>
      <c r="K21" s="15">
        <v>14</v>
      </c>
      <c r="L21" s="15" t="s">
        <v>1314</v>
      </c>
    </row>
    <row r="22" spans="1:12" x14ac:dyDescent="0.35">
      <c r="A22" s="15" t="s">
        <v>3629</v>
      </c>
      <c r="B22" s="16">
        <v>45546</v>
      </c>
      <c r="C22" s="15" t="s">
        <v>1289</v>
      </c>
      <c r="D22" s="15">
        <v>2024</v>
      </c>
      <c r="E22" s="15" t="s">
        <v>3630</v>
      </c>
      <c r="F22" s="17">
        <v>200000</v>
      </c>
      <c r="G22" s="15" t="s">
        <v>3595</v>
      </c>
      <c r="H22" s="15" t="s">
        <v>3596</v>
      </c>
      <c r="I22" s="15" t="s">
        <v>74</v>
      </c>
      <c r="J22" s="15" t="s">
        <v>1290</v>
      </c>
      <c r="K22" s="15">
        <v>10</v>
      </c>
      <c r="L22" s="15" t="s">
        <v>3631</v>
      </c>
    </row>
    <row r="23" spans="1:12" x14ac:dyDescent="0.35">
      <c r="A23" s="15" t="s">
        <v>3632</v>
      </c>
      <c r="B23" s="16">
        <v>45562</v>
      </c>
      <c r="C23" s="15" t="s">
        <v>1289</v>
      </c>
      <c r="D23" s="15">
        <v>2024</v>
      </c>
      <c r="E23" s="15" t="s">
        <v>1395</v>
      </c>
      <c r="F23" s="17">
        <v>1450000</v>
      </c>
      <c r="G23" s="15" t="s">
        <v>3628</v>
      </c>
      <c r="H23" s="15" t="s">
        <v>3625</v>
      </c>
      <c r="I23" s="15" t="s">
        <v>74</v>
      </c>
      <c r="J23" s="15" t="s">
        <v>1290</v>
      </c>
      <c r="K23" s="15">
        <v>35</v>
      </c>
      <c r="L23" s="15" t="s">
        <v>1375</v>
      </c>
    </row>
    <row r="24" spans="1:12" x14ac:dyDescent="0.35">
      <c r="A24" s="15" t="s">
        <v>3633</v>
      </c>
      <c r="B24" s="16">
        <v>45565</v>
      </c>
      <c r="C24" s="15" t="s">
        <v>1289</v>
      </c>
      <c r="D24" s="15">
        <v>2024</v>
      </c>
      <c r="E24" s="15" t="s">
        <v>3634</v>
      </c>
      <c r="F24" s="17">
        <v>500000</v>
      </c>
      <c r="G24" s="15" t="s">
        <v>3595</v>
      </c>
      <c r="H24" s="15" t="s">
        <v>3596</v>
      </c>
      <c r="I24" s="15" t="s">
        <v>74</v>
      </c>
      <c r="J24" s="15" t="s">
        <v>1290</v>
      </c>
      <c r="K24" s="15">
        <v>37</v>
      </c>
      <c r="L24" s="15" t="s">
        <v>1407</v>
      </c>
    </row>
    <row r="25" spans="1:12" x14ac:dyDescent="0.35">
      <c r="A25" s="15" t="s">
        <v>3635</v>
      </c>
      <c r="B25" s="16">
        <v>45568</v>
      </c>
      <c r="C25" s="15" t="s">
        <v>1414</v>
      </c>
      <c r="D25" s="15">
        <v>2024</v>
      </c>
      <c r="E25" s="15" t="s">
        <v>3636</v>
      </c>
      <c r="F25" s="17">
        <v>1000000</v>
      </c>
      <c r="G25" s="15" t="s">
        <v>3595</v>
      </c>
      <c r="H25" s="15" t="s">
        <v>3596</v>
      </c>
      <c r="I25" s="15" t="s">
        <v>74</v>
      </c>
      <c r="J25" s="15" t="s">
        <v>1415</v>
      </c>
      <c r="K25" s="15">
        <v>8</v>
      </c>
      <c r="L25" s="15" t="s">
        <v>1422</v>
      </c>
    </row>
    <row r="26" spans="1:12" x14ac:dyDescent="0.35">
      <c r="A26" s="15" t="s">
        <v>3637</v>
      </c>
      <c r="B26" s="16">
        <v>45583</v>
      </c>
      <c r="C26" s="15" t="s">
        <v>1414</v>
      </c>
      <c r="D26" s="15">
        <v>2024</v>
      </c>
      <c r="E26" s="15" t="s">
        <v>1464</v>
      </c>
      <c r="F26" s="17">
        <v>600000</v>
      </c>
      <c r="G26" s="15" t="s">
        <v>3638</v>
      </c>
      <c r="H26" s="15" t="s">
        <v>3625</v>
      </c>
      <c r="I26" s="15" t="s">
        <v>74</v>
      </c>
      <c r="J26" s="15" t="s">
        <v>1415</v>
      </c>
      <c r="K26" s="15">
        <v>18</v>
      </c>
      <c r="L26" s="15" t="s">
        <v>1457</v>
      </c>
    </row>
    <row r="27" spans="1:12" x14ac:dyDescent="0.35">
      <c r="A27" s="15" t="s">
        <v>3639</v>
      </c>
      <c r="B27" s="16">
        <v>45590</v>
      </c>
      <c r="C27" s="15" t="s">
        <v>1414</v>
      </c>
      <c r="D27" s="15">
        <v>2024</v>
      </c>
      <c r="E27" s="15" t="s">
        <v>1574</v>
      </c>
      <c r="F27" s="17">
        <v>1000000</v>
      </c>
      <c r="G27" s="15" t="s">
        <v>3595</v>
      </c>
      <c r="H27" s="15" t="s">
        <v>3596</v>
      </c>
      <c r="I27" s="15" t="s">
        <v>74</v>
      </c>
      <c r="J27" s="15" t="s">
        <v>1415</v>
      </c>
      <c r="K27" s="15">
        <v>16</v>
      </c>
      <c r="L27" s="15" t="s">
        <v>1489</v>
      </c>
    </row>
    <row r="28" spans="1:12" x14ac:dyDescent="0.35">
      <c r="A28" s="15" t="s">
        <v>3640</v>
      </c>
      <c r="B28" s="16">
        <v>45591</v>
      </c>
      <c r="C28" s="15" t="s">
        <v>1414</v>
      </c>
      <c r="D28" s="15">
        <v>2024</v>
      </c>
      <c r="E28" s="15" t="s">
        <v>1574</v>
      </c>
      <c r="F28" s="17">
        <v>1000000</v>
      </c>
      <c r="G28" s="15" t="s">
        <v>3595</v>
      </c>
      <c r="H28" s="15" t="s">
        <v>3596</v>
      </c>
      <c r="I28" s="15" t="s">
        <v>74</v>
      </c>
      <c r="J28" s="15" t="s">
        <v>1415</v>
      </c>
      <c r="K28" s="15">
        <v>19</v>
      </c>
      <c r="L28" s="15" t="s">
        <v>1500</v>
      </c>
    </row>
    <row r="29" spans="1:12" x14ac:dyDescent="0.35">
      <c r="A29" s="15" t="s">
        <v>3641</v>
      </c>
      <c r="B29" s="16">
        <v>45596</v>
      </c>
      <c r="C29" s="15" t="s">
        <v>1414</v>
      </c>
      <c r="D29" s="15">
        <v>2024</v>
      </c>
      <c r="E29" s="15" t="s">
        <v>3642</v>
      </c>
      <c r="F29" s="17">
        <v>5000000</v>
      </c>
      <c r="G29" s="15" t="s">
        <v>3595</v>
      </c>
      <c r="H29" s="15" t="s">
        <v>3596</v>
      </c>
      <c r="I29" s="15" t="s">
        <v>74</v>
      </c>
      <c r="J29" s="15" t="s">
        <v>1415</v>
      </c>
      <c r="K29" s="15">
        <v>31</v>
      </c>
      <c r="L29" s="15" t="s">
        <v>1530</v>
      </c>
    </row>
    <row r="30" spans="1:12" x14ac:dyDescent="0.35">
      <c r="A30" s="15" t="s">
        <v>3643</v>
      </c>
      <c r="B30" s="16">
        <v>45597</v>
      </c>
      <c r="C30" s="15" t="s">
        <v>1537</v>
      </c>
      <c r="D30" s="15">
        <v>2024</v>
      </c>
      <c r="E30" s="15" t="s">
        <v>3644</v>
      </c>
      <c r="F30" s="17">
        <v>1000000</v>
      </c>
      <c r="G30" s="15" t="s">
        <v>3595</v>
      </c>
      <c r="H30" s="15" t="s">
        <v>3596</v>
      </c>
      <c r="I30" s="15" t="s">
        <v>74</v>
      </c>
      <c r="J30" s="15" t="s">
        <v>1538</v>
      </c>
      <c r="K30" s="15">
        <v>7</v>
      </c>
      <c r="L30" s="15" t="s">
        <v>1539</v>
      </c>
    </row>
    <row r="31" spans="1:12" x14ac:dyDescent="0.35">
      <c r="A31" s="15" t="s">
        <v>3645</v>
      </c>
      <c r="B31" s="16">
        <v>45597</v>
      </c>
      <c r="C31" s="15" t="s">
        <v>1537</v>
      </c>
      <c r="D31" s="15">
        <v>2024</v>
      </c>
      <c r="E31" s="15" t="s">
        <v>3646</v>
      </c>
      <c r="F31" s="17">
        <v>1000000</v>
      </c>
      <c r="G31" s="15" t="s">
        <v>3595</v>
      </c>
      <c r="H31" s="15" t="s">
        <v>3596</v>
      </c>
      <c r="I31" s="15" t="s">
        <v>74</v>
      </c>
      <c r="J31" s="15" t="s">
        <v>1538</v>
      </c>
      <c r="K31" s="15">
        <v>7</v>
      </c>
      <c r="L31" s="15" t="s">
        <v>1539</v>
      </c>
    </row>
    <row r="32" spans="1:12" x14ac:dyDescent="0.35">
      <c r="A32" s="15" t="s">
        <v>3647</v>
      </c>
      <c r="B32" s="16">
        <v>45628</v>
      </c>
      <c r="C32" s="15" t="s">
        <v>1662</v>
      </c>
      <c r="D32" s="15">
        <v>2024</v>
      </c>
      <c r="E32" s="15" t="s">
        <v>141</v>
      </c>
      <c r="F32" s="17">
        <v>153250</v>
      </c>
      <c r="G32" s="15" t="s">
        <v>3648</v>
      </c>
      <c r="H32" s="15" t="s">
        <v>3591</v>
      </c>
      <c r="I32" s="15" t="s">
        <v>74</v>
      </c>
      <c r="J32" s="15" t="s">
        <v>1663</v>
      </c>
      <c r="K32" s="15">
        <v>8</v>
      </c>
      <c r="L32" s="15" t="s">
        <v>1664</v>
      </c>
    </row>
    <row r="33" spans="1:12" x14ac:dyDescent="0.35">
      <c r="A33" s="15" t="s">
        <v>3649</v>
      </c>
      <c r="B33" s="16">
        <v>45657</v>
      </c>
      <c r="C33" s="15" t="s">
        <v>1662</v>
      </c>
      <c r="D33" s="15">
        <v>2024</v>
      </c>
      <c r="E33" s="15" t="s">
        <v>1765</v>
      </c>
      <c r="F33" s="17">
        <v>200000</v>
      </c>
      <c r="G33" s="15" t="s">
        <v>3648</v>
      </c>
      <c r="H33" s="15" t="s">
        <v>3591</v>
      </c>
      <c r="I33" s="15" t="s">
        <v>74</v>
      </c>
      <c r="J33" s="15" t="s">
        <v>1663</v>
      </c>
      <c r="K33" s="15">
        <v>30</v>
      </c>
      <c r="L33" s="15" t="s">
        <v>1773</v>
      </c>
    </row>
    <row r="34" spans="1:12" x14ac:dyDescent="0.35">
      <c r="A34" s="15" t="s">
        <v>3650</v>
      </c>
      <c r="B34" s="16">
        <v>45658</v>
      </c>
      <c r="C34" s="15" t="s">
        <v>1777</v>
      </c>
      <c r="D34" s="15">
        <v>2025</v>
      </c>
      <c r="E34" s="15" t="s">
        <v>3651</v>
      </c>
      <c r="F34" s="17">
        <v>200000</v>
      </c>
      <c r="G34" s="15" t="s">
        <v>3652</v>
      </c>
      <c r="H34" s="15" t="s">
        <v>3596</v>
      </c>
      <c r="I34" s="15" t="s">
        <v>76</v>
      </c>
      <c r="J34" s="15" t="s">
        <v>3653</v>
      </c>
      <c r="K34" s="15">
        <v>2</v>
      </c>
      <c r="L34" s="15" t="s">
        <v>1778</v>
      </c>
    </row>
    <row r="35" spans="1:12" x14ac:dyDescent="0.35">
      <c r="A35" s="15" t="s">
        <v>3654</v>
      </c>
      <c r="B35" s="16">
        <v>45662</v>
      </c>
      <c r="C35" s="15" t="s">
        <v>1777</v>
      </c>
      <c r="D35" s="15">
        <v>2025</v>
      </c>
      <c r="E35" s="15" t="s">
        <v>3655</v>
      </c>
      <c r="F35" s="17">
        <v>500000</v>
      </c>
      <c r="G35" s="15" t="s">
        <v>3656</v>
      </c>
      <c r="H35" s="15" t="s">
        <v>3596</v>
      </c>
      <c r="I35" s="15" t="s">
        <v>76</v>
      </c>
      <c r="J35" s="15" t="s">
        <v>1882</v>
      </c>
      <c r="K35" s="15">
        <v>18</v>
      </c>
      <c r="L35" s="15" t="s">
        <v>3657</v>
      </c>
    </row>
    <row r="36" spans="1:12" x14ac:dyDescent="0.35">
      <c r="A36" s="15" t="s">
        <v>3658</v>
      </c>
      <c r="B36" s="16">
        <v>45673</v>
      </c>
      <c r="C36" s="15" t="s">
        <v>1777</v>
      </c>
      <c r="D36" s="15">
        <v>2025</v>
      </c>
      <c r="E36" s="15" t="s">
        <v>3659</v>
      </c>
      <c r="F36" s="17">
        <v>4000000</v>
      </c>
      <c r="G36" s="15" t="s">
        <v>3656</v>
      </c>
      <c r="H36" s="15" t="s">
        <v>3596</v>
      </c>
      <c r="I36" s="15" t="s">
        <v>76</v>
      </c>
      <c r="J36" s="15" t="s">
        <v>1800</v>
      </c>
      <c r="K36" s="15">
        <v>105</v>
      </c>
      <c r="L36" s="15" t="s">
        <v>3660</v>
      </c>
    </row>
    <row r="37" spans="1:12" x14ac:dyDescent="0.35">
      <c r="A37" s="15" t="s">
        <v>3661</v>
      </c>
      <c r="B37" s="16">
        <v>45681</v>
      </c>
      <c r="C37" s="15" t="s">
        <v>1777</v>
      </c>
      <c r="D37" s="15">
        <v>2025</v>
      </c>
      <c r="E37" s="15" t="s">
        <v>3644</v>
      </c>
      <c r="F37" s="17">
        <v>1000000</v>
      </c>
      <c r="G37" s="15" t="s">
        <v>3656</v>
      </c>
      <c r="H37" s="15" t="s">
        <v>3596</v>
      </c>
      <c r="I37" s="15" t="s">
        <v>76</v>
      </c>
      <c r="J37" s="15" t="s">
        <v>1800</v>
      </c>
      <c r="K37" s="15">
        <v>110</v>
      </c>
      <c r="L37" s="15" t="s">
        <v>1819</v>
      </c>
    </row>
    <row r="38" spans="1:12" x14ac:dyDescent="0.35">
      <c r="A38" s="15" t="s">
        <v>3662</v>
      </c>
      <c r="B38" s="16">
        <v>45684</v>
      </c>
      <c r="C38" s="15" t="s">
        <v>1777</v>
      </c>
      <c r="D38" s="15">
        <v>2025</v>
      </c>
      <c r="E38" s="15" t="s">
        <v>3663</v>
      </c>
      <c r="F38" s="17">
        <v>550000</v>
      </c>
      <c r="G38" s="15" t="s">
        <v>3595</v>
      </c>
      <c r="H38" s="15" t="s">
        <v>3596</v>
      </c>
      <c r="I38" s="15" t="s">
        <v>76</v>
      </c>
      <c r="J38" s="15" t="s">
        <v>149</v>
      </c>
      <c r="K38" s="15">
        <v>139</v>
      </c>
      <c r="L38" s="15" t="s">
        <v>3664</v>
      </c>
    </row>
    <row r="39" spans="1:12" x14ac:dyDescent="0.35">
      <c r="A39" s="15" t="s">
        <v>3665</v>
      </c>
      <c r="B39" s="16">
        <v>45702</v>
      </c>
      <c r="C39" s="15" t="s">
        <v>1860</v>
      </c>
      <c r="D39" s="15">
        <v>2025</v>
      </c>
      <c r="E39" s="15" t="s">
        <v>3666</v>
      </c>
      <c r="F39" s="17">
        <v>1000000</v>
      </c>
      <c r="G39" s="15" t="s">
        <v>3656</v>
      </c>
      <c r="H39" s="15" t="s">
        <v>3596</v>
      </c>
      <c r="I39" s="15" t="s">
        <v>76</v>
      </c>
      <c r="J39" s="15" t="s">
        <v>246</v>
      </c>
      <c r="K39" s="15">
        <v>30</v>
      </c>
      <c r="L39" s="15" t="s">
        <v>1897</v>
      </c>
    </row>
    <row r="40" spans="1:12" x14ac:dyDescent="0.35">
      <c r="A40" s="15" t="s">
        <v>3667</v>
      </c>
      <c r="B40" s="16">
        <v>45705</v>
      </c>
      <c r="C40" s="15" t="s">
        <v>1860</v>
      </c>
      <c r="D40" s="15">
        <v>2025</v>
      </c>
      <c r="E40" s="15" t="s">
        <v>3668</v>
      </c>
      <c r="F40" s="17">
        <v>400000</v>
      </c>
      <c r="G40" s="15" t="s">
        <v>3656</v>
      </c>
      <c r="H40" s="15" t="s">
        <v>3596</v>
      </c>
      <c r="I40" s="15" t="s">
        <v>76</v>
      </c>
      <c r="J40" s="15" t="s">
        <v>1896</v>
      </c>
      <c r="K40" s="15">
        <v>3</v>
      </c>
      <c r="L40" s="15" t="s">
        <v>3669</v>
      </c>
    </row>
    <row r="41" spans="1:12" x14ac:dyDescent="0.35">
      <c r="A41" s="15" t="s">
        <v>3670</v>
      </c>
      <c r="B41" s="16">
        <v>45721</v>
      </c>
      <c r="C41" s="15" t="s">
        <v>1929</v>
      </c>
      <c r="D41" s="15">
        <v>2025</v>
      </c>
      <c r="E41" s="15" t="s">
        <v>3671</v>
      </c>
      <c r="F41" s="17">
        <v>500000</v>
      </c>
      <c r="G41" s="15" t="s">
        <v>3656</v>
      </c>
      <c r="H41" s="15" t="s">
        <v>3596</v>
      </c>
      <c r="I41" s="15" t="s">
        <v>76</v>
      </c>
      <c r="J41" s="15" t="s">
        <v>3672</v>
      </c>
      <c r="K41" s="15">
        <v>2</v>
      </c>
      <c r="L41" s="15" t="s">
        <v>1946</v>
      </c>
    </row>
    <row r="42" spans="1:12" x14ac:dyDescent="0.35">
      <c r="A42" s="15" t="s">
        <v>3673</v>
      </c>
      <c r="B42" s="16">
        <v>45725</v>
      </c>
      <c r="C42" s="15" t="s">
        <v>1929</v>
      </c>
      <c r="D42" s="15">
        <v>2025</v>
      </c>
      <c r="E42" s="15" t="s">
        <v>1881</v>
      </c>
      <c r="F42" s="17">
        <v>3000000</v>
      </c>
      <c r="G42" s="15" t="s">
        <v>3674</v>
      </c>
      <c r="H42" s="15" t="s">
        <v>3596</v>
      </c>
      <c r="I42" s="15" t="s">
        <v>76</v>
      </c>
      <c r="J42" s="15" t="s">
        <v>1800</v>
      </c>
      <c r="K42" s="15">
        <v>150</v>
      </c>
      <c r="L42" s="15" t="s">
        <v>1957</v>
      </c>
    </row>
    <row r="43" spans="1:12" x14ac:dyDescent="0.35">
      <c r="A43" s="15" t="s">
        <v>3675</v>
      </c>
      <c r="B43" s="16">
        <v>45727</v>
      </c>
      <c r="C43" s="15" t="s">
        <v>1929</v>
      </c>
      <c r="D43" s="15">
        <v>2025</v>
      </c>
      <c r="E43" s="15" t="s">
        <v>1994</v>
      </c>
      <c r="F43" s="17">
        <v>500000</v>
      </c>
      <c r="G43" s="15" t="s">
        <v>3656</v>
      </c>
      <c r="H43" s="15" t="s">
        <v>3596</v>
      </c>
      <c r="I43" s="15" t="s">
        <v>76</v>
      </c>
      <c r="J43" s="15" t="s">
        <v>1995</v>
      </c>
      <c r="K43" s="15">
        <v>2</v>
      </c>
      <c r="L43" s="15" t="s">
        <v>3676</v>
      </c>
    </row>
    <row r="44" spans="1:12" x14ac:dyDescent="0.35">
      <c r="A44" s="15" t="s">
        <v>3677</v>
      </c>
      <c r="B44" s="16">
        <v>45728</v>
      </c>
      <c r="C44" s="15" t="s">
        <v>1929</v>
      </c>
      <c r="D44" s="15">
        <v>2025</v>
      </c>
      <c r="E44" s="15" t="s">
        <v>3630</v>
      </c>
      <c r="F44" s="17">
        <v>274000</v>
      </c>
      <c r="G44" s="15" t="s">
        <v>3656</v>
      </c>
      <c r="H44" s="15" t="s">
        <v>3596</v>
      </c>
      <c r="I44" s="15" t="s">
        <v>76</v>
      </c>
      <c r="J44" s="15" t="s">
        <v>1840</v>
      </c>
      <c r="K44" s="15">
        <v>92</v>
      </c>
      <c r="L44" s="15" t="s">
        <v>3025</v>
      </c>
    </row>
    <row r="45" spans="1:12" x14ac:dyDescent="0.35">
      <c r="A45" s="15" t="s">
        <v>3678</v>
      </c>
      <c r="B45" s="16">
        <v>45734</v>
      </c>
      <c r="C45" s="15" t="s">
        <v>1929</v>
      </c>
      <c r="D45" s="15">
        <v>2025</v>
      </c>
      <c r="E45" s="15" t="s">
        <v>2686</v>
      </c>
      <c r="F45" s="17">
        <v>6006000</v>
      </c>
      <c r="G45" s="15" t="s">
        <v>3674</v>
      </c>
      <c r="H45" s="15" t="s">
        <v>3596</v>
      </c>
      <c r="I45" s="15" t="s">
        <v>76</v>
      </c>
      <c r="J45" s="15" t="s">
        <v>1800</v>
      </c>
      <c r="K45" s="15">
        <v>148</v>
      </c>
      <c r="L45" s="15" t="s">
        <v>1971</v>
      </c>
    </row>
    <row r="46" spans="1:12" x14ac:dyDescent="0.35">
      <c r="A46" s="15" t="s">
        <v>3679</v>
      </c>
      <c r="B46" s="16">
        <v>45736</v>
      </c>
      <c r="C46" s="15" t="s">
        <v>1929</v>
      </c>
      <c r="D46" s="15">
        <v>2025</v>
      </c>
      <c r="E46" s="15" t="s">
        <v>2686</v>
      </c>
      <c r="F46" s="17">
        <v>4004000</v>
      </c>
      <c r="G46" s="15" t="s">
        <v>3674</v>
      </c>
      <c r="H46" s="15" t="s">
        <v>3596</v>
      </c>
      <c r="I46" s="15" t="s">
        <v>76</v>
      </c>
      <c r="J46" s="15" t="s">
        <v>1800</v>
      </c>
      <c r="K46" s="15">
        <v>149</v>
      </c>
      <c r="L46" s="15" t="s">
        <v>1974</v>
      </c>
    </row>
    <row r="47" spans="1:12" x14ac:dyDescent="0.35">
      <c r="A47" s="15" t="s">
        <v>3680</v>
      </c>
      <c r="B47" s="16">
        <v>45740</v>
      </c>
      <c r="C47" s="15" t="s">
        <v>1929</v>
      </c>
      <c r="D47" s="15">
        <v>2025</v>
      </c>
      <c r="E47" s="15" t="s">
        <v>3681</v>
      </c>
      <c r="F47" s="17">
        <v>1000000</v>
      </c>
      <c r="G47" s="15" t="s">
        <v>3656</v>
      </c>
      <c r="H47" s="15" t="s">
        <v>3596</v>
      </c>
      <c r="I47" s="15" t="s">
        <v>76</v>
      </c>
      <c r="J47" s="15" t="s">
        <v>1837</v>
      </c>
      <c r="K47" s="15">
        <v>25</v>
      </c>
      <c r="L47" s="15" t="s">
        <v>3037</v>
      </c>
    </row>
    <row r="48" spans="1:12" x14ac:dyDescent="0.35">
      <c r="A48" s="15" t="s">
        <v>3682</v>
      </c>
      <c r="B48" s="16">
        <v>45741</v>
      </c>
      <c r="C48" s="15" t="s">
        <v>1929</v>
      </c>
      <c r="D48" s="15">
        <v>2025</v>
      </c>
      <c r="E48" s="15" t="s">
        <v>3683</v>
      </c>
      <c r="F48" s="17">
        <v>500000</v>
      </c>
      <c r="G48" s="15" t="s">
        <v>3656</v>
      </c>
      <c r="H48" s="15" t="s">
        <v>3596</v>
      </c>
      <c r="I48" s="15" t="s">
        <v>76</v>
      </c>
      <c r="J48" s="15" t="s">
        <v>1995</v>
      </c>
      <c r="K48" s="15">
        <v>4</v>
      </c>
      <c r="L48" s="15" t="s">
        <v>1999</v>
      </c>
    </row>
    <row r="49" spans="1:12" x14ac:dyDescent="0.35">
      <c r="A49" s="15" t="s">
        <v>3684</v>
      </c>
      <c r="B49" s="16">
        <v>45742</v>
      </c>
      <c r="C49" s="15" t="s">
        <v>1929</v>
      </c>
      <c r="D49" s="15">
        <v>2025</v>
      </c>
      <c r="E49" s="15" t="s">
        <v>3685</v>
      </c>
      <c r="F49" s="17">
        <v>18018000</v>
      </c>
      <c r="G49" s="15" t="s">
        <v>3674</v>
      </c>
      <c r="H49" s="15" t="s">
        <v>3596</v>
      </c>
      <c r="I49" s="15" t="s">
        <v>76</v>
      </c>
      <c r="J49" s="15" t="s">
        <v>1800</v>
      </c>
      <c r="K49" s="15">
        <v>153</v>
      </c>
      <c r="L49" s="15" t="s">
        <v>2002</v>
      </c>
    </row>
    <row r="50" spans="1:12" x14ac:dyDescent="0.35">
      <c r="A50" s="15" t="s">
        <v>3686</v>
      </c>
      <c r="B50" s="16">
        <v>45755</v>
      </c>
      <c r="C50" s="15" t="s">
        <v>2036</v>
      </c>
      <c r="D50" s="15">
        <v>2025</v>
      </c>
      <c r="E50" s="15" t="s">
        <v>3687</v>
      </c>
      <c r="F50" s="17">
        <v>700000</v>
      </c>
      <c r="G50" s="15" t="s">
        <v>3656</v>
      </c>
      <c r="H50" s="15" t="s">
        <v>3596</v>
      </c>
      <c r="I50" s="15" t="s">
        <v>76</v>
      </c>
      <c r="J50" s="15" t="s">
        <v>1852</v>
      </c>
      <c r="K50" s="15">
        <v>52</v>
      </c>
      <c r="L50" s="15" t="s">
        <v>2060</v>
      </c>
    </row>
    <row r="51" spans="1:12" x14ac:dyDescent="0.35">
      <c r="A51" s="15" t="s">
        <v>3688</v>
      </c>
      <c r="B51" s="16">
        <v>45758</v>
      </c>
      <c r="C51" s="15" t="s">
        <v>2036</v>
      </c>
      <c r="D51" s="15">
        <v>2025</v>
      </c>
      <c r="E51" s="15" t="s">
        <v>3689</v>
      </c>
      <c r="F51" s="17">
        <v>1000000</v>
      </c>
      <c r="G51" s="15" t="s">
        <v>3674</v>
      </c>
      <c r="H51" s="15" t="s">
        <v>3596</v>
      </c>
      <c r="I51" s="15" t="s">
        <v>76</v>
      </c>
      <c r="J51" s="15" t="s">
        <v>1800</v>
      </c>
      <c r="K51" s="15">
        <v>164</v>
      </c>
      <c r="L51" s="15" t="s">
        <v>2066</v>
      </c>
    </row>
    <row r="52" spans="1:12" x14ac:dyDescent="0.35">
      <c r="A52" s="15" t="s">
        <v>3690</v>
      </c>
      <c r="B52" s="16">
        <v>45763</v>
      </c>
      <c r="C52" s="15" t="s">
        <v>2036</v>
      </c>
      <c r="D52" s="15">
        <v>2025</v>
      </c>
      <c r="E52" s="15" t="s">
        <v>2024</v>
      </c>
      <c r="F52" s="17">
        <v>1400000</v>
      </c>
      <c r="G52" s="15" t="s">
        <v>3656</v>
      </c>
      <c r="H52" s="15" t="s">
        <v>3596</v>
      </c>
      <c r="I52" s="15" t="s">
        <v>76</v>
      </c>
      <c r="J52" s="15" t="s">
        <v>1814</v>
      </c>
      <c r="K52" s="15">
        <v>117</v>
      </c>
      <c r="L52" s="15" t="s">
        <v>2079</v>
      </c>
    </row>
    <row r="53" spans="1:12" x14ac:dyDescent="0.35">
      <c r="A53" s="15" t="s">
        <v>3691</v>
      </c>
      <c r="B53" s="16">
        <v>45769</v>
      </c>
      <c r="C53" s="15" t="s">
        <v>2036</v>
      </c>
      <c r="D53" s="15">
        <v>2025</v>
      </c>
      <c r="E53" s="15" t="s">
        <v>1949</v>
      </c>
      <c r="F53" s="17">
        <v>5000000</v>
      </c>
      <c r="G53" s="15" t="s">
        <v>3674</v>
      </c>
      <c r="H53" s="15" t="s">
        <v>3596</v>
      </c>
      <c r="I53" s="15" t="s">
        <v>76</v>
      </c>
      <c r="J53" s="15" t="s">
        <v>1800</v>
      </c>
      <c r="K53" s="15">
        <v>161</v>
      </c>
      <c r="L53" s="15" t="s">
        <v>2081</v>
      </c>
    </row>
    <row r="54" spans="1:12" x14ac:dyDescent="0.35">
      <c r="A54" s="15" t="s">
        <v>3692</v>
      </c>
      <c r="B54" s="16">
        <v>45770</v>
      </c>
      <c r="C54" s="15" t="s">
        <v>2036</v>
      </c>
      <c r="D54" s="15">
        <v>2025</v>
      </c>
      <c r="E54" s="15" t="s">
        <v>3693</v>
      </c>
      <c r="F54" s="17">
        <v>4000000</v>
      </c>
      <c r="G54" s="15" t="s">
        <v>3656</v>
      </c>
      <c r="H54" s="15" t="s">
        <v>3596</v>
      </c>
      <c r="I54" s="15" t="s">
        <v>76</v>
      </c>
      <c r="J54" s="15" t="s">
        <v>1837</v>
      </c>
      <c r="K54" s="15">
        <v>33</v>
      </c>
      <c r="L54" s="15" t="s">
        <v>2085</v>
      </c>
    </row>
    <row r="55" spans="1:12" x14ac:dyDescent="0.35">
      <c r="A55" s="15" t="s">
        <v>3694</v>
      </c>
      <c r="B55" s="16">
        <v>45772</v>
      </c>
      <c r="C55" s="15" t="s">
        <v>2036</v>
      </c>
      <c r="D55" s="15">
        <v>2025</v>
      </c>
      <c r="E55" s="15" t="s">
        <v>3695</v>
      </c>
      <c r="F55" s="17">
        <v>500000</v>
      </c>
      <c r="G55" s="15" t="s">
        <v>3656</v>
      </c>
      <c r="H55" s="15" t="s">
        <v>3596</v>
      </c>
      <c r="I55" s="15" t="s">
        <v>76</v>
      </c>
      <c r="J55" s="15" t="s">
        <v>1823</v>
      </c>
      <c r="K55" s="15">
        <v>70</v>
      </c>
      <c r="L55" s="15" t="s">
        <v>2088</v>
      </c>
    </row>
    <row r="56" spans="1:12" x14ac:dyDescent="0.35">
      <c r="A56" s="15" t="s">
        <v>3696</v>
      </c>
      <c r="B56" s="16">
        <v>45778</v>
      </c>
      <c r="C56" s="15" t="s">
        <v>2098</v>
      </c>
      <c r="D56" s="15">
        <v>2025</v>
      </c>
      <c r="E56" s="15" t="s">
        <v>3697</v>
      </c>
      <c r="F56" s="17">
        <v>500000</v>
      </c>
      <c r="G56" s="15" t="s">
        <v>3656</v>
      </c>
      <c r="H56" s="15" t="s">
        <v>3596</v>
      </c>
      <c r="I56" s="15" t="s">
        <v>76</v>
      </c>
      <c r="J56" s="15" t="s">
        <v>1852</v>
      </c>
      <c r="K56" s="15">
        <v>59</v>
      </c>
      <c r="L56" s="15" t="s">
        <v>2099</v>
      </c>
    </row>
    <row r="57" spans="1:12" x14ac:dyDescent="0.35">
      <c r="A57" s="15" t="s">
        <v>3698</v>
      </c>
      <c r="B57" s="16">
        <v>45801</v>
      </c>
      <c r="C57" s="15" t="s">
        <v>2098</v>
      </c>
      <c r="D57" s="15">
        <v>2025</v>
      </c>
      <c r="E57" s="15" t="s">
        <v>3699</v>
      </c>
      <c r="F57" s="17">
        <v>500000</v>
      </c>
      <c r="G57" s="15" t="s">
        <v>3656</v>
      </c>
      <c r="H57" s="15" t="s">
        <v>3596</v>
      </c>
      <c r="I57" s="15" t="s">
        <v>76</v>
      </c>
      <c r="J57" s="15" t="s">
        <v>1804</v>
      </c>
      <c r="K57" s="15">
        <v>73</v>
      </c>
      <c r="L57" s="15" t="s">
        <v>3700</v>
      </c>
    </row>
    <row r="58" spans="1:12" x14ac:dyDescent="0.35">
      <c r="A58" s="15" t="s">
        <v>3701</v>
      </c>
      <c r="B58" s="16">
        <v>45803</v>
      </c>
      <c r="C58" s="15" t="s">
        <v>2098</v>
      </c>
      <c r="D58" s="15">
        <v>2025</v>
      </c>
      <c r="E58" s="15" t="s">
        <v>168</v>
      </c>
      <c r="F58" s="17">
        <v>1000000</v>
      </c>
      <c r="G58" s="15" t="s">
        <v>3656</v>
      </c>
      <c r="H58" s="15" t="s">
        <v>3596</v>
      </c>
      <c r="I58" s="15" t="s">
        <v>76</v>
      </c>
      <c r="J58" s="15" t="s">
        <v>1804</v>
      </c>
      <c r="K58" s="15">
        <v>74</v>
      </c>
      <c r="L58" s="15" t="s">
        <v>3702</v>
      </c>
    </row>
    <row r="59" spans="1:12" x14ac:dyDescent="0.35">
      <c r="A59" s="15" t="s">
        <v>3703</v>
      </c>
      <c r="B59" s="16">
        <v>45803</v>
      </c>
      <c r="C59" s="15" t="s">
        <v>2098</v>
      </c>
      <c r="D59" s="15">
        <v>2025</v>
      </c>
      <c r="E59" s="15" t="s">
        <v>3693</v>
      </c>
      <c r="F59" s="17">
        <v>1000000</v>
      </c>
      <c r="G59" s="15" t="s">
        <v>3656</v>
      </c>
      <c r="H59" s="15" t="s">
        <v>3596</v>
      </c>
      <c r="I59" s="15" t="s">
        <v>76</v>
      </c>
      <c r="J59" s="15" t="s">
        <v>1837</v>
      </c>
      <c r="K59" s="15">
        <v>40</v>
      </c>
      <c r="L59" s="15" t="s">
        <v>3702</v>
      </c>
    </row>
    <row r="60" spans="1:12" x14ac:dyDescent="0.35">
      <c r="A60" s="15" t="s">
        <v>3704</v>
      </c>
      <c r="B60" s="16">
        <v>45811</v>
      </c>
      <c r="C60" s="15" t="s">
        <v>2138</v>
      </c>
      <c r="D60" s="15">
        <v>2025</v>
      </c>
      <c r="E60" s="15" t="s">
        <v>3705</v>
      </c>
      <c r="F60" s="17">
        <v>500000</v>
      </c>
      <c r="G60" s="15" t="s">
        <v>3656</v>
      </c>
      <c r="H60" s="15" t="s">
        <v>3596</v>
      </c>
      <c r="I60" s="15" t="s">
        <v>76</v>
      </c>
      <c r="J60" s="15" t="s">
        <v>3706</v>
      </c>
      <c r="K60" s="15">
        <v>2</v>
      </c>
      <c r="L60" s="15" t="s">
        <v>3707</v>
      </c>
    </row>
    <row r="61" spans="1:12" x14ac:dyDescent="0.35">
      <c r="A61" s="15" t="s">
        <v>3708</v>
      </c>
      <c r="B61" s="16">
        <v>45811</v>
      </c>
      <c r="C61" s="15" t="s">
        <v>2138</v>
      </c>
      <c r="D61" s="15">
        <v>2025</v>
      </c>
      <c r="E61" s="15" t="s">
        <v>3709</v>
      </c>
      <c r="F61" s="17">
        <v>1000000</v>
      </c>
      <c r="G61" s="15" t="s">
        <v>3656</v>
      </c>
      <c r="H61" s="15" t="s">
        <v>3596</v>
      </c>
      <c r="I61" s="15" t="s">
        <v>76</v>
      </c>
      <c r="J61" s="15" t="s">
        <v>3710</v>
      </c>
      <c r="K61" s="15">
        <v>2</v>
      </c>
      <c r="L61" s="15" t="s">
        <v>3707</v>
      </c>
    </row>
    <row r="62" spans="1:12" x14ac:dyDescent="0.35">
      <c r="A62" s="15" t="s">
        <v>3711</v>
      </c>
      <c r="B62" s="16">
        <v>45813</v>
      </c>
      <c r="C62" s="15" t="s">
        <v>2138</v>
      </c>
      <c r="D62" s="15">
        <v>2025</v>
      </c>
      <c r="E62" s="15" t="s">
        <v>3712</v>
      </c>
      <c r="F62" s="17">
        <v>2000000</v>
      </c>
      <c r="G62" s="15" t="s">
        <v>3674</v>
      </c>
      <c r="H62" s="15" t="s">
        <v>3596</v>
      </c>
      <c r="I62" s="15" t="s">
        <v>76</v>
      </c>
      <c r="J62" s="15" t="s">
        <v>1800</v>
      </c>
      <c r="K62" s="15">
        <v>176</v>
      </c>
      <c r="L62" s="15" t="s">
        <v>2147</v>
      </c>
    </row>
    <row r="63" spans="1:12" x14ac:dyDescent="0.35">
      <c r="A63" s="15" t="s">
        <v>3713</v>
      </c>
      <c r="B63" s="16">
        <v>45821</v>
      </c>
      <c r="C63" s="15" t="s">
        <v>2138</v>
      </c>
      <c r="D63" s="15">
        <v>2025</v>
      </c>
      <c r="E63" s="15" t="s">
        <v>3714</v>
      </c>
      <c r="F63" s="17">
        <v>1000000</v>
      </c>
      <c r="G63" s="15" t="s">
        <v>3656</v>
      </c>
      <c r="H63" s="15" t="s">
        <v>3596</v>
      </c>
      <c r="I63" s="15" t="s">
        <v>76</v>
      </c>
      <c r="J63" s="15" t="s">
        <v>1990</v>
      </c>
      <c r="K63" s="15">
        <v>20</v>
      </c>
      <c r="L63" s="15" t="s">
        <v>2161</v>
      </c>
    </row>
    <row r="64" spans="1:12" x14ac:dyDescent="0.35">
      <c r="A64" s="15" t="s">
        <v>3715</v>
      </c>
      <c r="B64" s="16">
        <v>45824</v>
      </c>
      <c r="C64" s="15" t="s">
        <v>2138</v>
      </c>
      <c r="D64" s="15">
        <v>2025</v>
      </c>
      <c r="E64" s="15" t="s">
        <v>3716</v>
      </c>
      <c r="F64" s="17">
        <v>500000</v>
      </c>
      <c r="G64" s="15" t="s">
        <v>3656</v>
      </c>
      <c r="H64" s="15" t="s">
        <v>3596</v>
      </c>
      <c r="I64" s="15" t="s">
        <v>76</v>
      </c>
      <c r="J64" s="15" t="s">
        <v>1852</v>
      </c>
      <c r="K64" s="15">
        <v>67</v>
      </c>
      <c r="L64" s="15" t="s">
        <v>2163</v>
      </c>
    </row>
    <row r="65" spans="1:12" x14ac:dyDescent="0.35">
      <c r="A65" s="15" t="s">
        <v>3717</v>
      </c>
      <c r="B65" s="16">
        <v>45827</v>
      </c>
      <c r="C65" s="15" t="s">
        <v>2138</v>
      </c>
      <c r="D65" s="15">
        <v>2025</v>
      </c>
      <c r="E65" s="15" t="s">
        <v>2319</v>
      </c>
      <c r="F65" s="17">
        <v>500000</v>
      </c>
      <c r="G65" s="15" t="s">
        <v>3656</v>
      </c>
      <c r="H65" s="15" t="s">
        <v>3596</v>
      </c>
      <c r="I65" s="15" t="s">
        <v>76</v>
      </c>
      <c r="J65" s="15" t="s">
        <v>1823</v>
      </c>
      <c r="K65" s="15">
        <v>78</v>
      </c>
      <c r="L65" s="15" t="s">
        <v>3718</v>
      </c>
    </row>
    <row r="66" spans="1:12" x14ac:dyDescent="0.35">
      <c r="A66" s="15" t="s">
        <v>3719</v>
      </c>
      <c r="B66" s="16">
        <v>45828</v>
      </c>
      <c r="C66" s="15" t="s">
        <v>2138</v>
      </c>
      <c r="D66" s="15">
        <v>2025</v>
      </c>
      <c r="E66" s="15" t="s">
        <v>3720</v>
      </c>
      <c r="F66" s="17">
        <v>500000</v>
      </c>
      <c r="G66" s="15" t="s">
        <v>3656</v>
      </c>
      <c r="H66" s="15" t="s">
        <v>3596</v>
      </c>
      <c r="I66" s="15" t="s">
        <v>76</v>
      </c>
      <c r="J66" s="15" t="s">
        <v>3721</v>
      </c>
      <c r="K66" s="15">
        <v>2</v>
      </c>
      <c r="L66" s="15" t="s">
        <v>2168</v>
      </c>
    </row>
    <row r="67" spans="1:12" x14ac:dyDescent="0.35">
      <c r="A67" s="15" t="s">
        <v>3722</v>
      </c>
      <c r="B67" s="16">
        <v>45831</v>
      </c>
      <c r="C67" s="15" t="s">
        <v>2138</v>
      </c>
      <c r="D67" s="15">
        <v>2025</v>
      </c>
      <c r="E67" s="15" t="s">
        <v>3723</v>
      </c>
      <c r="F67" s="17">
        <v>1000000</v>
      </c>
      <c r="G67" s="15" t="s">
        <v>3656</v>
      </c>
      <c r="H67" s="15" t="s">
        <v>3596</v>
      </c>
      <c r="I67" s="15" t="s">
        <v>76</v>
      </c>
      <c r="J67" s="15" t="s">
        <v>3724</v>
      </c>
      <c r="K67" s="15">
        <v>2</v>
      </c>
      <c r="L67" s="15" t="s">
        <v>2172</v>
      </c>
    </row>
    <row r="68" spans="1:12" x14ac:dyDescent="0.35">
      <c r="A68" s="15" t="s">
        <v>3725</v>
      </c>
      <c r="B68" s="16">
        <v>45835</v>
      </c>
      <c r="C68" s="15" t="s">
        <v>2138</v>
      </c>
      <c r="D68" s="15">
        <v>2025</v>
      </c>
      <c r="E68" s="15" t="s">
        <v>3663</v>
      </c>
      <c r="F68" s="17">
        <v>500000</v>
      </c>
      <c r="G68" s="15" t="s">
        <v>3595</v>
      </c>
      <c r="H68" s="15" t="s">
        <v>3596</v>
      </c>
      <c r="I68" s="15" t="s">
        <v>76</v>
      </c>
      <c r="J68" s="15" t="s">
        <v>149</v>
      </c>
      <c r="K68" s="15">
        <v>101</v>
      </c>
      <c r="L68" s="15" t="s">
        <v>3072</v>
      </c>
    </row>
    <row r="69" spans="1:12" x14ac:dyDescent="0.35">
      <c r="A69" s="15" t="s">
        <v>3726</v>
      </c>
      <c r="B69" s="16">
        <v>45835</v>
      </c>
      <c r="C69" s="15" t="s">
        <v>2138</v>
      </c>
      <c r="D69" s="15">
        <v>2025</v>
      </c>
      <c r="E69" s="15" t="s">
        <v>3727</v>
      </c>
      <c r="F69" s="17">
        <v>29000000</v>
      </c>
      <c r="G69" s="15" t="s">
        <v>3674</v>
      </c>
      <c r="H69" s="15" t="s">
        <v>3596</v>
      </c>
      <c r="I69" s="15" t="s">
        <v>76</v>
      </c>
      <c r="J69" s="15" t="s">
        <v>1800</v>
      </c>
      <c r="K69" s="15">
        <v>181</v>
      </c>
      <c r="L69" s="15" t="s">
        <v>3072</v>
      </c>
    </row>
    <row r="70" spans="1:12" x14ac:dyDescent="0.35">
      <c r="A70" s="15" t="s">
        <v>3728</v>
      </c>
      <c r="B70" s="16">
        <v>45835</v>
      </c>
      <c r="C70" s="15" t="s">
        <v>2138</v>
      </c>
      <c r="D70" s="15">
        <v>2025</v>
      </c>
      <c r="E70" s="15" t="s">
        <v>3729</v>
      </c>
      <c r="F70" s="17">
        <v>1000000</v>
      </c>
      <c r="G70" s="15" t="s">
        <v>3674</v>
      </c>
      <c r="H70" s="15" t="s">
        <v>3596</v>
      </c>
      <c r="I70" s="15" t="s">
        <v>76</v>
      </c>
      <c r="J70" s="15" t="s">
        <v>1800</v>
      </c>
      <c r="K70" s="15">
        <v>182</v>
      </c>
      <c r="L70" s="15" t="s">
        <v>3072</v>
      </c>
    </row>
    <row r="71" spans="1:12" x14ac:dyDescent="0.35">
      <c r="A71" s="15" t="s">
        <v>3730</v>
      </c>
      <c r="B71" s="16">
        <v>45841</v>
      </c>
      <c r="C71" s="15" t="s">
        <v>2186</v>
      </c>
      <c r="D71" s="15">
        <v>2025</v>
      </c>
      <c r="E71" s="15" t="s">
        <v>3731</v>
      </c>
      <c r="F71" s="17">
        <v>500000</v>
      </c>
      <c r="G71" s="15" t="s">
        <v>3656</v>
      </c>
      <c r="H71" s="15" t="s">
        <v>3596</v>
      </c>
      <c r="I71" s="15" t="s">
        <v>76</v>
      </c>
      <c r="J71" s="15" t="s">
        <v>3724</v>
      </c>
      <c r="K71" s="15">
        <v>10</v>
      </c>
      <c r="L71" s="15" t="s">
        <v>3732</v>
      </c>
    </row>
    <row r="72" spans="1:12" x14ac:dyDescent="0.35">
      <c r="A72" s="15" t="s">
        <v>3733</v>
      </c>
      <c r="B72" s="16">
        <v>45849</v>
      </c>
      <c r="C72" s="15" t="s">
        <v>2186</v>
      </c>
      <c r="D72" s="15">
        <v>2025</v>
      </c>
      <c r="E72" s="15" t="s">
        <v>3734</v>
      </c>
      <c r="F72" s="17">
        <v>1800000</v>
      </c>
      <c r="G72" s="15" t="s">
        <v>3656</v>
      </c>
      <c r="H72" s="15" t="s">
        <v>3596</v>
      </c>
      <c r="I72" s="15" t="s">
        <v>76</v>
      </c>
      <c r="J72" s="15" t="s">
        <v>1852</v>
      </c>
      <c r="K72" s="15">
        <v>74</v>
      </c>
      <c r="L72" s="15" t="s">
        <v>2194</v>
      </c>
    </row>
    <row r="73" spans="1:12" x14ac:dyDescent="0.35">
      <c r="A73" s="15" t="s">
        <v>3735</v>
      </c>
      <c r="B73" s="16">
        <v>45851</v>
      </c>
      <c r="C73" s="15" t="s">
        <v>2186</v>
      </c>
      <c r="D73" s="15">
        <v>2025</v>
      </c>
      <c r="E73" s="15" t="s">
        <v>3736</v>
      </c>
      <c r="F73" s="17">
        <v>1000000</v>
      </c>
      <c r="G73" s="15" t="s">
        <v>3656</v>
      </c>
      <c r="H73" s="15" t="s">
        <v>3596</v>
      </c>
      <c r="I73" s="15" t="s">
        <v>76</v>
      </c>
      <c r="J73" s="15" t="s">
        <v>1852</v>
      </c>
      <c r="K73" s="15">
        <v>75</v>
      </c>
      <c r="L73" s="15" t="s">
        <v>3737</v>
      </c>
    </row>
    <row r="74" spans="1:12" x14ac:dyDescent="0.35">
      <c r="A74" s="15" t="s">
        <v>3738</v>
      </c>
      <c r="B74" s="16">
        <v>45855</v>
      </c>
      <c r="C74" s="15" t="s">
        <v>2186</v>
      </c>
      <c r="D74" s="15">
        <v>2025</v>
      </c>
      <c r="E74" s="15" t="s">
        <v>3739</v>
      </c>
      <c r="F74" s="17">
        <v>20000000</v>
      </c>
      <c r="G74" s="15" t="s">
        <v>3656</v>
      </c>
      <c r="H74" s="15" t="s">
        <v>3596</v>
      </c>
      <c r="I74" s="15" t="s">
        <v>76</v>
      </c>
      <c r="J74" s="15" t="s">
        <v>1790</v>
      </c>
      <c r="K74" s="15">
        <v>225</v>
      </c>
      <c r="L74" s="15" t="s">
        <v>3740</v>
      </c>
    </row>
    <row r="75" spans="1:12" x14ac:dyDescent="0.35">
      <c r="A75" s="15" t="s">
        <v>3741</v>
      </c>
      <c r="B75" s="16">
        <v>45860</v>
      </c>
      <c r="C75" s="15" t="s">
        <v>2186</v>
      </c>
      <c r="D75" s="15">
        <v>2025</v>
      </c>
      <c r="E75" s="15" t="s">
        <v>3739</v>
      </c>
      <c r="F75" s="17">
        <v>2000000</v>
      </c>
      <c r="G75" s="15" t="s">
        <v>3656</v>
      </c>
      <c r="H75" s="15" t="s">
        <v>3596</v>
      </c>
      <c r="I75" s="15" t="s">
        <v>76</v>
      </c>
      <c r="J75" s="15" t="s">
        <v>1790</v>
      </c>
      <c r="K75" s="15">
        <v>231</v>
      </c>
      <c r="L75" s="15" t="s">
        <v>2205</v>
      </c>
    </row>
    <row r="76" spans="1:12" x14ac:dyDescent="0.35">
      <c r="A76" s="15" t="s">
        <v>3742</v>
      </c>
      <c r="B76" s="16">
        <v>45863</v>
      </c>
      <c r="C76" s="15" t="s">
        <v>2186</v>
      </c>
      <c r="D76" s="15">
        <v>2025</v>
      </c>
      <c r="E76" s="15" t="s">
        <v>3739</v>
      </c>
      <c r="F76" s="17">
        <v>3000000</v>
      </c>
      <c r="G76" s="15" t="s">
        <v>3656</v>
      </c>
      <c r="H76" s="15" t="s">
        <v>3596</v>
      </c>
      <c r="I76" s="15" t="s">
        <v>76</v>
      </c>
      <c r="J76" s="15" t="s">
        <v>1790</v>
      </c>
      <c r="K76" s="15">
        <v>232</v>
      </c>
      <c r="L76" s="15" t="s">
        <v>2219</v>
      </c>
    </row>
    <row r="77" spans="1:12" x14ac:dyDescent="0.35">
      <c r="A77" s="15" t="s">
        <v>3743</v>
      </c>
      <c r="B77" s="16">
        <v>45867</v>
      </c>
      <c r="C77" s="15" t="s">
        <v>2186</v>
      </c>
      <c r="D77" s="15">
        <v>2025</v>
      </c>
      <c r="E77" s="15" t="s">
        <v>3739</v>
      </c>
      <c r="F77" s="17">
        <v>20000000</v>
      </c>
      <c r="G77" s="15" t="s">
        <v>3656</v>
      </c>
      <c r="H77" s="15" t="s">
        <v>3596</v>
      </c>
      <c r="I77" s="15" t="s">
        <v>76</v>
      </c>
      <c r="J77" s="15" t="s">
        <v>1790</v>
      </c>
      <c r="K77" s="15">
        <v>244</v>
      </c>
      <c r="L77" s="15" t="s">
        <v>2230</v>
      </c>
    </row>
    <row r="78" spans="1:12" x14ac:dyDescent="0.35">
      <c r="A78" s="15" t="s">
        <v>3744</v>
      </c>
      <c r="B78" s="16">
        <v>45870</v>
      </c>
      <c r="C78" s="15" t="s">
        <v>2239</v>
      </c>
      <c r="D78" s="15">
        <v>2025</v>
      </c>
      <c r="E78" s="15" t="s">
        <v>3745</v>
      </c>
      <c r="F78" s="17">
        <v>2000000</v>
      </c>
      <c r="G78" s="15" t="s">
        <v>3656</v>
      </c>
      <c r="H78" s="15" t="s">
        <v>3596</v>
      </c>
      <c r="I78" s="15" t="s">
        <v>76</v>
      </c>
      <c r="J78" s="15" t="s">
        <v>1804</v>
      </c>
      <c r="K78" s="15">
        <v>80</v>
      </c>
      <c r="L78" s="15" t="s">
        <v>3746</v>
      </c>
    </row>
    <row r="79" spans="1:12" x14ac:dyDescent="0.35">
      <c r="A79" s="15" t="s">
        <v>3747</v>
      </c>
      <c r="B79" s="16">
        <v>45879</v>
      </c>
      <c r="C79" s="15" t="s">
        <v>2239</v>
      </c>
      <c r="D79" s="15">
        <v>2025</v>
      </c>
      <c r="E79" s="15" t="s">
        <v>3709</v>
      </c>
      <c r="F79" s="17">
        <v>500000</v>
      </c>
      <c r="G79" s="15" t="s">
        <v>3656</v>
      </c>
      <c r="H79" s="15" t="s">
        <v>3596</v>
      </c>
      <c r="I79" s="15" t="s">
        <v>76</v>
      </c>
      <c r="J79" s="15" t="s">
        <v>3710</v>
      </c>
      <c r="K79" s="15">
        <v>9</v>
      </c>
      <c r="L79" s="15" t="s">
        <v>2256</v>
      </c>
    </row>
    <row r="80" spans="1:12" x14ac:dyDescent="0.35">
      <c r="A80" s="15" t="s">
        <v>3748</v>
      </c>
      <c r="B80" s="16">
        <v>45883</v>
      </c>
      <c r="C80" s="15" t="s">
        <v>2239</v>
      </c>
      <c r="D80" s="15">
        <v>2025</v>
      </c>
      <c r="E80" s="15" t="s">
        <v>3709</v>
      </c>
      <c r="F80" s="17">
        <v>500000</v>
      </c>
      <c r="G80" s="15" t="s">
        <v>3656</v>
      </c>
      <c r="H80" s="15" t="s">
        <v>3596</v>
      </c>
      <c r="I80" s="15" t="s">
        <v>76</v>
      </c>
      <c r="J80" s="15" t="s">
        <v>3710</v>
      </c>
      <c r="K80" s="15">
        <v>10</v>
      </c>
      <c r="L80" s="15" t="s">
        <v>2265</v>
      </c>
    </row>
    <row r="81" spans="1:12" x14ac:dyDescent="0.35">
      <c r="A81" s="15" t="s">
        <v>3749</v>
      </c>
      <c r="B81" s="16">
        <v>45887</v>
      </c>
      <c r="C81" s="15" t="s">
        <v>2239</v>
      </c>
      <c r="D81" s="15">
        <v>2025</v>
      </c>
      <c r="E81" s="15" t="s">
        <v>3750</v>
      </c>
      <c r="F81" s="17">
        <v>1000000</v>
      </c>
      <c r="G81" s="15" t="s">
        <v>3656</v>
      </c>
      <c r="H81" s="15" t="s">
        <v>3596</v>
      </c>
      <c r="I81" s="15" t="s">
        <v>76</v>
      </c>
      <c r="J81" s="15" t="s">
        <v>3721</v>
      </c>
      <c r="K81" s="15">
        <v>9</v>
      </c>
      <c r="L81" s="15" t="s">
        <v>3751</v>
      </c>
    </row>
    <row r="82" spans="1:12" x14ac:dyDescent="0.35">
      <c r="A82" s="15" t="s">
        <v>3752</v>
      </c>
      <c r="B82" s="16">
        <v>45896</v>
      </c>
      <c r="C82" s="15" t="s">
        <v>2239</v>
      </c>
      <c r="D82" s="15">
        <v>2025</v>
      </c>
      <c r="E82" s="15" t="s">
        <v>3666</v>
      </c>
      <c r="F82" s="17">
        <v>500000</v>
      </c>
      <c r="G82" s="15" t="s">
        <v>3656</v>
      </c>
      <c r="H82" s="15" t="s">
        <v>3596</v>
      </c>
      <c r="I82" s="15" t="s">
        <v>76</v>
      </c>
      <c r="J82" s="15" t="s">
        <v>246</v>
      </c>
      <c r="K82" s="15">
        <v>37</v>
      </c>
      <c r="L82" s="15" t="s">
        <v>3753</v>
      </c>
    </row>
    <row r="83" spans="1:12" x14ac:dyDescent="0.35">
      <c r="A83" s="15" t="s">
        <v>3754</v>
      </c>
      <c r="B83" s="16">
        <v>45897</v>
      </c>
      <c r="C83" s="15" t="s">
        <v>2239</v>
      </c>
      <c r="D83" s="15">
        <v>2025</v>
      </c>
      <c r="E83" s="15" t="s">
        <v>3755</v>
      </c>
      <c r="F83" s="17">
        <v>500000</v>
      </c>
      <c r="G83" s="15" t="s">
        <v>3656</v>
      </c>
      <c r="H83" s="15" t="s">
        <v>3596</v>
      </c>
      <c r="I83" s="15" t="s">
        <v>76</v>
      </c>
      <c r="J83" s="15" t="s">
        <v>276</v>
      </c>
      <c r="K83" s="15">
        <v>33</v>
      </c>
      <c r="L83" s="15" t="s">
        <v>2284</v>
      </c>
    </row>
    <row r="84" spans="1:12" x14ac:dyDescent="0.35">
      <c r="A84" s="15" t="s">
        <v>3756</v>
      </c>
      <c r="B84" s="16">
        <v>45897</v>
      </c>
      <c r="C84" s="15" t="s">
        <v>2239</v>
      </c>
      <c r="D84" s="15">
        <v>2025</v>
      </c>
      <c r="E84" s="15" t="s">
        <v>3755</v>
      </c>
      <c r="F84" s="17">
        <v>1000000</v>
      </c>
      <c r="G84" s="15" t="s">
        <v>3656</v>
      </c>
      <c r="H84" s="15" t="s">
        <v>3596</v>
      </c>
      <c r="I84" s="15" t="s">
        <v>76</v>
      </c>
      <c r="J84" s="15" t="s">
        <v>246</v>
      </c>
      <c r="K84" s="15">
        <v>38</v>
      </c>
      <c r="L84" s="15" t="s">
        <v>2284</v>
      </c>
    </row>
    <row r="85" spans="1:12" x14ac:dyDescent="0.35">
      <c r="A85" s="15" t="s">
        <v>3757</v>
      </c>
      <c r="B85" s="16">
        <v>45901</v>
      </c>
      <c r="C85" s="15" t="s">
        <v>2292</v>
      </c>
      <c r="D85" s="15">
        <v>2025</v>
      </c>
      <c r="E85" s="15" t="s">
        <v>3758</v>
      </c>
      <c r="F85" s="17">
        <v>6000000</v>
      </c>
      <c r="G85" s="15" t="s">
        <v>3656</v>
      </c>
      <c r="H85" s="15" t="s">
        <v>3596</v>
      </c>
      <c r="I85" s="15" t="s">
        <v>76</v>
      </c>
      <c r="J85" s="15" t="s">
        <v>1800</v>
      </c>
      <c r="K85" s="15">
        <v>202</v>
      </c>
      <c r="L85" s="15" t="s">
        <v>3759</v>
      </c>
    </row>
    <row r="86" spans="1:12" x14ac:dyDescent="0.35">
      <c r="A86" s="15" t="s">
        <v>3760</v>
      </c>
      <c r="B86" s="16">
        <v>45902</v>
      </c>
      <c r="C86" s="15" t="s">
        <v>2292</v>
      </c>
      <c r="D86" s="15">
        <v>2025</v>
      </c>
      <c r="E86" s="15" t="s">
        <v>3761</v>
      </c>
      <c r="F86" s="17">
        <v>1000000</v>
      </c>
      <c r="G86" s="15" t="s">
        <v>3656</v>
      </c>
      <c r="H86" s="15" t="s">
        <v>3596</v>
      </c>
      <c r="I86" s="15" t="s">
        <v>76</v>
      </c>
      <c r="J86" s="15" t="s">
        <v>3762</v>
      </c>
      <c r="K86" s="15">
        <v>18</v>
      </c>
      <c r="L86" s="15" t="s">
        <v>3763</v>
      </c>
    </row>
    <row r="87" spans="1:12" x14ac:dyDescent="0.35">
      <c r="A87" s="15" t="s">
        <v>3764</v>
      </c>
      <c r="B87" s="16">
        <v>45902</v>
      </c>
      <c r="C87" s="15" t="s">
        <v>2292</v>
      </c>
      <c r="D87" s="15">
        <v>2025</v>
      </c>
      <c r="E87" s="15" t="s">
        <v>3765</v>
      </c>
      <c r="F87" s="17">
        <v>200000</v>
      </c>
      <c r="G87" s="15" t="s">
        <v>3656</v>
      </c>
      <c r="H87" s="15" t="s">
        <v>3596</v>
      </c>
      <c r="I87" s="15" t="s">
        <v>76</v>
      </c>
      <c r="J87" s="15" t="s">
        <v>3766</v>
      </c>
      <c r="K87" s="15">
        <v>29</v>
      </c>
      <c r="L87" s="15" t="s">
        <v>3763</v>
      </c>
    </row>
    <row r="88" spans="1:12" x14ac:dyDescent="0.35">
      <c r="A88" s="15" t="s">
        <v>3767</v>
      </c>
      <c r="B88" s="16">
        <v>45902</v>
      </c>
      <c r="C88" s="15" t="s">
        <v>2292</v>
      </c>
      <c r="D88" s="15">
        <v>2025</v>
      </c>
      <c r="E88" s="15" t="s">
        <v>3758</v>
      </c>
      <c r="F88" s="17">
        <v>2000000</v>
      </c>
      <c r="G88" s="15" t="s">
        <v>3656</v>
      </c>
      <c r="H88" s="15" t="s">
        <v>3596</v>
      </c>
      <c r="I88" s="15" t="s">
        <v>76</v>
      </c>
      <c r="J88" s="15" t="s">
        <v>1800</v>
      </c>
      <c r="K88" s="15">
        <v>203</v>
      </c>
      <c r="L88" s="15" t="s">
        <v>3763</v>
      </c>
    </row>
    <row r="89" spans="1:12" x14ac:dyDescent="0.35">
      <c r="A89" s="15" t="s">
        <v>3768</v>
      </c>
      <c r="B89" s="16">
        <v>45919</v>
      </c>
      <c r="C89" s="15" t="s">
        <v>2292</v>
      </c>
      <c r="D89" s="15">
        <v>2025</v>
      </c>
      <c r="E89" s="15" t="s">
        <v>3769</v>
      </c>
      <c r="F89" s="17">
        <v>500000</v>
      </c>
      <c r="G89" s="15" t="s">
        <v>3656</v>
      </c>
      <c r="H89" s="15" t="s">
        <v>3596</v>
      </c>
      <c r="I89" s="15" t="s">
        <v>76</v>
      </c>
      <c r="J89" s="15" t="s">
        <v>1852</v>
      </c>
      <c r="K89" s="15">
        <v>82</v>
      </c>
      <c r="L89" s="15" t="s">
        <v>3770</v>
      </c>
    </row>
    <row r="90" spans="1:12" x14ac:dyDescent="0.35">
      <c r="A90" s="15" t="s">
        <v>3771</v>
      </c>
      <c r="B90" s="16">
        <v>45920</v>
      </c>
      <c r="C90" s="15" t="s">
        <v>2292</v>
      </c>
      <c r="D90" s="15">
        <v>2025</v>
      </c>
      <c r="E90" s="15" t="s">
        <v>3772</v>
      </c>
      <c r="F90" s="17">
        <v>1000000</v>
      </c>
      <c r="G90" s="15" t="s">
        <v>3656</v>
      </c>
      <c r="H90" s="15" t="s">
        <v>3596</v>
      </c>
      <c r="I90" s="15" t="s">
        <v>76</v>
      </c>
      <c r="J90" s="15" t="s">
        <v>3706</v>
      </c>
      <c r="K90" s="15">
        <v>9</v>
      </c>
      <c r="L90" s="15" t="s">
        <v>3773</v>
      </c>
    </row>
    <row r="91" spans="1:12" x14ac:dyDescent="0.35">
      <c r="A91" s="15" t="s">
        <v>3774</v>
      </c>
      <c r="B91" s="16">
        <v>45922</v>
      </c>
      <c r="C91" s="15" t="s">
        <v>2292</v>
      </c>
      <c r="D91" s="15">
        <v>2025</v>
      </c>
      <c r="E91" s="15" t="s">
        <v>3772</v>
      </c>
      <c r="F91" s="17">
        <v>1000000</v>
      </c>
      <c r="G91" s="15" t="s">
        <v>3656</v>
      </c>
      <c r="H91" s="15" t="s">
        <v>3596</v>
      </c>
      <c r="I91" s="15" t="s">
        <v>76</v>
      </c>
      <c r="J91" s="15" t="s">
        <v>3706</v>
      </c>
      <c r="K91" s="15">
        <v>10</v>
      </c>
      <c r="L91" s="15" t="s">
        <v>3775</v>
      </c>
    </row>
    <row r="92" spans="1:12" x14ac:dyDescent="0.35">
      <c r="A92" s="15" t="s">
        <v>3776</v>
      </c>
      <c r="B92" s="16">
        <v>45922</v>
      </c>
      <c r="C92" s="15" t="s">
        <v>2292</v>
      </c>
      <c r="D92" s="15">
        <v>2025</v>
      </c>
      <c r="E92" s="15" t="s">
        <v>3709</v>
      </c>
      <c r="F92" s="17">
        <v>2500000</v>
      </c>
      <c r="G92" s="15" t="s">
        <v>3656</v>
      </c>
      <c r="H92" s="15" t="s">
        <v>3596</v>
      </c>
      <c r="I92" s="15" t="s">
        <v>76</v>
      </c>
      <c r="J92" s="15" t="s">
        <v>3710</v>
      </c>
      <c r="K92" s="15">
        <v>17</v>
      </c>
      <c r="L92" s="15" t="s">
        <v>3775</v>
      </c>
    </row>
    <row r="93" spans="1:12" x14ac:dyDescent="0.35">
      <c r="A93" s="15" t="s">
        <v>3777</v>
      </c>
      <c r="B93" s="16">
        <v>45923</v>
      </c>
      <c r="C93" s="15" t="s">
        <v>2292</v>
      </c>
      <c r="D93" s="15">
        <v>2025</v>
      </c>
      <c r="E93" s="15" t="s">
        <v>3772</v>
      </c>
      <c r="F93" s="17">
        <v>1000000</v>
      </c>
      <c r="G93" s="15" t="s">
        <v>3656</v>
      </c>
      <c r="H93" s="15" t="s">
        <v>3596</v>
      </c>
      <c r="I93" s="15" t="s">
        <v>76</v>
      </c>
      <c r="J93" s="15" t="s">
        <v>3706</v>
      </c>
      <c r="K93" s="15">
        <v>11</v>
      </c>
      <c r="L93" s="15" t="s">
        <v>3778</v>
      </c>
    </row>
    <row r="94" spans="1:12" x14ac:dyDescent="0.35">
      <c r="A94" s="15" t="s">
        <v>3779</v>
      </c>
      <c r="B94" s="16">
        <v>45926</v>
      </c>
      <c r="C94" s="15" t="s">
        <v>2292</v>
      </c>
      <c r="D94" s="15">
        <v>2025</v>
      </c>
      <c r="E94" s="15" t="s">
        <v>3780</v>
      </c>
      <c r="F94" s="17">
        <v>500000</v>
      </c>
      <c r="G94" s="15" t="s">
        <v>3656</v>
      </c>
      <c r="H94" s="15" t="s">
        <v>3596</v>
      </c>
      <c r="I94" s="15" t="s">
        <v>76</v>
      </c>
      <c r="J94" s="15" t="s">
        <v>3781</v>
      </c>
      <c r="K94" s="15">
        <v>2</v>
      </c>
      <c r="L94" s="15" t="s">
        <v>2313</v>
      </c>
    </row>
    <row r="95" spans="1:12" x14ac:dyDescent="0.35">
      <c r="A95" s="15" t="s">
        <v>3782</v>
      </c>
      <c r="B95" s="16">
        <v>45944</v>
      </c>
      <c r="C95" s="15" t="s">
        <v>2317</v>
      </c>
      <c r="D95" s="15">
        <v>2025</v>
      </c>
      <c r="E95" s="15" t="s">
        <v>3634</v>
      </c>
      <c r="F95" s="17">
        <v>1000000</v>
      </c>
      <c r="G95" s="15" t="s">
        <v>3656</v>
      </c>
      <c r="H95" s="15" t="s">
        <v>3596</v>
      </c>
      <c r="I95" s="15" t="s">
        <v>76</v>
      </c>
      <c r="J95" s="15" t="s">
        <v>135</v>
      </c>
      <c r="K95" s="15">
        <v>248</v>
      </c>
      <c r="L95" s="15" t="s">
        <v>3783</v>
      </c>
    </row>
    <row r="96" spans="1:12" x14ac:dyDescent="0.35">
      <c r="A96" s="15" t="s">
        <v>3784</v>
      </c>
      <c r="B96" s="16">
        <v>45954</v>
      </c>
      <c r="C96" s="15" t="s">
        <v>2317</v>
      </c>
      <c r="D96" s="15">
        <v>2025</v>
      </c>
      <c r="E96" s="15" t="s">
        <v>168</v>
      </c>
      <c r="F96" s="17">
        <v>1000000</v>
      </c>
      <c r="G96" s="15" t="s">
        <v>3656</v>
      </c>
      <c r="H96" s="15" t="s">
        <v>3596</v>
      </c>
      <c r="I96" s="15" t="s">
        <v>76</v>
      </c>
      <c r="J96" s="15" t="s">
        <v>1804</v>
      </c>
      <c r="K96" s="15">
        <v>86</v>
      </c>
      <c r="L96" s="15" t="s">
        <v>2334</v>
      </c>
    </row>
    <row r="97" spans="1:12" x14ac:dyDescent="0.35">
      <c r="A97" s="15" t="s">
        <v>3785</v>
      </c>
      <c r="B97" s="16">
        <v>45961</v>
      </c>
      <c r="C97" s="15" t="s">
        <v>2317</v>
      </c>
      <c r="D97" s="15">
        <v>2025</v>
      </c>
      <c r="E97" s="15" t="s">
        <v>3786</v>
      </c>
      <c r="F97" s="17">
        <v>2000000</v>
      </c>
      <c r="G97" s="15" t="s">
        <v>3656</v>
      </c>
      <c r="H97" s="15" t="s">
        <v>3596</v>
      </c>
      <c r="I97" s="15" t="s">
        <v>76</v>
      </c>
      <c r="J97" s="15" t="s">
        <v>1804</v>
      </c>
      <c r="K97" s="15">
        <v>87</v>
      </c>
      <c r="L97" s="15" t="s">
        <v>2340</v>
      </c>
    </row>
    <row r="98" spans="1:12" x14ac:dyDescent="0.35">
      <c r="A98" s="15" t="s">
        <v>3787</v>
      </c>
      <c r="B98" s="16">
        <v>45966</v>
      </c>
      <c r="C98" s="15" t="s">
        <v>2346</v>
      </c>
      <c r="D98" s="15">
        <v>2025</v>
      </c>
      <c r="E98" s="15" t="s">
        <v>3788</v>
      </c>
      <c r="F98" s="17">
        <v>1200000</v>
      </c>
      <c r="G98" s="15" t="s">
        <v>3656</v>
      </c>
      <c r="H98" s="15" t="s">
        <v>3596</v>
      </c>
      <c r="I98" s="15" t="s">
        <v>76</v>
      </c>
      <c r="J98" s="15" t="s">
        <v>1814</v>
      </c>
      <c r="K98" s="15">
        <v>123</v>
      </c>
      <c r="L98" s="15" t="s">
        <v>2347</v>
      </c>
    </row>
    <row r="99" spans="1:12" x14ac:dyDescent="0.35">
      <c r="A99" s="15" t="s">
        <v>3789</v>
      </c>
      <c r="B99" s="16">
        <v>45971</v>
      </c>
      <c r="C99" s="15" t="s">
        <v>2346</v>
      </c>
      <c r="D99" s="15">
        <v>2025</v>
      </c>
      <c r="E99" s="15" t="s">
        <v>3790</v>
      </c>
      <c r="F99" s="17">
        <v>3000000</v>
      </c>
      <c r="G99" s="15" t="s">
        <v>3656</v>
      </c>
      <c r="H99" s="15" t="s">
        <v>3596</v>
      </c>
      <c r="I99" s="15" t="s">
        <v>76</v>
      </c>
      <c r="J99" s="15" t="s">
        <v>169</v>
      </c>
      <c r="K99" s="15">
        <v>145</v>
      </c>
      <c r="L99" s="15" t="s">
        <v>3791</v>
      </c>
    </row>
    <row r="100" spans="1:12" x14ac:dyDescent="0.35">
      <c r="A100" s="15" t="s">
        <v>3792</v>
      </c>
      <c r="B100" s="16">
        <v>45971</v>
      </c>
      <c r="C100" s="15" t="s">
        <v>2346</v>
      </c>
      <c r="D100" s="15">
        <v>2025</v>
      </c>
      <c r="E100" s="15" t="s">
        <v>3793</v>
      </c>
      <c r="F100" s="17">
        <v>200000</v>
      </c>
      <c r="G100" s="15" t="s">
        <v>3656</v>
      </c>
      <c r="H100" s="15" t="s">
        <v>3596</v>
      </c>
      <c r="I100" s="15" t="s">
        <v>76</v>
      </c>
      <c r="J100" s="15" t="s">
        <v>3794</v>
      </c>
      <c r="K100" s="15">
        <v>2</v>
      </c>
      <c r="L100" s="15" t="s">
        <v>3791</v>
      </c>
    </row>
    <row r="101" spans="1:12" x14ac:dyDescent="0.35">
      <c r="A101" s="15" t="s">
        <v>3795</v>
      </c>
      <c r="B101" s="16">
        <v>45989</v>
      </c>
      <c r="C101" s="15" t="s">
        <v>2346</v>
      </c>
      <c r="D101" s="15">
        <v>2025</v>
      </c>
      <c r="E101" s="15" t="s">
        <v>168</v>
      </c>
      <c r="F101" s="17">
        <v>4000000</v>
      </c>
      <c r="G101" s="15" t="s">
        <v>3656</v>
      </c>
      <c r="H101" s="15" t="s">
        <v>3596</v>
      </c>
      <c r="I101" s="15" t="s">
        <v>76</v>
      </c>
      <c r="J101" s="15" t="s">
        <v>1804</v>
      </c>
      <c r="K101" s="15">
        <v>93</v>
      </c>
      <c r="L101" s="15" t="s">
        <v>3796</v>
      </c>
    </row>
    <row r="102" spans="1:12" x14ac:dyDescent="0.35">
      <c r="A102" s="15" t="s">
        <v>3797</v>
      </c>
      <c r="B102" s="16">
        <v>46013</v>
      </c>
      <c r="C102" s="15" t="s">
        <v>2384</v>
      </c>
      <c r="D102" s="15">
        <v>2025</v>
      </c>
      <c r="E102" s="15" t="s">
        <v>3798</v>
      </c>
      <c r="F102" s="17">
        <v>10098500</v>
      </c>
      <c r="G102" s="15" t="s">
        <v>3656</v>
      </c>
      <c r="H102" s="15" t="s">
        <v>3596</v>
      </c>
      <c r="I102" s="15" t="s">
        <v>76</v>
      </c>
      <c r="J102" s="15" t="s">
        <v>1800</v>
      </c>
      <c r="K102" s="15">
        <v>218</v>
      </c>
      <c r="L102" s="15" t="s">
        <v>3143</v>
      </c>
    </row>
    <row r="103" spans="1:12" x14ac:dyDescent="0.35">
      <c r="A103" s="15" t="s">
        <v>3799</v>
      </c>
      <c r="B103" s="16">
        <v>46014</v>
      </c>
      <c r="C103" s="15" t="s">
        <v>2384</v>
      </c>
      <c r="D103" s="15">
        <v>2025</v>
      </c>
      <c r="E103" s="15" t="s">
        <v>3800</v>
      </c>
      <c r="F103" s="17">
        <v>3000000</v>
      </c>
      <c r="G103" s="15" t="s">
        <v>3656</v>
      </c>
      <c r="H103" s="15" t="s">
        <v>3596</v>
      </c>
      <c r="I103" s="15" t="s">
        <v>76</v>
      </c>
      <c r="J103" s="15" t="s">
        <v>1800</v>
      </c>
      <c r="K103" s="15">
        <v>219</v>
      </c>
      <c r="L103" s="15" t="s">
        <v>2427</v>
      </c>
    </row>
    <row r="104" spans="1:12" x14ac:dyDescent="0.35">
      <c r="A104" s="15" t="s">
        <v>3801</v>
      </c>
      <c r="B104" s="16">
        <v>46014</v>
      </c>
      <c r="C104" s="15" t="s">
        <v>2384</v>
      </c>
      <c r="D104" s="15">
        <v>2025</v>
      </c>
      <c r="E104" s="15" t="s">
        <v>2419</v>
      </c>
      <c r="F104" s="17">
        <v>5000000</v>
      </c>
      <c r="G104" s="15" t="s">
        <v>3656</v>
      </c>
      <c r="H104" s="15" t="s">
        <v>3596</v>
      </c>
      <c r="I104" s="15" t="s">
        <v>76</v>
      </c>
      <c r="J104" s="15" t="s">
        <v>2420</v>
      </c>
      <c r="K104" s="15">
        <v>17</v>
      </c>
      <c r="L104" s="15" t="s">
        <v>2427</v>
      </c>
    </row>
    <row r="105" spans="1:12" x14ac:dyDescent="0.35">
      <c r="A105" s="15" t="s">
        <v>3802</v>
      </c>
      <c r="B105" s="16">
        <v>46015</v>
      </c>
      <c r="C105" s="15" t="s">
        <v>2384</v>
      </c>
      <c r="D105" s="15">
        <v>2025</v>
      </c>
      <c r="E105" s="15" t="s">
        <v>2433</v>
      </c>
      <c r="F105" s="17">
        <v>5000000</v>
      </c>
      <c r="G105" s="15" t="s">
        <v>3656</v>
      </c>
      <c r="H105" s="15" t="s">
        <v>3596</v>
      </c>
      <c r="I105" s="15" t="s">
        <v>76</v>
      </c>
      <c r="J105" s="15" t="s">
        <v>2392</v>
      </c>
      <c r="K105" s="15">
        <v>67</v>
      </c>
      <c r="L105" s="15" t="s">
        <v>2430</v>
      </c>
    </row>
    <row r="106" spans="1:12" x14ac:dyDescent="0.35">
      <c r="A106" s="15" t="s">
        <v>3803</v>
      </c>
      <c r="B106" s="16">
        <v>46016</v>
      </c>
      <c r="C106" s="15" t="s">
        <v>2384</v>
      </c>
      <c r="D106" s="15">
        <v>2025</v>
      </c>
      <c r="E106" s="15" t="s">
        <v>3804</v>
      </c>
      <c r="F106" s="17">
        <v>2000000</v>
      </c>
      <c r="G106" s="15" t="s">
        <v>3656</v>
      </c>
      <c r="H106" s="15" t="s">
        <v>3596</v>
      </c>
      <c r="I106" s="15" t="s">
        <v>76</v>
      </c>
      <c r="J106" s="15" t="s">
        <v>1852</v>
      </c>
      <c r="K106" s="15">
        <v>89</v>
      </c>
      <c r="L106" s="15" t="s">
        <v>3805</v>
      </c>
    </row>
    <row r="107" spans="1:12" x14ac:dyDescent="0.35">
      <c r="A107" s="15" t="s">
        <v>3806</v>
      </c>
      <c r="B107" s="16">
        <v>46017</v>
      </c>
      <c r="C107" s="15" t="s">
        <v>2384</v>
      </c>
      <c r="D107" s="15">
        <v>2025</v>
      </c>
      <c r="E107" s="15" t="s">
        <v>3807</v>
      </c>
      <c r="F107" s="17">
        <v>8000000</v>
      </c>
      <c r="G107" s="15" t="s">
        <v>3656</v>
      </c>
      <c r="H107" s="15" t="s">
        <v>3596</v>
      </c>
      <c r="I107" s="15" t="s">
        <v>76</v>
      </c>
      <c r="J107" s="15" t="s">
        <v>1800</v>
      </c>
      <c r="K107" s="15">
        <v>220</v>
      </c>
      <c r="L107" s="15" t="s">
        <v>2436</v>
      </c>
    </row>
    <row r="108" spans="1:12" x14ac:dyDescent="0.35">
      <c r="A108" s="15" t="s">
        <v>3808</v>
      </c>
      <c r="B108" s="16">
        <v>46021</v>
      </c>
      <c r="C108" s="15" t="s">
        <v>2384</v>
      </c>
      <c r="D108" s="15">
        <v>2025</v>
      </c>
      <c r="E108" s="15" t="s">
        <v>3809</v>
      </c>
      <c r="F108" s="17">
        <v>2200000</v>
      </c>
      <c r="G108" s="15" t="s">
        <v>3656</v>
      </c>
      <c r="H108" s="15" t="s">
        <v>3596</v>
      </c>
      <c r="I108" s="15" t="s">
        <v>76</v>
      </c>
      <c r="J108" s="15" t="s">
        <v>3810</v>
      </c>
      <c r="K108" s="15">
        <v>2</v>
      </c>
      <c r="L108" s="15" t="s">
        <v>2441</v>
      </c>
    </row>
    <row r="109" spans="1:12" x14ac:dyDescent="0.35">
      <c r="E109" s="18" t="s">
        <v>19</v>
      </c>
      <c r="F109" s="19">
        <f>SUBTOTAL(9,F5:F108)</f>
        <v>238933750</v>
      </c>
    </row>
  </sheetData>
  <autoFilter ref="A4:L108"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5"/>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9" customWidth="1"/>
    <col min="2" max="2" width="12" customWidth="1"/>
    <col min="3" max="3" width="7" customWidth="1"/>
    <col min="4" max="4" width="11" customWidth="1"/>
    <col min="5" max="5" width="34" customWidth="1"/>
    <col min="6" max="6" width="15" customWidth="1"/>
    <col min="7" max="7" width="30" customWidth="1"/>
    <col min="8" max="8" width="34" customWidth="1"/>
    <col min="9" max="9" width="22" customWidth="1"/>
    <col min="10" max="10" width="8" customWidth="1"/>
    <col min="11" max="11" width="30" customWidth="1"/>
    <col min="12" max="12" width="13" customWidth="1"/>
  </cols>
  <sheetData>
    <row r="1" spans="1:12" ht="18" x14ac:dyDescent="0.4">
      <c r="A1" s="1" t="s">
        <v>3811</v>
      </c>
    </row>
    <row r="2" spans="1:12" x14ac:dyDescent="0.35">
      <c r="A2" s="2" t="s">
        <v>3812</v>
      </c>
    </row>
    <row r="4" spans="1:12" ht="30" customHeight="1" x14ac:dyDescent="0.35">
      <c r="A4" s="14" t="s">
        <v>114</v>
      </c>
      <c r="B4" s="14" t="s">
        <v>3585</v>
      </c>
      <c r="C4" s="14" t="s">
        <v>117</v>
      </c>
      <c r="D4" s="14" t="s">
        <v>119</v>
      </c>
      <c r="E4" s="14" t="s">
        <v>120</v>
      </c>
      <c r="F4" s="14" t="s">
        <v>121</v>
      </c>
      <c r="G4" s="14" t="s">
        <v>3813</v>
      </c>
      <c r="H4" s="14" t="s">
        <v>123</v>
      </c>
      <c r="I4" s="14" t="s">
        <v>124</v>
      </c>
      <c r="J4" s="14" t="s">
        <v>125</v>
      </c>
      <c r="K4" s="14" t="s">
        <v>127</v>
      </c>
      <c r="L4" s="14" t="s">
        <v>2458</v>
      </c>
    </row>
    <row r="5" spans="1:12" x14ac:dyDescent="0.35">
      <c r="A5" s="15" t="s">
        <v>3814</v>
      </c>
      <c r="B5" s="16">
        <v>45261</v>
      </c>
      <c r="C5" s="15">
        <v>2023</v>
      </c>
      <c r="D5" s="15" t="s">
        <v>184</v>
      </c>
      <c r="E5" s="15" t="s">
        <v>185</v>
      </c>
      <c r="F5" s="17">
        <v>300000</v>
      </c>
      <c r="G5" s="15" t="s">
        <v>28</v>
      </c>
      <c r="H5" s="15" t="s">
        <v>74</v>
      </c>
      <c r="I5" s="15" t="s">
        <v>143</v>
      </c>
      <c r="J5" s="15">
        <v>12</v>
      </c>
      <c r="K5" s="15"/>
      <c r="L5" s="15" t="s">
        <v>302</v>
      </c>
    </row>
    <row r="6" spans="1:12" x14ac:dyDescent="0.35">
      <c r="A6" s="15" t="s">
        <v>3815</v>
      </c>
      <c r="B6" s="16">
        <v>45274</v>
      </c>
      <c r="C6" s="15">
        <v>2023</v>
      </c>
      <c r="D6" s="15" t="s">
        <v>382</v>
      </c>
      <c r="E6" s="15" t="s">
        <v>383</v>
      </c>
      <c r="F6" s="17">
        <v>1000000</v>
      </c>
      <c r="G6" s="15" t="s">
        <v>28</v>
      </c>
      <c r="H6" s="15" t="s">
        <v>74</v>
      </c>
      <c r="I6" s="15" t="s">
        <v>143</v>
      </c>
      <c r="J6" s="15">
        <v>141</v>
      </c>
      <c r="K6" s="15" t="s">
        <v>3816</v>
      </c>
      <c r="L6" s="15" t="s">
        <v>2667</v>
      </c>
    </row>
    <row r="7" spans="1:12" x14ac:dyDescent="0.35">
      <c r="A7" s="15" t="s">
        <v>3817</v>
      </c>
      <c r="B7" s="16">
        <v>45280</v>
      </c>
      <c r="C7" s="15">
        <v>2023</v>
      </c>
      <c r="D7" s="15" t="s">
        <v>222</v>
      </c>
      <c r="E7" s="15" t="s">
        <v>223</v>
      </c>
      <c r="F7" s="17">
        <v>1000000</v>
      </c>
      <c r="G7" s="15" t="s">
        <v>28</v>
      </c>
      <c r="H7" s="15" t="s">
        <v>74</v>
      </c>
      <c r="I7" s="15" t="s">
        <v>143</v>
      </c>
      <c r="J7" s="15">
        <v>158</v>
      </c>
      <c r="K7" s="15" t="s">
        <v>3818</v>
      </c>
      <c r="L7" s="15" t="s">
        <v>334</v>
      </c>
    </row>
    <row r="8" spans="1:12" x14ac:dyDescent="0.35">
      <c r="A8" s="15" t="s">
        <v>3819</v>
      </c>
      <c r="B8" s="16">
        <v>45284</v>
      </c>
      <c r="C8" s="15">
        <v>2023</v>
      </c>
      <c r="D8" s="15" t="s">
        <v>203</v>
      </c>
      <c r="E8" s="15" t="s">
        <v>204</v>
      </c>
      <c r="F8" s="17">
        <v>100000</v>
      </c>
      <c r="G8" s="15" t="s">
        <v>28</v>
      </c>
      <c r="H8" s="15" t="s">
        <v>74</v>
      </c>
      <c r="I8" s="15" t="s">
        <v>143</v>
      </c>
      <c r="J8" s="15">
        <v>207</v>
      </c>
      <c r="K8" s="15"/>
      <c r="L8" s="15" t="s">
        <v>349</v>
      </c>
    </row>
    <row r="9" spans="1:12" x14ac:dyDescent="0.35">
      <c r="A9" s="15" t="s">
        <v>3820</v>
      </c>
      <c r="B9" s="16">
        <v>45286</v>
      </c>
      <c r="C9" s="15">
        <v>2023</v>
      </c>
      <c r="D9" s="15" t="s">
        <v>3567</v>
      </c>
      <c r="E9" s="15" t="s">
        <v>3568</v>
      </c>
      <c r="F9" s="17">
        <v>1500000</v>
      </c>
      <c r="G9" s="15" t="s">
        <v>36</v>
      </c>
      <c r="H9" s="15" t="s">
        <v>76</v>
      </c>
      <c r="I9" s="15" t="s">
        <v>1830</v>
      </c>
      <c r="J9" s="15">
        <v>7</v>
      </c>
      <c r="K9" s="15"/>
      <c r="L9" s="15" t="s">
        <v>354</v>
      </c>
    </row>
    <row r="10" spans="1:12" x14ac:dyDescent="0.35">
      <c r="A10" s="15" t="s">
        <v>3821</v>
      </c>
      <c r="B10" s="16">
        <v>45289</v>
      </c>
      <c r="C10" s="15">
        <v>2023</v>
      </c>
      <c r="D10" s="15" t="s">
        <v>1020</v>
      </c>
      <c r="E10" s="15" t="s">
        <v>1021</v>
      </c>
      <c r="F10" s="17">
        <v>2000000</v>
      </c>
      <c r="G10" s="15" t="s">
        <v>36</v>
      </c>
      <c r="H10" s="15" t="s">
        <v>76</v>
      </c>
      <c r="I10" s="15" t="s">
        <v>149</v>
      </c>
      <c r="J10" s="15">
        <v>2</v>
      </c>
      <c r="K10" s="15"/>
      <c r="L10" s="15" t="s">
        <v>371</v>
      </c>
    </row>
    <row r="11" spans="1:12" x14ac:dyDescent="0.35">
      <c r="A11" s="15" t="s">
        <v>3822</v>
      </c>
      <c r="B11" s="16">
        <v>45292</v>
      </c>
      <c r="C11" s="15">
        <v>2024</v>
      </c>
      <c r="D11" s="15" t="s">
        <v>3565</v>
      </c>
      <c r="E11" s="15" t="s">
        <v>3566</v>
      </c>
      <c r="F11" s="17">
        <v>200000</v>
      </c>
      <c r="G11" s="15" t="s">
        <v>36</v>
      </c>
      <c r="H11" s="15" t="s">
        <v>76</v>
      </c>
      <c r="I11" s="15" t="s">
        <v>246</v>
      </c>
      <c r="J11" s="15">
        <v>15</v>
      </c>
      <c r="K11" s="15"/>
      <c r="L11" s="15" t="s">
        <v>394</v>
      </c>
    </row>
    <row r="12" spans="1:12" x14ac:dyDescent="0.35">
      <c r="A12" s="15" t="s">
        <v>3823</v>
      </c>
      <c r="B12" s="16">
        <v>45309</v>
      </c>
      <c r="C12" s="15">
        <v>2024</v>
      </c>
      <c r="D12" s="15" t="s">
        <v>414</v>
      </c>
      <c r="E12" s="15" t="s">
        <v>3824</v>
      </c>
      <c r="F12" s="17">
        <v>3500000</v>
      </c>
      <c r="G12" s="15" t="s">
        <v>36</v>
      </c>
      <c r="H12" s="15" t="s">
        <v>76</v>
      </c>
      <c r="I12" s="15" t="s">
        <v>1800</v>
      </c>
      <c r="J12" s="15">
        <v>3</v>
      </c>
      <c r="K12" s="15"/>
      <c r="L12" s="15" t="s">
        <v>424</v>
      </c>
    </row>
    <row r="13" spans="1:12" x14ac:dyDescent="0.35">
      <c r="A13" s="15" t="s">
        <v>3825</v>
      </c>
      <c r="B13" s="16">
        <v>45315</v>
      </c>
      <c r="C13" s="15">
        <v>2024</v>
      </c>
      <c r="D13" s="15" t="s">
        <v>1020</v>
      </c>
      <c r="E13" s="15" t="s">
        <v>1021</v>
      </c>
      <c r="F13" s="17">
        <v>1000000</v>
      </c>
      <c r="G13" s="15" t="s">
        <v>36</v>
      </c>
      <c r="H13" s="15" t="s">
        <v>76</v>
      </c>
      <c r="I13" s="15" t="s">
        <v>149</v>
      </c>
      <c r="J13" s="15">
        <v>3</v>
      </c>
      <c r="K13" s="15"/>
      <c r="L13" s="15" t="s">
        <v>432</v>
      </c>
    </row>
    <row r="14" spans="1:12" x14ac:dyDescent="0.35">
      <c r="A14" s="15" t="s">
        <v>3826</v>
      </c>
      <c r="B14" s="16">
        <v>45320</v>
      </c>
      <c r="C14" s="15">
        <v>2024</v>
      </c>
      <c r="D14" s="15" t="s">
        <v>208</v>
      </c>
      <c r="E14" s="15" t="s">
        <v>257</v>
      </c>
      <c r="F14" s="17">
        <v>1500000</v>
      </c>
      <c r="G14" s="15" t="s">
        <v>28</v>
      </c>
      <c r="H14" s="15" t="s">
        <v>74</v>
      </c>
      <c r="I14" s="15" t="s">
        <v>143</v>
      </c>
      <c r="J14" s="15">
        <v>166</v>
      </c>
      <c r="K14" s="15"/>
      <c r="L14" s="15" t="s">
        <v>446</v>
      </c>
    </row>
    <row r="15" spans="1:12" x14ac:dyDescent="0.35">
      <c r="A15" s="15" t="s">
        <v>3827</v>
      </c>
      <c r="B15" s="16">
        <v>45321</v>
      </c>
      <c r="C15" s="15">
        <v>2024</v>
      </c>
      <c r="D15" s="15" t="s">
        <v>254</v>
      </c>
      <c r="E15" s="15" t="s">
        <v>3828</v>
      </c>
      <c r="F15" s="17">
        <v>1800000</v>
      </c>
      <c r="G15" s="15" t="s">
        <v>36</v>
      </c>
      <c r="H15" s="15" t="s">
        <v>76</v>
      </c>
      <c r="I15" s="15" t="s">
        <v>1800</v>
      </c>
      <c r="J15" s="15">
        <v>4</v>
      </c>
      <c r="K15" s="15"/>
      <c r="L15" s="15" t="s">
        <v>2701</v>
      </c>
    </row>
    <row r="16" spans="1:12" x14ac:dyDescent="0.35">
      <c r="A16" s="15" t="s">
        <v>3829</v>
      </c>
      <c r="B16" s="16">
        <v>45322</v>
      </c>
      <c r="C16" s="15">
        <v>2024</v>
      </c>
      <c r="D16" s="15" t="s">
        <v>337</v>
      </c>
      <c r="E16" s="15" t="s">
        <v>338</v>
      </c>
      <c r="F16" s="17">
        <v>850000</v>
      </c>
      <c r="G16" s="15" t="s">
        <v>31</v>
      </c>
      <c r="H16" s="15" t="s">
        <v>74</v>
      </c>
      <c r="I16" s="15" t="s">
        <v>143</v>
      </c>
      <c r="J16" s="15">
        <v>43</v>
      </c>
      <c r="K16" s="15"/>
      <c r="L16" s="15" t="s">
        <v>455</v>
      </c>
    </row>
    <row r="17" spans="1:12" x14ac:dyDescent="0.35">
      <c r="A17" s="15" t="s">
        <v>3830</v>
      </c>
      <c r="B17" s="16">
        <v>45323</v>
      </c>
      <c r="C17" s="15">
        <v>2024</v>
      </c>
      <c r="D17" s="15" t="s">
        <v>469</v>
      </c>
      <c r="E17" s="15" t="s">
        <v>470</v>
      </c>
      <c r="F17" s="17">
        <v>2500000</v>
      </c>
      <c r="G17" s="15" t="s">
        <v>28</v>
      </c>
      <c r="H17" s="15" t="s">
        <v>74</v>
      </c>
      <c r="I17" s="15" t="s">
        <v>143</v>
      </c>
      <c r="J17" s="15">
        <v>100</v>
      </c>
      <c r="K17" s="15"/>
      <c r="L17" s="15" t="s">
        <v>462</v>
      </c>
    </row>
    <row r="18" spans="1:12" x14ac:dyDescent="0.35">
      <c r="A18" s="15" t="s">
        <v>3831</v>
      </c>
      <c r="B18" s="16">
        <v>45323</v>
      </c>
      <c r="C18" s="15">
        <v>2024</v>
      </c>
      <c r="D18" s="15" t="s">
        <v>3565</v>
      </c>
      <c r="E18" s="15" t="s">
        <v>3566</v>
      </c>
      <c r="F18" s="17">
        <v>200000</v>
      </c>
      <c r="G18" s="15" t="s">
        <v>36</v>
      </c>
      <c r="H18" s="15" t="s">
        <v>76</v>
      </c>
      <c r="I18" s="15" t="s">
        <v>246</v>
      </c>
      <c r="J18" s="15">
        <v>16</v>
      </c>
      <c r="K18" s="15"/>
      <c r="L18" s="15" t="s">
        <v>462</v>
      </c>
    </row>
    <row r="19" spans="1:12" x14ac:dyDescent="0.35">
      <c r="A19" s="15" t="s">
        <v>3832</v>
      </c>
      <c r="B19" s="16">
        <v>45323</v>
      </c>
      <c r="C19" s="15">
        <v>2024</v>
      </c>
      <c r="D19" s="15" t="s">
        <v>3562</v>
      </c>
      <c r="E19" s="15" t="s">
        <v>3563</v>
      </c>
      <c r="F19" s="17">
        <v>7000000</v>
      </c>
      <c r="G19" s="15" t="s">
        <v>36</v>
      </c>
      <c r="H19" s="15" t="s">
        <v>76</v>
      </c>
      <c r="I19" s="15" t="s">
        <v>1800</v>
      </c>
      <c r="J19" s="15">
        <v>7</v>
      </c>
      <c r="K19" s="15"/>
      <c r="L19" s="15" t="s">
        <v>462</v>
      </c>
    </row>
    <row r="20" spans="1:12" x14ac:dyDescent="0.35">
      <c r="A20" s="15" t="s">
        <v>3833</v>
      </c>
      <c r="B20" s="16">
        <v>45324</v>
      </c>
      <c r="C20" s="15">
        <v>2024</v>
      </c>
      <c r="D20" s="15" t="s">
        <v>414</v>
      </c>
      <c r="E20" s="15" t="s">
        <v>415</v>
      </c>
      <c r="F20" s="17">
        <v>500000</v>
      </c>
      <c r="G20" s="15" t="s">
        <v>31</v>
      </c>
      <c r="H20" s="15" t="s">
        <v>74</v>
      </c>
      <c r="I20" s="15" t="s">
        <v>143</v>
      </c>
      <c r="J20" s="15">
        <v>66</v>
      </c>
      <c r="K20" s="15"/>
      <c r="L20" s="15" t="s">
        <v>471</v>
      </c>
    </row>
    <row r="21" spans="1:12" x14ac:dyDescent="0.35">
      <c r="A21" s="15" t="s">
        <v>3834</v>
      </c>
      <c r="B21" s="16">
        <v>45325</v>
      </c>
      <c r="C21" s="15">
        <v>2024</v>
      </c>
      <c r="D21" s="15" t="s">
        <v>3579</v>
      </c>
      <c r="E21" s="15" t="s">
        <v>3580</v>
      </c>
      <c r="F21" s="17">
        <v>500000</v>
      </c>
      <c r="G21" s="15" t="s">
        <v>36</v>
      </c>
      <c r="H21" s="15" t="s">
        <v>76</v>
      </c>
      <c r="I21" s="15" t="s">
        <v>169</v>
      </c>
      <c r="J21" s="15">
        <v>13</v>
      </c>
      <c r="K21" s="15"/>
      <c r="L21" s="15" t="s">
        <v>480</v>
      </c>
    </row>
    <row r="22" spans="1:12" x14ac:dyDescent="0.35">
      <c r="A22" s="15" t="s">
        <v>3835</v>
      </c>
      <c r="B22" s="16">
        <v>45328</v>
      </c>
      <c r="C22" s="15">
        <v>2024</v>
      </c>
      <c r="D22" s="15" t="s">
        <v>1020</v>
      </c>
      <c r="E22" s="15" t="s">
        <v>1021</v>
      </c>
      <c r="F22" s="17">
        <v>1000000</v>
      </c>
      <c r="G22" s="15" t="s">
        <v>36</v>
      </c>
      <c r="H22" s="15" t="s">
        <v>76</v>
      </c>
      <c r="I22" s="15" t="s">
        <v>149</v>
      </c>
      <c r="J22" s="15">
        <v>4</v>
      </c>
      <c r="K22" s="15"/>
      <c r="L22" s="15" t="s">
        <v>488</v>
      </c>
    </row>
    <row r="23" spans="1:12" x14ac:dyDescent="0.35">
      <c r="A23" s="15" t="s">
        <v>3836</v>
      </c>
      <c r="B23" s="16">
        <v>45328</v>
      </c>
      <c r="C23" s="15">
        <v>2024</v>
      </c>
      <c r="D23" s="15" t="s">
        <v>3581</v>
      </c>
      <c r="E23" s="15" t="s">
        <v>3582</v>
      </c>
      <c r="F23" s="17">
        <v>1800000</v>
      </c>
      <c r="G23" s="15" t="s">
        <v>36</v>
      </c>
      <c r="H23" s="15" t="s">
        <v>76</v>
      </c>
      <c r="I23" s="15" t="s">
        <v>1800</v>
      </c>
      <c r="J23" s="15">
        <v>5</v>
      </c>
      <c r="K23" s="15"/>
      <c r="L23" s="15" t="s">
        <v>488</v>
      </c>
    </row>
    <row r="24" spans="1:12" x14ac:dyDescent="0.35">
      <c r="A24" s="15" t="s">
        <v>3837</v>
      </c>
      <c r="B24" s="16">
        <v>45342</v>
      </c>
      <c r="C24" s="15">
        <v>2024</v>
      </c>
      <c r="D24" s="15" t="s">
        <v>568</v>
      </c>
      <c r="E24" s="15" t="s">
        <v>569</v>
      </c>
      <c r="F24" s="17">
        <v>1000000</v>
      </c>
      <c r="G24" s="15" t="s">
        <v>31</v>
      </c>
      <c r="H24" s="15" t="s">
        <v>74</v>
      </c>
      <c r="I24" s="15" t="s">
        <v>143</v>
      </c>
      <c r="J24" s="15">
        <v>216</v>
      </c>
      <c r="K24" s="15" t="s">
        <v>3838</v>
      </c>
      <c r="L24" s="15" t="s">
        <v>3839</v>
      </c>
    </row>
    <row r="25" spans="1:12" x14ac:dyDescent="0.35">
      <c r="A25" s="15" t="s">
        <v>3840</v>
      </c>
      <c r="B25" s="16">
        <v>45345</v>
      </c>
      <c r="C25" s="15">
        <v>2024</v>
      </c>
      <c r="D25" s="15" t="s">
        <v>3567</v>
      </c>
      <c r="E25" s="15" t="s">
        <v>3568</v>
      </c>
      <c r="F25" s="17">
        <v>1000000</v>
      </c>
      <c r="G25" s="15" t="s">
        <v>36</v>
      </c>
      <c r="H25" s="15" t="s">
        <v>76</v>
      </c>
      <c r="I25" s="15" t="s">
        <v>1830</v>
      </c>
      <c r="J25" s="15">
        <v>14</v>
      </c>
      <c r="K25" s="15"/>
      <c r="L25" s="15" t="s">
        <v>524</v>
      </c>
    </row>
    <row r="26" spans="1:12" x14ac:dyDescent="0.35">
      <c r="A26" s="15" t="s">
        <v>3841</v>
      </c>
      <c r="B26" s="16">
        <v>45348</v>
      </c>
      <c r="C26" s="15">
        <v>2024</v>
      </c>
      <c r="D26" s="15" t="s">
        <v>1020</v>
      </c>
      <c r="E26" s="15" t="s">
        <v>1021</v>
      </c>
      <c r="F26" s="17">
        <v>1040000</v>
      </c>
      <c r="G26" s="15" t="s">
        <v>36</v>
      </c>
      <c r="H26" s="15" t="s">
        <v>76</v>
      </c>
      <c r="I26" s="15" t="s">
        <v>149</v>
      </c>
      <c r="J26" s="15">
        <v>5</v>
      </c>
      <c r="K26" s="15"/>
      <c r="L26" s="15" t="s">
        <v>531</v>
      </c>
    </row>
    <row r="27" spans="1:12" x14ac:dyDescent="0.35">
      <c r="A27" s="15" t="s">
        <v>3842</v>
      </c>
      <c r="B27" s="16">
        <v>45352</v>
      </c>
      <c r="C27" s="15">
        <v>2024</v>
      </c>
      <c r="D27" s="15" t="s">
        <v>357</v>
      </c>
      <c r="E27" s="15" t="s">
        <v>358</v>
      </c>
      <c r="F27" s="17">
        <v>3000000</v>
      </c>
      <c r="G27" s="15" t="s">
        <v>28</v>
      </c>
      <c r="H27" s="15" t="s">
        <v>74</v>
      </c>
      <c r="I27" s="15" t="s">
        <v>143</v>
      </c>
      <c r="J27" s="15">
        <v>37</v>
      </c>
      <c r="K27" s="15"/>
      <c r="L27" s="15" t="s">
        <v>553</v>
      </c>
    </row>
    <row r="28" spans="1:12" x14ac:dyDescent="0.35">
      <c r="A28" s="15" t="s">
        <v>3843</v>
      </c>
      <c r="B28" s="16">
        <v>45353</v>
      </c>
      <c r="C28" s="15">
        <v>2024</v>
      </c>
      <c r="D28" s="15" t="s">
        <v>140</v>
      </c>
      <c r="E28" s="15" t="s">
        <v>2722</v>
      </c>
      <c r="F28" s="17">
        <v>740000</v>
      </c>
      <c r="G28" s="15" t="s">
        <v>36</v>
      </c>
      <c r="H28" s="15" t="s">
        <v>76</v>
      </c>
      <c r="I28" s="15" t="s">
        <v>175</v>
      </c>
      <c r="J28" s="15">
        <v>33</v>
      </c>
      <c r="K28" s="15"/>
      <c r="L28" s="15" t="s">
        <v>3844</v>
      </c>
    </row>
    <row r="29" spans="1:12" x14ac:dyDescent="0.35">
      <c r="A29" s="15" t="s">
        <v>3845</v>
      </c>
      <c r="B29" s="16">
        <v>45354</v>
      </c>
      <c r="C29" s="15">
        <v>2024</v>
      </c>
      <c r="D29" s="15" t="s">
        <v>3565</v>
      </c>
      <c r="E29" s="15" t="s">
        <v>3566</v>
      </c>
      <c r="F29" s="17">
        <v>200000</v>
      </c>
      <c r="G29" s="15" t="s">
        <v>36</v>
      </c>
      <c r="H29" s="15" t="s">
        <v>76</v>
      </c>
      <c r="I29" s="15" t="s">
        <v>246</v>
      </c>
      <c r="J29" s="15">
        <v>17</v>
      </c>
      <c r="K29" s="15"/>
      <c r="L29" s="15" t="s">
        <v>565</v>
      </c>
    </row>
    <row r="30" spans="1:12" x14ac:dyDescent="0.35">
      <c r="A30" s="15" t="s">
        <v>3846</v>
      </c>
      <c r="B30" s="16">
        <v>45355</v>
      </c>
      <c r="C30" s="15">
        <v>2024</v>
      </c>
      <c r="D30" s="15" t="s">
        <v>140</v>
      </c>
      <c r="E30" s="15" t="s">
        <v>141</v>
      </c>
      <c r="F30" s="17">
        <v>175000</v>
      </c>
      <c r="G30" s="15" t="s">
        <v>31</v>
      </c>
      <c r="H30" s="15" t="s">
        <v>74</v>
      </c>
      <c r="I30" s="15" t="s">
        <v>143</v>
      </c>
      <c r="J30" s="15">
        <v>112</v>
      </c>
      <c r="K30" s="15" t="s">
        <v>3847</v>
      </c>
      <c r="L30" s="15" t="s">
        <v>572</v>
      </c>
    </row>
    <row r="31" spans="1:12" x14ac:dyDescent="0.35">
      <c r="A31" s="15" t="s">
        <v>3848</v>
      </c>
      <c r="B31" s="16">
        <v>45356</v>
      </c>
      <c r="C31" s="15">
        <v>2024</v>
      </c>
      <c r="D31" s="15" t="s">
        <v>203</v>
      </c>
      <c r="E31" s="15" t="s">
        <v>3849</v>
      </c>
      <c r="F31" s="17">
        <v>1500000</v>
      </c>
      <c r="G31" s="15" t="s">
        <v>36</v>
      </c>
      <c r="H31" s="15" t="s">
        <v>76</v>
      </c>
      <c r="I31" s="15" t="s">
        <v>1800</v>
      </c>
      <c r="J31" s="15">
        <v>6</v>
      </c>
      <c r="K31" s="15"/>
      <c r="L31" s="15" t="s">
        <v>576</v>
      </c>
    </row>
    <row r="32" spans="1:12" x14ac:dyDescent="0.35">
      <c r="A32" s="15" t="s">
        <v>3850</v>
      </c>
      <c r="B32" s="16">
        <v>45360</v>
      </c>
      <c r="C32" s="15">
        <v>2024</v>
      </c>
      <c r="D32" s="15" t="s">
        <v>3572</v>
      </c>
      <c r="E32" s="15" t="s">
        <v>3573</v>
      </c>
      <c r="F32" s="17">
        <v>500000</v>
      </c>
      <c r="G32" s="15" t="s">
        <v>36</v>
      </c>
      <c r="H32" s="15" t="s">
        <v>76</v>
      </c>
      <c r="I32" s="15" t="s">
        <v>3851</v>
      </c>
      <c r="J32" s="15">
        <v>2</v>
      </c>
      <c r="K32" s="15"/>
      <c r="L32" s="15" t="s">
        <v>609</v>
      </c>
    </row>
    <row r="33" spans="1:12" x14ac:dyDescent="0.35">
      <c r="A33" s="15" t="s">
        <v>3852</v>
      </c>
      <c r="B33" s="16">
        <v>45373</v>
      </c>
      <c r="C33" s="15">
        <v>2024</v>
      </c>
      <c r="D33" s="15" t="s">
        <v>3567</v>
      </c>
      <c r="E33" s="15" t="s">
        <v>3568</v>
      </c>
      <c r="F33" s="17">
        <v>1000000</v>
      </c>
      <c r="G33" s="15" t="s">
        <v>36</v>
      </c>
      <c r="H33" s="15" t="s">
        <v>76</v>
      </c>
      <c r="I33" s="15" t="s">
        <v>1830</v>
      </c>
      <c r="J33" s="15">
        <v>34</v>
      </c>
      <c r="K33" s="15"/>
      <c r="L33" s="15" t="s">
        <v>689</v>
      </c>
    </row>
    <row r="34" spans="1:12" x14ac:dyDescent="0.35">
      <c r="A34" s="15" t="s">
        <v>3853</v>
      </c>
      <c r="B34" s="16">
        <v>45376</v>
      </c>
      <c r="C34" s="15">
        <v>2024</v>
      </c>
      <c r="D34" s="15" t="s">
        <v>924</v>
      </c>
      <c r="E34" s="15" t="s">
        <v>925</v>
      </c>
      <c r="F34" s="17">
        <v>1430000</v>
      </c>
      <c r="G34" s="15" t="s">
        <v>31</v>
      </c>
      <c r="H34" s="15" t="s">
        <v>74</v>
      </c>
      <c r="I34" s="15" t="s">
        <v>143</v>
      </c>
      <c r="J34" s="15">
        <v>329</v>
      </c>
      <c r="K34" s="15" t="s">
        <v>3854</v>
      </c>
      <c r="L34" s="15" t="s">
        <v>692</v>
      </c>
    </row>
    <row r="35" spans="1:12" x14ac:dyDescent="0.35">
      <c r="A35" s="15" t="s">
        <v>3855</v>
      </c>
      <c r="B35" s="16">
        <v>45377</v>
      </c>
      <c r="C35" s="15">
        <v>2024</v>
      </c>
      <c r="D35" s="15" t="s">
        <v>3572</v>
      </c>
      <c r="E35" s="15" t="s">
        <v>3573</v>
      </c>
      <c r="F35" s="17">
        <v>3000000</v>
      </c>
      <c r="G35" s="15" t="s">
        <v>36</v>
      </c>
      <c r="H35" s="15" t="s">
        <v>76</v>
      </c>
      <c r="I35" s="15" t="s">
        <v>3851</v>
      </c>
      <c r="J35" s="15">
        <v>3</v>
      </c>
      <c r="K35" s="15"/>
      <c r="L35" s="15" t="s">
        <v>706</v>
      </c>
    </row>
    <row r="36" spans="1:12" x14ac:dyDescent="0.35">
      <c r="A36" s="15" t="s">
        <v>3856</v>
      </c>
      <c r="B36" s="16">
        <v>45379</v>
      </c>
      <c r="C36" s="15">
        <v>2024</v>
      </c>
      <c r="D36" s="15" t="s">
        <v>140</v>
      </c>
      <c r="E36" s="15" t="s">
        <v>141</v>
      </c>
      <c r="F36" s="17">
        <v>85000</v>
      </c>
      <c r="G36" s="15" t="s">
        <v>31</v>
      </c>
      <c r="H36" s="15" t="s">
        <v>74</v>
      </c>
      <c r="I36" s="15" t="s">
        <v>143</v>
      </c>
      <c r="J36" s="15">
        <v>113</v>
      </c>
      <c r="K36" s="15" t="s">
        <v>3857</v>
      </c>
      <c r="L36" s="15" t="s">
        <v>715</v>
      </c>
    </row>
    <row r="37" spans="1:12" x14ac:dyDescent="0.35">
      <c r="A37" s="15" t="s">
        <v>3858</v>
      </c>
      <c r="B37" s="16">
        <v>45379</v>
      </c>
      <c r="C37" s="15">
        <v>2024</v>
      </c>
      <c r="D37" s="15" t="s">
        <v>3579</v>
      </c>
      <c r="E37" s="15" t="s">
        <v>3580</v>
      </c>
      <c r="F37" s="17">
        <v>500000</v>
      </c>
      <c r="G37" s="15" t="s">
        <v>36</v>
      </c>
      <c r="H37" s="15" t="s">
        <v>76</v>
      </c>
      <c r="I37" s="15" t="s">
        <v>169</v>
      </c>
      <c r="J37" s="15">
        <v>20</v>
      </c>
      <c r="K37" s="15"/>
      <c r="L37" s="15" t="s">
        <v>715</v>
      </c>
    </row>
    <row r="38" spans="1:12" x14ac:dyDescent="0.35">
      <c r="A38" s="15" t="s">
        <v>3859</v>
      </c>
      <c r="B38" s="16">
        <v>45383</v>
      </c>
      <c r="C38" s="15">
        <v>2024</v>
      </c>
      <c r="D38" s="15" t="s">
        <v>1460</v>
      </c>
      <c r="E38" s="15" t="s">
        <v>2024</v>
      </c>
      <c r="F38" s="17">
        <v>2000000</v>
      </c>
      <c r="G38" s="15" t="s">
        <v>36</v>
      </c>
      <c r="H38" s="15" t="s">
        <v>76</v>
      </c>
      <c r="I38" s="15" t="s">
        <v>1814</v>
      </c>
      <c r="J38" s="15">
        <v>99</v>
      </c>
      <c r="K38" s="15"/>
      <c r="L38" s="15" t="s">
        <v>734</v>
      </c>
    </row>
    <row r="39" spans="1:12" x14ac:dyDescent="0.35">
      <c r="A39" s="15" t="s">
        <v>3860</v>
      </c>
      <c r="B39" s="16">
        <v>45383</v>
      </c>
      <c r="C39" s="15">
        <v>2024</v>
      </c>
      <c r="D39" s="15" t="s">
        <v>337</v>
      </c>
      <c r="E39" s="15" t="s">
        <v>732</v>
      </c>
      <c r="F39" s="17">
        <v>3500000</v>
      </c>
      <c r="G39" s="15" t="s">
        <v>36</v>
      </c>
      <c r="H39" s="15" t="s">
        <v>76</v>
      </c>
      <c r="I39" s="15" t="s">
        <v>1800</v>
      </c>
      <c r="J39" s="15">
        <v>17</v>
      </c>
      <c r="K39" s="15"/>
      <c r="L39" s="15" t="s">
        <v>734</v>
      </c>
    </row>
    <row r="40" spans="1:12" x14ac:dyDescent="0.35">
      <c r="A40" s="15" t="s">
        <v>3861</v>
      </c>
      <c r="B40" s="16">
        <v>45384</v>
      </c>
      <c r="C40" s="15">
        <v>2024</v>
      </c>
      <c r="D40" s="15" t="s">
        <v>357</v>
      </c>
      <c r="E40" s="15" t="s">
        <v>358</v>
      </c>
      <c r="F40" s="17">
        <v>2000000</v>
      </c>
      <c r="G40" s="15" t="s">
        <v>28</v>
      </c>
      <c r="H40" s="15" t="s">
        <v>74</v>
      </c>
      <c r="I40" s="15" t="s">
        <v>143</v>
      </c>
      <c r="J40" s="15">
        <v>38</v>
      </c>
      <c r="K40" s="15"/>
      <c r="L40" s="15" t="s">
        <v>741</v>
      </c>
    </row>
    <row r="41" spans="1:12" x14ac:dyDescent="0.35">
      <c r="A41" s="15" t="s">
        <v>3862</v>
      </c>
      <c r="B41" s="16">
        <v>45385</v>
      </c>
      <c r="C41" s="15">
        <v>2024</v>
      </c>
      <c r="D41" s="15" t="s">
        <v>409</v>
      </c>
      <c r="E41" s="15" t="s">
        <v>3863</v>
      </c>
      <c r="F41" s="17">
        <v>1700000</v>
      </c>
      <c r="G41" s="15" t="s">
        <v>36</v>
      </c>
      <c r="H41" s="15" t="s">
        <v>76</v>
      </c>
      <c r="I41" s="15" t="s">
        <v>1800</v>
      </c>
      <c r="J41" s="15">
        <v>2</v>
      </c>
      <c r="K41" s="15"/>
      <c r="L41" s="15" t="s">
        <v>748</v>
      </c>
    </row>
    <row r="42" spans="1:12" x14ac:dyDescent="0.35">
      <c r="A42" s="15" t="s">
        <v>3864</v>
      </c>
      <c r="B42" s="16">
        <v>45398</v>
      </c>
      <c r="C42" s="15">
        <v>2024</v>
      </c>
      <c r="D42" s="15" t="s">
        <v>337</v>
      </c>
      <c r="E42" s="15" t="s">
        <v>732</v>
      </c>
      <c r="F42" s="17">
        <v>700000</v>
      </c>
      <c r="G42" s="15" t="s">
        <v>36</v>
      </c>
      <c r="H42" s="15" t="s">
        <v>76</v>
      </c>
      <c r="I42" s="15" t="s">
        <v>1800</v>
      </c>
      <c r="J42" s="15">
        <v>19</v>
      </c>
      <c r="K42" s="15"/>
      <c r="L42" s="15" t="s">
        <v>781</v>
      </c>
    </row>
    <row r="43" spans="1:12" x14ac:dyDescent="0.35">
      <c r="A43" s="15" t="s">
        <v>3865</v>
      </c>
      <c r="B43" s="16">
        <v>45399</v>
      </c>
      <c r="C43" s="15">
        <v>2024</v>
      </c>
      <c r="D43" s="15" t="s">
        <v>3565</v>
      </c>
      <c r="E43" s="15" t="s">
        <v>3566</v>
      </c>
      <c r="F43" s="17">
        <v>188600</v>
      </c>
      <c r="G43" s="15" t="s">
        <v>36</v>
      </c>
      <c r="H43" s="15" t="s">
        <v>76</v>
      </c>
      <c r="I43" s="15" t="s">
        <v>246</v>
      </c>
      <c r="J43" s="15">
        <v>18</v>
      </c>
      <c r="K43" s="15"/>
      <c r="L43" s="15" t="s">
        <v>790</v>
      </c>
    </row>
    <row r="44" spans="1:12" x14ac:dyDescent="0.35">
      <c r="A44" s="15" t="s">
        <v>3866</v>
      </c>
      <c r="B44" s="16">
        <v>45400</v>
      </c>
      <c r="C44" s="15">
        <v>2024</v>
      </c>
      <c r="D44" s="15" t="s">
        <v>3567</v>
      </c>
      <c r="E44" s="15" t="s">
        <v>3568</v>
      </c>
      <c r="F44" s="17">
        <v>500000</v>
      </c>
      <c r="G44" s="15" t="s">
        <v>36</v>
      </c>
      <c r="H44" s="15" t="s">
        <v>76</v>
      </c>
      <c r="I44" s="15" t="s">
        <v>1830</v>
      </c>
      <c r="J44" s="15">
        <v>35</v>
      </c>
      <c r="K44" s="15"/>
      <c r="L44" s="15" t="s">
        <v>796</v>
      </c>
    </row>
    <row r="45" spans="1:12" x14ac:dyDescent="0.35">
      <c r="A45" s="15" t="s">
        <v>3867</v>
      </c>
      <c r="B45" s="16">
        <v>45401</v>
      </c>
      <c r="C45" s="15">
        <v>2024</v>
      </c>
      <c r="D45" s="15" t="s">
        <v>568</v>
      </c>
      <c r="E45" s="15" t="s">
        <v>875</v>
      </c>
      <c r="F45" s="17">
        <v>1000000</v>
      </c>
      <c r="G45" s="15" t="s">
        <v>31</v>
      </c>
      <c r="H45" s="15" t="s">
        <v>74</v>
      </c>
      <c r="I45" s="15" t="s">
        <v>143</v>
      </c>
      <c r="J45" s="15">
        <v>349</v>
      </c>
      <c r="K45" s="15" t="s">
        <v>3868</v>
      </c>
      <c r="L45" s="15" t="s">
        <v>3869</v>
      </c>
    </row>
    <row r="46" spans="1:12" x14ac:dyDescent="0.35">
      <c r="A46" s="15" t="s">
        <v>3870</v>
      </c>
      <c r="B46" s="16">
        <v>45404</v>
      </c>
      <c r="C46" s="15">
        <v>2024</v>
      </c>
      <c r="D46" s="15" t="s">
        <v>147</v>
      </c>
      <c r="E46" s="15" t="s">
        <v>148</v>
      </c>
      <c r="F46" s="17">
        <v>3000000</v>
      </c>
      <c r="G46" s="15" t="s">
        <v>28</v>
      </c>
      <c r="H46" s="15" t="s">
        <v>74</v>
      </c>
      <c r="I46" s="15" t="s">
        <v>143</v>
      </c>
      <c r="J46" s="15">
        <v>293</v>
      </c>
      <c r="K46" s="15" t="s">
        <v>3871</v>
      </c>
      <c r="L46" s="15" t="s">
        <v>803</v>
      </c>
    </row>
    <row r="47" spans="1:12" x14ac:dyDescent="0.35">
      <c r="A47" s="15" t="s">
        <v>3872</v>
      </c>
      <c r="B47" s="16">
        <v>45404</v>
      </c>
      <c r="C47" s="15">
        <v>2024</v>
      </c>
      <c r="D47" s="15" t="s">
        <v>147</v>
      </c>
      <c r="E47" s="15" t="s">
        <v>148</v>
      </c>
      <c r="F47" s="17">
        <v>300000</v>
      </c>
      <c r="G47" s="15" t="s">
        <v>36</v>
      </c>
      <c r="H47" s="15" t="s">
        <v>76</v>
      </c>
      <c r="I47" s="15" t="s">
        <v>149</v>
      </c>
      <c r="J47" s="15">
        <v>52</v>
      </c>
      <c r="K47" s="15"/>
      <c r="L47" s="15" t="s">
        <v>803</v>
      </c>
    </row>
    <row r="48" spans="1:12" x14ac:dyDescent="0.35">
      <c r="A48" s="15" t="s">
        <v>3873</v>
      </c>
      <c r="B48" s="16">
        <v>45408</v>
      </c>
      <c r="C48" s="15">
        <v>2024</v>
      </c>
      <c r="D48" s="15" t="s">
        <v>713</v>
      </c>
      <c r="E48" s="15" t="s">
        <v>714</v>
      </c>
      <c r="F48" s="17">
        <v>500000</v>
      </c>
      <c r="G48" s="15" t="s">
        <v>31</v>
      </c>
      <c r="H48" s="15" t="s">
        <v>74</v>
      </c>
      <c r="I48" s="15" t="s">
        <v>143</v>
      </c>
      <c r="J48" s="15">
        <v>261</v>
      </c>
      <c r="K48" s="15"/>
      <c r="L48" s="15" t="s">
        <v>814</v>
      </c>
    </row>
    <row r="49" spans="1:12" x14ac:dyDescent="0.35">
      <c r="A49" s="15" t="s">
        <v>3874</v>
      </c>
      <c r="B49" s="16">
        <v>45408</v>
      </c>
      <c r="C49" s="15">
        <v>2024</v>
      </c>
      <c r="D49" s="15" t="s">
        <v>3579</v>
      </c>
      <c r="E49" s="15" t="s">
        <v>3580</v>
      </c>
      <c r="F49" s="17">
        <v>500000</v>
      </c>
      <c r="G49" s="15" t="s">
        <v>36</v>
      </c>
      <c r="H49" s="15" t="s">
        <v>76</v>
      </c>
      <c r="I49" s="15" t="s">
        <v>169</v>
      </c>
      <c r="J49" s="15">
        <v>21</v>
      </c>
      <c r="K49" s="15"/>
      <c r="L49" s="15" t="s">
        <v>814</v>
      </c>
    </row>
    <row r="50" spans="1:12" x14ac:dyDescent="0.35">
      <c r="A50" s="15" t="s">
        <v>3875</v>
      </c>
      <c r="B50" s="16">
        <v>45409</v>
      </c>
      <c r="C50" s="15">
        <v>2024</v>
      </c>
      <c r="D50" s="15" t="s">
        <v>620</v>
      </c>
      <c r="E50" s="15" t="s">
        <v>621</v>
      </c>
      <c r="F50" s="17">
        <v>93000</v>
      </c>
      <c r="G50" s="15" t="s">
        <v>36</v>
      </c>
      <c r="H50" s="15" t="s">
        <v>76</v>
      </c>
      <c r="I50" s="15" t="s">
        <v>1830</v>
      </c>
      <c r="J50" s="15">
        <v>25</v>
      </c>
      <c r="K50" s="15"/>
      <c r="L50" s="15" t="s">
        <v>822</v>
      </c>
    </row>
    <row r="51" spans="1:12" x14ac:dyDescent="0.35">
      <c r="A51" s="15" t="s">
        <v>3876</v>
      </c>
      <c r="B51" s="16">
        <v>45412</v>
      </c>
      <c r="C51" s="15">
        <v>2024</v>
      </c>
      <c r="D51" s="15" t="s">
        <v>208</v>
      </c>
      <c r="E51" s="15" t="s">
        <v>257</v>
      </c>
      <c r="F51" s="17">
        <v>1055750</v>
      </c>
      <c r="G51" s="15" t="s">
        <v>28</v>
      </c>
      <c r="H51" s="15" t="s">
        <v>74</v>
      </c>
      <c r="I51" s="15" t="s">
        <v>143</v>
      </c>
      <c r="J51" s="15">
        <v>23</v>
      </c>
      <c r="K51" s="15" t="s">
        <v>3877</v>
      </c>
      <c r="L51" s="15" t="s">
        <v>832</v>
      </c>
    </row>
    <row r="52" spans="1:12" x14ac:dyDescent="0.35">
      <c r="A52" s="15" t="s">
        <v>3878</v>
      </c>
      <c r="B52" s="16">
        <v>45412</v>
      </c>
      <c r="C52" s="15">
        <v>2024</v>
      </c>
      <c r="D52" s="15" t="s">
        <v>208</v>
      </c>
      <c r="E52" s="15" t="s">
        <v>257</v>
      </c>
      <c r="F52" s="17">
        <v>44250</v>
      </c>
      <c r="G52" s="15" t="s">
        <v>31</v>
      </c>
      <c r="H52" s="15" t="s">
        <v>74</v>
      </c>
      <c r="I52" s="15" t="s">
        <v>143</v>
      </c>
      <c r="J52" s="15">
        <v>338</v>
      </c>
      <c r="K52" s="15" t="s">
        <v>3879</v>
      </c>
      <c r="L52" s="15" t="s">
        <v>832</v>
      </c>
    </row>
    <row r="53" spans="1:12" x14ac:dyDescent="0.35">
      <c r="A53" s="15" t="s">
        <v>3880</v>
      </c>
      <c r="B53" s="16">
        <v>45412</v>
      </c>
      <c r="C53" s="15">
        <v>2024</v>
      </c>
      <c r="D53" s="15" t="s">
        <v>203</v>
      </c>
      <c r="E53" s="15" t="s">
        <v>831</v>
      </c>
      <c r="F53" s="17">
        <v>380000</v>
      </c>
      <c r="G53" s="15" t="s">
        <v>36</v>
      </c>
      <c r="H53" s="15" t="s">
        <v>76</v>
      </c>
      <c r="I53" s="15" t="s">
        <v>1800</v>
      </c>
      <c r="J53" s="15">
        <v>21</v>
      </c>
      <c r="K53" s="15"/>
      <c r="L53" s="15" t="s">
        <v>832</v>
      </c>
    </row>
    <row r="54" spans="1:12" x14ac:dyDescent="0.35">
      <c r="A54" s="15" t="s">
        <v>3881</v>
      </c>
      <c r="B54" s="16">
        <v>45414</v>
      </c>
      <c r="C54" s="15">
        <v>2024</v>
      </c>
      <c r="D54" s="15" t="s">
        <v>152</v>
      </c>
      <c r="E54" s="15" t="s">
        <v>153</v>
      </c>
      <c r="F54" s="17">
        <v>700000</v>
      </c>
      <c r="G54" s="15" t="s">
        <v>36</v>
      </c>
      <c r="H54" s="15" t="s">
        <v>76</v>
      </c>
      <c r="I54" s="15" t="s">
        <v>169</v>
      </c>
      <c r="J54" s="15">
        <v>42</v>
      </c>
      <c r="K54" s="15"/>
      <c r="L54" s="15" t="s">
        <v>853</v>
      </c>
    </row>
    <row r="55" spans="1:12" x14ac:dyDescent="0.35">
      <c r="A55" s="15" t="s">
        <v>3882</v>
      </c>
      <c r="B55" s="16">
        <v>45419</v>
      </c>
      <c r="C55" s="15">
        <v>2024</v>
      </c>
      <c r="D55" s="15" t="s">
        <v>924</v>
      </c>
      <c r="E55" s="15" t="s">
        <v>925</v>
      </c>
      <c r="F55" s="17">
        <v>2685000</v>
      </c>
      <c r="G55" s="15" t="s">
        <v>31</v>
      </c>
      <c r="H55" s="15" t="s">
        <v>74</v>
      </c>
      <c r="I55" s="15" t="s">
        <v>143</v>
      </c>
      <c r="J55" s="15">
        <v>330</v>
      </c>
      <c r="K55" s="15" t="s">
        <v>3883</v>
      </c>
      <c r="L55" s="15" t="s">
        <v>3884</v>
      </c>
    </row>
    <row r="56" spans="1:12" x14ac:dyDescent="0.35">
      <c r="A56" s="15" t="s">
        <v>3885</v>
      </c>
      <c r="B56" s="16">
        <v>45421</v>
      </c>
      <c r="C56" s="15">
        <v>2024</v>
      </c>
      <c r="D56" s="15" t="s">
        <v>132</v>
      </c>
      <c r="E56" s="15" t="s">
        <v>133</v>
      </c>
      <c r="F56" s="17">
        <v>800245</v>
      </c>
      <c r="G56" s="15" t="s">
        <v>36</v>
      </c>
      <c r="H56" s="15" t="s">
        <v>76</v>
      </c>
      <c r="I56" s="15" t="s">
        <v>135</v>
      </c>
      <c r="J56" s="15">
        <v>76</v>
      </c>
      <c r="K56" s="15"/>
      <c r="L56" s="15" t="s">
        <v>868</v>
      </c>
    </row>
    <row r="57" spans="1:12" x14ac:dyDescent="0.35">
      <c r="A57" s="15" t="s">
        <v>3886</v>
      </c>
      <c r="B57" s="16">
        <v>45429</v>
      </c>
      <c r="C57" s="15">
        <v>2024</v>
      </c>
      <c r="D57" s="15" t="s">
        <v>3567</v>
      </c>
      <c r="E57" s="15" t="s">
        <v>3568</v>
      </c>
      <c r="F57" s="17">
        <v>1000000</v>
      </c>
      <c r="G57" s="15" t="s">
        <v>36</v>
      </c>
      <c r="H57" s="15" t="s">
        <v>76</v>
      </c>
      <c r="I57" s="15" t="s">
        <v>1830</v>
      </c>
      <c r="J57" s="15">
        <v>41</v>
      </c>
      <c r="K57" s="15"/>
      <c r="L57" s="15" t="s">
        <v>899</v>
      </c>
    </row>
    <row r="58" spans="1:12" x14ac:dyDescent="0.35">
      <c r="A58" s="15" t="s">
        <v>3887</v>
      </c>
      <c r="B58" s="16">
        <v>45439</v>
      </c>
      <c r="C58" s="15">
        <v>2024</v>
      </c>
      <c r="D58" s="15" t="s">
        <v>132</v>
      </c>
      <c r="E58" s="15" t="s">
        <v>133</v>
      </c>
      <c r="F58" s="17">
        <v>150000</v>
      </c>
      <c r="G58" s="15" t="s">
        <v>36</v>
      </c>
      <c r="H58" s="15" t="s">
        <v>76</v>
      </c>
      <c r="I58" s="15" t="s">
        <v>135</v>
      </c>
      <c r="J58" s="15">
        <v>84</v>
      </c>
      <c r="K58" s="15"/>
      <c r="L58" s="15" t="s">
        <v>944</v>
      </c>
    </row>
    <row r="59" spans="1:12" x14ac:dyDescent="0.35">
      <c r="A59" s="15" t="s">
        <v>3888</v>
      </c>
      <c r="B59" s="16">
        <v>45440</v>
      </c>
      <c r="C59" s="15">
        <v>2024</v>
      </c>
      <c r="D59" s="15" t="s">
        <v>3579</v>
      </c>
      <c r="E59" s="15" t="s">
        <v>3580</v>
      </c>
      <c r="F59" s="17">
        <v>295000</v>
      </c>
      <c r="G59" s="15" t="s">
        <v>36</v>
      </c>
      <c r="H59" s="15" t="s">
        <v>76</v>
      </c>
      <c r="I59" s="15" t="s">
        <v>169</v>
      </c>
      <c r="J59" s="15">
        <v>22</v>
      </c>
      <c r="K59" s="15"/>
      <c r="L59" s="15" t="s">
        <v>949</v>
      </c>
    </row>
    <row r="60" spans="1:12" x14ac:dyDescent="0.35">
      <c r="A60" s="15" t="s">
        <v>3889</v>
      </c>
      <c r="B60" s="16">
        <v>45450</v>
      </c>
      <c r="C60" s="15">
        <v>2024</v>
      </c>
      <c r="D60" s="15" t="s">
        <v>905</v>
      </c>
      <c r="E60" s="15" t="s">
        <v>906</v>
      </c>
      <c r="F60" s="17">
        <v>700000</v>
      </c>
      <c r="G60" s="15" t="s">
        <v>36</v>
      </c>
      <c r="H60" s="15" t="s">
        <v>76</v>
      </c>
      <c r="I60" s="15" t="s">
        <v>169</v>
      </c>
      <c r="J60" s="15">
        <v>58</v>
      </c>
      <c r="K60" s="15"/>
      <c r="L60" s="15" t="s">
        <v>3890</v>
      </c>
    </row>
    <row r="61" spans="1:12" x14ac:dyDescent="0.35">
      <c r="A61" s="15" t="s">
        <v>3891</v>
      </c>
      <c r="B61" s="16">
        <v>45456</v>
      </c>
      <c r="C61" s="15">
        <v>2024</v>
      </c>
      <c r="D61" s="15" t="s">
        <v>3567</v>
      </c>
      <c r="E61" s="15" t="s">
        <v>3568</v>
      </c>
      <c r="F61" s="17">
        <v>796000</v>
      </c>
      <c r="G61" s="15" t="s">
        <v>36</v>
      </c>
      <c r="H61" s="15" t="s">
        <v>76</v>
      </c>
      <c r="I61" s="15" t="s">
        <v>1830</v>
      </c>
      <c r="J61" s="15">
        <v>49</v>
      </c>
      <c r="K61" s="15"/>
      <c r="L61" s="15" t="s">
        <v>1015</v>
      </c>
    </row>
    <row r="62" spans="1:12" x14ac:dyDescent="0.35">
      <c r="A62" s="15" t="s">
        <v>3892</v>
      </c>
      <c r="B62" s="16">
        <v>45456</v>
      </c>
      <c r="C62" s="15">
        <v>2024</v>
      </c>
      <c r="D62" s="15" t="s">
        <v>285</v>
      </c>
      <c r="E62" s="15" t="s">
        <v>530</v>
      </c>
      <c r="F62" s="17">
        <v>45632</v>
      </c>
      <c r="G62" s="15" t="s">
        <v>36</v>
      </c>
      <c r="H62" s="15" t="s">
        <v>76</v>
      </c>
      <c r="I62" s="15" t="s">
        <v>1800</v>
      </c>
      <c r="J62" s="15">
        <v>37</v>
      </c>
      <c r="K62" s="15"/>
      <c r="L62" s="15" t="s">
        <v>1015</v>
      </c>
    </row>
    <row r="63" spans="1:12" x14ac:dyDescent="0.35">
      <c r="A63" s="15" t="s">
        <v>3893</v>
      </c>
      <c r="B63" s="16">
        <v>45471</v>
      </c>
      <c r="C63" s="15">
        <v>2024</v>
      </c>
      <c r="D63" s="15" t="s">
        <v>3579</v>
      </c>
      <c r="E63" s="15" t="s">
        <v>3580</v>
      </c>
      <c r="F63" s="17">
        <v>295000</v>
      </c>
      <c r="G63" s="15" t="s">
        <v>36</v>
      </c>
      <c r="H63" s="15" t="s">
        <v>76</v>
      </c>
      <c r="I63" s="15" t="s">
        <v>169</v>
      </c>
      <c r="J63" s="15">
        <v>65</v>
      </c>
      <c r="K63" s="15"/>
      <c r="L63" s="15" t="s">
        <v>1074</v>
      </c>
    </row>
    <row r="64" spans="1:12" x14ac:dyDescent="0.35">
      <c r="A64" s="15" t="s">
        <v>3894</v>
      </c>
      <c r="B64" s="16">
        <v>45500</v>
      </c>
      <c r="C64" s="15">
        <v>2024</v>
      </c>
      <c r="D64" s="15" t="s">
        <v>3579</v>
      </c>
      <c r="E64" s="15" t="s">
        <v>3580</v>
      </c>
      <c r="F64" s="17">
        <v>300000</v>
      </c>
      <c r="G64" s="15" t="s">
        <v>36</v>
      </c>
      <c r="H64" s="15" t="s">
        <v>76</v>
      </c>
      <c r="I64" s="15" t="s">
        <v>169</v>
      </c>
      <c r="J64" s="15">
        <v>80</v>
      </c>
      <c r="K64" s="15"/>
      <c r="L64" s="15" t="s">
        <v>1158</v>
      </c>
    </row>
    <row r="65" spans="1:12" x14ac:dyDescent="0.35">
      <c r="A65" s="15" t="s">
        <v>3895</v>
      </c>
      <c r="B65" s="16">
        <v>45504</v>
      </c>
      <c r="C65" s="15">
        <v>2024</v>
      </c>
      <c r="D65" s="15" t="s">
        <v>1147</v>
      </c>
      <c r="E65" s="15" t="s">
        <v>1148</v>
      </c>
      <c r="F65" s="17">
        <v>2750000</v>
      </c>
      <c r="G65" s="15" t="s">
        <v>36</v>
      </c>
      <c r="H65" s="15" t="s">
        <v>76</v>
      </c>
      <c r="I65" s="15" t="s">
        <v>175</v>
      </c>
      <c r="J65" s="15">
        <v>80</v>
      </c>
      <c r="K65" s="15"/>
      <c r="L65" s="15" t="s">
        <v>1167</v>
      </c>
    </row>
    <row r="66" spans="1:12" x14ac:dyDescent="0.35">
      <c r="A66" s="15" t="s">
        <v>3896</v>
      </c>
      <c r="B66" s="16">
        <v>45505</v>
      </c>
      <c r="C66" s="15">
        <v>2024</v>
      </c>
      <c r="D66" s="15" t="s">
        <v>820</v>
      </c>
      <c r="E66" s="15" t="s">
        <v>821</v>
      </c>
      <c r="F66" s="17">
        <v>50000</v>
      </c>
      <c r="G66" s="15" t="s">
        <v>36</v>
      </c>
      <c r="H66" s="15" t="s">
        <v>76</v>
      </c>
      <c r="I66" s="15" t="s">
        <v>3851</v>
      </c>
      <c r="J66" s="15">
        <v>38</v>
      </c>
      <c r="K66" s="15"/>
      <c r="L66" s="15" t="s">
        <v>1174</v>
      </c>
    </row>
    <row r="67" spans="1:12" x14ac:dyDescent="0.35">
      <c r="A67" s="15" t="s">
        <v>3897</v>
      </c>
      <c r="B67" s="16">
        <v>45516</v>
      </c>
      <c r="C67" s="15">
        <v>2024</v>
      </c>
      <c r="D67" s="15" t="s">
        <v>167</v>
      </c>
      <c r="E67" s="15" t="s">
        <v>168</v>
      </c>
      <c r="F67" s="17">
        <v>3510000</v>
      </c>
      <c r="G67" s="15" t="s">
        <v>36</v>
      </c>
      <c r="H67" s="15" t="s">
        <v>76</v>
      </c>
      <c r="I67" s="15" t="s">
        <v>169</v>
      </c>
      <c r="J67" s="15">
        <v>89</v>
      </c>
      <c r="K67" s="15" t="s">
        <v>3898</v>
      </c>
      <c r="L67" s="15" t="s">
        <v>1218</v>
      </c>
    </row>
    <row r="68" spans="1:12" x14ac:dyDescent="0.35">
      <c r="A68" s="15" t="s">
        <v>3899</v>
      </c>
      <c r="B68" s="16">
        <v>45522</v>
      </c>
      <c r="C68" s="15">
        <v>2024</v>
      </c>
      <c r="D68" s="15" t="s">
        <v>3577</v>
      </c>
      <c r="E68" s="15" t="s">
        <v>3578</v>
      </c>
      <c r="F68" s="17">
        <v>256000</v>
      </c>
      <c r="G68" s="15" t="s">
        <v>36</v>
      </c>
      <c r="H68" s="15" t="s">
        <v>76</v>
      </c>
      <c r="I68" s="15" t="s">
        <v>3900</v>
      </c>
      <c r="J68" s="15">
        <v>35</v>
      </c>
      <c r="K68" s="15"/>
      <c r="L68" s="15" t="s">
        <v>1243</v>
      </c>
    </row>
    <row r="69" spans="1:12" x14ac:dyDescent="0.35">
      <c r="A69" s="15" t="s">
        <v>3901</v>
      </c>
      <c r="B69" s="16">
        <v>45524</v>
      </c>
      <c r="C69" s="15">
        <v>2024</v>
      </c>
      <c r="D69" s="15" t="s">
        <v>3577</v>
      </c>
      <c r="E69" s="15" t="s">
        <v>3578</v>
      </c>
      <c r="F69" s="17">
        <v>244000</v>
      </c>
      <c r="G69" s="15" t="s">
        <v>36</v>
      </c>
      <c r="H69" s="15" t="s">
        <v>76</v>
      </c>
      <c r="I69" s="15" t="s">
        <v>3900</v>
      </c>
      <c r="J69" s="15">
        <v>36</v>
      </c>
      <c r="K69" s="15"/>
      <c r="L69" s="15" t="s">
        <v>1248</v>
      </c>
    </row>
    <row r="70" spans="1:12" x14ac:dyDescent="0.35">
      <c r="A70" s="15" t="s">
        <v>3902</v>
      </c>
      <c r="B70" s="16">
        <v>45526</v>
      </c>
      <c r="C70" s="15">
        <v>2024</v>
      </c>
      <c r="D70" s="15" t="s">
        <v>1057</v>
      </c>
      <c r="E70" s="15" t="s">
        <v>1084</v>
      </c>
      <c r="F70" s="17">
        <v>1673000</v>
      </c>
      <c r="G70" s="15" t="s">
        <v>36</v>
      </c>
      <c r="H70" s="15" t="s">
        <v>76</v>
      </c>
      <c r="I70" s="15" t="s">
        <v>3903</v>
      </c>
      <c r="J70" s="15">
        <v>30</v>
      </c>
      <c r="K70" s="15"/>
      <c r="L70" s="15" t="s">
        <v>1254</v>
      </c>
    </row>
    <row r="71" spans="1:12" x14ac:dyDescent="0.35">
      <c r="A71" s="15" t="s">
        <v>3904</v>
      </c>
      <c r="B71" s="16">
        <v>45527</v>
      </c>
      <c r="C71" s="15">
        <v>2024</v>
      </c>
      <c r="D71" s="15" t="s">
        <v>397</v>
      </c>
      <c r="E71" s="15" t="s">
        <v>921</v>
      </c>
      <c r="F71" s="17">
        <v>608060</v>
      </c>
      <c r="G71" s="15" t="s">
        <v>36</v>
      </c>
      <c r="H71" s="15" t="s">
        <v>76</v>
      </c>
      <c r="I71" s="15" t="s">
        <v>246</v>
      </c>
      <c r="J71" s="15">
        <v>25</v>
      </c>
      <c r="K71" s="15"/>
      <c r="L71" s="15" t="s">
        <v>1256</v>
      </c>
    </row>
    <row r="72" spans="1:12" x14ac:dyDescent="0.35">
      <c r="A72" s="15" t="s">
        <v>3905</v>
      </c>
      <c r="B72" s="16">
        <v>45527</v>
      </c>
      <c r="C72" s="15">
        <v>2024</v>
      </c>
      <c r="D72" s="15" t="s">
        <v>1360</v>
      </c>
      <c r="E72" s="15" t="s">
        <v>2871</v>
      </c>
      <c r="F72" s="17">
        <v>2000000</v>
      </c>
      <c r="G72" s="15" t="s">
        <v>36</v>
      </c>
      <c r="H72" s="15" t="s">
        <v>76</v>
      </c>
      <c r="I72" s="15" t="s">
        <v>1852</v>
      </c>
      <c r="J72" s="15">
        <v>8</v>
      </c>
      <c r="K72" s="15"/>
      <c r="L72" s="15" t="s">
        <v>1256</v>
      </c>
    </row>
    <row r="73" spans="1:12" x14ac:dyDescent="0.35">
      <c r="A73" s="15" t="s">
        <v>3906</v>
      </c>
      <c r="B73" s="16">
        <v>45536</v>
      </c>
      <c r="C73" s="15">
        <v>2024</v>
      </c>
      <c r="D73" s="15" t="s">
        <v>1272</v>
      </c>
      <c r="E73" s="15" t="s">
        <v>1273</v>
      </c>
      <c r="F73" s="17">
        <v>5000000</v>
      </c>
      <c r="G73" s="15" t="s">
        <v>36</v>
      </c>
      <c r="H73" s="15" t="s">
        <v>76</v>
      </c>
      <c r="I73" s="15" t="s">
        <v>1840</v>
      </c>
      <c r="J73" s="15">
        <v>51</v>
      </c>
      <c r="K73" s="15"/>
      <c r="L73" s="15" t="s">
        <v>1291</v>
      </c>
    </row>
    <row r="74" spans="1:12" x14ac:dyDescent="0.35">
      <c r="A74" s="15" t="s">
        <v>3907</v>
      </c>
      <c r="B74" s="16">
        <v>45545</v>
      </c>
      <c r="C74" s="15">
        <v>2024</v>
      </c>
      <c r="D74" s="15" t="s">
        <v>3577</v>
      </c>
      <c r="E74" s="15" t="s">
        <v>3578</v>
      </c>
      <c r="F74" s="17">
        <v>1300000</v>
      </c>
      <c r="G74" s="15" t="s">
        <v>36</v>
      </c>
      <c r="H74" s="15" t="s">
        <v>76</v>
      </c>
      <c r="I74" s="15" t="s">
        <v>3900</v>
      </c>
      <c r="J74" s="15">
        <v>43</v>
      </c>
      <c r="K74" s="15"/>
      <c r="L74" s="15" t="s">
        <v>1329</v>
      </c>
    </row>
    <row r="75" spans="1:12" x14ac:dyDescent="0.35">
      <c r="A75" s="15" t="s">
        <v>3908</v>
      </c>
      <c r="B75" s="16">
        <v>45545</v>
      </c>
      <c r="C75" s="15">
        <v>2024</v>
      </c>
      <c r="D75" s="15" t="s">
        <v>988</v>
      </c>
      <c r="E75" s="15" t="s">
        <v>3909</v>
      </c>
      <c r="F75" s="17">
        <v>555000</v>
      </c>
      <c r="G75" s="15" t="s">
        <v>36</v>
      </c>
      <c r="H75" s="15" t="s">
        <v>76</v>
      </c>
      <c r="I75" s="15" t="s">
        <v>1795</v>
      </c>
      <c r="J75" s="15">
        <v>29</v>
      </c>
      <c r="K75" s="15"/>
      <c r="L75" s="15" t="s">
        <v>1329</v>
      </c>
    </row>
    <row r="76" spans="1:12" x14ac:dyDescent="0.35">
      <c r="A76" s="15" t="s">
        <v>3910</v>
      </c>
      <c r="B76" s="16">
        <v>45552</v>
      </c>
      <c r="C76" s="15">
        <v>2024</v>
      </c>
      <c r="D76" s="15" t="s">
        <v>1346</v>
      </c>
      <c r="E76" s="15" t="s">
        <v>1347</v>
      </c>
      <c r="F76" s="17">
        <v>11700000</v>
      </c>
      <c r="G76" s="15" t="s">
        <v>36</v>
      </c>
      <c r="H76" s="15" t="s">
        <v>76</v>
      </c>
      <c r="I76" s="15" t="s">
        <v>1814</v>
      </c>
      <c r="J76" s="15">
        <v>22</v>
      </c>
      <c r="K76" s="15"/>
      <c r="L76" s="15" t="s">
        <v>1343</v>
      </c>
    </row>
    <row r="77" spans="1:12" x14ac:dyDescent="0.35">
      <c r="A77" s="15" t="s">
        <v>3911</v>
      </c>
      <c r="B77" s="16">
        <v>45563</v>
      </c>
      <c r="C77" s="15">
        <v>2024</v>
      </c>
      <c r="D77" s="15" t="s">
        <v>3577</v>
      </c>
      <c r="E77" s="15" t="s">
        <v>3578</v>
      </c>
      <c r="F77" s="17">
        <v>2000000</v>
      </c>
      <c r="G77" s="15" t="s">
        <v>36</v>
      </c>
      <c r="H77" s="15" t="s">
        <v>76</v>
      </c>
      <c r="I77" s="15" t="s">
        <v>3900</v>
      </c>
      <c r="J77" s="15">
        <v>37</v>
      </c>
      <c r="K77" s="15"/>
      <c r="L77" s="15" t="s">
        <v>1398</v>
      </c>
    </row>
    <row r="78" spans="1:12" x14ac:dyDescent="0.35">
      <c r="A78" s="15" t="s">
        <v>3912</v>
      </c>
      <c r="B78" s="16">
        <v>45587</v>
      </c>
      <c r="C78" s="15">
        <v>2024</v>
      </c>
      <c r="D78" s="15" t="s">
        <v>704</v>
      </c>
      <c r="E78" s="15" t="s">
        <v>705</v>
      </c>
      <c r="F78" s="17">
        <v>350000</v>
      </c>
      <c r="G78" s="15" t="s">
        <v>36</v>
      </c>
      <c r="H78" s="15" t="s">
        <v>76</v>
      </c>
      <c r="I78" s="15" t="s">
        <v>1800</v>
      </c>
      <c r="J78" s="15">
        <v>69</v>
      </c>
      <c r="K78" s="15"/>
      <c r="L78" s="15" t="s">
        <v>1475</v>
      </c>
    </row>
    <row r="79" spans="1:12" x14ac:dyDescent="0.35">
      <c r="A79" s="15" t="s">
        <v>3913</v>
      </c>
      <c r="B79" s="16">
        <v>45587</v>
      </c>
      <c r="C79" s="15">
        <v>2024</v>
      </c>
      <c r="D79" s="15" t="s">
        <v>1365</v>
      </c>
      <c r="E79" s="15" t="s">
        <v>1366</v>
      </c>
      <c r="F79" s="17">
        <v>2000000</v>
      </c>
      <c r="G79" s="15" t="s">
        <v>36</v>
      </c>
      <c r="H79" s="15" t="s">
        <v>76</v>
      </c>
      <c r="I79" s="15" t="s">
        <v>1800</v>
      </c>
      <c r="J79" s="15">
        <v>70</v>
      </c>
      <c r="K79" s="15"/>
      <c r="L79" s="15" t="s">
        <v>1475</v>
      </c>
    </row>
    <row r="80" spans="1:12" x14ac:dyDescent="0.35">
      <c r="A80" s="15" t="s">
        <v>3914</v>
      </c>
      <c r="B80" s="16">
        <v>45591</v>
      </c>
      <c r="C80" s="15">
        <v>2024</v>
      </c>
      <c r="D80" s="15" t="s">
        <v>997</v>
      </c>
      <c r="E80" s="15" t="s">
        <v>998</v>
      </c>
      <c r="F80" s="17">
        <v>525000</v>
      </c>
      <c r="G80" s="15" t="s">
        <v>36</v>
      </c>
      <c r="H80" s="15" t="s">
        <v>76</v>
      </c>
      <c r="I80" s="15" t="s">
        <v>3915</v>
      </c>
      <c r="J80" s="15">
        <v>18</v>
      </c>
      <c r="K80" s="15"/>
      <c r="L80" s="15" t="s">
        <v>1500</v>
      </c>
    </row>
    <row r="81" spans="1:12" x14ac:dyDescent="0.35">
      <c r="A81" s="15" t="s">
        <v>3916</v>
      </c>
      <c r="B81" s="16">
        <v>45591</v>
      </c>
      <c r="C81" s="15">
        <v>2024</v>
      </c>
      <c r="D81" s="15" t="s">
        <v>1023</v>
      </c>
      <c r="E81" s="15" t="s">
        <v>1024</v>
      </c>
      <c r="F81" s="17">
        <v>612500</v>
      </c>
      <c r="G81" s="15" t="s">
        <v>36</v>
      </c>
      <c r="H81" s="15" t="s">
        <v>76</v>
      </c>
      <c r="I81" s="15" t="s">
        <v>1804</v>
      </c>
      <c r="J81" s="15">
        <v>37</v>
      </c>
      <c r="K81" s="15"/>
      <c r="L81" s="15" t="s">
        <v>1500</v>
      </c>
    </row>
    <row r="82" spans="1:12" x14ac:dyDescent="0.35">
      <c r="A82" s="15" t="s">
        <v>3917</v>
      </c>
      <c r="B82" s="16">
        <v>45595</v>
      </c>
      <c r="C82" s="15">
        <v>2024</v>
      </c>
      <c r="D82" s="15" t="s">
        <v>1519</v>
      </c>
      <c r="E82" s="15" t="s">
        <v>1520</v>
      </c>
      <c r="F82" s="17">
        <v>300000</v>
      </c>
      <c r="G82" s="15" t="s">
        <v>36</v>
      </c>
      <c r="H82" s="15" t="s">
        <v>76</v>
      </c>
      <c r="I82" s="15" t="s">
        <v>1814</v>
      </c>
      <c r="J82" s="15">
        <v>79</v>
      </c>
      <c r="K82" s="15"/>
      <c r="L82" s="15" t="s">
        <v>1516</v>
      </c>
    </row>
    <row r="83" spans="1:12" x14ac:dyDescent="0.35">
      <c r="A83" s="15" t="s">
        <v>3918</v>
      </c>
      <c r="B83" s="16">
        <v>45596</v>
      </c>
      <c r="C83" s="15">
        <v>2024</v>
      </c>
      <c r="D83" s="15" t="s">
        <v>1481</v>
      </c>
      <c r="E83" s="15" t="s">
        <v>1482</v>
      </c>
      <c r="F83" s="17">
        <v>10000000</v>
      </c>
      <c r="G83" s="15" t="s">
        <v>40</v>
      </c>
      <c r="H83" s="15" t="s">
        <v>76</v>
      </c>
      <c r="I83" s="15" t="s">
        <v>1790</v>
      </c>
      <c r="J83" s="15">
        <v>6</v>
      </c>
      <c r="K83" s="15"/>
      <c r="L83" s="15" t="s">
        <v>1530</v>
      </c>
    </row>
    <row r="84" spans="1:12" x14ac:dyDescent="0.35">
      <c r="A84" s="15" t="s">
        <v>3919</v>
      </c>
      <c r="B84" s="16">
        <v>45598</v>
      </c>
      <c r="C84" s="15">
        <v>2024</v>
      </c>
      <c r="D84" s="15" t="s">
        <v>1341</v>
      </c>
      <c r="E84" s="15" t="s">
        <v>1342</v>
      </c>
      <c r="F84" s="17">
        <v>300000</v>
      </c>
      <c r="G84" s="15" t="s">
        <v>36</v>
      </c>
      <c r="H84" s="15" t="s">
        <v>76</v>
      </c>
      <c r="I84" s="15" t="s">
        <v>276</v>
      </c>
      <c r="J84" s="15">
        <v>19</v>
      </c>
      <c r="K84" s="15"/>
      <c r="L84" s="15" t="s">
        <v>1542</v>
      </c>
    </row>
    <row r="85" spans="1:12" x14ac:dyDescent="0.35">
      <c r="A85" s="15" t="s">
        <v>3920</v>
      </c>
      <c r="B85" s="16">
        <v>45601</v>
      </c>
      <c r="C85" s="15">
        <v>2024</v>
      </c>
      <c r="D85" s="15" t="s">
        <v>1410</v>
      </c>
      <c r="E85" s="15" t="s">
        <v>2900</v>
      </c>
      <c r="F85" s="17">
        <v>100000</v>
      </c>
      <c r="G85" s="15" t="s">
        <v>36</v>
      </c>
      <c r="H85" s="15" t="s">
        <v>76</v>
      </c>
      <c r="I85" s="15" t="s">
        <v>1788</v>
      </c>
      <c r="J85" s="15">
        <v>17</v>
      </c>
      <c r="K85" s="15"/>
      <c r="L85" s="15" t="s">
        <v>1556</v>
      </c>
    </row>
    <row r="86" spans="1:12" x14ac:dyDescent="0.35">
      <c r="A86" s="15" t="s">
        <v>3921</v>
      </c>
      <c r="B86" s="16">
        <v>45611</v>
      </c>
      <c r="C86" s="15">
        <v>2024</v>
      </c>
      <c r="D86" s="15" t="s">
        <v>1231</v>
      </c>
      <c r="E86" s="15" t="s">
        <v>1232</v>
      </c>
      <c r="F86" s="17">
        <v>1532500</v>
      </c>
      <c r="G86" s="15" t="s">
        <v>36</v>
      </c>
      <c r="H86" s="15" t="s">
        <v>76</v>
      </c>
      <c r="I86" s="15" t="s">
        <v>175</v>
      </c>
      <c r="J86" s="15">
        <v>120</v>
      </c>
      <c r="K86" s="15" t="s">
        <v>3922</v>
      </c>
      <c r="L86" s="15" t="s">
        <v>1600</v>
      </c>
    </row>
    <row r="87" spans="1:12" x14ac:dyDescent="0.35">
      <c r="A87" s="15" t="s">
        <v>3923</v>
      </c>
      <c r="B87" s="16">
        <v>45624</v>
      </c>
      <c r="C87" s="15">
        <v>2024</v>
      </c>
      <c r="D87" s="15" t="s">
        <v>1835</v>
      </c>
      <c r="E87" s="15" t="s">
        <v>1836</v>
      </c>
      <c r="F87" s="17">
        <v>500000</v>
      </c>
      <c r="G87" s="15" t="s">
        <v>36</v>
      </c>
      <c r="H87" s="15" t="s">
        <v>76</v>
      </c>
      <c r="I87" s="15" t="s">
        <v>1837</v>
      </c>
      <c r="J87" s="15">
        <v>2</v>
      </c>
      <c r="K87" s="15"/>
      <c r="L87" s="15" t="s">
        <v>1638</v>
      </c>
    </row>
    <row r="88" spans="1:12" x14ac:dyDescent="0.35">
      <c r="A88" s="15" t="s">
        <v>3924</v>
      </c>
      <c r="B88" s="16">
        <v>45628</v>
      </c>
      <c r="C88" s="15">
        <v>2024</v>
      </c>
      <c r="D88" s="15" t="s">
        <v>337</v>
      </c>
      <c r="E88" s="15" t="s">
        <v>671</v>
      </c>
      <c r="F88" s="17">
        <v>1600000</v>
      </c>
      <c r="G88" s="15" t="s">
        <v>36</v>
      </c>
      <c r="H88" s="15" t="s">
        <v>76</v>
      </c>
      <c r="I88" s="15" t="s">
        <v>1800</v>
      </c>
      <c r="J88" s="15">
        <v>90</v>
      </c>
      <c r="K88" s="15"/>
      <c r="L88" s="15" t="s">
        <v>1664</v>
      </c>
    </row>
    <row r="89" spans="1:12" x14ac:dyDescent="0.35">
      <c r="A89" s="15" t="s">
        <v>3925</v>
      </c>
      <c r="B89" s="16">
        <v>45635</v>
      </c>
      <c r="C89" s="15">
        <v>2024</v>
      </c>
      <c r="D89" s="15" t="s">
        <v>1481</v>
      </c>
      <c r="E89" s="15" t="s">
        <v>1482</v>
      </c>
      <c r="F89" s="17">
        <v>10000000</v>
      </c>
      <c r="G89" s="15" t="s">
        <v>40</v>
      </c>
      <c r="H89" s="15" t="s">
        <v>76</v>
      </c>
      <c r="I89" s="15" t="s">
        <v>1790</v>
      </c>
      <c r="J89" s="15">
        <v>66</v>
      </c>
      <c r="K89" s="15"/>
      <c r="L89" s="15" t="s">
        <v>1689</v>
      </c>
    </row>
    <row r="90" spans="1:12" x14ac:dyDescent="0.35">
      <c r="A90" s="15" t="s">
        <v>3926</v>
      </c>
      <c r="B90" s="16">
        <v>45640</v>
      </c>
      <c r="C90" s="15">
        <v>2024</v>
      </c>
      <c r="D90" s="15" t="s">
        <v>1645</v>
      </c>
      <c r="E90" s="15" t="s">
        <v>1699</v>
      </c>
      <c r="F90" s="17">
        <v>500000</v>
      </c>
      <c r="G90" s="15" t="s">
        <v>36</v>
      </c>
      <c r="H90" s="15" t="s">
        <v>76</v>
      </c>
      <c r="I90" s="15" t="s">
        <v>1800</v>
      </c>
      <c r="J90" s="15">
        <v>119</v>
      </c>
      <c r="K90" s="15"/>
      <c r="L90" s="15" t="s">
        <v>1700</v>
      </c>
    </row>
    <row r="91" spans="1:12" x14ac:dyDescent="0.35">
      <c r="A91" s="15" t="s">
        <v>3927</v>
      </c>
      <c r="B91" s="16">
        <v>45641</v>
      </c>
      <c r="C91" s="15">
        <v>2024</v>
      </c>
      <c r="D91" s="15" t="s">
        <v>3569</v>
      </c>
      <c r="E91" s="15" t="s">
        <v>3570</v>
      </c>
      <c r="F91" s="17">
        <v>2500000</v>
      </c>
      <c r="G91" s="15" t="s">
        <v>36</v>
      </c>
      <c r="H91" s="15" t="s">
        <v>76</v>
      </c>
      <c r="I91" s="15" t="s">
        <v>1840</v>
      </c>
      <c r="J91" s="15">
        <v>58</v>
      </c>
      <c r="K91" s="15"/>
      <c r="L91" s="15" t="s">
        <v>1705</v>
      </c>
    </row>
    <row r="92" spans="1:12" x14ac:dyDescent="0.35">
      <c r="A92" s="15" t="s">
        <v>3928</v>
      </c>
      <c r="B92" s="16">
        <v>45641</v>
      </c>
      <c r="C92" s="15">
        <v>2024</v>
      </c>
      <c r="D92" s="15" t="s">
        <v>1526</v>
      </c>
      <c r="E92" s="15" t="s">
        <v>1527</v>
      </c>
      <c r="F92" s="17">
        <v>4750000</v>
      </c>
      <c r="G92" s="15" t="s">
        <v>40</v>
      </c>
      <c r="H92" s="15" t="s">
        <v>76</v>
      </c>
      <c r="I92" s="15" t="s">
        <v>1790</v>
      </c>
      <c r="J92" s="15">
        <v>73</v>
      </c>
      <c r="K92" s="15"/>
      <c r="L92" s="15" t="s">
        <v>1705</v>
      </c>
    </row>
    <row r="93" spans="1:12" x14ac:dyDescent="0.35">
      <c r="A93" s="15" t="s">
        <v>3929</v>
      </c>
      <c r="B93" s="16">
        <v>45642</v>
      </c>
      <c r="C93" s="15">
        <v>2024</v>
      </c>
      <c r="D93" s="15" t="s">
        <v>568</v>
      </c>
      <c r="E93" s="15" t="s">
        <v>875</v>
      </c>
      <c r="F93" s="17">
        <v>2000000</v>
      </c>
      <c r="G93" s="15" t="s">
        <v>36</v>
      </c>
      <c r="H93" s="15" t="s">
        <v>76</v>
      </c>
      <c r="I93" s="15" t="s">
        <v>175</v>
      </c>
      <c r="J93" s="15">
        <v>128</v>
      </c>
      <c r="K93" s="15"/>
      <c r="L93" s="15" t="s">
        <v>1720</v>
      </c>
    </row>
    <row r="94" spans="1:12" x14ac:dyDescent="0.35">
      <c r="A94" s="15" t="s">
        <v>3930</v>
      </c>
      <c r="B94" s="16">
        <v>45650</v>
      </c>
      <c r="C94" s="15">
        <v>2024</v>
      </c>
      <c r="D94" s="15" t="s">
        <v>1835</v>
      </c>
      <c r="E94" s="15" t="s">
        <v>1836</v>
      </c>
      <c r="F94" s="17">
        <v>500000</v>
      </c>
      <c r="G94" s="15" t="s">
        <v>36</v>
      </c>
      <c r="H94" s="15" t="s">
        <v>76</v>
      </c>
      <c r="I94" s="15" t="s">
        <v>1837</v>
      </c>
      <c r="J94" s="15">
        <v>3</v>
      </c>
      <c r="K94" s="15"/>
      <c r="L94" s="15" t="s">
        <v>1738</v>
      </c>
    </row>
    <row r="95" spans="1:12" x14ac:dyDescent="0.35">
      <c r="E95" s="18" t="s">
        <v>19</v>
      </c>
      <c r="F95" s="19">
        <f>SUBTOTAL(9,F5:F94)</f>
        <v>138364537</v>
      </c>
    </row>
  </sheetData>
  <autoFilter ref="A4:L94"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8"/>
  <sheetViews>
    <sheetView tabSelected="1" zoomScaleNormal="100" workbookViewId="0">
      <selection activeCell="J9" sqref="J9"/>
    </sheetView>
  </sheetViews>
  <sheetFormatPr defaultColWidth="8.6328125" defaultRowHeight="14.5" x14ac:dyDescent="0.35"/>
  <cols>
    <col min="1" max="1" width="26" customWidth="1"/>
    <col min="2" max="2" width="12" customWidth="1"/>
    <col min="3" max="3" width="18" customWidth="1"/>
    <col min="4" max="4" width="30" customWidth="1"/>
    <col min="5" max="5" width="18" customWidth="1"/>
    <col min="6" max="6" width="16" customWidth="1"/>
    <col min="7" max="7" width="18" customWidth="1"/>
    <col min="8" max="8" width="14" customWidth="1"/>
  </cols>
  <sheetData>
    <row r="1" spans="1:8" ht="18" x14ac:dyDescent="0.4">
      <c r="A1" s="1" t="s">
        <v>3931</v>
      </c>
    </row>
    <row r="2" spans="1:8" x14ac:dyDescent="0.35">
      <c r="A2" s="2" t="s">
        <v>3932</v>
      </c>
    </row>
    <row r="4" spans="1:8" ht="30" customHeight="1" x14ac:dyDescent="0.35">
      <c r="A4" s="14" t="s">
        <v>124</v>
      </c>
      <c r="B4" s="14" t="s">
        <v>116</v>
      </c>
      <c r="C4" s="14" t="s">
        <v>3933</v>
      </c>
      <c r="D4" s="14" t="s">
        <v>3934</v>
      </c>
      <c r="E4" s="14" t="s">
        <v>3935</v>
      </c>
      <c r="F4" s="14" t="s">
        <v>3936</v>
      </c>
      <c r="G4" s="14" t="s">
        <v>3937</v>
      </c>
      <c r="H4" s="14" t="s">
        <v>3938</v>
      </c>
    </row>
    <row r="5" spans="1:8" x14ac:dyDescent="0.35">
      <c r="A5" s="15" t="s">
        <v>301</v>
      </c>
      <c r="B5" s="15" t="s">
        <v>298</v>
      </c>
      <c r="C5" s="20">
        <v>35270000</v>
      </c>
      <c r="D5" s="15" t="s">
        <v>3939</v>
      </c>
      <c r="E5" s="17">
        <f>SUMIFS(Sales_Ledger!$J$5:$J$863,Sales_Ledger!$N$5:$N$863,A5)</f>
        <v>35270000</v>
      </c>
      <c r="F5" s="17">
        <f>SUMIFS(Exclusions!$F$5:$F$108,Exclusions!$J$5:$J$108,A5)</f>
        <v>0</v>
      </c>
      <c r="G5" s="17">
        <f t="shared" ref="G5:G17" si="0">E5+F5</f>
        <v>35270000</v>
      </c>
      <c r="H5" s="17">
        <f t="shared" ref="H5:H17" si="1">IF(C5="","n/a",C5-G5)</f>
        <v>0</v>
      </c>
    </row>
    <row r="6" spans="1:8" x14ac:dyDescent="0.35">
      <c r="A6" s="15" t="s">
        <v>393</v>
      </c>
      <c r="B6" s="15" t="s">
        <v>392</v>
      </c>
      <c r="C6" s="20">
        <v>24084000</v>
      </c>
      <c r="D6" s="15" t="s">
        <v>3940</v>
      </c>
      <c r="E6" s="17">
        <f>SUMIFS(Sales_Ledger!$J$5:$J$863,Sales_Ledger!$N$5:$N$863,A6)</f>
        <v>24084000</v>
      </c>
      <c r="F6" s="17">
        <f>SUMIFS(Exclusions!$F$5:$F$108,Exclusions!$J$5:$J$108,A6)</f>
        <v>0</v>
      </c>
      <c r="G6" s="17">
        <f t="shared" si="0"/>
        <v>24084000</v>
      </c>
      <c r="H6" s="17">
        <f t="shared" si="1"/>
        <v>0</v>
      </c>
    </row>
    <row r="7" spans="1:8" x14ac:dyDescent="0.35">
      <c r="A7" s="15" t="s">
        <v>461</v>
      </c>
      <c r="B7" s="15" t="s">
        <v>460</v>
      </c>
      <c r="C7" s="20"/>
      <c r="D7" s="15" t="s">
        <v>3941</v>
      </c>
      <c r="E7" s="17">
        <f>SUMIFS(Sales_Ledger!$J$5:$J$863,Sales_Ledger!$N$5:$N$863,A7)</f>
        <v>38034850</v>
      </c>
      <c r="F7" s="17">
        <f>SUMIFS(Exclusions!$F$5:$F$108,Exclusions!$J$5:$J$108,A7)</f>
        <v>0</v>
      </c>
      <c r="G7" s="17">
        <f t="shared" si="0"/>
        <v>38034850</v>
      </c>
      <c r="H7" s="17" t="str">
        <f t="shared" si="1"/>
        <v>n/a</v>
      </c>
    </row>
    <row r="8" spans="1:8" x14ac:dyDescent="0.35">
      <c r="A8" s="15" t="s">
        <v>552</v>
      </c>
      <c r="B8" s="15" t="s">
        <v>551</v>
      </c>
      <c r="C8" s="20"/>
      <c r="D8" s="15" t="s">
        <v>3941</v>
      </c>
      <c r="E8" s="17">
        <f>SUMIFS(Sales_Ledger!$J$5:$J$863,Sales_Ledger!$N$5:$N$863,A8)</f>
        <v>70344850</v>
      </c>
      <c r="F8" s="17">
        <f>SUMIFS(Exclusions!$F$5:$F$108,Exclusions!$J$5:$J$108,A8)</f>
        <v>260000</v>
      </c>
      <c r="G8" s="17">
        <f t="shared" si="0"/>
        <v>70604850</v>
      </c>
      <c r="H8" s="17" t="str">
        <f t="shared" si="1"/>
        <v>n/a</v>
      </c>
    </row>
    <row r="9" spans="1:8" x14ac:dyDescent="0.35">
      <c r="A9" s="15" t="s">
        <v>733</v>
      </c>
      <c r="B9" s="15" t="s">
        <v>731</v>
      </c>
      <c r="C9" s="20"/>
      <c r="D9" s="15" t="s">
        <v>3941</v>
      </c>
      <c r="E9" s="17">
        <f>SUMIFS(Sales_Ledger!$J$5:$J$863,Sales_Ledger!$N$5:$N$863,A9)</f>
        <v>40973600</v>
      </c>
      <c r="F9" s="17">
        <f>SUMIFS(Exclusions!$F$5:$F$108,Exclusions!$J$5:$J$108,A9)</f>
        <v>0</v>
      </c>
      <c r="G9" s="17">
        <f t="shared" si="0"/>
        <v>40973600</v>
      </c>
      <c r="H9" s="17" t="str">
        <f t="shared" si="1"/>
        <v>n/a</v>
      </c>
    </row>
    <row r="10" spans="1:8" x14ac:dyDescent="0.35">
      <c r="A10" s="15" t="s">
        <v>846</v>
      </c>
      <c r="B10" s="15" t="s">
        <v>845</v>
      </c>
      <c r="C10" s="20"/>
      <c r="D10" s="15" t="s">
        <v>3941</v>
      </c>
      <c r="E10" s="17">
        <f>SUMIFS(Sales_Ledger!$J$5:$J$863,Sales_Ledger!$N$5:$N$863,A10)</f>
        <v>31140300</v>
      </c>
      <c r="F10" s="17">
        <f>SUMIFS(Exclusions!$F$5:$F$108,Exclusions!$J$5:$J$108,A10)</f>
        <v>0</v>
      </c>
      <c r="G10" s="17">
        <f t="shared" si="0"/>
        <v>31140300</v>
      </c>
      <c r="H10" s="17" t="str">
        <f t="shared" si="1"/>
        <v>n/a</v>
      </c>
    </row>
    <row r="11" spans="1:8" x14ac:dyDescent="0.35">
      <c r="A11" s="15" t="s">
        <v>936</v>
      </c>
      <c r="B11" s="15" t="s">
        <v>934</v>
      </c>
      <c r="C11" s="20"/>
      <c r="D11" s="15" t="s">
        <v>3941</v>
      </c>
      <c r="E11" s="17">
        <f>SUMIFS(Sales_Ledger!$J$5:$J$863,Sales_Ledger!$N$5:$N$863,A11)</f>
        <v>21033000</v>
      </c>
      <c r="F11" s="17">
        <f>SUMIFS(Exclusions!$F$5:$F$108,Exclusions!$J$5:$J$108,A11)</f>
        <v>5000000</v>
      </c>
      <c r="G11" s="17">
        <f t="shared" si="0"/>
        <v>26033000</v>
      </c>
      <c r="H11" s="17" t="str">
        <f t="shared" si="1"/>
        <v>n/a</v>
      </c>
    </row>
    <row r="12" spans="1:8" x14ac:dyDescent="0.35">
      <c r="A12" s="15" t="s">
        <v>1085</v>
      </c>
      <c r="B12" s="15" t="s">
        <v>1083</v>
      </c>
      <c r="C12" s="20">
        <v>23632000</v>
      </c>
      <c r="D12" s="15" t="s">
        <v>3942</v>
      </c>
      <c r="E12" s="17">
        <f>SUMIFS(Sales_Ledger!$J$5:$J$863,Sales_Ledger!$N$5:$N$863,A12)</f>
        <v>17932000</v>
      </c>
      <c r="F12" s="17">
        <f>SUMIFS(Exclusions!$F$5:$F$108,Exclusions!$J$5:$J$108,A12)</f>
        <v>5700000</v>
      </c>
      <c r="G12" s="17">
        <f t="shared" si="0"/>
        <v>23632000</v>
      </c>
      <c r="H12" s="17">
        <f t="shared" si="1"/>
        <v>0</v>
      </c>
    </row>
    <row r="13" spans="1:8" x14ac:dyDescent="0.35">
      <c r="A13" s="15" t="s">
        <v>1173</v>
      </c>
      <c r="B13" s="15" t="s">
        <v>1172</v>
      </c>
      <c r="C13" s="20">
        <v>88076000</v>
      </c>
      <c r="D13" s="15" t="s">
        <v>3943</v>
      </c>
      <c r="E13" s="17">
        <f>SUMIFS(Sales_Ledger!$J$5:$J$863,Sales_Ledger!$N$5:$N$863,A13)</f>
        <v>86776000</v>
      </c>
      <c r="F13" s="17">
        <f>SUMIFS(Exclusions!$F$5:$F$108,Exclusions!$J$5:$J$108,A13)</f>
        <v>1300000</v>
      </c>
      <c r="G13" s="17">
        <f t="shared" si="0"/>
        <v>88076000</v>
      </c>
      <c r="H13" s="17">
        <f t="shared" si="1"/>
        <v>0</v>
      </c>
    </row>
    <row r="14" spans="1:8" x14ac:dyDescent="0.35">
      <c r="A14" s="15" t="s">
        <v>1290</v>
      </c>
      <c r="B14" s="15" t="s">
        <v>1289</v>
      </c>
      <c r="C14" s="20">
        <v>80782500</v>
      </c>
      <c r="D14" s="15" t="s">
        <v>3944</v>
      </c>
      <c r="E14" s="17">
        <f>SUMIFS(Sales_Ledger!$J$5:$J$863,Sales_Ledger!$N$5:$N$863,A14)</f>
        <v>78532500</v>
      </c>
      <c r="F14" s="17">
        <f>SUMIFS(Exclusions!$F$5:$F$108,Exclusions!$J$5:$J$108,A14)</f>
        <v>2250000</v>
      </c>
      <c r="G14" s="17">
        <f t="shared" si="0"/>
        <v>80782500</v>
      </c>
      <c r="H14" s="17">
        <f t="shared" si="1"/>
        <v>0</v>
      </c>
    </row>
    <row r="15" spans="1:8" x14ac:dyDescent="0.35">
      <c r="A15" s="15" t="s">
        <v>1415</v>
      </c>
      <c r="B15" s="15" t="s">
        <v>1414</v>
      </c>
      <c r="C15" s="20">
        <v>96307500</v>
      </c>
      <c r="D15" s="15" t="s">
        <v>3945</v>
      </c>
      <c r="E15" s="17">
        <f>SUMIFS(Sales_Ledger!$J$5:$J$863,Sales_Ledger!$N$5:$N$863,A15)</f>
        <v>87707500</v>
      </c>
      <c r="F15" s="17">
        <f>SUMIFS(Exclusions!$F$5:$F$108,Exclusions!$J$5:$J$108,A15)</f>
        <v>8600000</v>
      </c>
      <c r="G15" s="17">
        <f t="shared" si="0"/>
        <v>96307500</v>
      </c>
      <c r="H15" s="17">
        <f t="shared" si="1"/>
        <v>0</v>
      </c>
    </row>
    <row r="16" spans="1:8" x14ac:dyDescent="0.35">
      <c r="A16" s="15" t="s">
        <v>1538</v>
      </c>
      <c r="B16" s="15" t="s">
        <v>1537</v>
      </c>
      <c r="C16" s="20">
        <v>35427000</v>
      </c>
      <c r="D16" s="15" t="s">
        <v>3946</v>
      </c>
      <c r="E16" s="17">
        <f>SUMIFS(Sales_Ledger!$J$5:$J$863,Sales_Ledger!$N$5:$N$863,A16)</f>
        <v>33427000</v>
      </c>
      <c r="F16" s="17">
        <f>SUMIFS(Exclusions!$F$5:$F$108,Exclusions!$J$5:$J$108,A16)</f>
        <v>2000000</v>
      </c>
      <c r="G16" s="17">
        <f t="shared" si="0"/>
        <v>35427000</v>
      </c>
      <c r="H16" s="17">
        <f t="shared" si="1"/>
        <v>0</v>
      </c>
    </row>
    <row r="17" spans="1:8" x14ac:dyDescent="0.35">
      <c r="A17" s="15" t="s">
        <v>1663</v>
      </c>
      <c r="B17" s="15" t="s">
        <v>1662</v>
      </c>
      <c r="C17" s="20">
        <v>64448250</v>
      </c>
      <c r="D17" s="15" t="s">
        <v>3947</v>
      </c>
      <c r="E17" s="17">
        <f>SUMIFS(Sales_Ledger!$J$5:$J$863,Sales_Ledger!$N$5:$N$863,A17)</f>
        <v>64095000</v>
      </c>
      <c r="F17" s="17">
        <f>SUMIFS(Exclusions!$F$5:$F$108,Exclusions!$J$5:$J$108,A17)</f>
        <v>353250</v>
      </c>
      <c r="G17" s="17">
        <f t="shared" si="0"/>
        <v>64448250</v>
      </c>
      <c r="H17" s="17">
        <f t="shared" si="1"/>
        <v>0</v>
      </c>
    </row>
    <row r="18" spans="1:8" x14ac:dyDescent="0.35">
      <c r="A18" s="18" t="s">
        <v>19</v>
      </c>
      <c r="C18" s="19">
        <f>SUM(C5:C17)</f>
        <v>448027250</v>
      </c>
      <c r="E18" s="19">
        <f>SUM(E5:E17)</f>
        <v>629350600</v>
      </c>
      <c r="F18" s="19">
        <f>SUM(F5:F17)</f>
        <v>25463250</v>
      </c>
      <c r="G18" s="19">
        <f>SUM(G5:G17)</f>
        <v>654813850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Notes</vt:lpstr>
      <vt:lpstr>Sales_Ledger</vt:lpstr>
      <vt:lpstr>Subscriptions</vt:lpstr>
      <vt:lpstr>Customer_Master</vt:lpstr>
      <vt:lpstr>Exclusions</vt:lpstr>
      <vt:lpstr>Exceptions_Dec23_Dec24</vt:lpstr>
      <vt:lpstr>Turnover_Recon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Desmond Abollo</cp:lastModifiedBy>
  <cp:revision>0</cp:revision>
  <dcterms:created xsi:type="dcterms:W3CDTF">2026-10-02T16:22:32Z</dcterms:created>
  <dcterms:modified xsi:type="dcterms:W3CDTF">2026-10-05T09:36:05Z</dcterms:modified>
  <dc:language>en-US</dc:language>
</cp:coreProperties>
</file>